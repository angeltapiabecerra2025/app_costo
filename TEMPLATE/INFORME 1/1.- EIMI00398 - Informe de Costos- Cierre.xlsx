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INFORME 1\"/>
    </mc:Choice>
  </mc:AlternateContent>
  <xr:revisionPtr revIDLastSave="0" documentId="13_ncr:1_{DF48CB0D-B1A8-4AFC-AF03-AF3455AC8EEB}" xr6:coauthVersionLast="47" xr6:coauthVersionMax="47" xr10:uidLastSave="{00000000-0000-0000-0000-000000000000}"/>
  <bookViews>
    <workbookView xWindow="28680" yWindow="855" windowWidth="29040" windowHeight="15720" tabRatio="763" firstSheet="1" activeTab="3" xr2:uid="{00000000-000D-0000-FFFF-FFFF00000000}"/>
  </bookViews>
  <sheets>
    <sheet name="Hoja1" sheetId="38" state="hidden" r:id="rId1"/>
    <sheet name="Indice" sheetId="10" r:id="rId2"/>
    <sheet name="Formato General" sheetId="6" r:id="rId3"/>
    <sheet name="Analisis por Categorias" sheetId="5" r:id="rId4"/>
    <sheet name="Matriz de Produccion" sheetId="3" r:id="rId5"/>
    <sheet name="Matriz de Costos" sheetId="2" r:id="rId6"/>
    <sheet name="Matriz de Resultados" sheetId="4" r:id="rId7"/>
    <sheet name="Matriz de Proyecciones" sheetId="1" r:id="rId8"/>
    <sheet name="Proyeccion" sheetId="37" state="hidden" r:id="rId9"/>
    <sheet name="Imputar" sheetId="9" state="hidden" r:id="rId10"/>
    <sheet name="EIMI" sheetId="11" state="hidden" r:id="rId11"/>
    <sheet name="PANEL" sheetId="12" state="hidden" r:id="rId12"/>
  </sheets>
  <definedNames>
    <definedName name="\1">#REF!</definedName>
    <definedName name="\q">#REF!</definedName>
    <definedName name="\w">#REF!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hidden="1">{#N/A,#N/A,TRUE,"Est. de Fact.";#N/A,#N/A,TRUE,"Capitulo 19";#N/A,#N/A,TRUE,"Proyecto P855"}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EV1" hidden="1">{"Graf_Carga Trab",#N/A,FALSE,"Grafi_Carga Trab";"Graf_Venta Flujo",#N/A,FALSE,"Grafi_Carga Trab"}</definedName>
    <definedName name="_________REV11" hidden="1">{"Graf_Carga Trab",#N/A,FALSE,"Grafi_Carga Trab";"Graf_Venta Flujo",#N/A,FALSE,"Grafi_Carga Trab"}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hidden="1">{#N/A,#N/A,TRUE,"Est. de Fact.";#N/A,#N/A,TRUE,"Capitulo 19";#N/A,#N/A,TRUE,"Proyecto P855"}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" hidden="1">{#N/A,#N/A,FALSE,"Total_OC015";#N/A,#N/A,FALSE,"ADMIN";#N/A,#N/A,FALSE,"PROCES";#N/A,#N/A,FALSE,"mecan";#N/A,#N/A,FALSE,"civil";#N/A,#N/A,FALSE,"CAÑER";#N/A,#N/A,FALSE,"ELEC";#N/A,#N/A,FALSE,"INSTR"}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REV1" hidden="1">{"Graf_Carga Trab",#N/A,FALSE,"Grafi_Carga Trab";"Graf_Venta Flujo",#N/A,FALSE,"Grafi_Carga Trab"}</definedName>
    <definedName name="________REV11" hidden="1">{"Graf_Carga Trab",#N/A,FALSE,"Grafi_Carga Trab";"Graf_Venta Flujo",#N/A,FALSE,"Grafi_Carga Trab"}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rn1" hidden="1">{#N/A,#N/A,TRUE,"Est. de Fact.";#N/A,#N/A,TRUE,"Capitulo 19";#N/A,#N/A,TRUE,"Proyecto P855"}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" hidden="1">{#N/A,#N/A,FALSE,"Total_OC015";#N/A,#N/A,FALSE,"ADMIN";#N/A,#N/A,FALSE,"PROCES";#N/A,#N/A,FALSE,"mecan";#N/A,#N/A,FALSE,"civil";#N/A,#N/A,FALSE,"CAÑER";#N/A,#N/A,FALSE,"ELEC";#N/A,#N/A,FALSE,"INSTR"}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 hidden="1">{"Graf_Carga Trab",#N/A,FALSE,"Grafi_Carga Trab";"Graf_Venta Flujo",#N/A,FALSE,"Grafi_Carga Trab"}</definedName>
    <definedName name="_______REV11" hidden="1">{"Graf_Carga Trab",#N/A,FALSE,"Grafi_Carga Trab";"Graf_Venta Flujo",#N/A,FALSE,"Grafi_Carga Trab"}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us96">#REF!</definedName>
    <definedName name="_______wq12" hidden="1">{#N/A,#N/A,FALSE,"Total_OC015";#N/A,#N/A,FALSE,"ADMIN";#N/A,#N/A,FALSE,"PROCES";#N/A,#N/A,FALSE,"mecan";#N/A,#N/A,FALSE,"civil";#N/A,#N/A,FALSE,"CAÑER";#N/A,#N/A,FALSE,"ELEC";#N/A,#N/A,FALSE,"INSTR"}</definedName>
    <definedName name="_______wrn1" hidden="1">{#N/A,#N/A,TRUE,"Est. de Fact.";#N/A,#N/A,TRUE,"Capitulo 19";#N/A,#N/A,TRUE,"Proyecto P855"}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EV1" hidden="1">{"Graf_Carga Trab",#N/A,FALSE,"Grafi_Carga Trab";"Graf_Venta Flujo",#N/A,FALSE,"Grafi_Carga Trab"}</definedName>
    <definedName name="______REV11" hidden="1">{"Graf_Carga Trab",#N/A,FALSE,"Grafi_Carga Trab";"Graf_Venta Flujo",#N/A,FALSE,"Grafi_Carga Trab"}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hidden="1">{#N/A,#N/A,TRUE,"Est. de Fact.";#N/A,#N/A,TRUE,"Capitulo 19";#N/A,#N/A,TRUE,"Proyecto P855"}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" hidden="1">{#N/A,#N/A,FALSE,"Total_OC015";#N/A,#N/A,FALSE,"ADMIN";#N/A,#N/A,FALSE,"PROCES";#N/A,#N/A,FALSE,"mecan";#N/A,#N/A,FALSE,"civil";#N/A,#N/A,FALSE,"CAÑER";#N/A,#N/A,FALSE,"ELEC";#N/A,#N/A,FALSE,"INSTR"}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EV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us96">#REF!</definedName>
    <definedName name="_____wq12" hidden="1">{#N/A,#N/A,FALSE,"Total_OC015";#N/A,#N/A,FALSE,"ADMIN";#N/A,#N/A,FALSE,"PROCES";#N/A,#N/A,FALSE,"mecan";#N/A,#N/A,FALSE,"civil";#N/A,#N/A,FALSE,"CAÑER";#N/A,#N/A,FALSE,"ELEC";#N/A,#N/A,FALSE,"INSTR"}</definedName>
    <definedName name="_____wrn1" hidden="1">{#N/A,#N/A,TRUE,"Est. de Fact.";#N/A,#N/A,TRUE,"Capitulo 19";#N/A,#N/A,TRUE,"Proyecto P855"}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BAS1">#REF!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hidden="1">#REF!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V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us96">#REF!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hidden="1">{#N/A,#N/A,TRUE,"Est. de Fact.";#N/A,#N/A,TRUE,"Capitulo 19";#N/A,#N/A,TRUE,"Proyecto P855"}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123Graph_A__200__BPF" hidden="1">#REF!</definedName>
    <definedName name="___2__123Graph_A__200__D50" hidden="1">#REF!</definedName>
    <definedName name="___3__123Graph_AEFICIENCIA_1" hidden="1">#REF!</definedName>
    <definedName name="___BAS1">#REF!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equ1" hidden="1">{#N/A,#N/A,TRUE,"Est. de Fact.";#N/A,#N/A,TRUE,"Capitulo 19";#N/A,#N/A,TRUE,"Proyecto P855"}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hidden="1">#REF!</definedName>
    <definedName name="___pp1" hidden="1">{#N/A,#N/A,FALSE,"Costos_Elem_Hid";#N/A,#N/A,FALSE,"Costos_Elem_Hid";#N/A,#N/A,FALSE,"Costos_Elem_Hid"}</definedName>
    <definedName name="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es1">#REF!</definedName>
    <definedName name="___res3">#REF!</definedName>
    <definedName name="___res4">#REF!</definedName>
    <definedName name="___REV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hidden="1">{#N/A,#N/A,TRUE,"Est. de Fact.";#N/A,#N/A,TRUE,"Capitulo 19";#N/A,#N/A,TRUE,"Proyecto P855"}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hidden="1">#REF!</definedName>
    <definedName name="__1__123Graph_A__200__BPF" hidden="1">#REF!</definedName>
    <definedName name="__10_____123Graph_C__200__D50" hidden="1">#REF!</definedName>
    <definedName name="__10__123Graph_BEFICIENCIA_1" hidden="1">#REF!</definedName>
    <definedName name="__10__123Graph_C__200__D50" hidden="1">#REF!</definedName>
    <definedName name="__11_____123Graph_CGRANULOMETRIA_1" hidden="1">#REF!</definedName>
    <definedName name="__11__123Graph_BGRAFICO_2" hidden="1">#REF!</definedName>
    <definedName name="__11__123Graph_CGRANULOMETRIA_1" hidden="1">#REF!</definedName>
    <definedName name="__12_____123Graph_D__200__BPF" hidden="1">#REF!</definedName>
    <definedName name="__12__123Graph_BGRANULOMETRIA_1" hidden="1">#REF!</definedName>
    <definedName name="__12__123Graph_D__200__BPF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OSTO" hidden="1">#REF!</definedName>
    <definedName name="__123Graph_ACurrent" hidden="1">#REF!</definedName>
    <definedName name="__123Graph_ANONMAN" hidden="1">#REF!</definedName>
    <definedName name="__123Graph_APERFORM" hidden="1">#REF!</definedName>
    <definedName name="__123Graph_APPCONC" hidden="1">#REF!</definedName>
    <definedName name="__123Graph_APROGRESS" hidden="1">#REF!</definedName>
    <definedName name="__123Graph_ATOTALPP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OSTO" hidden="1">#REF!</definedName>
    <definedName name="__123Graph_BCurrent" hidden="1">#REF!</definedName>
    <definedName name="__123Graph_BNONMAN" hidden="1">#REF!</definedName>
    <definedName name="__123Graph_BPERFORM" hidden="1">#REF!</definedName>
    <definedName name="__123Graph_BPPCONC" hidden="1">#REF!</definedName>
    <definedName name="__123Graph_BPROGRESS" hidden="1">#REF!</definedName>
    <definedName name="__123Graph_BTOTALPP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PERFORM" hidden="1">#REF!</definedName>
    <definedName name="__123Graph_CPPCONC" hidden="1">#REF!</definedName>
    <definedName name="__123Graph_CPROGRESS" hidden="1">#REF!</definedName>
    <definedName name="__123Graph_CREV" hidden="1">#REF!</definedName>
    <definedName name="__123Graph_CTOTALPP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DPPCONC" hidden="1">#REF!</definedName>
    <definedName name="__123Graph_DTOTALPP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EPPCONC" hidden="1">#REF!</definedName>
    <definedName name="__123Graph_ETOTALPP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FPPCONC" hidden="1">#REF!</definedName>
    <definedName name="__123Graph_FTOTALPP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4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PERFORM" hidden="1">#REF!</definedName>
    <definedName name="__123Graph_XPPCONC" hidden="1">#REF!</definedName>
    <definedName name="__123Graph_XPROGRESS" hidden="1">#REF!</definedName>
    <definedName name="__123Graph_XREV" hidden="1">#REF!</definedName>
    <definedName name="__123Graph_XTOTALPP" hidden="1">#REF!</definedName>
    <definedName name="__13_____123Graph_D__200__D50" hidden="1">#REF!</definedName>
    <definedName name="__13__123Graph_C__200__BPF" hidden="1">#REF!</definedName>
    <definedName name="__13__123Graph_D__200__D50" hidden="1">#REF!</definedName>
    <definedName name="__14_____123Graph_E__200__BPF" hidden="1">#REF!</definedName>
    <definedName name="__14__123Graph_C__200__D50" hidden="1">#REF!</definedName>
    <definedName name="__14__123Graph_E__200__BPF" hidden="1">#REF!</definedName>
    <definedName name="__15_____123Graph_E__200__D50" hidden="1">#REF!</definedName>
    <definedName name="__15__123Graph_CGRAFICO_2" hidden="1">#REF!</definedName>
    <definedName name="__15__123Graph_E__200__D50" hidden="1">#REF!</definedName>
    <definedName name="__16_____123Graph_F__200__BPF" hidden="1">#REF!</definedName>
    <definedName name="__16__123Graph_CGRANULOMETRIA_1" hidden="1">#REF!</definedName>
    <definedName name="__16__123Graph_F__200__BPF" hidden="1">#REF!</definedName>
    <definedName name="__17_____123Graph_F__200__D50" hidden="1">#REF!</definedName>
    <definedName name="__17__123Graph_D__200__BPF" hidden="1">#REF!</definedName>
    <definedName name="__17__123Graph_F__200__D50" hidden="1">#REF!</definedName>
    <definedName name="__18_____123Graph_X__200__BPF" hidden="1">#REF!</definedName>
    <definedName name="__18__123Graph_D__200__D50" hidden="1">#REF!</definedName>
    <definedName name="__18__123Graph_X__200__BPF" hidden="1">#REF!</definedName>
    <definedName name="__19_____123Graph_X__200__D50" hidden="1">#REF!</definedName>
    <definedName name="__19__123Graph_E__200__BPF" hidden="1">#REF!</definedName>
    <definedName name="__19__123Graph_X__200__D50" hidden="1">#REF!</definedName>
    <definedName name="__2_____123Graph_A__200__D50" hidden="1">#REF!</definedName>
    <definedName name="__2__123Graph_A__200__D50" hidden="1">#REF!</definedName>
    <definedName name="__20_____123Graph_XEFICIENCIA_1" hidden="1">#REF!</definedName>
    <definedName name="__20__123Graph_E__200__D50" hidden="1">#REF!</definedName>
    <definedName name="__20__123Graph_XEFICIENCIA_1" hidden="1">#REF!</definedName>
    <definedName name="__21_____123Graph_XGRANULOMETRIA_1" hidden="1">#REF!</definedName>
    <definedName name="__21__123Graph_F__200__BPF" hidden="1">#REF!</definedName>
    <definedName name="__21__123Graph_XGRANULOMETRIA_1" hidden="1">#REF!</definedName>
    <definedName name="__22____123Graph_A__200__BPF" hidden="1">#REF!</definedName>
    <definedName name="__22__123Graph_F__200__D50" hidden="1">#REF!</definedName>
    <definedName name="__23____123Graph_A__200__D50" hidden="1">#REF!</definedName>
    <definedName name="__23__123Graph_X__200__BPF" hidden="1">#REF!</definedName>
    <definedName name="__24____123Graph_AEFICIENCIA_1" hidden="1">#REF!</definedName>
    <definedName name="__24__123Graph_X__200__D50" hidden="1">#REF!</definedName>
    <definedName name="__25____123Graph_AGRANULOMETRIA_1" hidden="1">#REF!</definedName>
    <definedName name="__25__123Graph_XEFICIENCIA_1" hidden="1">#REF!</definedName>
    <definedName name="__26____123Graph_B__200__BPF" hidden="1">#REF!</definedName>
    <definedName name="__26__123Graph_XGRAFICO_1" hidden="1">#REF!</definedName>
    <definedName name="__27____123Graph_B__200__D50" hidden="1">#REF!</definedName>
    <definedName name="__27__123Graph_XGRAFICO_2" hidden="1">#REF!</definedName>
    <definedName name="__28____123Graph_BEFICIENCIA_1" hidden="1">#REF!</definedName>
    <definedName name="__28__123Graph_XGRAFICO_3" hidden="1">#REF!</definedName>
    <definedName name="__29____123Graph_BGRANULOMETRIA_1" hidden="1">#REF!</definedName>
    <definedName name="__29__123Graph_XGRANULOMETRIA_1" hidden="1">#REF!</definedName>
    <definedName name="__3_____123Graph_AEFICIENCIA_1" hidden="1">#REF!</definedName>
    <definedName name="__3__123Graph_AEFICIENCIA_1" hidden="1">#REF!</definedName>
    <definedName name="__30____123Graph_C__200__BPF" hidden="1">#REF!</definedName>
    <definedName name="__31____123Graph_C__200__D50" hidden="1">#REF!</definedName>
    <definedName name="__32____123Graph_CGRANULOMETRIA_1" hidden="1">#REF!</definedName>
    <definedName name="__33____123Graph_D__200__BPF" hidden="1">#REF!</definedName>
    <definedName name="__34____123Graph_D__200__D50" hidden="1">#REF!</definedName>
    <definedName name="__35____123Graph_E__200__BPF" hidden="1">#REF!</definedName>
    <definedName name="__36____123Graph_E__200__D50" hidden="1">#REF!</definedName>
    <definedName name="__37____123Graph_F__200__BPF" hidden="1">#REF!</definedName>
    <definedName name="__38____123Graph_F__200__D50" hidden="1">#REF!</definedName>
    <definedName name="__39____123Graph_X__200__BPF" hidden="1">#REF!</definedName>
    <definedName name="__4_____123Graph_AGRANULOMETRIA_1" hidden="1">#REF!</definedName>
    <definedName name="__4__123Graph_AGRAFICO_1" hidden="1">#REF!</definedName>
    <definedName name="__4__123Graph_AGRANULOMETRIA_1" hidden="1">#REF!</definedName>
    <definedName name="__40____123Graph_X__200__D50" hidden="1">#REF!</definedName>
    <definedName name="__41____123Graph_XEFICIENCIA_1" hidden="1">#REF!</definedName>
    <definedName name="__42____123Graph_XGRANULOMETRIA_1" hidden="1">#REF!</definedName>
    <definedName name="__43___123Graph_A__200__BPF" hidden="1">#REF!</definedName>
    <definedName name="__44___123Graph_A__200__D50" hidden="1">#REF!</definedName>
    <definedName name="__45___123Graph_AEFICIENCIA_1" hidden="1">#REF!</definedName>
    <definedName name="__46___123Graph_AGRANULOMETRIA_1" hidden="1">#REF!</definedName>
    <definedName name="__47___123Graph_B__200__BPF" hidden="1">#REF!</definedName>
    <definedName name="__48___123Graph_B__200__D50" hidden="1">#REF!</definedName>
    <definedName name="__49___123Graph_BEFICIENCIA_1" hidden="1">#REF!</definedName>
    <definedName name="__5_____123Graph_B__200__BPF" hidden="1">#REF!</definedName>
    <definedName name="__5__123Graph_AGRAFICO_2" hidden="1">#REF!</definedName>
    <definedName name="__5__123Graph_B__200__BPF" hidden="1">#REF!</definedName>
    <definedName name="__50___123Graph_BGRANULOMETRIA_1" hidden="1">#REF!</definedName>
    <definedName name="__51___123Graph_C__200__BPF" hidden="1">#REF!</definedName>
    <definedName name="__52___123Graph_C__200__D50" hidden="1">#REF!</definedName>
    <definedName name="__53___123Graph_CGRANULOMETRIA_1" hidden="1">#REF!</definedName>
    <definedName name="__54___123Graph_D__200__BPF" hidden="1">#REF!</definedName>
    <definedName name="__55___123Graph_D__200__D50" hidden="1">#REF!</definedName>
    <definedName name="__56___123Graph_E__200__BPF" hidden="1">#REF!</definedName>
    <definedName name="__57___123Graph_E__200__D50" hidden="1">#REF!</definedName>
    <definedName name="__58___123Graph_F__200__BPF" hidden="1">#REF!</definedName>
    <definedName name="__59___123Graph_F__200__D50" hidden="1">#REF!</definedName>
    <definedName name="__6_____123Graph_B__200__D50" hidden="1">#REF!</definedName>
    <definedName name="__6__123Graph_AGRAFICO_3" hidden="1">#REF!</definedName>
    <definedName name="__6__123Graph_B__200__D50" hidden="1">#REF!</definedName>
    <definedName name="__60___123Graph_X__200__BPF" hidden="1">#REF!</definedName>
    <definedName name="__61___123Graph_X__200__D50" hidden="1">#REF!</definedName>
    <definedName name="__62___123Graph_XEFICIENCIA_1" hidden="1">#REF!</definedName>
    <definedName name="__63___123Graph_XGRANULOMETRIA_1" hidden="1">#REF!</definedName>
    <definedName name="__64__123Graph_A__200__BPF" hidden="1">#REF!</definedName>
    <definedName name="__65__123Graph_A__200__D50" hidden="1">#REF!</definedName>
    <definedName name="__66__123Graph_AEFICIENCIA_1" hidden="1">#REF!</definedName>
    <definedName name="__67__123Graph_AGRANULOMETRIA_1" hidden="1">#REF!</definedName>
    <definedName name="__68__123Graph_B__200__BPF" hidden="1">#REF!</definedName>
    <definedName name="__69__123Graph_B__200__D50" hidden="1">#REF!</definedName>
    <definedName name="__7_____123Graph_BEFICIENCIA_1" hidden="1">#REF!</definedName>
    <definedName name="__7__123Graph_AGRANULOMETRIA_1" hidden="1">#REF!</definedName>
    <definedName name="__7__123Graph_BEFICIENCIA_1" hidden="1">#REF!</definedName>
    <definedName name="__70__123Graph_BEFICIENCIA_1" hidden="1">#REF!</definedName>
    <definedName name="__71__123Graph_BGRANULOMETRIA_1" hidden="1">#REF!</definedName>
    <definedName name="__72__123Graph_C__200__BPF" hidden="1">#REF!</definedName>
    <definedName name="__73__123Graph_C__200__D50" hidden="1">#REF!</definedName>
    <definedName name="__74__123Graph_CGRANULOMETRIA_1" hidden="1">#REF!</definedName>
    <definedName name="__75__123Graph_D__200__BPF" hidden="1">#REF!</definedName>
    <definedName name="__76__123Graph_D__200__D50" hidden="1">#REF!</definedName>
    <definedName name="__77__123Graph_E__200__BPF" hidden="1">#REF!</definedName>
    <definedName name="__78__123Graph_E__200__D50" hidden="1">#REF!</definedName>
    <definedName name="__79__123Graph_F__200__BPF" hidden="1">#REF!</definedName>
    <definedName name="__8_____123Graph_BGRANULOMETRIA_1" hidden="1">#REF!</definedName>
    <definedName name="__8__123Graph_B__200__BPF" hidden="1">#REF!</definedName>
    <definedName name="__8__123Graph_BGRANULOMETRIA_1" hidden="1">#REF!</definedName>
    <definedName name="__80__123Graph_F__200__D50" hidden="1">#REF!</definedName>
    <definedName name="__81__123Graph_X__200__BPF" hidden="1">#REF!</definedName>
    <definedName name="__82__123Graph_X__200__D50" hidden="1">#REF!</definedName>
    <definedName name="__83__123Graph_XEFICIENCIA_1" hidden="1">#REF!</definedName>
    <definedName name="__84__123Graph_XGRANULOMETRIA_1" hidden="1">#REF!</definedName>
    <definedName name="__9_____123Graph_C__200__BPF" hidden="1">#REF!</definedName>
    <definedName name="__9__123Graph_B__200__D50" hidden="1">#REF!</definedName>
    <definedName name="__9__123Graph_C__200__BPF" hidden="1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BAS1">#REF!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hidden="1">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es1">#REF!</definedName>
    <definedName name="__res2">#REF!</definedName>
    <definedName name="__res3">#REF!</definedName>
    <definedName name="__res4">#REF!</definedName>
    <definedName name="__REV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 hidden="1">#NAME?</definedName>
    <definedName name="__xlfn.IFERROR" hidden="1">#NAME?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_________123Graph_AGRAFICO_1" hidden="1">#REF!</definedName>
    <definedName name="_1_____123Graph_A__200__BPF" hidden="1">#REF!</definedName>
    <definedName name="_1____123Graph_A__200__BPF" hidden="1">#REF!</definedName>
    <definedName name="_1__123Graph_A__200__BPF" hidden="1">#REF!</definedName>
    <definedName name="_1__123Graph_AChart_1A" hidden="1">#REF!</definedName>
    <definedName name="_1_0_0_F" hidden="1">#REF!</definedName>
    <definedName name="_10_____123Graph_C__200__D50" hidden="1">#REF!</definedName>
    <definedName name="_10____123Graph_C__200__D50" hidden="1">#REF!</definedName>
    <definedName name="_10__123Graph_AEFICIENCIA_1" hidden="1">#REF!</definedName>
    <definedName name="_10__123Graph_B__200__D50" hidden="1">#REF!</definedName>
    <definedName name="_10__123Graph_BEFICIENCIA_1" hidden="1">#REF!</definedName>
    <definedName name="_10__123Graph_BGRANULOMETRIA_1" hidden="1">#REF!</definedName>
    <definedName name="_10__123Graph_C__200__D50" hidden="1">#REF!</definedName>
    <definedName name="_10__123Graph_EChart_1A" hidden="1">#REF!</definedName>
    <definedName name="_11_____123Graph_CGRANULOMETRIA_1" hidden="1">#REF!</definedName>
    <definedName name="_11____123Graph_CGRANULOMETRIA_1" hidden="1">#REF!</definedName>
    <definedName name="_11__123Graph_AGRANULOMETRIA_1" hidden="1">#REF!</definedName>
    <definedName name="_11__123Graph_BChart_1A" hidden="1">#REF!</definedName>
    <definedName name="_11__123Graph_BGRAFICO_2" hidden="1">#REF!</definedName>
    <definedName name="_11__123Graph_C__200__BPF" hidden="1">#REF!</definedName>
    <definedName name="_11__123Graph_CGRANULOMETRIA_1" hidden="1">#REF!</definedName>
    <definedName name="_12_____123Graph_D__200__BPF" hidden="1">#REF!</definedName>
    <definedName name="_12____123Graph_D__200__BPF" hidden="1">#REF!</definedName>
    <definedName name="_12__123Graph_B__200__BPF" hidden="1">#REF!</definedName>
    <definedName name="_12__123Graph_BChart_1A" hidden="1">#REF!</definedName>
    <definedName name="_12__123Graph_BEFICIENCIA_1" hidden="1">#REF!</definedName>
    <definedName name="_12__123Graph_BGRANULOMETRIA_1" hidden="1">#REF!</definedName>
    <definedName name="_12__123Graph_C__200__D50" hidden="1">#REF!</definedName>
    <definedName name="_12__123Graph_D__200__BPF" hidden="1">#REF!</definedName>
    <definedName name="_12__123Graph_FChart_1A" hidden="1">#REF!</definedName>
    <definedName name="_12__123Graph_XMES_EP" hidden="1">#REF!</definedName>
    <definedName name="_13_____123Graph_D__200__D50" hidden="1">#REF!</definedName>
    <definedName name="_13____123Graph_D__200__D50" hidden="1">#REF!</definedName>
    <definedName name="_13__123Graph_B__200__D50" hidden="1">#REF!</definedName>
    <definedName name="_13__123Graph_BEFICIENCIA_1" hidden="1">#REF!</definedName>
    <definedName name="_13__123Graph_BGRAFICO_2" hidden="1">#REF!</definedName>
    <definedName name="_13__123Graph_C__200__BPF" hidden="1">#REF!</definedName>
    <definedName name="_13__123Graph_CChart_1A" hidden="1">#REF!</definedName>
    <definedName name="_13__123Graph_D__200__D50" hidden="1">#REF!</definedName>
    <definedName name="_14_____123Graph_E__200__BPF" hidden="1">#REF!</definedName>
    <definedName name="_14____123Graph_E__200__BPF" hidden="1">#REF!</definedName>
    <definedName name="_14__123Graph_BGRANULOMETRIA_1" hidden="1">#REF!</definedName>
    <definedName name="_14__123Graph_C__200__D50" hidden="1">#REF!</definedName>
    <definedName name="_14__123Graph_CGRANULOMETRIA_1" hidden="1">#REF!</definedName>
    <definedName name="_14__123Graph_E__200__BPF" hidden="1">#REF!</definedName>
    <definedName name="_14__123Graph_XChart_1A" hidden="1">#REF!</definedName>
    <definedName name="_15_____123Graph_E__200__D50" hidden="1">#REF!</definedName>
    <definedName name="_15____123Graph_E__200__D50" hidden="1">#REF!</definedName>
    <definedName name="_15__123Graph_C__200__BPF" hidden="1">#REF!</definedName>
    <definedName name="_15__123Graph_CGRAFICO_2" hidden="1">#REF!</definedName>
    <definedName name="_15__123Graph_D__200__BPF" hidden="1">#REF!</definedName>
    <definedName name="_15__123Graph_E__200__D50" hidden="1">#REF!</definedName>
    <definedName name="_15__123Graph_XNET_ACUM" hidden="1">#REF!</definedName>
    <definedName name="_16_____123Graph_F__200__BPF" hidden="1">#REF!</definedName>
    <definedName name="_16____123Graph_F__200__BPF" hidden="1">#REF!</definedName>
    <definedName name="_16__123Graph_C__200__D50" hidden="1">#REF!</definedName>
    <definedName name="_16__123Graph_CGRANULOMETRIA_1" hidden="1">#REF!</definedName>
    <definedName name="_16__123Graph_D__200__D50" hidden="1">#REF!</definedName>
    <definedName name="_16__123Graph_F__200__BPF" hidden="1">#REF!</definedName>
    <definedName name="_17_________123Graph_AGRAFICO_1" hidden="1">#REF!</definedName>
    <definedName name="_17_____123Graph_F__200__D50" hidden="1">#REF!</definedName>
    <definedName name="_17____123Graph_F__200__D50" hidden="1">#REF!</definedName>
    <definedName name="_17__123Graph_CChart_1A" hidden="1">#REF!</definedName>
    <definedName name="_17__123Graph_D__200__BPF" hidden="1">#REF!</definedName>
    <definedName name="_17__123Graph_DChart_1A" hidden="1">#REF!</definedName>
    <definedName name="_17__123Graph_F__200__D50" hidden="1">#REF!</definedName>
    <definedName name="_18_________123Graph_BGRAFICO_2" hidden="1">#REF!</definedName>
    <definedName name="_18_____123Graph_X__200__BPF" hidden="1">#REF!</definedName>
    <definedName name="_18____123Graph_X__200__BPF" hidden="1">#REF!</definedName>
    <definedName name="_18__123Graph_CGRAFICO_2" hidden="1">#REF!</definedName>
    <definedName name="_18__123Graph_D__200__D50" hidden="1">#REF!</definedName>
    <definedName name="_18__123Graph_E__200__BPF" hidden="1">#REF!</definedName>
    <definedName name="_18__123Graph_X__200__BPF" hidden="1">#REF!</definedName>
    <definedName name="_19_________123Graph_CGRAFICO_2" hidden="1">#REF!</definedName>
    <definedName name="_19_____123Graph_X__200__D50" hidden="1">#REF!</definedName>
    <definedName name="_19____123Graph_X__200__D50" hidden="1">#REF!</definedName>
    <definedName name="_19__123Graph_CChart_1A" hidden="1">#REF!</definedName>
    <definedName name="_19__123Graph_CGRANULOMETRIA_1" hidden="1">#REF!</definedName>
    <definedName name="_19__123Graph_E__200__BPF" hidden="1">#REF!</definedName>
    <definedName name="_19__123Graph_E__200__D50" hidden="1">#REF!</definedName>
    <definedName name="_19__123Graph_X__200__D50" hidden="1">#REF!</definedName>
    <definedName name="_2_____________123Graph_BGRAFICO_2" hidden="1">#REF!</definedName>
    <definedName name="_2_____123Graph_A__200__D50" hidden="1">#REF!</definedName>
    <definedName name="_2____123Graph_A__200__D50" hidden="1">#REF!</definedName>
    <definedName name="_2__123Graph_A__200__D50" hidden="1">#REF!</definedName>
    <definedName name="_2__123Graph_AChart_1A" hidden="1">#REF!</definedName>
    <definedName name="_2__123Graph_BChart_1A" hidden="1">#REF!</definedName>
    <definedName name="_20_________123Graph_XGRAFICO_1" hidden="1">#REF!</definedName>
    <definedName name="_20_____123Graph_XEFICIENCIA_1" hidden="1">#REF!</definedName>
    <definedName name="_20____123Graph_XEFICIENCIA_1" hidden="1">#REF!</definedName>
    <definedName name="_20__123Graph_BChart_1A" hidden="1">#REF!</definedName>
    <definedName name="_20__123Graph_CGRANULOMETRIA_1" hidden="1">#REF!</definedName>
    <definedName name="_20__123Graph_D__200__BPF" hidden="1">#REF!</definedName>
    <definedName name="_20__123Graph_E__200__D50" hidden="1">#REF!</definedName>
    <definedName name="_20__123Graph_EChart_1A" hidden="1">#REF!</definedName>
    <definedName name="_20__123Graph_XEFICIENCIA_1" hidden="1">#REF!</definedName>
    <definedName name="_21_____123Graph_XGRANULOMETRIA_1" hidden="1">#REF!</definedName>
    <definedName name="_21____123Graph_XGRANULOMETRIA_1" hidden="1">#REF!</definedName>
    <definedName name="_21__123Graph_BEFICIENCIA_1" hidden="1">#REF!</definedName>
    <definedName name="_21__123Graph_D__200__BPF" hidden="1">#REF!</definedName>
    <definedName name="_21__123Graph_D__200__D50" hidden="1">#REF!</definedName>
    <definedName name="_21__123Graph_F__200__BPF" hidden="1">#REF!</definedName>
    <definedName name="_21__123Graph_XGRANULOMETRIA_1" hidden="1">#REF!</definedName>
    <definedName name="_22____123Graph_A__200__BPF" hidden="1">#REF!</definedName>
    <definedName name="_22___123Graph_A__200__BPF" hidden="1">#REF!</definedName>
    <definedName name="_22__123Graph_BGRANULOMETRIA_1" hidden="1">#REF!</definedName>
    <definedName name="_22__123Graph_D__200__D50" hidden="1">#REF!</definedName>
    <definedName name="_22__123Graph_DChart_1A" hidden="1">#REF!</definedName>
    <definedName name="_22__123Graph_F__200__D50" hidden="1">#REF!</definedName>
    <definedName name="_23____123Graph_A__200__D50" hidden="1">#REF!</definedName>
    <definedName name="_23___123Graph_A__200__D50" hidden="1">#REF!</definedName>
    <definedName name="_23__123Graph_C__200__BPF" hidden="1">#REF!</definedName>
    <definedName name="_23__123Graph_E__200__BPF" hidden="1">#REF!</definedName>
    <definedName name="_23__123Graph_FChart_1A" hidden="1">#REF!</definedName>
    <definedName name="_23__123Graph_X__200__BPF" hidden="1">#REF!</definedName>
    <definedName name="_24____123Graph_AEFICIENCIA_1" hidden="1">#REF!</definedName>
    <definedName name="_24___123Graph_AEFICIENCIA_1" hidden="1">#REF!</definedName>
    <definedName name="_24__123Graph_C__200__D50" hidden="1">#REF!</definedName>
    <definedName name="_24__123Graph_E__200__D50" hidden="1">#REF!</definedName>
    <definedName name="_24__123Graph_X__200__BPF" hidden="1">#REF!</definedName>
    <definedName name="_24__123Graph_X__200__D50" hidden="1">#REF!</definedName>
    <definedName name="_25______123Graph_A__200__BPF" hidden="1">#REF!</definedName>
    <definedName name="_25____123Graph_AGRANULOMETRIA_1" hidden="1">#REF!</definedName>
    <definedName name="_25___123Graph_AGRANULOMETRIA_1" hidden="1">#REF!</definedName>
    <definedName name="_25__123Graph_DChart_1A" hidden="1">#REF!</definedName>
    <definedName name="_25__123Graph_EChart_1A" hidden="1">#REF!</definedName>
    <definedName name="_25__123Graph_X__200__D50" hidden="1">#REF!</definedName>
    <definedName name="_25__123Graph_XEFICIENCIA_1" hidden="1">#REF!</definedName>
    <definedName name="_26______123Graph_A__200__D50" hidden="1">#REF!</definedName>
    <definedName name="_26____123Graph_B__200__BPF" hidden="1">#REF!</definedName>
    <definedName name="_26___123Graph_B__200__BPF" hidden="1">#REF!</definedName>
    <definedName name="_26__123Graph_E__200__BPF" hidden="1">#REF!</definedName>
    <definedName name="_26__123Graph_F__200__BPF" hidden="1">#REF!</definedName>
    <definedName name="_26__123Graph_XChart_1A" hidden="1">#REF!</definedName>
    <definedName name="_26__123Graph_XGRAFICO_1" hidden="1">#REF!</definedName>
    <definedName name="_27______123Graph_AEFICIENCIA_1" hidden="1">#REF!</definedName>
    <definedName name="_27____123Graph_B__200__D50" hidden="1">#REF!</definedName>
    <definedName name="_27___123Graph_B__200__D50" hidden="1">#REF!</definedName>
    <definedName name="_27__123Graph_E__200__D50" hidden="1">#REF!</definedName>
    <definedName name="_27__123Graph_F__200__D50" hidden="1">#REF!</definedName>
    <definedName name="_27__123Graph_XEFICIENCIA_1" hidden="1">#REF!</definedName>
    <definedName name="_27__123Graph_XGRAFICO_2" hidden="1">#REF!</definedName>
    <definedName name="_28______123Graph_AGRAFICO_2" hidden="1">#REF!</definedName>
    <definedName name="_28____123Graph_BEFICIENCIA_1" hidden="1">#REF!</definedName>
    <definedName name="_28___123Graph_BEFICIENCIA_1" hidden="1">#REF!</definedName>
    <definedName name="_28__123Graph_FChart_1A" hidden="1">#REF!</definedName>
    <definedName name="_28__123Graph_XGRAFICO_3" hidden="1">#REF!</definedName>
    <definedName name="_28__123Graph_XGRANULOMETRIA_1" hidden="1">#REF!</definedName>
    <definedName name="_29______123Graph_AGRAFICO_3" hidden="1">#REF!</definedName>
    <definedName name="_29____123Graph_BGRANULOMETRIA_1" hidden="1">#REF!</definedName>
    <definedName name="_29___123Graph_BGRANULOMETRIA_1" hidden="1">#REF!</definedName>
    <definedName name="_29__123Graph_X__200__BPF" hidden="1">#REF!</definedName>
    <definedName name="_29__123Graph_XGRANULOMETRIA_1" hidden="1">#REF!</definedName>
    <definedName name="_3_____________123Graph_CGRAFICO_2" hidden="1">#REF!</definedName>
    <definedName name="_3_____123Graph_AEFICIENCIA_1" hidden="1">#REF!</definedName>
    <definedName name="_3____123Graph_AEFICIENCIA_1" hidden="1">#REF!</definedName>
    <definedName name="_3__123Graph_AChart_1A" hidden="1">#REF!</definedName>
    <definedName name="_3__123Graph_AEFICIENCIA_1" hidden="1">#REF!</definedName>
    <definedName name="_3__123Graph_AMES_EP" hidden="1">#REF!</definedName>
    <definedName name="_3__123Graph_CChart_1A" hidden="1">#REF!</definedName>
    <definedName name="_30______123Graph_AGRANULOMETRIA_1" hidden="1">#REF!</definedName>
    <definedName name="_30____123Graph_C__200__BPF" hidden="1">#REF!</definedName>
    <definedName name="_30___123Graph_C__200__BPF" hidden="1">#REF!</definedName>
    <definedName name="_30__123Graph_EChart_1A" hidden="1">#REF!</definedName>
    <definedName name="_30__123Graph_X__200__D50" hidden="1">#REF!</definedName>
    <definedName name="_31______123Graph_B__200__BPF" hidden="1">#REF!</definedName>
    <definedName name="_31____123Graph_C__200__D50" hidden="1">#REF!</definedName>
    <definedName name="_31___123Graph_C__200__D50" hidden="1">#REF!</definedName>
    <definedName name="_31__123Graph_CChart_1A" hidden="1">#REF!</definedName>
    <definedName name="_31__123Graph_F__200__BPF" hidden="1">#REF!</definedName>
    <definedName name="_31__123Graph_XChart_1A" hidden="1">#REF!</definedName>
    <definedName name="_32______123Graph_B__200__D50" hidden="1">#REF!</definedName>
    <definedName name="_32____123Graph_CGRANULOMETRIA_1" hidden="1">#REF!</definedName>
    <definedName name="_32___123Graph_CGRANULOMETRIA_1" hidden="1">#REF!</definedName>
    <definedName name="_32__123Graph_CGRANULOMETRIA_1" hidden="1">#REF!</definedName>
    <definedName name="_32__123Graph_F__200__D50" hidden="1">#REF!</definedName>
    <definedName name="_32__123Graph_XEFICIENCIA_1" hidden="1">#REF!</definedName>
    <definedName name="_33______123Graph_BEFICIENCIA_1" hidden="1">#REF!</definedName>
    <definedName name="_33____123Graph_D__200__BPF" hidden="1">#REF!</definedName>
    <definedName name="_33___123Graph_D__200__BPF" hidden="1">#REF!</definedName>
    <definedName name="_33__123Graph_D__200__BPF" hidden="1">#REF!</definedName>
    <definedName name="_33__123Graph_XGRAFICO_1" hidden="1">#REF!</definedName>
    <definedName name="_34______123Graph_BGRANULOMETRIA_1" hidden="1">#REF!</definedName>
    <definedName name="_34____123Graph_D__200__D50" hidden="1">#REF!</definedName>
    <definedName name="_34___123Graph_D__200__D50" hidden="1">#REF!</definedName>
    <definedName name="_34__123Graph_D__200__D50" hidden="1">#REF!</definedName>
    <definedName name="_34__123Graph_XGRAFICO_2" hidden="1">#REF!</definedName>
    <definedName name="_35______123Graph_C__200__BPF" hidden="1">#REF!</definedName>
    <definedName name="_35____123Graph_E__200__BPF" hidden="1">#REF!</definedName>
    <definedName name="_35___123Graph_E__200__BPF" hidden="1">#REF!</definedName>
    <definedName name="_35__123Graph_FChart_1A" hidden="1">#REF!</definedName>
    <definedName name="_35__123Graph_XGRAFICO_3" hidden="1">#REF!</definedName>
    <definedName name="_36______123Graph_C__200__D50" hidden="1">#REF!</definedName>
    <definedName name="_36____123Graph_E__200__D50" hidden="1">#REF!</definedName>
    <definedName name="_36___123Graph_E__200__D50" hidden="1">#REF!</definedName>
    <definedName name="_36__123Graph_X__200__BPF" hidden="1">#REF!</definedName>
    <definedName name="_36__123Graph_XGRANULOMETRIA_1" hidden="1">#REF!</definedName>
    <definedName name="_37______123Graph_CGRANULOMETRIA_1" hidden="1">#REF!</definedName>
    <definedName name="_37____123Graph_F__200__BPF" hidden="1">#REF!</definedName>
    <definedName name="_37___123Graph_F__200__BPF" hidden="1">#REF!</definedName>
    <definedName name="_37__123Graph_X__200__D50" hidden="1">#REF!</definedName>
    <definedName name="_38______123Graph_D__200__BPF" hidden="1">#REF!</definedName>
    <definedName name="_38____123Graph_F__200__D50" hidden="1">#REF!</definedName>
    <definedName name="_38___123Graph_F__200__D50" hidden="1">#REF!</definedName>
    <definedName name="_39______123Graph_D__200__D50" hidden="1">#REF!</definedName>
    <definedName name="_39____123Graph_X__200__BPF" hidden="1">#REF!</definedName>
    <definedName name="_39___123Graph_X__200__BPF" hidden="1">#REF!</definedName>
    <definedName name="_4_____________123Graph_XGRAFICO_1" hidden="1">#REF!</definedName>
    <definedName name="_4_____123Graph_AGRANULOMETRIA_1" hidden="1">#REF!</definedName>
    <definedName name="_4____123Graph_AGRANULOMETRIA_1" hidden="1">#REF!</definedName>
    <definedName name="_4__123Graph_AEFICIENCIA_1" hidden="1">#REF!</definedName>
    <definedName name="_4__123Graph_AGRAFICO_1" hidden="1">#REF!</definedName>
    <definedName name="_4__123Graph_AGRANULOMETRIA_1" hidden="1">#REF!</definedName>
    <definedName name="_4__123Graph_BChart_1A" hidden="1">#REF!</definedName>
    <definedName name="_4__123Graph_DChart_1A" hidden="1">#REF!</definedName>
    <definedName name="_40______123Graph_E__200__BPF" hidden="1">#REF!</definedName>
    <definedName name="_40____123Graph_X__200__D50" hidden="1">#REF!</definedName>
    <definedName name="_40___123Graph_X__200__D50" hidden="1">#REF!</definedName>
    <definedName name="_40__123Graph_XChart_1A" hidden="1">#REF!</definedName>
    <definedName name="_41______123Graph_E__200__D50" hidden="1">#REF!</definedName>
    <definedName name="_41____123Graph_XEFICIENCIA_1" hidden="1">#REF!</definedName>
    <definedName name="_41___123Graph_XEFICIENCIA_1" hidden="1">#REF!</definedName>
    <definedName name="_41__123Graph_DChart_1A" hidden="1">#REF!</definedName>
    <definedName name="_41__123Graph_XEFICIENCIA_1" hidden="1">#REF!</definedName>
    <definedName name="_42______123Graph_F__200__BPF" hidden="1">#REF!</definedName>
    <definedName name="_42____123Graph_XGRANULOMETRIA_1" hidden="1">#REF!</definedName>
    <definedName name="_42___123Graph_XGRANULOMETRIA_1" hidden="1">#REF!</definedName>
    <definedName name="_42__123Graph_E__200__BPF" hidden="1">#REF!</definedName>
    <definedName name="_42__123Graph_XGRANULOMETRIA_1" hidden="1">#REF!</definedName>
    <definedName name="_43______123Graph_F__200__D50" hidden="1">#REF!</definedName>
    <definedName name="_43___123Graph_A__200__BPF" hidden="1">#REF!</definedName>
    <definedName name="_43__123Graph_A__200__BPF" hidden="1">#REF!</definedName>
    <definedName name="_43__123Graph_E__200__D50" hidden="1">#REF!</definedName>
    <definedName name="_43_0_S" hidden="1">#REF!</definedName>
    <definedName name="_44______123Graph_X__200__BPF" hidden="1">#REF!</definedName>
    <definedName name="_44___123Graph_A__200__D50" hidden="1">#REF!</definedName>
    <definedName name="_44__123Graph_A__200__D50" hidden="1">#REF!</definedName>
    <definedName name="_45______123Graph_X__200__D50" hidden="1">#REF!</definedName>
    <definedName name="_45___123Graph_AEFICIENCIA_1" hidden="1">#REF!</definedName>
    <definedName name="_45__123Graph_AEFICIENCIA_1" hidden="1">#REF!</definedName>
    <definedName name="_46______123Graph_XEFICIENCIA_1" hidden="1">#REF!</definedName>
    <definedName name="_46___123Graph_AGRANULOMETRIA_1" hidden="1">#REF!</definedName>
    <definedName name="_46__123Graph_AGRANULOMETRIA_1" hidden="1">#REF!</definedName>
    <definedName name="_47______123Graph_XGRAFICO_2" hidden="1">#REF!</definedName>
    <definedName name="_47___123Graph_B__200__BPF" hidden="1">#REF!</definedName>
    <definedName name="_47__123Graph_B__200__BPF" hidden="1">#REF!</definedName>
    <definedName name="_48______123Graph_XGRAFICO_3" hidden="1">#REF!</definedName>
    <definedName name="_48___123Graph_B__200__D50" hidden="1">#REF!</definedName>
    <definedName name="_48__123Graph_B__200__D50" hidden="1">#REF!</definedName>
    <definedName name="_49______123Graph_XGRANULOMETRIA_1" hidden="1">#REF!</definedName>
    <definedName name="_49___123Graph_BEFICIENCIA_1" hidden="1">#REF!</definedName>
    <definedName name="_49__123Graph_BEFICIENCIA_1" hidden="1">#REF!</definedName>
    <definedName name="_5_____123Graph_B__200__BPF" hidden="1">#REF!</definedName>
    <definedName name="_5____123Graph_B__200__BPF" hidden="1">#REF!</definedName>
    <definedName name="_5__123Graph_AChart_1A" hidden="1">#REF!</definedName>
    <definedName name="_5__123Graph_AGRAFICO_1" hidden="1">#REF!</definedName>
    <definedName name="_5__123Graph_AGRAFICO_2" hidden="1">#REF!</definedName>
    <definedName name="_5__123Graph_AGRANULOMETRIA_1" hidden="1">#REF!</definedName>
    <definedName name="_5__123Graph_B__200__BPF" hidden="1">#REF!</definedName>
    <definedName name="_5__123Graph_EChart_1A" hidden="1">#REF!</definedName>
    <definedName name="_50_____123Graph_A__200__BPF" hidden="1">#REF!</definedName>
    <definedName name="_50___123Graph_BGRANULOMETRIA_1" hidden="1">#REF!</definedName>
    <definedName name="_50__123Graph_BGRANULOMETRIA_1" hidden="1">#REF!</definedName>
    <definedName name="_50__123Graph_EChart_1A" hidden="1">#REF!</definedName>
    <definedName name="_51_____123Graph_A__200__D50" hidden="1">#REF!</definedName>
    <definedName name="_51___123Graph_C__200__BPF" hidden="1">#REF!</definedName>
    <definedName name="_51__123Graph_C__200__BPF" hidden="1">#REF!</definedName>
    <definedName name="_51__123Graph_F__200__BPF" hidden="1">#REF!</definedName>
    <definedName name="_52_____123Graph_AEFICIENCIA_1" hidden="1">#REF!</definedName>
    <definedName name="_52___123Graph_C__200__D50" hidden="1">#REF!</definedName>
    <definedName name="_52__123Graph_C__200__D50" hidden="1">#REF!</definedName>
    <definedName name="_52__123Graph_F__200__D50" hidden="1">#REF!</definedName>
    <definedName name="_53_____123Graph_AGRAFICO_2" hidden="1">#REF!</definedName>
    <definedName name="_53___123Graph_CGRANULOMETRIA_1" hidden="1">#REF!</definedName>
    <definedName name="_53__123Graph_CGRANULOMETRIA_1" hidden="1">#REF!</definedName>
    <definedName name="_54_____123Graph_AGRAFICO_3" hidden="1">#REF!</definedName>
    <definedName name="_54___123Graph_D__200__BPF" hidden="1">#REF!</definedName>
    <definedName name="_54__123Graph_D__200__BPF" hidden="1">#REF!</definedName>
    <definedName name="_55_____123Graph_AGRANULOMETRIA_1" hidden="1">#REF!</definedName>
    <definedName name="_55___123Graph_D__200__D50" hidden="1">#REF!</definedName>
    <definedName name="_55__123Graph_D__200__D50" hidden="1">#REF!</definedName>
    <definedName name="_56_____123Graph_B__200__BPF" hidden="1">#REF!</definedName>
    <definedName name="_56___123Graph_E__200__BPF" hidden="1">#REF!</definedName>
    <definedName name="_56__123Graph_E__200__BPF" hidden="1">#REF!</definedName>
    <definedName name="_57_____123Graph_B__200__D50" hidden="1">#REF!</definedName>
    <definedName name="_57___123Graph_E__200__D50" hidden="1">#REF!</definedName>
    <definedName name="_57__123Graph_E__200__D50" hidden="1">#REF!</definedName>
    <definedName name="_58_____123Graph_BEFICIENCIA_1" hidden="1">#REF!</definedName>
    <definedName name="_58___123Graph_F__200__BPF" hidden="1">#REF!</definedName>
    <definedName name="_58__123Graph_F__200__BPF" hidden="1">#REF!</definedName>
    <definedName name="_59_____123Graph_BGRANULOMETRIA_1" hidden="1">#REF!</definedName>
    <definedName name="_59___123Graph_F__200__D50" hidden="1">#REF!</definedName>
    <definedName name="_59__123Graph_F__200__D50" hidden="1">#REF!</definedName>
    <definedName name="_59__123Graph_FChart_1A" hidden="1">#REF!</definedName>
    <definedName name="_6_____123Graph_B__200__D50" hidden="1">#REF!</definedName>
    <definedName name="_6____123Graph_B__200__D50" hidden="1">#REF!</definedName>
    <definedName name="_6__123Graph_AEFICIENCIA_1" hidden="1">#REF!</definedName>
    <definedName name="_6__123Graph_AGRAFICO_2" hidden="1">#REF!</definedName>
    <definedName name="_6__123Graph_AGRAFICO_3" hidden="1">#REF!</definedName>
    <definedName name="_6__123Graph_ANET_ACUM" hidden="1">#REF!</definedName>
    <definedName name="_6__123Graph_B__200__BPF" hidden="1">#REF!</definedName>
    <definedName name="_6__123Graph_B__200__D50" hidden="1">#REF!</definedName>
    <definedName name="_6__123Graph_CChart_1A" hidden="1">#REF!</definedName>
    <definedName name="_6__123Graph_FChart_1A" hidden="1">#REF!</definedName>
    <definedName name="_60_____123Graph_C__200__BPF" hidden="1">#REF!</definedName>
    <definedName name="_60___123Graph_X__200__BPF" hidden="1">#REF!</definedName>
    <definedName name="_60__123Graph_X__200__BPF" hidden="1">#REF!</definedName>
    <definedName name="_61_____123Graph_C__200__D50" hidden="1">#REF!</definedName>
    <definedName name="_61___123Graph_X__200__D50" hidden="1">#REF!</definedName>
    <definedName name="_61__123Graph_X__200__D50" hidden="1">#REF!</definedName>
    <definedName name="_62_____123Graph_CGRANULOMETRIA_1" hidden="1">#REF!</definedName>
    <definedName name="_62___123Graph_XEFICIENCIA_1" hidden="1">#REF!</definedName>
    <definedName name="_62__123Graph_XEFICIENCIA_1" hidden="1">#REF!</definedName>
    <definedName name="_63_____123Graph_D__200__BPF" hidden="1">#REF!</definedName>
    <definedName name="_63___123Graph_XGRANULOMETRIA_1" hidden="1">#REF!</definedName>
    <definedName name="_63__123Graph_XGRANULOMETRIA_1" hidden="1">#REF!</definedName>
    <definedName name="_64_____123Graph_D__200__D50" hidden="1">#REF!</definedName>
    <definedName name="_64__123Graph_A__200__BPF" hidden="1">#REF!</definedName>
    <definedName name="_65_____123Graph_E__200__BPF" hidden="1">#REF!</definedName>
    <definedName name="_65__123Graph_A__200__D50" hidden="1">#REF!</definedName>
    <definedName name="_66_____123Graph_E__200__D50" hidden="1">#REF!</definedName>
    <definedName name="_66__123Graph_AEFICIENCIA_1" hidden="1">#REF!</definedName>
    <definedName name="_67_____123Graph_F__200__BPF" hidden="1">#REF!</definedName>
    <definedName name="_67__123Graph_AGRANULOMETRIA_1" hidden="1">#REF!</definedName>
    <definedName name="_68_____123Graph_F__200__D50" hidden="1">#REF!</definedName>
    <definedName name="_68__123Graph_B__200__BPF" hidden="1">#REF!</definedName>
    <definedName name="_68__123Graph_XChart_1A" hidden="1">#REF!</definedName>
    <definedName name="_69_____123Graph_X__200__BPF" hidden="1">#REF!</definedName>
    <definedName name="_69__123Graph_B__200__D50" hidden="1">#REF!</definedName>
    <definedName name="_69__123Graph_XEFICIENCIA_1" hidden="1">#REF!</definedName>
    <definedName name="_7_____123Graph_BEFICIENCIA_1" hidden="1">#REF!</definedName>
    <definedName name="_7____123Graph_BEFICIENCIA_1" hidden="1">#REF!</definedName>
    <definedName name="_7__123Graph_AGRAFICO_3" hidden="1">#REF!</definedName>
    <definedName name="_7__123Graph_AGRANULOMETRIA_1" hidden="1">#REF!</definedName>
    <definedName name="_7__123Graph_B__200__D50" hidden="1">#REF!</definedName>
    <definedName name="_7__123Graph_BEFICIENCIA_1" hidden="1">#REF!</definedName>
    <definedName name="_7__123Graph_XChart_1A" hidden="1">#REF!</definedName>
    <definedName name="_70_____123Graph_X__200__D50" hidden="1">#REF!</definedName>
    <definedName name="_70__123Graph_BEFICIENCIA_1" hidden="1">#REF!</definedName>
    <definedName name="_70__123Graph_XGRANULOMETRIA_1" hidden="1">#REF!</definedName>
    <definedName name="_71_____123Graph_XEFICIENCIA_1" hidden="1">#REF!</definedName>
    <definedName name="_71__123Graph_BGRANULOMETRIA_1" hidden="1">#REF!</definedName>
    <definedName name="_71_0_S" hidden="1">#REF!</definedName>
    <definedName name="_72_____123Graph_XGRAFICO_2" hidden="1">#REF!</definedName>
    <definedName name="_72__123Graph_C__200__BPF" hidden="1">#REF!</definedName>
    <definedName name="_73_____123Graph_XGRAFICO_3" hidden="1">#REF!</definedName>
    <definedName name="_73__123Graph_C__200__D50" hidden="1">#REF!</definedName>
    <definedName name="_74_____123Graph_XGRANULOMETRIA_1" hidden="1">#REF!</definedName>
    <definedName name="_74__123Graph_CGRANULOMETRIA_1" hidden="1">#REF!</definedName>
    <definedName name="_75__123Graph_D__200__BPF" hidden="1">#REF!</definedName>
    <definedName name="_76__123Graph_D__200__D50" hidden="1">#REF!</definedName>
    <definedName name="_77__123Graph_E__200__BPF" hidden="1">#REF!</definedName>
    <definedName name="_78__123Graph_E__200__D50" hidden="1">#REF!</definedName>
    <definedName name="_79__123Graph_F__200__BPF" hidden="1">#REF!</definedName>
    <definedName name="_8_____123Graph_BGRANULOMETRIA_1" hidden="1">#REF!</definedName>
    <definedName name="_8____123Graph_BGRANULOMETRIA_1" hidden="1">#REF!</definedName>
    <definedName name="_8__123Graph_AGRANULOMETRIA_1" hidden="1">#REF!</definedName>
    <definedName name="_8__123Graph_B__200__BPF" hidden="1">#REF!</definedName>
    <definedName name="_8__123Graph_BChart_1A" hidden="1">#REF!</definedName>
    <definedName name="_8__123Graph_BGRANULOMETRIA_1" hidden="1">#REF!</definedName>
    <definedName name="_8__123Graph_DChart_1A" hidden="1">#REF!</definedName>
    <definedName name="_80__123Graph_F__200__D50" hidden="1">#REF!</definedName>
    <definedName name="_81__123Graph_X__200__BPF" hidden="1">#REF!</definedName>
    <definedName name="_82__123Graph_X__200__D50" hidden="1">#REF!</definedName>
    <definedName name="_83__123Graph_XEFICIENCIA_1" hidden="1">#REF!</definedName>
    <definedName name="_84__123Graph_XGRANULOMETRIA_1" hidden="1">#REF!</definedName>
    <definedName name="_9_____123Graph_C__200__BPF" hidden="1">#REF!</definedName>
    <definedName name="_9____123Graph_C__200__BPF" hidden="1">#REF!</definedName>
    <definedName name="_9__123Graph_AChart_1A" hidden="1">#REF!</definedName>
    <definedName name="_9__123Graph_B__200__BPF" hidden="1">#REF!</definedName>
    <definedName name="_9__123Graph_B__200__D50" hidden="1">#REF!</definedName>
    <definedName name="_9__123Graph_BEFICIENCIA_1" hidden="1">#REF!</definedName>
    <definedName name="_9__123Graph_BNET_ACUM" hidden="1">#REF!</definedName>
    <definedName name="_9__123Graph_C__200__BPF" hidden="1">#REF!</definedName>
    <definedName name="_A">#REF!</definedName>
    <definedName name="_aa">#REF!</definedName>
    <definedName name="_ACT1">#REF!</definedName>
    <definedName name="_ACT10">#REF!</definedName>
    <definedName name="_ACT11">#REF!</definedName>
    <definedName name="_ACT12">#REF!</definedName>
    <definedName name="_ACT13">#REF!</definedName>
    <definedName name="_ACT14">#REF!</definedName>
    <definedName name="_ACT15">#REF!</definedName>
    <definedName name="_ACT16">#REF!</definedName>
    <definedName name="_ACT17">#REF!</definedName>
    <definedName name="_ACT18">#REF!</definedName>
    <definedName name="_ACT19">#REF!</definedName>
    <definedName name="_ACT2">#REF!</definedName>
    <definedName name="_ACT20">#REF!</definedName>
    <definedName name="_ACT21">#REF!</definedName>
    <definedName name="_ACT22">#REF!</definedName>
    <definedName name="_ACT23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L20D9BE10">#REF!</definedName>
    <definedName name="_AL20E0DD71">#REF!</definedName>
    <definedName name="_AL20E0DD72">#REF!</definedName>
    <definedName name="_AL20E0DD73">#REF!</definedName>
    <definedName name="_AL20E0DD89">#REF!</definedName>
    <definedName name="_AL20E0DE74">#REF!</definedName>
    <definedName name="_ALT2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1077</definedName>
    <definedName name="_AtRisk_SimSetting_SimName001" hidden="1">"Sim 1"</definedName>
    <definedName name="_AtRisk_SimSetting_SimName002" hidden="1">"Sim 2"</definedName>
    <definedName name="_AtRisk_SimSetting_SimName003" hidden="1">"Sim 3"</definedName>
    <definedName name="_AtRisk_SimSetting_SimName004" hidden="1">"Sim 4"</definedName>
    <definedName name="_AtRisk_SimSetting_SimName005" hidden="1">"Sim 5"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2">#REF!</definedName>
    <definedName name="_Base_datos_a_filtrar" hidden="1">#REF!</definedName>
    <definedName name="_bgf5" hidden="1">{"MO(BASE)",#N/A,FALSE,"MO(BASE)";"MO(BASE)1",#N/A,FALSE,"MO(BASE)";"MO(BASE)2",#N/A,FALSE,"MO(BASE)"}</definedName>
    <definedName name="_BOX2">#REF!,#REF!</definedName>
    <definedName name="_bs34" hidden="1">{"CI+GG(BASE)",#N/A,FALSE,"CI+GG(BASE)";"GG",#N/A,FALSE,"CI+GG(BASE)";"CI",#N/A,FALSE,"CI+GG(BASE)"}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42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5" hidden="1">{#N/A,#N/A,FALSE,"PEND INC";#N/A,#N/A,FALSE,"PEND MINM"}</definedName>
    <definedName name="_DSD4" hidden="1">{#N/A,#N/A,FALSE,"PEND INC";#N/A,#N/A,FALSE,"PEND MINM"}</definedName>
    <definedName name="_equ1" hidden="1">{#N/A,#N/A,TRUE,"Est. de Fact.";#N/A,#N/A,TRUE,"Capitulo 19";#N/A,#N/A,TRUE,"Proyecto P855"}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hidden="1">{"MO(BASE)",#N/A,FALSE,"MO(BASE)";"MO(BASE)1",#N/A,FALSE,"MO(BASE)";"MO(BASE)2",#N/A,FALSE,"MO(BASE)"}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localSheetId="10" hidden="1">EIMI!$A$4:$T$59</definedName>
    <definedName name="_xlnm._FilterDatabase" localSheetId="0" hidden="1">Hoja1!$A$2:$E$89</definedName>
    <definedName name="_xlnm._FilterDatabase" localSheetId="8" hidden="1">Proyeccion!$B$4:$J$37</definedName>
    <definedName name="_xlnm._FilterDatabase" hidden="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RF55" hidden="1">{"MO(BASE)",#N/A,FALSE,"MO(BASE)";"MO(BASE)1",#N/A,FALSE,"MO(BASE)";"MO(BASE)2",#N/A,FALSE,"MO(BASE)"}</definedName>
    <definedName name="_gvs4" hidden="1">{#N/A,#N/A,FALSE,"PEND INC";#N/A,#N/A,FALSE,"PEND MINM"}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1a" hidden="1">#REF!</definedName>
    <definedName name="_Key2" hidden="1">#REF!</definedName>
    <definedName name="_Key2a" hidden="1">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PAG02">#REF!</definedName>
    <definedName name="_PAG03">#REF!</definedName>
    <definedName name="_PAG04">#REF!</definedName>
    <definedName name="_PAG05">#REF!</definedName>
    <definedName name="_Parse_In" hidden="1">#REF!</definedName>
    <definedName name="_Parse_Out" hidden="1">#REF!</definedName>
    <definedName name="_PG3">#REF!</definedName>
    <definedName name="_PG4">#REF!</definedName>
    <definedName name="_PG5">#REF!</definedName>
    <definedName name="_pp1" hidden="1">{#N/A,#N/A,FALSE,"Costos_Elem_Hid";#N/A,#N/A,FALSE,"Costos_Elem_Hid";#N/A,#N/A,FALSE,"Costos_Elem_Hid"}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#REF!</definedName>
    <definedName name="_PU2000">#REF!</definedName>
    <definedName name="_PU2001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2010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3">#REF!</definedName>
    <definedName name="_res4">#REF!</definedName>
    <definedName name="_REV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R">#REF!</definedName>
    <definedName name="_Sort" hidden="1">#REF!</definedName>
    <definedName name="_sort2" hidden="1">#REF!</definedName>
    <definedName name="_Sorta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SA021">#REF!</definedName>
    <definedName name="_TSA022">#REF!</definedName>
    <definedName name="_TSA023">#REF!</definedName>
    <definedName name="_TSA024">#REF!</definedName>
    <definedName name="_TSA040">#REF!</definedName>
    <definedName name="_TSA050">#REF!</definedName>
    <definedName name="_TSA060">#REF!</definedName>
    <definedName name="_TSA070">#REF!</definedName>
    <definedName name="_TSA080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f1">#REF!</definedName>
    <definedName name="_UN1">#REF!</definedName>
    <definedName name="_us96">#REF!</definedName>
    <definedName name="_utm1">#REF!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hidden="1">{"MO(BASE)",#N/A,FALSE,"MO(BASE)";"MO(BASE)1",#N/A,FALSE,"MO(BASE)";"MO(BASE)2",#N/A,FALSE,"MO(BASE)"}</definedName>
    <definedName name="_wrn1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{#N/A,#N/A,FALSE,"Total_OC015";#N/A,#N/A,FALSE,"ADMIN";#N/A,#N/A,FALSE,"PROCES";#N/A,#N/A,FALSE,"mecan";#N/A,#N/A,FALSE,"civil";#N/A,#N/A,FALSE,"CAÑER";#N/A,#N/A,FALSE,"ELEC";#N/A,#N/A,FALSE,"INSTR"}</definedName>
    <definedName name="A_impresión_IM">#REF!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a" hidden="1">{#N/A,#N/A,FALSE,"summary";#N/A,#N/A,FALSE,"SumGraph"}</definedName>
    <definedName name="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sfalt">#REF!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hidden="1">{#N/A,#N/A,TRUE,"Costos_Subg_Hid"}</definedName>
    <definedName name="ABases">#REF!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cacac" hidden="1">{#N/A,#N/A,FALSE,"Costos_Elem_Hid";#N/A,#N/A,FALSE,"Costos_Elem_Hid";#N/A,#N/A,FALSE,"Costos_Elem_Hid"}</definedName>
    <definedName name="A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essDatabase" hidden="1">"C:\홍성일\주간공정\96-10142.mdb"</definedName>
    <definedName name="ACD" hidden="1">{#N/A,#N/A,FALSE,"Cargas"}</definedName>
    <definedName name="aceites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ON">#REF!</definedName>
    <definedName name="ACT">#REF!</definedName>
    <definedName name="ACT_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wvu.GAITHERSBURG._.OFFICE." hidden="1">#REF!</definedName>
    <definedName name="ACwvu.garo_graph." hidden="1">#REF!</definedName>
    <definedName name="ACwvu.garo_personnel." hidden="1">#REF!</definedName>
    <definedName name="ACwvu.headcount._.change." hidden="1">#REF!</definedName>
    <definedName name="ACwvu.personnel._.by._.location." hidden="1">#REF!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adad" hidden="1">{#N/A,#N/A,FALSE,"Costos_Elem_Hid";#N/A,#N/A,FALSE,"Costos_Elem_Hid";#N/A,#N/A,FALSE,"Costos_Elem_Hid"}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ios" hidden="1">{"ARA1",#N/A,FALSE,"ENG-ARA";"ARAhours",#N/A,FALSE,"ENG-ARA";"ARA$",#N/A,FALSE,"ENG-ARA"}</definedName>
    <definedName name="ADITION" hidden="1">{"'장비'!$A$3:$M$12"}</definedName>
    <definedName name="adsd" hidden="1">{#N/A,#N/A,FALSE,"Costos_Elem_Hid";#N/A,#N/A,FALSE,"Costos_Elem_Hid";#N/A,#N/A,FALSE,"Costos_Elem_Hid"}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hidden="1">{"Sin detalle",#N/A,FALSE,"Flujo (redondeado)"}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hidden="1">{#N/A,#N/A,FALSE,"summary";#N/A,#N/A,FALSE,"SumGraph"}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afafafa" hidden="1">{#N/A,#N/A,FALSE,"Costos_Elem_Hid";#N/A,#N/A,FALSE,"Costos_Elem_Hid";#N/A,#N/A,FALSE,"Costos_Elem_Hid"}</definedName>
    <definedName name="AFP">#REF!</definedName>
    <definedName name="ag" hidden="1">{#N/A,#N/A,FALSE,"PXP-TOTAL Modif";"vis2",#N/A,FALSE,"PXP-AÑO";"Vis1",#N/A,FALSE,"PXP-AÑO"}</definedName>
    <definedName name="agagagag" hidden="1">{#N/A,#N/A,FALSE,"Costos_Elem_Hid";#N/A,#N/A,FALSE,"Costos_Elem_Hid";#N/A,#N/A,FALSE,"Costos_Elem_Hid"}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hidden="1">{#N/A,#N/A,FALSE,"Costos_Elem_Hid";#N/A,#N/A,FALSE,"Costos_Elem_Hid";#N/A,#N/A,FALSE,"Costos_Elem_Hid"}</definedName>
    <definedName name="AHormg">#REF!</definedName>
    <definedName name="AIMP">#REF!</definedName>
    <definedName name="ajajajaj" hidden="1">{#N/A,#N/A,TRUE,"Costos_Subg_Hid"}</definedName>
    <definedName name="akakakak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a">#REF!</definedName>
    <definedName name="alkdj" hidden="1">{#N/A,#N/A,FALSE,"Matrix";#N/A,#N/A,FALSE,"Executive";#N/A,#N/A,FALSE,"Summary"}</definedName>
    <definedName name="alo" hidden="1">#REF!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LTURA">#REF!</definedName>
    <definedName name="amamamama" hidden="1">{#N/A,#N/A,FALSE,"Costos_Elem_Hid";#N/A,#N/A,FALSE,"Costos_Elem_Hid";#N/A,#N/A,FALSE,"Costos_Elem_Hid"}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hidden="1">{"MO(BASE)",#N/A,FALSE,"MO(BASE)";"MO(BASE)1",#N/A,FALSE,"MO(BASE)";"MO(BASE)2",#N/A,FALSE,"MO(BASE)"}</definedName>
    <definedName name="ANAC">#REF!</definedName>
    <definedName name="anananan" hidden="1">{#N/A,#N/A,FALSE,"Costos_Elem_Hid";#N/A,#N/A,FALSE,"Costos_Elem_Hid";#N/A,#N/A,FALSE,"Costos_Elem_Hid"}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EXO3A1">#REF!</definedName>
    <definedName name="ANEXO3A2">#REF!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ño">#REF!</definedName>
    <definedName name="año_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P_DAT">#REF!</definedName>
    <definedName name="AP_DET">#REF!</definedName>
    <definedName name="API">#REF!</definedName>
    <definedName name="APLICA_VIATICO">#REF!</definedName>
    <definedName name="AQ">#REF!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hidden="1">{#N/A,#N/A,TRUE,"Costos_Subg_Hid"}</definedName>
    <definedName name="aqqqqqqqqqq" hidden="1">{"Graf_Carga Trab",#N/A,FALSE,"Grafi_Carga Trab";"Graf_Venta Flujo",#N/A,FALSE,"Grafi_Carga Trab"}</definedName>
    <definedName name="AR">#REF!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área" hidden="1">{"Sin detalle",#N/A,FALSE,"Flujo (redondeado)";"Detallado",#N/A,FALSE,"Flujo (redondeado)"}</definedName>
    <definedName name="_xlnm.Extract">#REF!</definedName>
    <definedName name="AREA_DE_IMPRESI">#REF!</definedName>
    <definedName name="_xlnm.Print_Area" localSheetId="2">'Formato General'!$B$1:$N$85</definedName>
    <definedName name="_xlnm.Print_Area" localSheetId="0">Hoja1!$A$2:$E$89</definedName>
    <definedName name="_xlnm.Print_Area">#REF!</definedName>
    <definedName name="Area_Impresion">#REF!</definedName>
    <definedName name="area2">#REF!</definedName>
    <definedName name="AREA3">#REF!</definedName>
    <definedName name="area4">#REF!</definedName>
    <definedName name="AreaEightThreeZero">#REF!</definedName>
    <definedName name="AreaFiveOneZero">#REF!</definedName>
    <definedName name="AreaFiveSevenZero">#REF!</definedName>
    <definedName name="AreaFiveTwoZero">#REF!</definedName>
    <definedName name="AreaFourFourZero">#REF!</definedName>
    <definedName name="AreaFourOneZero">#REF!</definedName>
    <definedName name="AreaFourTwoZero">#REF!</definedName>
    <definedName name="AreaNineEightFour">#REF!</definedName>
    <definedName name="AreaNineEightTwo">#REF!</definedName>
    <definedName name="AreaNineEightZero">#REF!</definedName>
    <definedName name="AreaNineFourZero">#REF!</definedName>
    <definedName name="AreaNineNineZero">#REF!</definedName>
    <definedName name="AreaNineSixZero">#REF!</definedName>
    <definedName name="AreaNineThreeZero">#REF!</definedName>
    <definedName name="AreaNineTwoZero">#REF!</definedName>
    <definedName name="AreaOneOneZero">#REF!</definedName>
    <definedName name="AreaOneThreeZero">#REF!</definedName>
    <definedName name="AreaOneTwoZero">#REF!</definedName>
    <definedName name="AreaSevenFiveZero">#REF!</definedName>
    <definedName name="AreaSevenFourZero">#REF!</definedName>
    <definedName name="AreaThreeFiveFive">#REF!</definedName>
    <definedName name="AreaThreeFiveFour">#REF!</definedName>
    <definedName name="AreaThreeFiveOne">#REF!</definedName>
    <definedName name="AreaThreeFiveSeven">#REF!</definedName>
    <definedName name="AreaThreeFiveSix">#REF!</definedName>
    <definedName name="AreaThreeFiveThree">#REF!</definedName>
    <definedName name="AreaThreeFiveTwo">#REF!</definedName>
    <definedName name="AreaThreeNineZero">#REF!</definedName>
    <definedName name="AreaThreeSevenFive">#REF!</definedName>
    <definedName name="AreaThreeSevenFour">#REF!</definedName>
    <definedName name="AreaThreeSevenOne">#REF!</definedName>
    <definedName name="AreaThreeSevenThree">#REF!</definedName>
    <definedName name="AreaThreeThreeFive">#REF!</definedName>
    <definedName name="AreaThreeThreeFour">#REF!</definedName>
    <definedName name="AreaThreeThreeOne">#REF!</definedName>
    <definedName name="AreaThreeThreeSix">#REF!</definedName>
    <definedName name="AreaThreeThreeThree">#REF!</definedName>
    <definedName name="AreaThreeThreeTwo">#REF!</definedName>
    <definedName name="AreaThreeTwoOne">#REF!</definedName>
    <definedName name="AreaThreeTwoTwo">#REF!</definedName>
    <definedName name="AreaTwoEightZero">#REF!</definedName>
    <definedName name="AreaTwoFiveZero">#REF!</definedName>
    <definedName name="AreaTwoFourZero">#REF!</definedName>
    <definedName name="AreaTwoOneZero">#REF!</definedName>
    <definedName name="AreaTwoThreeZero">#REF!</definedName>
    <definedName name="AreaTwoTwoZero">#REF!</definedName>
    <definedName name="ariel" hidden="1">{"CI+GG(BASE)",#N/A,FALSE,"CI+GG(BASE)";"GG",#N/A,FALSE,"CI+GG(BASE)";"CI",#N/A,FALSE,"CI+GG(BASE)"}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hidden="1">{#N/A,#N/A,FALSE,"Costos_Elem_Hid";#N/A,#N/A,FALSE,"Costos_Elem_Hid";#N/A,#N/A,FALSE,"Costos_Elem_Hid"}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hidden="1">{"Sin detalle",#N/A,FALSE,"Flujo (redondeado)"}</definedName>
    <definedName name="asasas_1" hidden="1">{"Sin detalle",#N/A,FALSE,"Flujo (redondeado)"}</definedName>
    <definedName name="ASASAS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#REF!</definedName>
    <definedName name="ASDF" hidden="1">{"Sin detalle",#N/A,FALSE,"Flujo (redondeado)";"Detallado",#N/A,FALSE,"Flujo (redondeado)"}</definedName>
    <definedName name="asdw" hidden="1">{#N/A,#N/A,TRUE,"Est. de Fact.";#N/A,#N/A,TRUE,"Capitulo 19";#N/A,#N/A,TRUE,"Proyecto P855"}</definedName>
    <definedName name="ASF" hidden="1">#REF!</definedName>
    <definedName name="ASFDFADSF" hidden="1">{"Sin detalle",#N/A,FALSE,"Flujo (redondeado)";"Detallado",#N/A,FALSE,"Flujo (redondeado)"}</definedName>
    <definedName name="asfew" hidden="1">#REF!</definedName>
    <definedName name="asssad" hidden="1">{#N/A,#N/A,TRUE,"Est. de Fact.";#N/A,#N/A,TRUE,"Capitulo 19";#N/A,#N/A,TRUE,"Proyecto P855"}</definedName>
    <definedName name="assvdsvdsdsv" hidden="1">{"desarrollo",#N/A,FALSE,"LHD Camión";"eqdllo",#N/A,FALSE,"LHD Camión";"eqprod",#N/A,FALSE,"LHD Camión";"Resumen",#N/A,FALSE,"LHD Camión"}</definedName>
    <definedName name="assylabor">#REF!</definedName>
    <definedName name="avance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vav" hidden="1">{#N/A,#N/A,FALSE,"Costos_Elem_Hid";#N/A,#N/A,FALSE,"Costos_Elem_Hid";#N/A,#N/A,FALSE,"Costos_Elem_Hid"}</definedName>
    <definedName name="avbbb" hidden="1">{"Sin detalle",#N/A,FALSE,"Flujo (redondeado)";"Detallado",#N/A,FALSE,"Flujo (redondeado)"}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wawawaw" hidden="1">{#N/A,#N/A,FALSE,"Costos_Elem_Hid";#N/A,#N/A,FALSE,"Costos_Elem_Hid";#N/A,#N/A,FALSE,"Costos_Elem_Hid"}</definedName>
    <definedName name="axadrra" hidden="1">{"Sin detalle",#N/A,FALSE,"Flujo (redondeado)"}</definedName>
    <definedName name="axaxax" hidden="1">{"'Hoja3'!$F$5"}</definedName>
    <definedName name="axxx">#REF!</definedName>
    <definedName name="ayu">#REF!</definedName>
    <definedName name="azaza" hidden="1">{"'Hoja3'!$F$5"}</definedName>
    <definedName name="AZAZAZ" hidden="1">{"Sin detalle",#N/A,FALSE,"Flujo (redondeado)"}</definedName>
    <definedName name="AZAZAZ_1" hidden="1">{"Sin detalle",#N/A,FALSE,"Flujo (redondeado)"}</definedName>
    <definedName name="b" hidden="1">{#N/A,#N/A,FALSE,"summary";#N/A,#N/A,FALSE,"SumGraph"}</definedName>
    <definedName name="BAJADAS1" hidden="1">{#N/A,#N/A,FALSE,"MAQUINA"}</definedName>
    <definedName name="BAS">#REF!</definedName>
    <definedName name="BASE">#REF!</definedName>
    <definedName name="Base_excavaciones" hidden="1">{"Sin detalle",#N/A,FALSE,"Flujo (redondeado)";"Detallado",#N/A,FALSE,"Flujo (redondeado)"}</definedName>
    <definedName name="_xlnm.Database">#REF!</definedName>
    <definedName name="BASES">#REF!</definedName>
    <definedName name="bb" hidden="1">{"Sin detalle",#N/A,FALSE,"Flujo (redondeado)";"Detallado",#N/A,FALSE,"Flujo (redondeado)"}</definedName>
    <definedName name="bb_1" hidden="1">{"Sin detalle",#N/A,FALSE,"Flujo (redondeado)";"Detallado",#N/A,FALSE,"Flujo (redondeado)"}</definedName>
    <definedName name="bb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hidden="1">{#N/A,#N/A,FALSE,"Hoja1";#N/A,#N/A,FALSE,"Hoja2";#N/A,#N/A,FALSE,"Hoja3";#N/A,#N/A,FALSE,"Hoja4";#N/A,#N/A,FALSE,"Hoja5";#N/A,#N/A,FALSE,"Hoja6"}</definedName>
    <definedName name="BLOQUE">#REF!</definedName>
    <definedName name="BM" hidden="1">#REF!</definedName>
    <definedName name="bnm" hidden="1">{#N/A,#N/A,TRUE,"Est. de Fact.";#N/A,#N/A,TRUE,"Capitulo 19";#N/A,#N/A,TRUE,"Proyecto P855"}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NO_MANDANTE">#REF!</definedName>
    <definedName name="BONO_MES">#REF!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tón2_AlHacerClic">#REF!</definedName>
    <definedName name="Bruno" hidden="1">#REF!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hidden="1">{"MO(BASE)",#N/A,FALSE,"MO(BASE)";"MO(BASE)1",#N/A,FALSE,"MO(BASE)";"MO(BASE)2",#N/A,FALSE,"MO(BASE)"}</definedName>
    <definedName name="CAC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hidden="1">{#N/A,#N/A,TRUE,"Est. de Fact.";#N/A,#N/A,TRUE,"Capitulo 19";#N/A,#N/A,TRUE,"Proyecto P855"}</definedName>
    <definedName name="CAJA" hidden="1">{#N/A,#N/A,TRUE,"Costos_Subg_Hid"}</definedName>
    <definedName name="CAJA1" hidden="1">{#N/A,#N/A,FALSE,"Costos_Elem_Hid";#N/A,#N/A,FALSE,"Costos_Elem_Hid";#N/A,#N/A,FALSE,"Costos_Elem_Hid"}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AMENTO">#REF!</definedName>
    <definedName name="CANH">#REF!</definedName>
    <definedName name="CANT">#REF!</definedName>
    <definedName name="CANT_TOTAL">#REF!</definedName>
    <definedName name="CANT_UNIT">#REF!</definedName>
    <definedName name="cap">#REF!</definedName>
    <definedName name="CAPACITACION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">#REF!</definedName>
    <definedName name="carlos" hidden="1">{#N/A,#N/A,FALSE,"Matrix";#N/A,#N/A,FALSE,"Executive";#N/A,#N/A,FALSE,"Summary"}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t">#REF!</definedName>
    <definedName name="CATEG">#REF!</definedName>
    <definedName name="CBWorkbookPriority" hidden="1">-255091826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" hidden="1">{#N/A,#N/A,TRUE,"Costos_Subg_Hid"}</definedName>
    <definedName name="cde" hidden="1">{#N/A,#N/A,FALSE,"Cargas"}</definedName>
    <definedName name="CESANTIA">#REF!</definedName>
    <definedName name="cfvfsd" hidden="1">{#N/A,#N/A,TRUE,"Costos_Subg_Hid"}</definedName>
    <definedName name="CHANCADO" hidden="1">{"'Hoja3'!$F$5"}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IVIL">#REF!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ASIN" hidden="1">{#N/A,#N/A,FALSE,"Graficos"}</definedName>
    <definedName name="COCHILCO" hidden="1">{#N/A,#N/A,TRUE,"Est. de Fact.";#N/A,#N/A,TRUE,"Capitulo 19";#N/A,#N/A,TRUE,"Proyecto P855"}</definedName>
    <definedName name="COD">#REF!</definedName>
    <definedName name="comp1" hidden="1">{#N/A,#N/A,FALSE,"Matrix";#N/A,#N/A,FALSE,"Executive";#N/A,#N/A,FALSE,"Summary"}</definedName>
    <definedName name="Comparacion" hidden="1">{#N/A,#N/A,FALSE,"Matrix";#N/A,#N/A,FALSE,"Executive";#N/A,#N/A,FALSE,"Summary"}</definedName>
    <definedName name="COMPLEJIDAD">#REF!</definedName>
    <definedName name="CON">#REF!</definedName>
    <definedName name="CONSO" hidden="1">{"MO(BASE)",#N/A,FALSE,"MO(BASE)";"MO(BASE)1",#N/A,FALSE,"MO(BASE)";"MO(BASE)2",#N/A,FALSE,"MO(BASE)"}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_150">#REF!</definedName>
    <definedName name="Cont_ObrasNuevas">#REF!</definedName>
    <definedName name="Cont_ON">#REF!</definedName>
    <definedName name="Cont_Sup_150">#REF!</definedName>
    <definedName name="CONT_UTI">#REF!</definedName>
    <definedName name="CONT1">#REF!</definedName>
    <definedName name="CONT2">#REF!</definedName>
    <definedName name="CONT3">#REF!</definedName>
    <definedName name="CONT4">#REF!</definedName>
    <definedName name="CONT5">#REF!</definedName>
    <definedName name="CONT6">#REF!</definedName>
    <definedName name="CONT7">#REF!</definedName>
    <definedName name="CONT8">#REF!</definedName>
    <definedName name="CONT9">#REF!</definedName>
    <definedName name="CONTING">#REF!</definedName>
    <definedName name="Contingencia_150">#REF!</definedName>
    <definedName name="CONTINGENCIA_CLIENTE">#REF!</definedName>
    <definedName name="contrato">#REF!</definedName>
    <definedName name="control" hidden="1">{#N/A,#N/A,FALSE,"Graficos"}</definedName>
    <definedName name="CORG">#REF!</definedName>
    <definedName name="Correas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_UNIT">#REF!</definedName>
    <definedName name="COSTO_HD">#REF!</definedName>
    <definedName name="Costos">#REF!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PER">#REF!</definedName>
    <definedName name="cperr">#REF!</definedName>
    <definedName name="CRC">#REF!</definedName>
    <definedName name="_xlnm.Criteria">#REF!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O">#REF!</definedName>
    <definedName name="CTOBONOIIIUNIT">#REF!</definedName>
    <definedName name="CTTO">#REF!</definedName>
    <definedName name="CUADRILLAS">#REF!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entas">#REF!</definedName>
    <definedName name="CUNIT" hidden="1">{#N/A,#N/A,TRUE,"Costos_Subg_Hid"}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stomer_name">#REF!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hidden="1">{#N/A,#N/A,FALSE,"Matrix";#N/A,#N/A,FALSE,"Executive";#N/A,#N/A,FALSE,"Summary"}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hidden="1">{#N/A,#N/A,FALSE,"Matrix";#N/A,#N/A,FALSE,"Executive";#N/A,#N/A,FALSE,"Summary"}</definedName>
    <definedName name="cute4" hidden="1">{#N/A,#N/A,FALSE,"Matrix";#N/A,#N/A,FALSE,"Executive";#N/A,#N/A,FALSE,"Summary"}</definedName>
    <definedName name="cute5" hidden="1">{"ARA1",#N/A,FALSE,"ENG-ARA";"ARAhours",#N/A,FALSE,"ENG-ARA";"ARA$",#N/A,FALSE,"ENG-ARA"}</definedName>
    <definedName name="cute6" hidden="1">{"bechtel1",#N/A,TRUE,"BECHTEL";"bechtelhours",#N/A,TRUE,"BECHTEL";"bechtel$",#N/A,TRUE,"BECHTEL"}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hidden="1">{#N/A,#N/A,FALSE,"subcontract"}</definedName>
    <definedName name="cvbdj5643">#REF!</definedName>
    <definedName name="Cwvu.ROLLING._.3._.MONTH._.FCST." hidden="1">#REF!,#REF!</definedName>
    <definedName name="CYM">#REF!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hidden="1">{#N/A,#N/A,FALSE,"summary";#N/A,#N/A,FALSE,"SumGraph"}</definedName>
    <definedName name="D_AR">#REF!</definedName>
    <definedName name="D_AREA">#REF!</definedName>
    <definedName name="D_CODE">#REF!</definedName>
    <definedName name="D_DIV">#REF!</definedName>
    <definedName name="D_JP">#REF!</definedName>
    <definedName name="D_PR">#REF!</definedName>
    <definedName name="D_SAP">#REF!</definedName>
    <definedName name="DA">#REF!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dad">#REF!</definedName>
    <definedName name="dadasd" hidden="1">{#N/A,#N/A,FALSE,"Costos_Elem_Hid";#N/A,#N/A,FALSE,"Costos_Elem_Hid";#N/A,#N/A,FALSE,"Costos_Elem_Hid"}</definedName>
    <definedName name="DAJ">#REF!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ds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T">#REF!</definedName>
    <definedName name="DATA">#REF!</definedName>
    <definedName name="date">#REF!</definedName>
    <definedName name="DATOS">#REF!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B_CALC">#REF!</definedName>
    <definedName name="DB_EP">#REF!</definedName>
    <definedName name="DB_PED">#REF!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ATE">#REF!</definedName>
    <definedName name="DDD" hidden="1">{#N/A,#N/A,FALSE,"summary";#N/A,#N/A,FALSE,"SumGraph"}</definedName>
    <definedName name="ddd_1" hidden="1">{"Sin detalle",#N/A,FALSE,"Flujo (redondeado)";"Detallado",#N/A,FALSE,"Flujo (redondeado)"}</definedName>
    <definedName name="dddd" hidden="1">{#N/A,#N/A,FALSE,"Costos_Elem_Hid";#N/A,#N/A,FALSE,"Costos_Elem_Hid";#N/A,#N/A,FALSE,"Costos_Elem_Hid"}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DDDD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ES">#REF!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hidden="1">#REF!</definedName>
    <definedName name="de" hidden="1">{"CI+GG(BASE)",#N/A,FALSE,"CI+GG(BASE)";"GG",#N/A,FALSE,"CI+GG(BASE)";"CI",#N/A,FALSE,"CI+GG(BASE)"}</definedName>
    <definedName name="deded" hidden="1">{"MO(BASE)",#N/A,FALSE,"MO(BASE)";"MO(BASE)1",#N/A,FALSE,"MO(BASE)";"MO(BASE)2",#N/A,FALSE,"MO(BASE)"}</definedName>
    <definedName name="dep">#REF!</definedName>
    <definedName name="dep_eq_mina">#REF!</definedName>
    <definedName name="dep_otros">#REF!</definedName>
    <definedName name="der" hidden="1">{"CI+GG(BASE)",#N/A,FALSE,"CI+GG(BASE)";"GG",#N/A,FALSE,"CI+GG(BASE)";"CI",#N/A,FALSE,"CI+GG(BASE)"}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hidden="1">{#N/A,#N/A,FALSE,"summary";#N/A,#N/A,FALSE,"SumGraph"}</definedName>
    <definedName name="Dessub" hidden="1">{"MO(BASE)",#N/A,FALSE,"MO(BASE)";"MO(BASE)1",#N/A,FALSE,"MO(BASE)";"MO(BASE)2",#N/A,FALSE,"MO(BASE)"}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faf" hidden="1">{"'장비'!$A$3:$M$12"}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ECHA">#REF!</definedName>
    <definedName name="dfg" hidden="1">{#N/A,#N/A,TRUE,"Est. de Fact.";#N/A,#N/A,TRUE,"Capitulo 19";#N/A,#N/A,TRUE,"Proyecto P855"}</definedName>
    <definedName name="dfgfd" hidden="1">{#N/A,#N/A,TRUE,"Est. de Fact.";#N/A,#N/A,TRUE,"Capitulo 19";#N/A,#N/A,TRUE,"Proyecto P855"}</definedName>
    <definedName name="dfgh" hidden="1">{#N/A,#N/A,TRUE,"Costos_Subg_Hid"}</definedName>
    <definedName name="dfre" hidden="1">{#N/A,#N/A,FALSE,"PEND INC";#N/A,#N/A,FALSE,"PEND MINM"}</definedName>
    <definedName name="DIAS_TURNOMANUAL">#REF!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MCOB">#REF!</definedName>
    <definedName name="DOL">#REF!</definedName>
    <definedName name="dolar">#REF!</definedName>
    <definedName name="Dólar">#REF!</definedName>
    <definedName name="dollar">#REF!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ch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utputSumCommoditie">#REF!</definedName>
    <definedName name="DPED">#REF!</definedName>
    <definedName name="DPRG">#REF!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c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hidden="1">{#N/A,#N/A,TRUE,"Est. de Fact.";#N/A,#N/A,TRUE,"Capitulo 19";#N/A,#N/A,TRUE,"Proyecto P855"}</definedName>
    <definedName name="DSV">#REF!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TSR">#REF!</definedName>
    <definedName name="DURACION_PROYECTO">#REF!</definedName>
    <definedName name="dxl" hidden="1">{#N/A,#N/A,FALSE,"Matrix";#N/A,#N/A,FALSE,"Executive";#N/A,#N/A,FALSE,"Summary"}</definedName>
    <definedName name="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hidden="1">{"MO(BASE)",#N/A,FALSE,"MO(BASE)";"MO(BASE)1",#N/A,FALSE,"MO(BASE)";"MO(BASE)2",#N/A,FALSE,"MO(BASE)"}</definedName>
    <definedName name="ee" hidden="1">{#N/A,#N/A,FALSE,"Total_OC015";#N/A,#N/A,FALSE,"ADMIN";#N/A,#N/A,FALSE,"PROCES";#N/A,#N/A,FALSE,"mecan";#N/A,#N/A,FALSE,"civil";#N/A,#N/A,FALSE,"CAÑER";#N/A,#N/A,FALSE,"ELEC";#N/A,#N/A,FALSE,"INSTR"}</definedName>
    <definedName name="EE_1" hidden="1">{"Sin detalle",#N/A,FALSE,"Flujo (redondeado)";"Detallado",#N/A,FALSE,"Flujo (redondeado)"}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hidden="1">{#N/A,#N/A,FALSE,"Costos_Elem_Hid";#N/A,#N/A,FALSE,"Costos_Elem_Hid";#N/A,#N/A,FALSE,"Costos_Elem_Hid"}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werf" hidden="1">{#N/A,#N/A,FALSE,"Graficos"}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J" hidden="1">{#N/A,#N/A,FALSE,"Costos_Elem_Hid";#N/A,#N/A,FALSE,"Costos_Elem_Hid";#N/A,#N/A,FALSE,"Costos_Elem_Hid"}</definedName>
    <definedName name="el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leclabor">#REF!</definedName>
    <definedName name="engday">#REF!</definedName>
    <definedName name="englabor">#REF!</definedName>
    <definedName name="engplant">#REF!</definedName>
    <definedName name="engsite">#REF!</definedName>
    <definedName name="ENTREGA">#REF!</definedName>
    <definedName name="EPCHOURS" hidden="1">{#N/A,#N/A,FALSE,"subcontract"}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hidden="1">{#N/A,#N/A,FALSE,"Matrix";#N/A,#N/A,FALSE,"Executive";#N/A,#N/A,FALSE,"Summary"}</definedName>
    <definedName name="equ" hidden="1">{#N/A,#N/A,TRUE,"Est. de Fact.";#N/A,#N/A,TRUE,"Capitulo 19";#N/A,#N/A,TRUE,"Proyecto P855"}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p2" hidden="1">{"MO(BASE)",#N/A,FALSE,"MO(BASE)";"MO(BASE)1",#N/A,FALSE,"MO(BASE)";"MO(BASE)2",#N/A,FALSE,"MO(BASE)"}</definedName>
    <definedName name="equipos" hidden="1">{#N/A,#N/A,FALSE,"Total_OC015";#N/A,#N/A,FALSE,"ADMIN";#N/A,#N/A,FALSE,"PROCES";#N/A,#N/A,FALSE,"mecan";#N/A,#N/A,FALSE,"civil";#N/A,#N/A,FALSE,"CAÑER";#N/A,#N/A,FALSE,"ELEC";#N/A,#N/A,FALSE,"INSTR"}</definedName>
    <definedName name="equivalente">#REF!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reqwrqweaws" hidden="1">{"Sin detalle",#N/A,FALSE,"Flujo (redondeado)";"Detallado",#N/A,FALSE,"Flujo (redondeado)"}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fd" hidden="1">{"MO(BASE)",#N/A,FALSE,"MO(BASE)";"MO(BASE)1",#N/A,FALSE,"MO(BASE)";"MO(BASE)2",#N/A,FALSE,"MO(BASE)"}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t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uio" hidden="1">{"Sin detalle",#N/A,FALSE,"Flujo (redondeado)"}</definedName>
    <definedName name="EST_ACUM">#REF!</definedName>
    <definedName name="EST_GRAFO">#REF!</definedName>
    <definedName name="ESTADISTICA" hidden="1">{"MO(BASE)",#N/A,FALSE,"MO(BASE)";"MO(BASE)1",#N/A,FALSE,"MO(BASE)";"MO(BASE)2",#N/A,FALSE,"MO(BASE)"}</definedName>
    <definedName name="Estadística" hidden="1">{"CI+GG(BASE)",#N/A,FALSE,"CI+GG(BASE)";"GG",#N/A,FALSE,"CI+GG(BASE)";"CI",#N/A,FALSE,"CI+GG(BASE)"}</definedName>
    <definedName name="ESTADISTICA_1" hidden="1">{"MO(BASE)",#N/A,FALSE,"MO(BASE)";"MO(BASE)1",#N/A,FALSE,"MO(BASE)";"MO(BASE)2",#N/A,FALSE,"MO(BASE)"}</definedName>
    <definedName name="Estadística_1" hidden="1">{"CI+GG(BASE)",#N/A,FALSE,"CI+GG(BASE)";"GG",#N/A,FALSE,"CI+GG(BASE)";"CI",#N/A,FALSE,"CI+GG(BASE)"}</definedName>
    <definedName name="ESTADISTICA_2" hidden="1">{"MO(BASE)",#N/A,FALSE,"MO(BASE)";"MO(BASE)1",#N/A,FALSE,"MO(BASE)";"MO(BASE)2",#N/A,FALSE,"MO(BASE)"}</definedName>
    <definedName name="Estadística_2" hidden="1">{"CI+GG(BASE)",#N/A,FALSE,"CI+GG(BASE)";"GG",#N/A,FALSE,"CI+GG(BASE)";"CI",#N/A,FALSE,"CI+GG(BASE)"}</definedName>
    <definedName name="ESTADISTICA_3" hidden="1">{"MO(BASE)",#N/A,FALSE,"MO(BASE)";"MO(BASE)1",#N/A,FALSE,"MO(BASE)";"MO(BASE)2",#N/A,FALSE,"MO(BASE)"}</definedName>
    <definedName name="Estadística_3" hidden="1">{"CI+GG(BASE)",#N/A,FALSE,"CI+GG(BASE)";"GG",#N/A,FALSE,"CI+GG(BASE)";"CI",#N/A,FALSE,"CI+GG(BASE)"}</definedName>
    <definedName name="ESTADISTICA_4" hidden="1">{"MO(BASE)",#N/A,FALSE,"MO(BASE)";"MO(BASE)1",#N/A,FALSE,"MO(BASE)";"MO(BASE)2",#N/A,FALSE,"MO(BASE)"}</definedName>
    <definedName name="Estadística_4" hidden="1">{"CI+GG(BASE)",#N/A,FALSE,"CI+GG(BASE)";"GG",#N/A,FALSE,"CI+GG(BASE)";"CI",#N/A,FALSE,"CI+GG(BASE)"}</definedName>
    <definedName name="ESTADISTICA_5" hidden="1">{"MO(BASE)",#N/A,FALSE,"MO(BASE)";"MO(BASE)1",#N/A,FALSE,"MO(BASE)";"MO(BASE)2",#N/A,FALSE,"MO(BASE)"}</definedName>
    <definedName name="Estadística_5" hidden="1">{"CI+GG(BASE)",#N/A,FALSE,"CI+GG(BASE)";"GG",#N/A,FALSE,"CI+GG(BASE)";"CI",#N/A,FALSE,"CI+GG(BASE)"}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xchange_rate">#REF!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A">#REF!</definedName>
    <definedName name="FAC_NONMAN_COLLA">#REF!</definedName>
    <definedName name="FAC_NONMAN_OTROS">#REF!</definedName>
    <definedName name="FACEBOOK" hidden="1">{"DECIMAL",#N/A,FALSE,"02"}</definedName>
    <definedName name="FACIND_COLLA">#REF!</definedName>
    <definedName name="FACIND_OTROS">#REF!</definedName>
    <definedName name="FACMAN_COLLA">#REF!</definedName>
    <definedName name="FACMANUAL_OTROS">#REF!</definedName>
    <definedName name="FACOP_COLLA">#REF!</definedName>
    <definedName name="FACOP_OTROS">#REF!</definedName>
    <definedName name="FACTOR_EQUIPO">#REF!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 hidden="1">{"'Hoja3'!$F$5"}</definedName>
    <definedName name="FAL">#REF!</definedName>
    <definedName name="FBCOSTO">#REF!</definedName>
    <definedName name="FCAVF">#REF!</definedName>
    <definedName name="FCAVFD">#REF!</definedName>
    <definedName name="FCCOSTO">#REF!</definedName>
    <definedName name="FCD">#REF!</definedName>
    <definedName name="FCM">#REF!</definedName>
    <definedName name="FD">#REF!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_C">#REF!</definedName>
    <definedName name="FE_I">#REF!</definedName>
    <definedName name="FE_T">#REF!</definedName>
    <definedName name="Fecha">#REF!</definedName>
    <definedName name="FECHP">#REF!</definedName>
    <definedName name="felipe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TIVOS">#REF!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>#REF!</definedName>
    <definedName name="ffeer" hidden="1">{#N/A,#N/A,TRUE,"Est. de Fact.";#N/A,#N/A,TRUE,"Capitulo 19";#N/A,#N/A,TRUE,"Proyecto P855"}</definedName>
    <definedName name="FFF" hidden="1">{"'DMBL'!$A$1:$N$83","'DMBL'!$A$6:$B$83"}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hidden="1">{#N/A,#N/A,FALSE,"PEND INC";#N/A,#N/A,FALSE,"PEND MINM"}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fg" hidden="1">{"Sin detalle",#N/A,FALSE,"Flujo (redondeado)";"Detallado",#N/A,FALSE,"Flujo (redondeado)"}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fty">#REF!</definedName>
    <definedName name="Filla" hidden="1">#REF!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veA">#REF!</definedName>
    <definedName name="FiveB">#REF!</definedName>
    <definedName name="FiveC">#REF!</definedName>
    <definedName name="FiveD">#REF!</definedName>
    <definedName name="FiveE">#REF!</definedName>
    <definedName name="FiveF">#REF!</definedName>
    <definedName name="FiveG">#REF!</definedName>
    <definedName name="FiveH">#REF!</definedName>
    <definedName name="FiveI">#REF!</definedName>
    <definedName name="FiveJ">#REF!</definedName>
    <definedName name="FiveK">#REF!</definedName>
    <definedName name="FiveL">#REF!</definedName>
    <definedName name="FiveM">#REF!</definedName>
    <definedName name="FLETE">#REF!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ujo">#REF!</definedName>
    <definedName name="Flujos" hidden="1">{#N/A,#N/A,FALSE,"Graficos"}</definedName>
    <definedName name="FN">#REF!</definedName>
    <definedName name="FNC">#REF!</definedName>
    <definedName name="FOA">#REF!</definedName>
    <definedName name="fome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ourA">#REF!</definedName>
    <definedName name="FourB">#REF!</definedName>
    <definedName name="FourC">#REF!</definedName>
    <definedName name="FourD">#REF!</definedName>
    <definedName name="FourE">#REF!</definedName>
    <definedName name="FourF">#REF!</definedName>
    <definedName name="FourG">#REF!</definedName>
    <definedName name="FourH">#REF!</definedName>
    <definedName name="FourI">#REF!</definedName>
    <definedName name="FourJ">#REF!</definedName>
    <definedName name="FourK">#REF!</definedName>
    <definedName name="FourL">#REF!</definedName>
    <definedName name="Fourm">#REF!</definedName>
    <definedName name="FPAVF">#REF!</definedName>
    <definedName name="FPAVF_1">#REF!</definedName>
    <definedName name="FPAVFD">#REF!</definedName>
    <definedName name="FPCOSTO">#REF!</definedName>
    <definedName name="FPE">#REF!</definedName>
    <definedName name="FPER">#REF!</definedName>
    <definedName name="FPI">#REF!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A">#REF!</definedName>
    <definedName name="FRAVFD">#REF!</definedName>
    <definedName name="FRC">#REF!</definedName>
    <definedName name="FRD">#REF!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ight">#REF!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t" hidden="1">{#N/A,#N/A,FALSE,"Costos_Elem_Hid";#N/A,#N/A,FALSE,"Costos_Elem_Hid";#N/A,#N/A,FALSE,"Costos_Elem_Hid"}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F" hidden="1">{"CI+GG(BASE)",#N/A,FALSE,"CI+GG(BASE)";"GG",#N/A,FALSE,"CI+GG(BASE)";"CI",#N/A,FALSE,"CI+GG(BASE)"}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">#REF!</definedName>
    <definedName name="FTM">#REF!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r" hidden="1">#REF!</definedName>
    <definedName name="FWFESDFSDF" hidden="1">{#N/A,#N/A,TRUE,"Est. de Fact.";#N/A,#N/A,TRUE,"Capitulo 19";#N/A,#N/A,TRUE,"Proyecto P855"}</definedName>
    <definedName name="FX" hidden="1">{"PGS6",#N/A,FALSE,"Estudio";"PG7",#N/A,FALSE,"Estudio"}</definedName>
    <definedName name="FXCOSTO">#REF!</definedName>
    <definedName name="FZCOSTO">#REF!</definedName>
    <definedName name="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ntt">#REF!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stón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" hidden="1">{#N/A,#N/A,FALSE,"PEND INC";#N/A,#N/A,FALSE,"PEND MINM"}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hidden="1">{"MO(BASE)",#N/A,FALSE,"MO(BASE)";"MO(BASE)1",#N/A,FALSE,"MO(BASE)";"MO(BASE)2",#N/A,FALSE,"MO(BASE)"}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G" hidden="1">{"CI+GG(BASE)",#N/A,FALSE,"CI+GG(BASE)";"GG",#N/A,FALSE,"CI+GG(BASE)";"CI",#N/A,FALSE,"CI+GG(BASE)"}</definedName>
    <definedName name="gg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g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ut">#REF!</definedName>
    <definedName name="gh" hidden="1">{"CI+GG(BASE)",#N/A,FALSE,"CI+GG(BASE)";"GG",#N/A,FALSE,"CI+GG(BASE)";"CI",#N/A,FALSE,"CI+GG(BASE)"}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k" hidden="1">{#N/A,#N/A,FALSE,"Costos_Elem_Hid";#N/A,#N/A,FALSE,"Costos_Elem_Hid";#N/A,#N/A,FALSE,"Costos_Elem_Hid"}</definedName>
    <definedName name="giggjjkk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hidden="1">{#N/A,#N/A,FALSE,"summary";#N/A,#N/A,FALSE,"SumGraph"}</definedName>
    <definedName name="GII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md" hidden="1">{#N/A,#N/A,FALSE,"Matrix";#N/A,#N/A,FALSE,"Executive";#N/A,#N/A,FALSE,"Summary"}</definedName>
    <definedName name="GN" hidden="1">{#N/A,#N/A,FALSE,"DET-CAMB.";#N/A,#N/A,FALSE,"PRESUP.";#N/A,#N/A,FALSE,"RESUMEN";#N/A,#N/A,FALSE,"CT";#N/A,#N/A,FALSE,"PD";#N/A,#N/A,FALSE,"PR"}</definedName>
    <definedName name="GRA.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Graf.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ico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afos">#REF!</definedName>
    <definedName name="grdg" hidden="1">#REF!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hidden="1">{"Graf_Carga Trab",#N/A,FALSE,"Grafi_Carga Trab";"Graf_Venta Flujo",#N/A,FALSE,"Grafi_Carga Trab"}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tgtgt" hidden="1">{#N/A,#N/A,TRUE,"Est. de Fact.";#N/A,#N/A,TRUE,"Capitulo 19";#N/A,#N/A,TRUE,"Proyecto P855"}</definedName>
    <definedName name="gttrtyrtre" hidden="1">{"Sin detalle",#N/A,FALSE,"Flujo (redondeado)";"Detallado",#N/A,FALSE,"Flujo (redondeado)"}</definedName>
    <definedName name="gugyy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H">#REF!</definedName>
    <definedName name="hc">#REF!</definedName>
    <definedName name="Help" hidden="1">{#N/A,#N/A,FALSE,"Matrix";#N/A,#N/A,FALSE,"Executive";#N/A,#N/A,FALSE,"Summary"}</definedName>
    <definedName name="HELP1" hidden="1">{#N/A,#N/A,FALSE,"Matrix";#N/A,#N/A,FALSE,"Executive";#N/A,#N/A,FALSE,"Summary"}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H" hidden="1">{#N/A,#N/A,FALSE,"summary";#N/A,#N/A,FALSE,"SumGraph"}</definedName>
    <definedName name="hghg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_ESTIMADA">#REF!</definedName>
    <definedName name="HHBG" hidden="1">{#N/A,#N/A,FALSE,"PEND INC";#N/A,#N/A,FALSE,"PEND MINM"}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JK" hidden="1">{"Graf_Carga Trab",#N/A,FALSE,"Grafi_Carga Trab";"Graf_Venta Flujo",#N/A,FALSE,"Grafi_Carga Trab"}</definedName>
    <definedName name="HHMES">#REF!</definedName>
    <definedName name="HHTURNOMANUAL">#REF!</definedName>
    <definedName name="HHUNIT1.1">#REF!</definedName>
    <definedName name="HIDRO" hidden="1">{#N/A,#N/A,TRUE,"Costos_Subg_Hid"}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l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OMBRE_MES">#REF!</definedName>
    <definedName name="HORAS_MENSUALES">#REF!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OY">#REF!</definedName>
    <definedName name="HTML" hidden="1">{"'장비'!$A$3:$M$12"}</definedName>
    <definedName name="HTML_CodePage" hidden="1">949</definedName>
    <definedName name="HTML_Control" hidden="1">{"'장비'!$A$3:$M$12"}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"Z:\D_RELAVE\sitio_web\PAZO_OPE.HTM"</definedName>
    <definedName name="HTML_Title" hidden="1">"가산동미라보"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AÑO">#REF!</definedName>
    <definedName name="ICONT">#REF!</definedName>
    <definedName name="ICOSTO">#REF!</definedName>
    <definedName name="ICOSTOC">#REF!</definedName>
    <definedName name="IDA">#REF!</definedName>
    <definedName name="IDATE">#REF!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A">#REF!</definedName>
    <definedName name="IGRAF">#REF!</definedName>
    <definedName name="i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AÑO">#REF!</definedName>
    <definedName name="III" hidden="1">{#N/A,#N/A,FALSE,"summary";#N/A,#N/A,FALSE,"SumGraph"}</definedName>
    <definedName name="iiii" hidden="1">{#N/A,#N/A,TRUE,"Costos_Subg_Hid"}</definedName>
    <definedName name="iiiiiiiiiiiiiiiii" hidden="1">{"Sin detalle",#N/A,FALSE,"Flujo (redondeado)";"Detallado",#N/A,FALSE,"Flujo (redondeado)"}</definedName>
    <definedName name="IIT">#REF!</definedName>
    <definedName name="IITO">#REF!</definedName>
    <definedName name="ik" hidden="1">{#N/A,#N/A,FALSE,"Costos_Elem_Hid";#N/A,#N/A,FALSE,"Costos_Elem_Hid";#N/A,#N/A,FALSE,"Costos_Elem_Hid"}</definedName>
    <definedName name="IMON">#REF!</definedName>
    <definedName name="imorsión5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IMIR_ÁREA_I">#REF!</definedName>
    <definedName name="inc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h">#REF!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eDotación" hidden="1">{"Sin detalle",#N/A,FALSE,"Flujo (redondeado)";"Detallado",#N/A,FALSE,"Flujo (redondeado)"}</definedName>
    <definedName name="informehh" hidden="1">{"Sin detalle",#N/A,FALSE,"Flujo (redondeado)"}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resos">#REF!</definedName>
    <definedName name="instday">#REF!</definedName>
    <definedName name="instlabor">#REF!</definedName>
    <definedName name="instsite">#REF!</definedName>
    <definedName name="Inversión_Actual">#REF!</definedName>
    <definedName name="Inversiones">#REF!</definedName>
    <definedName name="ioioioi" hidden="1">{#N/A,#N/A,TRUE,"Est. de Fact.";#N/A,#N/A,TRUE,"Capitulo 19";#N/A,#N/A,TRUE,"Proyecto P855"}</definedName>
    <definedName name="IPER">#REF!</definedName>
    <definedName name="IPER1">#REF!</definedName>
    <definedName name="IRES">#REF!</definedName>
    <definedName name="ISAP">#REF!</definedName>
    <definedName name="isapre">#REF!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izado_EE">#REF!</definedName>
    <definedName name="Itemizado_IN">#REF!</definedName>
    <definedName name="Itemizado_Me">#REF!</definedName>
    <definedName name="Itemizado_Me1">#REF!</definedName>
    <definedName name="iu" hidden="1">{"CI+GG(BASE)",#N/A,FALSE,"CI+GG(BASE)";"GG",#N/A,FALSE,"CI+GG(BASE)";"CI",#N/A,FALSE,"CI+GG(BASE)"}</definedName>
    <definedName name="IVA">#REF!</definedName>
    <definedName name="j" hidden="1">{"CI+GG(BASE)",#N/A,FALSE,"CI+GG(BASE)";"GG",#N/A,FALSE,"CI+GG(BASE)";"CI",#N/A,FALSE,"CI+GG(BASE)"}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huhy" hidden="1">{"MO(BASE)",#N/A,FALSE,"MO(BASE)";"MO(BASE)1",#N/A,FALSE,"MO(BASE)";"MO(BASE)2",#N/A,FALSE,"MO(BASE)"}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j" hidden="1">{#N/A,#N/A,FALSE,"Costos_Elem_Hid";#N/A,#N/A,FALSE,"Costos_Elem_Hid";#N/A,#N/A,FALSE,"Costos_Elem_Hid"}</definedName>
    <definedName name="jk">#REF!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ol" hidden="1">{"Sin detalle",#N/A,FALSE,"Flujo (redondeado)";"Detallado",#N/A,FALSE,"Flujo (redondeado)"}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 hidden="1">{"'Hoja3'!$F$5"}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hidden="1">{#N/A,#N/A,FALSE,"Hoja1";#N/A,#N/A,FALSE,"Hoja2";#N/A,#N/A,FALSE,"Hoja3";#N/A,#N/A,FALSE,"Hoja4";#N/A,#N/A,FALSE,"Hoja5";#N/A,#N/A,FALSE,"Hoja6"}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" hidden="1">{#N/A,#N/A,FALSE,"subcontract"}</definedName>
    <definedName name="julioss" hidden="1">{"Sin detalle",#N/A,FALSE,"Flujo (redondeado)";"Detallado",#N/A,FALSE,"Flujo (redondeado)"}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#REF!</definedName>
    <definedName name="K112_RELL" hidden="1">{"Sin detalle",#N/A,FALSE,"Flujo (redondeado)";"Detallado",#N/A,FALSE,"Flujo (redondeado)"}</definedName>
    <definedName name="Ka" hidden="1">{"'DMBL'!$A$1:$N$83","'DMBL'!$A$6:$B$83"}</definedName>
    <definedName name="Kb" hidden="1">{"'DMBL'!$A$1:$N$83","'DMBL'!$A$6:$B$83"}</definedName>
    <definedName name="Kc" hidden="1">{"'DMBL'!$A$1:$N$83","'DMBL'!$A$6:$B$83"}</definedName>
    <definedName name="killsadñksafjsla" hidden="1">{"Sin detalle",#N/A,FALSE,"Flujo (redondeado)"}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k" hidden="1">#REF!</definedName>
    <definedName name="kka" hidden="1">{"'DMBL'!$A$1:$N$83","'DMBL'!$A$6:$B$83"}</definedName>
    <definedName name="kkb" hidden="1">{"'DMBL'!$A$1:$N$83","'DMBL'!$A$6:$B$83"}</definedName>
    <definedName name="kkc" hidden="1">{"'DMBL'!$A$1:$N$83","'DMBL'!$A$6:$B$83"}</definedName>
    <definedName name="kkk" hidden="1">{"'장비'!$A$3:$M$12"}</definedName>
    <definedName name="kkkk" hidden="1">{#N/A,#N/A,TRUE,"Est. de Fact.";#N/A,#N/A,TRUE,"Capitulo 19";#N/A,#N/A,TRUE,"Proyecto P855"}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_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L">#REF!</definedName>
    <definedName name="lanelength">#REF!</definedName>
    <definedName name="lanes">#REF!</definedName>
    <definedName name="Lb" hidden="1">{#N/A,#N/A,FALSE,"Matrix";#N/A,#N/A,FALSE,"Executive";#N/A,#N/A,FALSE,"Summary"}</definedName>
    <definedName name="lete" hidden="1">{"MO(BASE)",#N/A,FALSE,"MO(BASE)";"MO(BASE)1",#N/A,FALSE,"MO(BASE)";"MO(BASE)2",#N/A,FALSE,"MO(BASE)"}</definedName>
    <definedName name="LEYES_SOCIALES">#REF!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mcount" hidden="1">1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uhk" hidden="1">{#N/A,#N/A,FALSE,"Costos_Elem_Hid";#N/A,#N/A,FALSE,"Costos_Elem_Hid";#N/A,#N/A,FALSE,"Costos_Elem_Hid"}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l" hidden="1">{#N/A,#N/A,TRUE,"Est. de Fact.";#N/A,#N/A,TRUE,"Capitulo 19";#N/A,#N/A,TRUE,"Proyecto P855"}</definedName>
    <definedName name="lllll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ALIDAD">#REF!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hidden="1">{#N/A,#N/A,TRUE,"Est. de Fact.";#N/A,#N/A,TRUE,"Capitulo 19";#N/A,#N/A,TRUE,"Proyecto P855"}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u" hidden="1">{#N/A,#N/A,FALSE,"Costos_Elem_Hid";#N/A,#N/A,FALSE,"Costos_Elem_Hid";#N/A,#N/A,FALSE,"Costos_Elem_Hid"}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_TC">#REF!</definedName>
    <definedName name="MACU">#N/A</definedName>
    <definedName name="MAG">#REF!</definedName>
    <definedName name="MANDANTE">#REF!</definedName>
    <definedName name="Maquinaria" hidden="1">{"MO(BASE)",#N/A,FALSE,"MO(BASE)";"MO(BASE)1",#N/A,FALSE,"MO(BASE)";"MO(BASE)2",#N/A,FALSE,"MO(BASE)"}</definedName>
    <definedName name="mat" hidden="1">{"'DMBL'!$A$1:$N$83","'DMBL'!$A$6:$B$83"}</definedName>
    <definedName name="mata" hidden="1">{"'DMBL'!$A$1:$N$83","'DMBL'!$A$6:$B$83"}</definedName>
    <definedName name="matb" hidden="1">{"'DMBL'!$A$1:$N$83","'DMBL'!$A$6:$B$83"}</definedName>
    <definedName name="matc" hidden="1">{"'DMBL'!$A$1:$N$83","'DMBL'!$A$6:$B$83"}</definedName>
    <definedName name="MB" hidden="1">{#N/A,#N/A,FALSE,"PXP-TOTAL Modif";"vis2",#N/A,FALSE,"PXP-AÑO";"Vis1",#N/A,FALSE,"PXP-AÑO"}</definedName>
    <definedName name="mechlabor">#REF!</definedName>
    <definedName name="Mensualdotación" hidden="1">{"Sin detalle",#N/A,FALSE,"Flujo (redondeado)"}</definedName>
    <definedName name="MES_ESTIMACION">#REF!</definedName>
    <definedName name="michael_2" hidden="1">{"'resumen REV 3'!$B$1:$Q$69"}</definedName>
    <definedName name="Minmetal" hidden="1">{#N/A,#N/A,FALSE,"PEND INC";#N/A,#N/A,FALSE,"PEND MINM"}</definedName>
    <definedName name="mm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m" hidden="1">{#N/A,#N/A,TRUE,"Est. de Fact.";#N/A,#N/A,TRUE,"Capitulo 19";#N/A,#N/A,TRUE,"Proyecto P855"}</definedName>
    <definedName name="mmmm" hidden="1">{"Sin detalle",#N/A,FALSE,"Flujo (redondeado)";"Detallado",#N/A,FALSE,"Flujo (redondeado)"}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odpairs">#REF!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OTROSIII">#REF!</definedName>
    <definedName name="MOVACERC">#REF!</definedName>
    <definedName name="MOVINT">#REF!</definedName>
    <definedName name="MQ">#REF!</definedName>
    <definedName name="MR">#REF!</definedName>
    <definedName name="MU">#REF!</definedName>
    <definedName name="MULA">#REF!</definedName>
    <definedName name="MUTUAL">#REF!</definedName>
    <definedName name="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_Asig_MOI">#REF!</definedName>
    <definedName name="NAME">#REF!</definedName>
    <definedName name="ncnckid" hidden="1">{"'장비'!$A$3:$M$12"}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EGOCIO">#REF!</definedName>
    <definedName name="NETO">#REF!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D">#REF!</definedName>
    <definedName name="NIVEL">#REF!</definedName>
    <definedName name="Nivel_MOI">#REF!</definedName>
    <definedName name="n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hgf">#REF!</definedName>
    <definedName name="nn" hidden="1">#REF!</definedName>
    <definedName name="nnn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_PROYECTO">#REF!</definedName>
    <definedName name="NOMPROP">#REF!</definedName>
    <definedName name="NOS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oses4" hidden="1">{#N/A,#N/A,FALSE,"Matrix";#N/A,#N/A,FALSE,"Executive";#N/A,#N/A,FALSE,"Summary"}</definedName>
    <definedName name="NOTES">#REF!</definedName>
    <definedName name="NP">#REF!</definedName>
    <definedName name="Nueva" hidden="1">{#N/A,#N/A,FALSE,"summary";#N/A,#N/A,FALSE,"SumGraph"}</definedName>
    <definedName name="nuev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" hidden="1">#REF!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lo">#REF!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" hidden="1">{#N/A,#N/A,FALSE,"Costos_Elem_Hid";#N/A,#N/A,FALSE,"Costos_Elem_Hid";#N/A,#N/A,FALSE,"Costos_Elem_Hid"}</definedName>
    <definedName name="ññññññññ" hidden="1">{#N/A,#N/A,TRUE,"Costos_Subg_Hid"}</definedName>
    <definedName name="ÑP" hidden="1">{"Sin detalle",#N/A,FALSE,"Flujo (redondeado)";"Detallado",#N/A,FALSE,"Flujo (redondeado)"}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º" hidden="1">{#N/A,#N/A,TRUE,"Costos_Subg_Hid"}</definedName>
    <definedName name="OB">#REF!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COMP">#REF!</definedName>
    <definedName name="ODH" hidden="1">#REF!</definedName>
    <definedName name="ok" hidden="1">{"'Hoja3'!$F$5"}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neA">#REF!</definedName>
    <definedName name="OneB">#REF!</definedName>
    <definedName name="OneC">#REF!</definedName>
    <definedName name="OneD">#REF!</definedName>
    <definedName name="OneE">#REF!</definedName>
    <definedName name="OneF">#REF!</definedName>
    <definedName name="OneG">#REF!</definedName>
    <definedName name="OneH">#REF!</definedName>
    <definedName name="OneI">#REF!</definedName>
    <definedName name="OneJ">#REF!</definedName>
    <definedName name="OneK">#REF!</definedName>
    <definedName name="OneL">#REF!</definedName>
    <definedName name="OneM">#REF!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C">#REF!</definedName>
    <definedName name="oodd" hidden="1">{#N/A,#N/A,FALSE,"Matrix";#N/A,#N/A,FALSE,"Executive";#N/A,#N/A,FALSE,"Summary"}</definedName>
    <definedName name="oooo" hidden="1">{#N/A,#N/A,FALSE,"Costos_Elem_Hid";#N/A,#N/A,FALSE,"Costos_Elem_Hid";#N/A,#N/A,FALSE,"Costos_Elem_Hid"}</definedName>
    <definedName name="OPE">#REF!</definedName>
    <definedName name="Operadores">#REF!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Q">#REF!</definedName>
    <definedName name="or">#REF!</definedName>
    <definedName name="ORG">#REF!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er" hidden="1">{#N/A,#N/A,FALSE,"Matrix";#N/A,#N/A,FALSE,"Executive";#N/A,#N/A,FALSE,"Summary"}</definedName>
    <definedName name="otra">#REF!</definedName>
    <definedName name="OTRAF">#REF!</definedName>
    <definedName name="OXCOMP">#REF!</definedName>
    <definedName name="P" hidden="1">{"'resumen'!$A$1:$D$42"}</definedName>
    <definedName name="PA">#REF!</definedName>
    <definedName name="Pal_Workbook_GUID" hidden="1">"M3E46MFUVQN5TJY3Y3PPNNC3"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rcial">#REF!</definedName>
    <definedName name="PARIDAD">#REF!</definedName>
    <definedName name="PASAJE_5X2">#REF!</definedName>
    <definedName name="PASAJE_MANUAL">#REF!</definedName>
    <definedName name="PASAJE_NONMANUAL">#REF!</definedName>
    <definedName name="PAT">#REF!</definedName>
    <definedName name="PB">#REF!</definedName>
    <definedName name="PCONT">#REF!</definedName>
    <definedName name="PCOSTO">#REF!</definedName>
    <definedName name="PCOSTOC">#REF!</definedName>
    <definedName name="PCT">#REF!</definedName>
    <definedName name="peat">#REF!</definedName>
    <definedName name="PED">#REF!</definedName>
    <definedName name="PEF">#REF!</definedName>
    <definedName name="PENSIONADO" hidden="1">{#N/A,#N/A,FALSE,"DET-CAMB.";#N/A,#N/A,FALSE,"PRESUP.";#N/A,#N/A,FALSE,"RESUMEN";#N/A,#N/A,FALSE,"CT";#N/A,#N/A,FALSE,"PD";#N/A,#N/A,FALSE,"PR"}</definedName>
    <definedName name="Pérdida">#REF!</definedName>
    <definedName name="periodo">#REF!</definedName>
    <definedName name="PERM_CUAD">#REF!</definedName>
    <definedName name="Permanencia">#REF!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">#REF!</definedName>
    <definedName name="PETROLEO">#REF!</definedName>
    <definedName name="PGT">#REF!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PE">#REF!</definedName>
    <definedName name="pipe1">#REF!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os" hidden="1">{"Sin detalle",#N/A,FALSE,"Flujo (redondeado)";"Detallado",#N/A,FALSE,"Flujo (redondeado)"}</definedName>
    <definedName name="PM_DATE">#REF!</definedName>
    <definedName name="PM_MDIA">#REF!</definedName>
    <definedName name="PMC">#REF!</definedName>
    <definedName name="Poc.Nac">#REF!</definedName>
    <definedName name="PON">#REF!</definedName>
    <definedName name="popopo" hidden="1">{#N/A,#N/A,FALSE,"Costos_Elem_Hid";#N/A,#N/A,FALSE,"Costos_Elem_Hid";#N/A,#N/A,FALSE,"Costos_Elem_Hid"}</definedName>
    <definedName name="Por.Imp">#REF!</definedName>
    <definedName name="PORC_LOGISTICA">#REF!</definedName>
    <definedName name="PORC_REEMPLAZO">#REF!</definedName>
    <definedName name="PORCENTAJE_CONTINGENCIA">#REF!</definedName>
    <definedName name="PORCENTAJE_UTILIDAD">#REF!</definedName>
    <definedName name="POT">#REF!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p" hidden="1">{"Sin detalle",#N/A,FALSE,"Flujo (redondeado)"}</definedName>
    <definedName name="ppppppp" hidden="1">{"'Hoja3'!$F$5"}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R">#REF!</definedName>
    <definedName name="PREC">#REF!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O_TOTAL">#REF!</definedName>
    <definedName name="preup_ib">#REF!</definedName>
    <definedName name="Print_Area_MI">#REF!</definedName>
    <definedName name="Print_Titles_MI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ect_name">#REF!</definedName>
    <definedName name="project_number">#REF!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">#REF!</definedName>
    <definedName name="proyecto" hidden="1">{"MO(BASE)",#N/A,FALSE,"MO(BASE)";"MO(BASE)1",#N/A,FALSE,"MO(BASE)";"MO(BASE)2",#N/A,FALSE,"MO(BASE)"}</definedName>
    <definedName name="proyecto_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PTE">#REF!</definedName>
    <definedName name="q" hidden="1">{#N/A,#N/A,FALSE,"Total_OC015";#N/A,#N/A,FALSE,"ADMIN";#N/A,#N/A,FALSE,"PROCES";#N/A,#N/A,FALSE,"mecan";#N/A,#N/A,FALSE,"civil";#N/A,#N/A,FALSE,"CAÑER";#N/A,#N/A,FALSE,"ELEC";#N/A,#N/A,FALSE,"INSTR"}</definedName>
    <definedName name="Q_DATE">#REF!</definedName>
    <definedName name="Q_IT">#REF!</definedName>
    <definedName name="qaq" hidden="1">{#N/A,#N/A,FALSE,"summary";#N/A,#N/A,FALSE,"SumGraph"}</definedName>
    <definedName name="qdsqs" hidden="1">{#N/A,#N/A,FALSE,"summary";#N/A,#N/A,FALSE,"SumGraph"}</definedName>
    <definedName name="qewr" hidden="1">{#N/A,#N/A,TRUE,"Costos_Subg_Hid"}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hidden="1">{#N/A,#N/A,TRUE,"Est. de Fact.";#N/A,#N/A,TRUE,"Capitulo 19";#N/A,#N/A,TRUE,"Proyecto P855"}</definedName>
    <definedName name="qq_1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hidden="1">{"Sin detalle",#N/A,FALSE,"Flujo (redondeado)";"Detallado",#N/A,FALSE,"Flujo (redondeado)"}</definedName>
    <definedName name="qqqq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hidden="1">{"Sin detalle",#N/A,FALSE,"Flujo (redondeado)";"Detallado",#N/A,FALSE,"Flujo (redondeado)"}</definedName>
    <definedName name="qs_0" hidden="1">{"MO(BASE)",#N/A,FALSE,"MO(BASE)";"MO(BASE)1",#N/A,FALSE,"MO(BASE)";"MO(BASE)2",#N/A,FALSE,"MO(BASE)"}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_COSTO">#REF!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zones">#REF!</definedName>
    <definedName name="RCFASE">#REF!</definedName>
    <definedName name="RCONT">#REF!</definedName>
    <definedName name="RCOSTO">#REF!</definedName>
    <definedName name="RCOSTOC">#REF!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UN1.1">#REF!</definedName>
    <definedName name="REGALIA_MANUAL">#REF!</definedName>
    <definedName name="REGALIA_NONMANUAL">#REF!</definedName>
    <definedName name="Rendimiento" hidden="1">#REF!</definedName>
    <definedName name="r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reer" hidden="1">#REF!</definedName>
    <definedName name="rerere" hidden="1">{#N/A,#N/A,TRUE,"Est. de Fact.";#N/A,#N/A,TRUE,"Capitulo 19";#N/A,#N/A,TRUE,"Proyecto P855"}</definedName>
    <definedName name="res_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ERVA">#REF!</definedName>
    <definedName name="RESERVA1">#REF!</definedName>
    <definedName name="Resum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EN">#REF!</definedName>
    <definedName name="RHITO">#REF!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nasa" hidden="1">{#N/A,#N/A,FALSE,"PEND INC";#N/A,#N/A,FALSE,"PEND MINM"}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O" hidden="1">#REF!</definedName>
    <definedName name="ros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OSTER">#REF!</definedName>
    <definedName name="roster_CONSORCIO">#REF!</definedName>
    <definedName name="r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rff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yt" hidden="1">{#N/A,#N/A,TRUE,"Est. de Fact.";#N/A,#N/A,TRUE,"Capitulo 19";#N/A,#N/A,TRUE,"Proyecto P855"}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#REF!</definedName>
    <definedName name="rtyuiopk" hidden="1">{"Sin detalle",#N/A,FALSE,"Flujo (redondeado)";"Detallado",#N/A,FALSE,"Flujo (redondeado)"}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#REF!</definedName>
    <definedName name="sa" hidden="1">{#N/A,#N/A,TRUE,"Costos_Subg_Hid"}</definedName>
    <definedName name="sada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x" hidden="1">{#N/A,#N/A,FALSE,"Costos_Elem_Hid";#N/A,#N/A,FALSE,"Costos_Elem_Hid";#N/A,#N/A,FALSE,"Costos_Elem_Hid"}</definedName>
    <definedName name="SANDRA" hidden="1">{"CI+GG(BASE)",#N/A,FALSE,"CI+GG(BASE)";"GG",#N/A,FALSE,"CI+GG(BASE)";"CI",#N/A,FALSE,"CI+GG(BASE)"}</definedName>
    <definedName name="SAP_MB">#REF!</definedName>
    <definedName name="SAP_MC">#REF!</definedName>
    <definedName name="SAP_MT">#REF!</definedName>
    <definedName name="SAP_OR">#REF!</definedName>
    <definedName name="SAP_PED">#REF!</definedName>
    <definedName name="SAPBEXdnldView" hidden="1">"99CDD1R0WHQZ4UWSRVVR0M4NY"</definedName>
    <definedName name="SAPBEXsysID" hidden="1">"B03"</definedName>
    <definedName name="SAQWE" hidden="1">#REF!</definedName>
    <definedName name="sare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sa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_1" hidden="1">{"Sin detalle",#N/A,FALSE,"Flujo (redondeado)";"Detallado",#N/A,FALSE,"Flujo (redondeado)"}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da" hidden="1">#REF!</definedName>
    <definedName name="SDASDF" hidden="1">{"NORMAL",#N/A,FALSE,"02"}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d" hidden="1">{"MO(BASE)",#N/A,FALSE,"MO(BASE)";"MO(BASE)1",#N/A,FALSE,"MO(BASE)";"MO(BASE)2",#N/A,FALSE,"MO(BASE)"}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ht" hidden="1">{"'resumen REV 3'!$B$1:$Q$69"}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dws" hidden="1">#REF!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EDE">#REF!</definedName>
    <definedName name="SEGACC">#REF!</definedName>
    <definedName name="SEGCOMPSALUD">#REF!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ncount" hidden="1">1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RVICE">#REF!</definedName>
    <definedName name="SERVICIO">#REF!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hidden="1">{#N/A,#N/A,FALSE,"Costos_Elem_Hid";#N/A,#N/A,FALSE,"Costos_Elem_Hid";#N/A,#N/A,FALSE,"Costos_Elem_Hid"}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xA">#REF!</definedName>
    <definedName name="SixB">#REF!</definedName>
    <definedName name="SixC">#REF!</definedName>
    <definedName name="SixD">#REF!</definedName>
    <definedName name="SixE">#REF!</definedName>
    <definedName name="SixF">#REF!</definedName>
    <definedName name="SixG">#REF!</definedName>
    <definedName name="SixH">#REF!</definedName>
    <definedName name="SixI">#REF!</definedName>
    <definedName name="SixJ">#REF!</definedName>
    <definedName name="SixK">#REF!</definedName>
    <definedName name="SixL">#REF!</definedName>
    <definedName name="SixM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1.059</definedName>
    <definedName name="SP" hidden="1">{#N/A,#N/A,FALSE,"subcontract"}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hidden="1">#REF!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TC">#REF!</definedName>
    <definedName name="SUBCONTRATOS">#REF!</definedName>
    <definedName name="SUMA">#REF!</definedName>
    <definedName name="SUMINISTRO">#REF!</definedName>
    <definedName name="Swvu.GAITHERSBURG._.OFFICE." hidden="1">#REF!</definedName>
    <definedName name="Swvu.garo_graph." hidden="1">#REF!</definedName>
    <definedName name="Swvu.garo_personnel." hidden="1">#REF!</definedName>
    <definedName name="Swvu.headcount._.change." hidden="1">#REF!</definedName>
    <definedName name="Swvu.personnel._.by._.location." hidden="1">#REF!</definedName>
    <definedName name="sxd" hidden="1">{#N/A,#N/A,FALSE,"Costos_Elem_Hid";#N/A,#N/A,FALSE,"Costos_Elem_Hid";#N/A,#N/A,FALSE,"Costos_Elem_Hid"}</definedName>
    <definedName name="systems">#REF!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_BASE">#REF!</definedName>
    <definedName name="T_CODE">#REF!</definedName>
    <definedName name="T_COST">#REF!</definedName>
    <definedName name="T_FN">#REF!</definedName>
    <definedName name="T_NAME">#REF!</definedName>
    <definedName name="T_TC">#REF!</definedName>
    <definedName name="TComp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ST0">#REF!</definedName>
    <definedName name="TESTHKEY">#REF!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KEYS">#REF!</definedName>
    <definedName name="TESTVKEY">#REF!</definedName>
    <definedName name="ThreeA">#REF!</definedName>
    <definedName name="ThreeB">#REF!</definedName>
    <definedName name="ThreeC">#REF!</definedName>
    <definedName name="ThreeD">#REF!</definedName>
    <definedName name="ThreeE">#REF!</definedName>
    <definedName name="ThreeF">#REF!</definedName>
    <definedName name="ThreeG">#REF!</definedName>
    <definedName name="ThreeH">#REF!</definedName>
    <definedName name="ThreeI">#REF!</definedName>
    <definedName name="ThreeJ">#REF!</definedName>
    <definedName name="ThreeK">#REF!</definedName>
    <definedName name="ThreeL">#REF!</definedName>
    <definedName name="ThreeM">#REF!</definedName>
    <definedName name="time">#REF!</definedName>
    <definedName name="TITLE">#REF!</definedName>
    <definedName name="_xlnm.Print_Titles" localSheetId="0">Hoja1!$2:$2</definedName>
    <definedName name="TODO">#REF!</definedName>
    <definedName name="TOPECESANTIA">#REF!</definedName>
    <definedName name="TOPEMUTUAL">#REF!</definedName>
    <definedName name="TOPESIS">#REF!</definedName>
    <definedName name="Toq" hidden="1">{#N/A,#N/A,FALSE,"Matrix";#N/A,#N/A,FALSE,"Executive";#N/A,#N/A,FALSE,"Summary"}</definedName>
    <definedName name="Toquepala" hidden="1">{#N/A,#N/A,FALSE,"Matrix";#N/A,#N/A,FALSE,"Executive";#N/A,#N/A,FALSE,"Summary"}</definedName>
    <definedName name="TOTAL">#REF!</definedName>
    <definedName name="TOTAL_ADI_TEPSAC">#REF!</definedName>
    <definedName name="TOTAL_ANDAMIOS">#REF!</definedName>
    <definedName name="TOTAL_CONTINGENCIA">#REF!</definedName>
    <definedName name="TOTAL_COSTO_DIRECTO">#REF!</definedName>
    <definedName name="TOTAL_COSTO_INDIRECTO">#REF!</definedName>
    <definedName name="TOTAL_COSTO_PROYECTO_MPM">#REF!</definedName>
    <definedName name="TOTAL_EQUIPOS">#REF!</definedName>
    <definedName name="TOTAL_FINANCIERO">#REF!</definedName>
    <definedName name="TOTAL_FLETE">#REF!</definedName>
    <definedName name="TOTAL_GG">#REF!</definedName>
    <definedName name="TOTAL_HH_DIRECTA">#REF!</definedName>
    <definedName name="TOTAL_HH_INDIRECTA">#REF!</definedName>
    <definedName name="TOTAL_IIFF">#REF!</definedName>
    <definedName name="TOTAL_MAT_CON">#REF!</definedName>
    <definedName name="TOTAL_MOD">#REF!</definedName>
    <definedName name="TOTAL_ROSTER_CONSORCIO">#REF!</definedName>
    <definedName name="TOTAL_ROSTER_MPM">#REF!</definedName>
    <definedName name="TOTAL_ROSTER_TEPSAC">#REF!</definedName>
    <definedName name="TOTAL_SUBCONTRATO">#REF!</definedName>
    <definedName name="TOTAL_UTLIDAD">#REF!</definedName>
    <definedName name="TOTRH">#REF!</definedName>
    <definedName name="TOTRH1">#REF!</definedName>
    <definedName name="TR">#REF!</definedName>
    <definedName name="Trinidad" hidden="1">{"bechtel1",#N/A,TRUE,"BECHTEL";"bechtelhours",#N/A,TRUE,"BECHTEL";"bechtel$",#N/A,TRUE,"BECHTEL"}</definedName>
    <definedName name="trinidad1" hidden="1">{#N/A,#N/A,FALSE,"MAQUINA"}</definedName>
    <definedName name="trinidad2" hidden="1">{#N/A,#N/A,FALSE,"Matrix";#N/A,#N/A,FALSE,"Executive";#N/A,#N/A,FALSE,"Summary"}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hidden="1">{#N/A,#N/A,FALSE,"Matrix";#N/A,#N/A,FALSE,"Executive";#N/A,#N/A,FALSE,"Summary"}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SA000">#REF!</definedName>
    <definedName name="TSA030.1">#REF!</definedName>
    <definedName name="TSA030.2">#REF!</definedName>
    <definedName name="tt" hidden="1">{#N/A,#N/A,FALSE,"Total_OC015";#N/A,#N/A,FALSE,"ADMIN";#N/A,#N/A,FALSE,"PROCES";#N/A,#N/A,FALSE,"mecan";#N/A,#N/A,FALSE,"civil";#N/A,#N/A,FALSE,"CAÑER";#N/A,#N/A,FALSE,"ELEC";#N/A,#N/A,FALSE,"INSTR"}</definedName>
    <definedName name="ttt" hidden="1">{"'장비'!$A$3:$M$12"}</definedName>
    <definedName name="tttttt" hidden="1">{#N/A,#N/A,TRUE,"Costos_Subg_Hid"}</definedName>
    <definedName name="tu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rno">#REF!</definedName>
    <definedName name="TURNO_MANUAL">#REF!</definedName>
    <definedName name="TURNO_NONMANUAL">#REF!</definedName>
    <definedName name="TURNO_OPERADOR">#REF!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woA">#REF!</definedName>
    <definedName name="TwoB">#REF!</definedName>
    <definedName name="TwoC">#REF!</definedName>
    <definedName name="TwoD">#REF!</definedName>
    <definedName name="TwoE">#REF!</definedName>
    <definedName name="TwoF">#REF!</definedName>
    <definedName name="TwoG">#REF!</definedName>
    <definedName name="TwoH">#REF!</definedName>
    <definedName name="TwoI">#REF!</definedName>
    <definedName name="TwoJ">#REF!</definedName>
    <definedName name="TwoK">#REF!</definedName>
    <definedName name="TwoL">#REF!</definedName>
    <definedName name="TwoM">#REF!</definedName>
    <definedName name="ty">#REF!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a" hidden="1">{"CI+GG(BASE)",#N/A,FALSE,"CI+GG(BASE)";"GG",#N/A,FALSE,"CI+GG(BASE)";"CI",#N/A,FALSE,"CI+GG(BASE)"}</definedName>
    <definedName name="uf">#REF!</definedName>
    <definedName name="uff">#REF!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rio">#REF!</definedName>
    <definedName name="UNITTON" hidden="1">{#N/A,#N/A,FALSE,"Costos_Elem_Hid";#N/A,#N/A,FALSE,"Costos_Elem_Hid";#N/A,#N/A,FALSE,"Costos_Elem_Hid"}</definedName>
    <definedName name="us">#REF!</definedName>
    <definedName name="USD">#REF!</definedName>
    <definedName name="uss">#REF!</definedName>
    <definedName name="utm">#REF!</definedName>
    <definedName name="uttm">#REF!</definedName>
    <definedName name="uu" hidden="1">{#N/A,#N/A,FALSE,"Total_OC015";#N/A,#N/A,FALSE,"ADMIN";#N/A,#N/A,FALSE,"PROCES";#N/A,#N/A,FALSE,"mecan";#N/A,#N/A,FALSE,"civil";#N/A,#N/A,FALSE,"CAÑER";#N/A,#N/A,FALSE,"ELEC";#N/A,#N/A,FALSE,"INSTR"}</definedName>
    <definedName name="uuuu" hidden="1">{#N/A,#N/A,FALSE,"Costos_Elem_Hid";#N/A,#N/A,FALSE,"Costos_Elem_Hid";#N/A,#N/A,FALSE,"Costos_Elem_Hid"}</definedName>
    <definedName name="v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CACIONES">#REF!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NETO">#REF!</definedName>
    <definedName name="VAL_TOTAL">#REF!</definedName>
    <definedName name="VAL_UNIT">#REF!</definedName>
    <definedName name="VALOR_ESP">#REF!</definedName>
    <definedName name="VALOR_HH">#REF!</definedName>
    <definedName name="VALOR_UF">#REF!</definedName>
    <definedName name="VALOR_UNIT">#REF!</definedName>
    <definedName name="vasad" hidden="1">{"desarrollo",#N/A,FALSE,"Cámara Camión";"resumen",#N/A,FALSE,"Cámara Camión";"eqprod",#N/A,FALSE,"Cámara Camión"}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ge" hidden="1">{"MO(BASE)",#N/A,FALSE,"MO(BASE)";"MO(BASE)1",#N/A,FALSE,"MO(BASE)";"MO(BASE)2",#N/A,FALSE,"MO(BASE)"}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ret4" hidden="1">{"MO(BASE)",#N/A,FALSE,"MO(BASE)";"MO(BASE)1",#N/A,FALSE,"MO(BASE)";"MO(BASE)2",#N/A,FALSE,"MO(BASE)"}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hic">#REF!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hidden="1">{"MO(BASE)",#N/A,FALSE,"MO(BASE)";"MO(BASE)1",#N/A,FALSE,"MO(BASE)";"MO(BASE)2",#N/A,FALSE,"MO(BASE)"}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AL">#REF!</definedName>
    <definedName name="VIATICO_INDIRECTO">#REF!</definedName>
    <definedName name="VIATICO_MANUAL">#REF!</definedName>
    <definedName name="VIATICO_MANUAL1">#REF!</definedName>
    <definedName name="VIATICO_NONMANUAL">#REF!</definedName>
    <definedName name="VIATICO_NONMANUAL1">#REF!</definedName>
    <definedName name="VIATICO_OPERADOR">#REF!</definedName>
    <definedName name="VIATICO_OPERADOR1">#REF!</definedName>
    <definedName name="VIDA">#REF!</definedName>
    <definedName name="VIDADOS">#REF!</definedName>
    <definedName name="VIDAUNO">#REF!</definedName>
    <definedName name="VIDAUTIL">#REF!</definedName>
    <definedName name="VIDAUTILPYTO">#REF!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V" hidden="1">{"Sin detalle",#N/A,FALSE,"Flujo (redondeado)";"Detallado",#N/A,FALSE,"Flujo (redondeado)"}</definedName>
    <definedName name="VV_1" hidden="1">{"Sin detalle",#N/A,FALSE,"Flujo (redondeado)";"Detallado",#N/A,FALSE,"Flujo (redondeado)"}</definedName>
    <definedName name="VVGHJ" hidden="1">{#N/A,#N/A,FALSE,"Graficos"}</definedName>
    <definedName name="VVGVHJ" hidden="1">{#N/A,#N/A,FALSE,"Graficos"}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v" hidden="1">{#N/A,#N/A,FALSE,"Costos_Elem_Hid";#N/A,#N/A,FALSE,"Costos_Elem_Hid";#N/A,#N/A,FALSE,"Costos_Elem_Hid"}</definedName>
    <definedName name="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3r" hidden="1">{#N/A,#N/A,FALSE,"PEND INC";#N/A,#N/A,FALSE,"PEND MINM"}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hidden="1">{"bechtel1",#N/A,TRUE,"BECHTEL";"bechtelhours",#N/A,TRUE,"BECHTEL";"bechtel$",#N/A,TRUE,"BECHTEL"}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" hidden="1">{#N/A,#N/A,FALSE,"Costos_Elem_Hid";#N/A,#N/A,FALSE,"Costos_Elem_Hid";#N/A,#N/A,FALSE,"Costos_Elem_Hid"}</definedName>
    <definedName name="werwqerqew" hidden="1">{"Sin detalle",#N/A,FALSE,"Flujo (redondeado)"}</definedName>
    <definedName name="wesd" hidden="1">{#N/A,#N/A,FALSE,"PEND INC";#N/A,#N/A,FALSE,"PEND MINM"}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q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n" hidden="1">{#N/A,#N/A,TRUE,"Est. de Fact.";#N/A,#N/A,TRUE,"Capitulo 19";#N/A,#N/A,TRUE,"Proyecto P855"}</definedName>
    <definedName name="wrn.02INFORME." hidden="1">{"NORMAL",#N/A,FALSE,"02"}</definedName>
    <definedName name="wrn.2." hidden="1">{"4",#N/A,FALSE,"Flujos Caja - Mon. 1999"}</definedName>
    <definedName name="wrn.anteproyecto." hidden="1">{#N/A,#N/A,FALSE,"Cargas"}</definedName>
    <definedName name="wrn.ARA." hidden="1">{"ARA1",#N/A,FALSE,"ENG-ARA";"ARAhours",#N/A,FALSE,"ENG-ARA";"ARA$",#N/A,FALSE,"ENG-ARA"}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Camaracamion." hidden="1">{"desarrollo",#N/A,FALSE,"Cámara Camión";"resumen",#N/A,FALSE,"Cámara Camión";"eqprod",#N/A,FALSE,"Cámara Camión"}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olorcrvs." hidden="1">{"BPCCOLOR",#N/A,FALSE,"CRVS";"NUCCOLOR",#N/A,FALSE,"CRVS";"FOSCOLOR",#N/A,FALSE,"CRVS"}</definedName>
    <definedName name="wrn.compa." hidden="1">{"cuadro1",#N/A,FALSE,"periodos entre Opciones";"cuadro2",#N/A,FALSE,"periodos entre Opciones"}</definedName>
    <definedName name="wrn.Completo." hidden="1">{"Sin detalle",#N/A,FALSE,"Flujo (redondeado)";"Detallado",#N/A,FALSE,"Flujo (redondeado)"}</definedName>
    <definedName name="wrn.Completo._1" hidden="1">{"Sin detalle",#N/A,FALSE,"Flujo (redondeado)";"Detallado",#N/A,FALSE,"Flujo (redondeado)"}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hidden="1">{"data",#N/A,FALSE,"OP_SUM"}</definedName>
    <definedName name="wrn.DECIMAL." hidden="1">{"DECIMAL",#N/A,FALSE,"02"}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hidden="1">{#N/A,#N/A,FALSE,"Hoja1";#N/A,#N/A,FALSE,"Hoja2";#N/A,#N/A,FALSE,"Hoja3";#N/A,#N/A,FALSE,"Hoja4";#N/A,#N/A,FALSE,"Hoja5";#N/A,#N/A,FALSE,"Hoja6"}</definedName>
    <definedName name="wrn.El._.Indio._.Production._.Summary.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hidden="1">{#N/A,#N/A,FALSE,"Costos_Elem_Hid";#N/A,#N/A,FALSE,"Costos_Elem_Hid";#N/A,#N/A,FALSE,"Costos_Elem_Hid"}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hidden="1">{"garo personnel",#N/A,FALSE;"personnel by location",#N/A,FALSE;"garo_graph",#N/A,FALSE}</definedName>
    <definedName name="wrn.GERENCIAL." hidden="1">{#N/A,#N/A,FALSE,"F006";#N/A,#N/A,FALSE,"F008";#N/A,#N/A,FALSE,"F020";#N/A,#N/A,FALSE,"F019"}</definedName>
    <definedName name="wrn.Graficos." hidden="1">{"Graf_Carga Trab",#N/A,FALSE,"Grafi_Carga Trab";"Graf_Venta Flujo",#N/A,FALSE,"Grafi_Carga Trab"}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hjhj." hidden="1">{#N/A,#N/A,TRUE,"Costos_Subg_Hid"}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nforme." hidden="1">{"Tapa Informe",#N/A,FALSE,"Informe 1";"Informe Hoja1",#N/A,FALSE,"Informe 1";"Informe Hoja2",#N/A,FALSE,"Informe 1"}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hidden="1">{#N/A,#N/A,FALSE,"Data"}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DO." hidden="1">{"Práctica","Práctica",FALSE,"Práctica"}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RTIAL._.REPORT." hidden="1">{#N/A,#N/A,FALSE,"US$";#N/A,#N/A,FALSE,"SUMMARY";#N/A,#N/A,FALSE,"DET.SUMM";#N/A,#N/A,FALSE,"BACK-UP";#N/A,#N/A,FALSE,"INDIRECTS"}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ERF._.RPT._.GRAPHS." hidden="1">{#N/A,#N/A,FALSE,"OTHER GRAPHS";#N/A,#N/A,FALSE,"CAPITAL GRAPH"}</definedName>
    <definedName name="wrn.PGSHORIZ." hidden="1">{"PG8",#N/A,FALSE,"Estudio";#N/A,#N/A,FALSE,"Uso Recursos";"PG1",#N/A,FALSE,"Flujo Caja";"PG2",#N/A,FALSE,"Flujo Caja"}</definedName>
    <definedName name="wrn.PGSVERT." hidden="1">{"PGS6",#N/A,FALSE,"Estudio";"PG7",#N/A,FALSE,"Estudio"}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hidden="1">{#N/A,#N/A,FALSE,"Presupuesto"}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hidden="1">{#N/A,#N/A,TRUE,"Est. de Fact.";#N/A,#N/A,TRUE,"Capitulo 19";#N/A,#N/A,TRUE,"Proyecto P855"}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profiles." hidden="1">{"BPC",#N/A,FALSE,"PRO";"NUC",#N/A,FALSE,"PRO";"FOS",#N/A,FALSE,"PRO"}</definedName>
    <definedName name="wrn.prospects." hidden="1">{#N/A,#N/A,FALSE,"FCST94";#N/A,#N/A,FALSE,"FIRM";#N/A,#N/A,FALSE,"BACK94";#N/A,#N/A,FALSE,"FCST95";#N/A,#N/A,FALSE,"BACK95";#N/A,#N/A,FALSE,"FCST96"}</definedName>
    <definedName name="wrn.Report._.Mensual." hidden="1">{#N/A,#N/A,FALSE,"Monthly report";#N/A,#N/A,FALSE,"M.R. UEM";#N/A,#N/A,FALSE,"M.R. VCM"}</definedName>
    <definedName name="wrn.Summary." hidden="1">{#N/A,#N/A,FALSE,"Matrix";#N/A,#N/A,FALSE,"Executive";#N/A,#N/A,FALSE,"Summary"}</definedName>
    <definedName name="wrn.SUPERIOR." hidden="1">{#N/A,#N/A,FALSE,"Tapa";#N/A,#N/A,FALSE,"F006";#N/A,#N/A,FALSE,"F012";#N/A,#N/A,FALSE,"F013";#N/A,#N/A,FALSE,"F015";#N/A,#N/A,FALSE,"F020"}</definedName>
    <definedName name="wrn.Una._.Hoja." hidden="1">{"Sin detalle",#N/A,FALSE,"Flujo (redondeado)"}</definedName>
    <definedName name="wrn.Una._.Hoja._1" hidden="1">{"Sin detalle",#N/A,FALSE,"Flujo (redondeado)"}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s" hidden="1">{"CI+GG(BASE)",#N/A,FALSE,"CI+GG(BASE)";"GG",#N/A,FALSE,"CI+GG(BASE)";"CI",#N/A,FALSE,"CI+GG(BASE)"}</definedName>
    <definedName name="wrrn" hidden="1">{#N/A,#N/A,FALSE,"Matrix";#N/A,#N/A,FALSE,"Executive";#N/A,#N/A,FALSE,"Summary"}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hidden="1">{#N/A,#N/A,FALSE,"Costos_Elem_Hid";#N/A,#N/A,FALSE,"Costos_Elem_Hid";#N/A,#N/A,FALSE,"Costos_Elem_Hid"}</definedName>
    <definedName name="wwwww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X" hidden="1">{#N/A,#N/A,TRUE,"Est. de Fact.";#N/A,#N/A,TRUE,"Capitulo 19";#N/A,#N/A,TRUE,"Proyecto P855"}</definedName>
    <definedName name="XANO">#REF!</definedName>
    <definedName name="XC" hidden="1">{"CI+GG(BASE)",#N/A,FALSE,"CI+GG(BASE)";"GG",#N/A,FALSE,"CI+GG(BASE)";"CI",#N/A,FALSE,"CI+GG(BASE)"}</definedName>
    <definedName name="XC_1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cv" hidden="1">{#N/A,#N/A,FALSE,"Costos_Elem_Hid";#N/A,#N/A,FALSE,"Costos_Elem_Hid";#N/A,#N/A,FALSE,"Costos_Elem_Hid"}</definedName>
    <definedName name="xd" hidden="1">{#N/A,#N/A,TRUE,"Est. de Fact.";#N/A,#N/A,TRUE,"Capitulo 19";#N/A,#N/A,TRUE,"Proyecto P855"}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FA">#REF!</definedName>
    <definedName name="xfn">#REF!</definedName>
    <definedName name="XINF">#REF!</definedName>
    <definedName name="XITEM">#REF!</definedName>
    <definedName name="XMODO">#REF!</definedName>
    <definedName name="XPED">#REF!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1" hidden="1">{#N/A,#N/A,FALSE,"Matrix";#N/A,#N/A,FALSE,"Executive";#N/A,#N/A,FALSE,"Summary"}</definedName>
    <definedName name="xxxb" hidden="1">{#N/A,#N/A,FALSE,"Costos_Elem_Hid";#N/A,#N/A,FALSE,"Costos_Elem_Hid";#N/A,#N/A,FALSE,"Costos_Elem_Hid"}</definedName>
    <definedName name="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" hidden="1">{#N/A,#N/A,FALSE,"Matrix";#N/A,#N/A,FALSE,"Executive";#N/A,#N/A,FALSE,"Summary"}</definedName>
    <definedName name="xxxxxxxxxxx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 hidden="1">{#N/A,#N/A,TRUE,"Est. de Fact.";#N/A,#N/A,TRUE,"Capitulo 19";#N/A,#N/A,TRUE,"Proyecto P855"}</definedName>
    <definedName name="yitoyir" hidden="1">{"Sin detalle",#N/A,FALSE,"Flujo (redondeado)";"Detallado",#N/A,FALSE,"Flujo (redondeado)"}</definedName>
    <definedName name="yo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RTYRTYRY" hidden="1">#REF!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ii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hidden="1">{#N/A,#N/A,TRUE,"Est. de Fact.";#N/A,#N/A,TRUE,"Capitulo 19";#N/A,#N/A,TRUE,"Proyecto P855"}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hidden="1">{"Sin detalle",#N/A,FALSE,"Flujo (redondeado)";"Detallado",#N/A,FALSE,"Flujo (redondeado)"}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y" hidden="1">{#N/A,#N/A,FALSE,"Costos_Elem_Hid";#N/A,#N/A,FALSE,"Costos_Elem_Hid";#N/A,#N/A,FALSE,"Costos_Elem_Hid"}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E33F0BD9_DDCD_4386_BD14_7DE2581550C6_.wvu.PrintTitles" hidden="1">#REF!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xc" hidden="1">{#N/A,#N/A,TRUE,"Costos_Subg_Hid"}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ㄴ" hidden="1">#REF!</definedName>
    <definedName name="부대공사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/>
  <pivotCaches>
    <pivotCache cacheId="6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N2" i="5"/>
  <c r="O8" i="5" l="1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7" i="5"/>
  <c r="L67" i="5" l="1"/>
  <c r="L568" i="5"/>
  <c r="L570" i="5"/>
  <c r="L572" i="5"/>
  <c r="L165" i="5" l="1"/>
  <c r="L381" i="5"/>
  <c r="L489" i="5"/>
  <c r="L488" i="5"/>
  <c r="L249" i="5"/>
  <c r="L153" i="5"/>
  <c r="L357" i="5"/>
  <c r="L225" i="5"/>
  <c r="L536" i="5"/>
  <c r="L333" i="5"/>
  <c r="L105" i="5"/>
  <c r="L345" i="5"/>
  <c r="L428" i="5"/>
  <c r="L93" i="5"/>
  <c r="L453" i="5"/>
  <c r="L201" i="5"/>
  <c r="L393" i="5"/>
  <c r="L429" i="5"/>
  <c r="L525" i="5"/>
  <c r="L369" i="5"/>
  <c r="L273" i="5"/>
  <c r="L524" i="5"/>
  <c r="L261" i="5"/>
  <c r="L405" i="5"/>
  <c r="L213" i="5"/>
  <c r="L404" i="5"/>
  <c r="L152" i="5"/>
  <c r="L513" i="5"/>
  <c r="L44" i="5"/>
  <c r="L392" i="5"/>
  <c r="L501" i="5"/>
  <c r="L33" i="5"/>
  <c r="L250" i="5"/>
  <c r="L117" i="5"/>
  <c r="L477" i="5"/>
  <c r="L440" i="5"/>
  <c r="L465" i="5"/>
  <c r="L212" i="5"/>
  <c r="L321" i="5"/>
  <c r="L309" i="5"/>
  <c r="L57" i="5"/>
  <c r="L69" i="5"/>
  <c r="L561" i="5"/>
  <c r="L297" i="5"/>
  <c r="L189" i="5"/>
  <c r="L549" i="5"/>
  <c r="L537" i="5"/>
  <c r="L308" i="5"/>
  <c r="L272" i="5"/>
  <c r="L176" i="5"/>
  <c r="L68" i="5"/>
  <c r="L296" i="5"/>
  <c r="L260" i="5"/>
  <c r="L164" i="5"/>
  <c r="L45" i="5"/>
  <c r="L441" i="5"/>
  <c r="L490" i="5"/>
  <c r="L394" i="5"/>
  <c r="L562" i="5"/>
  <c r="L565" i="5"/>
  <c r="L564" i="5"/>
  <c r="L430" i="5"/>
  <c r="L178" i="5"/>
  <c r="L145" i="5"/>
  <c r="L142" i="5"/>
  <c r="L85" i="5"/>
  <c r="L466" i="5"/>
  <c r="L548" i="5"/>
  <c r="L464" i="5"/>
  <c r="L514" i="5"/>
  <c r="L46" i="5"/>
  <c r="L25" i="5"/>
  <c r="L590" i="5"/>
  <c r="L190" i="5"/>
  <c r="L434" i="5"/>
  <c r="L492" i="5"/>
  <c r="L34" i="5"/>
  <c r="L92" i="5"/>
  <c r="L368" i="5"/>
  <c r="L361" i="5"/>
  <c r="L109" i="5"/>
  <c r="L528" i="5"/>
  <c r="L193" i="5"/>
  <c r="L298" i="5"/>
  <c r="L526" i="5"/>
  <c r="L476" i="5"/>
  <c r="L505" i="5"/>
  <c r="L154" i="5"/>
  <c r="L32" i="5"/>
  <c r="L316" i="5"/>
  <c r="L541" i="5"/>
  <c r="L194" i="5"/>
  <c r="L552" i="5"/>
  <c r="L409" i="5"/>
  <c r="L358" i="5"/>
  <c r="L238" i="5"/>
  <c r="L188" i="5"/>
  <c r="L128" i="5"/>
  <c r="L9" i="5"/>
  <c r="L82" i="5"/>
  <c r="L406" i="5"/>
  <c r="L421" i="5"/>
  <c r="L356" i="5"/>
  <c r="L286" i="5"/>
  <c r="L50" i="5"/>
  <c r="L531" i="5"/>
  <c r="L418" i="5"/>
  <c r="L241" i="5"/>
  <c r="L516" i="5"/>
  <c r="L362" i="5"/>
  <c r="L242" i="5"/>
  <c r="L543" i="5"/>
  <c r="L442" i="5"/>
  <c r="L49" i="5"/>
  <c r="L530" i="5"/>
  <c r="L346" i="5"/>
  <c r="L417" i="5"/>
  <c r="L578" i="5"/>
  <c r="L380" i="5"/>
  <c r="L320" i="5"/>
  <c r="L580" i="5"/>
  <c r="L581" i="5"/>
  <c r="L591" i="5"/>
  <c r="L579" i="5"/>
  <c r="L500" i="5"/>
  <c r="L104" i="5"/>
  <c r="L278" i="5"/>
  <c r="L277" i="5"/>
  <c r="L289" i="5"/>
  <c r="L598" i="5"/>
  <c r="L586" i="5"/>
  <c r="L574" i="5"/>
  <c r="L542" i="5"/>
  <c r="L481" i="5"/>
  <c r="L74" i="5"/>
  <c r="L470" i="5"/>
  <c r="L274" i="5"/>
  <c r="L236" i="5"/>
  <c r="L129" i="5"/>
  <c r="L248" i="5"/>
  <c r="L483" i="5"/>
  <c r="L141" i="5"/>
  <c r="L422" i="5"/>
  <c r="L285" i="5"/>
  <c r="L512" i="5"/>
  <c r="L540" i="5"/>
  <c r="L506" i="5"/>
  <c r="L433" i="5"/>
  <c r="L284" i="5"/>
  <c r="L169" i="5"/>
  <c r="L121" i="5"/>
  <c r="L73" i="5"/>
  <c r="L170" i="5"/>
  <c r="L583" i="5"/>
  <c r="L538" i="5"/>
  <c r="L118" i="5"/>
  <c r="L350" i="5"/>
  <c r="L302" i="5"/>
  <c r="L262" i="5"/>
  <c r="L214" i="5"/>
  <c r="L116" i="5"/>
  <c r="L70" i="5"/>
  <c r="L290" i="5"/>
  <c r="L482" i="5"/>
  <c r="L480" i="5"/>
  <c r="L122" i="5"/>
  <c r="L469" i="5"/>
  <c r="L595" i="5"/>
  <c r="L582" i="5"/>
  <c r="L504" i="5"/>
  <c r="L468" i="5"/>
  <c r="L502" i="5"/>
  <c r="L349" i="5"/>
  <c r="L301" i="5"/>
  <c r="L166" i="5"/>
  <c r="L110" i="5"/>
  <c r="L387" i="5"/>
  <c r="L314" i="5"/>
  <c r="L226" i="5"/>
  <c r="L146" i="5"/>
  <c r="L454" i="5"/>
  <c r="L374" i="5"/>
  <c r="L218" i="5"/>
  <c r="L181" i="5"/>
  <c r="L106" i="5"/>
  <c r="L81" i="5"/>
  <c r="L315" i="5"/>
  <c r="L375" i="5"/>
  <c r="L313" i="5"/>
  <c r="L27" i="5"/>
  <c r="L99" i="5"/>
  <c r="L529" i="5"/>
  <c r="L382" i="5"/>
  <c r="L338" i="5"/>
  <c r="L177" i="5"/>
  <c r="L98" i="5"/>
  <c r="L325" i="5"/>
  <c r="L135" i="5"/>
  <c r="L61" i="5"/>
  <c r="L386" i="5"/>
  <c r="L266" i="5"/>
  <c r="L373" i="5"/>
  <c r="L326" i="5"/>
  <c r="L62" i="5"/>
  <c r="L337" i="5"/>
  <c r="L217" i="5"/>
  <c r="L97" i="5"/>
  <c r="L22" i="5"/>
  <c r="L553" i="5"/>
  <c r="L398" i="5"/>
  <c r="L322" i="5"/>
  <c r="L134" i="5"/>
  <c r="L58" i="5"/>
  <c r="L332" i="5"/>
  <c r="L385" i="5"/>
  <c r="L265" i="5"/>
  <c r="L26" i="5"/>
  <c r="L452" i="5"/>
  <c r="L410" i="5"/>
  <c r="L334" i="5"/>
  <c r="L171" i="5"/>
  <c r="L94" i="5"/>
  <c r="L550" i="5"/>
  <c r="L478" i="5"/>
  <c r="L397" i="5"/>
  <c r="L243" i="5"/>
  <c r="L133" i="5"/>
  <c r="L86" i="5"/>
  <c r="L8" i="5"/>
  <c r="L342" i="5"/>
  <c r="L341" i="5"/>
  <c r="L100" i="5"/>
  <c r="L224" i="5"/>
  <c r="L484" i="5"/>
  <c r="L376" i="5"/>
  <c r="L28" i="5"/>
  <c r="L172" i="5"/>
  <c r="L388" i="5"/>
  <c r="L200" i="5"/>
  <c r="L158" i="5"/>
  <c r="L80" i="5"/>
  <c r="L555" i="5"/>
  <c r="L517" i="5"/>
  <c r="L495" i="5"/>
  <c r="L457" i="5"/>
  <c r="L351" i="5"/>
  <c r="L310" i="5"/>
  <c r="L140" i="5"/>
  <c r="L519" i="5"/>
  <c r="L493" i="5"/>
  <c r="L445" i="5"/>
  <c r="L370" i="5"/>
  <c r="L182" i="5"/>
  <c r="L157" i="5"/>
  <c r="L130" i="5"/>
  <c r="L447" i="5"/>
  <c r="L518" i="5"/>
  <c r="L458" i="5"/>
  <c r="L566" i="5"/>
  <c r="L494" i="5"/>
  <c r="L327" i="5"/>
  <c r="L206" i="5"/>
  <c r="L20" i="5"/>
  <c r="L471" i="5"/>
  <c r="L255" i="5"/>
  <c r="L37" i="5"/>
  <c r="L13" i="5"/>
  <c r="L560" i="5"/>
  <c r="L459" i="5"/>
  <c r="L230" i="5"/>
  <c r="L205" i="5"/>
  <c r="L14" i="5"/>
  <c r="L56" i="5"/>
  <c r="L446" i="5"/>
  <c r="L554" i="5"/>
  <c r="L39" i="5"/>
  <c r="L423" i="5"/>
  <c r="L183" i="5"/>
  <c r="L411" i="5"/>
  <c r="L339" i="5"/>
  <c r="L567" i="5"/>
  <c r="L254" i="5"/>
  <c r="L10" i="5"/>
  <c r="L229" i="5"/>
  <c r="L202" i="5"/>
  <c r="L38" i="5"/>
  <c r="L399" i="5"/>
  <c r="L279" i="5"/>
  <c r="L111" i="5"/>
  <c r="L63" i="5"/>
  <c r="L207" i="5"/>
  <c r="L507" i="5"/>
  <c r="L253" i="5"/>
  <c r="L343" i="5"/>
  <c r="L30" i="5"/>
  <c r="L546" i="5"/>
  <c r="L496" i="5"/>
  <c r="L460" i="5"/>
  <c r="L415" i="5"/>
  <c r="L269" i="5"/>
  <c r="L185" i="5"/>
  <c r="L545" i="5"/>
  <c r="L461" i="5"/>
  <c r="L416" i="5"/>
  <c r="L211" i="5"/>
  <c r="L487" i="5"/>
  <c r="L401" i="5"/>
  <c r="L295" i="5"/>
  <c r="L174" i="5"/>
  <c r="L41" i="5"/>
  <c r="L547" i="5"/>
  <c r="L330" i="5"/>
  <c r="L413" i="5"/>
  <c r="L329" i="5"/>
  <c r="L54" i="5"/>
  <c r="L402" i="5"/>
  <c r="L126" i="5"/>
  <c r="L246" i="5"/>
  <c r="L102" i="5"/>
  <c r="L355" i="5"/>
  <c r="L271" i="5"/>
  <c r="L125" i="5"/>
  <c r="L270" i="5"/>
  <c r="L186" i="5"/>
  <c r="L139" i="5"/>
  <c r="L55" i="5"/>
  <c r="L331" i="5"/>
  <c r="L283" i="5"/>
  <c r="L199" i="5"/>
  <c r="L53" i="5"/>
  <c r="L559" i="5"/>
  <c r="L475" i="5"/>
  <c r="L282" i="5"/>
  <c r="L259" i="5"/>
  <c r="L210" i="5"/>
  <c r="L187" i="5"/>
  <c r="L138" i="5"/>
  <c r="L115" i="5"/>
  <c r="L66" i="5"/>
  <c r="L43" i="5"/>
  <c r="L127" i="5"/>
  <c r="L42" i="5"/>
  <c r="L400" i="5"/>
  <c r="L403" i="5"/>
  <c r="L318" i="5"/>
  <c r="L223" i="5"/>
  <c r="L151" i="5"/>
  <c r="L79" i="5"/>
  <c r="L462" i="5"/>
  <c r="L414" i="5"/>
  <c r="L544" i="5"/>
  <c r="L508" i="5"/>
  <c r="L472" i="5"/>
  <c r="L198" i="5"/>
  <c r="L114" i="5"/>
  <c r="L474" i="5"/>
  <c r="L390" i="5"/>
  <c r="L427" i="5"/>
  <c r="L197" i="5"/>
  <c r="L113" i="5"/>
  <c r="L473" i="5"/>
  <c r="L389" i="5"/>
  <c r="L344" i="5"/>
  <c r="L340" i="5"/>
  <c r="L124" i="5"/>
  <c r="L563" i="5"/>
  <c r="L551" i="5"/>
  <c r="L539" i="5"/>
  <c r="L527" i="5"/>
  <c r="L515" i="5"/>
  <c r="L503" i="5"/>
  <c r="L491" i="5"/>
  <c r="L479" i="5"/>
  <c r="L467" i="5"/>
  <c r="L267" i="5"/>
  <c r="L195" i="5"/>
  <c r="L123" i="5"/>
  <c r="L51" i="5"/>
  <c r="L291" i="5"/>
  <c r="L237" i="5"/>
  <c r="L219" i="5"/>
  <c r="L147" i="5"/>
  <c r="L75" i="5"/>
  <c r="L21" i="5"/>
  <c r="L412" i="5"/>
  <c r="L268" i="5"/>
  <c r="L196" i="5"/>
  <c r="L52" i="5"/>
  <c r="L589" i="5"/>
  <c r="L577" i="5"/>
  <c r="L424" i="5"/>
  <c r="L352" i="5"/>
  <c r="L280" i="5"/>
  <c r="L208" i="5"/>
  <c r="L136" i="5"/>
  <c r="L64" i="5"/>
  <c r="L576" i="5"/>
  <c r="L587" i="5"/>
  <c r="L220" i="5"/>
  <c r="L588" i="5"/>
  <c r="L148" i="5"/>
  <c r="L303" i="5"/>
  <c r="L231" i="5"/>
  <c r="L159" i="5"/>
  <c r="L87" i="5"/>
  <c r="L585" i="5"/>
  <c r="L304" i="5"/>
  <c r="L232" i="5"/>
  <c r="L160" i="5"/>
  <c r="L88" i="5"/>
  <c r="L16" i="5"/>
  <c r="L593" i="5"/>
  <c r="L364" i="5"/>
  <c r="L575" i="5"/>
  <c r="L292" i="5"/>
  <c r="L76" i="5"/>
  <c r="L569" i="5"/>
  <c r="L435" i="5"/>
  <c r="L363" i="5"/>
  <c r="L594" i="5"/>
  <c r="L15" i="5"/>
  <c r="L597" i="5"/>
  <c r="L573" i="5"/>
  <c r="L596" i="5"/>
  <c r="L584" i="5"/>
  <c r="L571" i="5"/>
  <c r="L592" i="5"/>
  <c r="AA42" i="5" l="1"/>
  <c r="AA590" i="5"/>
  <c r="L150" i="5"/>
  <c r="L509" i="5"/>
  <c r="L258" i="5"/>
  <c r="L485" i="5"/>
  <c r="L247" i="5"/>
  <c r="L556" i="5"/>
  <c r="L535" i="5"/>
  <c r="L294" i="5"/>
  <c r="L437" i="5"/>
  <c r="L103" i="5"/>
  <c r="L532" i="5"/>
  <c r="L222" i="5"/>
  <c r="L558" i="5"/>
  <c r="L533" i="5"/>
  <c r="L534" i="5"/>
  <c r="L244" i="5"/>
  <c r="L101" i="5"/>
  <c r="L31" i="5"/>
  <c r="L463" i="5"/>
  <c r="L35" i="5"/>
  <c r="L19" i="5"/>
  <c r="L486" i="5"/>
  <c r="L367" i="5"/>
  <c r="L319" i="5"/>
  <c r="L391" i="5"/>
  <c r="L450" i="5"/>
  <c r="L510" i="5"/>
  <c r="L522" i="5"/>
  <c r="L448" i="5"/>
  <c r="L511" i="5"/>
  <c r="L175" i="5"/>
  <c r="L256" i="5"/>
  <c r="L235" i="5"/>
  <c r="L257" i="5"/>
  <c r="L112" i="5"/>
  <c r="L184" i="5"/>
  <c r="L328" i="5"/>
  <c r="L40" i="5"/>
  <c r="L307" i="5"/>
  <c r="L119" i="5"/>
  <c r="L521" i="5"/>
  <c r="L221" i="5"/>
  <c r="L209" i="5"/>
  <c r="L365" i="5"/>
  <c r="L384" i="5"/>
  <c r="L23" i="5"/>
  <c r="L288" i="5"/>
  <c r="L143" i="5"/>
  <c r="L395" i="5"/>
  <c r="L36" i="5"/>
  <c r="L192" i="5"/>
  <c r="L396" i="5"/>
  <c r="L78" i="5"/>
  <c r="L354" i="5"/>
  <c r="L163" i="5"/>
  <c r="L180" i="5"/>
  <c r="L275" i="5"/>
  <c r="L24" i="5"/>
  <c r="L299" i="5"/>
  <c r="L557" i="5"/>
  <c r="L520" i="5"/>
  <c r="L18" i="5"/>
  <c r="L324" i="5"/>
  <c r="L233" i="5"/>
  <c r="L407" i="5"/>
  <c r="L366" i="5"/>
  <c r="L379" i="5"/>
  <c r="L317" i="5"/>
  <c r="L377" i="5"/>
  <c r="L108" i="5"/>
  <c r="L499" i="5"/>
  <c r="L439" i="5"/>
  <c r="L444" i="5"/>
  <c r="L245" i="5"/>
  <c r="L155" i="5"/>
  <c r="L72" i="5"/>
  <c r="L47" i="5"/>
  <c r="L287" i="5"/>
  <c r="L29" i="5"/>
  <c r="L293" i="5"/>
  <c r="L323" i="5"/>
  <c r="L179" i="5"/>
  <c r="L252" i="5"/>
  <c r="L523" i="5"/>
  <c r="L89" i="5"/>
  <c r="L305" i="5"/>
  <c r="L347" i="5"/>
  <c r="L156" i="5"/>
  <c r="L95" i="5"/>
  <c r="L419" i="5"/>
  <c r="L276" i="5"/>
  <c r="L144" i="5"/>
  <c r="L149" i="5"/>
  <c r="L17" i="5"/>
  <c r="L359" i="5"/>
  <c r="L432" i="5"/>
  <c r="L455" i="5"/>
  <c r="L65" i="5"/>
  <c r="L77" i="5"/>
  <c r="L425" i="5"/>
  <c r="L48" i="5"/>
  <c r="L438" i="5"/>
  <c r="L431" i="5"/>
  <c r="L167" i="5"/>
  <c r="L216" i="5"/>
  <c r="L84" i="5"/>
  <c r="L281" i="5"/>
  <c r="L436" i="5"/>
  <c r="L443" i="5"/>
  <c r="L71" i="5"/>
  <c r="L371" i="5"/>
  <c r="L120" i="5"/>
  <c r="L378" i="5"/>
  <c r="L11" i="5"/>
  <c r="L408" i="5"/>
  <c r="L203" i="5"/>
  <c r="L60" i="5"/>
  <c r="L336" i="5"/>
  <c r="L426" i="5"/>
  <c r="L353" i="5"/>
  <c r="L59" i="5"/>
  <c r="L239" i="5"/>
  <c r="L204" i="5"/>
  <c r="L107" i="5"/>
  <c r="L227" i="5"/>
  <c r="L96" i="5"/>
  <c r="L312" i="5"/>
  <c r="L137" i="5"/>
  <c r="L168" i="5"/>
  <c r="L372" i="5"/>
  <c r="L161" i="5"/>
  <c r="L449" i="5"/>
  <c r="L306" i="5"/>
  <c r="L83" i="5"/>
  <c r="L263" i="5"/>
  <c r="L383" i="5"/>
  <c r="L240" i="5"/>
  <c r="L456" i="5"/>
  <c r="L131" i="5"/>
  <c r="L251" i="5"/>
  <c r="L132" i="5"/>
  <c r="L348" i="5"/>
  <c r="L498" i="5"/>
  <c r="L497" i="5"/>
  <c r="L173" i="5"/>
  <c r="L451" i="5"/>
  <c r="L228" i="5"/>
  <c r="L311" i="5"/>
  <c r="L335" i="5"/>
  <c r="L420" i="5"/>
  <c r="L264" i="5"/>
  <c r="L90" i="5"/>
  <c r="L191" i="5"/>
  <c r="L360" i="5"/>
  <c r="L12" i="5"/>
  <c r="L300" i="5"/>
  <c r="L215" i="5"/>
  <c r="L162" i="5"/>
  <c r="L91" i="5"/>
  <c r="L234" i="5"/>
  <c r="AA18" i="5" l="1"/>
  <c r="V186" i="5" l="1"/>
  <c r="AA7" i="5" l="1"/>
  <c r="Z186" i="5" l="1"/>
  <c r="X2" i="5" l="1"/>
  <c r="T2" i="5"/>
  <c r="AE9" i="5" l="1"/>
  <c r="AE465" i="5"/>
  <c r="AA186" i="5" l="1"/>
  <c r="AA439" i="5"/>
  <c r="AA430" i="5"/>
  <c r="AA9" i="5"/>
  <c r="AA8" i="5"/>
  <c r="AA10" i="5"/>
  <c r="AA11" i="5"/>
  <c r="AA12" i="5"/>
  <c r="AA13" i="5"/>
  <c r="AA14" i="5"/>
  <c r="AA15" i="5"/>
  <c r="AA16" i="5"/>
  <c r="AA17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1" i="5"/>
  <c r="AA432" i="5"/>
  <c r="AA433" i="5"/>
  <c r="AA434" i="5"/>
  <c r="AA435" i="5"/>
  <c r="AA436" i="5"/>
  <c r="AA437" i="5"/>
  <c r="AA438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R8" i="5" l="1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7" i="5"/>
  <c r="R2" i="5" l="1"/>
  <c r="K10" i="3"/>
  <c r="E1" i="38"/>
  <c r="AA569" i="5" l="1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1" i="5"/>
  <c r="AA592" i="5"/>
  <c r="AA593" i="5"/>
  <c r="AA594" i="5"/>
  <c r="AA595" i="5"/>
  <c r="A76" i="1"/>
  <c r="B76" i="1" s="1"/>
  <c r="A76" i="4"/>
  <c r="L76" i="4" s="1"/>
  <c r="A76" i="2"/>
  <c r="D76" i="2" s="1"/>
  <c r="L76" i="3"/>
  <c r="K76" i="3"/>
  <c r="H76" i="3"/>
  <c r="G76" i="3"/>
  <c r="D76" i="3"/>
  <c r="B76" i="3"/>
  <c r="B77" i="3"/>
  <c r="B70" i="3"/>
  <c r="B71" i="3"/>
  <c r="A46" i="1"/>
  <c r="G46" i="1" s="1"/>
  <c r="A46" i="4"/>
  <c r="G46" i="4" s="1"/>
  <c r="A46" i="2"/>
  <c r="G46" i="2" s="1"/>
  <c r="B47" i="3"/>
  <c r="B46" i="3"/>
  <c r="B45" i="3"/>
  <c r="B44" i="3"/>
  <c r="B43" i="3"/>
  <c r="B42" i="3"/>
  <c r="B41" i="3"/>
  <c r="B40" i="3"/>
  <c r="B39" i="3"/>
  <c r="L46" i="3"/>
  <c r="K46" i="3"/>
  <c r="H46" i="3"/>
  <c r="G46" i="3"/>
  <c r="D46" i="3"/>
  <c r="A35" i="1"/>
  <c r="G35" i="1" s="1"/>
  <c r="A35" i="4"/>
  <c r="A35" i="2"/>
  <c r="G35" i="2" s="1"/>
  <c r="B36" i="3"/>
  <c r="A34" i="1"/>
  <c r="A36" i="1"/>
  <c r="B36" i="1" s="1"/>
  <c r="A36" i="4"/>
  <c r="B36" i="4" s="1"/>
  <c r="A36" i="2"/>
  <c r="L35" i="3"/>
  <c r="K35" i="3"/>
  <c r="H35" i="3"/>
  <c r="G35" i="3"/>
  <c r="D35" i="3"/>
  <c r="B35" i="3"/>
  <c r="D10" i="3"/>
  <c r="D11" i="3"/>
  <c r="D12" i="3"/>
  <c r="D13" i="3"/>
  <c r="B76" i="4" l="1"/>
  <c r="G76" i="4"/>
  <c r="D76" i="1"/>
  <c r="G76" i="1"/>
  <c r="D76" i="4"/>
  <c r="K76" i="4"/>
  <c r="M76" i="4" s="1"/>
  <c r="K76" i="2"/>
  <c r="B76" i="2"/>
  <c r="G76" i="2"/>
  <c r="L76" i="2"/>
  <c r="P76" i="3"/>
  <c r="O76" i="3"/>
  <c r="I76" i="3"/>
  <c r="M76" i="3"/>
  <c r="K46" i="2"/>
  <c r="O46" i="2" s="1"/>
  <c r="K35" i="4"/>
  <c r="K46" i="4"/>
  <c r="O46" i="4" s="1"/>
  <c r="M46" i="3"/>
  <c r="I35" i="3"/>
  <c r="P35" i="3"/>
  <c r="O46" i="3"/>
  <c r="P46" i="3"/>
  <c r="O35" i="3"/>
  <c r="B46" i="1"/>
  <c r="D46" i="1"/>
  <c r="L46" i="4"/>
  <c r="B46" i="4"/>
  <c r="D46" i="4"/>
  <c r="L46" i="2"/>
  <c r="B46" i="2"/>
  <c r="D46" i="2"/>
  <c r="K35" i="2"/>
  <c r="O35" i="2" s="1"/>
  <c r="I46" i="3"/>
  <c r="B35" i="1"/>
  <c r="D35" i="1"/>
  <c r="L35" i="4"/>
  <c r="B35" i="4"/>
  <c r="D35" i="4"/>
  <c r="G35" i="4"/>
  <c r="L35" i="2"/>
  <c r="B35" i="2"/>
  <c r="D35" i="2"/>
  <c r="M35" i="3"/>
  <c r="M76" i="2" l="1"/>
  <c r="Q76" i="3"/>
  <c r="O76" i="4"/>
  <c r="O76" i="2"/>
  <c r="Q46" i="3"/>
  <c r="M46" i="4"/>
  <c r="M46" i="2"/>
  <c r="M35" i="4"/>
  <c r="O35" i="4"/>
  <c r="M35" i="2"/>
  <c r="Q35" i="3"/>
  <c r="S2" i="5" l="1"/>
  <c r="Z36" i="5" l="1"/>
  <c r="V369" i="5" l="1"/>
  <c r="A45" i="1" l="1"/>
  <c r="D45" i="1" s="1"/>
  <c r="A47" i="1"/>
  <c r="D47" i="1" s="1"/>
  <c r="A45" i="4"/>
  <c r="L45" i="4" s="1"/>
  <c r="A47" i="4"/>
  <c r="B47" i="4" s="1"/>
  <c r="A45" i="2"/>
  <c r="A47" i="2"/>
  <c r="L47" i="2" s="1"/>
  <c r="L47" i="3"/>
  <c r="K47" i="3"/>
  <c r="D47" i="3"/>
  <c r="L45" i="3"/>
  <c r="K45" i="3"/>
  <c r="D45" i="3"/>
  <c r="D47" i="4" l="1"/>
  <c r="B47" i="2"/>
  <c r="K47" i="4"/>
  <c r="D47" i="2"/>
  <c r="L47" i="4"/>
  <c r="K47" i="2"/>
  <c r="M47" i="2" s="1"/>
  <c r="B47" i="1"/>
  <c r="K45" i="2"/>
  <c r="L45" i="2"/>
  <c r="B45" i="4"/>
  <c r="K45" i="4"/>
  <c r="M45" i="4" s="1"/>
  <c r="B45" i="1"/>
  <c r="D45" i="4"/>
  <c r="B45" i="2"/>
  <c r="D45" i="2"/>
  <c r="M45" i="3"/>
  <c r="M47" i="3"/>
  <c r="M47" i="4" l="1"/>
  <c r="M45" i="2"/>
  <c r="G47" i="2"/>
  <c r="G45" i="2"/>
  <c r="O45" i="2" l="1"/>
  <c r="O47" i="2"/>
  <c r="AB2" i="5" l="1"/>
  <c r="AC2" i="5"/>
  <c r="W2" i="5"/>
  <c r="Y2" i="5"/>
  <c r="P2" i="5"/>
  <c r="Q2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V7" i="5"/>
  <c r="V8" i="5"/>
  <c r="V10" i="5"/>
  <c r="V11" i="5"/>
  <c r="V12" i="5"/>
  <c r="V13" i="5"/>
  <c r="V14" i="5"/>
  <c r="V16" i="5"/>
  <c r="V17" i="5"/>
  <c r="V19" i="5"/>
  <c r="AE19" i="5" s="1"/>
  <c r="V20" i="5"/>
  <c r="AE20" i="5" s="1"/>
  <c r="V21" i="5"/>
  <c r="AE21" i="5" s="1"/>
  <c r="V22" i="5"/>
  <c r="V24" i="5"/>
  <c r="V26" i="5"/>
  <c r="V27" i="5"/>
  <c r="V28" i="5"/>
  <c r="V29" i="5"/>
  <c r="V30" i="5"/>
  <c r="V31" i="5"/>
  <c r="V32" i="5"/>
  <c r="V33" i="5"/>
  <c r="V35" i="5"/>
  <c r="V38" i="5"/>
  <c r="V39" i="5"/>
  <c r="V40" i="5"/>
  <c r="V41" i="5"/>
  <c r="V42" i="5"/>
  <c r="V51" i="5"/>
  <c r="V52" i="5"/>
  <c r="V53" i="5"/>
  <c r="V54" i="5"/>
  <c r="V56" i="5"/>
  <c r="V57" i="5"/>
  <c r="V58" i="5"/>
  <c r="V59" i="5"/>
  <c r="V60" i="5"/>
  <c r="V61" i="5"/>
  <c r="V62" i="5"/>
  <c r="V64" i="5"/>
  <c r="V65" i="5"/>
  <c r="V66" i="5"/>
  <c r="V67" i="5"/>
  <c r="V68" i="5"/>
  <c r="V70" i="5"/>
  <c r="V72" i="5"/>
  <c r="V73" i="5"/>
  <c r="V74" i="5"/>
  <c r="V75" i="5"/>
  <c r="V76" i="5"/>
  <c r="V77" i="5"/>
  <c r="V78" i="5"/>
  <c r="V79" i="5"/>
  <c r="V80" i="5"/>
  <c r="V81" i="5"/>
  <c r="V82" i="5"/>
  <c r="V84" i="5"/>
  <c r="V85" i="5"/>
  <c r="V86" i="5"/>
  <c r="V87" i="5"/>
  <c r="V88" i="5"/>
  <c r="V89" i="5"/>
  <c r="V90" i="5"/>
  <c r="V92" i="5"/>
  <c r="V93" i="5"/>
  <c r="V94" i="5"/>
  <c r="V95" i="5"/>
  <c r="V96" i="5"/>
  <c r="V97" i="5"/>
  <c r="V98" i="5"/>
  <c r="V99" i="5"/>
  <c r="V100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5" i="5"/>
  <c r="V176" i="5"/>
  <c r="V177" i="5"/>
  <c r="V178" i="5"/>
  <c r="V179" i="5"/>
  <c r="V180" i="5"/>
  <c r="V181" i="5"/>
  <c r="V183" i="5"/>
  <c r="V184" i="5"/>
  <c r="V185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3" i="5"/>
  <c r="V224" i="5"/>
  <c r="V225" i="5"/>
  <c r="V226" i="5"/>
  <c r="V227" i="5"/>
  <c r="V228" i="5"/>
  <c r="V229" i="5"/>
  <c r="V230" i="5"/>
  <c r="V231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1" i="5"/>
  <c r="V312" i="5"/>
  <c r="V313" i="5"/>
  <c r="V314" i="5"/>
  <c r="V315" i="5"/>
  <c r="V317" i="5"/>
  <c r="V318" i="5"/>
  <c r="V319" i="5"/>
  <c r="V321" i="5"/>
  <c r="V322" i="5"/>
  <c r="V323" i="5"/>
  <c r="V325" i="5"/>
  <c r="V326" i="5"/>
  <c r="V327" i="5"/>
  <c r="V328" i="5"/>
  <c r="V329" i="5"/>
  <c r="V331" i="5"/>
  <c r="V332" i="5"/>
  <c r="V333" i="5"/>
  <c r="V335" i="5"/>
  <c r="V336" i="5"/>
  <c r="V337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9" i="5"/>
  <c r="V360" i="5"/>
  <c r="V361" i="5"/>
  <c r="V362" i="5"/>
  <c r="V363" i="5"/>
  <c r="V364" i="5"/>
  <c r="V365" i="5"/>
  <c r="V367" i="5"/>
  <c r="V370" i="5"/>
  <c r="V371" i="5"/>
  <c r="V372" i="5"/>
  <c r="V373" i="5"/>
  <c r="V374" i="5"/>
  <c r="V375" i="5"/>
  <c r="V377" i="5"/>
  <c r="V378" i="5"/>
  <c r="V379" i="5"/>
  <c r="V381" i="5"/>
  <c r="V382" i="5"/>
  <c r="V383" i="5"/>
  <c r="V385" i="5"/>
  <c r="V386" i="5"/>
  <c r="V387" i="5"/>
  <c r="V388" i="5"/>
  <c r="V389" i="5"/>
  <c r="V390" i="5"/>
  <c r="V391" i="5"/>
  <c r="V393" i="5"/>
  <c r="V395" i="5"/>
  <c r="V396" i="5"/>
  <c r="V397" i="5"/>
  <c r="V398" i="5"/>
  <c r="V399" i="5"/>
  <c r="V400" i="5"/>
  <c r="V401" i="5"/>
  <c r="V402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2" i="5"/>
  <c r="V423" i="5"/>
  <c r="V424" i="5"/>
  <c r="V425" i="5"/>
  <c r="V427" i="5"/>
  <c r="V428" i="5"/>
  <c r="V429" i="5"/>
  <c r="V431" i="5"/>
  <c r="V432" i="5"/>
  <c r="V433" i="5"/>
  <c r="V435" i="5"/>
  <c r="V436" i="5"/>
  <c r="V437" i="5"/>
  <c r="V438" i="5"/>
  <c r="V440" i="5"/>
  <c r="V441" i="5"/>
  <c r="V442" i="5"/>
  <c r="V444" i="5"/>
  <c r="V446" i="5"/>
  <c r="V447" i="5"/>
  <c r="V448" i="5"/>
  <c r="V449" i="5"/>
  <c r="V450" i="5"/>
  <c r="V451" i="5"/>
  <c r="V452" i="5"/>
  <c r="V454" i="5"/>
  <c r="V455" i="5"/>
  <c r="V456" i="5"/>
  <c r="V460" i="5"/>
  <c r="V462" i="5"/>
  <c r="V464" i="5"/>
  <c r="V466" i="5"/>
  <c r="V468" i="5"/>
  <c r="V469" i="5"/>
  <c r="V470" i="5"/>
  <c r="V472" i="5"/>
  <c r="V473" i="5"/>
  <c r="V474" i="5"/>
  <c r="V475" i="5"/>
  <c r="V476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2" i="5"/>
  <c r="V504" i="5"/>
  <c r="V506" i="5"/>
  <c r="V508" i="5"/>
  <c r="V510" i="5"/>
  <c r="V511" i="5"/>
  <c r="V512" i="5"/>
  <c r="V513" i="5"/>
  <c r="V514" i="5"/>
  <c r="V515" i="5"/>
  <c r="V516" i="5"/>
  <c r="V518" i="5"/>
  <c r="V520" i="5"/>
  <c r="V522" i="5"/>
  <c r="V523" i="5"/>
  <c r="V524" i="5"/>
  <c r="V526" i="5"/>
  <c r="V528" i="5"/>
  <c r="V529" i="5"/>
  <c r="V532" i="5"/>
  <c r="V533" i="5"/>
  <c r="V534" i="5"/>
  <c r="V535" i="5"/>
  <c r="V536" i="5"/>
  <c r="V537" i="5"/>
  <c r="V538" i="5"/>
  <c r="V539" i="5"/>
  <c r="V540" i="5"/>
  <c r="V541" i="5"/>
  <c r="V542" i="5"/>
  <c r="V544" i="5"/>
  <c r="V545" i="5"/>
  <c r="V546" i="5"/>
  <c r="V547" i="5"/>
  <c r="V549" i="5"/>
  <c r="V550" i="5"/>
  <c r="V551" i="5"/>
  <c r="V552" i="5"/>
  <c r="V553" i="5"/>
  <c r="V555" i="5"/>
  <c r="V557" i="5"/>
  <c r="V558" i="5"/>
  <c r="V559" i="5"/>
  <c r="V560" i="5"/>
  <c r="V561" i="5"/>
  <c r="V562" i="5"/>
  <c r="V563" i="5"/>
  <c r="V564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AE588" i="5" l="1"/>
  <c r="AE492" i="5"/>
  <c r="AE388" i="5"/>
  <c r="AE42" i="5"/>
  <c r="AE587" i="5"/>
  <c r="AE555" i="5"/>
  <c r="AE547" i="5"/>
  <c r="AE491" i="5"/>
  <c r="AE16" i="5"/>
  <c r="AE483" i="5"/>
  <c r="AE484" i="5"/>
  <c r="AE579" i="5"/>
  <c r="AE586" i="5"/>
  <c r="AE578" i="5"/>
  <c r="AE554" i="5"/>
  <c r="AE498" i="5"/>
  <c r="AE490" i="5"/>
  <c r="AE585" i="5"/>
  <c r="AE553" i="5"/>
  <c r="AE497" i="5"/>
  <c r="AE489" i="5"/>
  <c r="AE425" i="5"/>
  <c r="AE584" i="5"/>
  <c r="AE552" i="5"/>
  <c r="AE496" i="5"/>
  <c r="AE488" i="5"/>
  <c r="AE424" i="5"/>
  <c r="AE583" i="5"/>
  <c r="AE559" i="5"/>
  <c r="AE551" i="5"/>
  <c r="AE495" i="5"/>
  <c r="AE487" i="5"/>
  <c r="AE423" i="5"/>
  <c r="AE133" i="5"/>
  <c r="AE53" i="5"/>
  <c r="AE12" i="5"/>
  <c r="AE590" i="5"/>
  <c r="AE582" i="5"/>
  <c r="AE550" i="5"/>
  <c r="AE494" i="5"/>
  <c r="AE11" i="5"/>
  <c r="AE589" i="5"/>
  <c r="AE557" i="5"/>
  <c r="AE549" i="5"/>
  <c r="AE493" i="5"/>
  <c r="AE389" i="5"/>
  <c r="AE10" i="5"/>
  <c r="AE7" i="5"/>
  <c r="AE8" i="5"/>
  <c r="Z2" i="5"/>
  <c r="A90" i="1"/>
  <c r="B90" i="1" s="1"/>
  <c r="A71" i="1"/>
  <c r="K71" i="1" s="1"/>
  <c r="A71" i="4"/>
  <c r="A70" i="4"/>
  <c r="A71" i="2"/>
  <c r="L71" i="2" s="1"/>
  <c r="L71" i="3"/>
  <c r="K71" i="3"/>
  <c r="H71" i="3"/>
  <c r="G71" i="3"/>
  <c r="A28" i="1"/>
  <c r="B28" i="1" s="1"/>
  <c r="A27" i="1"/>
  <c r="A27" i="4"/>
  <c r="K27" i="4" s="1"/>
  <c r="A28" i="4"/>
  <c r="H28" i="4" s="1"/>
  <c r="A26" i="2"/>
  <c r="B26" i="2" s="1"/>
  <c r="A27" i="2"/>
  <c r="G27" i="2" s="1"/>
  <c r="A28" i="2"/>
  <c r="D28" i="2" s="1"/>
  <c r="L28" i="3"/>
  <c r="K28" i="3"/>
  <c r="H28" i="3"/>
  <c r="G28" i="3"/>
  <c r="D28" i="3"/>
  <c r="B28" i="3"/>
  <c r="L27" i="3"/>
  <c r="K27" i="3"/>
  <c r="B27" i="3"/>
  <c r="A26" i="1"/>
  <c r="B26" i="1" s="1"/>
  <c r="A25" i="1"/>
  <c r="A25" i="2"/>
  <c r="G25" i="2" s="1"/>
  <c r="A26" i="4"/>
  <c r="B26" i="4" s="1"/>
  <c r="A25" i="4"/>
  <c r="L26" i="3"/>
  <c r="K26" i="3"/>
  <c r="B26" i="3"/>
  <c r="L25" i="3"/>
  <c r="K25" i="3"/>
  <c r="B25" i="3"/>
  <c r="A106" i="1"/>
  <c r="B106" i="1" s="1"/>
  <c r="A105" i="1"/>
  <c r="A104" i="1"/>
  <c r="A106" i="4"/>
  <c r="B106" i="4" s="1"/>
  <c r="A105" i="4"/>
  <c r="A104" i="4"/>
  <c r="H104" i="4" s="1"/>
  <c r="A106" i="2"/>
  <c r="B106" i="2" s="1"/>
  <c r="A98" i="1"/>
  <c r="A99" i="1"/>
  <c r="A100" i="1"/>
  <c r="A101" i="1"/>
  <c r="A102" i="1"/>
  <c r="A103" i="1"/>
  <c r="A103" i="4"/>
  <c r="B103" i="4" s="1"/>
  <c r="A102" i="4"/>
  <c r="A101" i="4"/>
  <c r="A100" i="4"/>
  <c r="K100" i="4" s="1"/>
  <c r="A99" i="4"/>
  <c r="K99" i="4" s="1"/>
  <c r="A105" i="2"/>
  <c r="B105" i="2" s="1"/>
  <c r="A104" i="2"/>
  <c r="A103" i="2"/>
  <c r="H103" i="2" s="1"/>
  <c r="A102" i="2"/>
  <c r="K102" i="2" s="1"/>
  <c r="A101" i="2"/>
  <c r="K101" i="2" s="1"/>
  <c r="A100" i="2"/>
  <c r="L100" i="2" s="1"/>
  <c r="A99" i="2"/>
  <c r="B99" i="2" s="1"/>
  <c r="L106" i="3"/>
  <c r="K106" i="3"/>
  <c r="H106" i="3"/>
  <c r="G106" i="3"/>
  <c r="E106" i="3"/>
  <c r="D106" i="3"/>
  <c r="B106" i="3"/>
  <c r="L105" i="3"/>
  <c r="K105" i="3"/>
  <c r="B105" i="3"/>
  <c r="L104" i="3"/>
  <c r="K104" i="3"/>
  <c r="B104" i="3"/>
  <c r="L103" i="3"/>
  <c r="K103" i="3"/>
  <c r="B103" i="3"/>
  <c r="L102" i="3"/>
  <c r="K102" i="3"/>
  <c r="B102" i="3"/>
  <c r="L101" i="3"/>
  <c r="K101" i="3"/>
  <c r="B101" i="3"/>
  <c r="L100" i="3"/>
  <c r="K100" i="3"/>
  <c r="B100" i="3"/>
  <c r="L99" i="3"/>
  <c r="K99" i="3"/>
  <c r="B99" i="3"/>
  <c r="L25" i="4" l="1"/>
  <c r="H25" i="4"/>
  <c r="L70" i="4"/>
  <c r="K70" i="4"/>
  <c r="G70" i="4"/>
  <c r="E71" i="3"/>
  <c r="K90" i="1"/>
  <c r="L90" i="1"/>
  <c r="B70" i="4"/>
  <c r="E71" i="1"/>
  <c r="G71" i="1"/>
  <c r="H71" i="1"/>
  <c r="P71" i="3"/>
  <c r="M71" i="3"/>
  <c r="M28" i="3"/>
  <c r="L71" i="1"/>
  <c r="M71" i="1" s="1"/>
  <c r="P71" i="1" s="1"/>
  <c r="O71" i="3"/>
  <c r="I71" i="3"/>
  <c r="B71" i="2"/>
  <c r="E71" i="2"/>
  <c r="G71" i="2"/>
  <c r="H71" i="2"/>
  <c r="P71" i="2" s="1"/>
  <c r="K71" i="2"/>
  <c r="M71" i="2" s="1"/>
  <c r="H27" i="4"/>
  <c r="B71" i="1"/>
  <c r="E28" i="1"/>
  <c r="K27" i="1"/>
  <c r="D28" i="1"/>
  <c r="G28" i="1"/>
  <c r="H28" i="1"/>
  <c r="M27" i="3"/>
  <c r="P28" i="3"/>
  <c r="L27" i="1"/>
  <c r="K28" i="1"/>
  <c r="L28" i="1"/>
  <c r="B27" i="1"/>
  <c r="B28" i="4"/>
  <c r="D28" i="4"/>
  <c r="E28" i="4"/>
  <c r="G28" i="4"/>
  <c r="I28" i="4" s="1"/>
  <c r="L27" i="4"/>
  <c r="K28" i="4"/>
  <c r="L28" i="4"/>
  <c r="P28" i="4" s="1"/>
  <c r="B27" i="4"/>
  <c r="B28" i="2"/>
  <c r="H27" i="2"/>
  <c r="I27" i="2" s="1"/>
  <c r="E28" i="2"/>
  <c r="G28" i="2"/>
  <c r="K27" i="2"/>
  <c r="H28" i="2"/>
  <c r="L27" i="2"/>
  <c r="K28" i="2"/>
  <c r="L28" i="2"/>
  <c r="B27" i="2"/>
  <c r="O28" i="3"/>
  <c r="I28" i="3"/>
  <c r="M26" i="3"/>
  <c r="M25" i="3"/>
  <c r="H26" i="4"/>
  <c r="K25" i="4"/>
  <c r="G26" i="2"/>
  <c r="K25" i="2"/>
  <c r="H26" i="2"/>
  <c r="L25" i="2"/>
  <c r="K26" i="2"/>
  <c r="L26" i="2"/>
  <c r="B25" i="2"/>
  <c r="G106" i="2"/>
  <c r="D106" i="2"/>
  <c r="E106" i="2"/>
  <c r="K26" i="4"/>
  <c r="L26" i="4"/>
  <c r="B25" i="4"/>
  <c r="L104" i="4"/>
  <c r="P104" i="4" s="1"/>
  <c r="E106" i="4"/>
  <c r="H105" i="4"/>
  <c r="K105" i="4"/>
  <c r="L105" i="4"/>
  <c r="D106" i="4"/>
  <c r="G106" i="4"/>
  <c r="K104" i="4"/>
  <c r="H106" i="4"/>
  <c r="K26" i="1"/>
  <c r="L26" i="1"/>
  <c r="B25" i="1"/>
  <c r="K104" i="1"/>
  <c r="D106" i="1"/>
  <c r="E106" i="1"/>
  <c r="L104" i="1"/>
  <c r="G106" i="1"/>
  <c r="K105" i="1"/>
  <c r="H106" i="1"/>
  <c r="L105" i="1"/>
  <c r="K106" i="1"/>
  <c r="L106" i="1"/>
  <c r="B104" i="1"/>
  <c r="B105" i="1"/>
  <c r="K106" i="4"/>
  <c r="L106" i="4"/>
  <c r="B104" i="4"/>
  <c r="B105" i="4"/>
  <c r="L99" i="4"/>
  <c r="M99" i="4" s="1"/>
  <c r="L100" i="4"/>
  <c r="M100" i="4" s="1"/>
  <c r="K101" i="4"/>
  <c r="H106" i="2"/>
  <c r="K106" i="2"/>
  <c r="L106" i="2"/>
  <c r="L101" i="2"/>
  <c r="M101" i="2" s="1"/>
  <c r="G102" i="2"/>
  <c r="O102" i="2" s="1"/>
  <c r="L102" i="2"/>
  <c r="M102" i="2" s="1"/>
  <c r="G103" i="2"/>
  <c r="I103" i="2" s="1"/>
  <c r="K103" i="2"/>
  <c r="G104" i="2"/>
  <c r="G101" i="2"/>
  <c r="O101" i="2" s="1"/>
  <c r="H104" i="2"/>
  <c r="L101" i="4"/>
  <c r="B99" i="4"/>
  <c r="K102" i="4"/>
  <c r="H103" i="4"/>
  <c r="L102" i="4"/>
  <c r="B100" i="4"/>
  <c r="K103" i="4"/>
  <c r="L103" i="4"/>
  <c r="B101" i="4"/>
  <c r="B102" i="4"/>
  <c r="G99" i="2"/>
  <c r="L103" i="2"/>
  <c r="P103" i="2" s="1"/>
  <c r="G105" i="2"/>
  <c r="B101" i="2"/>
  <c r="K104" i="2"/>
  <c r="H105" i="2"/>
  <c r="G100" i="2"/>
  <c r="L104" i="2"/>
  <c r="B100" i="2"/>
  <c r="K99" i="2"/>
  <c r="B102" i="2"/>
  <c r="K105" i="2"/>
  <c r="L105" i="2"/>
  <c r="K100" i="2"/>
  <c r="M100" i="2" s="1"/>
  <c r="B103" i="2"/>
  <c r="L99" i="2"/>
  <c r="B104" i="2"/>
  <c r="P106" i="3"/>
  <c r="M102" i="3"/>
  <c r="M104" i="3"/>
  <c r="M103" i="3"/>
  <c r="M105" i="3"/>
  <c r="M100" i="3"/>
  <c r="M99" i="3"/>
  <c r="O106" i="3"/>
  <c r="M101" i="3"/>
  <c r="M106" i="3"/>
  <c r="I106" i="3"/>
  <c r="B99" i="1"/>
  <c r="B100" i="1"/>
  <c r="K103" i="1"/>
  <c r="L103" i="1"/>
  <c r="B101" i="1"/>
  <c r="B102" i="1"/>
  <c r="B103" i="1"/>
  <c r="P25" i="4" l="1"/>
  <c r="O70" i="4"/>
  <c r="M70" i="4"/>
  <c r="M90" i="1"/>
  <c r="P90" i="1" s="1"/>
  <c r="I71" i="1"/>
  <c r="O71" i="1" s="1"/>
  <c r="Q71" i="1" s="1"/>
  <c r="Q28" i="3"/>
  <c r="Q71" i="3"/>
  <c r="I28" i="1"/>
  <c r="O28" i="1" s="1"/>
  <c r="I71" i="2"/>
  <c r="Q71" i="2" s="1"/>
  <c r="O71" i="2"/>
  <c r="P27" i="4"/>
  <c r="M28" i="2"/>
  <c r="M28" i="1"/>
  <c r="P28" i="1" s="1"/>
  <c r="M27" i="2"/>
  <c r="Q27" i="2" s="1"/>
  <c r="M27" i="1"/>
  <c r="P27" i="1" s="1"/>
  <c r="M28" i="4"/>
  <c r="Q28" i="4" s="1"/>
  <c r="O28" i="4"/>
  <c r="M27" i="4"/>
  <c r="P28" i="2"/>
  <c r="O28" i="2"/>
  <c r="I28" i="2"/>
  <c r="P27" i="2"/>
  <c r="O27" i="2"/>
  <c r="M104" i="4"/>
  <c r="P26" i="4"/>
  <c r="M25" i="4"/>
  <c r="M26" i="2"/>
  <c r="I106" i="4"/>
  <c r="M105" i="4"/>
  <c r="I106" i="2"/>
  <c r="P106" i="4"/>
  <c r="M26" i="1"/>
  <c r="P26" i="1" s="1"/>
  <c r="P26" i="2"/>
  <c r="M25" i="2"/>
  <c r="O26" i="2"/>
  <c r="I26" i="2"/>
  <c r="O25" i="2"/>
  <c r="M26" i="4"/>
  <c r="P105" i="4"/>
  <c r="M106" i="1"/>
  <c r="P106" i="1" s="1"/>
  <c r="I106" i="1"/>
  <c r="O106" i="1" s="1"/>
  <c r="M104" i="1"/>
  <c r="P104" i="1" s="1"/>
  <c r="M105" i="1"/>
  <c r="P105" i="1" s="1"/>
  <c r="M106" i="2"/>
  <c r="M106" i="4"/>
  <c r="O106" i="4"/>
  <c r="M103" i="4"/>
  <c r="P106" i="2"/>
  <c r="O106" i="2"/>
  <c r="I104" i="2"/>
  <c r="P104" i="2"/>
  <c r="O103" i="2"/>
  <c r="M99" i="2"/>
  <c r="P103" i="4"/>
  <c r="M105" i="2"/>
  <c r="M104" i="2"/>
  <c r="M102" i="4"/>
  <c r="M101" i="4"/>
  <c r="O100" i="2"/>
  <c r="O99" i="2"/>
  <c r="P105" i="2"/>
  <c r="O104" i="2"/>
  <c r="O105" i="2"/>
  <c r="I105" i="2"/>
  <c r="M103" i="2"/>
  <c r="Q103" i="2" s="1"/>
  <c r="Q106" i="3"/>
  <c r="R106" i="3" s="1"/>
  <c r="M103" i="1"/>
  <c r="P103" i="1" s="1"/>
  <c r="Q28" i="1" l="1"/>
  <c r="Q28" i="2"/>
  <c r="Q106" i="1"/>
  <c r="Q26" i="2"/>
  <c r="Q106" i="2"/>
  <c r="Q106" i="4"/>
  <c r="Q104" i="2"/>
  <c r="Q105" i="2"/>
  <c r="A90" i="4" l="1"/>
  <c r="H90" i="4" s="1"/>
  <c r="A89" i="4"/>
  <c r="K89" i="4" s="1"/>
  <c r="A88" i="4"/>
  <c r="K88" i="4" s="1"/>
  <c r="A87" i="4"/>
  <c r="A90" i="2"/>
  <c r="A89" i="2"/>
  <c r="H89" i="2" s="1"/>
  <c r="A88" i="2"/>
  <c r="K88" i="2" s="1"/>
  <c r="A87" i="2"/>
  <c r="L87" i="2" s="1"/>
  <c r="L90" i="3"/>
  <c r="K90" i="3"/>
  <c r="B90" i="3"/>
  <c r="A84" i="1"/>
  <c r="A83" i="1"/>
  <c r="A89" i="1"/>
  <c r="B89" i="1" s="1"/>
  <c r="A88" i="1"/>
  <c r="A87" i="1"/>
  <c r="L89" i="3"/>
  <c r="K89" i="3"/>
  <c r="B89" i="3"/>
  <c r="L88" i="3"/>
  <c r="K88" i="3"/>
  <c r="H88" i="3"/>
  <c r="B88" i="3"/>
  <c r="L87" i="3"/>
  <c r="K87" i="3"/>
  <c r="B87" i="3"/>
  <c r="L88" i="4" l="1"/>
  <c r="M88" i="4" s="1"/>
  <c r="L89" i="4"/>
  <c r="M89" i="4" s="1"/>
  <c r="K90" i="4"/>
  <c r="L90" i="4"/>
  <c r="P90" i="4" s="1"/>
  <c r="B88" i="4"/>
  <c r="B89" i="4"/>
  <c r="B87" i="4"/>
  <c r="K87" i="4"/>
  <c r="B90" i="4"/>
  <c r="L87" i="4"/>
  <c r="H89" i="4"/>
  <c r="L88" i="2"/>
  <c r="M88" i="2" s="1"/>
  <c r="K89" i="2"/>
  <c r="G90" i="2"/>
  <c r="H90" i="2"/>
  <c r="K90" i="2"/>
  <c r="L90" i="2"/>
  <c r="B88" i="2"/>
  <c r="L89" i="2"/>
  <c r="B87" i="2"/>
  <c r="G87" i="2"/>
  <c r="B89" i="2"/>
  <c r="G88" i="2"/>
  <c r="K87" i="2"/>
  <c r="M87" i="2" s="1"/>
  <c r="B90" i="2"/>
  <c r="G89" i="2"/>
  <c r="M90" i="3"/>
  <c r="M88" i="3"/>
  <c r="P88" i="3"/>
  <c r="M87" i="3"/>
  <c r="M89" i="3"/>
  <c r="K89" i="1"/>
  <c r="L89" i="1"/>
  <c r="B87" i="1"/>
  <c r="B88" i="1"/>
  <c r="P89" i="4" l="1"/>
  <c r="M90" i="2"/>
  <c r="I90" i="2"/>
  <c r="M90" i="4"/>
  <c r="M87" i="4"/>
  <c r="M89" i="2"/>
  <c r="P90" i="2"/>
  <c r="O88" i="2"/>
  <c r="I89" i="2"/>
  <c r="O89" i="2"/>
  <c r="O87" i="2"/>
  <c r="O90" i="2"/>
  <c r="P89" i="2"/>
  <c r="M89" i="1"/>
  <c r="P89" i="1" s="1"/>
  <c r="Q90" i="2" l="1"/>
  <c r="Q89" i="2"/>
  <c r="L17" i="3" l="1"/>
  <c r="K17" i="3"/>
  <c r="A17" i="1"/>
  <c r="A17" i="4"/>
  <c r="B17" i="4" s="1"/>
  <c r="A17" i="2"/>
  <c r="B17" i="2" s="1"/>
  <c r="B12" i="3"/>
  <c r="B13" i="3"/>
  <c r="B14" i="3"/>
  <c r="B17" i="1" l="1"/>
  <c r="G17" i="2"/>
  <c r="M17" i="3"/>
  <c r="K17" i="4"/>
  <c r="L17" i="4"/>
  <c r="K17" i="2"/>
  <c r="L17" i="2"/>
  <c r="J9" i="37"/>
  <c r="H16" i="37"/>
  <c r="H17" i="37"/>
  <c r="I37" i="37"/>
  <c r="J37" i="37" s="1"/>
  <c r="I36" i="37"/>
  <c r="J36" i="37" s="1"/>
  <c r="I35" i="37"/>
  <c r="J35" i="37" s="1"/>
  <c r="H34" i="37"/>
  <c r="H33" i="37"/>
  <c r="E34" i="37"/>
  <c r="E32" i="37"/>
  <c r="G32" i="37" s="1"/>
  <c r="J32" i="37" s="1"/>
  <c r="E33" i="37"/>
  <c r="H31" i="37"/>
  <c r="I31" i="37" s="1"/>
  <c r="G31" i="37"/>
  <c r="I30" i="37"/>
  <c r="J30" i="37" s="1"/>
  <c r="I29" i="37"/>
  <c r="J29" i="37" s="1"/>
  <c r="I28" i="37"/>
  <c r="J28" i="37" s="1"/>
  <c r="I27" i="37"/>
  <c r="J27" i="37" s="1"/>
  <c r="I26" i="37"/>
  <c r="J26" i="37" s="1"/>
  <c r="I25" i="37"/>
  <c r="J25" i="37" s="1"/>
  <c r="I23" i="37"/>
  <c r="J23" i="37" s="1"/>
  <c r="E21" i="37"/>
  <c r="I21" i="37" s="1"/>
  <c r="J21" i="37" s="1"/>
  <c r="I20" i="37"/>
  <c r="J20" i="37" s="1"/>
  <c r="I19" i="37"/>
  <c r="J19" i="37" s="1"/>
  <c r="O17" i="2" l="1"/>
  <c r="M17" i="4"/>
  <c r="M17" i="2"/>
  <c r="J31" i="37"/>
  <c r="I33" i="37"/>
  <c r="J33" i="37" s="1"/>
  <c r="I34" i="37"/>
  <c r="J34" i="37" s="1"/>
  <c r="I11" i="37" l="1"/>
  <c r="J11" i="37" s="1"/>
  <c r="I10" i="37"/>
  <c r="J10" i="37" s="1"/>
  <c r="I17" i="37"/>
  <c r="J17" i="37" s="1"/>
  <c r="I16" i="37"/>
  <c r="J16" i="37" s="1"/>
  <c r="F16" i="37"/>
  <c r="F17" i="37" l="1"/>
  <c r="F15" i="37"/>
  <c r="G15" i="37" s="1"/>
  <c r="H15" i="37"/>
  <c r="I15" i="37" s="1"/>
  <c r="I14" i="37"/>
  <c r="J14" i="37" s="1"/>
  <c r="H13" i="37"/>
  <c r="I13" i="37" s="1"/>
  <c r="J13" i="37" s="1"/>
  <c r="H12" i="37"/>
  <c r="H8" i="37"/>
  <c r="H7" i="37"/>
  <c r="H6" i="37"/>
  <c r="J15" i="37" l="1"/>
  <c r="I6" i="37"/>
  <c r="I7" i="37"/>
  <c r="J7" i="37" s="1"/>
  <c r="I8" i="37"/>
  <c r="J8" i="37" s="1"/>
  <c r="I12" i="37"/>
  <c r="J12" i="37" s="1"/>
  <c r="J6" i="37" l="1"/>
  <c r="J3" i="37" s="1"/>
  <c r="A69" i="1"/>
  <c r="A16" i="1"/>
  <c r="A15" i="1"/>
  <c r="A16" i="4"/>
  <c r="A15" i="4"/>
  <c r="K15" i="4" s="1"/>
  <c r="A16" i="2"/>
  <c r="A15" i="2"/>
  <c r="K15" i="2" s="1"/>
  <c r="A69" i="4"/>
  <c r="A69" i="2"/>
  <c r="L69" i="3"/>
  <c r="K69" i="3"/>
  <c r="B69" i="3"/>
  <c r="M69" i="3" l="1"/>
  <c r="B69" i="1"/>
  <c r="B15" i="1"/>
  <c r="L15" i="4"/>
  <c r="B15" i="4"/>
  <c r="L15" i="2"/>
  <c r="B15" i="2"/>
  <c r="K69" i="4"/>
  <c r="L69" i="4"/>
  <c r="B69" i="4"/>
  <c r="K69" i="2"/>
  <c r="L69" i="2"/>
  <c r="B69" i="2"/>
  <c r="M69" i="2" l="1"/>
  <c r="M15" i="4"/>
  <c r="M15" i="2"/>
  <c r="M69" i="4"/>
  <c r="A33" i="1" l="1"/>
  <c r="A33" i="4"/>
  <c r="A33" i="2"/>
  <c r="L33" i="3"/>
  <c r="K33" i="3"/>
  <c r="B33" i="3"/>
  <c r="L47" i="6"/>
  <c r="K47" i="6"/>
  <c r="J47" i="6"/>
  <c r="I47" i="6" s="1"/>
  <c r="G47" i="6"/>
  <c r="E47" i="6"/>
  <c r="M33" i="3" l="1"/>
  <c r="N47" i="6"/>
  <c r="B33" i="1"/>
  <c r="K33" i="4"/>
  <c r="L33" i="4"/>
  <c r="B33" i="4"/>
  <c r="L33" i="2"/>
  <c r="B33" i="2"/>
  <c r="K33" i="2"/>
  <c r="F47" i="6"/>
  <c r="M33" i="2" l="1"/>
  <c r="M33" i="4"/>
  <c r="L16" i="3" l="1"/>
  <c r="K16" i="3"/>
  <c r="B16" i="3"/>
  <c r="A80" i="1"/>
  <c r="A21" i="1"/>
  <c r="A11" i="1"/>
  <c r="A80" i="4"/>
  <c r="A21" i="4"/>
  <c r="A11" i="4"/>
  <c r="K11" i="4" s="1"/>
  <c r="A80" i="2"/>
  <c r="K80" i="2" s="1"/>
  <c r="A21" i="2"/>
  <c r="A11" i="2"/>
  <c r="L80" i="3"/>
  <c r="K80" i="3"/>
  <c r="B80" i="3"/>
  <c r="B15" i="3"/>
  <c r="L21" i="3"/>
  <c r="K21" i="3"/>
  <c r="B21" i="3"/>
  <c r="L11" i="3"/>
  <c r="K11" i="3"/>
  <c r="K80" i="4" l="1"/>
  <c r="L80" i="4"/>
  <c r="M16" i="3"/>
  <c r="B80" i="1"/>
  <c r="B11" i="1"/>
  <c r="B21" i="1"/>
  <c r="K21" i="4"/>
  <c r="B80" i="4"/>
  <c r="L21" i="4"/>
  <c r="L11" i="4"/>
  <c r="M11" i="4" s="1"/>
  <c r="B21" i="4"/>
  <c r="B11" i="4"/>
  <c r="L80" i="2"/>
  <c r="B80" i="2"/>
  <c r="B11" i="2"/>
  <c r="K21" i="2"/>
  <c r="L21" i="2"/>
  <c r="B21" i="2"/>
  <c r="K11" i="2"/>
  <c r="L11" i="2"/>
  <c r="M11" i="3"/>
  <c r="M80" i="3"/>
  <c r="M21" i="3"/>
  <c r="M80" i="4" l="1"/>
  <c r="M80" i="2"/>
  <c r="M21" i="4"/>
  <c r="M11" i="2"/>
  <c r="M21" i="2"/>
  <c r="G2" i="3" l="1"/>
  <c r="A111" i="1" l="1"/>
  <c r="B111" i="1" s="1"/>
  <c r="A111" i="4"/>
  <c r="B111" i="4" s="1"/>
  <c r="A111" i="2"/>
  <c r="K111" i="2" s="1"/>
  <c r="K109" i="3"/>
  <c r="L109" i="3"/>
  <c r="L110" i="3"/>
  <c r="L111" i="3"/>
  <c r="K110" i="3"/>
  <c r="K111" i="3"/>
  <c r="B111" i="3"/>
  <c r="A22" i="2"/>
  <c r="K22" i="2" s="1"/>
  <c r="A23" i="2"/>
  <c r="L23" i="2" s="1"/>
  <c r="A20" i="2"/>
  <c r="K20" i="2" s="1"/>
  <c r="A24" i="2"/>
  <c r="K24" i="2" s="1"/>
  <c r="A22" i="4"/>
  <c r="K22" i="4" s="1"/>
  <c r="H4" i="9"/>
  <c r="A24" i="4"/>
  <c r="B24" i="4" s="1"/>
  <c r="A23" i="4"/>
  <c r="A93" i="4"/>
  <c r="L93" i="4" s="1"/>
  <c r="A94" i="4"/>
  <c r="L94" i="4" s="1"/>
  <c r="A95" i="4"/>
  <c r="K95" i="4" s="1"/>
  <c r="A96" i="4"/>
  <c r="B96" i="4" s="1"/>
  <c r="A97" i="4"/>
  <c r="L97" i="4" s="1"/>
  <c r="A98" i="4"/>
  <c r="B98" i="4" s="1"/>
  <c r="A50" i="4"/>
  <c r="K50" i="4" s="1"/>
  <c r="A51" i="4"/>
  <c r="B51" i="4" s="1"/>
  <c r="A52" i="4"/>
  <c r="K52" i="4" s="1"/>
  <c r="A53" i="4"/>
  <c r="L53" i="4" s="1"/>
  <c r="A54" i="4"/>
  <c r="B54" i="4" s="1"/>
  <c r="A55" i="4"/>
  <c r="L55" i="4" s="1"/>
  <c r="A74" i="4"/>
  <c r="L74" i="4" s="1"/>
  <c r="A75" i="4"/>
  <c r="L75" i="4" s="1"/>
  <c r="A77" i="4"/>
  <c r="L77" i="4" s="1"/>
  <c r="A60" i="2"/>
  <c r="K60" i="2" s="1"/>
  <c r="A60" i="4"/>
  <c r="L60" i="4" s="1"/>
  <c r="A61" i="4"/>
  <c r="L61" i="4" s="1"/>
  <c r="A62" i="4"/>
  <c r="K62" i="4" s="1"/>
  <c r="A63" i="4"/>
  <c r="L63" i="4" s="1"/>
  <c r="A64" i="4"/>
  <c r="K64" i="4" s="1"/>
  <c r="A65" i="4"/>
  <c r="K65" i="4" s="1"/>
  <c r="A66" i="4"/>
  <c r="K66" i="4" s="1"/>
  <c r="A67" i="4"/>
  <c r="K67" i="4" s="1"/>
  <c r="A68" i="4"/>
  <c r="K68" i="4" s="1"/>
  <c r="K71" i="4"/>
  <c r="A61" i="2"/>
  <c r="L61" i="2" s="1"/>
  <c r="A65" i="2"/>
  <c r="L65" i="2" s="1"/>
  <c r="A64" i="2"/>
  <c r="K64" i="2" s="1"/>
  <c r="A66" i="2"/>
  <c r="L66" i="2" s="1"/>
  <c r="A67" i="2"/>
  <c r="L67" i="2" s="1"/>
  <c r="A63" i="2"/>
  <c r="L63" i="2" s="1"/>
  <c r="A62" i="2"/>
  <c r="L62" i="2" s="1"/>
  <c r="A81" i="4"/>
  <c r="L81" i="4" s="1"/>
  <c r="A82" i="4"/>
  <c r="K82" i="4" s="1"/>
  <c r="A83" i="4"/>
  <c r="L83" i="4" s="1"/>
  <c r="A84" i="4"/>
  <c r="K84" i="4" s="1"/>
  <c r="A85" i="4"/>
  <c r="K85" i="4" s="1"/>
  <c r="A86" i="4"/>
  <c r="L86" i="4" s="1"/>
  <c r="A39" i="4"/>
  <c r="L39" i="4" s="1"/>
  <c r="A40" i="4"/>
  <c r="K40" i="4" s="1"/>
  <c r="A41" i="4"/>
  <c r="L41" i="4" s="1"/>
  <c r="A42" i="4"/>
  <c r="B42" i="4" s="1"/>
  <c r="A43" i="4"/>
  <c r="K43" i="4" s="1"/>
  <c r="A44" i="4"/>
  <c r="K44" i="4" s="1"/>
  <c r="A10" i="4"/>
  <c r="A12" i="4"/>
  <c r="K12" i="4" s="1"/>
  <c r="A13" i="4"/>
  <c r="L13" i="4" s="1"/>
  <c r="A14" i="4"/>
  <c r="B16" i="4"/>
  <c r="A31" i="4"/>
  <c r="B31" i="4" s="1"/>
  <c r="A32" i="4"/>
  <c r="L32" i="4" s="1"/>
  <c r="A34" i="4"/>
  <c r="B34" i="4" s="1"/>
  <c r="A20" i="4"/>
  <c r="L20" i="4" s="1"/>
  <c r="A109" i="4"/>
  <c r="K109" i="4" s="1"/>
  <c r="A110" i="4"/>
  <c r="A114" i="4"/>
  <c r="L114" i="4" s="1"/>
  <c r="A115" i="4"/>
  <c r="K115" i="4" s="1"/>
  <c r="A116" i="4"/>
  <c r="L116" i="4" s="1"/>
  <c r="G2" i="1"/>
  <c r="P7" i="12"/>
  <c r="O7" i="12"/>
  <c r="N7" i="12"/>
  <c r="A7" i="12"/>
  <c r="A4" i="12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L44" i="9" s="1"/>
  <c r="C11" i="11"/>
  <c r="C10" i="11"/>
  <c r="C9" i="11"/>
  <c r="C7" i="11"/>
  <c r="C6" i="11"/>
  <c r="M237" i="9" s="1"/>
  <c r="C573" i="9"/>
  <c r="A573" i="9"/>
  <c r="C572" i="9"/>
  <c r="A572" i="9"/>
  <c r="C571" i="9"/>
  <c r="A571" i="9"/>
  <c r="C570" i="9"/>
  <c r="A570" i="9"/>
  <c r="C569" i="9"/>
  <c r="A569" i="9"/>
  <c r="C568" i="9"/>
  <c r="A568" i="9"/>
  <c r="C567" i="9"/>
  <c r="A567" i="9"/>
  <c r="C566" i="9"/>
  <c r="A566" i="9"/>
  <c r="C565" i="9"/>
  <c r="A565" i="9"/>
  <c r="C564" i="9"/>
  <c r="A564" i="9"/>
  <c r="C563" i="9"/>
  <c r="A563" i="9"/>
  <c r="C562" i="9"/>
  <c r="A562" i="9"/>
  <c r="C561" i="9"/>
  <c r="A561" i="9"/>
  <c r="C560" i="9"/>
  <c r="A560" i="9"/>
  <c r="C559" i="9"/>
  <c r="A559" i="9"/>
  <c r="C558" i="9"/>
  <c r="A558" i="9"/>
  <c r="C557" i="9"/>
  <c r="A557" i="9"/>
  <c r="C556" i="9"/>
  <c r="A556" i="9"/>
  <c r="C555" i="9"/>
  <c r="A555" i="9"/>
  <c r="C554" i="9"/>
  <c r="A554" i="9"/>
  <c r="C553" i="9"/>
  <c r="A553" i="9"/>
  <c r="C552" i="9"/>
  <c r="A552" i="9"/>
  <c r="C551" i="9"/>
  <c r="A551" i="9"/>
  <c r="C550" i="9"/>
  <c r="A550" i="9"/>
  <c r="C549" i="9"/>
  <c r="A549" i="9"/>
  <c r="C548" i="9"/>
  <c r="A548" i="9"/>
  <c r="C547" i="9"/>
  <c r="A547" i="9"/>
  <c r="C546" i="9"/>
  <c r="A546" i="9"/>
  <c r="C545" i="9"/>
  <c r="A545" i="9"/>
  <c r="C544" i="9"/>
  <c r="A544" i="9"/>
  <c r="C543" i="9"/>
  <c r="A543" i="9"/>
  <c r="C542" i="9"/>
  <c r="A542" i="9"/>
  <c r="C541" i="9"/>
  <c r="A541" i="9"/>
  <c r="C540" i="9"/>
  <c r="A540" i="9"/>
  <c r="C539" i="9"/>
  <c r="A539" i="9"/>
  <c r="C538" i="9"/>
  <c r="A538" i="9"/>
  <c r="C537" i="9"/>
  <c r="A537" i="9"/>
  <c r="C536" i="9"/>
  <c r="A536" i="9"/>
  <c r="C535" i="9"/>
  <c r="A535" i="9"/>
  <c r="C534" i="9"/>
  <c r="A534" i="9"/>
  <c r="C533" i="9"/>
  <c r="A533" i="9"/>
  <c r="C532" i="9"/>
  <c r="A532" i="9"/>
  <c r="C531" i="9"/>
  <c r="A531" i="9"/>
  <c r="C530" i="9"/>
  <c r="A530" i="9"/>
  <c r="C529" i="9"/>
  <c r="A529" i="9"/>
  <c r="C528" i="9"/>
  <c r="A528" i="9"/>
  <c r="C527" i="9"/>
  <c r="A527" i="9"/>
  <c r="C526" i="9"/>
  <c r="A526" i="9"/>
  <c r="C525" i="9"/>
  <c r="A525" i="9"/>
  <c r="C524" i="9"/>
  <c r="A524" i="9"/>
  <c r="C523" i="9"/>
  <c r="A523" i="9"/>
  <c r="C522" i="9"/>
  <c r="A522" i="9"/>
  <c r="C521" i="9"/>
  <c r="A521" i="9"/>
  <c r="C520" i="9"/>
  <c r="A520" i="9"/>
  <c r="C519" i="9"/>
  <c r="A519" i="9"/>
  <c r="C518" i="9"/>
  <c r="A518" i="9"/>
  <c r="C517" i="9"/>
  <c r="A517" i="9"/>
  <c r="C516" i="9"/>
  <c r="A516" i="9"/>
  <c r="C515" i="9"/>
  <c r="A515" i="9"/>
  <c r="C514" i="9"/>
  <c r="A514" i="9"/>
  <c r="C513" i="9"/>
  <c r="A513" i="9"/>
  <c r="C512" i="9"/>
  <c r="A512" i="9"/>
  <c r="C511" i="9"/>
  <c r="A511" i="9"/>
  <c r="C510" i="9"/>
  <c r="A510" i="9"/>
  <c r="C509" i="9"/>
  <c r="A509" i="9"/>
  <c r="C508" i="9"/>
  <c r="A508" i="9"/>
  <c r="C507" i="9"/>
  <c r="A507" i="9"/>
  <c r="C506" i="9"/>
  <c r="A506" i="9"/>
  <c r="C505" i="9"/>
  <c r="A505" i="9"/>
  <c r="C504" i="9"/>
  <c r="A504" i="9"/>
  <c r="C503" i="9"/>
  <c r="A503" i="9"/>
  <c r="C502" i="9"/>
  <c r="A502" i="9"/>
  <c r="C501" i="9"/>
  <c r="A501" i="9"/>
  <c r="C500" i="9"/>
  <c r="A500" i="9"/>
  <c r="H499" i="9"/>
  <c r="G499" i="9"/>
  <c r="E499" i="9"/>
  <c r="C499" i="9"/>
  <c r="A499" i="9"/>
  <c r="H498" i="9"/>
  <c r="G498" i="9"/>
  <c r="E498" i="9"/>
  <c r="C498" i="9"/>
  <c r="A498" i="9"/>
  <c r="H497" i="9"/>
  <c r="G497" i="9"/>
  <c r="E497" i="9"/>
  <c r="C497" i="9"/>
  <c r="A497" i="9"/>
  <c r="H496" i="9"/>
  <c r="G496" i="9"/>
  <c r="E496" i="9"/>
  <c r="C496" i="9"/>
  <c r="A496" i="9"/>
  <c r="H495" i="9"/>
  <c r="G495" i="9"/>
  <c r="E495" i="9"/>
  <c r="C495" i="9"/>
  <c r="A495" i="9"/>
  <c r="C494" i="9"/>
  <c r="A494" i="9"/>
  <c r="C493" i="9"/>
  <c r="A493" i="9"/>
  <c r="C492" i="9"/>
  <c r="A492" i="9"/>
  <c r="C491" i="9"/>
  <c r="A491" i="9"/>
  <c r="C490" i="9"/>
  <c r="A490" i="9"/>
  <c r="C489" i="9"/>
  <c r="A489" i="9"/>
  <c r="C488" i="9"/>
  <c r="A488" i="9"/>
  <c r="C487" i="9"/>
  <c r="A487" i="9"/>
  <c r="C486" i="9"/>
  <c r="A486" i="9"/>
  <c r="C485" i="9"/>
  <c r="A485" i="9"/>
  <c r="C484" i="9"/>
  <c r="A484" i="9"/>
  <c r="C483" i="9"/>
  <c r="A483" i="9"/>
  <c r="C482" i="9"/>
  <c r="A482" i="9"/>
  <c r="C481" i="9"/>
  <c r="A481" i="9"/>
  <c r="C480" i="9"/>
  <c r="A480" i="9"/>
  <c r="C479" i="9"/>
  <c r="A479" i="9"/>
  <c r="C478" i="9"/>
  <c r="A478" i="9"/>
  <c r="C477" i="9"/>
  <c r="A477" i="9"/>
  <c r="C476" i="9"/>
  <c r="A476" i="9"/>
  <c r="C475" i="9"/>
  <c r="A475" i="9"/>
  <c r="C474" i="9"/>
  <c r="A474" i="9"/>
  <c r="C473" i="9"/>
  <c r="A473" i="9"/>
  <c r="C472" i="9"/>
  <c r="A472" i="9"/>
  <c r="C471" i="9"/>
  <c r="A471" i="9"/>
  <c r="C470" i="9"/>
  <c r="A470" i="9"/>
  <c r="C469" i="9"/>
  <c r="A469" i="9"/>
  <c r="C468" i="9"/>
  <c r="A468" i="9"/>
  <c r="C467" i="9"/>
  <c r="A467" i="9"/>
  <c r="C466" i="9"/>
  <c r="A466" i="9"/>
  <c r="C465" i="9"/>
  <c r="A465" i="9"/>
  <c r="C464" i="9"/>
  <c r="A464" i="9"/>
  <c r="C463" i="9"/>
  <c r="A463" i="9"/>
  <c r="C462" i="9"/>
  <c r="A462" i="9"/>
  <c r="C461" i="9"/>
  <c r="A461" i="9"/>
  <c r="C460" i="9"/>
  <c r="A460" i="9"/>
  <c r="C459" i="9"/>
  <c r="A459" i="9"/>
  <c r="C458" i="9"/>
  <c r="A458" i="9"/>
  <c r="C457" i="9"/>
  <c r="A457" i="9"/>
  <c r="C456" i="9"/>
  <c r="A456" i="9"/>
  <c r="C455" i="9"/>
  <c r="A455" i="9"/>
  <c r="C454" i="9"/>
  <c r="A454" i="9"/>
  <c r="C453" i="9"/>
  <c r="A453" i="9"/>
  <c r="C452" i="9"/>
  <c r="A452" i="9"/>
  <c r="C451" i="9"/>
  <c r="A451" i="9"/>
  <c r="C450" i="9"/>
  <c r="A450" i="9"/>
  <c r="C449" i="9"/>
  <c r="A449" i="9"/>
  <c r="C448" i="9"/>
  <c r="A448" i="9"/>
  <c r="C447" i="9"/>
  <c r="A447" i="9"/>
  <c r="C446" i="9"/>
  <c r="A446" i="9"/>
  <c r="C445" i="9"/>
  <c r="A445" i="9"/>
  <c r="C444" i="9"/>
  <c r="A444" i="9"/>
  <c r="C443" i="9"/>
  <c r="A443" i="9"/>
  <c r="C442" i="9"/>
  <c r="A442" i="9"/>
  <c r="C441" i="9"/>
  <c r="A441" i="9"/>
  <c r="C440" i="9"/>
  <c r="A440" i="9"/>
  <c r="C439" i="9"/>
  <c r="A439" i="9"/>
  <c r="C438" i="9"/>
  <c r="A438" i="9"/>
  <c r="C437" i="9"/>
  <c r="A437" i="9"/>
  <c r="C436" i="9"/>
  <c r="A436" i="9"/>
  <c r="C435" i="9"/>
  <c r="A435" i="9"/>
  <c r="C434" i="9"/>
  <c r="A434" i="9"/>
  <c r="C433" i="9"/>
  <c r="A433" i="9"/>
  <c r="C432" i="9"/>
  <c r="A432" i="9"/>
  <c r="C431" i="9"/>
  <c r="A431" i="9"/>
  <c r="C430" i="9"/>
  <c r="A430" i="9"/>
  <c r="C429" i="9"/>
  <c r="A429" i="9"/>
  <c r="C428" i="9"/>
  <c r="A428" i="9"/>
  <c r="C427" i="9"/>
  <c r="A427" i="9"/>
  <c r="C426" i="9"/>
  <c r="A426" i="9"/>
  <c r="C425" i="9"/>
  <c r="A425" i="9"/>
  <c r="C424" i="9"/>
  <c r="A424" i="9"/>
  <c r="C423" i="9"/>
  <c r="A423" i="9"/>
  <c r="C422" i="9"/>
  <c r="A422" i="9"/>
  <c r="C421" i="9"/>
  <c r="A421" i="9"/>
  <c r="C420" i="9"/>
  <c r="A420" i="9"/>
  <c r="C419" i="9"/>
  <c r="A419" i="9"/>
  <c r="C418" i="9"/>
  <c r="A418" i="9"/>
  <c r="C417" i="9"/>
  <c r="A417" i="9"/>
  <c r="C416" i="9"/>
  <c r="A416" i="9"/>
  <c r="C415" i="9"/>
  <c r="A415" i="9"/>
  <c r="C414" i="9"/>
  <c r="A414" i="9"/>
  <c r="C413" i="9"/>
  <c r="A413" i="9"/>
  <c r="C412" i="9"/>
  <c r="A412" i="9"/>
  <c r="C411" i="9"/>
  <c r="A411" i="9"/>
  <c r="C410" i="9"/>
  <c r="A410" i="9"/>
  <c r="C409" i="9"/>
  <c r="A409" i="9"/>
  <c r="C408" i="9"/>
  <c r="A408" i="9"/>
  <c r="C407" i="9"/>
  <c r="A407" i="9"/>
  <c r="C406" i="9"/>
  <c r="A406" i="9"/>
  <c r="C405" i="9"/>
  <c r="A405" i="9"/>
  <c r="C404" i="9"/>
  <c r="A404" i="9"/>
  <c r="C403" i="9"/>
  <c r="A403" i="9"/>
  <c r="C402" i="9"/>
  <c r="A402" i="9"/>
  <c r="C401" i="9"/>
  <c r="A401" i="9"/>
  <c r="C400" i="9"/>
  <c r="A400" i="9"/>
  <c r="C399" i="9"/>
  <c r="A399" i="9"/>
  <c r="C398" i="9"/>
  <c r="A398" i="9"/>
  <c r="C397" i="9"/>
  <c r="A397" i="9"/>
  <c r="C396" i="9"/>
  <c r="A396" i="9"/>
  <c r="C395" i="9"/>
  <c r="A395" i="9"/>
  <c r="C394" i="9"/>
  <c r="A394" i="9"/>
  <c r="C393" i="9"/>
  <c r="A393" i="9"/>
  <c r="C392" i="9"/>
  <c r="A392" i="9"/>
  <c r="C391" i="9"/>
  <c r="A391" i="9"/>
  <c r="C390" i="9"/>
  <c r="A390" i="9"/>
  <c r="C389" i="9"/>
  <c r="A389" i="9"/>
  <c r="C388" i="9"/>
  <c r="A388" i="9"/>
  <c r="C387" i="9"/>
  <c r="A387" i="9"/>
  <c r="C386" i="9"/>
  <c r="A386" i="9"/>
  <c r="C385" i="9"/>
  <c r="A385" i="9"/>
  <c r="C384" i="9"/>
  <c r="A384" i="9"/>
  <c r="C383" i="9"/>
  <c r="A383" i="9"/>
  <c r="C382" i="9"/>
  <c r="A382" i="9"/>
  <c r="C381" i="9"/>
  <c r="A381" i="9"/>
  <c r="C380" i="9"/>
  <c r="A380" i="9"/>
  <c r="C379" i="9"/>
  <c r="A379" i="9"/>
  <c r="C378" i="9"/>
  <c r="A378" i="9"/>
  <c r="C377" i="9"/>
  <c r="A377" i="9"/>
  <c r="C376" i="9"/>
  <c r="A376" i="9"/>
  <c r="C375" i="9"/>
  <c r="A375" i="9"/>
  <c r="C374" i="9"/>
  <c r="A374" i="9"/>
  <c r="C373" i="9"/>
  <c r="A373" i="9"/>
  <c r="C372" i="9"/>
  <c r="A372" i="9"/>
  <c r="C371" i="9"/>
  <c r="A371" i="9"/>
  <c r="C370" i="9"/>
  <c r="A370" i="9"/>
  <c r="C369" i="9"/>
  <c r="A369" i="9"/>
  <c r="C368" i="9"/>
  <c r="A368" i="9"/>
  <c r="C367" i="9"/>
  <c r="A367" i="9"/>
  <c r="C366" i="9"/>
  <c r="A366" i="9"/>
  <c r="C365" i="9"/>
  <c r="A365" i="9"/>
  <c r="C364" i="9"/>
  <c r="A364" i="9"/>
  <c r="C363" i="9"/>
  <c r="A363" i="9"/>
  <c r="C362" i="9"/>
  <c r="A362" i="9"/>
  <c r="C361" i="9"/>
  <c r="A361" i="9"/>
  <c r="C360" i="9"/>
  <c r="A360" i="9"/>
  <c r="C359" i="9"/>
  <c r="A359" i="9"/>
  <c r="C358" i="9"/>
  <c r="A358" i="9"/>
  <c r="C357" i="9"/>
  <c r="A357" i="9"/>
  <c r="C356" i="9"/>
  <c r="A356" i="9"/>
  <c r="C355" i="9"/>
  <c r="A355" i="9"/>
  <c r="C354" i="9"/>
  <c r="A354" i="9"/>
  <c r="C353" i="9"/>
  <c r="A353" i="9"/>
  <c r="C352" i="9"/>
  <c r="A352" i="9"/>
  <c r="C351" i="9"/>
  <c r="A351" i="9"/>
  <c r="C350" i="9"/>
  <c r="A350" i="9"/>
  <c r="C349" i="9"/>
  <c r="A349" i="9"/>
  <c r="C348" i="9"/>
  <c r="A348" i="9"/>
  <c r="C347" i="9"/>
  <c r="A347" i="9"/>
  <c r="C346" i="9"/>
  <c r="A346" i="9"/>
  <c r="C345" i="9"/>
  <c r="A345" i="9"/>
  <c r="C344" i="9"/>
  <c r="A344" i="9"/>
  <c r="C343" i="9"/>
  <c r="A343" i="9"/>
  <c r="C342" i="9"/>
  <c r="A342" i="9"/>
  <c r="C341" i="9"/>
  <c r="A341" i="9"/>
  <c r="C340" i="9"/>
  <c r="A340" i="9"/>
  <c r="C339" i="9"/>
  <c r="A339" i="9"/>
  <c r="C338" i="9"/>
  <c r="A338" i="9"/>
  <c r="C337" i="9"/>
  <c r="A337" i="9"/>
  <c r="C336" i="9"/>
  <c r="A336" i="9"/>
  <c r="C335" i="9"/>
  <c r="A335" i="9"/>
  <c r="C334" i="9"/>
  <c r="A334" i="9"/>
  <c r="C333" i="9"/>
  <c r="A333" i="9"/>
  <c r="C332" i="9"/>
  <c r="A332" i="9"/>
  <c r="C331" i="9"/>
  <c r="A331" i="9"/>
  <c r="C330" i="9"/>
  <c r="A330" i="9"/>
  <c r="C329" i="9"/>
  <c r="A329" i="9"/>
  <c r="C328" i="9"/>
  <c r="A328" i="9"/>
  <c r="C327" i="9"/>
  <c r="A327" i="9"/>
  <c r="C326" i="9"/>
  <c r="A326" i="9"/>
  <c r="C325" i="9"/>
  <c r="A325" i="9"/>
  <c r="C324" i="9"/>
  <c r="A324" i="9"/>
  <c r="C323" i="9"/>
  <c r="A323" i="9"/>
  <c r="C322" i="9"/>
  <c r="A322" i="9"/>
  <c r="C321" i="9"/>
  <c r="A321" i="9"/>
  <c r="C320" i="9"/>
  <c r="A320" i="9"/>
  <c r="C319" i="9"/>
  <c r="A319" i="9"/>
  <c r="C318" i="9"/>
  <c r="A318" i="9"/>
  <c r="C317" i="9"/>
  <c r="A317" i="9"/>
  <c r="C316" i="9"/>
  <c r="A316" i="9"/>
  <c r="C315" i="9"/>
  <c r="A315" i="9"/>
  <c r="C314" i="9"/>
  <c r="A314" i="9"/>
  <c r="C313" i="9"/>
  <c r="A313" i="9"/>
  <c r="C312" i="9"/>
  <c r="A312" i="9"/>
  <c r="C311" i="9"/>
  <c r="A311" i="9"/>
  <c r="C310" i="9"/>
  <c r="A310" i="9"/>
  <c r="C309" i="9"/>
  <c r="A309" i="9"/>
  <c r="C308" i="9"/>
  <c r="A308" i="9"/>
  <c r="C307" i="9"/>
  <c r="A307" i="9"/>
  <c r="C306" i="9"/>
  <c r="A306" i="9"/>
  <c r="C305" i="9"/>
  <c r="A305" i="9"/>
  <c r="C304" i="9"/>
  <c r="A304" i="9"/>
  <c r="C303" i="9"/>
  <c r="A303" i="9"/>
  <c r="C302" i="9"/>
  <c r="A302" i="9"/>
  <c r="C301" i="9"/>
  <c r="A301" i="9"/>
  <c r="C300" i="9"/>
  <c r="A300" i="9"/>
  <c r="C299" i="9"/>
  <c r="A299" i="9"/>
  <c r="C298" i="9"/>
  <c r="A298" i="9"/>
  <c r="C297" i="9"/>
  <c r="A297" i="9"/>
  <c r="C296" i="9"/>
  <c r="A296" i="9"/>
  <c r="C295" i="9"/>
  <c r="A295" i="9"/>
  <c r="C294" i="9"/>
  <c r="A294" i="9"/>
  <c r="C293" i="9"/>
  <c r="A293" i="9"/>
  <c r="C292" i="9"/>
  <c r="A292" i="9"/>
  <c r="C291" i="9"/>
  <c r="A291" i="9"/>
  <c r="C290" i="9"/>
  <c r="A290" i="9"/>
  <c r="C289" i="9"/>
  <c r="A289" i="9"/>
  <c r="C288" i="9"/>
  <c r="A288" i="9"/>
  <c r="C287" i="9"/>
  <c r="A287" i="9"/>
  <c r="C286" i="9"/>
  <c r="A286" i="9"/>
  <c r="C285" i="9"/>
  <c r="A285" i="9"/>
  <c r="C284" i="9"/>
  <c r="A284" i="9"/>
  <c r="C283" i="9"/>
  <c r="A283" i="9"/>
  <c r="C282" i="9"/>
  <c r="A282" i="9"/>
  <c r="C281" i="9"/>
  <c r="A281" i="9"/>
  <c r="C280" i="9"/>
  <c r="A280" i="9"/>
  <c r="C279" i="9"/>
  <c r="A279" i="9"/>
  <c r="C278" i="9"/>
  <c r="A278" i="9"/>
  <c r="C277" i="9"/>
  <c r="A277" i="9"/>
  <c r="C276" i="9"/>
  <c r="A276" i="9"/>
  <c r="C275" i="9"/>
  <c r="A275" i="9"/>
  <c r="C274" i="9"/>
  <c r="A274" i="9"/>
  <c r="C273" i="9"/>
  <c r="A273" i="9"/>
  <c r="C272" i="9"/>
  <c r="A272" i="9"/>
  <c r="C271" i="9"/>
  <c r="A271" i="9"/>
  <c r="C270" i="9"/>
  <c r="A270" i="9"/>
  <c r="C269" i="9"/>
  <c r="A269" i="9"/>
  <c r="C268" i="9"/>
  <c r="A268" i="9"/>
  <c r="C267" i="9"/>
  <c r="A267" i="9"/>
  <c r="C266" i="9"/>
  <c r="A266" i="9"/>
  <c r="C265" i="9"/>
  <c r="A265" i="9"/>
  <c r="C264" i="9"/>
  <c r="A264" i="9"/>
  <c r="C263" i="9"/>
  <c r="A263" i="9"/>
  <c r="C262" i="9"/>
  <c r="A262" i="9"/>
  <c r="C261" i="9"/>
  <c r="A261" i="9"/>
  <c r="C260" i="9"/>
  <c r="A260" i="9"/>
  <c r="C259" i="9"/>
  <c r="A259" i="9"/>
  <c r="C258" i="9"/>
  <c r="A258" i="9"/>
  <c r="C257" i="9"/>
  <c r="A257" i="9"/>
  <c r="C256" i="9"/>
  <c r="A256" i="9"/>
  <c r="C255" i="9"/>
  <c r="A255" i="9"/>
  <c r="C254" i="9"/>
  <c r="A254" i="9"/>
  <c r="C253" i="9"/>
  <c r="A253" i="9"/>
  <c r="C252" i="9"/>
  <c r="A252" i="9"/>
  <c r="C251" i="9"/>
  <c r="A251" i="9"/>
  <c r="C250" i="9"/>
  <c r="A250" i="9"/>
  <c r="C249" i="9"/>
  <c r="A249" i="9"/>
  <c r="C248" i="9"/>
  <c r="A248" i="9"/>
  <c r="C247" i="9"/>
  <c r="A247" i="9"/>
  <c r="C246" i="9"/>
  <c r="A246" i="9"/>
  <c r="C245" i="9"/>
  <c r="A245" i="9"/>
  <c r="C244" i="9"/>
  <c r="A244" i="9"/>
  <c r="C243" i="9"/>
  <c r="A243" i="9"/>
  <c r="C242" i="9"/>
  <c r="A242" i="9"/>
  <c r="C241" i="9"/>
  <c r="A241" i="9"/>
  <c r="C240" i="9"/>
  <c r="A240" i="9"/>
  <c r="C239" i="9"/>
  <c r="A239" i="9"/>
  <c r="C238" i="9"/>
  <c r="A238" i="9"/>
  <c r="C237" i="9"/>
  <c r="A237" i="9"/>
  <c r="C236" i="9"/>
  <c r="A236" i="9"/>
  <c r="C235" i="9"/>
  <c r="A235" i="9"/>
  <c r="C234" i="9"/>
  <c r="A234" i="9"/>
  <c r="C233" i="9"/>
  <c r="A233" i="9"/>
  <c r="M232" i="9"/>
  <c r="C232" i="9"/>
  <c r="A232" i="9"/>
  <c r="C231" i="9"/>
  <c r="A231" i="9"/>
  <c r="C230" i="9"/>
  <c r="A230" i="9"/>
  <c r="C229" i="9"/>
  <c r="A229" i="9"/>
  <c r="C228" i="9"/>
  <c r="A228" i="9"/>
  <c r="C227" i="9"/>
  <c r="A227" i="9"/>
  <c r="C226" i="9"/>
  <c r="A226" i="9"/>
  <c r="C225" i="9"/>
  <c r="A225" i="9"/>
  <c r="C224" i="9"/>
  <c r="A224" i="9"/>
  <c r="C223" i="9"/>
  <c r="A223" i="9"/>
  <c r="C222" i="9"/>
  <c r="A222" i="9"/>
  <c r="C221" i="9"/>
  <c r="A221" i="9"/>
  <c r="C220" i="9"/>
  <c r="A220" i="9"/>
  <c r="C219" i="9"/>
  <c r="A219" i="9"/>
  <c r="C218" i="9"/>
  <c r="A218" i="9"/>
  <c r="C217" i="9"/>
  <c r="A217" i="9"/>
  <c r="C216" i="9"/>
  <c r="A216" i="9"/>
  <c r="C215" i="9"/>
  <c r="A215" i="9"/>
  <c r="C214" i="9"/>
  <c r="A214" i="9"/>
  <c r="C213" i="9"/>
  <c r="A213" i="9"/>
  <c r="C212" i="9"/>
  <c r="A212" i="9"/>
  <c r="C211" i="9"/>
  <c r="A211" i="9"/>
  <c r="C210" i="9"/>
  <c r="A210" i="9"/>
  <c r="C209" i="9"/>
  <c r="A209" i="9"/>
  <c r="C208" i="9"/>
  <c r="A208" i="9"/>
  <c r="C207" i="9"/>
  <c r="A207" i="9"/>
  <c r="C206" i="9"/>
  <c r="A206" i="9"/>
  <c r="C205" i="9"/>
  <c r="A205" i="9"/>
  <c r="C204" i="9"/>
  <c r="A204" i="9"/>
  <c r="C203" i="9"/>
  <c r="A203" i="9"/>
  <c r="C202" i="9"/>
  <c r="A202" i="9"/>
  <c r="C201" i="9"/>
  <c r="A201" i="9"/>
  <c r="C200" i="9"/>
  <c r="A200" i="9"/>
  <c r="C199" i="9"/>
  <c r="A199" i="9"/>
  <c r="C198" i="9"/>
  <c r="A198" i="9"/>
  <c r="C197" i="9"/>
  <c r="A197" i="9"/>
  <c r="C196" i="9"/>
  <c r="A196" i="9"/>
  <c r="C195" i="9"/>
  <c r="A195" i="9"/>
  <c r="C194" i="9"/>
  <c r="A194" i="9"/>
  <c r="C193" i="9"/>
  <c r="A193" i="9"/>
  <c r="C192" i="9"/>
  <c r="A192" i="9"/>
  <c r="C191" i="9"/>
  <c r="A191" i="9"/>
  <c r="C190" i="9"/>
  <c r="A190" i="9"/>
  <c r="C189" i="9"/>
  <c r="A189" i="9"/>
  <c r="M188" i="9"/>
  <c r="C188" i="9"/>
  <c r="A188" i="9"/>
  <c r="C187" i="9"/>
  <c r="A187" i="9"/>
  <c r="C186" i="9"/>
  <c r="A186" i="9"/>
  <c r="C185" i="9"/>
  <c r="A185" i="9"/>
  <c r="C184" i="9"/>
  <c r="A184" i="9"/>
  <c r="C183" i="9"/>
  <c r="A183" i="9"/>
  <c r="C182" i="9"/>
  <c r="A182" i="9"/>
  <c r="C181" i="9"/>
  <c r="A181" i="9"/>
  <c r="C180" i="9"/>
  <c r="A180" i="9"/>
  <c r="C179" i="9"/>
  <c r="A179" i="9"/>
  <c r="C178" i="9"/>
  <c r="A178" i="9"/>
  <c r="C177" i="9"/>
  <c r="A177" i="9"/>
  <c r="C176" i="9"/>
  <c r="A176" i="9"/>
  <c r="C175" i="9"/>
  <c r="A175" i="9"/>
  <c r="C174" i="9"/>
  <c r="A174" i="9"/>
  <c r="C173" i="9"/>
  <c r="A173" i="9"/>
  <c r="C172" i="9"/>
  <c r="A172" i="9"/>
  <c r="C171" i="9"/>
  <c r="A171" i="9"/>
  <c r="C170" i="9"/>
  <c r="A170" i="9"/>
  <c r="C169" i="9"/>
  <c r="A169" i="9"/>
  <c r="C168" i="9"/>
  <c r="A168" i="9"/>
  <c r="C167" i="9"/>
  <c r="A167" i="9"/>
  <c r="C166" i="9"/>
  <c r="A166" i="9"/>
  <c r="C165" i="9"/>
  <c r="A165" i="9"/>
  <c r="C164" i="9"/>
  <c r="A164" i="9"/>
  <c r="C163" i="9"/>
  <c r="A163" i="9"/>
  <c r="C162" i="9"/>
  <c r="A162" i="9"/>
  <c r="C161" i="9"/>
  <c r="A161" i="9"/>
  <c r="C160" i="9"/>
  <c r="A160" i="9"/>
  <c r="C159" i="9"/>
  <c r="A159" i="9"/>
  <c r="C158" i="9"/>
  <c r="A158" i="9"/>
  <c r="C157" i="9"/>
  <c r="A157" i="9"/>
  <c r="C156" i="9"/>
  <c r="A156" i="9"/>
  <c r="C155" i="9"/>
  <c r="A155" i="9"/>
  <c r="C154" i="9"/>
  <c r="A154" i="9"/>
  <c r="C153" i="9"/>
  <c r="A153" i="9"/>
  <c r="C152" i="9"/>
  <c r="A152" i="9"/>
  <c r="C151" i="9"/>
  <c r="A151" i="9"/>
  <c r="C150" i="9"/>
  <c r="A150" i="9"/>
  <c r="C149" i="9"/>
  <c r="A149" i="9"/>
  <c r="C148" i="9"/>
  <c r="A148" i="9"/>
  <c r="C147" i="9"/>
  <c r="A147" i="9"/>
  <c r="C146" i="9"/>
  <c r="A146" i="9"/>
  <c r="C145" i="9"/>
  <c r="A145" i="9"/>
  <c r="C144" i="9"/>
  <c r="A144" i="9"/>
  <c r="C143" i="9"/>
  <c r="A143" i="9"/>
  <c r="C142" i="9"/>
  <c r="A142" i="9"/>
  <c r="C141" i="9"/>
  <c r="A141" i="9"/>
  <c r="C140" i="9"/>
  <c r="A140" i="9"/>
  <c r="N139" i="9"/>
  <c r="C139" i="9"/>
  <c r="A139" i="9"/>
  <c r="C138" i="9"/>
  <c r="A138" i="9"/>
  <c r="C137" i="9"/>
  <c r="A137" i="9"/>
  <c r="C136" i="9"/>
  <c r="A136" i="9"/>
  <c r="C135" i="9"/>
  <c r="A135" i="9"/>
  <c r="C134" i="9"/>
  <c r="A134" i="9"/>
  <c r="C133" i="9"/>
  <c r="A133" i="9"/>
  <c r="C132" i="9"/>
  <c r="A132" i="9"/>
  <c r="C131" i="9"/>
  <c r="A131" i="9"/>
  <c r="C130" i="9"/>
  <c r="A130" i="9"/>
  <c r="C129" i="9"/>
  <c r="A129" i="9"/>
  <c r="C128" i="9"/>
  <c r="A128" i="9"/>
  <c r="C127" i="9"/>
  <c r="A127" i="9"/>
  <c r="C126" i="9"/>
  <c r="A126" i="9"/>
  <c r="C125" i="9"/>
  <c r="A125" i="9"/>
  <c r="C124" i="9"/>
  <c r="A124" i="9"/>
  <c r="C123" i="9"/>
  <c r="A123" i="9"/>
  <c r="C122" i="9"/>
  <c r="A122" i="9"/>
  <c r="C121" i="9"/>
  <c r="A121" i="9"/>
  <c r="C120" i="9"/>
  <c r="A120" i="9"/>
  <c r="C119" i="9"/>
  <c r="A119" i="9"/>
  <c r="C118" i="9"/>
  <c r="A118" i="9"/>
  <c r="C117" i="9"/>
  <c r="A117" i="9"/>
  <c r="L116" i="9"/>
  <c r="C116" i="9"/>
  <c r="A116" i="9"/>
  <c r="C115" i="9"/>
  <c r="A115" i="9"/>
  <c r="C114" i="9"/>
  <c r="A114" i="9"/>
  <c r="C113" i="9"/>
  <c r="A113" i="9"/>
  <c r="C112" i="9"/>
  <c r="A112" i="9"/>
  <c r="C111" i="9"/>
  <c r="A111" i="9"/>
  <c r="C110" i="9"/>
  <c r="A110" i="9"/>
  <c r="C109" i="9"/>
  <c r="A109" i="9"/>
  <c r="C108" i="9"/>
  <c r="A108" i="9"/>
  <c r="C107" i="9"/>
  <c r="A107" i="9"/>
  <c r="C106" i="9"/>
  <c r="A106" i="9"/>
  <c r="C105" i="9"/>
  <c r="A105" i="9"/>
  <c r="C104" i="9"/>
  <c r="A104" i="9"/>
  <c r="M103" i="9"/>
  <c r="C103" i="9"/>
  <c r="A103" i="9"/>
  <c r="C102" i="9"/>
  <c r="A102" i="9"/>
  <c r="C101" i="9"/>
  <c r="A101" i="9"/>
  <c r="C100" i="9"/>
  <c r="A100" i="9"/>
  <c r="C99" i="9"/>
  <c r="A99" i="9"/>
  <c r="C98" i="9"/>
  <c r="A98" i="9"/>
  <c r="C97" i="9"/>
  <c r="A97" i="9"/>
  <c r="C96" i="9"/>
  <c r="A96" i="9"/>
  <c r="C95" i="9"/>
  <c r="A95" i="9"/>
  <c r="C94" i="9"/>
  <c r="A94" i="9"/>
  <c r="C93" i="9"/>
  <c r="A93" i="9"/>
  <c r="C92" i="9"/>
  <c r="A92" i="9"/>
  <c r="C91" i="9"/>
  <c r="A91" i="9"/>
  <c r="N90" i="9"/>
  <c r="C90" i="9"/>
  <c r="A90" i="9"/>
  <c r="C89" i="9"/>
  <c r="A89" i="9"/>
  <c r="C88" i="9"/>
  <c r="A88" i="9"/>
  <c r="C87" i="9"/>
  <c r="A87" i="9"/>
  <c r="C86" i="9"/>
  <c r="A86" i="9"/>
  <c r="C85" i="9"/>
  <c r="A85" i="9"/>
  <c r="C84" i="9"/>
  <c r="A84" i="9"/>
  <c r="C83" i="9"/>
  <c r="A83" i="9"/>
  <c r="C82" i="9"/>
  <c r="A82" i="9"/>
  <c r="C81" i="9"/>
  <c r="A81" i="9"/>
  <c r="C80" i="9"/>
  <c r="A80" i="9"/>
  <c r="C79" i="9"/>
  <c r="A79" i="9"/>
  <c r="C78" i="9"/>
  <c r="A78" i="9"/>
  <c r="C77" i="9"/>
  <c r="A77" i="9"/>
  <c r="C76" i="9"/>
  <c r="A76" i="9"/>
  <c r="C75" i="9"/>
  <c r="A75" i="9"/>
  <c r="C74" i="9"/>
  <c r="A74" i="9"/>
  <c r="C73" i="9"/>
  <c r="A73" i="9"/>
  <c r="C72" i="9"/>
  <c r="A72" i="9"/>
  <c r="C71" i="9"/>
  <c r="A71" i="9"/>
  <c r="C70" i="9"/>
  <c r="A70" i="9"/>
  <c r="C69" i="9"/>
  <c r="A69" i="9"/>
  <c r="L68" i="9"/>
  <c r="C68" i="9"/>
  <c r="A68" i="9"/>
  <c r="C67" i="9"/>
  <c r="A67" i="9"/>
  <c r="C66" i="9"/>
  <c r="A66" i="9"/>
  <c r="C65" i="9"/>
  <c r="A65" i="9"/>
  <c r="C64" i="9"/>
  <c r="A64" i="9"/>
  <c r="C63" i="9"/>
  <c r="A63" i="9"/>
  <c r="C62" i="9"/>
  <c r="A62" i="9"/>
  <c r="C61" i="9"/>
  <c r="A61" i="9"/>
  <c r="C60" i="9"/>
  <c r="A60" i="9"/>
  <c r="C59" i="9"/>
  <c r="A59" i="9"/>
  <c r="C58" i="9"/>
  <c r="A58" i="9"/>
  <c r="C57" i="9"/>
  <c r="A57" i="9"/>
  <c r="C56" i="9"/>
  <c r="A56" i="9"/>
  <c r="M55" i="9"/>
  <c r="C55" i="9"/>
  <c r="A55" i="9"/>
  <c r="C54" i="9"/>
  <c r="A54" i="9"/>
  <c r="C53" i="9"/>
  <c r="A53" i="9"/>
  <c r="C52" i="9"/>
  <c r="A52" i="9"/>
  <c r="C51" i="9"/>
  <c r="A51" i="9"/>
  <c r="C50" i="9"/>
  <c r="A50" i="9"/>
  <c r="C49" i="9"/>
  <c r="A49" i="9"/>
  <c r="C48" i="9"/>
  <c r="A48" i="9"/>
  <c r="C47" i="9"/>
  <c r="A47" i="9"/>
  <c r="C46" i="9"/>
  <c r="A46" i="9"/>
  <c r="C45" i="9"/>
  <c r="A45" i="9"/>
  <c r="C44" i="9"/>
  <c r="A44" i="9"/>
  <c r="C43" i="9"/>
  <c r="A43" i="9"/>
  <c r="N42" i="9"/>
  <c r="C42" i="9"/>
  <c r="A42" i="9"/>
  <c r="C41" i="9"/>
  <c r="A41" i="9"/>
  <c r="C40" i="9"/>
  <c r="A40" i="9"/>
  <c r="C39" i="9"/>
  <c r="A39" i="9"/>
  <c r="C38" i="9"/>
  <c r="A38" i="9"/>
  <c r="C37" i="9"/>
  <c r="A37" i="9"/>
  <c r="C36" i="9"/>
  <c r="A36" i="9"/>
  <c r="C35" i="9"/>
  <c r="A35" i="9"/>
  <c r="C34" i="9"/>
  <c r="A34" i="9"/>
  <c r="C33" i="9"/>
  <c r="A33" i="9"/>
  <c r="C32" i="9"/>
  <c r="A32" i="9"/>
  <c r="C31" i="9"/>
  <c r="A31" i="9"/>
  <c r="C30" i="9"/>
  <c r="A30" i="9"/>
  <c r="C29" i="9"/>
  <c r="A29" i="9"/>
  <c r="C28" i="9"/>
  <c r="A28" i="9"/>
  <c r="M27" i="9"/>
  <c r="C27" i="9"/>
  <c r="A27" i="9"/>
  <c r="C26" i="9"/>
  <c r="A26" i="9"/>
  <c r="C25" i="9"/>
  <c r="A25" i="9"/>
  <c r="C24" i="9"/>
  <c r="A24" i="9"/>
  <c r="C23" i="9"/>
  <c r="A23" i="9"/>
  <c r="C22" i="9"/>
  <c r="A22" i="9"/>
  <c r="C21" i="9"/>
  <c r="A21" i="9"/>
  <c r="L20" i="9"/>
  <c r="C20" i="9"/>
  <c r="A20" i="9"/>
  <c r="C19" i="9"/>
  <c r="A19" i="9"/>
  <c r="C18" i="9"/>
  <c r="A18" i="9"/>
  <c r="C17" i="9"/>
  <c r="A17" i="9"/>
  <c r="C16" i="9"/>
  <c r="A16" i="9"/>
  <c r="C15" i="9"/>
  <c r="A15" i="9"/>
  <c r="C14" i="9"/>
  <c r="A14" i="9"/>
  <c r="C13" i="9"/>
  <c r="A13" i="9"/>
  <c r="C12" i="9"/>
  <c r="A12" i="9"/>
  <c r="C11" i="9"/>
  <c r="A11" i="9"/>
  <c r="C10" i="9"/>
  <c r="A10" i="9"/>
  <c r="C9" i="9"/>
  <c r="A9" i="9"/>
  <c r="C8" i="9"/>
  <c r="A8" i="9"/>
  <c r="M7" i="9"/>
  <c r="C7" i="9"/>
  <c r="A7" i="9"/>
  <c r="C6" i="9"/>
  <c r="A6" i="9"/>
  <c r="C5" i="9"/>
  <c r="A5" i="9"/>
  <c r="N4" i="9"/>
  <c r="M4" i="9"/>
  <c r="L4" i="9"/>
  <c r="C4" i="9"/>
  <c r="A4" i="9"/>
  <c r="C3" i="9"/>
  <c r="A3" i="9"/>
  <c r="F1" i="9"/>
  <c r="A116" i="1"/>
  <c r="A115" i="1"/>
  <c r="B115" i="1" s="1"/>
  <c r="A114" i="1"/>
  <c r="A113" i="1"/>
  <c r="A129" i="1" s="1"/>
  <c r="A110" i="1"/>
  <c r="B110" i="1" s="1"/>
  <c r="A109" i="1"/>
  <c r="A108" i="1"/>
  <c r="B98" i="1"/>
  <c r="A97" i="1"/>
  <c r="A96" i="1"/>
  <c r="A95" i="1"/>
  <c r="A94" i="1"/>
  <c r="A93" i="1"/>
  <c r="B92" i="1"/>
  <c r="A92" i="1"/>
  <c r="A86" i="1"/>
  <c r="A85" i="1"/>
  <c r="B85" i="1" s="1"/>
  <c r="B84" i="1"/>
  <c r="B83" i="1"/>
  <c r="A82" i="1"/>
  <c r="B82" i="1" s="1"/>
  <c r="A81" i="1"/>
  <c r="B81" i="1" s="1"/>
  <c r="B79" i="1"/>
  <c r="A79" i="1"/>
  <c r="A77" i="1"/>
  <c r="B77" i="1" s="1"/>
  <c r="A75" i="1"/>
  <c r="B75" i="1" s="1"/>
  <c r="A74" i="1"/>
  <c r="B74" i="1" s="1"/>
  <c r="B73" i="1"/>
  <c r="A73" i="1"/>
  <c r="A70" i="1"/>
  <c r="B70" i="1" s="1"/>
  <c r="A68" i="1"/>
  <c r="B68" i="1" s="1"/>
  <c r="A67" i="1"/>
  <c r="A66" i="1"/>
  <c r="B66" i="1" s="1"/>
  <c r="A65" i="1"/>
  <c r="B65" i="1" s="1"/>
  <c r="A64" i="1"/>
  <c r="A63" i="1"/>
  <c r="B63" i="1" s="1"/>
  <c r="A62" i="1"/>
  <c r="B62" i="1" s="1"/>
  <c r="A61" i="1"/>
  <c r="A60" i="1"/>
  <c r="B60" i="1" s="1"/>
  <c r="B59" i="1"/>
  <c r="A59" i="1"/>
  <c r="B57" i="1"/>
  <c r="A55" i="1"/>
  <c r="B55" i="1" s="1"/>
  <c r="A54" i="1"/>
  <c r="A53" i="1"/>
  <c r="B53" i="1" s="1"/>
  <c r="A52" i="1"/>
  <c r="A51" i="1"/>
  <c r="A50" i="1"/>
  <c r="B49" i="1"/>
  <c r="A49" i="1"/>
  <c r="A44" i="1"/>
  <c r="B44" i="1" s="1"/>
  <c r="A43" i="1"/>
  <c r="B43" i="1" s="1"/>
  <c r="A42" i="1"/>
  <c r="A41" i="1"/>
  <c r="A40" i="1"/>
  <c r="B40" i="1" s="1"/>
  <c r="A39" i="1"/>
  <c r="B39" i="1" s="1"/>
  <c r="B38" i="1"/>
  <c r="A38" i="1"/>
  <c r="B34" i="1"/>
  <c r="A32" i="1"/>
  <c r="B32" i="1" s="1"/>
  <c r="A31" i="1"/>
  <c r="B31" i="1" s="1"/>
  <c r="B30" i="1"/>
  <c r="A30" i="1"/>
  <c r="A24" i="1"/>
  <c r="A23" i="1"/>
  <c r="B23" i="1" s="1"/>
  <c r="A22" i="1"/>
  <c r="B22" i="1" s="1"/>
  <c r="A20" i="1"/>
  <c r="B20" i="1" s="1"/>
  <c r="B19" i="1"/>
  <c r="A19" i="1"/>
  <c r="A14" i="1"/>
  <c r="A13" i="1"/>
  <c r="A12" i="1"/>
  <c r="A10" i="1"/>
  <c r="H10" i="1" s="1"/>
  <c r="B9" i="1"/>
  <c r="A9" i="1"/>
  <c r="B7" i="1"/>
  <c r="B2" i="1"/>
  <c r="A113" i="4"/>
  <c r="A129" i="4" s="1"/>
  <c r="A108" i="4"/>
  <c r="B92" i="4"/>
  <c r="A92" i="4"/>
  <c r="B79" i="4"/>
  <c r="A79" i="4"/>
  <c r="B73" i="4"/>
  <c r="A73" i="4"/>
  <c r="B59" i="4"/>
  <c r="A59" i="4"/>
  <c r="B57" i="4"/>
  <c r="B49" i="4"/>
  <c r="A49" i="4"/>
  <c r="B38" i="4"/>
  <c r="A38" i="4"/>
  <c r="B30" i="4"/>
  <c r="A30" i="4"/>
  <c r="B19" i="4"/>
  <c r="A19" i="4"/>
  <c r="K16" i="4"/>
  <c r="B9" i="4"/>
  <c r="A9" i="4"/>
  <c r="B7" i="4"/>
  <c r="B2" i="4"/>
  <c r="A116" i="2"/>
  <c r="K116" i="2" s="1"/>
  <c r="A115" i="2"/>
  <c r="L115" i="2" s="1"/>
  <c r="A114" i="2"/>
  <c r="A113" i="2"/>
  <c r="A129" i="2" s="1"/>
  <c r="A110" i="2"/>
  <c r="A109" i="2"/>
  <c r="B109" i="2" s="1"/>
  <c r="A108" i="2"/>
  <c r="A98" i="2"/>
  <c r="L98" i="2" s="1"/>
  <c r="A97" i="2"/>
  <c r="B97" i="2" s="1"/>
  <c r="A96" i="2"/>
  <c r="A95" i="2"/>
  <c r="A94" i="2"/>
  <c r="B94" i="2" s="1"/>
  <c r="A93" i="2"/>
  <c r="L93" i="2" s="1"/>
  <c r="B92" i="2"/>
  <c r="A92" i="2"/>
  <c r="A86" i="2"/>
  <c r="K86" i="2" s="1"/>
  <c r="A85" i="2"/>
  <c r="B85" i="2" s="1"/>
  <c r="A84" i="2"/>
  <c r="K84" i="2" s="1"/>
  <c r="A83" i="2"/>
  <c r="A82" i="2"/>
  <c r="B82" i="2" s="1"/>
  <c r="A81" i="2"/>
  <c r="B81" i="2" s="1"/>
  <c r="B79" i="2"/>
  <c r="A79" i="2"/>
  <c r="A77" i="2"/>
  <c r="K77" i="2" s="1"/>
  <c r="A75" i="2"/>
  <c r="A74" i="2"/>
  <c r="B73" i="2"/>
  <c r="A73" i="2"/>
  <c r="A70" i="2"/>
  <c r="L70" i="2" s="1"/>
  <c r="A68" i="2"/>
  <c r="B59" i="2"/>
  <c r="A59" i="2"/>
  <c r="B57" i="2"/>
  <c r="A55" i="2"/>
  <c r="K55" i="2" s="1"/>
  <c r="A54" i="2"/>
  <c r="B54" i="2" s="1"/>
  <c r="A53" i="2"/>
  <c r="B53" i="2" s="1"/>
  <c r="A52" i="2"/>
  <c r="A51" i="2"/>
  <c r="A50" i="2"/>
  <c r="B49" i="2"/>
  <c r="A49" i="2"/>
  <c r="A44" i="2"/>
  <c r="K44" i="2" s="1"/>
  <c r="A43" i="2"/>
  <c r="K43" i="2" s="1"/>
  <c r="A42" i="2"/>
  <c r="K42" i="2" s="1"/>
  <c r="A41" i="2"/>
  <c r="B41" i="2" s="1"/>
  <c r="A40" i="2"/>
  <c r="L40" i="2" s="1"/>
  <c r="A39" i="2"/>
  <c r="L39" i="2" s="1"/>
  <c r="B38" i="2"/>
  <c r="A38" i="2"/>
  <c r="K36" i="2"/>
  <c r="A34" i="2"/>
  <c r="L34" i="2" s="1"/>
  <c r="A32" i="2"/>
  <c r="A31" i="2"/>
  <c r="B30" i="2"/>
  <c r="A30" i="2"/>
  <c r="B19" i="2"/>
  <c r="A19" i="2"/>
  <c r="B16" i="2"/>
  <c r="A14" i="2"/>
  <c r="L14" i="2" s="1"/>
  <c r="A13" i="2"/>
  <c r="A12" i="2"/>
  <c r="L12" i="2" s="1"/>
  <c r="A10" i="2"/>
  <c r="B9" i="2"/>
  <c r="A9" i="2"/>
  <c r="B7" i="2"/>
  <c r="B2" i="2"/>
  <c r="A129" i="3"/>
  <c r="A128" i="3"/>
  <c r="A128" i="4" s="1"/>
  <c r="A127" i="3"/>
  <c r="A127" i="2" s="1"/>
  <c r="A126" i="3"/>
  <c r="A126" i="1" s="1"/>
  <c r="A125" i="3"/>
  <c r="A125" i="2" s="1"/>
  <c r="A124" i="3"/>
  <c r="A124" i="2" s="1"/>
  <c r="A123" i="3"/>
  <c r="A123" i="2" s="1"/>
  <c r="A122" i="3"/>
  <c r="A122" i="1" s="1"/>
  <c r="A121" i="3"/>
  <c r="A121" i="1" s="1"/>
  <c r="A120" i="3"/>
  <c r="A120" i="2" s="1"/>
  <c r="A119" i="3"/>
  <c r="A119" i="1" s="1"/>
  <c r="R117" i="3"/>
  <c r="L116" i="3"/>
  <c r="K116" i="3"/>
  <c r="B116" i="3"/>
  <c r="L115" i="3"/>
  <c r="K115" i="3"/>
  <c r="B115" i="3"/>
  <c r="L114" i="3"/>
  <c r="K114" i="3"/>
  <c r="B114" i="3"/>
  <c r="R112" i="3"/>
  <c r="B110" i="3"/>
  <c r="B109" i="3"/>
  <c r="R107" i="3"/>
  <c r="L98" i="3"/>
  <c r="K98" i="3"/>
  <c r="B98" i="3"/>
  <c r="L97" i="3"/>
  <c r="K97" i="3"/>
  <c r="B97" i="3"/>
  <c r="L96" i="3"/>
  <c r="K96" i="3"/>
  <c r="B96" i="3"/>
  <c r="L95" i="3"/>
  <c r="K95" i="3"/>
  <c r="B95" i="3"/>
  <c r="L94" i="3"/>
  <c r="K94" i="3"/>
  <c r="B94" i="3"/>
  <c r="L93" i="3"/>
  <c r="K93" i="3"/>
  <c r="B93" i="3"/>
  <c r="R91" i="3"/>
  <c r="L86" i="3"/>
  <c r="K86" i="3"/>
  <c r="B86" i="3"/>
  <c r="L85" i="3"/>
  <c r="K85" i="3"/>
  <c r="B85" i="3"/>
  <c r="L84" i="3"/>
  <c r="K84" i="3"/>
  <c r="B84" i="3"/>
  <c r="L83" i="3"/>
  <c r="K83" i="3"/>
  <c r="B83" i="3"/>
  <c r="L82" i="3"/>
  <c r="K82" i="3"/>
  <c r="B82" i="3"/>
  <c r="L81" i="3"/>
  <c r="K81" i="3"/>
  <c r="B81" i="3"/>
  <c r="R78" i="3"/>
  <c r="L77" i="3"/>
  <c r="K77" i="3"/>
  <c r="L75" i="3"/>
  <c r="K75" i="3"/>
  <c r="B75" i="3"/>
  <c r="L74" i="3"/>
  <c r="K74" i="3"/>
  <c r="B74" i="3"/>
  <c r="R72" i="3"/>
  <c r="L70" i="3"/>
  <c r="K70" i="3"/>
  <c r="L68" i="3"/>
  <c r="K68" i="3"/>
  <c r="B68" i="3"/>
  <c r="L67" i="3"/>
  <c r="K67" i="3"/>
  <c r="B67" i="3"/>
  <c r="L66" i="3"/>
  <c r="K66" i="3"/>
  <c r="B66" i="3"/>
  <c r="L65" i="3"/>
  <c r="K65" i="3"/>
  <c r="B65" i="3"/>
  <c r="L64" i="3"/>
  <c r="K64" i="3"/>
  <c r="B64" i="3"/>
  <c r="L63" i="3"/>
  <c r="K63" i="3"/>
  <c r="B63" i="3"/>
  <c r="L62" i="3"/>
  <c r="K62" i="3"/>
  <c r="B62" i="3"/>
  <c r="L61" i="3"/>
  <c r="K61" i="3"/>
  <c r="B61" i="3"/>
  <c r="L60" i="3"/>
  <c r="K60" i="3"/>
  <c r="B60" i="3"/>
  <c r="R58" i="3"/>
  <c r="R56" i="3"/>
  <c r="L55" i="3"/>
  <c r="K55" i="3"/>
  <c r="B55" i="3"/>
  <c r="L54" i="3"/>
  <c r="K54" i="3"/>
  <c r="B54" i="3"/>
  <c r="L53" i="3"/>
  <c r="K53" i="3"/>
  <c r="B53" i="3"/>
  <c r="L52" i="3"/>
  <c r="K52" i="3"/>
  <c r="B52" i="3"/>
  <c r="L51" i="3"/>
  <c r="K51" i="3"/>
  <c r="B51" i="3"/>
  <c r="L50" i="3"/>
  <c r="K50" i="3"/>
  <c r="B50" i="3"/>
  <c r="R48" i="3"/>
  <c r="L44" i="3"/>
  <c r="K44" i="3"/>
  <c r="L43" i="3"/>
  <c r="K43" i="3"/>
  <c r="L42" i="3"/>
  <c r="K42" i="3"/>
  <c r="L41" i="3"/>
  <c r="K41" i="3"/>
  <c r="L40" i="3"/>
  <c r="K40" i="3"/>
  <c r="L39" i="3"/>
  <c r="K39" i="3"/>
  <c r="R37" i="3"/>
  <c r="L36" i="3"/>
  <c r="K36" i="3"/>
  <c r="L34" i="3"/>
  <c r="K34" i="3"/>
  <c r="B34" i="3"/>
  <c r="L32" i="3"/>
  <c r="K32" i="3"/>
  <c r="B32" i="3"/>
  <c r="L31" i="3"/>
  <c r="K31" i="3"/>
  <c r="B31" i="3"/>
  <c r="R29" i="3"/>
  <c r="L24" i="3"/>
  <c r="K24" i="3"/>
  <c r="B24" i="3"/>
  <c r="L23" i="3"/>
  <c r="K23" i="3"/>
  <c r="B23" i="3"/>
  <c r="L22" i="3"/>
  <c r="K22" i="3"/>
  <c r="B22" i="3"/>
  <c r="L20" i="3"/>
  <c r="K20" i="3"/>
  <c r="B20" i="3"/>
  <c r="R18" i="3"/>
  <c r="L15" i="3"/>
  <c r="K15" i="3"/>
  <c r="L14" i="3"/>
  <c r="K14" i="3"/>
  <c r="L13" i="3"/>
  <c r="K13" i="3"/>
  <c r="L12" i="3"/>
  <c r="K12" i="3"/>
  <c r="L10" i="3"/>
  <c r="R8" i="3"/>
  <c r="B2" i="3"/>
  <c r="O1" i="3"/>
  <c r="O1" i="4" s="1"/>
  <c r="N69" i="6"/>
  <c r="L69" i="6"/>
  <c r="K69" i="6"/>
  <c r="J69" i="6"/>
  <c r="I69" i="6"/>
  <c r="G69" i="6"/>
  <c r="F69" i="6"/>
  <c r="E69" i="6"/>
  <c r="N57" i="6"/>
  <c r="L57" i="6"/>
  <c r="K57" i="6"/>
  <c r="J57" i="6"/>
  <c r="I57" i="6"/>
  <c r="G57" i="6"/>
  <c r="F57" i="6"/>
  <c r="E57" i="6"/>
  <c r="N49" i="6"/>
  <c r="L49" i="6"/>
  <c r="K49" i="6"/>
  <c r="J49" i="6"/>
  <c r="I49" i="6"/>
  <c r="G49" i="6"/>
  <c r="F49" i="6"/>
  <c r="E49" i="6"/>
  <c r="N40" i="6"/>
  <c r="L40" i="6"/>
  <c r="K40" i="6"/>
  <c r="J40" i="6"/>
  <c r="I40" i="6"/>
  <c r="G40" i="6"/>
  <c r="F40" i="6"/>
  <c r="E40" i="6"/>
  <c r="L39" i="6"/>
  <c r="K39" i="6"/>
  <c r="J39" i="6"/>
  <c r="I39" i="6" s="1"/>
  <c r="G39" i="6"/>
  <c r="E39" i="6"/>
  <c r="L38" i="6"/>
  <c r="K38" i="6"/>
  <c r="J38" i="6"/>
  <c r="I38" i="6" s="1"/>
  <c r="G38" i="6"/>
  <c r="E38" i="6"/>
  <c r="N37" i="6"/>
  <c r="L37" i="6"/>
  <c r="K37" i="6"/>
  <c r="J37" i="6"/>
  <c r="I37" i="6"/>
  <c r="G37" i="6"/>
  <c r="F37" i="6"/>
  <c r="E37" i="6"/>
  <c r="L36" i="6"/>
  <c r="K36" i="6"/>
  <c r="J36" i="6"/>
  <c r="I36" i="6" s="1"/>
  <c r="G36" i="6"/>
  <c r="E36" i="6"/>
  <c r="E35" i="6"/>
  <c r="N34" i="6"/>
  <c r="L34" i="6"/>
  <c r="K34" i="6"/>
  <c r="J34" i="6"/>
  <c r="I34" i="6"/>
  <c r="G34" i="6"/>
  <c r="F34" i="6"/>
  <c r="E34" i="6"/>
  <c r="L33" i="6"/>
  <c r="J33" i="6"/>
  <c r="I33" i="6" s="1"/>
  <c r="N32" i="6"/>
  <c r="L32" i="6"/>
  <c r="K32" i="6"/>
  <c r="J32" i="6"/>
  <c r="I32" i="6"/>
  <c r="G32" i="6"/>
  <c r="F32" i="6"/>
  <c r="E32" i="6"/>
  <c r="L31" i="6"/>
  <c r="K31" i="6"/>
  <c r="J31" i="6"/>
  <c r="I31" i="6" s="1"/>
  <c r="G31" i="6"/>
  <c r="E31" i="6"/>
  <c r="L30" i="6"/>
  <c r="K30" i="6"/>
  <c r="J30" i="6"/>
  <c r="I30" i="6" s="1"/>
  <c r="G30" i="6"/>
  <c r="E30" i="6"/>
  <c r="N29" i="6"/>
  <c r="L29" i="6"/>
  <c r="K29" i="6"/>
  <c r="J29" i="6"/>
  <c r="I29" i="6"/>
  <c r="G29" i="6"/>
  <c r="F29" i="6"/>
  <c r="E29" i="6"/>
  <c r="L28" i="6"/>
  <c r="K28" i="6"/>
  <c r="J28" i="6"/>
  <c r="I28" i="6" s="1"/>
  <c r="G28" i="6"/>
  <c r="E28" i="6"/>
  <c r="L27" i="6"/>
  <c r="K27" i="6"/>
  <c r="J27" i="6"/>
  <c r="I27" i="6" s="1"/>
  <c r="G27" i="6"/>
  <c r="E27" i="6"/>
  <c r="N26" i="6"/>
  <c r="L26" i="6"/>
  <c r="K26" i="6"/>
  <c r="J26" i="6"/>
  <c r="I26" i="6"/>
  <c r="G26" i="6"/>
  <c r="F26" i="6"/>
  <c r="E26" i="6"/>
  <c r="L25" i="6"/>
  <c r="J25" i="6"/>
  <c r="I25" i="6" s="1"/>
  <c r="L24" i="6"/>
  <c r="J24" i="6"/>
  <c r="I24" i="6" s="1"/>
  <c r="N23" i="6"/>
  <c r="L23" i="6"/>
  <c r="K23" i="6"/>
  <c r="J23" i="6"/>
  <c r="I23" i="6"/>
  <c r="G23" i="6"/>
  <c r="F23" i="6"/>
  <c r="E23" i="6"/>
  <c r="N21" i="6"/>
  <c r="L21" i="6"/>
  <c r="K21" i="6"/>
  <c r="J21" i="6"/>
  <c r="I21" i="6"/>
  <c r="G21" i="6"/>
  <c r="F21" i="6"/>
  <c r="E21" i="6"/>
  <c r="N18" i="6"/>
  <c r="L18" i="6"/>
  <c r="K18" i="6"/>
  <c r="J18" i="6"/>
  <c r="I18" i="6"/>
  <c r="G18" i="6"/>
  <c r="F18" i="6"/>
  <c r="E18" i="6"/>
  <c r="N15" i="6"/>
  <c r="L15" i="6"/>
  <c r="K15" i="6"/>
  <c r="J15" i="6"/>
  <c r="I15" i="6"/>
  <c r="G15" i="6"/>
  <c r="F15" i="6"/>
  <c r="E15" i="6"/>
  <c r="N12" i="6"/>
  <c r="L12" i="6"/>
  <c r="K12" i="6"/>
  <c r="J12" i="6"/>
  <c r="I12" i="6"/>
  <c r="G12" i="6"/>
  <c r="F12" i="6"/>
  <c r="E12" i="6"/>
  <c r="N9" i="6"/>
  <c r="L9" i="6"/>
  <c r="K9" i="6"/>
  <c r="J9" i="6"/>
  <c r="I9" i="6"/>
  <c r="G9" i="6"/>
  <c r="F9" i="6"/>
  <c r="E9" i="6"/>
  <c r="N6" i="6"/>
  <c r="L6" i="6"/>
  <c r="K6" i="6"/>
  <c r="J6" i="6"/>
  <c r="I6" i="6"/>
  <c r="G6" i="6"/>
  <c r="F6" i="6"/>
  <c r="E6" i="6"/>
  <c r="L2" i="6"/>
  <c r="B2" i="6"/>
  <c r="K62" i="2"/>
  <c r="B62" i="2"/>
  <c r="L16" i="4"/>
  <c r="K51" i="4"/>
  <c r="K52" i="2" l="1"/>
  <c r="L52" i="2"/>
  <c r="B53" i="4"/>
  <c r="B81" i="4"/>
  <c r="K10" i="2"/>
  <c r="K23" i="2"/>
  <c r="M23" i="2" s="1"/>
  <c r="B66" i="4"/>
  <c r="K10" i="4"/>
  <c r="B52" i="4"/>
  <c r="B110" i="4"/>
  <c r="L110" i="4"/>
  <c r="K14" i="4"/>
  <c r="L14" i="4"/>
  <c r="G14" i="4"/>
  <c r="L23" i="4"/>
  <c r="L54" i="4"/>
  <c r="K9" i="3"/>
  <c r="K119" i="3" s="1"/>
  <c r="L64" i="9"/>
  <c r="L205" i="9"/>
  <c r="N26" i="9"/>
  <c r="M201" i="9"/>
  <c r="L96" i="9"/>
  <c r="B23" i="2"/>
  <c r="M35" i="9"/>
  <c r="N151" i="9"/>
  <c r="N66" i="9"/>
  <c r="N114" i="9"/>
  <c r="L329" i="9"/>
  <c r="L40" i="9"/>
  <c r="N62" i="9"/>
  <c r="M75" i="9"/>
  <c r="L88" i="9"/>
  <c r="N110" i="9"/>
  <c r="M123" i="9"/>
  <c r="N147" i="9"/>
  <c r="L213" i="9"/>
  <c r="L461" i="9"/>
  <c r="L572" i="9"/>
  <c r="N34" i="9"/>
  <c r="M95" i="9"/>
  <c r="L108" i="9"/>
  <c r="L8" i="9"/>
  <c r="N30" i="9"/>
  <c r="N78" i="9"/>
  <c r="N126" i="9"/>
  <c r="N184" i="9"/>
  <c r="M39" i="9"/>
  <c r="L100" i="9"/>
  <c r="N122" i="9"/>
  <c r="N146" i="9"/>
  <c r="M31" i="9"/>
  <c r="M127" i="9"/>
  <c r="L270" i="9"/>
  <c r="N14" i="9"/>
  <c r="N10" i="9"/>
  <c r="M23" i="9"/>
  <c r="L36" i="9"/>
  <c r="N58" i="9"/>
  <c r="M71" i="9"/>
  <c r="L84" i="9"/>
  <c r="N106" i="9"/>
  <c r="M119" i="9"/>
  <c r="L132" i="9"/>
  <c r="M175" i="9"/>
  <c r="N38" i="9"/>
  <c r="N86" i="9"/>
  <c r="M47" i="9"/>
  <c r="N82" i="9"/>
  <c r="N130" i="9"/>
  <c r="M43" i="9"/>
  <c r="M140" i="9"/>
  <c r="L52" i="9"/>
  <c r="M87" i="9"/>
  <c r="N70" i="9"/>
  <c r="N118" i="9"/>
  <c r="M79" i="9"/>
  <c r="N6" i="9"/>
  <c r="M19" i="9"/>
  <c r="L32" i="9"/>
  <c r="N54" i="9"/>
  <c r="M67" i="9"/>
  <c r="L80" i="9"/>
  <c r="N102" i="9"/>
  <c r="M115" i="9"/>
  <c r="L128" i="9"/>
  <c r="N138" i="9"/>
  <c r="L192" i="9"/>
  <c r="L112" i="9"/>
  <c r="L573" i="9"/>
  <c r="L12" i="9"/>
  <c r="L60" i="9"/>
  <c r="L161" i="9"/>
  <c r="L56" i="9"/>
  <c r="L104" i="9"/>
  <c r="N74" i="9"/>
  <c r="L217" i="9"/>
  <c r="N22" i="9"/>
  <c r="M83" i="9"/>
  <c r="M131" i="9"/>
  <c r="N18" i="9"/>
  <c r="L92" i="9"/>
  <c r="M15" i="9"/>
  <c r="L28" i="9"/>
  <c r="N50" i="9"/>
  <c r="M63" i="9"/>
  <c r="L76" i="9"/>
  <c r="N98" i="9"/>
  <c r="M111" i="9"/>
  <c r="L124" i="9"/>
  <c r="M148" i="9"/>
  <c r="M209" i="9"/>
  <c r="L16" i="9"/>
  <c r="M51" i="9"/>
  <c r="M99" i="9"/>
  <c r="N279" i="9"/>
  <c r="M91" i="9"/>
  <c r="N228" i="9"/>
  <c r="L48" i="9"/>
  <c r="K61" i="4"/>
  <c r="M61" i="4" s="1"/>
  <c r="M3" i="9"/>
  <c r="M11" i="9"/>
  <c r="L24" i="9"/>
  <c r="N46" i="9"/>
  <c r="M59" i="9"/>
  <c r="L72" i="9"/>
  <c r="N94" i="9"/>
  <c r="M107" i="9"/>
  <c r="L120" i="9"/>
  <c r="N171" i="9"/>
  <c r="B60" i="2"/>
  <c r="B63" i="2"/>
  <c r="L67" i="4"/>
  <c r="M67" i="4" s="1"/>
  <c r="B39" i="4"/>
  <c r="B61" i="4"/>
  <c r="B41" i="4"/>
  <c r="K41" i="4"/>
  <c r="M41" i="4" s="1"/>
  <c r="K96" i="4"/>
  <c r="K53" i="4"/>
  <c r="M53" i="4" s="1"/>
  <c r="B43" i="4"/>
  <c r="B63" i="4"/>
  <c r="K32" i="4"/>
  <c r="M32" i="4" s="1"/>
  <c r="K63" i="4"/>
  <c r="M63" i="4" s="1"/>
  <c r="L24" i="2"/>
  <c r="M24" i="2" s="1"/>
  <c r="B24" i="2"/>
  <c r="A127" i="1"/>
  <c r="L62" i="4"/>
  <c r="M62" i="4" s="1"/>
  <c r="L31" i="4"/>
  <c r="B66" i="2"/>
  <c r="B62" i="4"/>
  <c r="K81" i="4"/>
  <c r="M81" i="4" s="1"/>
  <c r="L36" i="4"/>
  <c r="K31" i="4"/>
  <c r="B67" i="4"/>
  <c r="L82" i="4"/>
  <c r="M82" i="4" s="1"/>
  <c r="B20" i="2"/>
  <c r="K19" i="3"/>
  <c r="K120" i="3" s="1"/>
  <c r="L73" i="3"/>
  <c r="L125" i="3" s="1"/>
  <c r="K92" i="3"/>
  <c r="K127" i="3" s="1"/>
  <c r="L92" i="3"/>
  <c r="L127" i="3" s="1"/>
  <c r="K79" i="3"/>
  <c r="K126" i="3" s="1"/>
  <c r="L79" i="3"/>
  <c r="L126" i="3" s="1"/>
  <c r="L9" i="3"/>
  <c r="L119" i="3" s="1"/>
  <c r="L19" i="3"/>
  <c r="L120" i="3" s="1"/>
  <c r="K38" i="3"/>
  <c r="K122" i="3" s="1"/>
  <c r="L38" i="3"/>
  <c r="L122" i="3" s="1"/>
  <c r="B83" i="4"/>
  <c r="L64" i="4"/>
  <c r="M64" i="4" s="1"/>
  <c r="K54" i="4"/>
  <c r="L42" i="4"/>
  <c r="B67" i="2"/>
  <c r="B20" i="4"/>
  <c r="L20" i="2"/>
  <c r="K42" i="4"/>
  <c r="B82" i="4"/>
  <c r="B64" i="4"/>
  <c r="B65" i="4"/>
  <c r="K36" i="4"/>
  <c r="L44" i="4"/>
  <c r="M44" i="4" s="1"/>
  <c r="L84" i="4"/>
  <c r="M84" i="4" s="1"/>
  <c r="L43" i="4"/>
  <c r="M43" i="4" s="1"/>
  <c r="B44" i="4"/>
  <c r="K83" i="4"/>
  <c r="M83" i="4" s="1"/>
  <c r="L96" i="4"/>
  <c r="K66" i="2"/>
  <c r="M66" i="2" s="1"/>
  <c r="L65" i="4"/>
  <c r="M65" i="4" s="1"/>
  <c r="L52" i="4"/>
  <c r="M52" i="4" s="1"/>
  <c r="B55" i="4"/>
  <c r="B32" i="4"/>
  <c r="B84" i="4"/>
  <c r="K65" i="2"/>
  <c r="M65" i="2" s="1"/>
  <c r="K60" i="4"/>
  <c r="M60" i="4" s="1"/>
  <c r="K98" i="4"/>
  <c r="A122" i="4"/>
  <c r="K55" i="4"/>
  <c r="B65" i="2"/>
  <c r="L60" i="2"/>
  <c r="M60" i="2" s="1"/>
  <c r="L64" i="2"/>
  <c r="M64" i="2" s="1"/>
  <c r="B64" i="2"/>
  <c r="K34" i="4"/>
  <c r="K97" i="4"/>
  <c r="M97" i="4" s="1"/>
  <c r="B97" i="4"/>
  <c r="L34" i="4"/>
  <c r="L40" i="4"/>
  <c r="B40" i="4"/>
  <c r="B60" i="4"/>
  <c r="A128" i="1"/>
  <c r="K116" i="4"/>
  <c r="M116" i="4" s="1"/>
  <c r="A122" i="2"/>
  <c r="L81" i="2"/>
  <c r="K81" i="2"/>
  <c r="B52" i="2"/>
  <c r="L68" i="4"/>
  <c r="M68" i="4" s="1"/>
  <c r="L86" i="2"/>
  <c r="M86" i="2" s="1"/>
  <c r="B94" i="4"/>
  <c r="K20" i="4"/>
  <c r="M20" i="4" s="1"/>
  <c r="K94" i="4"/>
  <c r="M94" i="4" s="1"/>
  <c r="K75" i="4"/>
  <c r="M75" i="4" s="1"/>
  <c r="B71" i="4"/>
  <c r="L71" i="4"/>
  <c r="M71" i="4" s="1"/>
  <c r="B114" i="4"/>
  <c r="K114" i="4"/>
  <c r="B75" i="4"/>
  <c r="L85" i="4"/>
  <c r="K40" i="2"/>
  <c r="M40" i="2" s="1"/>
  <c r="L84" i="2"/>
  <c r="M84" i="2" s="1"/>
  <c r="A126" i="4"/>
  <c r="B84" i="2"/>
  <c r="A124" i="1"/>
  <c r="K93" i="4"/>
  <c r="K13" i="4"/>
  <c r="A128" i="2"/>
  <c r="B95" i="4"/>
  <c r="B68" i="4"/>
  <c r="B93" i="4"/>
  <c r="K74" i="4"/>
  <c r="M74" i="4" s="1"/>
  <c r="B74" i="4"/>
  <c r="B109" i="4"/>
  <c r="K34" i="2"/>
  <c r="M34" i="2" s="1"/>
  <c r="L115" i="4"/>
  <c r="M115" i="4" s="1"/>
  <c r="L95" i="4"/>
  <c r="M95" i="4" s="1"/>
  <c r="B61" i="2"/>
  <c r="B34" i="2"/>
  <c r="L55" i="2"/>
  <c r="M55" i="2" s="1"/>
  <c r="B55" i="2"/>
  <c r="K61" i="2"/>
  <c r="M61" i="2" s="1"/>
  <c r="L22" i="4"/>
  <c r="M22" i="4" s="1"/>
  <c r="B22" i="4"/>
  <c r="K77" i="4"/>
  <c r="B115" i="4"/>
  <c r="B77" i="4"/>
  <c r="B50" i="4"/>
  <c r="B86" i="4"/>
  <c r="L10" i="4"/>
  <c r="L24" i="4"/>
  <c r="K24" i="4"/>
  <c r="L66" i="4"/>
  <c r="K86" i="4"/>
  <c r="L50" i="4"/>
  <c r="M50" i="4" s="1"/>
  <c r="B116" i="4"/>
  <c r="K23" i="4"/>
  <c r="K63" i="2"/>
  <c r="M63" i="2" s="1"/>
  <c r="K39" i="4"/>
  <c r="M39" i="4" s="1"/>
  <c r="B44" i="2"/>
  <c r="B22" i="2"/>
  <c r="L22" i="2"/>
  <c r="M22" i="2" s="1"/>
  <c r="K14" i="2"/>
  <c r="M14" i="2" s="1"/>
  <c r="L44" i="2"/>
  <c r="M44" i="2" s="1"/>
  <c r="K53" i="2"/>
  <c r="K94" i="2"/>
  <c r="L51" i="4"/>
  <c r="M51" i="4" s="1"/>
  <c r="L12" i="4"/>
  <c r="M12" i="4" s="1"/>
  <c r="A125" i="4"/>
  <c r="L94" i="2"/>
  <c r="A125" i="1"/>
  <c r="B23" i="4"/>
  <c r="B16" i="1"/>
  <c r="K41" i="2"/>
  <c r="B40" i="2"/>
  <c r="K16" i="2"/>
  <c r="K67" i="2"/>
  <c r="M67" i="2" s="1"/>
  <c r="L31" i="2"/>
  <c r="L77" i="2"/>
  <c r="M77" i="2" s="1"/>
  <c r="L10" i="2"/>
  <c r="K70" i="2"/>
  <c r="M70" i="2" s="1"/>
  <c r="B42" i="2"/>
  <c r="A119" i="2"/>
  <c r="A119" i="4"/>
  <c r="B111" i="2"/>
  <c r="A127" i="4"/>
  <c r="K12" i="2"/>
  <c r="M12" i="2" s="1"/>
  <c r="K51" i="2"/>
  <c r="L111" i="4"/>
  <c r="B77" i="2"/>
  <c r="B43" i="2"/>
  <c r="B94" i="1"/>
  <c r="B24" i="1"/>
  <c r="B86" i="2"/>
  <c r="K98" i="2"/>
  <c r="M98" i="2" s="1"/>
  <c r="L43" i="2"/>
  <c r="M43" i="2" s="1"/>
  <c r="L51" i="2"/>
  <c r="B67" i="1"/>
  <c r="B32" i="2"/>
  <c r="B51" i="2"/>
  <c r="L116" i="2"/>
  <c r="M116" i="2" s="1"/>
  <c r="B83" i="2"/>
  <c r="B61" i="1"/>
  <c r="B93" i="1"/>
  <c r="L74" i="2"/>
  <c r="K82" i="2"/>
  <c r="L82" i="2"/>
  <c r="K114" i="2"/>
  <c r="B114" i="2"/>
  <c r="B50" i="1"/>
  <c r="L36" i="2"/>
  <c r="M36" i="2" s="1"/>
  <c r="A124" i="4"/>
  <c r="L54" i="2"/>
  <c r="K54" i="2"/>
  <c r="B96" i="2"/>
  <c r="L96" i="2"/>
  <c r="B54" i="1"/>
  <c r="L85" i="2"/>
  <c r="L114" i="2"/>
  <c r="L32" i="2"/>
  <c r="K74" i="2"/>
  <c r="B74" i="2"/>
  <c r="A123" i="1"/>
  <c r="K32" i="2"/>
  <c r="L41" i="2"/>
  <c r="B68" i="2"/>
  <c r="L68" i="2"/>
  <c r="B52" i="1"/>
  <c r="B114" i="1"/>
  <c r="O1" i="2"/>
  <c r="O1" i="1"/>
  <c r="A120" i="1"/>
  <c r="A120" i="4"/>
  <c r="B36" i="2"/>
  <c r="B97" i="1"/>
  <c r="L167" i="9"/>
  <c r="M166" i="9"/>
  <c r="N165" i="9"/>
  <c r="L163" i="9"/>
  <c r="M162" i="9"/>
  <c r="M550" i="9"/>
  <c r="N537" i="9"/>
  <c r="L477" i="9"/>
  <c r="M464" i="9"/>
  <c r="L457" i="9"/>
  <c r="N419" i="9"/>
  <c r="M400" i="9"/>
  <c r="L397" i="9"/>
  <c r="L361" i="9"/>
  <c r="M352" i="9"/>
  <c r="L345" i="9"/>
  <c r="N303" i="9"/>
  <c r="L296" i="9"/>
  <c r="N280" i="9"/>
  <c r="L274" i="9"/>
  <c r="L254" i="9"/>
  <c r="M249" i="9"/>
  <c r="M245" i="9"/>
  <c r="N244" i="9"/>
  <c r="N238" i="9"/>
  <c r="L233" i="9"/>
  <c r="L232" i="9"/>
  <c r="M231" i="9"/>
  <c r="L230" i="9"/>
  <c r="L229" i="9"/>
  <c r="M228" i="9"/>
  <c r="N227" i="9"/>
  <c r="N226" i="9"/>
  <c r="M225" i="9"/>
  <c r="N224" i="9"/>
  <c r="N223" i="9"/>
  <c r="L218" i="9"/>
  <c r="L212" i="9"/>
  <c r="M211" i="9"/>
  <c r="L210" i="9"/>
  <c r="L209" i="9"/>
  <c r="M208" i="9"/>
  <c r="L204" i="9"/>
  <c r="M203" i="9"/>
  <c r="L202" i="9"/>
  <c r="L201" i="9"/>
  <c r="M200" i="9"/>
  <c r="N199" i="9"/>
  <c r="N198" i="9"/>
  <c r="M197" i="9"/>
  <c r="N196" i="9"/>
  <c r="L188" i="9"/>
  <c r="M187" i="9"/>
  <c r="L186" i="9"/>
  <c r="L185" i="9"/>
  <c r="M184" i="9"/>
  <c r="N183" i="9"/>
  <c r="N182" i="9"/>
  <c r="M181" i="9"/>
  <c r="N180" i="9"/>
  <c r="L172" i="9"/>
  <c r="M171" i="9"/>
  <c r="L170" i="9"/>
  <c r="L169" i="9"/>
  <c r="M168" i="9"/>
  <c r="N167" i="9"/>
  <c r="N166" i="9"/>
  <c r="M165" i="9"/>
  <c r="N164" i="9"/>
  <c r="L160" i="9"/>
  <c r="M159" i="9"/>
  <c r="N158" i="9"/>
  <c r="L156" i="9"/>
  <c r="M155" i="9"/>
  <c r="N154" i="9"/>
  <c r="L152" i="9"/>
  <c r="M151" i="9"/>
  <c r="N150" i="9"/>
  <c r="M480" i="9"/>
  <c r="L473" i="9"/>
  <c r="N431" i="9"/>
  <c r="M428" i="9"/>
  <c r="L413" i="9"/>
  <c r="L377" i="9"/>
  <c r="M364" i="9"/>
  <c r="N355" i="9"/>
  <c r="L317" i="9"/>
  <c r="M304" i="9"/>
  <c r="M286" i="9"/>
  <c r="M281" i="9"/>
  <c r="L277" i="9"/>
  <c r="M268" i="9"/>
  <c r="M265" i="9"/>
  <c r="N264" i="9"/>
  <c r="N263" i="9"/>
  <c r="M260" i="9"/>
  <c r="M257" i="9"/>
  <c r="N256" i="9"/>
  <c r="N255" i="9"/>
  <c r="M252" i="9"/>
  <c r="L246" i="9"/>
  <c r="L245" i="9"/>
  <c r="M244" i="9"/>
  <c r="N243" i="9"/>
  <c r="N242" i="9"/>
  <c r="M241" i="9"/>
  <c r="N240" i="9"/>
  <c r="N239" i="9"/>
  <c r="L234" i="9"/>
  <c r="L228" i="9"/>
  <c r="M227" i="9"/>
  <c r="L226" i="9"/>
  <c r="L225" i="9"/>
  <c r="M224" i="9"/>
  <c r="N220" i="9"/>
  <c r="M219" i="9"/>
  <c r="L200" i="9"/>
  <c r="M199" i="9"/>
  <c r="L198" i="9"/>
  <c r="L197" i="9"/>
  <c r="M196" i="9"/>
  <c r="N195" i="9"/>
  <c r="N194" i="9"/>
  <c r="M193" i="9"/>
  <c r="N192" i="9"/>
  <c r="L184" i="9"/>
  <c r="M183" i="9"/>
  <c r="L182" i="9"/>
  <c r="L181" i="9"/>
  <c r="M180" i="9"/>
  <c r="N179" i="9"/>
  <c r="N178" i="9"/>
  <c r="M177" i="9"/>
  <c r="N176" i="9"/>
  <c r="L168" i="9"/>
  <c r="M167" i="9"/>
  <c r="L166" i="9"/>
  <c r="L165" i="9"/>
  <c r="M164" i="9"/>
  <c r="N163" i="9"/>
  <c r="N162" i="9"/>
  <c r="N161" i="9"/>
  <c r="L159" i="9"/>
  <c r="M158" i="9"/>
  <c r="N157" i="9"/>
  <c r="L155" i="9"/>
  <c r="M154" i="9"/>
  <c r="N153" i="9"/>
  <c r="L151" i="9"/>
  <c r="M150" i="9"/>
  <c r="N149" i="9"/>
  <c r="L147" i="9"/>
  <c r="M146" i="9"/>
  <c r="N145" i="9"/>
  <c r="L143" i="9"/>
  <c r="M142" i="9"/>
  <c r="N141" i="9"/>
  <c r="L139" i="9"/>
  <c r="M138" i="9"/>
  <c r="N137" i="9"/>
  <c r="L135" i="9"/>
  <c r="M134" i="9"/>
  <c r="L499" i="9"/>
  <c r="N489" i="9"/>
  <c r="L445" i="9"/>
  <c r="M432" i="9"/>
  <c r="L429" i="9"/>
  <c r="L393" i="9"/>
  <c r="M384" i="9"/>
  <c r="N367" i="9"/>
  <c r="L333" i="9"/>
  <c r="M320" i="9"/>
  <c r="L313" i="9"/>
  <c r="N290" i="9"/>
  <c r="M287" i="9"/>
  <c r="M284" i="9"/>
  <c r="L278" i="9"/>
  <c r="M272" i="9"/>
  <c r="L269" i="9"/>
  <c r="L266" i="9"/>
  <c r="L265" i="9"/>
  <c r="M264" i="9"/>
  <c r="L261" i="9"/>
  <c r="L258" i="9"/>
  <c r="L257" i="9"/>
  <c r="M256" i="9"/>
  <c r="N247" i="9"/>
  <c r="L244" i="9"/>
  <c r="M243" i="9"/>
  <c r="L242" i="9"/>
  <c r="L241" i="9"/>
  <c r="M240" i="9"/>
  <c r="N236" i="9"/>
  <c r="M235" i="9"/>
  <c r="M221" i="9"/>
  <c r="L220" i="9"/>
  <c r="M216" i="9"/>
  <c r="N215" i="9"/>
  <c r="N214" i="9"/>
  <c r="M213" i="9"/>
  <c r="N212" i="9"/>
  <c r="N206" i="9"/>
  <c r="M205" i="9"/>
  <c r="N204" i="9"/>
  <c r="L196" i="9"/>
  <c r="M195" i="9"/>
  <c r="L194" i="9"/>
  <c r="L193" i="9"/>
  <c r="M192" i="9"/>
  <c r="N191" i="9"/>
  <c r="N190" i="9"/>
  <c r="M189" i="9"/>
  <c r="N188" i="9"/>
  <c r="L180" i="9"/>
  <c r="M179" i="9"/>
  <c r="L178" i="9"/>
  <c r="L177" i="9"/>
  <c r="M176" i="9"/>
  <c r="N175" i="9"/>
  <c r="N174" i="9"/>
  <c r="M173" i="9"/>
  <c r="N172" i="9"/>
  <c r="L164" i="9"/>
  <c r="M163" i="9"/>
  <c r="L162" i="9"/>
  <c r="M161" i="9"/>
  <c r="N160" i="9"/>
  <c r="L158" i="9"/>
  <c r="M157" i="9"/>
  <c r="N156" i="9"/>
  <c r="L154" i="9"/>
  <c r="M153" i="9"/>
  <c r="N152" i="9"/>
  <c r="L150" i="9"/>
  <c r="M149" i="9"/>
  <c r="N148" i="9"/>
  <c r="L146" i="9"/>
  <c r="M145" i="9"/>
  <c r="N144" i="9"/>
  <c r="L142" i="9"/>
  <c r="M141" i="9"/>
  <c r="N140" i="9"/>
  <c r="L138" i="9"/>
  <c r="M137" i="9"/>
  <c r="N136" i="9"/>
  <c r="L134" i="9"/>
  <c r="N3" i="9"/>
  <c r="L5" i="9"/>
  <c r="N7" i="9"/>
  <c r="M8" i="9"/>
  <c r="L9" i="9"/>
  <c r="N11" i="9"/>
  <c r="M12" i="9"/>
  <c r="L13" i="9"/>
  <c r="N15" i="9"/>
  <c r="M16" i="9"/>
  <c r="L17" i="9"/>
  <c r="N19" i="9"/>
  <c r="M20" i="9"/>
  <c r="L21" i="9"/>
  <c r="N23" i="9"/>
  <c r="M24" i="9"/>
  <c r="L25" i="9"/>
  <c r="N27" i="9"/>
  <c r="M28" i="9"/>
  <c r="L29" i="9"/>
  <c r="N31" i="9"/>
  <c r="M32" i="9"/>
  <c r="L33" i="9"/>
  <c r="N35" i="9"/>
  <c r="M36" i="9"/>
  <c r="L37" i="9"/>
  <c r="N39" i="9"/>
  <c r="M40" i="9"/>
  <c r="L41" i="9"/>
  <c r="N43" i="9"/>
  <c r="M44" i="9"/>
  <c r="L45" i="9"/>
  <c r="N47" i="9"/>
  <c r="M48" i="9"/>
  <c r="L49" i="9"/>
  <c r="N51" i="9"/>
  <c r="M52" i="9"/>
  <c r="L53" i="9"/>
  <c r="N55" i="9"/>
  <c r="M56" i="9"/>
  <c r="L57" i="9"/>
  <c r="N59" i="9"/>
  <c r="M60" i="9"/>
  <c r="L61" i="9"/>
  <c r="N63" i="9"/>
  <c r="M64" i="9"/>
  <c r="L65" i="9"/>
  <c r="N67" i="9"/>
  <c r="M68" i="9"/>
  <c r="L69" i="9"/>
  <c r="N71" i="9"/>
  <c r="M72" i="9"/>
  <c r="L73" i="9"/>
  <c r="N75" i="9"/>
  <c r="M76" i="9"/>
  <c r="L77" i="9"/>
  <c r="N79" i="9"/>
  <c r="M80" i="9"/>
  <c r="L81" i="9"/>
  <c r="N83" i="9"/>
  <c r="M84" i="9"/>
  <c r="L85" i="9"/>
  <c r="N87" i="9"/>
  <c r="M88" i="9"/>
  <c r="L89" i="9"/>
  <c r="N91" i="9"/>
  <c r="M92" i="9"/>
  <c r="L93" i="9"/>
  <c r="N95" i="9"/>
  <c r="M96" i="9"/>
  <c r="L97" i="9"/>
  <c r="N99" i="9"/>
  <c r="M100" i="9"/>
  <c r="L101" i="9"/>
  <c r="N103" i="9"/>
  <c r="M104" i="9"/>
  <c r="L105" i="9"/>
  <c r="N107" i="9"/>
  <c r="M108" i="9"/>
  <c r="L109" i="9"/>
  <c r="N111" i="9"/>
  <c r="M112" i="9"/>
  <c r="L113" i="9"/>
  <c r="N115" i="9"/>
  <c r="M116" i="9"/>
  <c r="L117" i="9"/>
  <c r="N119" i="9"/>
  <c r="M120" i="9"/>
  <c r="L121" i="9"/>
  <c r="N123" i="9"/>
  <c r="M124" i="9"/>
  <c r="L125" i="9"/>
  <c r="N127" i="9"/>
  <c r="M128" i="9"/>
  <c r="L129" i="9"/>
  <c r="N131" i="9"/>
  <c r="M132" i="9"/>
  <c r="L133" i="9"/>
  <c r="M135" i="9"/>
  <c r="L136" i="9"/>
  <c r="L137" i="9"/>
  <c r="M143" i="9"/>
  <c r="L144" i="9"/>
  <c r="L145" i="9"/>
  <c r="L157" i="9"/>
  <c r="M160" i="9"/>
  <c r="N170" i="9"/>
  <c r="L174" i="9"/>
  <c r="N187" i="9"/>
  <c r="M191" i="9"/>
  <c r="N200" i="9"/>
  <c r="M204" i="9"/>
  <c r="N208" i="9"/>
  <c r="M212" i="9"/>
  <c r="L216" i="9"/>
  <c r="N231" i="9"/>
  <c r="L236" i="9"/>
  <c r="N298" i="9"/>
  <c r="N399" i="9"/>
  <c r="M448" i="9"/>
  <c r="L547" i="9"/>
  <c r="L42" i="2"/>
  <c r="M42" i="2" s="1"/>
  <c r="K83" i="2"/>
  <c r="M5" i="9"/>
  <c r="L6" i="9"/>
  <c r="N8" i="9"/>
  <c r="M9" i="9"/>
  <c r="L10" i="9"/>
  <c r="N12" i="9"/>
  <c r="M13" i="9"/>
  <c r="L14" i="9"/>
  <c r="N16" i="9"/>
  <c r="M17" i="9"/>
  <c r="L18" i="9"/>
  <c r="N20" i="9"/>
  <c r="M21" i="9"/>
  <c r="L22" i="9"/>
  <c r="N24" i="9"/>
  <c r="M25" i="9"/>
  <c r="L26" i="9"/>
  <c r="N28" i="9"/>
  <c r="M29" i="9"/>
  <c r="L30" i="9"/>
  <c r="N32" i="9"/>
  <c r="M33" i="9"/>
  <c r="L34" i="9"/>
  <c r="N36" i="9"/>
  <c r="M37" i="9"/>
  <c r="L38" i="9"/>
  <c r="N40" i="9"/>
  <c r="M41" i="9"/>
  <c r="L42" i="9"/>
  <c r="N44" i="9"/>
  <c r="M45" i="9"/>
  <c r="L46" i="9"/>
  <c r="N48" i="9"/>
  <c r="M49" i="9"/>
  <c r="L50" i="9"/>
  <c r="N52" i="9"/>
  <c r="M53" i="9"/>
  <c r="L54" i="9"/>
  <c r="N56" i="9"/>
  <c r="M57" i="9"/>
  <c r="L58" i="9"/>
  <c r="N60" i="9"/>
  <c r="M61" i="9"/>
  <c r="L62" i="9"/>
  <c r="N64" i="9"/>
  <c r="M65" i="9"/>
  <c r="L66" i="9"/>
  <c r="N68" i="9"/>
  <c r="M69" i="9"/>
  <c r="L70" i="9"/>
  <c r="N72" i="9"/>
  <c r="M73" i="9"/>
  <c r="L74" i="9"/>
  <c r="N76" i="9"/>
  <c r="M77" i="9"/>
  <c r="L78" i="9"/>
  <c r="N80" i="9"/>
  <c r="M81" i="9"/>
  <c r="L82" i="9"/>
  <c r="N84" i="9"/>
  <c r="M85" i="9"/>
  <c r="L86" i="9"/>
  <c r="N88" i="9"/>
  <c r="M89" i="9"/>
  <c r="L90" i="9"/>
  <c r="N92" i="9"/>
  <c r="M93" i="9"/>
  <c r="L94" i="9"/>
  <c r="N96" i="9"/>
  <c r="M97" i="9"/>
  <c r="L98" i="9"/>
  <c r="N100" i="9"/>
  <c r="M101" i="9"/>
  <c r="L102" i="9"/>
  <c r="N104" i="9"/>
  <c r="M105" i="9"/>
  <c r="L106" i="9"/>
  <c r="N108" i="9"/>
  <c r="M109" i="9"/>
  <c r="L110" i="9"/>
  <c r="N112" i="9"/>
  <c r="M113" i="9"/>
  <c r="L114" i="9"/>
  <c r="N116" i="9"/>
  <c r="M117" i="9"/>
  <c r="L118" i="9"/>
  <c r="N120" i="9"/>
  <c r="M121" i="9"/>
  <c r="L122" i="9"/>
  <c r="N124" i="9"/>
  <c r="M125" i="9"/>
  <c r="L126" i="9"/>
  <c r="N128" i="9"/>
  <c r="M129" i="9"/>
  <c r="L130" i="9"/>
  <c r="N132" i="9"/>
  <c r="M133" i="9"/>
  <c r="N134" i="9"/>
  <c r="N135" i="9"/>
  <c r="M136" i="9"/>
  <c r="N142" i="9"/>
  <c r="N143" i="9"/>
  <c r="M144" i="9"/>
  <c r="L153" i="9"/>
  <c r="M156" i="9"/>
  <c r="N159" i="9"/>
  <c r="M169" i="9"/>
  <c r="L173" i="9"/>
  <c r="N186" i="9"/>
  <c r="L190" i="9"/>
  <c r="N203" i="9"/>
  <c r="N207" i="9"/>
  <c r="N211" i="9"/>
  <c r="M215" i="9"/>
  <c r="N230" i="9"/>
  <c r="N291" i="9"/>
  <c r="L349" i="9"/>
  <c r="M396" i="9"/>
  <c r="L441" i="9"/>
  <c r="M534" i="9"/>
  <c r="L3" i="9"/>
  <c r="N5" i="9"/>
  <c r="M6" i="9"/>
  <c r="L7" i="9"/>
  <c r="N9" i="9"/>
  <c r="M10" i="9"/>
  <c r="L11" i="9"/>
  <c r="N13" i="9"/>
  <c r="M14" i="9"/>
  <c r="L15" i="9"/>
  <c r="N17" i="9"/>
  <c r="M18" i="9"/>
  <c r="L19" i="9"/>
  <c r="N21" i="9"/>
  <c r="M22" i="9"/>
  <c r="L23" i="9"/>
  <c r="N25" i="9"/>
  <c r="M26" i="9"/>
  <c r="L27" i="9"/>
  <c r="N29" i="9"/>
  <c r="M30" i="9"/>
  <c r="L31" i="9"/>
  <c r="N33" i="9"/>
  <c r="M34" i="9"/>
  <c r="L35" i="9"/>
  <c r="N37" i="9"/>
  <c r="M38" i="9"/>
  <c r="L39" i="9"/>
  <c r="N41" i="9"/>
  <c r="M42" i="9"/>
  <c r="L43" i="9"/>
  <c r="N45" i="9"/>
  <c r="M46" i="9"/>
  <c r="L47" i="9"/>
  <c r="N49" i="9"/>
  <c r="M50" i="9"/>
  <c r="L51" i="9"/>
  <c r="N53" i="9"/>
  <c r="M54" i="9"/>
  <c r="L55" i="9"/>
  <c r="N57" i="9"/>
  <c r="M58" i="9"/>
  <c r="L59" i="9"/>
  <c r="N61" i="9"/>
  <c r="M62" i="9"/>
  <c r="L63" i="9"/>
  <c r="N65" i="9"/>
  <c r="M66" i="9"/>
  <c r="L67" i="9"/>
  <c r="N69" i="9"/>
  <c r="M70" i="9"/>
  <c r="L71" i="9"/>
  <c r="N73" i="9"/>
  <c r="M74" i="9"/>
  <c r="L75" i="9"/>
  <c r="N77" i="9"/>
  <c r="M78" i="9"/>
  <c r="L79" i="9"/>
  <c r="N81" i="9"/>
  <c r="M82" i="9"/>
  <c r="L83" i="9"/>
  <c r="N85" i="9"/>
  <c r="M86" i="9"/>
  <c r="L87" i="9"/>
  <c r="N89" i="9"/>
  <c r="M90" i="9"/>
  <c r="L91" i="9"/>
  <c r="N93" i="9"/>
  <c r="M94" i="9"/>
  <c r="L95" i="9"/>
  <c r="N97" i="9"/>
  <c r="M98" i="9"/>
  <c r="L99" i="9"/>
  <c r="N101" i="9"/>
  <c r="M102" i="9"/>
  <c r="L103" i="9"/>
  <c r="N105" i="9"/>
  <c r="M106" i="9"/>
  <c r="L107" i="9"/>
  <c r="N109" i="9"/>
  <c r="M110" i="9"/>
  <c r="L111" i="9"/>
  <c r="N113" i="9"/>
  <c r="M114" i="9"/>
  <c r="L115" i="9"/>
  <c r="N117" i="9"/>
  <c r="M118" i="9"/>
  <c r="L119" i="9"/>
  <c r="N121" i="9"/>
  <c r="M122" i="9"/>
  <c r="L123" i="9"/>
  <c r="N125" i="9"/>
  <c r="M126" i="9"/>
  <c r="L127" i="9"/>
  <c r="N129" i="9"/>
  <c r="M130" i="9"/>
  <c r="L131" i="9"/>
  <c r="N133" i="9"/>
  <c r="M139" i="9"/>
  <c r="L140" i="9"/>
  <c r="L141" i="9"/>
  <c r="M147" i="9"/>
  <c r="L148" i="9"/>
  <c r="L149" i="9"/>
  <c r="M152" i="9"/>
  <c r="N155" i="9"/>
  <c r="N168" i="9"/>
  <c r="M172" i="9"/>
  <c r="L176" i="9"/>
  <c r="M185" i="9"/>
  <c r="L189" i="9"/>
  <c r="N202" i="9"/>
  <c r="L206" i="9"/>
  <c r="N210" i="9"/>
  <c r="L214" i="9"/>
  <c r="N222" i="9"/>
  <c r="M229" i="9"/>
  <c r="N248" i="9"/>
  <c r="L273" i="9"/>
  <c r="L288" i="9"/>
  <c r="M336" i="9"/>
  <c r="N387" i="9"/>
  <c r="N521" i="9"/>
  <c r="N181" i="9"/>
  <c r="N169" i="9"/>
  <c r="M170" i="9"/>
  <c r="L171" i="9"/>
  <c r="N173" i="9"/>
  <c r="M174" i="9"/>
  <c r="L175" i="9"/>
  <c r="N177" i="9"/>
  <c r="M178" i="9"/>
  <c r="L179" i="9"/>
  <c r="M182" i="9"/>
  <c r="L183" i="9"/>
  <c r="N185" i="9"/>
  <c r="M186" i="9"/>
  <c r="L187" i="9"/>
  <c r="N189" i="9"/>
  <c r="M190" i="9"/>
  <c r="L191" i="9"/>
  <c r="N193" i="9"/>
  <c r="M194" i="9"/>
  <c r="L195" i="9"/>
  <c r="N197" i="9"/>
  <c r="M198" i="9"/>
  <c r="L199" i="9"/>
  <c r="N201" i="9"/>
  <c r="M202" i="9"/>
  <c r="L203" i="9"/>
  <c r="N205" i="9"/>
  <c r="M206" i="9"/>
  <c r="M207" i="9"/>
  <c r="L208" i="9"/>
  <c r="N216" i="9"/>
  <c r="M217" i="9"/>
  <c r="N218" i="9"/>
  <c r="N219" i="9"/>
  <c r="M220" i="9"/>
  <c r="L221" i="9"/>
  <c r="L222" i="9"/>
  <c r="M223" i="9"/>
  <c r="L224" i="9"/>
  <c r="N232" i="9"/>
  <c r="M233" i="9"/>
  <c r="N234" i="9"/>
  <c r="N235" i="9"/>
  <c r="M236" i="9"/>
  <c r="L237" i="9"/>
  <c r="L238" i="9"/>
  <c r="M239" i="9"/>
  <c r="L240" i="9"/>
  <c r="M248" i="9"/>
  <c r="L249" i="9"/>
  <c r="L250" i="9"/>
  <c r="L253" i="9"/>
  <c r="L262" i="9"/>
  <c r="N271" i="9"/>
  <c r="N272" i="9"/>
  <c r="M273" i="9"/>
  <c r="M276" i="9"/>
  <c r="M280" i="9"/>
  <c r="L281" i="9"/>
  <c r="L282" i="9"/>
  <c r="L285" i="9"/>
  <c r="M292" i="9"/>
  <c r="L297" i="9"/>
  <c r="M300" i="9"/>
  <c r="N323" i="9"/>
  <c r="M332" i="9"/>
  <c r="N335" i="9"/>
  <c r="L365" i="9"/>
  <c r="M368" i="9"/>
  <c r="L381" i="9"/>
  <c r="L409" i="9"/>
  <c r="M416" i="9"/>
  <c r="L425" i="9"/>
  <c r="N451" i="9"/>
  <c r="M460" i="9"/>
  <c r="N463" i="9"/>
  <c r="N492" i="9"/>
  <c r="I497" i="9"/>
  <c r="L563" i="9"/>
  <c r="L495" i="9"/>
  <c r="M493" i="9"/>
  <c r="N479" i="9"/>
  <c r="M476" i="9"/>
  <c r="N467" i="9"/>
  <c r="N447" i="9"/>
  <c r="M444" i="9"/>
  <c r="N435" i="9"/>
  <c r="N415" i="9"/>
  <c r="M412" i="9"/>
  <c r="N403" i="9"/>
  <c r="N383" i="9"/>
  <c r="M380" i="9"/>
  <c r="N371" i="9"/>
  <c r="N351" i="9"/>
  <c r="M348" i="9"/>
  <c r="N339" i="9"/>
  <c r="N319" i="9"/>
  <c r="M316" i="9"/>
  <c r="N307" i="9"/>
  <c r="N299" i="9"/>
  <c r="M295" i="9"/>
  <c r="L289" i="9"/>
  <c r="M285" i="9"/>
  <c r="N284" i="9"/>
  <c r="N283" i="9"/>
  <c r="M277" i="9"/>
  <c r="N276" i="9"/>
  <c r="N275" i="9"/>
  <c r="M269" i="9"/>
  <c r="N268" i="9"/>
  <c r="N267" i="9"/>
  <c r="M261" i="9"/>
  <c r="N260" i="9"/>
  <c r="N259" i="9"/>
  <c r="M253" i="9"/>
  <c r="N252" i="9"/>
  <c r="N251" i="9"/>
  <c r="N245" i="9"/>
  <c r="L243" i="9"/>
  <c r="M242" i="9"/>
  <c r="N241" i="9"/>
  <c r="L239" i="9"/>
  <c r="M238" i="9"/>
  <c r="N237" i="9"/>
  <c r="L235" i="9"/>
  <c r="M234" i="9"/>
  <c r="N233" i="9"/>
  <c r="L231" i="9"/>
  <c r="M230" i="9"/>
  <c r="N229" i="9"/>
  <c r="L227" i="9"/>
  <c r="M226" i="9"/>
  <c r="N225" i="9"/>
  <c r="L223" i="9"/>
  <c r="M222" i="9"/>
  <c r="N221" i="9"/>
  <c r="L219" i="9"/>
  <c r="M218" i="9"/>
  <c r="N217" i="9"/>
  <c r="L215" i="9"/>
  <c r="M214" i="9"/>
  <c r="N213" i="9"/>
  <c r="L211" i="9"/>
  <c r="M210" i="9"/>
  <c r="N209" i="9"/>
  <c r="L207" i="9"/>
  <c r="M566" i="9"/>
  <c r="L111" i="2"/>
  <c r="M111" i="2" s="1"/>
  <c r="K110" i="4"/>
  <c r="K39" i="2"/>
  <c r="L95" i="2"/>
  <c r="K95" i="2"/>
  <c r="B41" i="1"/>
  <c r="B116" i="1"/>
  <c r="L75" i="2"/>
  <c r="A121" i="4"/>
  <c r="B51" i="1"/>
  <c r="K97" i="2"/>
  <c r="K13" i="2"/>
  <c r="L50" i="2"/>
  <c r="B50" i="2"/>
  <c r="K110" i="2"/>
  <c r="L110" i="2"/>
  <c r="B110" i="2"/>
  <c r="K109" i="2"/>
  <c r="L109" i="2"/>
  <c r="B86" i="1"/>
  <c r="A126" i="2"/>
  <c r="K96" i="2"/>
  <c r="K85" i="2"/>
  <c r="K68" i="2"/>
  <c r="L53" i="2"/>
  <c r="B116" i="2"/>
  <c r="B98" i="2"/>
  <c r="L83" i="2"/>
  <c r="B75" i="2"/>
  <c r="A121" i="2"/>
  <c r="B109" i="1"/>
  <c r="B95" i="2"/>
  <c r="K115" i="2"/>
  <c r="M115" i="2" s="1"/>
  <c r="L16" i="2"/>
  <c r="B31" i="2"/>
  <c r="K31" i="2"/>
  <c r="B93" i="2"/>
  <c r="K93" i="2"/>
  <c r="L97" i="2"/>
  <c r="B64" i="1"/>
  <c r="B42" i="1"/>
  <c r="B70" i="2"/>
  <c r="B39" i="2"/>
  <c r="K75" i="2"/>
  <c r="B96" i="1"/>
  <c r="K50" i="2"/>
  <c r="B115" i="2"/>
  <c r="A123" i="4"/>
  <c r="L13" i="2"/>
  <c r="B95" i="1"/>
  <c r="N246" i="9"/>
  <c r="M247" i="9"/>
  <c r="L248" i="9"/>
  <c r="N250" i="9"/>
  <c r="M251" i="9"/>
  <c r="L252" i="9"/>
  <c r="N254" i="9"/>
  <c r="M255" i="9"/>
  <c r="L256" i="9"/>
  <c r="N258" i="9"/>
  <c r="M259" i="9"/>
  <c r="L260" i="9"/>
  <c r="N262" i="9"/>
  <c r="M263" i="9"/>
  <c r="L264" i="9"/>
  <c r="N266" i="9"/>
  <c r="M267" i="9"/>
  <c r="L268" i="9"/>
  <c r="N270" i="9"/>
  <c r="M271" i="9"/>
  <c r="L272" i="9"/>
  <c r="N274" i="9"/>
  <c r="M275" i="9"/>
  <c r="L276" i="9"/>
  <c r="N278" i="9"/>
  <c r="M279" i="9"/>
  <c r="L280" i="9"/>
  <c r="N282" i="9"/>
  <c r="M283" i="9"/>
  <c r="L284" i="9"/>
  <c r="M291" i="9"/>
  <c r="L292" i="9"/>
  <c r="L293" i="9"/>
  <c r="M299" i="9"/>
  <c r="L300" i="9"/>
  <c r="L301" i="9"/>
  <c r="L305" i="9"/>
  <c r="M308" i="9"/>
  <c r="N311" i="9"/>
  <c r="L321" i="9"/>
  <c r="M324" i="9"/>
  <c r="N327" i="9"/>
  <c r="L337" i="9"/>
  <c r="M340" i="9"/>
  <c r="N343" i="9"/>
  <c r="L353" i="9"/>
  <c r="M356" i="9"/>
  <c r="N359" i="9"/>
  <c r="L369" i="9"/>
  <c r="M372" i="9"/>
  <c r="N375" i="9"/>
  <c r="L385" i="9"/>
  <c r="M388" i="9"/>
  <c r="N391" i="9"/>
  <c r="L401" i="9"/>
  <c r="M404" i="9"/>
  <c r="N407" i="9"/>
  <c r="L417" i="9"/>
  <c r="M420" i="9"/>
  <c r="N423" i="9"/>
  <c r="L433" i="9"/>
  <c r="M436" i="9"/>
  <c r="N439" i="9"/>
  <c r="L449" i="9"/>
  <c r="M452" i="9"/>
  <c r="N455" i="9"/>
  <c r="L465" i="9"/>
  <c r="M468" i="9"/>
  <c r="N471" i="9"/>
  <c r="L481" i="9"/>
  <c r="M490" i="9"/>
  <c r="L494" i="9"/>
  <c r="M502" i="9"/>
  <c r="L515" i="9"/>
  <c r="N553" i="9"/>
  <c r="L498" i="9"/>
  <c r="M497" i="9"/>
  <c r="N496" i="9"/>
  <c r="I496" i="9"/>
  <c r="N494" i="9"/>
  <c r="L492" i="9"/>
  <c r="M491" i="9"/>
  <c r="N490" i="9"/>
  <c r="L488" i="9"/>
  <c r="M487" i="9"/>
  <c r="N486" i="9"/>
  <c r="L484" i="9"/>
  <c r="M483" i="9"/>
  <c r="N482" i="9"/>
  <c r="N573" i="9"/>
  <c r="M572" i="9"/>
  <c r="M571" i="9"/>
  <c r="N570" i="9"/>
  <c r="L568" i="9"/>
  <c r="M567" i="9"/>
  <c r="N566" i="9"/>
  <c r="L564" i="9"/>
  <c r="M563" i="9"/>
  <c r="N562" i="9"/>
  <c r="L560" i="9"/>
  <c r="M559" i="9"/>
  <c r="N558" i="9"/>
  <c r="L556" i="9"/>
  <c r="M555" i="9"/>
  <c r="N554" i="9"/>
  <c r="L552" i="9"/>
  <c r="M551" i="9"/>
  <c r="N550" i="9"/>
  <c r="L548" i="9"/>
  <c r="M547" i="9"/>
  <c r="N546" i="9"/>
  <c r="L544" i="9"/>
  <c r="M543" i="9"/>
  <c r="N542" i="9"/>
  <c r="L540" i="9"/>
  <c r="M539" i="9"/>
  <c r="N538" i="9"/>
  <c r="L536" i="9"/>
  <c r="M535" i="9"/>
  <c r="N534" i="9"/>
  <c r="L532" i="9"/>
  <c r="M531" i="9"/>
  <c r="N530" i="9"/>
  <c r="L528" i="9"/>
  <c r="M527" i="9"/>
  <c r="N526" i="9"/>
  <c r="L524" i="9"/>
  <c r="M523" i="9"/>
  <c r="N522" i="9"/>
  <c r="L520" i="9"/>
  <c r="M519" i="9"/>
  <c r="N518" i="9"/>
  <c r="L516" i="9"/>
  <c r="M515" i="9"/>
  <c r="N514" i="9"/>
  <c r="L512" i="9"/>
  <c r="M511" i="9"/>
  <c r="N510" i="9"/>
  <c r="L508" i="9"/>
  <c r="M507" i="9"/>
  <c r="N506" i="9"/>
  <c r="L504" i="9"/>
  <c r="M503" i="9"/>
  <c r="N502" i="9"/>
  <c r="L500" i="9"/>
  <c r="M499" i="9"/>
  <c r="N498" i="9"/>
  <c r="I498" i="9"/>
  <c r="L497" i="9"/>
  <c r="L570" i="9"/>
  <c r="M569" i="9"/>
  <c r="N568" i="9"/>
  <c r="L566" i="9"/>
  <c r="M565" i="9"/>
  <c r="N564" i="9"/>
  <c r="L562" i="9"/>
  <c r="M561" i="9"/>
  <c r="N560" i="9"/>
  <c r="L558" i="9"/>
  <c r="M557" i="9"/>
  <c r="N556" i="9"/>
  <c r="L554" i="9"/>
  <c r="M553" i="9"/>
  <c r="N552" i="9"/>
  <c r="L550" i="9"/>
  <c r="M549" i="9"/>
  <c r="N548" i="9"/>
  <c r="L546" i="9"/>
  <c r="M545" i="9"/>
  <c r="N544" i="9"/>
  <c r="L542" i="9"/>
  <c r="M541" i="9"/>
  <c r="N540" i="9"/>
  <c r="L538" i="9"/>
  <c r="M537" i="9"/>
  <c r="N536" i="9"/>
  <c r="L534" i="9"/>
  <c r="M533" i="9"/>
  <c r="N532" i="9"/>
  <c r="L530" i="9"/>
  <c r="M529" i="9"/>
  <c r="N528" i="9"/>
  <c r="L526" i="9"/>
  <c r="M525" i="9"/>
  <c r="N524" i="9"/>
  <c r="L522" i="9"/>
  <c r="M521" i="9"/>
  <c r="N520" i="9"/>
  <c r="L518" i="9"/>
  <c r="M517" i="9"/>
  <c r="N516" i="9"/>
  <c r="L514" i="9"/>
  <c r="M513" i="9"/>
  <c r="N512" i="9"/>
  <c r="L510" i="9"/>
  <c r="M509" i="9"/>
  <c r="N508" i="9"/>
  <c r="L506" i="9"/>
  <c r="M505" i="9"/>
  <c r="N504" i="9"/>
  <c r="L502" i="9"/>
  <c r="M501" i="9"/>
  <c r="N500" i="9"/>
  <c r="I499" i="9"/>
  <c r="N497" i="9"/>
  <c r="L571" i="9"/>
  <c r="N561" i="9"/>
  <c r="M558" i="9"/>
  <c r="L555" i="9"/>
  <c r="N545" i="9"/>
  <c r="M542" i="9"/>
  <c r="L539" i="9"/>
  <c r="N529" i="9"/>
  <c r="M526" i="9"/>
  <c r="L523" i="9"/>
  <c r="N513" i="9"/>
  <c r="M510" i="9"/>
  <c r="L507" i="9"/>
  <c r="M498" i="9"/>
  <c r="J498" i="9" s="1"/>
  <c r="M496" i="9"/>
  <c r="J496" i="9" s="1"/>
  <c r="N495" i="9"/>
  <c r="L489" i="9"/>
  <c r="M488" i="9"/>
  <c r="L487" i="9"/>
  <c r="L486" i="9"/>
  <c r="M485" i="9"/>
  <c r="N484" i="9"/>
  <c r="N483" i="9"/>
  <c r="M482" i="9"/>
  <c r="N481" i="9"/>
  <c r="L479" i="9"/>
  <c r="M478" i="9"/>
  <c r="N477" i="9"/>
  <c r="L475" i="9"/>
  <c r="M474" i="9"/>
  <c r="N473" i="9"/>
  <c r="L471" i="9"/>
  <c r="M470" i="9"/>
  <c r="N469" i="9"/>
  <c r="L467" i="9"/>
  <c r="M466" i="9"/>
  <c r="N465" i="9"/>
  <c r="L463" i="9"/>
  <c r="M462" i="9"/>
  <c r="N461" i="9"/>
  <c r="L459" i="9"/>
  <c r="M458" i="9"/>
  <c r="N457" i="9"/>
  <c r="L455" i="9"/>
  <c r="M454" i="9"/>
  <c r="N453" i="9"/>
  <c r="L451" i="9"/>
  <c r="M450" i="9"/>
  <c r="N449" i="9"/>
  <c r="L447" i="9"/>
  <c r="M446" i="9"/>
  <c r="N445" i="9"/>
  <c r="L443" i="9"/>
  <c r="M442" i="9"/>
  <c r="N441" i="9"/>
  <c r="L439" i="9"/>
  <c r="M438" i="9"/>
  <c r="N437" i="9"/>
  <c r="L435" i="9"/>
  <c r="M434" i="9"/>
  <c r="N433" i="9"/>
  <c r="L431" i="9"/>
  <c r="M430" i="9"/>
  <c r="N429" i="9"/>
  <c r="L427" i="9"/>
  <c r="M426" i="9"/>
  <c r="N425" i="9"/>
  <c r="L423" i="9"/>
  <c r="M422" i="9"/>
  <c r="N421" i="9"/>
  <c r="L419" i="9"/>
  <c r="M418" i="9"/>
  <c r="N417" i="9"/>
  <c r="L415" i="9"/>
  <c r="M414" i="9"/>
  <c r="N413" i="9"/>
  <c r="L411" i="9"/>
  <c r="M410" i="9"/>
  <c r="N409" i="9"/>
  <c r="L407" i="9"/>
  <c r="M406" i="9"/>
  <c r="N405" i="9"/>
  <c r="L403" i="9"/>
  <c r="M402" i="9"/>
  <c r="N401" i="9"/>
  <c r="L399" i="9"/>
  <c r="M398" i="9"/>
  <c r="N397" i="9"/>
  <c r="L395" i="9"/>
  <c r="M394" i="9"/>
  <c r="N393" i="9"/>
  <c r="L391" i="9"/>
  <c r="M390" i="9"/>
  <c r="N389" i="9"/>
  <c r="L387" i="9"/>
  <c r="M386" i="9"/>
  <c r="N385" i="9"/>
  <c r="L383" i="9"/>
  <c r="M382" i="9"/>
  <c r="N381" i="9"/>
  <c r="L379" i="9"/>
  <c r="M378" i="9"/>
  <c r="N377" i="9"/>
  <c r="L375" i="9"/>
  <c r="M374" i="9"/>
  <c r="N373" i="9"/>
  <c r="L371" i="9"/>
  <c r="M370" i="9"/>
  <c r="N369" i="9"/>
  <c r="L367" i="9"/>
  <c r="M366" i="9"/>
  <c r="N365" i="9"/>
  <c r="L363" i="9"/>
  <c r="M362" i="9"/>
  <c r="N361" i="9"/>
  <c r="L359" i="9"/>
  <c r="M358" i="9"/>
  <c r="N357" i="9"/>
  <c r="L355" i="9"/>
  <c r="M354" i="9"/>
  <c r="N353" i="9"/>
  <c r="L351" i="9"/>
  <c r="M350" i="9"/>
  <c r="N349" i="9"/>
  <c r="L347" i="9"/>
  <c r="M346" i="9"/>
  <c r="N345" i="9"/>
  <c r="L343" i="9"/>
  <c r="M342" i="9"/>
  <c r="N341" i="9"/>
  <c r="L339" i="9"/>
  <c r="M338" i="9"/>
  <c r="N337" i="9"/>
  <c r="L335" i="9"/>
  <c r="M334" i="9"/>
  <c r="N333" i="9"/>
  <c r="L331" i="9"/>
  <c r="M330" i="9"/>
  <c r="N329" i="9"/>
  <c r="L327" i="9"/>
  <c r="M326" i="9"/>
  <c r="N325" i="9"/>
  <c r="L323" i="9"/>
  <c r="M322" i="9"/>
  <c r="N321" i="9"/>
  <c r="L319" i="9"/>
  <c r="M318" i="9"/>
  <c r="N317" i="9"/>
  <c r="L315" i="9"/>
  <c r="M314" i="9"/>
  <c r="N313" i="9"/>
  <c r="L311" i="9"/>
  <c r="M310" i="9"/>
  <c r="N309" i="9"/>
  <c r="L307" i="9"/>
  <c r="M306" i="9"/>
  <c r="N305" i="9"/>
  <c r="L303" i="9"/>
  <c r="M302" i="9"/>
  <c r="N301" i="9"/>
  <c r="L299" i="9"/>
  <c r="M298" i="9"/>
  <c r="N297" i="9"/>
  <c r="L295" i="9"/>
  <c r="M294" i="9"/>
  <c r="N293" i="9"/>
  <c r="L291" i="9"/>
  <c r="M290" i="9"/>
  <c r="N289" i="9"/>
  <c r="L287" i="9"/>
  <c r="N565" i="9"/>
  <c r="M562" i="9"/>
  <c r="L559" i="9"/>
  <c r="N549" i="9"/>
  <c r="M546" i="9"/>
  <c r="L543" i="9"/>
  <c r="N533" i="9"/>
  <c r="M530" i="9"/>
  <c r="L527" i="9"/>
  <c r="N517" i="9"/>
  <c r="M514" i="9"/>
  <c r="L511" i="9"/>
  <c r="N501" i="9"/>
  <c r="L496" i="9"/>
  <c r="M495" i="9"/>
  <c r="M494" i="9"/>
  <c r="N493" i="9"/>
  <c r="L485" i="9"/>
  <c r="M484" i="9"/>
  <c r="L483" i="9"/>
  <c r="L482" i="9"/>
  <c r="M481" i="9"/>
  <c r="N480" i="9"/>
  <c r="L478" i="9"/>
  <c r="M477" i="9"/>
  <c r="N476" i="9"/>
  <c r="L474" i="9"/>
  <c r="M473" i="9"/>
  <c r="N472" i="9"/>
  <c r="L470" i="9"/>
  <c r="M469" i="9"/>
  <c r="N468" i="9"/>
  <c r="L466" i="9"/>
  <c r="M465" i="9"/>
  <c r="N464" i="9"/>
  <c r="L462" i="9"/>
  <c r="M461" i="9"/>
  <c r="N460" i="9"/>
  <c r="L458" i="9"/>
  <c r="M457" i="9"/>
  <c r="N456" i="9"/>
  <c r="L454" i="9"/>
  <c r="M453" i="9"/>
  <c r="N452" i="9"/>
  <c r="L450" i="9"/>
  <c r="M449" i="9"/>
  <c r="N448" i="9"/>
  <c r="L446" i="9"/>
  <c r="M445" i="9"/>
  <c r="N444" i="9"/>
  <c r="L442" i="9"/>
  <c r="M441" i="9"/>
  <c r="N440" i="9"/>
  <c r="L438" i="9"/>
  <c r="M437" i="9"/>
  <c r="N436" i="9"/>
  <c r="L434" i="9"/>
  <c r="M433" i="9"/>
  <c r="N432" i="9"/>
  <c r="L430" i="9"/>
  <c r="M429" i="9"/>
  <c r="N428" i="9"/>
  <c r="L426" i="9"/>
  <c r="M425" i="9"/>
  <c r="N424" i="9"/>
  <c r="L422" i="9"/>
  <c r="M421" i="9"/>
  <c r="N420" i="9"/>
  <c r="L418" i="9"/>
  <c r="M417" i="9"/>
  <c r="N416" i="9"/>
  <c r="L414" i="9"/>
  <c r="M413" i="9"/>
  <c r="N412" i="9"/>
  <c r="L410" i="9"/>
  <c r="M409" i="9"/>
  <c r="N408" i="9"/>
  <c r="L406" i="9"/>
  <c r="M405" i="9"/>
  <c r="N404" i="9"/>
  <c r="L402" i="9"/>
  <c r="M401" i="9"/>
  <c r="N400" i="9"/>
  <c r="L398" i="9"/>
  <c r="M397" i="9"/>
  <c r="N396" i="9"/>
  <c r="L394" i="9"/>
  <c r="M393" i="9"/>
  <c r="N392" i="9"/>
  <c r="L390" i="9"/>
  <c r="M389" i="9"/>
  <c r="N388" i="9"/>
  <c r="L386" i="9"/>
  <c r="M385" i="9"/>
  <c r="N384" i="9"/>
  <c r="L382" i="9"/>
  <c r="M381" i="9"/>
  <c r="N380" i="9"/>
  <c r="L378" i="9"/>
  <c r="M377" i="9"/>
  <c r="N376" i="9"/>
  <c r="L374" i="9"/>
  <c r="M373" i="9"/>
  <c r="N372" i="9"/>
  <c r="L370" i="9"/>
  <c r="M369" i="9"/>
  <c r="N368" i="9"/>
  <c r="L366" i="9"/>
  <c r="M365" i="9"/>
  <c r="N364" i="9"/>
  <c r="L362" i="9"/>
  <c r="M361" i="9"/>
  <c r="N360" i="9"/>
  <c r="L358" i="9"/>
  <c r="M357" i="9"/>
  <c r="N356" i="9"/>
  <c r="L354" i="9"/>
  <c r="M353" i="9"/>
  <c r="N352" i="9"/>
  <c r="L350" i="9"/>
  <c r="M349" i="9"/>
  <c r="N348" i="9"/>
  <c r="L346" i="9"/>
  <c r="M345" i="9"/>
  <c r="N344" i="9"/>
  <c r="L342" i="9"/>
  <c r="M341" i="9"/>
  <c r="N340" i="9"/>
  <c r="L338" i="9"/>
  <c r="M337" i="9"/>
  <c r="N336" i="9"/>
  <c r="L334" i="9"/>
  <c r="M333" i="9"/>
  <c r="N332" i="9"/>
  <c r="L330" i="9"/>
  <c r="M329" i="9"/>
  <c r="N328" i="9"/>
  <c r="L326" i="9"/>
  <c r="M325" i="9"/>
  <c r="N324" i="9"/>
  <c r="L322" i="9"/>
  <c r="M321" i="9"/>
  <c r="N320" i="9"/>
  <c r="L318" i="9"/>
  <c r="M317" i="9"/>
  <c r="N316" i="9"/>
  <c r="L314" i="9"/>
  <c r="M313" i="9"/>
  <c r="N312" i="9"/>
  <c r="L310" i="9"/>
  <c r="M309" i="9"/>
  <c r="N308" i="9"/>
  <c r="L306" i="9"/>
  <c r="M305" i="9"/>
  <c r="N304" i="9"/>
  <c r="L302" i="9"/>
  <c r="M301" i="9"/>
  <c r="N300" i="9"/>
  <c r="L298" i="9"/>
  <c r="M297" i="9"/>
  <c r="N296" i="9"/>
  <c r="L294" i="9"/>
  <c r="M293" i="9"/>
  <c r="N292" i="9"/>
  <c r="L290" i="9"/>
  <c r="M289" i="9"/>
  <c r="N288" i="9"/>
  <c r="L286" i="9"/>
  <c r="M570" i="9"/>
  <c r="L567" i="9"/>
  <c r="N557" i="9"/>
  <c r="M554" i="9"/>
  <c r="L551" i="9"/>
  <c r="N541" i="9"/>
  <c r="M538" i="9"/>
  <c r="L535" i="9"/>
  <c r="N525" i="9"/>
  <c r="M522" i="9"/>
  <c r="L519" i="9"/>
  <c r="N509" i="9"/>
  <c r="M506" i="9"/>
  <c r="L503" i="9"/>
  <c r="I495" i="9"/>
  <c r="L493" i="9"/>
  <c r="M492" i="9"/>
  <c r="L491" i="9"/>
  <c r="L490" i="9"/>
  <c r="M489" i="9"/>
  <c r="N488" i="9"/>
  <c r="N487" i="9"/>
  <c r="M486" i="9"/>
  <c r="N485" i="9"/>
  <c r="L480" i="9"/>
  <c r="M479" i="9"/>
  <c r="N478" i="9"/>
  <c r="L476" i="9"/>
  <c r="M475" i="9"/>
  <c r="N474" i="9"/>
  <c r="L472" i="9"/>
  <c r="M471" i="9"/>
  <c r="N470" i="9"/>
  <c r="L468" i="9"/>
  <c r="M467" i="9"/>
  <c r="N466" i="9"/>
  <c r="L464" i="9"/>
  <c r="M463" i="9"/>
  <c r="N462" i="9"/>
  <c r="L460" i="9"/>
  <c r="M459" i="9"/>
  <c r="N458" i="9"/>
  <c r="L456" i="9"/>
  <c r="M455" i="9"/>
  <c r="N454" i="9"/>
  <c r="L452" i="9"/>
  <c r="M451" i="9"/>
  <c r="N450" i="9"/>
  <c r="L448" i="9"/>
  <c r="M447" i="9"/>
  <c r="N446" i="9"/>
  <c r="L444" i="9"/>
  <c r="M443" i="9"/>
  <c r="N442" i="9"/>
  <c r="L440" i="9"/>
  <c r="M439" i="9"/>
  <c r="N438" i="9"/>
  <c r="L436" i="9"/>
  <c r="M435" i="9"/>
  <c r="N434" i="9"/>
  <c r="L432" i="9"/>
  <c r="M431" i="9"/>
  <c r="N430" i="9"/>
  <c r="L428" i="9"/>
  <c r="M427" i="9"/>
  <c r="N426" i="9"/>
  <c r="L424" i="9"/>
  <c r="M423" i="9"/>
  <c r="N422" i="9"/>
  <c r="L420" i="9"/>
  <c r="M419" i="9"/>
  <c r="N418" i="9"/>
  <c r="L416" i="9"/>
  <c r="M415" i="9"/>
  <c r="N414" i="9"/>
  <c r="L412" i="9"/>
  <c r="M411" i="9"/>
  <c r="N410" i="9"/>
  <c r="L408" i="9"/>
  <c r="M407" i="9"/>
  <c r="N406" i="9"/>
  <c r="L404" i="9"/>
  <c r="M403" i="9"/>
  <c r="N402" i="9"/>
  <c r="L400" i="9"/>
  <c r="M399" i="9"/>
  <c r="N398" i="9"/>
  <c r="L396" i="9"/>
  <c r="M395" i="9"/>
  <c r="N394" i="9"/>
  <c r="L392" i="9"/>
  <c r="M391" i="9"/>
  <c r="N390" i="9"/>
  <c r="L388" i="9"/>
  <c r="M387" i="9"/>
  <c r="N386" i="9"/>
  <c r="L384" i="9"/>
  <c r="M383" i="9"/>
  <c r="N382" i="9"/>
  <c r="L380" i="9"/>
  <c r="M379" i="9"/>
  <c r="N378" i="9"/>
  <c r="L376" i="9"/>
  <c r="M375" i="9"/>
  <c r="N374" i="9"/>
  <c r="L372" i="9"/>
  <c r="M371" i="9"/>
  <c r="N370" i="9"/>
  <c r="L368" i="9"/>
  <c r="M367" i="9"/>
  <c r="N366" i="9"/>
  <c r="L364" i="9"/>
  <c r="M363" i="9"/>
  <c r="N362" i="9"/>
  <c r="L360" i="9"/>
  <c r="M359" i="9"/>
  <c r="N358" i="9"/>
  <c r="L356" i="9"/>
  <c r="M355" i="9"/>
  <c r="N354" i="9"/>
  <c r="L352" i="9"/>
  <c r="M351" i="9"/>
  <c r="N350" i="9"/>
  <c r="L348" i="9"/>
  <c r="M347" i="9"/>
  <c r="N346" i="9"/>
  <c r="L344" i="9"/>
  <c r="M343" i="9"/>
  <c r="N342" i="9"/>
  <c r="L340" i="9"/>
  <c r="M339" i="9"/>
  <c r="N338" i="9"/>
  <c r="L336" i="9"/>
  <c r="M335" i="9"/>
  <c r="N334" i="9"/>
  <c r="L332" i="9"/>
  <c r="M331" i="9"/>
  <c r="N330" i="9"/>
  <c r="L328" i="9"/>
  <c r="M327" i="9"/>
  <c r="N326" i="9"/>
  <c r="L324" i="9"/>
  <c r="M323" i="9"/>
  <c r="N322" i="9"/>
  <c r="L320" i="9"/>
  <c r="M319" i="9"/>
  <c r="N318" i="9"/>
  <c r="L316" i="9"/>
  <c r="M315" i="9"/>
  <c r="N314" i="9"/>
  <c r="L312" i="9"/>
  <c r="M311" i="9"/>
  <c r="N310" i="9"/>
  <c r="L308" i="9"/>
  <c r="M307" i="9"/>
  <c r="N306" i="9"/>
  <c r="L304" i="9"/>
  <c r="M303" i="9"/>
  <c r="M246" i="9"/>
  <c r="L247" i="9"/>
  <c r="N249" i="9"/>
  <c r="M250" i="9"/>
  <c r="L251" i="9"/>
  <c r="N253" i="9"/>
  <c r="M254" i="9"/>
  <c r="L255" i="9"/>
  <c r="N257" i="9"/>
  <c r="M258" i="9"/>
  <c r="L259" i="9"/>
  <c r="N261" i="9"/>
  <c r="M262" i="9"/>
  <c r="L263" i="9"/>
  <c r="N265" i="9"/>
  <c r="M266" i="9"/>
  <c r="L267" i="9"/>
  <c r="N269" i="9"/>
  <c r="M270" i="9"/>
  <c r="L271" i="9"/>
  <c r="N273" i="9"/>
  <c r="M274" i="9"/>
  <c r="L275" i="9"/>
  <c r="N277" i="9"/>
  <c r="M278" i="9"/>
  <c r="L279" i="9"/>
  <c r="N281" i="9"/>
  <c r="M282" i="9"/>
  <c r="L283" i="9"/>
  <c r="N285" i="9"/>
  <c r="N286" i="9"/>
  <c r="N287" i="9"/>
  <c r="M288" i="9"/>
  <c r="N294" i="9"/>
  <c r="N295" i="9"/>
  <c r="M296" i="9"/>
  <c r="N302" i="9"/>
  <c r="L309" i="9"/>
  <c r="M312" i="9"/>
  <c r="N315" i="9"/>
  <c r="L325" i="9"/>
  <c r="M328" i="9"/>
  <c r="N331" i="9"/>
  <c r="L341" i="9"/>
  <c r="M344" i="9"/>
  <c r="N347" i="9"/>
  <c r="L357" i="9"/>
  <c r="M360" i="9"/>
  <c r="N363" i="9"/>
  <c r="L373" i="9"/>
  <c r="M376" i="9"/>
  <c r="N379" i="9"/>
  <c r="L389" i="9"/>
  <c r="M392" i="9"/>
  <c r="N395" i="9"/>
  <c r="L405" i="9"/>
  <c r="M408" i="9"/>
  <c r="N411" i="9"/>
  <c r="L421" i="9"/>
  <c r="M424" i="9"/>
  <c r="N427" i="9"/>
  <c r="L437" i="9"/>
  <c r="M440" i="9"/>
  <c r="N443" i="9"/>
  <c r="L453" i="9"/>
  <c r="M456" i="9"/>
  <c r="N459" i="9"/>
  <c r="L469" i="9"/>
  <c r="M472" i="9"/>
  <c r="N475" i="9"/>
  <c r="N491" i="9"/>
  <c r="N505" i="9"/>
  <c r="M518" i="9"/>
  <c r="L531" i="9"/>
  <c r="N569" i="9"/>
  <c r="M573" i="9"/>
  <c r="N499" i="9"/>
  <c r="M500" i="9"/>
  <c r="L501" i="9"/>
  <c r="N503" i="9"/>
  <c r="M504" i="9"/>
  <c r="L505" i="9"/>
  <c r="N507" i="9"/>
  <c r="M508" i="9"/>
  <c r="L509" i="9"/>
  <c r="N511" i="9"/>
  <c r="M512" i="9"/>
  <c r="L513" i="9"/>
  <c r="N515" i="9"/>
  <c r="M516" i="9"/>
  <c r="L517" i="9"/>
  <c r="N519" i="9"/>
  <c r="M520" i="9"/>
  <c r="L521" i="9"/>
  <c r="N523" i="9"/>
  <c r="M524" i="9"/>
  <c r="L525" i="9"/>
  <c r="N527" i="9"/>
  <c r="M528" i="9"/>
  <c r="L529" i="9"/>
  <c r="N531" i="9"/>
  <c r="M532" i="9"/>
  <c r="L533" i="9"/>
  <c r="N535" i="9"/>
  <c r="M536" i="9"/>
  <c r="L537" i="9"/>
  <c r="N539" i="9"/>
  <c r="M540" i="9"/>
  <c r="L541" i="9"/>
  <c r="N543" i="9"/>
  <c r="M544" i="9"/>
  <c r="L545" i="9"/>
  <c r="N547" i="9"/>
  <c r="M548" i="9"/>
  <c r="L549" i="9"/>
  <c r="N551" i="9"/>
  <c r="M552" i="9"/>
  <c r="L553" i="9"/>
  <c r="N555" i="9"/>
  <c r="M556" i="9"/>
  <c r="L557" i="9"/>
  <c r="N559" i="9"/>
  <c r="M560" i="9"/>
  <c r="L561" i="9"/>
  <c r="N563" i="9"/>
  <c r="M564" i="9"/>
  <c r="L565" i="9"/>
  <c r="N567" i="9"/>
  <c r="M568" i="9"/>
  <c r="L569" i="9"/>
  <c r="N571" i="9"/>
  <c r="N572" i="9"/>
  <c r="K111" i="4"/>
  <c r="B85" i="4"/>
  <c r="L98" i="4"/>
  <c r="L109" i="4"/>
  <c r="G2" i="2"/>
  <c r="G2" i="4"/>
  <c r="H3" i="9"/>
  <c r="M40" i="3"/>
  <c r="M75" i="3"/>
  <c r="M82" i="3"/>
  <c r="M39" i="3"/>
  <c r="M64" i="3"/>
  <c r="M81" i="3"/>
  <c r="M85" i="3"/>
  <c r="L113" i="3"/>
  <c r="L129" i="3" s="1"/>
  <c r="H14" i="12" s="1"/>
  <c r="K49" i="3"/>
  <c r="K123" i="3" s="1"/>
  <c r="K73" i="3"/>
  <c r="K125" i="3" s="1"/>
  <c r="L30" i="3"/>
  <c r="L121" i="3" s="1"/>
  <c r="L59" i="3"/>
  <c r="L124" i="3" s="1"/>
  <c r="F38" i="6"/>
  <c r="M77" i="3"/>
  <c r="M62" i="2"/>
  <c r="L73" i="4"/>
  <c r="L125" i="4" s="1"/>
  <c r="L49" i="3"/>
  <c r="L123" i="3" s="1"/>
  <c r="M84" i="3"/>
  <c r="M86" i="3"/>
  <c r="M41" i="3"/>
  <c r="M42" i="3"/>
  <c r="M44" i="3"/>
  <c r="M109" i="3"/>
  <c r="M23" i="3"/>
  <c r="M32" i="3"/>
  <c r="M34" i="3"/>
  <c r="M36" i="3"/>
  <c r="M60" i="3"/>
  <c r="M61" i="3"/>
  <c r="M62" i="3"/>
  <c r="M63" i="3"/>
  <c r="M65" i="3"/>
  <c r="M66" i="3"/>
  <c r="M67" i="3"/>
  <c r="M68" i="3"/>
  <c r="M70" i="3"/>
  <c r="M95" i="3"/>
  <c r="M97" i="3"/>
  <c r="M98" i="3"/>
  <c r="M115" i="3"/>
  <c r="M116" i="3"/>
  <c r="M111" i="3"/>
  <c r="M13" i="3"/>
  <c r="M83" i="3"/>
  <c r="L108" i="3"/>
  <c r="L128" i="3" s="1"/>
  <c r="K30" i="3"/>
  <c r="K121" i="3" s="1"/>
  <c r="M31" i="3"/>
  <c r="K113" i="3"/>
  <c r="K129" i="3" s="1"/>
  <c r="M114" i="3"/>
  <c r="K59" i="3"/>
  <c r="K124" i="3" s="1"/>
  <c r="M20" i="3"/>
  <c r="M110" i="3"/>
  <c r="F31" i="6"/>
  <c r="M43" i="3"/>
  <c r="M74" i="3"/>
  <c r="M12" i="3"/>
  <c r="M15" i="3"/>
  <c r="M24" i="3"/>
  <c r="M52" i="3"/>
  <c r="F36" i="6"/>
  <c r="F39" i="6"/>
  <c r="F28" i="6"/>
  <c r="F30" i="6"/>
  <c r="F27" i="6"/>
  <c r="N30" i="6"/>
  <c r="N28" i="6"/>
  <c r="N27" i="6"/>
  <c r="N31" i="6"/>
  <c r="N38" i="6"/>
  <c r="N39" i="6"/>
  <c r="N36" i="6"/>
  <c r="M10" i="3"/>
  <c r="M14" i="3"/>
  <c r="M50" i="3"/>
  <c r="M51" i="3"/>
  <c r="M53" i="3"/>
  <c r="M54" i="3"/>
  <c r="M55" i="3"/>
  <c r="M16" i="4"/>
  <c r="M22" i="3"/>
  <c r="M93" i="3"/>
  <c r="M94" i="3"/>
  <c r="M96" i="3"/>
  <c r="K108" i="3"/>
  <c r="K128" i="3" s="1"/>
  <c r="M52" i="2" l="1"/>
  <c r="M98" i="4"/>
  <c r="M111" i="4"/>
  <c r="K19" i="2"/>
  <c r="K120" i="2" s="1"/>
  <c r="K9" i="4"/>
  <c r="K119" i="4" s="1"/>
  <c r="M14" i="4"/>
  <c r="O14" i="4"/>
  <c r="M54" i="4"/>
  <c r="M23" i="4"/>
  <c r="M96" i="4"/>
  <c r="M31" i="4"/>
  <c r="L30" i="4"/>
  <c r="L121" i="4" s="1"/>
  <c r="M36" i="4"/>
  <c r="K38" i="4"/>
  <c r="K122" i="4" s="1"/>
  <c r="M73" i="3"/>
  <c r="M20" i="2"/>
  <c r="M19" i="2" s="1"/>
  <c r="L19" i="2"/>
  <c r="L120" i="2" s="1"/>
  <c r="K79" i="4"/>
  <c r="K126" i="4" s="1"/>
  <c r="K59" i="4"/>
  <c r="K124" i="4" s="1"/>
  <c r="M92" i="3"/>
  <c r="M19" i="3"/>
  <c r="M38" i="3"/>
  <c r="M79" i="3"/>
  <c r="M9" i="3"/>
  <c r="L38" i="4"/>
  <c r="L122" i="4" s="1"/>
  <c r="L79" i="4"/>
  <c r="L126" i="4" s="1"/>
  <c r="K92" i="4"/>
  <c r="K127" i="4" s="1"/>
  <c r="L19" i="4"/>
  <c r="L120" i="4" s="1"/>
  <c r="M10" i="4"/>
  <c r="L9" i="4"/>
  <c r="L119" i="4" s="1"/>
  <c r="L92" i="4"/>
  <c r="L127" i="4" s="1"/>
  <c r="K19" i="4"/>
  <c r="K120" i="4" s="1"/>
  <c r="L92" i="2"/>
  <c r="L127" i="2" s="1"/>
  <c r="L79" i="2"/>
  <c r="L126" i="2" s="1"/>
  <c r="L38" i="2"/>
  <c r="L122" i="2" s="1"/>
  <c r="M93" i="2"/>
  <c r="K92" i="2"/>
  <c r="K127" i="2" s="1"/>
  <c r="K9" i="2"/>
  <c r="K119" i="2" s="1"/>
  <c r="M39" i="2"/>
  <c r="K38" i="2"/>
  <c r="K122" i="2" s="1"/>
  <c r="M10" i="2"/>
  <c r="L9" i="2"/>
  <c r="L119" i="2" s="1"/>
  <c r="K79" i="2"/>
  <c r="K126" i="2" s="1"/>
  <c r="M42" i="4"/>
  <c r="K30" i="4"/>
  <c r="K121" i="4" s="1"/>
  <c r="K49" i="4"/>
  <c r="K123" i="4" s="1"/>
  <c r="M40" i="4"/>
  <c r="M55" i="4"/>
  <c r="M34" i="4"/>
  <c r="L59" i="2"/>
  <c r="L124" i="2" s="1"/>
  <c r="K113" i="4"/>
  <c r="K129" i="4" s="1"/>
  <c r="M81" i="2"/>
  <c r="M114" i="4"/>
  <c r="M113" i="4" s="1"/>
  <c r="M13" i="4"/>
  <c r="L59" i="4"/>
  <c r="L124" i="4" s="1"/>
  <c r="M85" i="4"/>
  <c r="M93" i="4"/>
  <c r="K73" i="4"/>
  <c r="K125" i="4" s="1"/>
  <c r="M125" i="4" s="1"/>
  <c r="L113" i="4"/>
  <c r="L129" i="4" s="1"/>
  <c r="M86" i="4"/>
  <c r="M24" i="4"/>
  <c r="M94" i="2"/>
  <c r="L49" i="4"/>
  <c r="L123" i="4" s="1"/>
  <c r="M31" i="2"/>
  <c r="M77" i="4"/>
  <c r="M73" i="4" s="1"/>
  <c r="M66" i="4"/>
  <c r="M59" i="4" s="1"/>
  <c r="M51" i="2"/>
  <c r="M53" i="2"/>
  <c r="M16" i="2"/>
  <c r="M41" i="2"/>
  <c r="L113" i="2"/>
  <c r="L129" i="2" s="1"/>
  <c r="H17" i="12" s="1"/>
  <c r="M68" i="2"/>
  <c r="M59" i="2" s="1"/>
  <c r="K73" i="2"/>
  <c r="K125" i="2" s="1"/>
  <c r="M75" i="2"/>
  <c r="L30" i="2"/>
  <c r="L121" i="2" s="1"/>
  <c r="M50" i="2"/>
  <c r="L49" i="2"/>
  <c r="L123" i="2" s="1"/>
  <c r="M32" i="2"/>
  <c r="K59" i="2"/>
  <c r="K124" i="2" s="1"/>
  <c r="M83" i="2"/>
  <c r="M96" i="2"/>
  <c r="M95" i="2"/>
  <c r="M114" i="2"/>
  <c r="M113" i="2" s="1"/>
  <c r="M109" i="2"/>
  <c r="K49" i="2"/>
  <c r="K123" i="2" s="1"/>
  <c r="M74" i="2"/>
  <c r="L73" i="2"/>
  <c r="L125" i="2" s="1"/>
  <c r="M82" i="2"/>
  <c r="L108" i="2"/>
  <c r="L128" i="2" s="1"/>
  <c r="M54" i="2"/>
  <c r="M85" i="2"/>
  <c r="M13" i="2"/>
  <c r="M110" i="2"/>
  <c r="M110" i="4"/>
  <c r="K108" i="2"/>
  <c r="K128" i="2" s="1"/>
  <c r="K113" i="2"/>
  <c r="K129" i="2" s="1"/>
  <c r="G17" i="12" s="1"/>
  <c r="L108" i="4"/>
  <c r="L128" i="4" s="1"/>
  <c r="M97" i="2"/>
  <c r="K30" i="2"/>
  <c r="K121" i="2" s="1"/>
  <c r="K498" i="9"/>
  <c r="K496" i="9"/>
  <c r="K108" i="4"/>
  <c r="K128" i="4" s="1"/>
  <c r="M109" i="4"/>
  <c r="J495" i="9"/>
  <c r="K495" i="9" s="1"/>
  <c r="M1" i="9"/>
  <c r="N1" i="9"/>
  <c r="J499" i="9"/>
  <c r="K499" i="9" s="1"/>
  <c r="J497" i="9"/>
  <c r="K497" i="9" s="1"/>
  <c r="L1" i="9"/>
  <c r="E573" i="9"/>
  <c r="I572" i="9"/>
  <c r="I573" i="9"/>
  <c r="M120" i="3"/>
  <c r="M124" i="3"/>
  <c r="M108" i="3"/>
  <c r="M128" i="3"/>
  <c r="L7" i="3"/>
  <c r="L118" i="3"/>
  <c r="H13" i="12" s="1"/>
  <c r="M123" i="3"/>
  <c r="M121" i="3"/>
  <c r="M126" i="3"/>
  <c r="M127" i="3"/>
  <c r="M122" i="3"/>
  <c r="M125" i="3"/>
  <c r="L57" i="3"/>
  <c r="M113" i="3"/>
  <c r="M59" i="3"/>
  <c r="M30" i="3"/>
  <c r="G14" i="12"/>
  <c r="M129" i="3"/>
  <c r="I14" i="12" s="1"/>
  <c r="M49" i="3"/>
  <c r="K118" i="3"/>
  <c r="M119" i="3"/>
  <c r="K7" i="3"/>
  <c r="K57" i="3"/>
  <c r="M120" i="2" l="1"/>
  <c r="M119" i="2"/>
  <c r="K118" i="2"/>
  <c r="L118" i="2"/>
  <c r="H16" i="12" s="1"/>
  <c r="H18" i="12" s="1"/>
  <c r="M30" i="4"/>
  <c r="M121" i="4"/>
  <c r="M9" i="2"/>
  <c r="M79" i="2"/>
  <c r="M19" i="4"/>
  <c r="M124" i="4"/>
  <c r="M92" i="4"/>
  <c r="M79" i="4"/>
  <c r="M126" i="4"/>
  <c r="M38" i="4"/>
  <c r="M9" i="4"/>
  <c r="M38" i="2"/>
  <c r="M92" i="2"/>
  <c r="M123" i="4"/>
  <c r="M122" i="4"/>
  <c r="K7" i="4"/>
  <c r="M49" i="4"/>
  <c r="M124" i="2"/>
  <c r="M129" i="4"/>
  <c r="M127" i="4"/>
  <c r="L7" i="4"/>
  <c r="M30" i="2"/>
  <c r="M120" i="4"/>
  <c r="M119" i="4"/>
  <c r="K118" i="4"/>
  <c r="G20" i="12" s="1"/>
  <c r="M121" i="2"/>
  <c r="M73" i="2"/>
  <c r="M49" i="2"/>
  <c r="M122" i="2"/>
  <c r="M125" i="2"/>
  <c r="M123" i="2"/>
  <c r="M108" i="2"/>
  <c r="L57" i="4"/>
  <c r="K7" i="2"/>
  <c r="M128" i="2"/>
  <c r="M127" i="2"/>
  <c r="L118" i="4"/>
  <c r="H20" i="12" s="1"/>
  <c r="L7" i="2"/>
  <c r="K57" i="4"/>
  <c r="M128" i="4"/>
  <c r="L57" i="2"/>
  <c r="M129" i="2"/>
  <c r="I17" i="12" s="1"/>
  <c r="M126" i="2"/>
  <c r="K57" i="2"/>
  <c r="M108" i="4"/>
  <c r="G573" i="9"/>
  <c r="M57" i="3"/>
  <c r="G13" i="12"/>
  <c r="M7" i="3"/>
  <c r="M118" i="3"/>
  <c r="M118" i="2" l="1"/>
  <c r="I16" i="12" s="1"/>
  <c r="I18" i="12" s="1"/>
  <c r="M7" i="4"/>
  <c r="M118" i="4"/>
  <c r="I20" i="12" s="1"/>
  <c r="M57" i="4"/>
  <c r="M7" i="2"/>
  <c r="G16" i="12"/>
  <c r="G18" i="12" s="1"/>
  <c r="M57" i="2"/>
  <c r="I13" i="12"/>
  <c r="H111" i="2" l="1"/>
  <c r="P111" i="2" l="1"/>
  <c r="G35" i="6" l="1"/>
  <c r="F35" i="6" l="1"/>
  <c r="E4" i="9" l="1"/>
  <c r="E174" i="9" l="1"/>
  <c r="E172" i="9"/>
  <c r="G70" i="3"/>
  <c r="O70" i="3" s="1"/>
  <c r="G22" i="3"/>
  <c r="O22" i="3" s="1"/>
  <c r="E546" i="9"/>
  <c r="E555" i="9"/>
  <c r="E421" i="9"/>
  <c r="E426" i="9"/>
  <c r="E437" i="9"/>
  <c r="E456" i="9"/>
  <c r="E373" i="9"/>
  <c r="E432" i="9"/>
  <c r="E472" i="9"/>
  <c r="E468" i="9"/>
  <c r="E479" i="9"/>
  <c r="E480" i="9"/>
  <c r="E424" i="9"/>
  <c r="E470" i="9"/>
  <c r="E476" i="9"/>
  <c r="E440" i="9"/>
  <c r="E486" i="9"/>
  <c r="E483" i="9"/>
  <c r="E484" i="9"/>
  <c r="E494" i="9"/>
  <c r="E556" i="9"/>
  <c r="E454" i="9"/>
  <c r="E462" i="9"/>
  <c r="E434" i="9"/>
  <c r="E551" i="9"/>
  <c r="E552" i="9"/>
  <c r="E464" i="9"/>
  <c r="E563" i="9"/>
  <c r="E548" i="9"/>
  <c r="E478" i="9"/>
  <c r="E466" i="9"/>
  <c r="E488" i="9"/>
  <c r="E447" i="9"/>
  <c r="E448" i="9"/>
  <c r="E559" i="9"/>
  <c r="E554" i="9"/>
  <c r="E444" i="9"/>
  <c r="E482" i="9"/>
  <c r="E572" i="9"/>
  <c r="E288" i="9"/>
  <c r="E536" i="9"/>
  <c r="E317" i="9"/>
  <c r="E262" i="9"/>
  <c r="E178" i="9"/>
  <c r="E211" i="9"/>
  <c r="E544" i="9"/>
  <c r="E343" i="9"/>
  <c r="E48" i="9"/>
  <c r="E336" i="9"/>
  <c r="E283" i="9"/>
  <c r="E101" i="9"/>
  <c r="E327" i="9"/>
  <c r="E121" i="9"/>
  <c r="E250" i="9"/>
  <c r="E281" i="9"/>
  <c r="E333" i="9"/>
  <c r="E25" i="9"/>
  <c r="E291" i="9"/>
  <c r="E79" i="9"/>
  <c r="E332" i="9"/>
  <c r="E416" i="9"/>
  <c r="E532" i="9"/>
  <c r="E125" i="9"/>
  <c r="E219" i="9"/>
  <c r="E404" i="9"/>
  <c r="E76" i="9"/>
  <c r="E249" i="9"/>
  <c r="E203" i="9"/>
  <c r="E550" i="9"/>
  <c r="E255" i="9"/>
  <c r="E348" i="9"/>
  <c r="E369" i="9"/>
  <c r="E349" i="9"/>
  <c r="E305" i="9"/>
  <c r="E353" i="9"/>
  <c r="E153" i="9"/>
  <c r="E420" i="9"/>
  <c r="E287" i="9"/>
  <c r="E75" i="9"/>
  <c r="E319" i="9"/>
  <c r="E15" i="9"/>
  <c r="E252" i="9"/>
  <c r="E20" i="9"/>
  <c r="E323" i="9"/>
  <c r="E55" i="9"/>
  <c r="E391" i="9"/>
  <c r="E81" i="9"/>
  <c r="E374" i="9"/>
  <c r="E93" i="9"/>
  <c r="E361" i="9"/>
  <c r="E324" i="9"/>
  <c r="E23" i="9"/>
  <c r="E257" i="9"/>
  <c r="E28" i="9"/>
  <c r="E65" i="9"/>
  <c r="E335" i="9"/>
  <c r="E167" i="9"/>
  <c r="E564" i="9"/>
  <c r="E303" i="9"/>
  <c r="E26" i="9"/>
  <c r="E284" i="9"/>
  <c r="E31" i="9"/>
  <c r="E265" i="9"/>
  <c r="E92" i="9"/>
  <c r="E321" i="9"/>
  <c r="E186" i="9"/>
  <c r="E382" i="9"/>
  <c r="E523" i="9"/>
  <c r="E118" i="9"/>
  <c r="E390" i="9"/>
  <c r="E100" i="9"/>
  <c r="E273" i="9"/>
  <c r="E278" i="9"/>
  <c r="E17" i="9"/>
  <c r="E71" i="9"/>
  <c r="E539" i="9"/>
  <c r="E388" i="9"/>
  <c r="E105" i="9"/>
  <c r="E414" i="9"/>
  <c r="E111" i="9"/>
  <c r="E57" i="9"/>
  <c r="E357" i="9"/>
  <c r="E134" i="9"/>
  <c r="E402" i="9"/>
  <c r="E110" i="9"/>
  <c r="E166" i="9"/>
  <c r="E230" i="9"/>
  <c r="E162" i="9"/>
  <c r="E151" i="9"/>
  <c r="E418" i="9"/>
  <c r="E116" i="9"/>
  <c r="E137" i="9"/>
  <c r="E21" i="9"/>
  <c r="E279" i="9"/>
  <c r="E123" i="9"/>
  <c r="E381" i="9"/>
  <c r="E44" i="9"/>
  <c r="E520" i="9"/>
  <c r="E315" i="9"/>
  <c r="E266" i="9"/>
  <c r="E61" i="9"/>
  <c r="E311" i="9"/>
  <c r="E184" i="9"/>
  <c r="E109" i="9"/>
  <c r="E380" i="9"/>
  <c r="E514" i="9"/>
  <c r="E280" i="9"/>
  <c r="E241" i="9"/>
  <c r="E73" i="9"/>
  <c r="E83" i="9"/>
  <c r="E190" i="9"/>
  <c r="E430" i="9"/>
  <c r="E408" i="9"/>
  <c r="E94" i="9"/>
  <c r="E385" i="9"/>
  <c r="E132" i="9"/>
  <c r="E513" i="9"/>
  <c r="E131" i="9"/>
  <c r="E122" i="9"/>
  <c r="E140" i="9"/>
  <c r="E164" i="9"/>
  <c r="E395" i="9"/>
  <c r="E269" i="9"/>
  <c r="E177" i="9"/>
  <c r="E406" i="9"/>
  <c r="E85" i="9"/>
  <c r="E368" i="9"/>
  <c r="E328" i="9"/>
  <c r="E365" i="9"/>
  <c r="E521" i="9"/>
  <c r="E180" i="9"/>
  <c r="E460" i="9"/>
  <c r="E526" i="9"/>
  <c r="E351" i="9"/>
  <c r="E95" i="9"/>
  <c r="E171" i="9"/>
  <c r="E401" i="9"/>
  <c r="E99" i="9"/>
  <c r="E527" i="9"/>
  <c r="E396" i="9"/>
  <c r="E233" i="9"/>
  <c r="E227" i="9"/>
  <c r="E436" i="9"/>
  <c r="E271" i="9"/>
  <c r="E537" i="9"/>
  <c r="E69" i="9"/>
  <c r="E145" i="9"/>
  <c r="E543" i="9"/>
  <c r="E260" i="9"/>
  <c r="E120" i="9"/>
  <c r="E398" i="9"/>
  <c r="E133" i="9"/>
  <c r="E114" i="9"/>
  <c r="E221" i="9"/>
  <c r="E354" i="9"/>
  <c r="E387" i="9"/>
  <c r="E56" i="9"/>
  <c r="E341" i="9"/>
  <c r="E77" i="9"/>
  <c r="E313" i="9"/>
  <c r="E394" i="9"/>
  <c r="E173" i="9"/>
  <c r="E359" i="9"/>
  <c r="E32" i="9"/>
  <c r="E428" i="9"/>
  <c r="E417" i="9"/>
  <c r="E139" i="9"/>
  <c r="E63" i="9"/>
  <c r="E356" i="9"/>
  <c r="E82" i="9"/>
  <c r="E525" i="9"/>
  <c r="E130" i="9"/>
  <c r="E400" i="9"/>
  <c r="E246" i="9"/>
  <c r="E298" i="9"/>
  <c r="E54" i="9"/>
  <c r="E384" i="9"/>
  <c r="E331" i="9"/>
  <c r="E72" i="9"/>
  <c r="E363" i="9"/>
  <c r="E157" i="9"/>
  <c r="E389" i="9"/>
  <c r="E74" i="9"/>
  <c r="E540" i="9"/>
  <c r="E251" i="9"/>
  <c r="E156" i="9"/>
  <c r="E113" i="9"/>
  <c r="E155" i="9"/>
  <c r="E97" i="9"/>
  <c r="E87" i="9"/>
  <c r="E135" i="9"/>
  <c r="E458" i="9"/>
  <c r="E160" i="9"/>
  <c r="E143" i="9"/>
  <c r="E170" i="9"/>
  <c r="E129" i="9"/>
  <c r="E399" i="9"/>
  <c r="E193" i="9"/>
  <c r="E443" i="9"/>
  <c r="E169" i="9"/>
  <c r="E53" i="9"/>
  <c r="E294" i="9"/>
  <c r="E489" i="9"/>
  <c r="E214" i="9"/>
  <c r="E183" i="9"/>
  <c r="E78" i="9"/>
  <c r="E475" i="9"/>
  <c r="E165" i="9"/>
  <c r="E312" i="9"/>
  <c r="E158" i="9"/>
  <c r="E141" i="9"/>
  <c r="E189" i="9"/>
  <c r="E562" i="9"/>
  <c r="E231" i="9"/>
  <c r="E465" i="9"/>
  <c r="E545" i="9"/>
  <c r="E461" i="9"/>
  <c r="E304" i="9"/>
  <c r="E320" i="9"/>
  <c r="E103" i="9"/>
  <c r="E531" i="9"/>
  <c r="E419" i="9"/>
  <c r="E340" i="9"/>
  <c r="E490" i="9"/>
  <c r="E522" i="9"/>
  <c r="E146" i="9"/>
  <c r="E224" i="9"/>
  <c r="E253" i="9"/>
  <c r="E126" i="9"/>
  <c r="E530" i="9"/>
  <c r="E163" i="9"/>
  <c r="E541" i="9"/>
  <c r="E445" i="9"/>
  <c r="E225" i="9"/>
  <c r="E154" i="9"/>
  <c r="E263" i="9"/>
  <c r="E33" i="9"/>
  <c r="E272" i="9"/>
  <c r="E524" i="9"/>
  <c r="E491" i="9"/>
  <c r="E297" i="9"/>
  <c r="E89" i="9"/>
  <c r="E367" i="9"/>
  <c r="E307" i="9"/>
  <c r="E150" i="9"/>
  <c r="E538" i="9"/>
  <c r="E179" i="9"/>
  <c r="E364" i="9"/>
  <c r="E339" i="9"/>
  <c r="E115" i="9"/>
  <c r="E442" i="9"/>
  <c r="E168" i="9"/>
  <c r="E208" i="9"/>
  <c r="E452" i="9"/>
  <c r="E316" i="9"/>
  <c r="E192" i="9"/>
  <c r="E549" i="9"/>
  <c r="E181" i="9"/>
  <c r="E24" i="9"/>
  <c r="E282" i="9"/>
  <c r="E200" i="9"/>
  <c r="E435" i="9"/>
  <c r="E128" i="9"/>
  <c r="E360" i="9"/>
  <c r="E239" i="9"/>
  <c r="E201" i="9"/>
  <c r="E161" i="9"/>
  <c r="E500" i="9"/>
  <c r="E205" i="9"/>
  <c r="E136" i="9"/>
  <c r="E542" i="9"/>
  <c r="E149" i="9"/>
  <c r="E199" i="9"/>
  <c r="E91" i="9"/>
  <c r="E45" i="9"/>
  <c r="E379" i="9"/>
  <c r="E147" i="9"/>
  <c r="E144" i="9"/>
  <c r="E212" i="9"/>
  <c r="E547" i="9"/>
  <c r="E138" i="9"/>
  <c r="E67" i="9"/>
  <c r="E277" i="9"/>
  <c r="E175" i="9"/>
  <c r="E553" i="9"/>
  <c r="E245" i="9"/>
  <c r="E223" i="9"/>
  <c r="E449" i="9"/>
  <c r="E152" i="9"/>
  <c r="E529" i="9"/>
  <c r="E415" i="9"/>
  <c r="E194" i="9"/>
  <c r="E342" i="9"/>
  <c r="E185" i="9"/>
  <c r="E220" i="9"/>
  <c r="E264" i="9"/>
  <c r="E11" i="9"/>
  <c r="E229" i="9"/>
  <c r="E431" i="9"/>
  <c r="E188" i="9"/>
  <c r="E561" i="9"/>
  <c r="E306" i="9"/>
  <c r="E289" i="9"/>
  <c r="E117" i="9"/>
  <c r="E338" i="9"/>
  <c r="E299" i="9"/>
  <c r="E22" i="9"/>
  <c r="E19" i="9"/>
  <c r="E301" i="9"/>
  <c r="E376" i="9"/>
  <c r="E235" i="9"/>
  <c r="E347" i="9"/>
  <c r="E197" i="9"/>
  <c r="E501" i="9"/>
  <c r="E296" i="9"/>
  <c r="E450" i="9"/>
  <c r="E207" i="9"/>
  <c r="E516" i="9"/>
  <c r="E275" i="9"/>
  <c r="E127" i="9"/>
  <c r="E292" i="9"/>
  <c r="E285" i="9"/>
  <c r="E438" i="9"/>
  <c r="E228" i="9"/>
  <c r="E571" i="9"/>
  <c r="E286" i="9"/>
  <c r="E222" i="9"/>
  <c r="E519" i="9"/>
  <c r="E293" i="9"/>
  <c r="E329" i="9"/>
  <c r="E375" i="9"/>
  <c r="E337" i="9"/>
  <c r="E191" i="9"/>
  <c r="E13" i="9"/>
  <c r="E64" i="9"/>
  <c r="E302" i="9"/>
  <c r="E159" i="9"/>
  <c r="E124" i="9"/>
  <c r="E213" i="9"/>
  <c r="E43" i="9"/>
  <c r="E232" i="9"/>
  <c r="E410" i="9"/>
  <c r="E142" i="9"/>
  <c r="E535" i="9"/>
  <c r="E182" i="9"/>
  <c r="E392" i="9"/>
  <c r="E237" i="9"/>
  <c r="E274" i="9"/>
  <c r="E247" i="9"/>
  <c r="E308" i="9"/>
  <c r="E560" i="9"/>
  <c r="E254" i="9"/>
  <c r="E557" i="9"/>
  <c r="E352" i="9"/>
  <c r="E86" i="9"/>
  <c r="E371" i="9"/>
  <c r="E218" i="9"/>
  <c r="E268" i="9"/>
  <c r="E187" i="9"/>
  <c r="E412" i="9"/>
  <c r="E259" i="9"/>
  <c r="E261" i="9"/>
  <c r="E290" i="9"/>
  <c r="E517" i="9"/>
  <c r="E295" i="9"/>
  <c r="E276" i="9"/>
  <c r="E487" i="9"/>
  <c r="E195" i="9"/>
  <c r="E492" i="9"/>
  <c r="E202" i="9"/>
  <c r="E267" i="9"/>
  <c r="E119" i="9"/>
  <c r="E397" i="9"/>
  <c r="E148" i="9"/>
  <c r="E377" i="9"/>
  <c r="E108" i="9"/>
  <c r="E446" i="9"/>
  <c r="E210" i="9"/>
  <c r="E270" i="9"/>
  <c r="E533" i="9"/>
  <c r="E325" i="9"/>
  <c r="E243" i="9"/>
  <c r="E59" i="9"/>
  <c r="E309" i="9"/>
  <c r="E515" i="9"/>
  <c r="E558" i="9"/>
  <c r="E215" i="9"/>
  <c r="E217" i="9"/>
  <c r="E209" i="9"/>
  <c r="E474" i="9"/>
  <c r="E345" i="9"/>
  <c r="E393" i="9"/>
  <c r="E518" i="9"/>
  <c r="E300" i="9"/>
  <c r="E102" i="9"/>
  <c r="E355" i="9"/>
  <c r="E258" i="9"/>
  <c r="E50" i="9"/>
  <c r="E528" i="9"/>
  <c r="E107" i="9"/>
  <c r="E386" i="9"/>
  <c r="E534" i="9"/>
  <c r="E84" i="9"/>
  <c r="E362" i="9"/>
  <c r="E51" i="9"/>
  <c r="E42" i="9" l="1"/>
  <c r="D69" i="1"/>
  <c r="E411" i="9"/>
  <c r="E70" i="9"/>
  <c r="E12" i="9"/>
  <c r="E46" i="9"/>
  <c r="E67" i="6"/>
  <c r="D69" i="3"/>
  <c r="D69" i="2"/>
  <c r="D69" i="4"/>
  <c r="E429" i="9"/>
  <c r="E66" i="6"/>
  <c r="D68" i="4"/>
  <c r="D68" i="1"/>
  <c r="D68" i="3"/>
  <c r="D68" i="2"/>
  <c r="L35" i="6"/>
  <c r="E27" i="9" l="1"/>
  <c r="G200" i="9"/>
  <c r="G93" i="9"/>
  <c r="G434" i="9"/>
  <c r="G559" i="9"/>
  <c r="G129" i="9"/>
  <c r="G232" i="9"/>
  <c r="G181" i="9"/>
  <c r="G290" i="9"/>
  <c r="G273" i="9"/>
  <c r="G84" i="9"/>
  <c r="G187" i="9"/>
  <c r="G475" i="9"/>
  <c r="G257" i="9"/>
  <c r="G113" i="9"/>
  <c r="G418" i="9"/>
  <c r="G121" i="9"/>
  <c r="G312" i="9"/>
  <c r="G438" i="9"/>
  <c r="G77" i="9"/>
  <c r="G143" i="9"/>
  <c r="G417" i="9"/>
  <c r="G474" i="9"/>
  <c r="G349" i="9"/>
  <c r="G170" i="9"/>
  <c r="G337" i="9"/>
  <c r="G381" i="9"/>
  <c r="G445" i="9"/>
  <c r="G262" i="9"/>
  <c r="G266" i="9"/>
  <c r="G325" i="9"/>
  <c r="G54" i="9"/>
  <c r="G354" i="9"/>
  <c r="G404" i="9"/>
  <c r="G167" i="9"/>
  <c r="G446" i="9"/>
  <c r="G380" i="9"/>
  <c r="G115" i="9"/>
  <c r="G532" i="9"/>
  <c r="G384" i="9"/>
  <c r="G178" i="9"/>
  <c r="G127" i="9"/>
  <c r="G4" i="9"/>
  <c r="G26" i="9"/>
  <c r="G541" i="9"/>
  <c r="G554" i="9"/>
  <c r="G340" i="9"/>
  <c r="G17" i="9"/>
  <c r="G220" i="9"/>
  <c r="G402" i="9"/>
  <c r="G15" i="9"/>
  <c r="G444" i="9"/>
  <c r="G284" i="9"/>
  <c r="G274" i="9"/>
  <c r="G533" i="9"/>
  <c r="G87" i="9"/>
  <c r="G281" i="9"/>
  <c r="G487" i="9"/>
  <c r="G237" i="9"/>
  <c r="G56" i="9"/>
  <c r="G130" i="9"/>
  <c r="G144" i="9"/>
  <c r="G171" i="9"/>
  <c r="G64" i="9"/>
  <c r="G137" i="9"/>
  <c r="G148" i="9"/>
  <c r="G365" i="9"/>
  <c r="G188" i="9"/>
  <c r="G551" i="9"/>
  <c r="G323" i="9"/>
  <c r="G542" i="9"/>
  <c r="G483" i="9"/>
  <c r="G292" i="9"/>
  <c r="G351" i="9"/>
  <c r="G289" i="9"/>
  <c r="G343" i="9"/>
  <c r="G71" i="9"/>
  <c r="G355" i="9"/>
  <c r="G302" i="9"/>
  <c r="G55" i="9"/>
  <c r="G108" i="9"/>
  <c r="G369" i="9"/>
  <c r="G260" i="9"/>
  <c r="G111" i="9"/>
  <c r="G22" i="9"/>
  <c r="G524" i="9"/>
  <c r="G128" i="9"/>
  <c r="G470" i="9"/>
  <c r="G28" i="9"/>
  <c r="G208" i="9"/>
  <c r="G179" i="9"/>
  <c r="G116" i="9"/>
  <c r="G21" i="9"/>
  <c r="G239" i="9"/>
  <c r="G199" i="9"/>
  <c r="G393" i="9"/>
  <c r="G367" i="9"/>
  <c r="G519" i="9"/>
  <c r="G183" i="9"/>
  <c r="G279" i="9"/>
  <c r="G296" i="9"/>
  <c r="G447" i="9"/>
  <c r="G468" i="9"/>
  <c r="G332" i="9"/>
  <c r="G61" i="9"/>
  <c r="G458" i="9"/>
  <c r="G212" i="9"/>
  <c r="G221" i="9"/>
  <c r="G23" i="9"/>
  <c r="G571" i="9"/>
  <c r="G110" i="9"/>
  <c r="G252" i="9"/>
  <c r="G540" i="9"/>
  <c r="G500" i="9"/>
  <c r="G209" i="9"/>
  <c r="G550" i="9"/>
  <c r="G189" i="9"/>
  <c r="G520" i="9"/>
  <c r="G478" i="9"/>
  <c r="G561" i="9"/>
  <c r="G316" i="9"/>
  <c r="G139" i="9"/>
  <c r="G45" i="9"/>
  <c r="G450" i="9"/>
  <c r="G452" i="9"/>
  <c r="G564" i="9"/>
  <c r="G31" i="9"/>
  <c r="G535" i="9"/>
  <c r="G494" i="9"/>
  <c r="G267" i="9"/>
  <c r="G180" i="9"/>
  <c r="G517" i="9"/>
  <c r="G97" i="9"/>
  <c r="G356" i="9"/>
  <c r="G329" i="9"/>
  <c r="G513" i="9"/>
  <c r="G379" i="9"/>
  <c r="G101" i="9"/>
  <c r="G543" i="9"/>
  <c r="G191" i="9"/>
  <c r="G431" i="9"/>
  <c r="G211" i="9"/>
  <c r="G74" i="9"/>
  <c r="G415" i="9"/>
  <c r="G79" i="9"/>
  <c r="G24" i="9"/>
  <c r="G182" i="9"/>
  <c r="G472" i="9"/>
  <c r="G164" i="9"/>
  <c r="G538" i="9"/>
  <c r="G156" i="9"/>
  <c r="G327" i="9"/>
  <c r="G294" i="9"/>
  <c r="G556" i="9"/>
  <c r="G261" i="9"/>
  <c r="G400" i="9"/>
  <c r="G419" i="9"/>
  <c r="G217" i="9"/>
  <c r="G401" i="9"/>
  <c r="G299" i="9"/>
  <c r="G547" i="9"/>
  <c r="G253" i="9"/>
  <c r="G437" i="9"/>
  <c r="G219" i="9"/>
  <c r="G161" i="9"/>
  <c r="G210" i="9"/>
  <c r="G59" i="9"/>
  <c r="G126" i="9"/>
  <c r="G408" i="9"/>
  <c r="G120" i="9"/>
  <c r="G241" i="9"/>
  <c r="G122" i="9"/>
  <c r="G51" i="9"/>
  <c r="G268" i="9"/>
  <c r="G132" i="9"/>
  <c r="G406" i="9"/>
  <c r="G461" i="9"/>
  <c r="G134" i="9"/>
  <c r="G410" i="9"/>
  <c r="G371" i="9"/>
  <c r="G247" i="9"/>
  <c r="G282" i="9"/>
  <c r="G193" i="9"/>
  <c r="G555" i="9"/>
  <c r="G420" i="9"/>
  <c r="G548" i="9"/>
  <c r="G215" i="9"/>
  <c r="G530" i="9"/>
  <c r="G549" i="9"/>
  <c r="G125" i="9"/>
  <c r="G394" i="9"/>
  <c r="G160" i="9"/>
  <c r="G141" i="9"/>
  <c r="G225" i="9"/>
  <c r="G33" i="9"/>
  <c r="G348" i="9"/>
  <c r="G155" i="9"/>
  <c r="G91" i="9"/>
  <c r="G436" i="9"/>
  <c r="G89" i="9"/>
  <c r="G320" i="9"/>
  <c r="G275" i="9"/>
  <c r="G228" i="9"/>
  <c r="G75" i="9"/>
  <c r="G303" i="9"/>
  <c r="G362" i="9"/>
  <c r="G264" i="9"/>
  <c r="G20" i="9"/>
  <c r="G207" i="9"/>
  <c r="G184" i="9"/>
  <c r="G335" i="9"/>
  <c r="G309" i="9"/>
  <c r="G195" i="9"/>
  <c r="G523" i="9"/>
  <c r="G537" i="9"/>
  <c r="G82" i="9"/>
  <c r="G147" i="9"/>
  <c r="G529" i="9"/>
  <c r="G572" i="9"/>
  <c r="G177" i="9"/>
  <c r="G229" i="9"/>
  <c r="G430" i="9"/>
  <c r="G124" i="9"/>
  <c r="G456" i="9"/>
  <c r="G213" i="9"/>
  <c r="G185" i="9"/>
  <c r="G386" i="9"/>
  <c r="G109" i="9"/>
  <c r="G480" i="9"/>
  <c r="G374" i="9"/>
  <c r="G298" i="9"/>
  <c r="G311" i="9"/>
  <c r="G368" i="9"/>
  <c r="G396" i="9"/>
  <c r="G123" i="9"/>
  <c r="G222" i="9"/>
  <c r="G553" i="9"/>
  <c r="G168" i="9"/>
  <c r="G135" i="9"/>
  <c r="G202" i="9"/>
  <c r="G353" i="9"/>
  <c r="G224" i="9"/>
  <c r="G57" i="9"/>
  <c r="G339" i="9"/>
  <c r="G448" i="9"/>
  <c r="G140" i="9"/>
  <c r="G388" i="9"/>
  <c r="G258" i="9"/>
  <c r="G163" i="9"/>
  <c r="G359" i="9"/>
  <c r="G86" i="9"/>
  <c r="G286" i="9"/>
  <c r="G63" i="9"/>
  <c r="G103" i="9"/>
  <c r="G491" i="9"/>
  <c r="G518" i="9"/>
  <c r="G214" i="9"/>
  <c r="G352" i="9"/>
  <c r="G544" i="9"/>
  <c r="G464" i="9"/>
  <c r="G421" i="9"/>
  <c r="G414" i="9"/>
  <c r="G301" i="9"/>
  <c r="G424" i="9"/>
  <c r="G175" i="9"/>
  <c r="G300" i="9"/>
  <c r="G490" i="9"/>
  <c r="G153" i="9"/>
  <c r="G205" i="9"/>
  <c r="G157" i="9"/>
  <c r="G563" i="9"/>
  <c r="G95" i="9"/>
  <c r="G263" i="9"/>
  <c r="G271" i="9"/>
  <c r="G114" i="9"/>
  <c r="G81" i="9"/>
  <c r="G376" i="9"/>
  <c r="G197" i="9"/>
  <c r="G516" i="9"/>
  <c r="G328" i="9"/>
  <c r="G482" i="9"/>
  <c r="G166" i="9"/>
  <c r="G546" i="9"/>
  <c r="G319" i="9"/>
  <c r="G336" i="9"/>
  <c r="G107" i="9"/>
  <c r="G173" i="9"/>
  <c r="G233" i="9"/>
  <c r="G558" i="9"/>
  <c r="G387" i="9"/>
  <c r="G552" i="9"/>
  <c r="G389" i="9"/>
  <c r="G146" i="9"/>
  <c r="G373" i="9"/>
  <c r="G338" i="9"/>
  <c r="G514" i="9"/>
  <c r="G317" i="9"/>
  <c r="G254" i="9"/>
  <c r="G465" i="9"/>
  <c r="G285" i="9"/>
  <c r="G479" i="9"/>
  <c r="G230" i="9"/>
  <c r="G435" i="9"/>
  <c r="G259" i="9"/>
  <c r="G19" i="9"/>
  <c r="G280" i="9"/>
  <c r="G488" i="9"/>
  <c r="G150" i="9"/>
  <c r="G315" i="9"/>
  <c r="G76" i="9"/>
  <c r="G432" i="9"/>
  <c r="G151" i="9"/>
  <c r="G385" i="9"/>
  <c r="G201" i="9"/>
  <c r="G169" i="9"/>
  <c r="G391" i="9"/>
  <c r="G246" i="9"/>
  <c r="G390" i="9"/>
  <c r="G165" i="9"/>
  <c r="G50" i="9"/>
  <c r="G460" i="9"/>
  <c r="G287" i="9"/>
  <c r="G308" i="9"/>
  <c r="G138" i="9"/>
  <c r="G360" i="9"/>
  <c r="G361" i="9"/>
  <c r="G133" i="9"/>
  <c r="G382" i="9"/>
  <c r="G416" i="9"/>
  <c r="G223" i="9"/>
  <c r="G100" i="9"/>
  <c r="G489" i="9"/>
  <c r="G399" i="9"/>
  <c r="G48" i="9"/>
  <c r="G449" i="9"/>
  <c r="G377" i="9"/>
  <c r="G119" i="9"/>
  <c r="G92" i="9"/>
  <c r="G539" i="9"/>
  <c r="G85" i="9"/>
  <c r="G250" i="9"/>
  <c r="G94" i="9"/>
  <c r="G142" i="9"/>
  <c r="G305" i="9"/>
  <c r="G293" i="9"/>
  <c r="G288" i="9"/>
  <c r="G118" i="9"/>
  <c r="G154" i="9"/>
  <c r="G375" i="9"/>
  <c r="G69" i="9"/>
  <c r="G412" i="9"/>
  <c r="G324" i="9"/>
  <c r="G270" i="9"/>
  <c r="G276" i="9"/>
  <c r="G307" i="9"/>
  <c r="G545" i="9"/>
  <c r="G265" i="9"/>
  <c r="G159" i="9"/>
  <c r="G357" i="9"/>
  <c r="G235" i="9"/>
  <c r="G83" i="9"/>
  <c r="G534" i="9"/>
  <c r="G462" i="9"/>
  <c r="G251" i="9"/>
  <c r="G44" i="9"/>
  <c r="G78" i="9"/>
  <c r="G145" i="9"/>
  <c r="G304" i="9"/>
  <c r="G395" i="9"/>
  <c r="G476" i="9"/>
  <c r="G291" i="9"/>
  <c r="G283" i="9"/>
  <c r="G525" i="9"/>
  <c r="G531" i="9"/>
  <c r="G245" i="9"/>
  <c r="G501" i="9"/>
  <c r="G440" i="9"/>
  <c r="G203" i="9"/>
  <c r="G192" i="9"/>
  <c r="G231" i="9"/>
  <c r="G190" i="9"/>
  <c r="G557" i="9"/>
  <c r="G347" i="9"/>
  <c r="G306" i="9"/>
  <c r="G269" i="9"/>
  <c r="G278" i="9"/>
  <c r="G397" i="9"/>
  <c r="G321" i="9"/>
  <c r="G152" i="9"/>
  <c r="G526" i="9"/>
  <c r="G53" i="9"/>
  <c r="G297" i="9"/>
  <c r="G158" i="9"/>
  <c r="G136" i="9"/>
  <c r="G515" i="9"/>
  <c r="G105" i="9"/>
  <c r="G528" i="9"/>
  <c r="G484" i="9"/>
  <c r="G65" i="9"/>
  <c r="G72" i="9"/>
  <c r="G426" i="9"/>
  <c r="G102" i="9"/>
  <c r="G536" i="9"/>
  <c r="G341" i="9"/>
  <c r="G466" i="9"/>
  <c r="G562" i="9"/>
  <c r="G243" i="9"/>
  <c r="G342" i="9"/>
  <c r="G73" i="9"/>
  <c r="G13" i="9"/>
  <c r="G363" i="9"/>
  <c r="G522" i="9"/>
  <c r="G333" i="9"/>
  <c r="G255" i="9"/>
  <c r="G131" i="9"/>
  <c r="G149" i="9"/>
  <c r="G186" i="9"/>
  <c r="G428" i="9"/>
  <c r="G99" i="9"/>
  <c r="G117" i="9"/>
  <c r="G392" i="9"/>
  <c r="G218" i="9"/>
  <c r="G398" i="9"/>
  <c r="G32" i="9"/>
  <c r="G67" i="9"/>
  <c r="G345" i="9"/>
  <c r="G11" i="9"/>
  <c r="G162" i="9"/>
  <c r="G443" i="9"/>
  <c r="G249" i="9"/>
  <c r="G295" i="9"/>
  <c r="G194" i="9"/>
  <c r="G364" i="9"/>
  <c r="G331" i="9"/>
  <c r="G25" i="9"/>
  <c r="G227" i="9"/>
  <c r="G492" i="9"/>
  <c r="G313" i="9"/>
  <c r="G486" i="9"/>
  <c r="G454" i="9"/>
  <c r="G521" i="9"/>
  <c r="G527" i="9"/>
  <c r="G272" i="9"/>
  <c r="G442" i="9"/>
  <c r="G560" i="9"/>
  <c r="G277" i="9"/>
  <c r="G174" i="9"/>
  <c r="G172" i="9"/>
  <c r="D50" i="4"/>
  <c r="E48" i="6"/>
  <c r="D50" i="3"/>
  <c r="D50" i="2"/>
  <c r="D50" i="1"/>
  <c r="G43" i="9"/>
  <c r="G42" i="9"/>
  <c r="D22" i="1"/>
  <c r="D22" i="4"/>
  <c r="D22" i="3"/>
  <c r="D22" i="2"/>
  <c r="E17" i="6"/>
  <c r="G46" i="9" l="1"/>
  <c r="G70" i="9"/>
  <c r="G27" i="9"/>
  <c r="G429" i="9"/>
  <c r="G411" i="9"/>
  <c r="G12" i="9"/>
  <c r="J35" i="6" l="1"/>
  <c r="I35" i="6" l="1"/>
  <c r="N35" i="6"/>
  <c r="K35" i="6" l="1"/>
  <c r="D55" i="4" l="1"/>
  <c r="D55" i="1"/>
  <c r="D55" i="3"/>
  <c r="D55" i="2"/>
  <c r="E570" i="9" l="1"/>
  <c r="G570" i="9" l="1"/>
  <c r="G55" i="3" l="1"/>
  <c r="O55" i="3" s="1"/>
  <c r="J573" i="9" l="1"/>
  <c r="J570" i="9"/>
  <c r="J4" i="9" l="1"/>
  <c r="E318" i="9" l="1"/>
  <c r="E60" i="9"/>
  <c r="E96" i="9"/>
  <c r="E238" i="9"/>
  <c r="E366" i="9"/>
  <c r="E344" i="9"/>
  <c r="E14" i="9"/>
  <c r="G55" i="4"/>
  <c r="G55" i="1"/>
  <c r="H55" i="3"/>
  <c r="E112" i="9"/>
  <c r="E66" i="9"/>
  <c r="E8" i="9"/>
  <c r="E88" i="9"/>
  <c r="H22" i="3"/>
  <c r="G22" i="4"/>
  <c r="G22" i="1"/>
  <c r="E471" i="9"/>
  <c r="E240" i="9"/>
  <c r="E322" i="9"/>
  <c r="E427" i="9"/>
  <c r="E469" i="9"/>
  <c r="E206" i="9"/>
  <c r="E236" i="9"/>
  <c r="E198" i="9"/>
  <c r="E10" i="9"/>
  <c r="E98" i="9"/>
  <c r="E326" i="9"/>
  <c r="E204" i="9"/>
  <c r="E6" i="9"/>
  <c r="E30" i="9"/>
  <c r="E68" i="9"/>
  <c r="E493" i="9"/>
  <c r="H83" i="3"/>
  <c r="E330" i="9"/>
  <c r="E334" i="9"/>
  <c r="E455" i="9"/>
  <c r="E58" i="9"/>
  <c r="E106" i="9"/>
  <c r="H50" i="3"/>
  <c r="E244" i="9"/>
  <c r="E346" i="9"/>
  <c r="K74" i="6"/>
  <c r="E62" i="9"/>
  <c r="E463" i="9"/>
  <c r="H70" i="3"/>
  <c r="G71" i="4"/>
  <c r="G70" i="1"/>
  <c r="E226" i="9"/>
  <c r="E459" i="9"/>
  <c r="E473" i="9"/>
  <c r="E242" i="9"/>
  <c r="E7" i="9"/>
  <c r="E453" i="9"/>
  <c r="G459" i="9" l="1"/>
  <c r="G463" i="9"/>
  <c r="G244" i="9"/>
  <c r="G206" i="9"/>
  <c r="G471" i="9"/>
  <c r="G242" i="9"/>
  <c r="G96" i="9"/>
  <c r="G204" i="9"/>
  <c r="G198" i="9"/>
  <c r="G66" i="9"/>
  <c r="G346" i="9"/>
  <c r="G236" i="9"/>
  <c r="G427" i="9"/>
  <c r="G238" i="9"/>
  <c r="G455" i="9"/>
  <c r="G330" i="9"/>
  <c r="G68" i="9"/>
  <c r="G6" i="9"/>
  <c r="G8" i="9"/>
  <c r="G112" i="9"/>
  <c r="G318" i="9"/>
  <c r="G60" i="9"/>
  <c r="G226" i="9"/>
  <c r="G62" i="9"/>
  <c r="G30" i="9"/>
  <c r="G344" i="9"/>
  <c r="G58" i="9"/>
  <c r="G453" i="9"/>
  <c r="G106" i="9"/>
  <c r="G334" i="9"/>
  <c r="G326" i="9"/>
  <c r="G10" i="9"/>
  <c r="G98" i="9"/>
  <c r="G469" i="9"/>
  <c r="G322" i="9"/>
  <c r="G88" i="9"/>
  <c r="G366" i="9"/>
  <c r="G14" i="9"/>
  <c r="G7" i="9"/>
  <c r="G473" i="9"/>
  <c r="G493" i="9"/>
  <c r="G240" i="9"/>
  <c r="E16" i="9"/>
  <c r="E18" i="9"/>
  <c r="E47" i="9"/>
  <c r="E176" i="9"/>
  <c r="E314" i="9"/>
  <c r="O55" i="4"/>
  <c r="E216" i="9"/>
  <c r="O71" i="4"/>
  <c r="E405" i="9"/>
  <c r="E80" i="9"/>
  <c r="E370" i="9"/>
  <c r="E457" i="9"/>
  <c r="E90" i="9"/>
  <c r="E383" i="9"/>
  <c r="P70" i="3"/>
  <c r="I70" i="3"/>
  <c r="Q70" i="3" s="1"/>
  <c r="E403" i="9"/>
  <c r="P83" i="3"/>
  <c r="E467" i="9"/>
  <c r="E413" i="9"/>
  <c r="O22" i="4"/>
  <c r="E104" i="9"/>
  <c r="E248" i="9"/>
  <c r="E29" i="9"/>
  <c r="E423" i="9"/>
  <c r="E196" i="9"/>
  <c r="I22" i="3"/>
  <c r="Q22" i="3" s="1"/>
  <c r="P22" i="3"/>
  <c r="E52" i="9"/>
  <c r="E433" i="9"/>
  <c r="E407" i="9"/>
  <c r="E378" i="9"/>
  <c r="E409" i="9"/>
  <c r="E350" i="9"/>
  <c r="E5" i="9"/>
  <c r="E256" i="9"/>
  <c r="E358" i="9"/>
  <c r="E41" i="9"/>
  <c r="P50" i="3"/>
  <c r="E451" i="9"/>
  <c r="E485" i="9"/>
  <c r="E441" i="9"/>
  <c r="I55" i="3"/>
  <c r="Q55" i="3" s="1"/>
  <c r="P55" i="3"/>
  <c r="E9" i="9"/>
  <c r="E481" i="9"/>
  <c r="E234" i="9"/>
  <c r="E372" i="9"/>
  <c r="E310" i="9"/>
  <c r="E425" i="9"/>
  <c r="E439" i="9"/>
  <c r="E34" i="9"/>
  <c r="G413" i="9" l="1"/>
  <c r="G80" i="9"/>
  <c r="H22" i="1"/>
  <c r="I22" i="1" s="1"/>
  <c r="O22" i="1" s="1"/>
  <c r="E22" i="3"/>
  <c r="R22" i="3" s="1"/>
  <c r="E22" i="2"/>
  <c r="E22" i="1"/>
  <c r="E22" i="4"/>
  <c r="G9" i="9"/>
  <c r="G372" i="9"/>
  <c r="G234" i="9"/>
  <c r="G5" i="9"/>
  <c r="G248" i="9"/>
  <c r="G370" i="9"/>
  <c r="G314" i="9"/>
  <c r="G34" i="9"/>
  <c r="G441" i="9"/>
  <c r="G196" i="9"/>
  <c r="G47" i="9"/>
  <c r="E71" i="4"/>
  <c r="G481" i="9"/>
  <c r="G358" i="9"/>
  <c r="G407" i="9"/>
  <c r="G433" i="9"/>
  <c r="G104" i="9"/>
  <c r="G90" i="9"/>
  <c r="G16" i="9"/>
  <c r="G41" i="9"/>
  <c r="G423" i="9"/>
  <c r="G467" i="9"/>
  <c r="G403" i="9"/>
  <c r="G216" i="9"/>
  <c r="G176" i="9"/>
  <c r="G451" i="9"/>
  <c r="G350" i="9"/>
  <c r="G29" i="9"/>
  <c r="G383" i="9"/>
  <c r="G439" i="9"/>
  <c r="G310" i="9"/>
  <c r="G425" i="9"/>
  <c r="G485" i="9"/>
  <c r="G256" i="9"/>
  <c r="G409" i="9"/>
  <c r="G52" i="9"/>
  <c r="G405" i="9"/>
  <c r="G18" i="9"/>
  <c r="G378" i="9"/>
  <c r="G457" i="9"/>
  <c r="E72" i="6" l="1"/>
  <c r="G503" i="9" l="1"/>
  <c r="E503" i="9"/>
  <c r="E565" i="9"/>
  <c r="E505" i="9"/>
  <c r="G565" i="9" l="1"/>
  <c r="G505" i="9"/>
  <c r="E569" i="9" l="1"/>
  <c r="E567" i="9"/>
  <c r="E507" i="9"/>
  <c r="E509" i="9"/>
  <c r="E511" i="9"/>
  <c r="G569" i="9" l="1"/>
  <c r="E568" i="9"/>
  <c r="E566" i="9"/>
  <c r="J569" i="9" l="1"/>
  <c r="G507" i="9"/>
  <c r="G509" i="9"/>
  <c r="G568" i="9"/>
  <c r="E74" i="6"/>
  <c r="G74" i="6"/>
  <c r="J568" i="9" l="1"/>
  <c r="L74" i="6"/>
  <c r="G566" i="9"/>
  <c r="F74" i="6"/>
  <c r="J566" i="9" l="1"/>
  <c r="G567" i="9"/>
  <c r="J567" i="9" l="1"/>
  <c r="G511" i="9" l="1"/>
  <c r="E36" i="9" l="1"/>
  <c r="E38" i="9" l="1"/>
  <c r="E40" i="9"/>
  <c r="G49" i="9"/>
  <c r="E37" i="9"/>
  <c r="E49" i="9"/>
  <c r="G38" i="9"/>
  <c r="E39" i="9"/>
  <c r="G37" i="9" l="1"/>
  <c r="E35" i="9"/>
  <c r="G39" i="9"/>
  <c r="G40" i="9"/>
  <c r="G36" i="9"/>
  <c r="G43" i="6"/>
  <c r="E43" i="6"/>
  <c r="K43" i="6" l="1"/>
  <c r="E477" i="9"/>
  <c r="G35" i="9"/>
  <c r="G477" i="9"/>
  <c r="F43" i="6"/>
  <c r="E422" i="9" l="1"/>
  <c r="G422" i="9" l="1"/>
  <c r="E3" i="9" l="1"/>
  <c r="G3" i="9" l="1"/>
  <c r="J3" i="9" l="1"/>
  <c r="E506" i="9" l="1"/>
  <c r="E512" i="9"/>
  <c r="E510" i="9"/>
  <c r="E508" i="9"/>
  <c r="E504" i="9"/>
  <c r="G512" i="9" l="1"/>
  <c r="G508" i="9"/>
  <c r="G504" i="9"/>
  <c r="G510" i="9"/>
  <c r="G506" i="9"/>
  <c r="E502" i="9" l="1"/>
  <c r="E1" i="9" s="1"/>
  <c r="G502" i="9" l="1"/>
  <c r="G1" i="9" s="1"/>
  <c r="I512" i="9" l="1"/>
  <c r="H116" i="2"/>
  <c r="H115" i="2"/>
  <c r="I510" i="9"/>
  <c r="I508" i="9"/>
  <c r="H114" i="2"/>
  <c r="P115" i="2" l="1"/>
  <c r="P116" i="2"/>
  <c r="P114" i="2"/>
  <c r="H113" i="2"/>
  <c r="P113" i="2" l="1"/>
  <c r="P129" i="2" s="1"/>
  <c r="H129" i="2"/>
  <c r="K17" i="12" l="1"/>
  <c r="E17" i="12"/>
  <c r="H168" i="9" l="1"/>
  <c r="H75" i="9"/>
  <c r="H127" i="9"/>
  <c r="H290" i="9"/>
  <c r="H63" i="9"/>
  <c r="H79" i="9"/>
  <c r="H97" i="9"/>
  <c r="H557" i="9"/>
  <c r="H556" i="9"/>
  <c r="H472" i="9"/>
  <c r="H553" i="9"/>
  <c r="H493" i="9"/>
  <c r="H454" i="9"/>
  <c r="H93" i="9"/>
  <c r="H193" i="9"/>
  <c r="H283" i="9"/>
  <c r="H459" i="9"/>
  <c r="H114" i="9"/>
  <c r="H139" i="9"/>
  <c r="H156" i="9"/>
  <c r="H522" i="9"/>
  <c r="H172" i="9"/>
  <c r="H189" i="9"/>
  <c r="H198" i="9"/>
  <c r="H207" i="9"/>
  <c r="H570" i="9"/>
  <c r="H245" i="9"/>
  <c r="H273" i="9"/>
  <c r="H350" i="9"/>
  <c r="H359" i="9"/>
  <c r="H368" i="9"/>
  <c r="H383" i="9"/>
  <c r="H390" i="9"/>
  <c r="H397" i="9"/>
  <c r="H462" i="9"/>
  <c r="H385" i="9"/>
  <c r="H67" i="9"/>
  <c r="H91" i="9"/>
  <c r="H108" i="9"/>
  <c r="H117" i="9"/>
  <c r="H126" i="9"/>
  <c r="H143" i="9"/>
  <c r="H152" i="9"/>
  <c r="H161" i="9"/>
  <c r="H482" i="9"/>
  <c r="H181" i="9"/>
  <c r="H527" i="9"/>
  <c r="H515" i="9"/>
  <c r="H53" i="9"/>
  <c r="H62" i="9"/>
  <c r="H87" i="9"/>
  <c r="H96" i="9"/>
  <c r="H105" i="9"/>
  <c r="H564" i="9"/>
  <c r="H562" i="9"/>
  <c r="H59" i="9"/>
  <c r="H208" i="9"/>
  <c r="H233" i="9"/>
  <c r="H250" i="9"/>
  <c r="H259" i="9"/>
  <c r="H268" i="9"/>
  <c r="H285" i="9"/>
  <c r="H294" i="9"/>
  <c r="H303" i="9"/>
  <c r="H280" i="9"/>
  <c r="H258" i="9"/>
  <c r="H267" i="9"/>
  <c r="H276" i="9"/>
  <c r="H293" i="9"/>
  <c r="H302" i="9"/>
  <c r="H309" i="9"/>
  <c r="H340" i="9"/>
  <c r="H98" i="9"/>
  <c r="H123" i="9"/>
  <c r="H140" i="9"/>
  <c r="H149" i="9"/>
  <c r="H158" i="9"/>
  <c r="H173" i="9"/>
  <c r="H182" i="9"/>
  <c r="H191" i="9"/>
  <c r="H508" i="9"/>
  <c r="H481" i="9"/>
  <c r="H56" i="9"/>
  <c r="H274" i="9"/>
  <c r="H92" i="9"/>
  <c r="H145" i="9"/>
  <c r="H83" i="9"/>
  <c r="H321" i="9"/>
  <c r="H339" i="9"/>
  <c r="H484" i="9"/>
  <c r="H54" i="9"/>
  <c r="H88" i="9"/>
  <c r="H356" i="9"/>
  <c r="H102" i="9"/>
  <c r="H210" i="9"/>
  <c r="H292" i="9"/>
  <c r="H307" i="9"/>
  <c r="H176" i="9"/>
  <c r="H201" i="9"/>
  <c r="H218" i="9"/>
  <c r="H227" i="9"/>
  <c r="H236" i="9"/>
  <c r="H253" i="9"/>
  <c r="H262" i="9"/>
  <c r="H271" i="9"/>
  <c r="H559" i="9"/>
  <c r="H65" i="9"/>
  <c r="H393" i="9"/>
  <c r="H534" i="9"/>
  <c r="H539" i="9"/>
  <c r="H419" i="9"/>
  <c r="H426" i="9"/>
  <c r="H435" i="9"/>
  <c r="H444" i="9"/>
  <c r="H566" i="9"/>
  <c r="H130" i="9"/>
  <c r="H155" i="9"/>
  <c r="H170" i="9"/>
  <c r="H179" i="9"/>
  <c r="H188" i="9"/>
  <c r="H205" i="9"/>
  <c r="H214" i="9"/>
  <c r="H223" i="9"/>
  <c r="H147" i="9"/>
  <c r="H99" i="9"/>
  <c r="H116" i="9"/>
  <c r="H125" i="9"/>
  <c r="H134" i="9"/>
  <c r="H151" i="9"/>
  <c r="H160" i="9"/>
  <c r="H167" i="9"/>
  <c r="H490" i="9"/>
  <c r="H369" i="9"/>
  <c r="H248" i="9"/>
  <c r="H272" i="9"/>
  <c r="H297" i="9"/>
  <c r="H319" i="9"/>
  <c r="H328" i="9"/>
  <c r="H345" i="9"/>
  <c r="H354" i="9"/>
  <c r="H363" i="9"/>
  <c r="H565" i="9"/>
  <c r="H398" i="9"/>
  <c r="H318" i="9"/>
  <c r="H327" i="9"/>
  <c r="H336" i="9"/>
  <c r="H353" i="9"/>
  <c r="H362" i="9"/>
  <c r="H371" i="9"/>
  <c r="H445" i="9"/>
  <c r="H162" i="9"/>
  <c r="H185" i="9"/>
  <c r="H202" i="9"/>
  <c r="H211" i="9"/>
  <c r="H220" i="9"/>
  <c r="H237" i="9"/>
  <c r="H246" i="9"/>
  <c r="H255" i="9"/>
  <c r="H483" i="9"/>
  <c r="H68" i="9"/>
  <c r="H257" i="9"/>
  <c r="H343" i="9"/>
  <c r="H64" i="9"/>
  <c r="H81" i="9"/>
  <c r="H479" i="9"/>
  <c r="H84" i="9"/>
  <c r="H352" i="9"/>
  <c r="H101" i="9"/>
  <c r="H136" i="9"/>
  <c r="H467" i="9"/>
  <c r="H299" i="9"/>
  <c r="H379" i="9"/>
  <c r="H131" i="9"/>
  <c r="H219" i="9"/>
  <c r="H106" i="9"/>
  <c r="H128" i="9"/>
  <c r="H240" i="9"/>
  <c r="H265" i="9"/>
  <c r="H282" i="9"/>
  <c r="H291" i="9"/>
  <c r="H300" i="9"/>
  <c r="H315" i="9"/>
  <c r="H322" i="9"/>
  <c r="H331" i="9"/>
  <c r="H376" i="9"/>
  <c r="H438" i="9"/>
  <c r="H554" i="9"/>
  <c r="H457" i="9"/>
  <c r="G109" i="2"/>
  <c r="H494" i="9"/>
  <c r="H192" i="9"/>
  <c r="H217" i="9"/>
  <c r="H234" i="9"/>
  <c r="H243" i="9"/>
  <c r="H252" i="9"/>
  <c r="H269" i="9"/>
  <c r="H278" i="9"/>
  <c r="H287" i="9"/>
  <c r="H509" i="9"/>
  <c r="H254" i="9"/>
  <c r="H163" i="9"/>
  <c r="H178" i="9"/>
  <c r="H187" i="9"/>
  <c r="H196" i="9"/>
  <c r="H213" i="9"/>
  <c r="H222" i="9"/>
  <c r="H231" i="9"/>
  <c r="H460" i="9"/>
  <c r="H190" i="9"/>
  <c r="H332" i="9"/>
  <c r="H357" i="9"/>
  <c r="H372" i="9"/>
  <c r="H381" i="9"/>
  <c r="H388" i="9"/>
  <c r="H401" i="9"/>
  <c r="H536" i="9"/>
  <c r="H541" i="9"/>
  <c r="H485" i="9"/>
  <c r="H52" i="9"/>
  <c r="H380" i="9"/>
  <c r="H387" i="9"/>
  <c r="H396" i="9"/>
  <c r="H406" i="9"/>
  <c r="H540" i="9"/>
  <c r="H416" i="9"/>
  <c r="H561" i="9"/>
  <c r="H115" i="9"/>
  <c r="H224" i="9"/>
  <c r="H249" i="9"/>
  <c r="H266" i="9"/>
  <c r="H275" i="9"/>
  <c r="H284" i="9"/>
  <c r="H301" i="9"/>
  <c r="H308" i="9"/>
  <c r="H317" i="9"/>
  <c r="H461" i="9"/>
  <c r="H110" i="9"/>
  <c r="H306" i="9"/>
  <c r="H330" i="9"/>
  <c r="H137" i="9"/>
  <c r="H394" i="9"/>
  <c r="H148" i="9"/>
  <c r="H228" i="9"/>
  <c r="H296" i="9"/>
  <c r="H304" i="9"/>
  <c r="H325" i="9"/>
  <c r="H342" i="9"/>
  <c r="H351" i="9"/>
  <c r="H360" i="9"/>
  <c r="H375" i="9"/>
  <c r="H384" i="9"/>
  <c r="H391" i="9"/>
  <c r="H263" i="9"/>
  <c r="H55" i="9"/>
  <c r="H71" i="9"/>
  <c r="H80" i="9"/>
  <c r="H489" i="9"/>
  <c r="H487" i="9"/>
  <c r="H184" i="9"/>
  <c r="H281" i="9"/>
  <c r="H298" i="9"/>
  <c r="H524" i="9"/>
  <c r="H329" i="9"/>
  <c r="H338" i="9"/>
  <c r="H347" i="9"/>
  <c r="H492" i="9"/>
  <c r="H73" i="9"/>
  <c r="H200" i="9"/>
  <c r="H225" i="9"/>
  <c r="H242" i="9"/>
  <c r="H251" i="9"/>
  <c r="H260" i="9"/>
  <c r="H277" i="9"/>
  <c r="H286" i="9"/>
  <c r="H295" i="9"/>
  <c r="H567" i="9"/>
  <c r="H421" i="9"/>
  <c r="H74" i="9"/>
  <c r="H392" i="9"/>
  <c r="H408" i="9"/>
  <c r="H417" i="9"/>
  <c r="H441" i="9"/>
  <c r="H549" i="9"/>
  <c r="H452" i="9"/>
  <c r="H480" i="9"/>
  <c r="H471" i="9"/>
  <c r="H241" i="9"/>
  <c r="H423" i="9"/>
  <c r="H432" i="9"/>
  <c r="H548" i="9"/>
  <c r="H451" i="9"/>
  <c r="H473" i="9"/>
  <c r="H488" i="9"/>
  <c r="H555" i="9"/>
  <c r="H177" i="9"/>
  <c r="H288" i="9"/>
  <c r="H311" i="9"/>
  <c r="H326" i="9"/>
  <c r="H335" i="9"/>
  <c r="H344" i="9"/>
  <c r="H361" i="9"/>
  <c r="H370" i="9"/>
  <c r="H377" i="9"/>
  <c r="H568" i="9"/>
  <c r="H531" i="9"/>
  <c r="H157" i="9"/>
  <c r="H526" i="9"/>
  <c r="H364" i="9"/>
  <c r="H400" i="9"/>
  <c r="H535" i="9"/>
  <c r="H542" i="9"/>
  <c r="H420" i="9"/>
  <c r="H427" i="9"/>
  <c r="H436" i="9"/>
  <c r="H100" i="9"/>
  <c r="H109" i="9"/>
  <c r="H118" i="9"/>
  <c r="H135" i="9"/>
  <c r="H144" i="9"/>
  <c r="H153" i="9"/>
  <c r="H475" i="9"/>
  <c r="H119" i="9"/>
  <c r="H544" i="9"/>
  <c r="H525" i="9"/>
  <c r="H341" i="9"/>
  <c r="H358" i="9"/>
  <c r="H367" i="9"/>
  <c r="H374" i="9"/>
  <c r="H389" i="9"/>
  <c r="H530" i="9"/>
  <c r="H533" i="9"/>
  <c r="H470" i="9"/>
  <c r="H323" i="9"/>
  <c r="H264" i="9"/>
  <c r="H289" i="9"/>
  <c r="H523" i="9"/>
  <c r="H313" i="9"/>
  <c r="H320" i="9"/>
  <c r="H337" i="9"/>
  <c r="H346" i="9"/>
  <c r="H355" i="9"/>
  <c r="H560" i="9"/>
  <c r="H199" i="9"/>
  <c r="H138" i="9"/>
  <c r="H437" i="9"/>
  <c r="H455" i="9"/>
  <c r="H305" i="9"/>
  <c r="H58" i="9"/>
  <c r="H458" i="9"/>
  <c r="H365" i="9"/>
  <c r="H348" i="9"/>
  <c r="H528" i="9"/>
  <c r="H395" i="9"/>
  <c r="H532" i="9"/>
  <c r="H410" i="9"/>
  <c r="H415" i="9"/>
  <c r="H503" i="9"/>
  <c r="H448" i="9"/>
  <c r="H547" i="9"/>
  <c r="H563" i="9"/>
  <c r="H164" i="9"/>
  <c r="H232" i="9"/>
  <c r="H334" i="9"/>
  <c r="H491" i="9"/>
  <c r="H430" i="9"/>
  <c r="H447" i="9"/>
  <c r="H449" i="9"/>
  <c r="H506" i="9"/>
  <c r="H122" i="9"/>
  <c r="H521" i="9"/>
  <c r="H171" i="9"/>
  <c r="H180" i="9"/>
  <c r="H206" i="9"/>
  <c r="H215" i="9"/>
  <c r="H543" i="9"/>
  <c r="H209" i="9"/>
  <c r="H399" i="9"/>
  <c r="H538" i="9"/>
  <c r="H414" i="9"/>
  <c r="H434" i="9"/>
  <c r="H443" i="9"/>
  <c r="H551" i="9"/>
  <c r="H474" i="9"/>
  <c r="H324" i="9"/>
  <c r="H349" i="9"/>
  <c r="H382" i="9"/>
  <c r="H529" i="9"/>
  <c r="H402" i="9"/>
  <c r="H537" i="9"/>
  <c r="H478" i="9"/>
  <c r="H428" i="9"/>
  <c r="H518" i="9"/>
  <c r="H61" i="9"/>
  <c r="H520" i="9"/>
  <c r="H78" i="9"/>
  <c r="H95" i="9"/>
  <c r="H113" i="9"/>
  <c r="H507" i="9"/>
  <c r="H412" i="9"/>
  <c r="H77" i="9"/>
  <c r="H86" i="9"/>
  <c r="H103" i="9"/>
  <c r="H112" i="9"/>
  <c r="H121" i="9"/>
  <c r="H545" i="9"/>
  <c r="H431" i="9"/>
  <c r="H440" i="9"/>
  <c r="H450" i="9"/>
  <c r="H465" i="9"/>
  <c r="H500" i="9"/>
  <c r="H72" i="9"/>
  <c r="H226" i="9"/>
  <c r="H244" i="9"/>
  <c r="H261" i="9"/>
  <c r="H270" i="9"/>
  <c r="H279" i="9"/>
  <c r="H316" i="9"/>
  <c r="H333" i="9"/>
  <c r="H546" i="9"/>
  <c r="H446" i="9"/>
  <c r="H456" i="9"/>
  <c r="H569" i="9"/>
  <c r="H469" i="9"/>
  <c r="H386" i="9"/>
  <c r="H404" i="9"/>
  <c r="H418" i="9"/>
  <c r="H550" i="9"/>
  <c r="H82" i="9"/>
  <c r="H107" i="9"/>
  <c r="H124" i="9"/>
  <c r="H133" i="9"/>
  <c r="H142" i="9"/>
  <c r="H159" i="9"/>
  <c r="H166" i="9"/>
  <c r="H175" i="9"/>
  <c r="H558" i="9"/>
  <c r="H69" i="9"/>
  <c r="H141" i="9"/>
  <c r="H150" i="9"/>
  <c r="H165" i="9"/>
  <c r="H183" i="9"/>
  <c r="H501" i="9"/>
  <c r="H132" i="9"/>
  <c r="H552" i="9"/>
  <c r="H57" i="9"/>
  <c r="H66" i="9"/>
  <c r="H466" i="9"/>
  <c r="H464" i="9"/>
  <c r="H511" i="9"/>
  <c r="H146" i="9"/>
  <c r="H169" i="9"/>
  <c r="H186" i="9"/>
  <c r="H195" i="9"/>
  <c r="H204" i="9"/>
  <c r="H221" i="9"/>
  <c r="H230" i="9"/>
  <c r="H239" i="9"/>
  <c r="H194" i="9"/>
  <c r="H203" i="9"/>
  <c r="H212" i="9"/>
  <c r="H229" i="9"/>
  <c r="H238" i="9"/>
  <c r="H247" i="9"/>
  <c r="H476" i="9"/>
  <c r="H154" i="9"/>
  <c r="H76" i="9"/>
  <c r="H85" i="9"/>
  <c r="H94" i="9"/>
  <c r="H111" i="9"/>
  <c r="H120" i="9"/>
  <c r="H129" i="9"/>
  <c r="H312" i="9"/>
  <c r="G93" i="2"/>
  <c r="G80" i="2"/>
  <c r="H429" i="9"/>
  <c r="O80" i="2" l="1"/>
  <c r="O93" i="2"/>
  <c r="K114" i="1"/>
  <c r="G114" i="2"/>
  <c r="I114" i="2" s="1"/>
  <c r="H114" i="4"/>
  <c r="J508" i="9"/>
  <c r="K508" i="9" s="1"/>
  <c r="G43" i="2"/>
  <c r="O43" i="2" s="1"/>
  <c r="G42" i="2"/>
  <c r="O42" i="2" s="1"/>
  <c r="H504" i="9"/>
  <c r="G75" i="2"/>
  <c r="O75" i="2" s="1"/>
  <c r="G54" i="2"/>
  <c r="O54" i="2" s="1"/>
  <c r="H407" i="9"/>
  <c r="H424" i="9"/>
  <c r="G86" i="2"/>
  <c r="O86" i="2" s="1"/>
  <c r="H453" i="9"/>
  <c r="G96" i="2"/>
  <c r="O96" i="2" s="1"/>
  <c r="H403" i="9"/>
  <c r="G36" i="2"/>
  <c r="O36" i="2" s="1"/>
  <c r="J572" i="9"/>
  <c r="H572" i="9"/>
  <c r="H60" i="9"/>
  <c r="G20" i="2"/>
  <c r="H512" i="9"/>
  <c r="G116" i="2"/>
  <c r="O116" i="2" s="1"/>
  <c r="J512" i="9"/>
  <c r="K116" i="1"/>
  <c r="H116" i="4"/>
  <c r="H486" i="9"/>
  <c r="G97" i="2"/>
  <c r="O97" i="2" s="1"/>
  <c r="G110" i="2"/>
  <c r="O110" i="2" s="1"/>
  <c r="H505" i="9"/>
  <c r="H366" i="9"/>
  <c r="G41" i="2"/>
  <c r="O41" i="2" s="1"/>
  <c r="H425" i="9"/>
  <c r="G82" i="2"/>
  <c r="O82" i="2" s="1"/>
  <c r="H502" i="9"/>
  <c r="H373" i="9"/>
  <c r="G44" i="2"/>
  <c r="O44" i="2" s="1"/>
  <c r="H216" i="9"/>
  <c r="G52" i="2"/>
  <c r="O52" i="2" s="1"/>
  <c r="H442" i="9"/>
  <c r="G84" i="2"/>
  <c r="O84" i="2" s="1"/>
  <c r="H314" i="9"/>
  <c r="G40" i="2"/>
  <c r="O40" i="2" s="1"/>
  <c r="H89" i="9"/>
  <c r="G22" i="2"/>
  <c r="O22" i="2" s="1"/>
  <c r="H90" i="9"/>
  <c r="G23" i="2"/>
  <c r="O23" i="2" s="1"/>
  <c r="G24" i="2"/>
  <c r="O24" i="2" s="1"/>
  <c r="H104" i="9"/>
  <c r="H111" i="4"/>
  <c r="P111" i="4" s="1"/>
  <c r="K111" i="1"/>
  <c r="G111" i="2"/>
  <c r="O111" i="2" s="1"/>
  <c r="J74" i="6"/>
  <c r="I74" i="6" s="1"/>
  <c r="G81" i="2"/>
  <c r="O81" i="2" s="1"/>
  <c r="H433" i="9"/>
  <c r="G32" i="2"/>
  <c r="O32" i="2" s="1"/>
  <c r="H413" i="9"/>
  <c r="H235" i="9"/>
  <c r="G53" i="2"/>
  <c r="O53" i="2" s="1"/>
  <c r="H378" i="9"/>
  <c r="G74" i="2"/>
  <c r="O74" i="2" s="1"/>
  <c r="G33" i="2"/>
  <c r="O33" i="2" s="1"/>
  <c r="H411" i="9"/>
  <c r="G83" i="2"/>
  <c r="O83" i="2" s="1"/>
  <c r="H439" i="9"/>
  <c r="H197" i="9"/>
  <c r="G51" i="2"/>
  <c r="O51" i="2" s="1"/>
  <c r="H405" i="9"/>
  <c r="H573" i="9"/>
  <c r="K573" i="9" s="1"/>
  <c r="H256" i="9"/>
  <c r="G55" i="2"/>
  <c r="O55" i="2" s="1"/>
  <c r="K115" i="1"/>
  <c r="H115" i="4"/>
  <c r="J510" i="9"/>
  <c r="H510" i="9"/>
  <c r="G115" i="2"/>
  <c r="H468" i="9"/>
  <c r="G94" i="2"/>
  <c r="O94" i="2" s="1"/>
  <c r="H174" i="9"/>
  <c r="G50" i="2"/>
  <c r="H463" i="9"/>
  <c r="G95" i="2"/>
  <c r="O95" i="2" s="1"/>
  <c r="G39" i="2"/>
  <c r="H310" i="9"/>
  <c r="G21" i="2"/>
  <c r="O21" i="2" s="1"/>
  <c r="H70" i="9"/>
  <c r="O109" i="2"/>
  <c r="O50" i="2" l="1"/>
  <c r="O49" i="2" s="1"/>
  <c r="O123" i="2" s="1"/>
  <c r="G19" i="2"/>
  <c r="G120" i="2" s="1"/>
  <c r="O114" i="2"/>
  <c r="O20" i="2"/>
  <c r="O19" i="2" s="1"/>
  <c r="O120" i="2" s="1"/>
  <c r="O39" i="2"/>
  <c r="O38" i="2" s="1"/>
  <c r="G38" i="2"/>
  <c r="G113" i="2"/>
  <c r="G129" i="2" s="1"/>
  <c r="P114" i="4"/>
  <c r="I115" i="2"/>
  <c r="Q115" i="2" s="1"/>
  <c r="O115" i="2"/>
  <c r="I116" i="2"/>
  <c r="Q116" i="2" s="1"/>
  <c r="K572" i="9"/>
  <c r="K512" i="9"/>
  <c r="N74" i="6"/>
  <c r="P116" i="4"/>
  <c r="K113" i="1"/>
  <c r="K129" i="1" s="1"/>
  <c r="K510" i="9"/>
  <c r="I111" i="2"/>
  <c r="Q111" i="2" s="1"/>
  <c r="G49" i="2"/>
  <c r="G123" i="2" s="1"/>
  <c r="H113" i="4"/>
  <c r="H129" i="4" s="1"/>
  <c r="P115" i="4"/>
  <c r="G108" i="2"/>
  <c r="G128" i="2" s="1"/>
  <c r="O108" i="2"/>
  <c r="O128" i="2" s="1"/>
  <c r="J504" i="9"/>
  <c r="Q114" i="2"/>
  <c r="O113" i="2" l="1"/>
  <c r="O129" i="2" s="1"/>
  <c r="J17" i="12" s="1"/>
  <c r="Q113" i="2"/>
  <c r="I113" i="2"/>
  <c r="P113" i="4"/>
  <c r="P129" i="4" s="1"/>
  <c r="G24" i="12"/>
  <c r="D17" i="12"/>
  <c r="I129" i="2"/>
  <c r="F17" i="12" l="1"/>
  <c r="Q129" i="2"/>
  <c r="L17" i="12" l="1"/>
  <c r="J493" i="9"/>
  <c r="J473" i="9"/>
  <c r="J469" i="9"/>
  <c r="J467" i="9"/>
  <c r="J505" i="9"/>
  <c r="J429" i="9"/>
  <c r="J370" i="9"/>
  <c r="J485" i="9"/>
  <c r="J350" i="9"/>
  <c r="J425" i="9"/>
  <c r="J216" i="9"/>
  <c r="J423" i="9"/>
  <c r="J441" i="9"/>
  <c r="J378" i="9"/>
  <c r="J312" i="9"/>
  <c r="J380" i="9"/>
  <c r="J439" i="9"/>
  <c r="J196" i="9"/>
  <c r="J481" i="9"/>
  <c r="J66" i="9"/>
  <c r="J451" i="9"/>
  <c r="J58" i="9"/>
  <c r="J234" i="9"/>
  <c r="J62" i="9"/>
  <c r="J457" i="9"/>
  <c r="J433" i="9"/>
  <c r="J358" i="9"/>
  <c r="J310" i="9"/>
  <c r="J68" i="9"/>
  <c r="J372" i="9"/>
  <c r="J248" i="9"/>
  <c r="J256" i="9"/>
  <c r="J89" i="9"/>
  <c r="L22" i="1"/>
  <c r="J70" i="9" l="1"/>
  <c r="L21" i="1"/>
  <c r="L11" i="6"/>
  <c r="J80" i="9"/>
  <c r="J172" i="9"/>
  <c r="J565" i="9"/>
  <c r="J90" i="9"/>
  <c r="J104" i="9"/>
  <c r="J421" i="9"/>
  <c r="J14" i="9" l="1"/>
  <c r="J40" i="9" l="1"/>
  <c r="J12" i="9"/>
  <c r="J422" i="9"/>
  <c r="J9" i="9"/>
  <c r="L16" i="1"/>
  <c r="J41" i="9"/>
  <c r="J43" i="9"/>
  <c r="J16" i="9"/>
  <c r="J46" i="9"/>
  <c r="L70" i="1"/>
  <c r="J29" i="9"/>
  <c r="J38" i="9"/>
  <c r="J47" i="9"/>
  <c r="J18" i="9"/>
  <c r="J35" i="9"/>
  <c r="J39" i="9"/>
  <c r="J49" i="9"/>
  <c r="J42" i="9"/>
  <c r="J37" i="9"/>
  <c r="J27" i="9"/>
  <c r="L15" i="1"/>
  <c r="J36" i="9"/>
  <c r="J34" i="9" l="1"/>
  <c r="J5" i="9" l="1"/>
  <c r="J60" i="9"/>
  <c r="J52" i="9" l="1"/>
  <c r="J502" i="9" l="1"/>
  <c r="I33" i="9" l="1"/>
  <c r="I23" i="9"/>
  <c r="I513" i="9"/>
  <c r="I48" i="9"/>
  <c r="I51" i="9"/>
  <c r="I422" i="9"/>
  <c r="I7" i="9"/>
  <c r="I514" i="9"/>
  <c r="I519" i="9"/>
  <c r="I31" i="9"/>
  <c r="I517" i="9"/>
  <c r="I17" i="9"/>
  <c r="I516" i="9"/>
  <c r="I44" i="9"/>
  <c r="I22" i="9"/>
  <c r="I50" i="9"/>
  <c r="I19" i="9"/>
  <c r="I24" i="9"/>
  <c r="I45" i="9"/>
  <c r="I13" i="9"/>
  <c r="I26" i="9"/>
  <c r="I6" i="9"/>
  <c r="I11" i="9"/>
  <c r="I32" i="9"/>
  <c r="I21" i="9"/>
  <c r="I25" i="9"/>
  <c r="I20" i="9"/>
  <c r="I28" i="9"/>
  <c r="I15" i="9"/>
  <c r="I571" i="9"/>
  <c r="I8" i="9"/>
  <c r="I297" i="9" l="1"/>
  <c r="J297" i="9"/>
  <c r="I46" i="9"/>
  <c r="J201" i="9"/>
  <c r="I201" i="9"/>
  <c r="J53" i="9"/>
  <c r="I53" i="9"/>
  <c r="I67" i="9"/>
  <c r="J67" i="9"/>
  <c r="I248" i="9"/>
  <c r="K248" i="9" s="1"/>
  <c r="I480" i="9"/>
  <c r="J480" i="9"/>
  <c r="I540" i="9"/>
  <c r="J540" i="9"/>
  <c r="J287" i="9"/>
  <c r="I287" i="9"/>
  <c r="H16" i="2"/>
  <c r="P16" i="2" s="1"/>
  <c r="I9" i="9"/>
  <c r="J74" i="9"/>
  <c r="I74" i="9"/>
  <c r="I546" i="9"/>
  <c r="J546" i="9"/>
  <c r="J301" i="9"/>
  <c r="I301" i="9"/>
  <c r="J199" i="9"/>
  <c r="I199" i="9"/>
  <c r="J260" i="9"/>
  <c r="I260" i="9"/>
  <c r="J180" i="9"/>
  <c r="I180" i="9"/>
  <c r="J56" i="9"/>
  <c r="I56" i="9"/>
  <c r="I515" i="9"/>
  <c r="J515" i="9"/>
  <c r="J198" i="9"/>
  <c r="I198" i="9"/>
  <c r="I470" i="9"/>
  <c r="J470" i="9"/>
  <c r="J220" i="9"/>
  <c r="I220" i="9"/>
  <c r="J313" i="9"/>
  <c r="I313" i="9"/>
  <c r="I467" i="9"/>
  <c r="K467" i="9" s="1"/>
  <c r="J464" i="9"/>
  <c r="I464" i="9"/>
  <c r="I118" i="9"/>
  <c r="J118" i="9"/>
  <c r="I174" i="9"/>
  <c r="J174" i="9"/>
  <c r="I239" i="9"/>
  <c r="J239" i="9"/>
  <c r="J268" i="9"/>
  <c r="I268" i="9"/>
  <c r="I238" i="9"/>
  <c r="J238" i="9"/>
  <c r="J176" i="9"/>
  <c r="I176" i="9"/>
  <c r="J243" i="9"/>
  <c r="I243" i="9"/>
  <c r="I298" i="9"/>
  <c r="J298" i="9"/>
  <c r="I61" i="9"/>
  <c r="J61" i="9"/>
  <c r="I562" i="9"/>
  <c r="J562" i="9"/>
  <c r="J386" i="9"/>
  <c r="I386" i="9"/>
  <c r="J553" i="9"/>
  <c r="I553" i="9"/>
  <c r="J406" i="9"/>
  <c r="I406" i="9"/>
  <c r="I157" i="9"/>
  <c r="J157" i="9"/>
  <c r="I413" i="9"/>
  <c r="J435" i="9"/>
  <c r="I435" i="9"/>
  <c r="I569" i="9"/>
  <c r="K569" i="9" s="1"/>
  <c r="I528" i="9"/>
  <c r="J528" i="9"/>
  <c r="J393" i="9"/>
  <c r="I393" i="9"/>
  <c r="I551" i="9"/>
  <c r="J551" i="9"/>
  <c r="I278" i="9"/>
  <c r="J278" i="9"/>
  <c r="I476" i="9"/>
  <c r="J476" i="9"/>
  <c r="I12" i="9"/>
  <c r="J400" i="9"/>
  <c r="I400" i="9"/>
  <c r="J231" i="9"/>
  <c r="I231" i="9"/>
  <c r="J158" i="9"/>
  <c r="I158" i="9"/>
  <c r="I275" i="9"/>
  <c r="J275" i="9"/>
  <c r="J379" i="9"/>
  <c r="I379" i="9"/>
  <c r="J330" i="9"/>
  <c r="I330" i="9"/>
  <c r="J474" i="9"/>
  <c r="I474" i="9"/>
  <c r="I444" i="9"/>
  <c r="J444" i="9"/>
  <c r="I430" i="9"/>
  <c r="J430" i="9"/>
  <c r="I465" i="9"/>
  <c r="J465" i="9"/>
  <c r="J440" i="9"/>
  <c r="I440" i="9"/>
  <c r="J500" i="9"/>
  <c r="I500" i="9"/>
  <c r="I94" i="9"/>
  <c r="J94" i="9"/>
  <c r="I58" i="9"/>
  <c r="K58" i="9" s="1"/>
  <c r="J253" i="9"/>
  <c r="I253" i="9"/>
  <c r="J115" i="9"/>
  <c r="I115" i="9"/>
  <c r="I274" i="9"/>
  <c r="J274" i="9"/>
  <c r="I42" i="9"/>
  <c r="J558" i="9"/>
  <c r="I558" i="9"/>
  <c r="J281" i="9"/>
  <c r="I281" i="9"/>
  <c r="I75" i="9"/>
  <c r="J75" i="9"/>
  <c r="J461" i="9"/>
  <c r="I461" i="9"/>
  <c r="I240" i="9"/>
  <c r="J240" i="9"/>
  <c r="I142" i="9"/>
  <c r="J142" i="9"/>
  <c r="I472" i="9"/>
  <c r="J472" i="9"/>
  <c r="I425" i="9"/>
  <c r="K425" i="9" s="1"/>
  <c r="I101" i="9"/>
  <c r="J101" i="9"/>
  <c r="J396" i="9"/>
  <c r="I396" i="9"/>
  <c r="I179" i="9"/>
  <c r="J179" i="9"/>
  <c r="J132" i="9"/>
  <c r="I132" i="9"/>
  <c r="J453" i="9"/>
  <c r="I453" i="9"/>
  <c r="I324" i="9"/>
  <c r="J324" i="9"/>
  <c r="J535" i="9"/>
  <c r="I535" i="9"/>
  <c r="I207" i="9"/>
  <c r="J207" i="9"/>
  <c r="J428" i="9"/>
  <c r="I428" i="9"/>
  <c r="J148" i="9"/>
  <c r="I148" i="9"/>
  <c r="J356" i="9"/>
  <c r="I356" i="9"/>
  <c r="I124" i="9"/>
  <c r="J124" i="9"/>
  <c r="I57" i="9"/>
  <c r="J57" i="9"/>
  <c r="J63" i="9"/>
  <c r="I63" i="9"/>
  <c r="I139" i="9"/>
  <c r="J139" i="9"/>
  <c r="J336" i="9"/>
  <c r="I336" i="9"/>
  <c r="J228" i="9"/>
  <c r="I228" i="9"/>
  <c r="I27" i="9"/>
  <c r="H15" i="2"/>
  <c r="P15" i="2" s="1"/>
  <c r="I222" i="9"/>
  <c r="J222" i="9"/>
  <c r="J211" i="9"/>
  <c r="I211" i="9"/>
  <c r="I417" i="9"/>
  <c r="J417" i="9"/>
  <c r="I460" i="9"/>
  <c r="J460" i="9"/>
  <c r="I548" i="9"/>
  <c r="J548" i="9"/>
  <c r="J427" i="9"/>
  <c r="I427" i="9"/>
  <c r="J327" i="9"/>
  <c r="I327" i="9"/>
  <c r="I258" i="9"/>
  <c r="J258" i="9"/>
  <c r="I288" i="9"/>
  <c r="J288" i="9"/>
  <c r="J192" i="9"/>
  <c r="I192" i="9"/>
  <c r="I167" i="9"/>
  <c r="J167" i="9"/>
  <c r="J219" i="9"/>
  <c r="I219" i="9"/>
  <c r="I479" i="9"/>
  <c r="J479" i="9"/>
  <c r="I184" i="9"/>
  <c r="J184" i="9"/>
  <c r="I194" i="9"/>
  <c r="J194" i="9"/>
  <c r="I532" i="9"/>
  <c r="J532" i="9"/>
  <c r="I520" i="9"/>
  <c r="J520" i="9"/>
  <c r="I394" i="9"/>
  <c r="J394" i="9"/>
  <c r="J397" i="9"/>
  <c r="I397" i="9"/>
  <c r="I347" i="9"/>
  <c r="J347" i="9"/>
  <c r="I171" i="9"/>
  <c r="J171" i="9"/>
  <c r="J204" i="9"/>
  <c r="I204" i="9"/>
  <c r="J107" i="9"/>
  <c r="I107" i="9"/>
  <c r="I411" i="9"/>
  <c r="J121" i="9"/>
  <c r="I121" i="9"/>
  <c r="J110" i="9"/>
  <c r="I110" i="9"/>
  <c r="I267" i="9"/>
  <c r="J267" i="9"/>
  <c r="I140" i="9"/>
  <c r="J140" i="9"/>
  <c r="J170" i="9"/>
  <c r="I170" i="9"/>
  <c r="J79" i="9"/>
  <c r="I79" i="9"/>
  <c r="J547" i="9"/>
  <c r="I547" i="9"/>
  <c r="I371" i="9"/>
  <c r="J371" i="9"/>
  <c r="I308" i="9"/>
  <c r="J308" i="9"/>
  <c r="I117" i="9"/>
  <c r="J117" i="9"/>
  <c r="H21" i="4"/>
  <c r="I70" i="9"/>
  <c r="K70" i="9" s="1"/>
  <c r="K21" i="1"/>
  <c r="M21" i="1" s="1"/>
  <c r="P21" i="1" s="1"/>
  <c r="J11" i="6"/>
  <c r="H21" i="2"/>
  <c r="J555" i="9"/>
  <c r="I555" i="9"/>
  <c r="I291" i="9"/>
  <c r="J291" i="9"/>
  <c r="J349" i="9"/>
  <c r="I349" i="9"/>
  <c r="J399" i="9"/>
  <c r="I399" i="9"/>
  <c r="I409" i="9"/>
  <c r="I127" i="9"/>
  <c r="J127" i="9"/>
  <c r="J112" i="9"/>
  <c r="I112" i="9"/>
  <c r="I329" i="9"/>
  <c r="J329" i="9"/>
  <c r="I462" i="9"/>
  <c r="J462" i="9"/>
  <c r="I358" i="9"/>
  <c r="K358" i="9" s="1"/>
  <c r="I538" i="9"/>
  <c r="J538" i="9"/>
  <c r="I350" i="9"/>
  <c r="K350" i="9" s="1"/>
  <c r="I286" i="9"/>
  <c r="J286" i="9"/>
  <c r="I449" i="9"/>
  <c r="J449" i="9"/>
  <c r="I292" i="9"/>
  <c r="J292" i="9"/>
  <c r="I543" i="9"/>
  <c r="J543" i="9"/>
  <c r="I130" i="9"/>
  <c r="J130" i="9"/>
  <c r="I185" i="9"/>
  <c r="J185" i="9"/>
  <c r="I426" i="9"/>
  <c r="J426" i="9"/>
  <c r="I418" i="9"/>
  <c r="J418" i="9"/>
  <c r="I90" i="9"/>
  <c r="K90" i="9" s="1"/>
  <c r="I304" i="9"/>
  <c r="J304" i="9"/>
  <c r="I284" i="9"/>
  <c r="J284" i="9"/>
  <c r="I262" i="9"/>
  <c r="J262" i="9"/>
  <c r="J415" i="9"/>
  <c r="I415" i="9"/>
  <c r="I54" i="9"/>
  <c r="J54" i="9"/>
  <c r="I466" i="9"/>
  <c r="J466" i="9"/>
  <c r="I289" i="9"/>
  <c r="J289" i="9"/>
  <c r="I257" i="9"/>
  <c r="J257" i="9"/>
  <c r="J525" i="9"/>
  <c r="I525" i="9"/>
  <c r="J446" i="9"/>
  <c r="I446" i="9"/>
  <c r="J91" i="9"/>
  <c r="I91" i="9"/>
  <c r="J280" i="9"/>
  <c r="I280" i="9"/>
  <c r="I469" i="9"/>
  <c r="K469" i="9" s="1"/>
  <c r="I47" i="9"/>
  <c r="J392" i="9"/>
  <c r="I392" i="9"/>
  <c r="I485" i="9"/>
  <c r="K485" i="9" s="1"/>
  <c r="I111" i="9"/>
  <c r="J111" i="9"/>
  <c r="J155" i="9"/>
  <c r="I155" i="9"/>
  <c r="I104" i="9"/>
  <c r="K104" i="9" s="1"/>
  <c r="J213" i="9"/>
  <c r="I213" i="9"/>
  <c r="J322" i="9"/>
  <c r="I322" i="9"/>
  <c r="I482" i="9"/>
  <c r="J482" i="9"/>
  <c r="J98" i="9"/>
  <c r="I98" i="9"/>
  <c r="I3" i="9"/>
  <c r="J208" i="9"/>
  <c r="I208" i="9"/>
  <c r="I190" i="9"/>
  <c r="J190" i="9"/>
  <c r="J436" i="9"/>
  <c r="I436" i="9"/>
  <c r="J285" i="9"/>
  <c r="I285" i="9"/>
  <c r="J369" i="9"/>
  <c r="I369" i="9"/>
  <c r="I203" i="9"/>
  <c r="J203" i="9"/>
  <c r="J419" i="9"/>
  <c r="I419" i="9"/>
  <c r="J269" i="9"/>
  <c r="I269" i="9"/>
  <c r="J374" i="9"/>
  <c r="I374" i="9"/>
  <c r="K22" i="1"/>
  <c r="M22" i="1" s="1"/>
  <c r="P22" i="1" s="1"/>
  <c r="Q22" i="1" s="1"/>
  <c r="H22" i="2"/>
  <c r="H22" i="4"/>
  <c r="I89" i="9"/>
  <c r="K89" i="9" s="1"/>
  <c r="I143" i="9"/>
  <c r="J143" i="9"/>
  <c r="I492" i="9"/>
  <c r="J492" i="9"/>
  <c r="I340" i="9"/>
  <c r="J340" i="9"/>
  <c r="I295" i="9"/>
  <c r="J295" i="9"/>
  <c r="I332" i="9"/>
  <c r="J332" i="9"/>
  <c r="I536" i="9"/>
  <c r="J536" i="9"/>
  <c r="I490" i="9"/>
  <c r="J490" i="9"/>
  <c r="I178" i="9"/>
  <c r="J178" i="9"/>
  <c r="I557" i="9"/>
  <c r="J557" i="9"/>
  <c r="I131" i="9"/>
  <c r="J131" i="9"/>
  <c r="I168" i="9"/>
  <c r="J168" i="9"/>
  <c r="I312" i="9"/>
  <c r="K312" i="9" s="1"/>
  <c r="I134" i="9"/>
  <c r="J134" i="9"/>
  <c r="I326" i="9"/>
  <c r="J326" i="9"/>
  <c r="I556" i="9"/>
  <c r="J556" i="9"/>
  <c r="I259" i="9"/>
  <c r="J259" i="9"/>
  <c r="I323" i="9"/>
  <c r="J323" i="9"/>
  <c r="I261" i="9"/>
  <c r="J261" i="9"/>
  <c r="J368" i="9"/>
  <c r="I368" i="9"/>
  <c r="J443" i="9"/>
  <c r="I443" i="9"/>
  <c r="I494" i="9"/>
  <c r="J494" i="9"/>
  <c r="J317" i="9"/>
  <c r="I317" i="9"/>
  <c r="J563" i="9"/>
  <c r="I563" i="9"/>
  <c r="I433" i="9"/>
  <c r="K433" i="9" s="1"/>
  <c r="J463" i="9"/>
  <c r="I463" i="9"/>
  <c r="J197" i="9"/>
  <c r="I197" i="9"/>
  <c r="I233" i="9"/>
  <c r="J233" i="9"/>
  <c r="I161" i="9"/>
  <c r="J161" i="9"/>
  <c r="I352" i="9"/>
  <c r="J352" i="9"/>
  <c r="J316" i="9"/>
  <c r="I316" i="9"/>
  <c r="I250" i="9"/>
  <c r="J250" i="9"/>
  <c r="J241" i="9"/>
  <c r="I241" i="9"/>
  <c r="J230" i="9"/>
  <c r="I230" i="9"/>
  <c r="I223" i="9"/>
  <c r="J223" i="9"/>
  <c r="J542" i="9"/>
  <c r="I542" i="9"/>
  <c r="I438" i="9"/>
  <c r="J438" i="9"/>
  <c r="J206" i="9"/>
  <c r="I206" i="9"/>
  <c r="I200" i="9"/>
  <c r="J200" i="9"/>
  <c r="I355" i="9"/>
  <c r="J355" i="9"/>
  <c r="I189" i="9"/>
  <c r="J189" i="9"/>
  <c r="J524" i="9"/>
  <c r="I524" i="9"/>
  <c r="I302" i="9"/>
  <c r="J302" i="9"/>
  <c r="I404" i="9"/>
  <c r="J404" i="9"/>
  <c r="J564" i="9"/>
  <c r="I564" i="9"/>
  <c r="J398" i="9"/>
  <c r="I398" i="9"/>
  <c r="I59" i="9"/>
  <c r="J59" i="9"/>
  <c r="I283" i="9"/>
  <c r="J283" i="9"/>
  <c r="I95" i="9"/>
  <c r="J95" i="9"/>
  <c r="I160" i="9"/>
  <c r="J160" i="9"/>
  <c r="I256" i="9"/>
  <c r="K256" i="9" s="1"/>
  <c r="J416" i="9"/>
  <c r="I416" i="9"/>
  <c r="I305" i="9"/>
  <c r="J305" i="9"/>
  <c r="I504" i="9"/>
  <c r="K504" i="9" s="1"/>
  <c r="I451" i="9"/>
  <c r="K451" i="9" s="1"/>
  <c r="I272" i="9"/>
  <c r="J272" i="9"/>
  <c r="J432" i="9"/>
  <c r="I432" i="9"/>
  <c r="I229" i="9"/>
  <c r="J229" i="9"/>
  <c r="J550" i="9"/>
  <c r="I550" i="9"/>
  <c r="J254" i="9"/>
  <c r="I254" i="9"/>
  <c r="I247" i="9"/>
  <c r="J247" i="9"/>
  <c r="I412" i="9"/>
  <c r="J412" i="9"/>
  <c r="I187" i="9"/>
  <c r="J187" i="9"/>
  <c r="I114" i="9"/>
  <c r="J114" i="9"/>
  <c r="I264" i="9"/>
  <c r="J264" i="9"/>
  <c r="J526" i="9"/>
  <c r="I526" i="9"/>
  <c r="J135" i="9"/>
  <c r="I135" i="9"/>
  <c r="I320" i="9"/>
  <c r="J320" i="9"/>
  <c r="J82" i="9"/>
  <c r="I82" i="9"/>
  <c r="J177" i="9"/>
  <c r="I177" i="9"/>
  <c r="I133" i="9"/>
  <c r="J133" i="9"/>
  <c r="I345" i="9"/>
  <c r="J345" i="9"/>
  <c r="I420" i="9"/>
  <c r="J420" i="9"/>
  <c r="J266" i="9"/>
  <c r="I266" i="9"/>
  <c r="I125" i="9"/>
  <c r="J125" i="9"/>
  <c r="J147" i="9"/>
  <c r="I147" i="9"/>
  <c r="J182" i="9"/>
  <c r="I182" i="9"/>
  <c r="J337" i="9"/>
  <c r="I337" i="9"/>
  <c r="J81" i="9"/>
  <c r="I81" i="9"/>
  <c r="I410" i="9"/>
  <c r="J410" i="9"/>
  <c r="J144" i="9"/>
  <c r="I144" i="9"/>
  <c r="J72" i="9"/>
  <c r="I72" i="9"/>
  <c r="I442" i="9"/>
  <c r="J442" i="9"/>
  <c r="I533" i="9"/>
  <c r="J533" i="9"/>
  <c r="I116" i="9"/>
  <c r="J116" i="9"/>
  <c r="I303" i="9"/>
  <c r="J303" i="9"/>
  <c r="I277" i="9"/>
  <c r="J277" i="9"/>
  <c r="I218" i="9"/>
  <c r="J218" i="9"/>
  <c r="J344" i="9"/>
  <c r="I344" i="9"/>
  <c r="I311" i="9"/>
  <c r="J311" i="9"/>
  <c r="I169" i="9"/>
  <c r="J169" i="9"/>
  <c r="I506" i="9"/>
  <c r="J506" i="9"/>
  <c r="I385" i="9"/>
  <c r="J385" i="9"/>
  <c r="I566" i="9"/>
  <c r="K566" i="9" s="1"/>
  <c r="I545" i="9"/>
  <c r="J545" i="9"/>
  <c r="I544" i="9"/>
  <c r="J544" i="9"/>
  <c r="I382" i="9"/>
  <c r="J382" i="9"/>
  <c r="J414" i="9"/>
  <c r="I414" i="9"/>
  <c r="J105" i="9"/>
  <c r="I105" i="9"/>
  <c r="J244" i="9"/>
  <c r="I244" i="9"/>
  <c r="I186" i="9"/>
  <c r="J186" i="9"/>
  <c r="I456" i="9"/>
  <c r="J456" i="9"/>
  <c r="I468" i="9"/>
  <c r="J468" i="9"/>
  <c r="I366" i="9"/>
  <c r="J366" i="9"/>
  <c r="I175" i="9"/>
  <c r="J175" i="9"/>
  <c r="I136" i="9"/>
  <c r="J136" i="9"/>
  <c r="I279" i="9"/>
  <c r="J279" i="9"/>
  <c r="I282" i="9"/>
  <c r="J282" i="9"/>
  <c r="I109" i="9"/>
  <c r="J109" i="9"/>
  <c r="I334" i="9"/>
  <c r="J334" i="9"/>
  <c r="I407" i="9"/>
  <c r="I471" i="9"/>
  <c r="J471" i="9"/>
  <c r="I455" i="9"/>
  <c r="J455" i="9"/>
  <c r="I86" i="9"/>
  <c r="J86" i="9"/>
  <c r="I232" i="9"/>
  <c r="J232" i="9"/>
  <c r="J445" i="9"/>
  <c r="I445" i="9"/>
  <c r="I123" i="9"/>
  <c r="J123" i="9"/>
  <c r="I172" i="9"/>
  <c r="K172" i="9" s="1"/>
  <c r="J293" i="9"/>
  <c r="I293" i="9"/>
  <c r="I373" i="9"/>
  <c r="J373" i="9"/>
  <c r="J486" i="9"/>
  <c r="I486" i="9"/>
  <c r="J351" i="9"/>
  <c r="I351" i="9"/>
  <c r="I421" i="9"/>
  <c r="K421" i="9" s="1"/>
  <c r="J534" i="9"/>
  <c r="I534" i="9"/>
  <c r="I227" i="9"/>
  <c r="J227" i="9"/>
  <c r="I306" i="9"/>
  <c r="J306" i="9"/>
  <c r="I294" i="9"/>
  <c r="J294" i="9"/>
  <c r="J554" i="9"/>
  <c r="I554" i="9"/>
  <c r="I478" i="9"/>
  <c r="J478" i="9"/>
  <c r="I493" i="9"/>
  <c r="K493" i="9" s="1"/>
  <c r="J338" i="9"/>
  <c r="I338" i="9"/>
  <c r="J529" i="9"/>
  <c r="I529" i="9"/>
  <c r="I541" i="9"/>
  <c r="J541" i="9"/>
  <c r="J237" i="9"/>
  <c r="I237" i="9"/>
  <c r="J383" i="9"/>
  <c r="I383" i="9"/>
  <c r="I473" i="9"/>
  <c r="K473" i="9" s="1"/>
  <c r="J300" i="9"/>
  <c r="I300" i="9"/>
  <c r="J92" i="9"/>
  <c r="I92" i="9"/>
  <c r="I452" i="9"/>
  <c r="J452" i="9"/>
  <c r="J484" i="9"/>
  <c r="I484" i="9"/>
  <c r="J188" i="9"/>
  <c r="I188" i="9"/>
  <c r="J245" i="9"/>
  <c r="I245" i="9"/>
  <c r="J364" i="9"/>
  <c r="I364" i="9"/>
  <c r="J339" i="9"/>
  <c r="I339" i="9"/>
  <c r="I518" i="9"/>
  <c r="J518" i="9"/>
  <c r="I251" i="9"/>
  <c r="J251" i="9"/>
  <c r="J249" i="9"/>
  <c r="I249" i="9"/>
  <c r="I62" i="9"/>
  <c r="K62" i="9" s="1"/>
  <c r="J360" i="9"/>
  <c r="I360" i="9"/>
  <c r="J454" i="9"/>
  <c r="I454" i="9"/>
  <c r="I309" i="9"/>
  <c r="J309" i="9"/>
  <c r="J163" i="9"/>
  <c r="I163" i="9"/>
  <c r="J367" i="9"/>
  <c r="I367" i="9"/>
  <c r="J181" i="9"/>
  <c r="I181" i="9"/>
  <c r="J138" i="9"/>
  <c r="I138" i="9"/>
  <c r="J395" i="9"/>
  <c r="I395" i="9"/>
  <c r="I502" i="9"/>
  <c r="K502" i="9" s="1"/>
  <c r="J434" i="9"/>
  <c r="I434" i="9"/>
  <c r="I431" i="9"/>
  <c r="J431" i="9"/>
  <c r="I505" i="9"/>
  <c r="K505" i="9" s="1"/>
  <c r="I509" i="9"/>
  <c r="J509" i="9"/>
  <c r="J71" i="9"/>
  <c r="I71" i="9"/>
  <c r="I328" i="9"/>
  <c r="J328" i="9"/>
  <c r="J459" i="9"/>
  <c r="I459" i="9"/>
  <c r="J246" i="9"/>
  <c r="I246" i="9"/>
  <c r="J408" i="9"/>
  <c r="I408" i="9"/>
  <c r="J263" i="9"/>
  <c r="I263" i="9"/>
  <c r="J361" i="9"/>
  <c r="I361" i="9"/>
  <c r="I5" i="9"/>
  <c r="J401" i="9"/>
  <c r="I401" i="9"/>
  <c r="J212" i="9"/>
  <c r="I212" i="9"/>
  <c r="J307" i="9"/>
  <c r="I307" i="9"/>
  <c r="J236" i="9"/>
  <c r="I236" i="9"/>
  <c r="J77" i="9"/>
  <c r="I77" i="9"/>
  <c r="J559" i="9"/>
  <c r="I559" i="9"/>
  <c r="I567" i="9"/>
  <c r="K567" i="9" s="1"/>
  <c r="J521" i="9"/>
  <c r="I521" i="9"/>
  <c r="J483" i="9"/>
  <c r="I483" i="9"/>
  <c r="J85" i="9"/>
  <c r="I85" i="9"/>
  <c r="J560" i="9"/>
  <c r="I560" i="9"/>
  <c r="I481" i="9"/>
  <c r="K481" i="9" s="1"/>
  <c r="J488" i="9"/>
  <c r="I488" i="9"/>
  <c r="J437" i="9"/>
  <c r="I437" i="9"/>
  <c r="I531" i="9"/>
  <c r="J531" i="9"/>
  <c r="I65" i="9"/>
  <c r="J65" i="9"/>
  <c r="J137" i="9"/>
  <c r="I137" i="9"/>
  <c r="J119" i="9"/>
  <c r="I119" i="9"/>
  <c r="I83" i="9"/>
  <c r="J83" i="9"/>
  <c r="I527" i="9"/>
  <c r="J527" i="9"/>
  <c r="J149" i="9"/>
  <c r="I149" i="9"/>
  <c r="J390" i="9"/>
  <c r="I390" i="9"/>
  <c r="J113" i="9"/>
  <c r="I113" i="9"/>
  <c r="I359" i="9"/>
  <c r="J359" i="9"/>
  <c r="J165" i="9"/>
  <c r="I165" i="9"/>
  <c r="I503" i="9"/>
  <c r="J503" i="9"/>
  <c r="J552" i="9"/>
  <c r="I552" i="9"/>
  <c r="I522" i="9"/>
  <c r="J522" i="9"/>
  <c r="J475" i="9"/>
  <c r="I475" i="9"/>
  <c r="I93" i="9"/>
  <c r="J93" i="9"/>
  <c r="I43" i="9"/>
  <c r="J183" i="9"/>
  <c r="I183" i="9"/>
  <c r="I120" i="9"/>
  <c r="J120" i="9"/>
  <c r="I448" i="9"/>
  <c r="J448" i="9"/>
  <c r="J166" i="9"/>
  <c r="I166" i="9"/>
  <c r="J129" i="9"/>
  <c r="I129" i="9"/>
  <c r="I570" i="9"/>
  <c r="K570" i="9" s="1"/>
  <c r="I41" i="9"/>
  <c r="J315" i="9"/>
  <c r="I315" i="9"/>
  <c r="I377" i="9"/>
  <c r="J377" i="9"/>
  <c r="I290" i="9"/>
  <c r="J290" i="9"/>
  <c r="I173" i="9"/>
  <c r="J173" i="9"/>
  <c r="J164" i="9"/>
  <c r="I164" i="9"/>
  <c r="J354" i="9"/>
  <c r="I354" i="9"/>
  <c r="J88" i="9"/>
  <c r="I88" i="9"/>
  <c r="I523" i="9"/>
  <c r="J523" i="9"/>
  <c r="I381" i="9"/>
  <c r="J381" i="9"/>
  <c r="J152" i="9"/>
  <c r="I152" i="9"/>
  <c r="J391" i="9"/>
  <c r="I391" i="9"/>
  <c r="I370" i="9"/>
  <c r="K370" i="9" s="1"/>
  <c r="I108" i="9"/>
  <c r="J108" i="9"/>
  <c r="J73" i="9"/>
  <c r="I73" i="9"/>
  <c r="J162" i="9"/>
  <c r="I162" i="9"/>
  <c r="I372" i="9"/>
  <c r="K372" i="9" s="1"/>
  <c r="J348" i="9"/>
  <c r="I348" i="9"/>
  <c r="J447" i="9"/>
  <c r="I447" i="9"/>
  <c r="J530" i="9"/>
  <c r="I530" i="9"/>
  <c r="J299" i="9"/>
  <c r="I299" i="9"/>
  <c r="J458" i="9"/>
  <c r="I458" i="9"/>
  <c r="J549" i="9"/>
  <c r="I549" i="9"/>
  <c r="I66" i="9"/>
  <c r="K66" i="9" s="1"/>
  <c r="J126" i="9"/>
  <c r="I126" i="9"/>
  <c r="J191" i="9"/>
  <c r="I191" i="9"/>
  <c r="J97" i="9"/>
  <c r="I97" i="9"/>
  <c r="J319" i="9"/>
  <c r="I319" i="9"/>
  <c r="J363" i="9"/>
  <c r="I363" i="9"/>
  <c r="J69" i="9"/>
  <c r="I69" i="9"/>
  <c r="I234" i="9"/>
  <c r="K234" i="9" s="1"/>
  <c r="I346" i="9"/>
  <c r="J346" i="9"/>
  <c r="I423" i="9"/>
  <c r="K423" i="9" s="1"/>
  <c r="J159" i="9"/>
  <c r="I159" i="9"/>
  <c r="J341" i="9"/>
  <c r="I341" i="9"/>
  <c r="J321" i="9"/>
  <c r="I321" i="9"/>
  <c r="I68" i="9"/>
  <c r="K68" i="9" s="1"/>
  <c r="I196" i="9"/>
  <c r="K196" i="9" s="1"/>
  <c r="I128" i="9"/>
  <c r="J128" i="9"/>
  <c r="J122" i="9"/>
  <c r="I122" i="9"/>
  <c r="I405" i="9"/>
  <c r="I296" i="9"/>
  <c r="J296" i="9"/>
  <c r="I439" i="9"/>
  <c r="K439" i="9" s="1"/>
  <c r="J537" i="9"/>
  <c r="I537" i="9"/>
  <c r="I380" i="9"/>
  <c r="K380" i="9" s="1"/>
  <c r="I156" i="9"/>
  <c r="J156" i="9"/>
  <c r="J487" i="9"/>
  <c r="I487" i="9"/>
  <c r="I310" i="9"/>
  <c r="K310" i="9" s="1"/>
  <c r="J333" i="9"/>
  <c r="I333" i="9"/>
  <c r="I441" i="9"/>
  <c r="K441" i="9" s="1"/>
  <c r="I318" i="9"/>
  <c r="J318" i="9"/>
  <c r="J151" i="9"/>
  <c r="I151" i="9"/>
  <c r="I388" i="9"/>
  <c r="J388" i="9"/>
  <c r="I96" i="9"/>
  <c r="J96" i="9"/>
  <c r="I378" i="9"/>
  <c r="K378" i="9" s="1"/>
  <c r="I55" i="9"/>
  <c r="J55" i="9"/>
  <c r="I376" i="9"/>
  <c r="J376" i="9"/>
  <c r="J205" i="9"/>
  <c r="I205" i="9"/>
  <c r="J87" i="9"/>
  <c r="I87" i="9"/>
  <c r="J141" i="9"/>
  <c r="I141" i="9"/>
  <c r="J102" i="9"/>
  <c r="I102" i="9"/>
  <c r="I539" i="9"/>
  <c r="J539" i="9"/>
  <c r="I202" i="9"/>
  <c r="J202" i="9"/>
  <c r="J76" i="9"/>
  <c r="I76" i="9"/>
  <c r="I429" i="9"/>
  <c r="K429" i="9" s="1"/>
  <c r="I457" i="9"/>
  <c r="K457" i="9" s="1"/>
  <c r="I507" i="9"/>
  <c r="I389" i="9"/>
  <c r="J389" i="9"/>
  <c r="I217" i="9"/>
  <c r="J217" i="9"/>
  <c r="J252" i="9"/>
  <c r="I252" i="9"/>
  <c r="J225" i="9"/>
  <c r="I225" i="9"/>
  <c r="I568" i="9"/>
  <c r="K568" i="9" s="1"/>
  <c r="I193" i="9"/>
  <c r="J193" i="9"/>
  <c r="J362" i="9"/>
  <c r="I362" i="9"/>
  <c r="J99" i="9"/>
  <c r="I99" i="9"/>
  <c r="J154" i="9"/>
  <c r="I154" i="9"/>
  <c r="I80" i="9"/>
  <c r="K80" i="9" s="1"/>
  <c r="I335" i="9"/>
  <c r="J335" i="9"/>
  <c r="J64" i="9"/>
  <c r="I64" i="9"/>
  <c r="J450" i="9"/>
  <c r="I450" i="9"/>
  <c r="I375" i="9"/>
  <c r="J375" i="9"/>
  <c r="I255" i="9"/>
  <c r="J255" i="9"/>
  <c r="I342" i="9"/>
  <c r="J342" i="9"/>
  <c r="I403" i="9"/>
  <c r="J106" i="9"/>
  <c r="I106" i="9"/>
  <c r="I210" i="9"/>
  <c r="J210" i="9"/>
  <c r="J78" i="9"/>
  <c r="I78" i="9"/>
  <c r="J325" i="9"/>
  <c r="I325" i="9"/>
  <c r="J146" i="9"/>
  <c r="I146" i="9"/>
  <c r="I242" i="9"/>
  <c r="J242" i="9"/>
  <c r="J273" i="9"/>
  <c r="I273" i="9"/>
  <c r="J214" i="9"/>
  <c r="I214" i="9"/>
  <c r="J331" i="9"/>
  <c r="I331" i="9"/>
  <c r="J424" i="9"/>
  <c r="I424" i="9"/>
  <c r="I565" i="9"/>
  <c r="K565" i="9" s="1"/>
  <c r="I387" i="9"/>
  <c r="J387" i="9"/>
  <c r="J357" i="9"/>
  <c r="I357" i="9"/>
  <c r="I84" i="9"/>
  <c r="J84" i="9"/>
  <c r="J103" i="9"/>
  <c r="I103" i="9"/>
  <c r="J209" i="9"/>
  <c r="I209" i="9"/>
  <c r="I561" i="9"/>
  <c r="J561" i="9"/>
  <c r="J501" i="9"/>
  <c r="I501" i="9"/>
  <c r="I402" i="9"/>
  <c r="J402" i="9"/>
  <c r="J271" i="9"/>
  <c r="I271" i="9"/>
  <c r="I195" i="9"/>
  <c r="J195" i="9"/>
  <c r="J353" i="9"/>
  <c r="I353" i="9"/>
  <c r="I270" i="9"/>
  <c r="J270" i="9"/>
  <c r="I221" i="9"/>
  <c r="J221" i="9"/>
  <c r="J314" i="9"/>
  <c r="I314" i="9"/>
  <c r="J343" i="9"/>
  <c r="I343" i="9"/>
  <c r="I150" i="9"/>
  <c r="J150" i="9"/>
  <c r="I276" i="9"/>
  <c r="J276" i="9"/>
  <c r="J511" i="9"/>
  <c r="I511" i="9"/>
  <c r="I491" i="9"/>
  <c r="J491" i="9"/>
  <c r="I215" i="9"/>
  <c r="J215" i="9"/>
  <c r="I235" i="9"/>
  <c r="J235" i="9"/>
  <c r="I153" i="9"/>
  <c r="J153" i="9"/>
  <c r="J145" i="9"/>
  <c r="I145" i="9"/>
  <c r="I4" i="9"/>
  <c r="K4" i="9" s="1"/>
  <c r="I224" i="9"/>
  <c r="J224" i="9"/>
  <c r="J100" i="9"/>
  <c r="I100" i="9"/>
  <c r="J384" i="9"/>
  <c r="I384" i="9"/>
  <c r="I489" i="9"/>
  <c r="J489" i="9"/>
  <c r="I265" i="9"/>
  <c r="J265" i="9"/>
  <c r="I365" i="9"/>
  <c r="J365" i="9"/>
  <c r="J226" i="9"/>
  <c r="I226" i="9"/>
  <c r="I216" i="9"/>
  <c r="K216" i="9" s="1"/>
  <c r="K56" i="9" l="1"/>
  <c r="K301" i="9"/>
  <c r="K67" i="9"/>
  <c r="K511" i="9"/>
  <c r="K379" i="9"/>
  <c r="K472" i="9"/>
  <c r="K220" i="9"/>
  <c r="K509" i="9"/>
  <c r="K558" i="9"/>
  <c r="K287" i="9"/>
  <c r="K400" i="9"/>
  <c r="K201" i="9"/>
  <c r="K226" i="9"/>
  <c r="K384" i="9"/>
  <c r="K145" i="9"/>
  <c r="K343" i="9"/>
  <c r="K353" i="9"/>
  <c r="K501" i="9"/>
  <c r="K424" i="9"/>
  <c r="K151" i="9"/>
  <c r="K487" i="9"/>
  <c r="K319" i="9"/>
  <c r="K530" i="9"/>
  <c r="K152" i="9"/>
  <c r="K408" i="9"/>
  <c r="K71" i="9"/>
  <c r="K367" i="9"/>
  <c r="K360" i="9"/>
  <c r="K112" i="9"/>
  <c r="K297" i="9"/>
  <c r="K188" i="9"/>
  <c r="K300" i="9"/>
  <c r="K349" i="9"/>
  <c r="K211" i="9"/>
  <c r="K336" i="9"/>
  <c r="K470" i="9"/>
  <c r="K546" i="9"/>
  <c r="K117" i="9"/>
  <c r="K444" i="9"/>
  <c r="K515" i="9"/>
  <c r="K553" i="9"/>
  <c r="K268" i="9"/>
  <c r="K480" i="9"/>
  <c r="K53" i="9"/>
  <c r="K64" i="9"/>
  <c r="K99" i="9"/>
  <c r="K225" i="9"/>
  <c r="K205" i="9"/>
  <c r="K333" i="9"/>
  <c r="K537" i="9"/>
  <c r="K401" i="9"/>
  <c r="K244" i="9"/>
  <c r="K147" i="9"/>
  <c r="K525" i="9"/>
  <c r="K547" i="9"/>
  <c r="K390" i="9"/>
  <c r="K119" i="9"/>
  <c r="K437" i="9"/>
  <c r="K338" i="9"/>
  <c r="K316" i="9"/>
  <c r="K197" i="9"/>
  <c r="K327" i="9"/>
  <c r="K175" i="9"/>
  <c r="K385" i="9"/>
  <c r="K382" i="9"/>
  <c r="K247" i="9"/>
  <c r="K159" i="9"/>
  <c r="K363" i="9"/>
  <c r="K126" i="9"/>
  <c r="K88" i="9"/>
  <c r="K263" i="9"/>
  <c r="K181" i="9"/>
  <c r="K454" i="9"/>
  <c r="K245" i="9"/>
  <c r="K445" i="9"/>
  <c r="K305" i="9"/>
  <c r="K556" i="9"/>
  <c r="K186" i="9"/>
  <c r="K116" i="9"/>
  <c r="K420" i="9"/>
  <c r="K264" i="9"/>
  <c r="K318" i="9"/>
  <c r="K156" i="9"/>
  <c r="K162" i="9"/>
  <c r="K381" i="9"/>
  <c r="K521" i="9"/>
  <c r="K236" i="9"/>
  <c r="K434" i="9"/>
  <c r="K105" i="9"/>
  <c r="K81" i="9"/>
  <c r="K135" i="9"/>
  <c r="K550" i="9"/>
  <c r="K443" i="9"/>
  <c r="K374" i="9"/>
  <c r="K369" i="9"/>
  <c r="K208" i="9"/>
  <c r="K322" i="9"/>
  <c r="K324" i="9"/>
  <c r="K465" i="9"/>
  <c r="K278" i="9"/>
  <c r="K540" i="9"/>
  <c r="K73" i="9"/>
  <c r="K448" i="9"/>
  <c r="K93" i="9"/>
  <c r="K560" i="9"/>
  <c r="K309" i="9"/>
  <c r="K452" i="9"/>
  <c r="K294" i="9"/>
  <c r="K293" i="9"/>
  <c r="K123" i="9"/>
  <c r="K414" i="9"/>
  <c r="K72" i="9"/>
  <c r="K337" i="9"/>
  <c r="K266" i="9"/>
  <c r="K177" i="9"/>
  <c r="K526" i="9"/>
  <c r="K392" i="9"/>
  <c r="K91" i="9"/>
  <c r="K185" i="9"/>
  <c r="K449" i="9"/>
  <c r="K462" i="9"/>
  <c r="K170" i="9"/>
  <c r="K121" i="9"/>
  <c r="K194" i="9"/>
  <c r="K167" i="9"/>
  <c r="K417" i="9"/>
  <c r="K57" i="9"/>
  <c r="K101" i="9"/>
  <c r="K75" i="9"/>
  <c r="K393" i="9"/>
  <c r="K61" i="9"/>
  <c r="K238" i="9"/>
  <c r="K313" i="9"/>
  <c r="K255" i="9"/>
  <c r="K376" i="9"/>
  <c r="K279" i="9"/>
  <c r="K265" i="9"/>
  <c r="K276" i="9"/>
  <c r="K55" i="9"/>
  <c r="K489" i="9"/>
  <c r="K215" i="9"/>
  <c r="K150" i="9"/>
  <c r="K270" i="9"/>
  <c r="K402" i="9"/>
  <c r="K450" i="9"/>
  <c r="K154" i="9"/>
  <c r="K87" i="9"/>
  <c r="K122" i="9"/>
  <c r="K212" i="9"/>
  <c r="K351" i="9"/>
  <c r="K416" i="9"/>
  <c r="K160" i="9"/>
  <c r="K352" i="9"/>
  <c r="K317" i="9"/>
  <c r="K178" i="9"/>
  <c r="K295" i="9"/>
  <c r="K419" i="9"/>
  <c r="K436" i="9"/>
  <c r="K111" i="9"/>
  <c r="K446" i="9"/>
  <c r="K130" i="9"/>
  <c r="K286" i="9"/>
  <c r="K329" i="9"/>
  <c r="K394" i="9"/>
  <c r="K184" i="9"/>
  <c r="K124" i="9"/>
  <c r="K207" i="9"/>
  <c r="K275" i="9"/>
  <c r="K224" i="9"/>
  <c r="K221" i="9"/>
  <c r="K387" i="9"/>
  <c r="K217" i="9"/>
  <c r="J72" i="6"/>
  <c r="I72" i="6" s="1"/>
  <c r="K377" i="9"/>
  <c r="K232" i="9"/>
  <c r="K95" i="9"/>
  <c r="K189" i="9"/>
  <c r="K438" i="9"/>
  <c r="K161" i="9"/>
  <c r="K168" i="9"/>
  <c r="K490" i="9"/>
  <c r="K340" i="9"/>
  <c r="K418" i="9"/>
  <c r="K222" i="9"/>
  <c r="K139" i="9"/>
  <c r="K179" i="9"/>
  <c r="K240" i="9"/>
  <c r="K476" i="9"/>
  <c r="K528" i="9"/>
  <c r="K386" i="9"/>
  <c r="K243" i="9"/>
  <c r="K335" i="9"/>
  <c r="K257" i="9"/>
  <c r="K235" i="9"/>
  <c r="K100" i="9"/>
  <c r="K314" i="9"/>
  <c r="K357" i="9"/>
  <c r="K331" i="9"/>
  <c r="K146" i="9"/>
  <c r="K106" i="9"/>
  <c r="K128" i="9"/>
  <c r="K164" i="9"/>
  <c r="K315" i="9"/>
  <c r="K166" i="9"/>
  <c r="K552" i="9"/>
  <c r="K113" i="9"/>
  <c r="K246" i="9"/>
  <c r="K395" i="9"/>
  <c r="K163" i="9"/>
  <c r="K339" i="9"/>
  <c r="K484" i="9"/>
  <c r="K282" i="9"/>
  <c r="K345" i="9"/>
  <c r="K320" i="9"/>
  <c r="K114" i="9"/>
  <c r="K272" i="9"/>
  <c r="K542" i="9"/>
  <c r="K219" i="9"/>
  <c r="K435" i="9"/>
  <c r="K157" i="9"/>
  <c r="K562" i="9"/>
  <c r="K174" i="9"/>
  <c r="K132" i="9"/>
  <c r="K142" i="9"/>
  <c r="K281" i="9"/>
  <c r="K115" i="9"/>
  <c r="K500" i="9"/>
  <c r="P22" i="2"/>
  <c r="I22" i="2"/>
  <c r="Q22" i="2" s="1"/>
  <c r="K388" i="9"/>
  <c r="K346" i="9"/>
  <c r="K299" i="9"/>
  <c r="K391" i="9"/>
  <c r="K523" i="9"/>
  <c r="K173" i="9"/>
  <c r="K83" i="9"/>
  <c r="K531" i="9"/>
  <c r="K518" i="9"/>
  <c r="K455" i="9"/>
  <c r="K468" i="9"/>
  <c r="K545" i="9"/>
  <c r="K169" i="9"/>
  <c r="K277" i="9"/>
  <c r="K442" i="9"/>
  <c r="K494" i="9"/>
  <c r="K323" i="9"/>
  <c r="K134" i="9"/>
  <c r="K203" i="9"/>
  <c r="K190" i="9"/>
  <c r="K466" i="9"/>
  <c r="K284" i="9"/>
  <c r="K371" i="9"/>
  <c r="K140" i="9"/>
  <c r="K118" i="9"/>
  <c r="K199" i="9"/>
  <c r="K210" i="9"/>
  <c r="K389" i="9"/>
  <c r="K431" i="9"/>
  <c r="K306" i="9"/>
  <c r="K334" i="9"/>
  <c r="K136" i="9"/>
  <c r="K125" i="9"/>
  <c r="K133" i="9"/>
  <c r="K187" i="9"/>
  <c r="K283" i="9"/>
  <c r="K404" i="9"/>
  <c r="K355" i="9"/>
  <c r="K250" i="9"/>
  <c r="K233" i="9"/>
  <c r="K131" i="9"/>
  <c r="K536" i="9"/>
  <c r="K492" i="9"/>
  <c r="K482" i="9"/>
  <c r="K543" i="9"/>
  <c r="K171" i="9"/>
  <c r="K520" i="9"/>
  <c r="K479" i="9"/>
  <c r="K288" i="9"/>
  <c r="K548" i="9"/>
  <c r="K356" i="9"/>
  <c r="K535" i="9"/>
  <c r="K253" i="9"/>
  <c r="K440" i="9"/>
  <c r="K474" i="9"/>
  <c r="K158" i="9"/>
  <c r="K298" i="9"/>
  <c r="K464" i="9"/>
  <c r="I11" i="6"/>
  <c r="K84" i="9"/>
  <c r="K342" i="9"/>
  <c r="K296" i="9"/>
  <c r="K108" i="9"/>
  <c r="K290" i="9"/>
  <c r="K503" i="9"/>
  <c r="K541" i="9"/>
  <c r="K478" i="9"/>
  <c r="K471" i="9"/>
  <c r="K456" i="9"/>
  <c r="K311" i="9"/>
  <c r="K303" i="9"/>
  <c r="K259" i="9"/>
  <c r="K54" i="9"/>
  <c r="K304" i="9"/>
  <c r="P21" i="4"/>
  <c r="K267" i="9"/>
  <c r="K491" i="9"/>
  <c r="K242" i="9"/>
  <c r="K202" i="9"/>
  <c r="K365" i="9"/>
  <c r="K153" i="9"/>
  <c r="K195" i="9"/>
  <c r="K561" i="9"/>
  <c r="K362" i="9"/>
  <c r="K252" i="9"/>
  <c r="K539" i="9"/>
  <c r="K354" i="9"/>
  <c r="K129" i="9"/>
  <c r="K120" i="9"/>
  <c r="K475" i="9"/>
  <c r="K165" i="9"/>
  <c r="K149" i="9"/>
  <c r="K137" i="9"/>
  <c r="K488" i="9"/>
  <c r="K307" i="9"/>
  <c r="K361" i="9"/>
  <c r="K459" i="9"/>
  <c r="K138" i="9"/>
  <c r="K249" i="9"/>
  <c r="K364" i="9"/>
  <c r="K529" i="9"/>
  <c r="K554" i="9"/>
  <c r="K227" i="9"/>
  <c r="K486" i="9"/>
  <c r="K109" i="9"/>
  <c r="K344" i="9"/>
  <c r="K144" i="9"/>
  <c r="K182" i="9"/>
  <c r="K412" i="9"/>
  <c r="K229" i="9"/>
  <c r="K59" i="9"/>
  <c r="K302" i="9"/>
  <c r="K200" i="9"/>
  <c r="K223" i="9"/>
  <c r="K563" i="9"/>
  <c r="K368" i="9"/>
  <c r="K557" i="9"/>
  <c r="K332" i="9"/>
  <c r="K143" i="9"/>
  <c r="K269" i="9"/>
  <c r="K285" i="9"/>
  <c r="K280" i="9"/>
  <c r="K415" i="9"/>
  <c r="K426" i="9"/>
  <c r="K292" i="9"/>
  <c r="K127" i="9"/>
  <c r="K291" i="9"/>
  <c r="K79" i="9"/>
  <c r="K110" i="9"/>
  <c r="K347" i="9"/>
  <c r="K532" i="9"/>
  <c r="K258" i="9"/>
  <c r="K460" i="9"/>
  <c r="K63" i="9"/>
  <c r="K148" i="9"/>
  <c r="K396" i="9"/>
  <c r="K461" i="9"/>
  <c r="K330" i="9"/>
  <c r="K231" i="9"/>
  <c r="K239" i="9"/>
  <c r="K271" i="9"/>
  <c r="K209" i="9"/>
  <c r="K214" i="9"/>
  <c r="K325" i="9"/>
  <c r="K102" i="9"/>
  <c r="K321" i="9"/>
  <c r="K97" i="9"/>
  <c r="K549" i="9"/>
  <c r="K447" i="9"/>
  <c r="K183" i="9"/>
  <c r="K85" i="9"/>
  <c r="K559" i="9"/>
  <c r="K383" i="9"/>
  <c r="K534" i="9"/>
  <c r="K82" i="9"/>
  <c r="K432" i="9"/>
  <c r="K398" i="9"/>
  <c r="K524" i="9"/>
  <c r="K206" i="9"/>
  <c r="K230" i="9"/>
  <c r="K463" i="9"/>
  <c r="K3" i="9"/>
  <c r="K213" i="9"/>
  <c r="K155" i="9"/>
  <c r="K555" i="9"/>
  <c r="K107" i="9"/>
  <c r="K397" i="9"/>
  <c r="K176" i="9"/>
  <c r="K180" i="9"/>
  <c r="K228" i="9"/>
  <c r="K428" i="9"/>
  <c r="K453" i="9"/>
  <c r="K103" i="9"/>
  <c r="K273" i="9"/>
  <c r="K78" i="9"/>
  <c r="K375" i="9"/>
  <c r="K193" i="9"/>
  <c r="K76" i="9"/>
  <c r="K141" i="9"/>
  <c r="K96" i="9"/>
  <c r="K341" i="9"/>
  <c r="K69" i="9"/>
  <c r="K191" i="9"/>
  <c r="K458" i="9"/>
  <c r="K348" i="9"/>
  <c r="K522" i="9"/>
  <c r="K359" i="9"/>
  <c r="K527" i="9"/>
  <c r="K65" i="9"/>
  <c r="K483" i="9"/>
  <c r="K77" i="9"/>
  <c r="K328" i="9"/>
  <c r="K251" i="9"/>
  <c r="K92" i="9"/>
  <c r="K237" i="9"/>
  <c r="K373" i="9"/>
  <c r="K86" i="9"/>
  <c r="K366" i="9"/>
  <c r="K544" i="9"/>
  <c r="K506" i="9"/>
  <c r="K218" i="9"/>
  <c r="K533" i="9"/>
  <c r="K410" i="9"/>
  <c r="K254" i="9"/>
  <c r="K564" i="9"/>
  <c r="K241" i="9"/>
  <c r="K261" i="9"/>
  <c r="K326" i="9"/>
  <c r="I22" i="4"/>
  <c r="Q22" i="4" s="1"/>
  <c r="P22" i="4"/>
  <c r="K98" i="9"/>
  <c r="K289" i="9"/>
  <c r="K262" i="9"/>
  <c r="K538" i="9"/>
  <c r="K399" i="9"/>
  <c r="P21" i="2"/>
  <c r="I21" i="2"/>
  <c r="Q21" i="2" s="1"/>
  <c r="K308" i="9"/>
  <c r="K204" i="9"/>
  <c r="K192" i="9"/>
  <c r="K427" i="9"/>
  <c r="K274" i="9"/>
  <c r="K94" i="9"/>
  <c r="K430" i="9"/>
  <c r="K551" i="9"/>
  <c r="K406" i="9"/>
  <c r="K198" i="9"/>
  <c r="K260" i="9"/>
  <c r="K74" i="9"/>
  <c r="J507" i="9" l="1"/>
  <c r="K507" i="9" s="1"/>
  <c r="I30" i="9" l="1"/>
  <c r="I34" i="9" l="1"/>
  <c r="I14" i="9"/>
  <c r="I35" i="9"/>
  <c r="I37" i="9"/>
  <c r="I16" i="9"/>
  <c r="I29" i="9" l="1"/>
  <c r="I36" i="9"/>
  <c r="I49" i="9"/>
  <c r="I477" i="9"/>
  <c r="I40" i="9"/>
  <c r="I38" i="9"/>
  <c r="I18" i="9"/>
  <c r="I39" i="9"/>
  <c r="I10" i="9" l="1"/>
  <c r="G14" i="2" l="1"/>
  <c r="H18" i="9"/>
  <c r="K18" i="9" s="1"/>
  <c r="H42" i="9"/>
  <c r="K42" i="9" s="1"/>
  <c r="G77" i="2"/>
  <c r="H29" i="9"/>
  <c r="K29" i="9" s="1"/>
  <c r="J51" i="9"/>
  <c r="H51" i="9"/>
  <c r="H44" i="9"/>
  <c r="J44" i="9"/>
  <c r="J20" i="9"/>
  <c r="H20" i="9"/>
  <c r="H16" i="9"/>
  <c r="K16" i="9" s="1"/>
  <c r="G13" i="2"/>
  <c r="H47" i="9"/>
  <c r="K47" i="9" s="1"/>
  <c r="G69" i="2"/>
  <c r="J571" i="9"/>
  <c r="H571" i="9"/>
  <c r="H45" i="9"/>
  <c r="J45" i="9"/>
  <c r="G64" i="2"/>
  <c r="H38" i="9"/>
  <c r="K38" i="9" s="1"/>
  <c r="H9" i="9"/>
  <c r="K9" i="9" s="1"/>
  <c r="H16" i="4"/>
  <c r="G16" i="2"/>
  <c r="K16" i="1"/>
  <c r="H12" i="9"/>
  <c r="K12" i="9" s="1"/>
  <c r="G11" i="2"/>
  <c r="J8" i="9"/>
  <c r="H8" i="9"/>
  <c r="J516" i="9"/>
  <c r="H516" i="9"/>
  <c r="H71" i="4"/>
  <c r="G70" i="2"/>
  <c r="H46" i="9"/>
  <c r="K46" i="9" s="1"/>
  <c r="G65" i="2"/>
  <c r="H39" i="9"/>
  <c r="K39" i="9" s="1"/>
  <c r="H31" i="9"/>
  <c r="J31" i="9"/>
  <c r="J513" i="9"/>
  <c r="H513" i="9"/>
  <c r="G34" i="2"/>
  <c r="H477" i="9"/>
  <c r="J43" i="6"/>
  <c r="H48" i="9"/>
  <c r="J48" i="9"/>
  <c r="H40" i="9"/>
  <c r="K40" i="9" s="1"/>
  <c r="G66" i="2"/>
  <c r="H32" i="9"/>
  <c r="J32" i="9"/>
  <c r="J25" i="9"/>
  <c r="H25" i="9"/>
  <c r="H30" i="9"/>
  <c r="J30" i="9"/>
  <c r="H49" i="9"/>
  <c r="K49" i="9" s="1"/>
  <c r="G67" i="2"/>
  <c r="J517" i="9"/>
  <c r="H517" i="9"/>
  <c r="J13" i="9"/>
  <c r="H13" i="9"/>
  <c r="H33" i="9"/>
  <c r="J33" i="9"/>
  <c r="H26" i="9"/>
  <c r="J26" i="9"/>
  <c r="H17" i="9"/>
  <c r="J17" i="9"/>
  <c r="J21" i="9"/>
  <c r="H21" i="9"/>
  <c r="H43" i="9"/>
  <c r="K43" i="9" s="1"/>
  <c r="G98" i="2"/>
  <c r="G92" i="2" s="1"/>
  <c r="J15" i="9"/>
  <c r="H15" i="9"/>
  <c r="G61" i="2"/>
  <c r="H35" i="9"/>
  <c r="K35" i="9" s="1"/>
  <c r="G62" i="2"/>
  <c r="H36" i="9"/>
  <c r="K36" i="9" s="1"/>
  <c r="H422" i="9"/>
  <c r="K422" i="9" s="1"/>
  <c r="G85" i="2"/>
  <c r="G79" i="2" s="1"/>
  <c r="H37" i="9"/>
  <c r="K37" i="9" s="1"/>
  <c r="G63" i="2"/>
  <c r="H14" i="9"/>
  <c r="K14" i="9" s="1"/>
  <c r="G12" i="2"/>
  <c r="H28" i="9"/>
  <c r="J28" i="9"/>
  <c r="J519" i="9"/>
  <c r="H519" i="9"/>
  <c r="H10" i="9"/>
  <c r="H7" i="9"/>
  <c r="J7" i="9"/>
  <c r="J23" i="9"/>
  <c r="H23" i="9"/>
  <c r="H514" i="9"/>
  <c r="J514" i="9"/>
  <c r="H41" i="9"/>
  <c r="K41" i="9" s="1"/>
  <c r="G68" i="2"/>
  <c r="K15" i="1"/>
  <c r="M15" i="1" s="1"/>
  <c r="P15" i="1" s="1"/>
  <c r="G15" i="2"/>
  <c r="H27" i="9"/>
  <c r="K27" i="9" s="1"/>
  <c r="H15" i="4"/>
  <c r="H19" i="9"/>
  <c r="J19" i="9"/>
  <c r="H11" i="9"/>
  <c r="J11" i="9"/>
  <c r="H50" i="9"/>
  <c r="J50" i="9"/>
  <c r="H6" i="9"/>
  <c r="J6" i="9"/>
  <c r="J22" i="9"/>
  <c r="H22" i="9"/>
  <c r="H24" i="9"/>
  <c r="J24" i="9"/>
  <c r="K17" i="9" l="1"/>
  <c r="K26" i="9"/>
  <c r="K6" i="9"/>
  <c r="K21" i="9"/>
  <c r="K13" i="9"/>
  <c r="K516" i="9"/>
  <c r="K24" i="9"/>
  <c r="K32" i="9"/>
  <c r="K31" i="9"/>
  <c r="K15" i="9"/>
  <c r="K519" i="9"/>
  <c r="K11" i="9"/>
  <c r="K28" i="9"/>
  <c r="K19" i="9"/>
  <c r="K7" i="9"/>
  <c r="P15" i="4"/>
  <c r="O62" i="2"/>
  <c r="O11" i="2"/>
  <c r="K571" i="9"/>
  <c r="O13" i="2"/>
  <c r="K51" i="9"/>
  <c r="O77" i="2"/>
  <c r="O73" i="2" s="1"/>
  <c r="O125" i="2" s="1"/>
  <c r="G73" i="2"/>
  <c r="O66" i="2"/>
  <c r="P71" i="4"/>
  <c r="I71" i="4"/>
  <c r="Q71" i="4" s="1"/>
  <c r="O12" i="2"/>
  <c r="K50" i="9"/>
  <c r="I15" i="2"/>
  <c r="Q15" i="2" s="1"/>
  <c r="O15" i="2"/>
  <c r="K514" i="9"/>
  <c r="G126" i="2"/>
  <c r="O85" i="2"/>
  <c r="K30" i="9"/>
  <c r="O34" i="2"/>
  <c r="G60" i="2"/>
  <c r="H34" i="9"/>
  <c r="K34" i="9" s="1"/>
  <c r="G127" i="2"/>
  <c r="O98" i="2"/>
  <c r="M16" i="1"/>
  <c r="P16" i="1" s="1"/>
  <c r="K517" i="9"/>
  <c r="O65" i="2"/>
  <c r="O64" i="2"/>
  <c r="O69" i="2"/>
  <c r="K20" i="9"/>
  <c r="K23" i="9"/>
  <c r="K33" i="9"/>
  <c r="O67" i="2"/>
  <c r="K25" i="9"/>
  <c r="K48" i="9"/>
  <c r="K513" i="9"/>
  <c r="K8" i="9"/>
  <c r="I16" i="2"/>
  <c r="Q16" i="2" s="1"/>
  <c r="O16" i="2"/>
  <c r="K45" i="9"/>
  <c r="K44" i="9"/>
  <c r="G122" i="2"/>
  <c r="O122" i="2"/>
  <c r="O68" i="2"/>
  <c r="O70" i="2"/>
  <c r="P16" i="4"/>
  <c r="O14" i="2"/>
  <c r="K22" i="9"/>
  <c r="O63" i="2"/>
  <c r="O61" i="2"/>
  <c r="I43" i="6"/>
  <c r="O79" i="2" l="1"/>
  <c r="O126" i="2" s="1"/>
  <c r="O92" i="2"/>
  <c r="O127" i="2" s="1"/>
  <c r="G31" i="2"/>
  <c r="H409" i="9"/>
  <c r="G125" i="2"/>
  <c r="O60" i="2"/>
  <c r="O59" i="2" s="1"/>
  <c r="O124" i="2" s="1"/>
  <c r="G59" i="2"/>
  <c r="O31" i="2" l="1"/>
  <c r="O30" i="2" s="1"/>
  <c r="O121" i="2" s="1"/>
  <c r="G30" i="2"/>
  <c r="G124" i="2"/>
  <c r="O57" i="2"/>
  <c r="G121" i="2" l="1"/>
  <c r="G57" i="2"/>
  <c r="G10" i="2" l="1"/>
  <c r="G9" i="2" s="1"/>
  <c r="H5" i="9"/>
  <c r="H1" i="9" l="1"/>
  <c r="K5" i="9"/>
  <c r="G119" i="2"/>
  <c r="G118" i="2" s="1"/>
  <c r="O10" i="2"/>
  <c r="O9" i="2" l="1"/>
  <c r="O119" i="2" s="1"/>
  <c r="I52" i="9"/>
  <c r="I60" i="9"/>
  <c r="K60" i="9" s="1"/>
  <c r="G7" i="2"/>
  <c r="O118" i="2" l="1"/>
  <c r="J16" i="12" s="1"/>
  <c r="J18" i="12" s="1"/>
  <c r="O7" i="2"/>
  <c r="K52" i="9"/>
  <c r="I1" i="9"/>
  <c r="D16" i="12"/>
  <c r="D18" i="12" s="1"/>
  <c r="J407" i="9" l="1"/>
  <c r="K407" i="9" s="1"/>
  <c r="J411" i="9"/>
  <c r="K411" i="9" s="1"/>
  <c r="J413" i="9"/>
  <c r="K413" i="9" s="1"/>
  <c r="J405" i="9"/>
  <c r="K405" i="9" s="1"/>
  <c r="J477" i="9" l="1"/>
  <c r="K477" i="9" s="1"/>
  <c r="L43" i="6"/>
  <c r="N43" i="6" s="1"/>
  <c r="J10" i="9" l="1"/>
  <c r="L7" i="6"/>
  <c r="L10" i="1"/>
  <c r="J403" i="9"/>
  <c r="K403" i="9" s="1"/>
  <c r="K10" i="9" l="1"/>
  <c r="J409" i="9" l="1"/>
  <c r="K409" i="9" l="1"/>
  <c r="J1" i="9"/>
  <c r="P1" i="9" s="1"/>
  <c r="D103" i="3" l="1"/>
  <c r="D103" i="4"/>
  <c r="D103" i="1"/>
  <c r="D103" i="2"/>
  <c r="D89" i="3"/>
  <c r="D89" i="1"/>
  <c r="D89" i="2"/>
  <c r="D89" i="4"/>
  <c r="E20" i="6"/>
  <c r="D24" i="1"/>
  <c r="D24" i="4"/>
  <c r="D24" i="2"/>
  <c r="D24" i="3"/>
  <c r="D80" i="3"/>
  <c r="D80" i="2"/>
  <c r="D80" i="4"/>
  <c r="D80" i="1"/>
  <c r="E52" i="6"/>
  <c r="D101" i="3"/>
  <c r="D101" i="2"/>
  <c r="D101" i="4"/>
  <c r="D101" i="1"/>
  <c r="D110" i="4"/>
  <c r="D110" i="3"/>
  <c r="D110" i="1"/>
  <c r="D110" i="2"/>
  <c r="D85" i="3"/>
  <c r="D85" i="4"/>
  <c r="D85" i="2"/>
  <c r="D85" i="1"/>
  <c r="D52" i="1"/>
  <c r="D52" i="3"/>
  <c r="D52" i="2"/>
  <c r="D52" i="4"/>
  <c r="D39" i="3"/>
  <c r="D39" i="1"/>
  <c r="D39" i="2"/>
  <c r="D39" i="4"/>
  <c r="D82" i="2"/>
  <c r="D82" i="4"/>
  <c r="D82" i="1"/>
  <c r="D82" i="3"/>
  <c r="D96" i="3"/>
  <c r="D96" i="2"/>
  <c r="D96" i="4"/>
  <c r="D96" i="1"/>
  <c r="D67" i="2"/>
  <c r="D67" i="1"/>
  <c r="D67" i="4"/>
  <c r="E65" i="6"/>
  <c r="D67" i="3"/>
  <c r="D100" i="3"/>
  <c r="D100" i="2"/>
  <c r="D100" i="1"/>
  <c r="D100" i="4"/>
  <c r="D66" i="1"/>
  <c r="D66" i="3"/>
  <c r="E64" i="6"/>
  <c r="D66" i="2"/>
  <c r="D66" i="4"/>
  <c r="D42" i="2"/>
  <c r="D42" i="3"/>
  <c r="D42" i="4"/>
  <c r="D42" i="1"/>
  <c r="D60" i="1"/>
  <c r="D60" i="2"/>
  <c r="D60" i="4"/>
  <c r="E58" i="6"/>
  <c r="D60" i="3"/>
  <c r="D53" i="1"/>
  <c r="D53" i="2"/>
  <c r="D53" i="4"/>
  <c r="D53" i="3"/>
  <c r="D25" i="3"/>
  <c r="D25" i="2"/>
  <c r="D25" i="4"/>
  <c r="D25" i="1"/>
  <c r="D105" i="3"/>
  <c r="D105" i="4"/>
  <c r="D105" i="2"/>
  <c r="D105" i="1"/>
  <c r="D88" i="3"/>
  <c r="D88" i="4"/>
  <c r="D88" i="1"/>
  <c r="D88" i="2"/>
  <c r="D83" i="4"/>
  <c r="D83" i="1"/>
  <c r="D83" i="2"/>
  <c r="D83" i="3"/>
  <c r="D90" i="1"/>
  <c r="D90" i="3"/>
  <c r="D90" i="2"/>
  <c r="D90" i="4"/>
  <c r="D114" i="3"/>
  <c r="E79" i="6"/>
  <c r="D114" i="2"/>
  <c r="D114" i="1"/>
  <c r="D114" i="4"/>
  <c r="E78" i="6"/>
  <c r="D26" i="3"/>
  <c r="D26" i="4"/>
  <c r="D26" i="1"/>
  <c r="D26" i="2"/>
  <c r="D71" i="3"/>
  <c r="R71" i="3" s="1"/>
  <c r="D71" i="1"/>
  <c r="D71" i="2"/>
  <c r="D71" i="4"/>
  <c r="D77" i="4"/>
  <c r="D77" i="2"/>
  <c r="D77" i="3"/>
  <c r="D77" i="1"/>
  <c r="D111" i="4"/>
  <c r="D111" i="1"/>
  <c r="D111" i="2"/>
  <c r="D111" i="3"/>
  <c r="D51" i="3"/>
  <c r="E51" i="6"/>
  <c r="D51" i="4"/>
  <c r="D51" i="2"/>
  <c r="D51" i="1"/>
  <c r="E61" i="6"/>
  <c r="D63" i="2"/>
  <c r="D63" i="4"/>
  <c r="D63" i="3"/>
  <c r="D63" i="1"/>
  <c r="D40" i="4"/>
  <c r="D40" i="3"/>
  <c r="D40" i="2"/>
  <c r="D40" i="1"/>
  <c r="D44" i="2"/>
  <c r="D44" i="1"/>
  <c r="D44" i="4"/>
  <c r="D44" i="3"/>
  <c r="D74" i="3"/>
  <c r="D74" i="4"/>
  <c r="D74" i="2"/>
  <c r="D74" i="1"/>
  <c r="D61" i="4"/>
  <c r="D61" i="2"/>
  <c r="E59" i="6"/>
  <c r="D61" i="3"/>
  <c r="D61" i="1"/>
  <c r="D84" i="4"/>
  <c r="D84" i="3"/>
  <c r="D84" i="2"/>
  <c r="D84" i="1"/>
  <c r="D62" i="1"/>
  <c r="D62" i="4"/>
  <c r="E60" i="6"/>
  <c r="D62" i="2"/>
  <c r="D62" i="3"/>
  <c r="D54" i="3"/>
  <c r="D54" i="4"/>
  <c r="D54" i="2"/>
  <c r="D54" i="1"/>
  <c r="D41" i="4"/>
  <c r="D41" i="3"/>
  <c r="D41" i="2"/>
  <c r="D41" i="1"/>
  <c r="D21" i="2"/>
  <c r="E11" i="6"/>
  <c r="D21" i="3"/>
  <c r="D21" i="4"/>
  <c r="D21" i="1"/>
  <c r="D97" i="2"/>
  <c r="D97" i="4"/>
  <c r="D97" i="3"/>
  <c r="D97" i="1"/>
  <c r="D115" i="2"/>
  <c r="D115" i="3"/>
  <c r="D115" i="1"/>
  <c r="E80" i="6"/>
  <c r="D115" i="4"/>
  <c r="D27" i="3"/>
  <c r="D27" i="2"/>
  <c r="D27" i="1"/>
  <c r="D27" i="4"/>
  <c r="E25" i="6"/>
  <c r="D75" i="2"/>
  <c r="D75" i="3"/>
  <c r="D75" i="4"/>
  <c r="D75" i="1"/>
  <c r="E70" i="6"/>
  <c r="D95" i="1"/>
  <c r="D95" i="2"/>
  <c r="D95" i="4"/>
  <c r="D95" i="3"/>
  <c r="D98" i="2"/>
  <c r="D98" i="1"/>
  <c r="D98" i="3"/>
  <c r="D98" i="4"/>
  <c r="D87" i="3"/>
  <c r="D87" i="1"/>
  <c r="D87" i="4"/>
  <c r="D87" i="2"/>
  <c r="D43" i="4"/>
  <c r="D43" i="1"/>
  <c r="D43" i="2"/>
  <c r="D43" i="3"/>
  <c r="D109" i="3"/>
  <c r="D109" i="1"/>
  <c r="D109" i="2"/>
  <c r="D109" i="4"/>
  <c r="E73" i="6"/>
  <c r="D81" i="4"/>
  <c r="D81" i="1"/>
  <c r="D81" i="3"/>
  <c r="D81" i="2"/>
  <c r="D20" i="4"/>
  <c r="D20" i="3"/>
  <c r="D20" i="1"/>
  <c r="E8" i="6"/>
  <c r="D20" i="2"/>
  <c r="D64" i="2"/>
  <c r="E62" i="6"/>
  <c r="D64" i="3"/>
  <c r="D64" i="1"/>
  <c r="D64" i="4"/>
  <c r="D86" i="2"/>
  <c r="D86" i="4"/>
  <c r="D86" i="3"/>
  <c r="D86" i="1"/>
  <c r="D70" i="4"/>
  <c r="D70" i="1"/>
  <c r="D70" i="3"/>
  <c r="D70" i="2"/>
  <c r="E50" i="6"/>
  <c r="D65" i="1"/>
  <c r="D65" i="3"/>
  <c r="D65" i="2"/>
  <c r="E63" i="6"/>
  <c r="D65" i="4"/>
  <c r="D116" i="2"/>
  <c r="D116" i="1"/>
  <c r="E81" i="6"/>
  <c r="D116" i="4"/>
  <c r="D116" i="3"/>
  <c r="D23" i="2"/>
  <c r="E14" i="6"/>
  <c r="D23" i="4"/>
  <c r="D23" i="3"/>
  <c r="D23" i="1"/>
  <c r="D102" i="3"/>
  <c r="D102" i="2"/>
  <c r="D102" i="4"/>
  <c r="D102" i="1"/>
  <c r="D93" i="3"/>
  <c r="D93" i="1"/>
  <c r="D93" i="2"/>
  <c r="D93" i="4"/>
  <c r="D99" i="3"/>
  <c r="D99" i="2"/>
  <c r="D99" i="1"/>
  <c r="D99" i="4"/>
  <c r="D108" i="1" l="1"/>
  <c r="D128" i="1" s="1"/>
  <c r="D38" i="4"/>
  <c r="D38" i="2"/>
  <c r="D38" i="1"/>
  <c r="D122" i="1" s="1"/>
  <c r="D38" i="3"/>
  <c r="D73" i="4"/>
  <c r="D49" i="2"/>
  <c r="D73" i="3"/>
  <c r="D49" i="4"/>
  <c r="D113" i="3"/>
  <c r="D19" i="2"/>
  <c r="D59" i="3"/>
  <c r="D79" i="1"/>
  <c r="D126" i="1" s="1"/>
  <c r="D49" i="3"/>
  <c r="D79" i="2"/>
  <c r="D19" i="1"/>
  <c r="D120" i="1" s="1"/>
  <c r="D108" i="3"/>
  <c r="G7" i="12"/>
  <c r="D59" i="4"/>
  <c r="D79" i="4"/>
  <c r="D19" i="3"/>
  <c r="D108" i="2"/>
  <c r="D113" i="4"/>
  <c r="D59" i="2"/>
  <c r="D79" i="3"/>
  <c r="D19" i="4"/>
  <c r="D73" i="1"/>
  <c r="D125" i="1" s="1"/>
  <c r="D113" i="1"/>
  <c r="D129" i="1" s="1"/>
  <c r="B24" i="12" s="1"/>
  <c r="D59" i="1"/>
  <c r="D124" i="1" s="1"/>
  <c r="D73" i="2"/>
  <c r="D49" i="1"/>
  <c r="D123" i="1" s="1"/>
  <c r="D108" i="4"/>
  <c r="D113" i="2"/>
  <c r="D129" i="4" l="1"/>
  <c r="D126" i="4"/>
  <c r="D122" i="4"/>
  <c r="D126" i="2"/>
  <c r="D123" i="2"/>
  <c r="D125" i="2"/>
  <c r="D120" i="4"/>
  <c r="D128" i="2"/>
  <c r="D124" i="4"/>
  <c r="D122" i="3"/>
  <c r="D129" i="3"/>
  <c r="D122" i="2"/>
  <c r="D124" i="3"/>
  <c r="D125" i="4"/>
  <c r="D126" i="3"/>
  <c r="D123" i="4"/>
  <c r="D120" i="3"/>
  <c r="D129" i="2"/>
  <c r="D128" i="4"/>
  <c r="D124" i="2"/>
  <c r="D128" i="3"/>
  <c r="D120" i="2"/>
  <c r="D125" i="3"/>
  <c r="D123" i="3"/>
  <c r="B14" i="12" l="1"/>
  <c r="B17" i="12"/>
  <c r="D94" i="4" l="1"/>
  <c r="D94" i="1"/>
  <c r="D94" i="2"/>
  <c r="D94" i="3"/>
  <c r="D33" i="3"/>
  <c r="D33" i="2"/>
  <c r="D33" i="4"/>
  <c r="D33" i="1"/>
  <c r="E46" i="6"/>
  <c r="D32" i="1"/>
  <c r="E45" i="6"/>
  <c r="D32" i="2"/>
  <c r="D32" i="4"/>
  <c r="D32" i="3"/>
  <c r="D31" i="4"/>
  <c r="E44" i="6"/>
  <c r="D31" i="2"/>
  <c r="D31" i="3"/>
  <c r="D31" i="1"/>
  <c r="E71" i="6"/>
  <c r="E76" i="6" l="1"/>
  <c r="E19" i="6"/>
  <c r="D14" i="4"/>
  <c r="D14" i="2"/>
  <c r="D14" i="1"/>
  <c r="D14" i="3"/>
  <c r="D36" i="3"/>
  <c r="E42" i="6"/>
  <c r="D36" i="1"/>
  <c r="D36" i="2"/>
  <c r="D36" i="4"/>
  <c r="E41" i="6"/>
  <c r="D34" i="1"/>
  <c r="D34" i="3"/>
  <c r="D34" i="2"/>
  <c r="D34" i="4"/>
  <c r="E24" i="6"/>
  <c r="D16" i="3"/>
  <c r="D16" i="4"/>
  <c r="D16" i="1"/>
  <c r="D16" i="2"/>
  <c r="D104" i="3"/>
  <c r="D104" i="1"/>
  <c r="D92" i="1" s="1"/>
  <c r="D127" i="1" s="1"/>
  <c r="D57" i="1" s="1"/>
  <c r="D104" i="2"/>
  <c r="D104" i="4"/>
  <c r="D11" i="4"/>
  <c r="D11" i="2"/>
  <c r="E10" i="6"/>
  <c r="D11" i="1"/>
  <c r="D12" i="4"/>
  <c r="D12" i="2"/>
  <c r="D12" i="1"/>
  <c r="E13" i="6"/>
  <c r="D30" i="1" l="1"/>
  <c r="D121" i="1" s="1"/>
  <c r="D92" i="3"/>
  <c r="D30" i="2"/>
  <c r="D121" i="2" s="1"/>
  <c r="E16" i="6"/>
  <c r="D13" i="4"/>
  <c r="D13" i="1"/>
  <c r="D13" i="2"/>
  <c r="D92" i="4"/>
  <c r="D30" i="4"/>
  <c r="D17" i="3"/>
  <c r="D17" i="4"/>
  <c r="D17" i="1"/>
  <c r="D17" i="2"/>
  <c r="E22" i="6"/>
  <c r="D92" i="2"/>
  <c r="E33" i="6"/>
  <c r="D15" i="1"/>
  <c r="D15" i="2"/>
  <c r="D15" i="3"/>
  <c r="D15" i="4"/>
  <c r="D30" i="3"/>
  <c r="D127" i="3" l="1"/>
  <c r="D57" i="3" s="1"/>
  <c r="D121" i="3"/>
  <c r="D121" i="4"/>
  <c r="D127" i="4"/>
  <c r="D127" i="2"/>
  <c r="D57" i="4" l="1"/>
  <c r="E7" i="6"/>
  <c r="D10" i="4"/>
  <c r="D10" i="1"/>
  <c r="D9" i="1" s="1"/>
  <c r="D119" i="1" s="1"/>
  <c r="D10" i="2"/>
  <c r="G2" i="5"/>
  <c r="B7" i="12" s="1"/>
  <c r="D57" i="2"/>
  <c r="D9" i="2" l="1"/>
  <c r="D118" i="1"/>
  <c r="D7" i="1"/>
  <c r="D9" i="3"/>
  <c r="D9" i="4"/>
  <c r="E54" i="6"/>
  <c r="E83" i="6" s="1"/>
  <c r="B10" i="12" s="1"/>
  <c r="D119" i="3" l="1"/>
  <c r="D118" i="3" s="1"/>
  <c r="D119" i="4"/>
  <c r="B4" i="12"/>
  <c r="B23" i="12"/>
  <c r="D119" i="2"/>
  <c r="D7" i="2" l="1"/>
  <c r="D118" i="2"/>
  <c r="B25" i="12"/>
  <c r="B1" i="12"/>
  <c r="D7" i="4"/>
  <c r="D118" i="4"/>
  <c r="D7" i="3"/>
  <c r="B20" i="12" l="1"/>
  <c r="B13" i="12"/>
  <c r="B16" i="12"/>
  <c r="B18" i="12" s="1"/>
  <c r="G52" i="3" l="1"/>
  <c r="G100" i="3"/>
  <c r="G26" i="3"/>
  <c r="G77" i="3"/>
  <c r="O77" i="3" l="1"/>
  <c r="O52" i="3"/>
  <c r="O26" i="3"/>
  <c r="O100" i="3"/>
  <c r="G88" i="1" l="1"/>
  <c r="G83" i="3"/>
  <c r="G88" i="3" l="1"/>
  <c r="I88" i="3" s="1"/>
  <c r="Q88" i="3" s="1"/>
  <c r="G88" i="4"/>
  <c r="O88" i="4" s="1"/>
  <c r="G83" i="1"/>
  <c r="G83" i="4"/>
  <c r="O83" i="4" s="1"/>
  <c r="O83" i="3"/>
  <c r="I83" i="3"/>
  <c r="Q83" i="3" s="1"/>
  <c r="O88" i="3" l="1"/>
  <c r="I2" i="5" l="1"/>
  <c r="AE76" i="5" l="1"/>
  <c r="AE230" i="5"/>
  <c r="AE399" i="5"/>
  <c r="AE542" i="5"/>
  <c r="AE162" i="5"/>
  <c r="AE189" i="5"/>
  <c r="AE327" i="5"/>
  <c r="AE350" i="5"/>
  <c r="AE257" i="5"/>
  <c r="AE154" i="5"/>
  <c r="AE227" i="5"/>
  <c r="AE228" i="5"/>
  <c r="AE208" i="5"/>
  <c r="AE178" i="5"/>
  <c r="AE168" i="5"/>
  <c r="AE145" i="5"/>
  <c r="AE160" i="5"/>
  <c r="AE344" i="5"/>
  <c r="AE517" i="5"/>
  <c r="AE126" i="5"/>
  <c r="AE85" i="5"/>
  <c r="AE57" i="5"/>
  <c r="AE565" i="5"/>
  <c r="AE39" i="5"/>
  <c r="AE40" i="5"/>
  <c r="AE72" i="5"/>
  <c r="AE118" i="5"/>
  <c r="AE14" i="5"/>
  <c r="AE330" i="5"/>
  <c r="L41" i="1" s="1"/>
  <c r="AE339" i="5"/>
  <c r="AE422" i="5"/>
  <c r="AE402" i="5"/>
  <c r="AE435" i="5"/>
  <c r="AE392" i="5"/>
  <c r="AE429" i="5"/>
  <c r="AE258" i="5"/>
  <c r="AE267" i="5"/>
  <c r="AE204" i="5"/>
  <c r="AE119" i="5"/>
  <c r="AE468" i="5"/>
  <c r="AE461" i="5"/>
  <c r="L84" i="1" s="1"/>
  <c r="AE419" i="5"/>
  <c r="AE314" i="5"/>
  <c r="AE323" i="5"/>
  <c r="AE406" i="5"/>
  <c r="AE452" i="5"/>
  <c r="AE453" i="5"/>
  <c r="AE460" i="5"/>
  <c r="AE526" i="5"/>
  <c r="AE480" i="5"/>
  <c r="AE59" i="5"/>
  <c r="AE518" i="5"/>
  <c r="AE524" i="5"/>
  <c r="AE290" i="5"/>
  <c r="AE237" i="5"/>
  <c r="AE560" i="5"/>
  <c r="AE459" i="5"/>
  <c r="L82" i="1" s="1"/>
  <c r="AE35" i="5"/>
  <c r="AE447" i="5"/>
  <c r="AE101" i="5"/>
  <c r="AE509" i="5"/>
  <c r="AE503" i="5"/>
  <c r="L95" i="1" s="1"/>
  <c r="AE137" i="5"/>
  <c r="AE456" i="5"/>
  <c r="AE464" i="5"/>
  <c r="AE325" i="5"/>
  <c r="AE462" i="5"/>
  <c r="AE299" i="5"/>
  <c r="AE124" i="5"/>
  <c r="AE263" i="5"/>
  <c r="AE286" i="5"/>
  <c r="AE193" i="5"/>
  <c r="AE89" i="5"/>
  <c r="AE163" i="5"/>
  <c r="AE164" i="5"/>
  <c r="AE144" i="5"/>
  <c r="AE315" i="5"/>
  <c r="AE446" i="5"/>
  <c r="AE298" i="5"/>
  <c r="AE438" i="5"/>
  <c r="AE574" i="5"/>
  <c r="AE433" i="5"/>
  <c r="AE63" i="5"/>
  <c r="AE26" i="5"/>
  <c r="AE404" i="5"/>
  <c r="AE482" i="5"/>
  <c r="AE500" i="5"/>
  <c r="AE543" i="5"/>
  <c r="AE577" i="5"/>
  <c r="AE55" i="5"/>
  <c r="AE513" i="5"/>
  <c r="AE266" i="5"/>
  <c r="AE275" i="5"/>
  <c r="AE348" i="5"/>
  <c r="AE320" i="5"/>
  <c r="AE367" i="5"/>
  <c r="AE326" i="5"/>
  <c r="AE361" i="5"/>
  <c r="AE194" i="5"/>
  <c r="AE203" i="5"/>
  <c r="AE140" i="5"/>
  <c r="AE56" i="5"/>
  <c r="AE427" i="5"/>
  <c r="AE382" i="5"/>
  <c r="AE353" i="5"/>
  <c r="AE250" i="5"/>
  <c r="AE259" i="5"/>
  <c r="AE324" i="5"/>
  <c r="AE368" i="5"/>
  <c r="AE548" i="5"/>
  <c r="AE478" i="5"/>
  <c r="AE374" i="5"/>
  <c r="AE411" i="5"/>
  <c r="AE252" i="5"/>
  <c r="AE238" i="5"/>
  <c r="AE308" i="5"/>
  <c r="AE507" i="5"/>
  <c r="L98" i="1" s="1"/>
  <c r="AE173" i="5"/>
  <c r="AE148" i="5"/>
  <c r="AE316" i="5"/>
  <c r="AE450" i="5"/>
  <c r="AE179" i="5"/>
  <c r="AE329" i="5"/>
  <c r="AE357" i="5"/>
  <c r="AE307" i="5"/>
  <c r="AE97" i="5"/>
  <c r="AE558" i="5"/>
  <c r="AE580" i="5"/>
  <c r="AE261" i="5"/>
  <c r="AE401" i="5"/>
  <c r="AE171" i="5"/>
  <c r="AE61" i="5"/>
  <c r="AE199" i="5"/>
  <c r="AE222" i="5"/>
  <c r="L53" i="1" s="1"/>
  <c r="AE128" i="5"/>
  <c r="AE38" i="5"/>
  <c r="AE98" i="5"/>
  <c r="AE99" i="5"/>
  <c r="AE79" i="5"/>
  <c r="AE122" i="5"/>
  <c r="AE343" i="5"/>
  <c r="AE105" i="5"/>
  <c r="AE510" i="5"/>
  <c r="AE373" i="5"/>
  <c r="AE519" i="5"/>
  <c r="L102" i="1" s="1"/>
  <c r="AE562" i="5"/>
  <c r="AE521" i="5"/>
  <c r="AE338" i="5"/>
  <c r="AE413" i="5"/>
  <c r="AE432" i="5"/>
  <c r="AE471" i="5"/>
  <c r="L86" i="1" s="1"/>
  <c r="AE561" i="5"/>
  <c r="AE477" i="5"/>
  <c r="L87" i="1" s="1"/>
  <c r="AE437" i="5"/>
  <c r="AE202" i="5"/>
  <c r="AE211" i="5"/>
  <c r="AE276" i="5"/>
  <c r="AE256" i="5"/>
  <c r="AE303" i="5"/>
  <c r="AE262" i="5"/>
  <c r="AE297" i="5"/>
  <c r="AE129" i="5"/>
  <c r="AE139" i="5"/>
  <c r="AE75" i="5"/>
  <c r="AE530" i="5"/>
  <c r="L100" i="1" s="1"/>
  <c r="AE359" i="5"/>
  <c r="AE318" i="5"/>
  <c r="AE289" i="5"/>
  <c r="AE186" i="5"/>
  <c r="L52" i="1" s="1"/>
  <c r="AE195" i="5"/>
  <c r="AE260" i="5"/>
  <c r="AE304" i="5"/>
  <c r="AE415" i="5"/>
  <c r="AE417" i="5"/>
  <c r="AE310" i="5"/>
  <c r="L55" i="1" s="1"/>
  <c r="AE281" i="5"/>
  <c r="AE60" i="5"/>
  <c r="AE544" i="5"/>
  <c r="AE51" i="5"/>
  <c r="AE300" i="5"/>
  <c r="AE108" i="5"/>
  <c r="AE345" i="5"/>
  <c r="AE123" i="5"/>
  <c r="AE302" i="5"/>
  <c r="AE455" i="5"/>
  <c r="AE354" i="5"/>
  <c r="AE293" i="5"/>
  <c r="AE50" i="5"/>
  <c r="AE236" i="5"/>
  <c r="AE556" i="5"/>
  <c r="AE407" i="5"/>
  <c r="AE470" i="5"/>
  <c r="AE45" i="5"/>
  <c r="AE197" i="5"/>
  <c r="AE335" i="5"/>
  <c r="AE448" i="5"/>
  <c r="AE532" i="5"/>
  <c r="AE135" i="5"/>
  <c r="AE158" i="5"/>
  <c r="AE65" i="5"/>
  <c r="AE573" i="5"/>
  <c r="AE46" i="5"/>
  <c r="AE47" i="5"/>
  <c r="AE567" i="5"/>
  <c r="AE539" i="5"/>
  <c r="AE86" i="5"/>
  <c r="AE371" i="5"/>
  <c r="AE49" i="5"/>
  <c r="AE309" i="5"/>
  <c r="AE451" i="5"/>
  <c r="AE408" i="5"/>
  <c r="AE377" i="5"/>
  <c r="AE274" i="5"/>
  <c r="AE347" i="5"/>
  <c r="AE364" i="5"/>
  <c r="AE410" i="5"/>
  <c r="AE473" i="5"/>
  <c r="AE400" i="5"/>
  <c r="AE369" i="5"/>
  <c r="AE138" i="5"/>
  <c r="AE147" i="5"/>
  <c r="AE212" i="5"/>
  <c r="AE192" i="5"/>
  <c r="AE239" i="5"/>
  <c r="AE198" i="5"/>
  <c r="AE233" i="5"/>
  <c r="AE66" i="5"/>
  <c r="AE74" i="5"/>
  <c r="AE528" i="5"/>
  <c r="AE458" i="5"/>
  <c r="L88" i="1" s="1"/>
  <c r="AE295" i="5"/>
  <c r="AE254" i="5"/>
  <c r="AE225" i="5"/>
  <c r="AE121" i="5"/>
  <c r="AE130" i="5"/>
  <c r="AE196" i="5"/>
  <c r="AE240" i="5"/>
  <c r="AE341" i="5"/>
  <c r="AE351" i="5"/>
  <c r="AE246" i="5"/>
  <c r="AE153" i="5"/>
  <c r="AE444" i="5"/>
  <c r="AE337" i="5"/>
  <c r="AE288" i="5"/>
  <c r="AE172" i="5"/>
  <c r="AE501" i="5"/>
  <c r="AE88" i="5"/>
  <c r="AE17" i="5"/>
  <c r="AE109" i="5"/>
  <c r="AE244" i="5"/>
  <c r="AE363" i="5"/>
  <c r="AE229" i="5"/>
  <c r="AE115" i="5"/>
  <c r="AE563" i="5"/>
  <c r="AE333" i="5"/>
  <c r="AE390" i="5"/>
  <c r="AE106" i="5"/>
  <c r="AE132" i="5"/>
  <c r="AE271" i="5"/>
  <c r="AE280" i="5"/>
  <c r="AE441" i="5"/>
  <c r="AE71" i="5"/>
  <c r="AE93" i="5"/>
  <c r="AE575" i="5"/>
  <c r="AE499" i="5"/>
  <c r="AE508" i="5"/>
  <c r="AE479" i="5"/>
  <c r="AE481" i="5"/>
  <c r="AE398" i="5"/>
  <c r="AE366" i="5"/>
  <c r="AE114" i="5"/>
  <c r="AE265" i="5"/>
  <c r="AE245" i="5"/>
  <c r="AE383" i="5"/>
  <c r="AE342" i="5"/>
  <c r="AE313" i="5"/>
  <c r="AE210" i="5"/>
  <c r="AE283" i="5"/>
  <c r="AE284" i="5"/>
  <c r="AE328" i="5"/>
  <c r="AE443" i="5"/>
  <c r="AE334" i="5"/>
  <c r="AE241" i="5"/>
  <c r="AE73" i="5"/>
  <c r="AE82" i="5"/>
  <c r="AE83" i="5"/>
  <c r="AE127" i="5"/>
  <c r="AE175" i="5"/>
  <c r="AE134" i="5"/>
  <c r="AE169" i="5"/>
  <c r="AE545" i="5"/>
  <c r="AE475" i="5"/>
  <c r="AE394" i="5"/>
  <c r="L74" i="1" s="1"/>
  <c r="AE285" i="5"/>
  <c r="AE231" i="5"/>
  <c r="AE190" i="5"/>
  <c r="AE161" i="5"/>
  <c r="AE58" i="5"/>
  <c r="AE67" i="5"/>
  <c r="AE131" i="5"/>
  <c r="AE176" i="5"/>
  <c r="AE277" i="5"/>
  <c r="AE287" i="5"/>
  <c r="AE182" i="5"/>
  <c r="AE370" i="5"/>
  <c r="AE232" i="5"/>
  <c r="L54" i="1" s="1"/>
  <c r="AE80" i="5"/>
  <c r="AE95" i="5"/>
  <c r="AE216" i="5"/>
  <c r="AE511" i="5"/>
  <c r="AE306" i="5"/>
  <c r="AE296" i="5"/>
  <c r="AE403" i="5"/>
  <c r="L75" i="1" s="1"/>
  <c r="AE436" i="5"/>
  <c r="AE235" i="5"/>
  <c r="AE165" i="5"/>
  <c r="AE352" i="5"/>
  <c r="AE87" i="5"/>
  <c r="AE269" i="5"/>
  <c r="AE504" i="5"/>
  <c r="AE107" i="5"/>
  <c r="AE69" i="5"/>
  <c r="AE358" i="5"/>
  <c r="L47" i="1" s="1"/>
  <c r="AE391" i="5"/>
  <c r="AE534" i="5"/>
  <c r="AE529" i="5"/>
  <c r="AE346" i="5"/>
  <c r="AE421" i="5"/>
  <c r="L77" i="1" s="1"/>
  <c r="AE440" i="5"/>
  <c r="AE418" i="5"/>
  <c r="AE412" i="5"/>
  <c r="AE188" i="5"/>
  <c r="AE174" i="5"/>
  <c r="AE591" i="5"/>
  <c r="AE226" i="5"/>
  <c r="AE181" i="5"/>
  <c r="AE319" i="5"/>
  <c r="AE278" i="5"/>
  <c r="AE249" i="5"/>
  <c r="AE146" i="5"/>
  <c r="AE219" i="5"/>
  <c r="AE220" i="5"/>
  <c r="AE264" i="5"/>
  <c r="AE375" i="5"/>
  <c r="AE270" i="5"/>
  <c r="AE177" i="5"/>
  <c r="AE22" i="5"/>
  <c r="AE31" i="5"/>
  <c r="AE24" i="5"/>
  <c r="AE64" i="5"/>
  <c r="AE110" i="5"/>
  <c r="AE70" i="5"/>
  <c r="AE104" i="5"/>
  <c r="AE466" i="5"/>
  <c r="AE414" i="5"/>
  <c r="AE312" i="5"/>
  <c r="AE221" i="5"/>
  <c r="AE167" i="5"/>
  <c r="AE125" i="5"/>
  <c r="AE96" i="5"/>
  <c r="AE569" i="5"/>
  <c r="AE593" i="5"/>
  <c r="AE68" i="5"/>
  <c r="AE111" i="5"/>
  <c r="AE213" i="5"/>
  <c r="AE223" i="5"/>
  <c r="AE117" i="5"/>
  <c r="AE242" i="5"/>
  <c r="AE409" i="5"/>
  <c r="AE234" i="5"/>
  <c r="AE207" i="5"/>
  <c r="AE525" i="5"/>
  <c r="L101" i="1" s="1"/>
  <c r="AE183" i="5"/>
  <c r="AE113" i="5"/>
  <c r="AE103" i="5"/>
  <c r="AE209" i="5"/>
  <c r="AE224" i="5"/>
  <c r="AE516" i="5"/>
  <c r="AE100" i="5"/>
  <c r="AE143" i="5"/>
  <c r="AE420" i="5"/>
  <c r="AE205" i="5"/>
  <c r="AE506" i="5"/>
  <c r="AE152" i="5"/>
  <c r="AE540" i="5"/>
  <c r="AE536" i="5"/>
  <c r="AE317" i="5"/>
  <c r="AE457" i="5"/>
  <c r="AE502" i="5"/>
  <c r="AE385" i="5"/>
  <c r="AE282" i="5"/>
  <c r="AE355" i="5"/>
  <c r="AE372" i="5"/>
  <c r="AE336" i="5"/>
  <c r="AE217" i="5"/>
  <c r="AE512" i="5"/>
  <c r="AE472" i="5"/>
  <c r="AE180" i="5"/>
  <c r="AE431" i="5"/>
  <c r="AE116" i="5"/>
  <c r="AE255" i="5"/>
  <c r="AE214" i="5"/>
  <c r="AE185" i="5"/>
  <c r="AE81" i="5"/>
  <c r="AE155" i="5"/>
  <c r="AE156" i="5"/>
  <c r="AE200" i="5"/>
  <c r="AE311" i="5"/>
  <c r="AE142" i="5"/>
  <c r="AE112" i="5"/>
  <c r="AE474" i="5"/>
  <c r="AE566" i="5"/>
  <c r="L110" i="1" s="1"/>
  <c r="AE535" i="5"/>
  <c r="AE537" i="5"/>
  <c r="AE541" i="5"/>
  <c r="AE571" i="5"/>
  <c r="AE386" i="5"/>
  <c r="AE397" i="5"/>
  <c r="AE340" i="5"/>
  <c r="AE248" i="5"/>
  <c r="AE157" i="5"/>
  <c r="AE102" i="5"/>
  <c r="AE62" i="5"/>
  <c r="AE44" i="5"/>
  <c r="AE538" i="5"/>
  <c r="AE546" i="5"/>
  <c r="AE43" i="5"/>
  <c r="AE592" i="5"/>
  <c r="AE149" i="5"/>
  <c r="AE159" i="5"/>
  <c r="AE54" i="5"/>
  <c r="AE454" i="5"/>
  <c r="AE215" i="5"/>
  <c r="AE515" i="5"/>
  <c r="AE166" i="5"/>
  <c r="AE365" i="5"/>
  <c r="AE206" i="5"/>
  <c r="AE379" i="5"/>
  <c r="AE514" i="5"/>
  <c r="AE362" i="5"/>
  <c r="AE428" i="5"/>
  <c r="AE48" i="5"/>
  <c r="AE294" i="5"/>
  <c r="AE476" i="5"/>
  <c r="AE141" i="5"/>
  <c r="AE78" i="5"/>
  <c r="AE564" i="5"/>
  <c r="AE449" i="5"/>
  <c r="AE201" i="5"/>
  <c r="AE253" i="5"/>
  <c r="AE393" i="5"/>
  <c r="AE416" i="5"/>
  <c r="AE321" i="5"/>
  <c r="AE218" i="5"/>
  <c r="AE291" i="5"/>
  <c r="AE292" i="5"/>
  <c r="AE272" i="5"/>
  <c r="AE29" i="5"/>
  <c r="AE360" i="5"/>
  <c r="AE273" i="5"/>
  <c r="AE380" i="5"/>
  <c r="L43" i="1" s="1"/>
  <c r="AE52" i="5"/>
  <c r="AE191" i="5"/>
  <c r="AE150" i="5"/>
  <c r="AE120" i="5"/>
  <c r="AE30" i="5"/>
  <c r="AE90" i="5"/>
  <c r="AE91" i="5"/>
  <c r="AE136" i="5"/>
  <c r="AE247" i="5"/>
  <c r="AE77" i="5"/>
  <c r="AE396" i="5"/>
  <c r="AE405" i="5"/>
  <c r="AE485" i="5"/>
  <c r="AE463" i="5"/>
  <c r="L85" i="1" s="1"/>
  <c r="L83" i="1"/>
  <c r="AE469" i="5"/>
  <c r="AE505" i="5"/>
  <c r="AE322" i="5"/>
  <c r="AE331" i="5"/>
  <c r="AE268" i="5"/>
  <c r="AE184" i="5"/>
  <c r="AE92" i="5"/>
  <c r="AE533" i="5"/>
  <c r="AE594" i="5"/>
  <c r="AE378" i="5"/>
  <c r="AE387" i="5"/>
  <c r="AE467" i="5"/>
  <c r="L81" i="1" s="1"/>
  <c r="AE520" i="5"/>
  <c r="AE522" i="5"/>
  <c r="AE84" i="5"/>
  <c r="AE94" i="5"/>
  <c r="AE576" i="5"/>
  <c r="AE251" i="5"/>
  <c r="AE151" i="5"/>
  <c r="AE243" i="5"/>
  <c r="AE395" i="5"/>
  <c r="AE301" i="5"/>
  <c r="AE305" i="5"/>
  <c r="AE187" i="5"/>
  <c r="AE279" i="5"/>
  <c r="AE170" i="5"/>
  <c r="AE442" i="5"/>
  <c r="AE595" i="5"/>
  <c r="AE486" i="5"/>
  <c r="AE581" i="5"/>
  <c r="AE349" i="5"/>
  <c r="G25" i="6"/>
  <c r="N25" i="6" s="1"/>
  <c r="G11" i="6"/>
  <c r="F11" i="6" s="1"/>
  <c r="L99" i="1" l="1"/>
  <c r="L20" i="1"/>
  <c r="L94" i="1"/>
  <c r="L42" i="1"/>
  <c r="L39" i="1"/>
  <c r="L63" i="6"/>
  <c r="L65" i="1"/>
  <c r="L51" i="6"/>
  <c r="L50" i="1"/>
  <c r="L14" i="6"/>
  <c r="L23" i="1"/>
  <c r="L111" i="1"/>
  <c r="M111" i="1" s="1"/>
  <c r="P111" i="1" s="1"/>
  <c r="L72" i="6"/>
  <c r="L67" i="1"/>
  <c r="L65" i="6"/>
  <c r="L66" i="6"/>
  <c r="L68" i="1"/>
  <c r="L64" i="1"/>
  <c r="L62" i="6"/>
  <c r="L80" i="1"/>
  <c r="L52" i="6"/>
  <c r="L60" i="6"/>
  <c r="L62" i="1"/>
  <c r="L8" i="6"/>
  <c r="L48" i="6"/>
  <c r="L36" i="1"/>
  <c r="L109" i="1"/>
  <c r="L73" i="6"/>
  <c r="L60" i="1"/>
  <c r="L58" i="6"/>
  <c r="L59" i="6"/>
  <c r="L61" i="1"/>
  <c r="L67" i="6"/>
  <c r="L69" i="1"/>
  <c r="L76" i="1"/>
  <c r="L70" i="6"/>
  <c r="L25" i="1"/>
  <c r="L20" i="6"/>
  <c r="L17" i="6"/>
  <c r="L24" i="1"/>
  <c r="L63" i="1"/>
  <c r="L61" i="6"/>
  <c r="L51" i="1"/>
  <c r="L97" i="1"/>
  <c r="L66" i="1"/>
  <c r="L64" i="6"/>
  <c r="F25" i="6"/>
  <c r="N11" i="6"/>
  <c r="L79" i="1" l="1"/>
  <c r="L126" i="1" s="1"/>
  <c r="AE531" i="5"/>
  <c r="L96" i="1" s="1"/>
  <c r="L59" i="1"/>
  <c r="L124" i="1" s="1"/>
  <c r="AE37" i="5"/>
  <c r="L46" i="1" s="1"/>
  <c r="L73" i="1"/>
  <c r="L125" i="1" s="1"/>
  <c r="L49" i="1"/>
  <c r="L123" i="1" s="1"/>
  <c r="AE332" i="5"/>
  <c r="L19" i="1"/>
  <c r="L120" i="1" s="1"/>
  <c r="AE356" i="5"/>
  <c r="L108" i="1"/>
  <c r="L128" i="1" s="1"/>
  <c r="AE376" i="5"/>
  <c r="L40" i="1" s="1"/>
  <c r="AE384" i="5" l="1"/>
  <c r="L44" i="1" s="1"/>
  <c r="AE381" i="5"/>
  <c r="AE36" i="5" l="1"/>
  <c r="L45" i="1" l="1"/>
  <c r="L50" i="6"/>
  <c r="AE41" i="5" l="1"/>
  <c r="AE32" i="5"/>
  <c r="L38" i="1"/>
  <c r="L122" i="1" s="1"/>
  <c r="AE434" i="5" l="1"/>
  <c r="AE523" i="5"/>
  <c r="AE426" i="5"/>
  <c r="AE430" i="5"/>
  <c r="AE25" i="5" l="1"/>
  <c r="L45" i="6"/>
  <c r="L32" i="1"/>
  <c r="AE27" i="5"/>
  <c r="L44" i="6"/>
  <c r="L31" i="1"/>
  <c r="L46" i="6"/>
  <c r="L33" i="1"/>
  <c r="AE15" i="5"/>
  <c r="AE527" i="5"/>
  <c r="AE445" i="5"/>
  <c r="AE439" i="5"/>
  <c r="L35" i="1" l="1"/>
  <c r="L42" i="6"/>
  <c r="L93" i="1"/>
  <c r="L71" i="6"/>
  <c r="L76" i="6" s="1"/>
  <c r="L19" i="6"/>
  <c r="L14" i="1"/>
  <c r="G24" i="6"/>
  <c r="N24" i="6" s="1"/>
  <c r="AE28" i="5"/>
  <c r="L34" i="1"/>
  <c r="L41" i="6"/>
  <c r="L11" i="1"/>
  <c r="L10" i="6"/>
  <c r="AE33" i="5"/>
  <c r="AE18" i="5"/>
  <c r="AE34" i="5"/>
  <c r="AE23" i="5"/>
  <c r="G33" i="6"/>
  <c r="N33" i="6" s="1"/>
  <c r="L12" i="1" l="1"/>
  <c r="L13" i="6"/>
  <c r="L16" i="6"/>
  <c r="L13" i="1"/>
  <c r="L30" i="1"/>
  <c r="L121" i="1" s="1"/>
  <c r="L92" i="1"/>
  <c r="L127" i="1" s="1"/>
  <c r="F24" i="6"/>
  <c r="L17" i="1"/>
  <c r="L22" i="6"/>
  <c r="F33" i="6"/>
  <c r="L54" i="6" l="1"/>
  <c r="L83" i="6" s="1"/>
  <c r="H10" i="12" s="1"/>
  <c r="L9" i="1"/>
  <c r="L119" i="1" s="1"/>
  <c r="H2" i="5"/>
  <c r="H4" i="5" s="1"/>
  <c r="L7" i="1" l="1"/>
  <c r="AE13" i="5"/>
  <c r="J2" i="5" l="1"/>
  <c r="AG258" i="5"/>
  <c r="AG68" i="5"/>
  <c r="AG470" i="5"/>
  <c r="AG354" i="5"/>
  <c r="AG149" i="5"/>
  <c r="AG132" i="5"/>
  <c r="AG93" i="5"/>
  <c r="AG584" i="5"/>
  <c r="AG94" i="5"/>
  <c r="AG35" i="5"/>
  <c r="AG200" i="5"/>
  <c r="AG482" i="5"/>
  <c r="AG542" i="5"/>
  <c r="AG290" i="5"/>
  <c r="AG14" i="5"/>
  <c r="AG147" i="5"/>
  <c r="AG190" i="5"/>
  <c r="AG536" i="5"/>
  <c r="AG585" i="5"/>
  <c r="AG199" i="5"/>
  <c r="AG114" i="5"/>
  <c r="AG126" i="5"/>
  <c r="AG165" i="5"/>
  <c r="AG193" i="5"/>
  <c r="AG359" i="5"/>
  <c r="AG456" i="5"/>
  <c r="AG555" i="5"/>
  <c r="AG304" i="5"/>
  <c r="AG532" i="5"/>
  <c r="AG268" i="5"/>
  <c r="AG506" i="5"/>
  <c r="AG7" i="5"/>
  <c r="AG579" i="5"/>
  <c r="K2" i="5"/>
  <c r="L2" i="5" l="1"/>
  <c r="G7" i="6"/>
  <c r="F7" i="6" s="1"/>
  <c r="AG122" i="5"/>
  <c r="AG85" i="5"/>
  <c r="AG446" i="5"/>
  <c r="AG197" i="5"/>
  <c r="AG396" i="5"/>
  <c r="AG289" i="5"/>
  <c r="AG363" i="5"/>
  <c r="AG224" i="5"/>
  <c r="AG561" i="5"/>
  <c r="AG57" i="5"/>
  <c r="AG196" i="5"/>
  <c r="G65" i="6"/>
  <c r="F65" i="6" s="1"/>
  <c r="AG120" i="5"/>
  <c r="AG535" i="5"/>
  <c r="AG270" i="5"/>
  <c r="G73" i="6"/>
  <c r="F73" i="6" s="1"/>
  <c r="AG84" i="5"/>
  <c r="AG238" i="5"/>
  <c r="AG371" i="5"/>
  <c r="AG484" i="5"/>
  <c r="AG248" i="5"/>
  <c r="G64" i="6"/>
  <c r="F64" i="6" s="1"/>
  <c r="AG415" i="5"/>
  <c r="AG311" i="5"/>
  <c r="AG510" i="5"/>
  <c r="AG294" i="5"/>
  <c r="AG356" i="5"/>
  <c r="AG383" i="5"/>
  <c r="AG12" i="5"/>
  <c r="AG422" i="5"/>
  <c r="AG491" i="5"/>
  <c r="AG348" i="5"/>
  <c r="AG201" i="5"/>
  <c r="AG70" i="5"/>
  <c r="AG169" i="5"/>
  <c r="AG292" i="5"/>
  <c r="AG206" i="5"/>
  <c r="AG189" i="5"/>
  <c r="AG284" i="5"/>
  <c r="AG95" i="5"/>
  <c r="AG353" i="5"/>
  <c r="AG272" i="5"/>
  <c r="AG99" i="5"/>
  <c r="AG205" i="5"/>
  <c r="G45" i="6"/>
  <c r="F45" i="6" s="1"/>
  <c r="AG234" i="5"/>
  <c r="G17" i="6"/>
  <c r="F17" i="6" s="1"/>
  <c r="AG526" i="5"/>
  <c r="AG260" i="5"/>
  <c r="AG151" i="5"/>
  <c r="AG529" i="5"/>
  <c r="G20" i="6"/>
  <c r="F20" i="6" s="1"/>
  <c r="AG361" i="5"/>
  <c r="AG86" i="5"/>
  <c r="AG285" i="5"/>
  <c r="AD570" i="5"/>
  <c r="AE570" i="5" s="1"/>
  <c r="G80" i="6"/>
  <c r="N80" i="6" s="1"/>
  <c r="AG488" i="5"/>
  <c r="AG112" i="5"/>
  <c r="AG54" i="5"/>
  <c r="AG405" i="5"/>
  <c r="AG67" i="5"/>
  <c r="AG567" i="5"/>
  <c r="AG560" i="5"/>
  <c r="AG28" i="5"/>
  <c r="AG343" i="5"/>
  <c r="AG552" i="5"/>
  <c r="AG254" i="5"/>
  <c r="AG349" i="5"/>
  <c r="AG220" i="5"/>
  <c r="AG53" i="5"/>
  <c r="AG547" i="5"/>
  <c r="AG408" i="5"/>
  <c r="AG494" i="5"/>
  <c r="AG406" i="5"/>
  <c r="AG575" i="5"/>
  <c r="AG523" i="5"/>
  <c r="AG74" i="5"/>
  <c r="AG73" i="5"/>
  <c r="AG96" i="5"/>
  <c r="AG221" i="5"/>
  <c r="AG277" i="5"/>
  <c r="AG595" i="5"/>
  <c r="AG153" i="5"/>
  <c r="G70" i="6"/>
  <c r="F70" i="6" s="1"/>
  <c r="AG187" i="5"/>
  <c r="AG591" i="5"/>
  <c r="AG30" i="5"/>
  <c r="G67" i="6"/>
  <c r="F67" i="6" s="1"/>
  <c r="AG143" i="5"/>
  <c r="G19" i="6"/>
  <c r="F19" i="6" s="1"/>
  <c r="AG82" i="5"/>
  <c r="G16" i="6"/>
  <c r="F16" i="6" s="1"/>
  <c r="AG325" i="5"/>
  <c r="AG239" i="5"/>
  <c r="AG438" i="5"/>
  <c r="AG293" i="5"/>
  <c r="AG428" i="5"/>
  <c r="AG500" i="5"/>
  <c r="AG431" i="5"/>
  <c r="AG444" i="5"/>
  <c r="AG244" i="5"/>
  <c r="AG210" i="5"/>
  <c r="G72" i="6"/>
  <c r="AG563" i="5"/>
  <c r="AG546" i="5"/>
  <c r="AG75" i="5"/>
  <c r="AG106" i="5"/>
  <c r="AG545" i="5"/>
  <c r="AG578" i="5"/>
  <c r="AG481" i="5"/>
  <c r="AG157" i="5"/>
  <c r="G50" i="6"/>
  <c r="F50" i="6" s="1"/>
  <c r="AG56" i="5"/>
  <c r="AG22" i="5"/>
  <c r="AG400" i="5"/>
  <c r="AG212" i="5"/>
  <c r="G59" i="6"/>
  <c r="F59" i="6" s="1"/>
  <c r="AG474" i="5"/>
  <c r="AG249" i="5"/>
  <c r="AG391" i="5"/>
  <c r="AG341" i="5"/>
  <c r="AG417" i="5"/>
  <c r="AG230" i="5"/>
  <c r="AG27" i="5"/>
  <c r="AG393" i="5"/>
  <c r="AG17" i="5"/>
  <c r="AG264" i="5"/>
  <c r="AG455" i="5"/>
  <c r="AG587" i="5"/>
  <c r="AG266" i="5"/>
  <c r="AG229" i="5"/>
  <c r="AG414" i="5"/>
  <c r="AG19" i="5"/>
  <c r="AG312" i="5"/>
  <c r="AG237" i="5"/>
  <c r="AG382" i="5"/>
  <c r="G41" i="6"/>
  <c r="F41" i="6" s="1"/>
  <c r="AG148" i="5"/>
  <c r="AG81" i="5"/>
  <c r="AG436" i="5"/>
  <c r="AG427" i="5"/>
  <c r="AG198" i="5"/>
  <c r="AG76" i="5"/>
  <c r="AG177" i="5"/>
  <c r="AG113" i="5"/>
  <c r="AG473" i="5"/>
  <c r="AG231" i="5"/>
  <c r="AG110" i="5"/>
  <c r="G71" i="6"/>
  <c r="F71" i="6" s="1"/>
  <c r="AG340" i="5"/>
  <c r="AG549" i="5"/>
  <c r="AD568" i="5"/>
  <c r="G79" i="6"/>
  <c r="N79" i="6" s="1"/>
  <c r="G78" i="6"/>
  <c r="AG208" i="5"/>
  <c r="AG160" i="5"/>
  <c r="AG524" i="5"/>
  <c r="AG235" i="5"/>
  <c r="AG103" i="5"/>
  <c r="AG104" i="5"/>
  <c r="AG364" i="5"/>
  <c r="AG592" i="5"/>
  <c r="AG172" i="5"/>
  <c r="AG375" i="5"/>
  <c r="AG218" i="5"/>
  <c r="AG216" i="5"/>
  <c r="AG423" i="5"/>
  <c r="AG460" i="5"/>
  <c r="AG557" i="5"/>
  <c r="AG32" i="5"/>
  <c r="AG492" i="5"/>
  <c r="AG404" i="5"/>
  <c r="AG262" i="5"/>
  <c r="AG282" i="5"/>
  <c r="AG480" i="5"/>
  <c r="AG173" i="5"/>
  <c r="AG78" i="5"/>
  <c r="AG241" i="5"/>
  <c r="AG559" i="5"/>
  <c r="AG303" i="5"/>
  <c r="AG16" i="5"/>
  <c r="AG309" i="5"/>
  <c r="AG21" i="5"/>
  <c r="AG574" i="5"/>
  <c r="AG479" i="5"/>
  <c r="AG515" i="5"/>
  <c r="AG346" i="5"/>
  <c r="AG61" i="5"/>
  <c r="AG145" i="5"/>
  <c r="AG464" i="5"/>
  <c r="AG60" i="5"/>
  <c r="AG369" i="5"/>
  <c r="AG333" i="5"/>
  <c r="AG138" i="5"/>
  <c r="AG52" i="5"/>
  <c r="AG10" i="5"/>
  <c r="AG286" i="5"/>
  <c r="AG203" i="5"/>
  <c r="AG225" i="5"/>
  <c r="AG573" i="5"/>
  <c r="AG367" i="5"/>
  <c r="AG135" i="5"/>
  <c r="AG516" i="5"/>
  <c r="G44" i="6"/>
  <c r="F44" i="6" s="1"/>
  <c r="AG58" i="5"/>
  <c r="AG401" i="5"/>
  <c r="AG490" i="5"/>
  <c r="AG539" i="5"/>
  <c r="AG296" i="5"/>
  <c r="AG580" i="5"/>
  <c r="AG213" i="5"/>
  <c r="AG420" i="5"/>
  <c r="AG497" i="5"/>
  <c r="AG385" i="5"/>
  <c r="AG253" i="5"/>
  <c r="G10" i="6"/>
  <c r="F10" i="6" s="1"/>
  <c r="AG233" i="5"/>
  <c r="AG413" i="5"/>
  <c r="AG326" i="5"/>
  <c r="AG339" i="5"/>
  <c r="AG41" i="5"/>
  <c r="AG278" i="5"/>
  <c r="AG475" i="5"/>
  <c r="AG564" i="5"/>
  <c r="AG162" i="5"/>
  <c r="G61" i="6"/>
  <c r="F61" i="6" s="1"/>
  <c r="AG485" i="5"/>
  <c r="AG344" i="5"/>
  <c r="AG167" i="5"/>
  <c r="AG194" i="5"/>
  <c r="AG347" i="5"/>
  <c r="AG51" i="5"/>
  <c r="AG118" i="5"/>
  <c r="AG127" i="5"/>
  <c r="AG416" i="5"/>
  <c r="AG251" i="5"/>
  <c r="AG39" i="5"/>
  <c r="AG558" i="5"/>
  <c r="AG433" i="5"/>
  <c r="AG435" i="5"/>
  <c r="AG242" i="5"/>
  <c r="AG365" i="5"/>
  <c r="AG8" i="5"/>
  <c r="AG332" i="5"/>
  <c r="AG355" i="5"/>
  <c r="AG79" i="5"/>
  <c r="G13" i="6"/>
  <c r="F13" i="6" s="1"/>
  <c r="AG66" i="5"/>
  <c r="AG331" i="5"/>
  <c r="AG412" i="5"/>
  <c r="AG175" i="5"/>
  <c r="AG31" i="5"/>
  <c r="AG476" i="5"/>
  <c r="AG583" i="5"/>
  <c r="AG397" i="5"/>
  <c r="AG80" i="5"/>
  <c r="AG188" i="5"/>
  <c r="AG409" i="5"/>
  <c r="AG513" i="5"/>
  <c r="AG255" i="5"/>
  <c r="AG504" i="5"/>
  <c r="AG390" i="5"/>
  <c r="AG87" i="5"/>
  <c r="AG514" i="5"/>
  <c r="AG59" i="5"/>
  <c r="AG141" i="5"/>
  <c r="AG297" i="5"/>
  <c r="AG551" i="5"/>
  <c r="AG407" i="5"/>
  <c r="AG269" i="5"/>
  <c r="AG373" i="5"/>
  <c r="AG281" i="5"/>
  <c r="AG240" i="5"/>
  <c r="AG357" i="5"/>
  <c r="AG163" i="5"/>
  <c r="AG372" i="5"/>
  <c r="AG512" i="5"/>
  <c r="G63" i="6"/>
  <c r="F63" i="6" s="1"/>
  <c r="AG302" i="5"/>
  <c r="AG40" i="5"/>
  <c r="AG183" i="5"/>
  <c r="AG26" i="5"/>
  <c r="G51" i="6"/>
  <c r="F51" i="6" s="1"/>
  <c r="AG180" i="5"/>
  <c r="AG386" i="5"/>
  <c r="AG550" i="5"/>
  <c r="AG131" i="5"/>
  <c r="AG42" i="5"/>
  <c r="AG317" i="5"/>
  <c r="AG119" i="5"/>
  <c r="AG88" i="5"/>
  <c r="AG202" i="5"/>
  <c r="AG125" i="5"/>
  <c r="AG487" i="5"/>
  <c r="AG581" i="5"/>
  <c r="AG590" i="5"/>
  <c r="AG105" i="5"/>
  <c r="AG495" i="5"/>
  <c r="AG321" i="5"/>
  <c r="AG454" i="5"/>
  <c r="AG468" i="5"/>
  <c r="AG362" i="5"/>
  <c r="AG140" i="5"/>
  <c r="G58" i="6"/>
  <c r="AG176" i="5"/>
  <c r="AG533" i="5"/>
  <c r="AG279" i="5"/>
  <c r="AG178" i="5"/>
  <c r="AG280" i="5"/>
  <c r="AG245" i="5"/>
  <c r="AG323" i="5"/>
  <c r="AG305" i="5"/>
  <c r="AG217" i="5"/>
  <c r="AG185" i="5"/>
  <c r="G22" i="6"/>
  <c r="F22" i="6" s="1"/>
  <c r="AG300" i="5"/>
  <c r="AG144" i="5"/>
  <c r="AG89" i="5"/>
  <c r="AG243" i="5"/>
  <c r="AG11" i="5"/>
  <c r="AG298" i="5"/>
  <c r="AG493" i="5"/>
  <c r="AG13" i="5"/>
  <c r="AG117" i="5"/>
  <c r="AG496" i="5"/>
  <c r="AG313" i="5"/>
  <c r="AG411" i="5"/>
  <c r="AG156" i="5"/>
  <c r="AG378" i="5"/>
  <c r="AG538" i="5"/>
  <c r="AG424" i="5"/>
  <c r="AG345" i="5"/>
  <c r="AG377" i="5"/>
  <c r="AG150" i="5"/>
  <c r="AG301" i="5"/>
  <c r="AG164" i="5"/>
  <c r="AG544" i="5"/>
  <c r="AG522" i="5"/>
  <c r="AG388" i="5"/>
  <c r="AG472" i="5"/>
  <c r="AG236" i="5"/>
  <c r="AG29" i="5"/>
  <c r="AG370" i="5"/>
  <c r="AG128" i="5"/>
  <c r="AG440" i="5"/>
  <c r="AG586" i="5"/>
  <c r="AG166" i="5"/>
  <c r="AG62" i="5"/>
  <c r="G52" i="6"/>
  <c r="F52" i="6" s="1"/>
  <c r="AG402" i="5"/>
  <c r="AG335" i="5"/>
  <c r="AG108" i="5"/>
  <c r="AG265" i="5"/>
  <c r="AG228" i="5"/>
  <c r="AG136" i="5"/>
  <c r="AG499" i="5"/>
  <c r="AG478" i="5"/>
  <c r="AG540" i="5"/>
  <c r="AG577" i="5"/>
  <c r="AG410" i="5"/>
  <c r="AG314" i="5"/>
  <c r="AG502" i="5"/>
  <c r="AG274" i="5"/>
  <c r="AG168" i="5"/>
  <c r="AG553" i="5"/>
  <c r="AG398" i="5"/>
  <c r="AG152" i="5"/>
  <c r="AG374" i="5"/>
  <c r="AG489" i="5"/>
  <c r="AG518" i="5"/>
  <c r="AG452" i="5"/>
  <c r="AG351" i="5"/>
  <c r="AG308" i="5"/>
  <c r="AG432" i="5"/>
  <c r="AG511" i="5"/>
  <c r="AG171" i="5"/>
  <c r="AG520" i="5"/>
  <c r="AG133" i="5"/>
  <c r="AG161" i="5"/>
  <c r="AG594" i="5"/>
  <c r="AG250" i="5"/>
  <c r="AG425" i="5"/>
  <c r="E10" i="3"/>
  <c r="E10" i="4"/>
  <c r="E10" i="2"/>
  <c r="AG129" i="5"/>
  <c r="AG589" i="5"/>
  <c r="AG395" i="5"/>
  <c r="AG329" i="5"/>
  <c r="AG448" i="5"/>
  <c r="AG318" i="5"/>
  <c r="AG123" i="5"/>
  <c r="AG146" i="5"/>
  <c r="AG418" i="5"/>
  <c r="AG350" i="5"/>
  <c r="AG214" i="5"/>
  <c r="AG450" i="5"/>
  <c r="AG387" i="5"/>
  <c r="AG508" i="5"/>
  <c r="AG246" i="5"/>
  <c r="AG593" i="5"/>
  <c r="AG429" i="5"/>
  <c r="AG211" i="5"/>
  <c r="AG571" i="5"/>
  <c r="AG342" i="5"/>
  <c r="AG498" i="5"/>
  <c r="G62" i="6"/>
  <c r="F62" i="6" s="1"/>
  <c r="AG352" i="5"/>
  <c r="AG121" i="5"/>
  <c r="AG116" i="5"/>
  <c r="AG576" i="5"/>
  <c r="AG107" i="5"/>
  <c r="AG158" i="5"/>
  <c r="AG227" i="5"/>
  <c r="AG307" i="5"/>
  <c r="AG437" i="5"/>
  <c r="AG360" i="5"/>
  <c r="AG291" i="5"/>
  <c r="AG399" i="5"/>
  <c r="AG466" i="5"/>
  <c r="G46" i="6"/>
  <c r="F46" i="6" s="1"/>
  <c r="AG442" i="5"/>
  <c r="AG275" i="5"/>
  <c r="AG295" i="5"/>
  <c r="AG97" i="5"/>
  <c r="AG215" i="5"/>
  <c r="AG322" i="5"/>
  <c r="AG226" i="5"/>
  <c r="AG130" i="5"/>
  <c r="AG582" i="5"/>
  <c r="AG195" i="5"/>
  <c r="AD572" i="5"/>
  <c r="AE572" i="5" s="1"/>
  <c r="L116" i="1" s="1"/>
  <c r="M116" i="1" s="1"/>
  <c r="P116" i="1" s="1"/>
  <c r="G81" i="6"/>
  <c r="N81" i="6" s="1"/>
  <c r="AG379" i="5"/>
  <c r="AG287" i="5"/>
  <c r="G48" i="6"/>
  <c r="F48" i="6" s="1"/>
  <c r="G66" i="6"/>
  <c r="F66" i="6" s="1"/>
  <c r="AG92" i="5"/>
  <c r="AG381" i="5"/>
  <c r="AG38" i="5"/>
  <c r="AG204" i="5"/>
  <c r="G14" i="6"/>
  <c r="F14" i="6" s="1"/>
  <c r="AG256" i="5"/>
  <c r="AG462" i="5"/>
  <c r="AG20" i="5"/>
  <c r="AG219" i="5"/>
  <c r="AG319" i="5"/>
  <c r="AG306" i="5"/>
  <c r="AG419" i="5"/>
  <c r="AG288" i="5"/>
  <c r="AG98" i="5"/>
  <c r="AG261" i="5"/>
  <c r="AG142" i="5"/>
  <c r="AG537" i="5"/>
  <c r="AG337" i="5"/>
  <c r="AG72" i="5"/>
  <c r="AG534" i="5"/>
  <c r="AG137" i="5"/>
  <c r="AG528" i="5"/>
  <c r="AG223" i="5"/>
  <c r="AG209" i="5"/>
  <c r="AG24" i="5"/>
  <c r="AG159" i="5"/>
  <c r="AG469" i="5"/>
  <c r="AG179" i="5"/>
  <c r="AG134" i="5"/>
  <c r="AG111" i="5"/>
  <c r="AG90" i="5"/>
  <c r="AG449" i="5"/>
  <c r="AG562" i="5"/>
  <c r="AG65" i="5"/>
  <c r="AG247" i="5"/>
  <c r="AG124" i="5"/>
  <c r="AG389" i="5"/>
  <c r="AG257" i="5"/>
  <c r="G42" i="6"/>
  <c r="F42" i="6" s="1"/>
  <c r="G60" i="6"/>
  <c r="F60" i="6" s="1"/>
  <c r="AG139" i="5"/>
  <c r="AG299" i="5"/>
  <c r="AG486" i="5"/>
  <c r="AG441" i="5"/>
  <c r="AG77" i="5"/>
  <c r="AG102" i="5"/>
  <c r="AG541" i="5"/>
  <c r="AG273" i="5"/>
  <c r="AG184" i="5"/>
  <c r="AG259" i="5"/>
  <c r="AG100" i="5"/>
  <c r="AG207" i="5"/>
  <c r="AG192" i="5"/>
  <c r="AG191" i="5"/>
  <c r="AG328" i="5"/>
  <c r="AG154" i="5"/>
  <c r="AG447" i="5"/>
  <c r="AG252" i="5"/>
  <c r="AG263" i="5"/>
  <c r="AG64" i="5"/>
  <c r="AG588" i="5"/>
  <c r="AG483" i="5"/>
  <c r="AG109" i="5"/>
  <c r="G8" i="6"/>
  <c r="F8" i="6" s="1"/>
  <c r="AG451" i="5"/>
  <c r="AG336" i="5"/>
  <c r="AG271" i="5"/>
  <c r="AG181" i="5"/>
  <c r="AG33" i="5"/>
  <c r="AG283" i="5"/>
  <c r="AG276" i="5"/>
  <c r="AG327" i="5"/>
  <c r="AG267" i="5"/>
  <c r="AG155" i="5"/>
  <c r="AG315" i="5"/>
  <c r="AG170" i="5"/>
  <c r="H41" i="3"/>
  <c r="H12" i="3"/>
  <c r="H34" i="3"/>
  <c r="H24" i="3"/>
  <c r="H84" i="3"/>
  <c r="H75" i="3"/>
  <c r="H27" i="3"/>
  <c r="H53" i="3"/>
  <c r="H44" i="3"/>
  <c r="H100" i="3"/>
  <c r="G100" i="1"/>
  <c r="G100" i="4"/>
  <c r="H21" i="3"/>
  <c r="H15" i="3"/>
  <c r="G26" i="4"/>
  <c r="H26" i="3"/>
  <c r="G26" i="1"/>
  <c r="H23" i="3"/>
  <c r="H69" i="3"/>
  <c r="H33" i="3"/>
  <c r="H40" i="3"/>
  <c r="H51" i="3"/>
  <c r="H11" i="3"/>
  <c r="H39" i="3"/>
  <c r="H52" i="3"/>
  <c r="G52" i="1"/>
  <c r="G52" i="4"/>
  <c r="O52" i="4" s="1"/>
  <c r="H16" i="3"/>
  <c r="H20" i="3"/>
  <c r="H25" i="3"/>
  <c r="H10" i="3"/>
  <c r="H17" i="3"/>
  <c r="H31" i="3"/>
  <c r="H14" i="3"/>
  <c r="H47" i="3"/>
  <c r="H43" i="3"/>
  <c r="H54" i="3"/>
  <c r="H45" i="3"/>
  <c r="C7" i="12" l="1"/>
  <c r="AG572" i="5"/>
  <c r="AE568" i="5"/>
  <c r="AG568" i="5" s="1"/>
  <c r="AD2" i="5"/>
  <c r="F54" i="6"/>
  <c r="E70" i="4"/>
  <c r="H70" i="1"/>
  <c r="I70" i="1" s="1"/>
  <c r="O70" i="1" s="1"/>
  <c r="E70" i="2"/>
  <c r="E70" i="1"/>
  <c r="E70" i="3"/>
  <c r="R70" i="3" s="1"/>
  <c r="F58" i="6"/>
  <c r="F76" i="6" s="1"/>
  <c r="G76" i="6"/>
  <c r="N78" i="6"/>
  <c r="F78" i="6"/>
  <c r="G54" i="6"/>
  <c r="F72" i="6"/>
  <c r="N72" i="6"/>
  <c r="AG570" i="5"/>
  <c r="L115" i="1"/>
  <c r="M115" i="1" s="1"/>
  <c r="P115" i="1" s="1"/>
  <c r="E26" i="4"/>
  <c r="E26" i="3"/>
  <c r="I26" i="4"/>
  <c r="Q26" i="4" s="1"/>
  <c r="O26" i="4"/>
  <c r="P15" i="3"/>
  <c r="H49" i="3"/>
  <c r="H123" i="3" s="1"/>
  <c r="P51" i="3"/>
  <c r="P40" i="3"/>
  <c r="P33" i="3"/>
  <c r="P69" i="3"/>
  <c r="P11" i="3"/>
  <c r="H36" i="3"/>
  <c r="P54" i="3"/>
  <c r="P45" i="3"/>
  <c r="P47" i="3"/>
  <c r="P14" i="3"/>
  <c r="P17" i="3"/>
  <c r="P10" i="3"/>
  <c r="P16" i="3"/>
  <c r="P39" i="3"/>
  <c r="E26" i="2"/>
  <c r="P24" i="3"/>
  <c r="P12" i="3"/>
  <c r="P41" i="3"/>
  <c r="H19" i="3"/>
  <c r="H120" i="3" s="1"/>
  <c r="P20" i="3"/>
  <c r="I52" i="3"/>
  <c r="Q52" i="3" s="1"/>
  <c r="P52" i="3"/>
  <c r="E26" i="1"/>
  <c r="O100" i="4"/>
  <c r="P75" i="3"/>
  <c r="P84" i="3"/>
  <c r="P34" i="3"/>
  <c r="P43" i="3"/>
  <c r="H32" i="3"/>
  <c r="P31" i="3"/>
  <c r="P25" i="3"/>
  <c r="P53" i="3"/>
  <c r="P27" i="3"/>
  <c r="P23" i="3"/>
  <c r="P26" i="3"/>
  <c r="I26" i="3"/>
  <c r="Q26" i="3" s="1"/>
  <c r="P21" i="3"/>
  <c r="I100" i="3"/>
  <c r="Q100" i="3" s="1"/>
  <c r="P100" i="3"/>
  <c r="P44" i="3"/>
  <c r="G83" i="6" l="1"/>
  <c r="N84" i="6" s="1"/>
  <c r="F83" i="6"/>
  <c r="C10" i="12" s="1"/>
  <c r="P32" i="3"/>
  <c r="R26" i="3"/>
  <c r="P36" i="3"/>
  <c r="P49" i="3"/>
  <c r="P123" i="3" s="1"/>
  <c r="P19" i="3"/>
  <c r="P120" i="3" s="1"/>
  <c r="H30" i="3"/>
  <c r="H121" i="3" s="1"/>
  <c r="D10" i="12" l="1"/>
  <c r="P30" i="3"/>
  <c r="P121" i="3" s="1"/>
  <c r="H115" i="3" l="1"/>
  <c r="H110" i="3" l="1"/>
  <c r="H68" i="3"/>
  <c r="H109" i="3"/>
  <c r="P115" i="3"/>
  <c r="H116" i="3"/>
  <c r="H111" i="3"/>
  <c r="H77" i="3" l="1"/>
  <c r="G77" i="1"/>
  <c r="G77" i="4"/>
  <c r="P111" i="3"/>
  <c r="P116" i="3"/>
  <c r="P68" i="3"/>
  <c r="H13" i="3"/>
  <c r="H101" i="3"/>
  <c r="P109" i="3"/>
  <c r="H108" i="3"/>
  <c r="H128" i="3" s="1"/>
  <c r="P110" i="3"/>
  <c r="P108" i="3" l="1"/>
  <c r="P128" i="3" s="1"/>
  <c r="H99" i="3"/>
  <c r="H104" i="3"/>
  <c r="P13" i="3"/>
  <c r="P9" i="3" s="1"/>
  <c r="P119" i="3" s="1"/>
  <c r="H9" i="3"/>
  <c r="H119" i="3" s="1"/>
  <c r="H74" i="3"/>
  <c r="H90" i="3"/>
  <c r="H102" i="3"/>
  <c r="O77" i="4"/>
  <c r="H96" i="3"/>
  <c r="P77" i="3"/>
  <c r="I77" i="3"/>
  <c r="Q77" i="3" s="1"/>
  <c r="H103" i="3"/>
  <c r="H95" i="3"/>
  <c r="P101" i="3"/>
  <c r="H105" i="3"/>
  <c r="H98" i="3"/>
  <c r="H94" i="3"/>
  <c r="H93" i="3"/>
  <c r="H62" i="3" l="1"/>
  <c r="P98" i="3"/>
  <c r="P104" i="3"/>
  <c r="P103" i="3"/>
  <c r="P102" i="3"/>
  <c r="P90" i="3"/>
  <c r="H63" i="3"/>
  <c r="H65" i="3"/>
  <c r="H61" i="3"/>
  <c r="H67" i="3"/>
  <c r="P105" i="3"/>
  <c r="H73" i="3"/>
  <c r="H125" i="3" s="1"/>
  <c r="P74" i="3"/>
  <c r="P73" i="3" s="1"/>
  <c r="P125" i="3" s="1"/>
  <c r="P99" i="3"/>
  <c r="H64" i="3"/>
  <c r="H97" i="3"/>
  <c r="P93" i="3"/>
  <c r="P94" i="3"/>
  <c r="P95" i="3"/>
  <c r="P96" i="3"/>
  <c r="P67" i="3" l="1"/>
  <c r="P65" i="3"/>
  <c r="P97" i="3"/>
  <c r="P92" i="3" s="1"/>
  <c r="P127" i="3" s="1"/>
  <c r="P63" i="3"/>
  <c r="P64" i="3"/>
  <c r="H66" i="3"/>
  <c r="H92" i="3"/>
  <c r="H127" i="3" s="1"/>
  <c r="P62" i="3"/>
  <c r="P61" i="3"/>
  <c r="P66" i="3" l="1"/>
  <c r="H82" i="3" l="1"/>
  <c r="H85" i="3"/>
  <c r="H60" i="3"/>
  <c r="H89" i="3"/>
  <c r="H42" i="3"/>
  <c r="H86" i="3"/>
  <c r="P85" i="3" l="1"/>
  <c r="P89" i="3"/>
  <c r="P86" i="3"/>
  <c r="H81" i="3"/>
  <c r="H87" i="3"/>
  <c r="H80" i="3"/>
  <c r="P42" i="3"/>
  <c r="P38" i="3" s="1"/>
  <c r="P122" i="3" s="1"/>
  <c r="H38" i="3"/>
  <c r="H122" i="3" s="1"/>
  <c r="P60" i="3"/>
  <c r="P59" i="3" s="1"/>
  <c r="P124" i="3" s="1"/>
  <c r="H59" i="3"/>
  <c r="H124" i="3" s="1"/>
  <c r="P82" i="3"/>
  <c r="AG569" i="5"/>
  <c r="L114" i="1" l="1"/>
  <c r="M114" i="1" s="1"/>
  <c r="M113" i="1" s="1"/>
  <c r="AE2" i="5"/>
  <c r="P87" i="3"/>
  <c r="P81" i="3"/>
  <c r="H7" i="3"/>
  <c r="P7" i="3"/>
  <c r="P80" i="3"/>
  <c r="H79" i="3"/>
  <c r="H126" i="3" s="1"/>
  <c r="L113" i="1" l="1"/>
  <c r="L129" i="1" s="1"/>
  <c r="L57" i="1" s="1"/>
  <c r="P114" i="1"/>
  <c r="P79" i="3"/>
  <c r="P126" i="3" s="1"/>
  <c r="P113" i="1" l="1"/>
  <c r="P129" i="1" s="1"/>
  <c r="H24" i="12"/>
  <c r="L118" i="1"/>
  <c r="M129" i="1"/>
  <c r="G4" i="12" l="1"/>
  <c r="I24" i="12"/>
  <c r="K24" i="12"/>
  <c r="H23" i="12"/>
  <c r="H25" i="12" s="1"/>
  <c r="H26" i="1" l="1"/>
  <c r="I26" i="1" s="1"/>
  <c r="O26" i="1" s="1"/>
  <c r="Q26" i="1" s="1"/>
  <c r="E28" i="3"/>
  <c r="R28" i="3" s="1"/>
  <c r="E88" i="1"/>
  <c r="H83" i="1" l="1"/>
  <c r="I83" i="1" s="1"/>
  <c r="O83" i="1" s="1"/>
  <c r="E77" i="3"/>
  <c r="R77" i="3" s="1"/>
  <c r="K48" i="6"/>
  <c r="K17" i="6"/>
  <c r="E77" i="1"/>
  <c r="E77" i="2"/>
  <c r="E77" i="4"/>
  <c r="H77" i="1"/>
  <c r="I77" i="1" s="1"/>
  <c r="O77" i="1" s="1"/>
  <c r="H100" i="1"/>
  <c r="I100" i="1" s="1"/>
  <c r="O100" i="1" s="1"/>
  <c r="E88" i="3"/>
  <c r="R88" i="3" s="1"/>
  <c r="E88" i="2"/>
  <c r="H88" i="1"/>
  <c r="I88" i="1" s="1"/>
  <c r="O88" i="1" s="1"/>
  <c r="E88" i="4"/>
  <c r="E100" i="3"/>
  <c r="R100" i="3" s="1"/>
  <c r="E100" i="2"/>
  <c r="E100" i="4"/>
  <c r="E100" i="1"/>
  <c r="E83" i="3"/>
  <c r="R83" i="3" s="1"/>
  <c r="E83" i="2"/>
  <c r="E83" i="4"/>
  <c r="E83" i="1"/>
  <c r="E52" i="4"/>
  <c r="E52" i="2"/>
  <c r="E52" i="1"/>
  <c r="E52" i="3"/>
  <c r="R52" i="3" s="1"/>
  <c r="H52" i="1"/>
  <c r="I52" i="1" s="1"/>
  <c r="O52" i="1" s="1"/>
  <c r="E55" i="1"/>
  <c r="H55" i="1"/>
  <c r="I55" i="1" s="1"/>
  <c r="O55" i="1" s="1"/>
  <c r="E55" i="3"/>
  <c r="R55" i="3" s="1"/>
  <c r="E55" i="4"/>
  <c r="E55" i="2"/>
  <c r="G50" i="3"/>
  <c r="G50" i="4"/>
  <c r="G50" i="1"/>
  <c r="G23" i="3"/>
  <c r="G23" i="4"/>
  <c r="G23" i="1"/>
  <c r="G69" i="3"/>
  <c r="G69" i="1"/>
  <c r="G69" i="4"/>
  <c r="G11" i="3"/>
  <c r="G11" i="4"/>
  <c r="G11" i="1"/>
  <c r="G66" i="3"/>
  <c r="G66" i="1"/>
  <c r="G66" i="4"/>
  <c r="G39" i="3"/>
  <c r="G39" i="4"/>
  <c r="E39" i="2"/>
  <c r="G39" i="1"/>
  <c r="G15" i="3"/>
  <c r="G15" i="1"/>
  <c r="G15" i="4"/>
  <c r="G67" i="3"/>
  <c r="G67" i="4"/>
  <c r="G67" i="1"/>
  <c r="G64" i="3"/>
  <c r="G64" i="4"/>
  <c r="G64" i="1"/>
  <c r="G14" i="3"/>
  <c r="G14" i="1"/>
  <c r="G43" i="3"/>
  <c r="H43" i="1"/>
  <c r="G43" i="4"/>
  <c r="G43" i="1"/>
  <c r="G54" i="3"/>
  <c r="G54" i="1"/>
  <c r="G54" i="4"/>
  <c r="H54" i="1"/>
  <c r="G20" i="3"/>
  <c r="G20" i="4"/>
  <c r="G20" i="1"/>
  <c r="G61" i="3"/>
  <c r="G61" i="1"/>
  <c r="G61" i="4"/>
  <c r="G10" i="3"/>
  <c r="G10" i="1"/>
  <c r="G10" i="4"/>
  <c r="G65" i="3"/>
  <c r="G65" i="1"/>
  <c r="G65" i="4"/>
  <c r="G53" i="3"/>
  <c r="E53" i="4"/>
  <c r="G53" i="4"/>
  <c r="G53" i="1"/>
  <c r="G41" i="3"/>
  <c r="H41" i="1"/>
  <c r="G41" i="1"/>
  <c r="G41" i="4"/>
  <c r="G17" i="3"/>
  <c r="G17" i="1"/>
  <c r="G17" i="4"/>
  <c r="G47" i="3"/>
  <c r="G47" i="4"/>
  <c r="G47" i="1"/>
  <c r="G60" i="3"/>
  <c r="G60" i="1"/>
  <c r="G60" i="4"/>
  <c r="G27" i="3"/>
  <c r="G27" i="4"/>
  <c r="G27" i="1"/>
  <c r="G25" i="3"/>
  <c r="H25" i="1"/>
  <c r="G25" i="4"/>
  <c r="G25" i="1"/>
  <c r="G24" i="3"/>
  <c r="G24" i="4"/>
  <c r="G24" i="1"/>
  <c r="G111" i="3"/>
  <c r="G111" i="1"/>
  <c r="G111" i="4"/>
  <c r="O111" i="4" s="1"/>
  <c r="G45" i="3"/>
  <c r="G45" i="4"/>
  <c r="G45" i="1"/>
  <c r="G40" i="3"/>
  <c r="H40" i="1"/>
  <c r="G40" i="4"/>
  <c r="G40" i="1"/>
  <c r="G63" i="3"/>
  <c r="G63" i="4"/>
  <c r="G63" i="1"/>
  <c r="G44" i="3"/>
  <c r="G44" i="4"/>
  <c r="H44" i="1"/>
  <c r="G44" i="1"/>
  <c r="G21" i="3"/>
  <c r="G21" i="1"/>
  <c r="G21" i="4"/>
  <c r="G12" i="3"/>
  <c r="G12" i="4"/>
  <c r="G12" i="1"/>
  <c r="G16" i="3"/>
  <c r="G16" i="4"/>
  <c r="G16" i="1"/>
  <c r="G51" i="3"/>
  <c r="H51" i="1"/>
  <c r="G51" i="4"/>
  <c r="G51" i="1"/>
  <c r="G13" i="3"/>
  <c r="G13" i="4"/>
  <c r="O13" i="4" s="1"/>
  <c r="G13" i="1"/>
  <c r="E53" i="1" l="1"/>
  <c r="H47" i="1"/>
  <c r="I47" i="1" s="1"/>
  <c r="O47" i="1" s="1"/>
  <c r="H46" i="1"/>
  <c r="I46" i="1" s="1"/>
  <c r="O46" i="1" s="1"/>
  <c r="E46" i="3"/>
  <c r="E46" i="4"/>
  <c r="E46" i="1"/>
  <c r="E46" i="2"/>
  <c r="H53" i="1"/>
  <c r="I53" i="1" s="1"/>
  <c r="O53" i="1" s="1"/>
  <c r="E51" i="1"/>
  <c r="I51" i="1"/>
  <c r="O51" i="1" s="1"/>
  <c r="E25" i="4"/>
  <c r="E41" i="2"/>
  <c r="E41" i="3"/>
  <c r="E41" i="4"/>
  <c r="E25" i="2"/>
  <c r="E41" i="1"/>
  <c r="E54" i="2"/>
  <c r="E54" i="4"/>
  <c r="I44" i="1"/>
  <c r="O44" i="1" s="1"/>
  <c r="I41" i="1"/>
  <c r="O41" i="1" s="1"/>
  <c r="E54" i="3"/>
  <c r="E43" i="1"/>
  <c r="E43" i="4"/>
  <c r="E53" i="3"/>
  <c r="E53" i="2"/>
  <c r="E25" i="1"/>
  <c r="E43" i="2"/>
  <c r="E43" i="3"/>
  <c r="I43" i="1"/>
  <c r="O43" i="1" s="1"/>
  <c r="E54" i="1"/>
  <c r="E51" i="3"/>
  <c r="E39" i="3"/>
  <c r="E51" i="2"/>
  <c r="E51" i="4"/>
  <c r="E40" i="4"/>
  <c r="E40" i="1"/>
  <c r="E40" i="3"/>
  <c r="E40" i="2"/>
  <c r="E47" i="3"/>
  <c r="E47" i="2"/>
  <c r="E39" i="4"/>
  <c r="E44" i="3"/>
  <c r="E44" i="4"/>
  <c r="E25" i="3"/>
  <c r="E47" i="1"/>
  <c r="E44" i="2"/>
  <c r="E44" i="1"/>
  <c r="E47" i="4"/>
  <c r="G33" i="3"/>
  <c r="G33" i="4"/>
  <c r="G33" i="1"/>
  <c r="G9" i="1"/>
  <c r="G119" i="1" s="1"/>
  <c r="O41" i="4"/>
  <c r="K61" i="6"/>
  <c r="O60" i="4"/>
  <c r="O66" i="4"/>
  <c r="O69" i="4"/>
  <c r="K14" i="6"/>
  <c r="K24" i="6"/>
  <c r="I25" i="1"/>
  <c r="O25" i="1" s="1"/>
  <c r="K22" i="6"/>
  <c r="O65" i="4"/>
  <c r="O24" i="4"/>
  <c r="O25" i="4"/>
  <c r="I27" i="4"/>
  <c r="Q27" i="4" s="1"/>
  <c r="O27" i="4"/>
  <c r="O47" i="4"/>
  <c r="O17" i="4"/>
  <c r="O53" i="4"/>
  <c r="O61" i="4"/>
  <c r="G19" i="1"/>
  <c r="G120" i="1" s="1"/>
  <c r="K19" i="6"/>
  <c r="I15" i="4"/>
  <c r="Q15" i="4" s="1"/>
  <c r="O15" i="4"/>
  <c r="E39" i="1"/>
  <c r="H39" i="1"/>
  <c r="O11" i="4"/>
  <c r="K51" i="6"/>
  <c r="O51" i="4"/>
  <c r="O13" i="3"/>
  <c r="I13" i="3"/>
  <c r="Q13" i="3" s="1"/>
  <c r="I16" i="4"/>
  <c r="Q16" i="4" s="1"/>
  <c r="O16" i="4"/>
  <c r="K13" i="6"/>
  <c r="K11" i="6"/>
  <c r="O44" i="4"/>
  <c r="O63" i="4"/>
  <c r="I40" i="1"/>
  <c r="O40" i="1" s="1"/>
  <c r="O45" i="4"/>
  <c r="K72" i="6"/>
  <c r="K20" i="6"/>
  <c r="K25" i="6"/>
  <c r="K58" i="6"/>
  <c r="K63" i="6"/>
  <c r="K7" i="6"/>
  <c r="O20" i="4"/>
  <c r="G19" i="4"/>
  <c r="G120" i="4" s="1"/>
  <c r="O54" i="4"/>
  <c r="O43" i="4"/>
  <c r="O64" i="4"/>
  <c r="O67" i="4"/>
  <c r="O39" i="4"/>
  <c r="K64" i="6"/>
  <c r="K10" i="6"/>
  <c r="K67" i="6"/>
  <c r="O23" i="4"/>
  <c r="G49" i="1"/>
  <c r="G123" i="1" s="1"/>
  <c r="G32" i="3"/>
  <c r="G32" i="1"/>
  <c r="G32" i="4"/>
  <c r="G34" i="3"/>
  <c r="G34" i="4"/>
  <c r="G34" i="1"/>
  <c r="G36" i="3"/>
  <c r="G36" i="1"/>
  <c r="G36" i="4"/>
  <c r="I21" i="4"/>
  <c r="Q21" i="4" s="1"/>
  <c r="O21" i="4"/>
  <c r="I111" i="4"/>
  <c r="Q111" i="4" s="1"/>
  <c r="O10" i="4"/>
  <c r="G9" i="4"/>
  <c r="G119" i="4" s="1"/>
  <c r="K16" i="6"/>
  <c r="O12" i="4"/>
  <c r="O40" i="4"/>
  <c r="O51" i="3"/>
  <c r="I51" i="3"/>
  <c r="Q51" i="3" s="1"/>
  <c r="O16" i="3"/>
  <c r="I16" i="3"/>
  <c r="Q16" i="3" s="1"/>
  <c r="O12" i="3"/>
  <c r="I12" i="3"/>
  <c r="Q12" i="3" s="1"/>
  <c r="O21" i="3"/>
  <c r="I21" i="3"/>
  <c r="Q21" i="3" s="1"/>
  <c r="O44" i="3"/>
  <c r="I44" i="3"/>
  <c r="Q44" i="3" s="1"/>
  <c r="O63" i="3"/>
  <c r="I63" i="3"/>
  <c r="Q63" i="3" s="1"/>
  <c r="O40" i="3"/>
  <c r="I40" i="3"/>
  <c r="Q40" i="3" s="1"/>
  <c r="O45" i="3"/>
  <c r="I45" i="3"/>
  <c r="Q45" i="3" s="1"/>
  <c r="O111" i="3"/>
  <c r="I111" i="3"/>
  <c r="Q111" i="3" s="1"/>
  <c r="O24" i="3"/>
  <c r="I24" i="3"/>
  <c r="Q24" i="3" s="1"/>
  <c r="O25" i="3"/>
  <c r="I25" i="3"/>
  <c r="Q25" i="3" s="1"/>
  <c r="O27" i="3"/>
  <c r="I27" i="3"/>
  <c r="Q27" i="3" s="1"/>
  <c r="O60" i="3"/>
  <c r="I60" i="3"/>
  <c r="O47" i="3"/>
  <c r="I47" i="3"/>
  <c r="Q47" i="3" s="1"/>
  <c r="O17" i="3"/>
  <c r="I17" i="3"/>
  <c r="Q17" i="3" s="1"/>
  <c r="O41" i="3"/>
  <c r="I41" i="3"/>
  <c r="Q41" i="3" s="1"/>
  <c r="O53" i="3"/>
  <c r="I53" i="3"/>
  <c r="Q53" i="3" s="1"/>
  <c r="O65" i="3"/>
  <c r="I65" i="3"/>
  <c r="Q65" i="3" s="1"/>
  <c r="K59" i="6"/>
  <c r="K8" i="6"/>
  <c r="I54" i="1"/>
  <c r="O54" i="1" s="1"/>
  <c r="K62" i="6"/>
  <c r="K65" i="6"/>
  <c r="K33" i="6"/>
  <c r="O39" i="3"/>
  <c r="I39" i="3"/>
  <c r="O66" i="3"/>
  <c r="I66" i="3"/>
  <c r="Q66" i="3" s="1"/>
  <c r="O11" i="3"/>
  <c r="I11" i="3"/>
  <c r="Q11" i="3" s="1"/>
  <c r="O69" i="3"/>
  <c r="I69" i="3"/>
  <c r="Q69" i="3" s="1"/>
  <c r="O23" i="3"/>
  <c r="I23" i="3"/>
  <c r="Q23" i="3" s="1"/>
  <c r="O50" i="4"/>
  <c r="G49" i="4"/>
  <c r="G123" i="4" s="1"/>
  <c r="O10" i="3"/>
  <c r="G9" i="3"/>
  <c r="G119" i="3" s="1"/>
  <c r="I119" i="3" s="1"/>
  <c r="I10" i="3"/>
  <c r="O61" i="3"/>
  <c r="I61" i="3"/>
  <c r="Q61" i="3" s="1"/>
  <c r="G19" i="3"/>
  <c r="G120" i="3" s="1"/>
  <c r="I120" i="3" s="1"/>
  <c r="O20" i="3"/>
  <c r="I20" i="3"/>
  <c r="O54" i="3"/>
  <c r="I54" i="3"/>
  <c r="Q54" i="3" s="1"/>
  <c r="O43" i="3"/>
  <c r="I43" i="3"/>
  <c r="Q43" i="3" s="1"/>
  <c r="O14" i="3"/>
  <c r="I14" i="3"/>
  <c r="Q14" i="3" s="1"/>
  <c r="O64" i="3"/>
  <c r="I64" i="3"/>
  <c r="Q64" i="3" s="1"/>
  <c r="O67" i="3"/>
  <c r="I67" i="3"/>
  <c r="Q67" i="3" s="1"/>
  <c r="O15" i="3"/>
  <c r="I15" i="3"/>
  <c r="Q15" i="3" s="1"/>
  <c r="O50" i="3"/>
  <c r="I50" i="3"/>
  <c r="G49" i="3"/>
  <c r="G123" i="3" s="1"/>
  <c r="I123" i="3" s="1"/>
  <c r="O49" i="4" l="1"/>
  <c r="O123" i="4" s="1"/>
  <c r="R40" i="3"/>
  <c r="R44" i="3"/>
  <c r="R51" i="3"/>
  <c r="R43" i="3"/>
  <c r="O49" i="3"/>
  <c r="O123" i="3" s="1"/>
  <c r="Q123" i="3" s="1"/>
  <c r="O19" i="4"/>
  <c r="O120" i="4" s="1"/>
  <c r="Q20" i="3"/>
  <c r="Q19" i="3" s="1"/>
  <c r="I19" i="3"/>
  <c r="Q39" i="3"/>
  <c r="R39" i="3" s="1"/>
  <c r="Q60" i="3"/>
  <c r="O36" i="4"/>
  <c r="O34" i="4"/>
  <c r="K45" i="6"/>
  <c r="H11" i="1"/>
  <c r="I11" i="1" s="1"/>
  <c r="O11" i="1" s="1"/>
  <c r="E11" i="1"/>
  <c r="E11" i="4"/>
  <c r="E11" i="2"/>
  <c r="E11" i="3"/>
  <c r="R11" i="3" s="1"/>
  <c r="H111" i="1"/>
  <c r="I111" i="1" s="1"/>
  <c r="O111" i="1" s="1"/>
  <c r="Q111" i="1" s="1"/>
  <c r="E111" i="1"/>
  <c r="E111" i="4"/>
  <c r="E111" i="3"/>
  <c r="R111" i="3" s="1"/>
  <c r="E111" i="2"/>
  <c r="H21" i="1"/>
  <c r="I21" i="1" s="1"/>
  <c r="O21" i="1" s="1"/>
  <c r="Q21" i="1" s="1"/>
  <c r="E21" i="2"/>
  <c r="E21" i="3"/>
  <c r="R21" i="3" s="1"/>
  <c r="E21" i="4"/>
  <c r="E21" i="1"/>
  <c r="G31" i="3"/>
  <c r="G31" i="1"/>
  <c r="G31" i="4"/>
  <c r="O19" i="3"/>
  <c r="O120" i="3" s="1"/>
  <c r="Q120" i="3" s="1"/>
  <c r="H13" i="1"/>
  <c r="I13" i="1" s="1"/>
  <c r="O13" i="1" s="1"/>
  <c r="E13" i="1"/>
  <c r="E13" i="4"/>
  <c r="E13" i="3"/>
  <c r="R13" i="3" s="1"/>
  <c r="E13" i="2"/>
  <c r="K41" i="6"/>
  <c r="H60" i="1"/>
  <c r="E60" i="2"/>
  <c r="E60" i="4"/>
  <c r="E60" i="1"/>
  <c r="E60" i="3"/>
  <c r="I39" i="1"/>
  <c r="Q50" i="3"/>
  <c r="Q49" i="3" s="1"/>
  <c r="I49" i="3"/>
  <c r="H20" i="1"/>
  <c r="E20" i="3"/>
  <c r="E20" i="1"/>
  <c r="E20" i="4"/>
  <c r="E20" i="2"/>
  <c r="O36" i="3"/>
  <c r="I36" i="3"/>
  <c r="Q36" i="3" s="1"/>
  <c r="O34" i="3"/>
  <c r="I34" i="3"/>
  <c r="Q34" i="3" s="1"/>
  <c r="O32" i="3"/>
  <c r="I32" i="3"/>
  <c r="Q32" i="3" s="1"/>
  <c r="H12" i="1"/>
  <c r="I12" i="1" s="1"/>
  <c r="O12" i="1" s="1"/>
  <c r="E12" i="2"/>
  <c r="E12" i="4"/>
  <c r="E12" i="1"/>
  <c r="E12" i="3"/>
  <c r="R12" i="3" s="1"/>
  <c r="R54" i="3"/>
  <c r="O9" i="4"/>
  <c r="O119" i="4" s="1"/>
  <c r="H23" i="1"/>
  <c r="I23" i="1" s="1"/>
  <c r="O23" i="1" s="1"/>
  <c r="E23" i="3"/>
  <c r="R23" i="3" s="1"/>
  <c r="E23" i="1"/>
  <c r="E23" i="4"/>
  <c r="E23" i="2"/>
  <c r="R41" i="3"/>
  <c r="O33" i="4"/>
  <c r="H15" i="1"/>
  <c r="I15" i="1" s="1"/>
  <c r="O15" i="1" s="1"/>
  <c r="Q15" i="1" s="1"/>
  <c r="E15" i="4"/>
  <c r="E15" i="1"/>
  <c r="E15" i="3"/>
  <c r="R15" i="3" s="1"/>
  <c r="E15" i="2"/>
  <c r="H66" i="1"/>
  <c r="I66" i="1" s="1"/>
  <c r="O66" i="1" s="1"/>
  <c r="E66" i="2"/>
  <c r="E66" i="3"/>
  <c r="R66" i="3" s="1"/>
  <c r="E66" i="1"/>
  <c r="E66" i="4"/>
  <c r="H27" i="1"/>
  <c r="I27" i="1" s="1"/>
  <c r="O27" i="1" s="1"/>
  <c r="Q27" i="1" s="1"/>
  <c r="E27" i="3"/>
  <c r="R27" i="3" s="1"/>
  <c r="E27" i="2"/>
  <c r="E27" i="1"/>
  <c r="E27" i="4"/>
  <c r="H61" i="1"/>
  <c r="I61" i="1" s="1"/>
  <c r="O61" i="1" s="1"/>
  <c r="E61" i="4"/>
  <c r="E61" i="2"/>
  <c r="E61" i="3"/>
  <c r="R61" i="3" s="1"/>
  <c r="E61" i="1"/>
  <c r="H45" i="1"/>
  <c r="I45" i="1" s="1"/>
  <c r="O45" i="1" s="1"/>
  <c r="E45" i="2"/>
  <c r="E45" i="4"/>
  <c r="E45" i="1"/>
  <c r="E45" i="3"/>
  <c r="H17" i="1"/>
  <c r="I17" i="1" s="1"/>
  <c r="O17" i="1" s="1"/>
  <c r="E17" i="3"/>
  <c r="E17" i="1"/>
  <c r="E17" i="2"/>
  <c r="E17" i="4"/>
  <c r="R25" i="3"/>
  <c r="K46" i="6"/>
  <c r="E10" i="1"/>
  <c r="H24" i="1"/>
  <c r="I24" i="1" s="1"/>
  <c r="O24" i="1" s="1"/>
  <c r="E24" i="2"/>
  <c r="E24" i="4"/>
  <c r="E24" i="3"/>
  <c r="R24" i="3" s="1"/>
  <c r="E24" i="1"/>
  <c r="H14" i="1"/>
  <c r="I14" i="1" s="1"/>
  <c r="O14" i="1" s="1"/>
  <c r="E14" i="1"/>
  <c r="E14" i="4"/>
  <c r="E14" i="2"/>
  <c r="E14" i="3"/>
  <c r="R14" i="3" s="1"/>
  <c r="H63" i="1"/>
  <c r="I63" i="1" s="1"/>
  <c r="O63" i="1" s="1"/>
  <c r="E63" i="2"/>
  <c r="E63" i="4"/>
  <c r="E63" i="3"/>
  <c r="R63" i="3" s="1"/>
  <c r="E63" i="1"/>
  <c r="O33" i="3"/>
  <c r="I33" i="3"/>
  <c r="Q33" i="3" s="1"/>
  <c r="H69" i="1"/>
  <c r="I69" i="1" s="1"/>
  <c r="O69" i="1" s="1"/>
  <c r="E69" i="1"/>
  <c r="E69" i="4"/>
  <c r="E69" i="3"/>
  <c r="R69" i="3" s="1"/>
  <c r="E69" i="2"/>
  <c r="H50" i="1"/>
  <c r="E50" i="1"/>
  <c r="E49" i="1" s="1"/>
  <c r="E123" i="1" s="1"/>
  <c r="E50" i="4"/>
  <c r="E50" i="2"/>
  <c r="E50" i="3"/>
  <c r="Q10" i="3"/>
  <c r="Q9" i="3" s="1"/>
  <c r="I9" i="3"/>
  <c r="O9" i="3"/>
  <c r="O119" i="3" s="1"/>
  <c r="H64" i="1"/>
  <c r="I64" i="1" s="1"/>
  <c r="O64" i="1" s="1"/>
  <c r="E64" i="1"/>
  <c r="E64" i="4"/>
  <c r="E64" i="2"/>
  <c r="E64" i="3"/>
  <c r="R64" i="3" s="1"/>
  <c r="K42" i="6"/>
  <c r="O32" i="4"/>
  <c r="H65" i="1"/>
  <c r="I65" i="1" s="1"/>
  <c r="O65" i="1" s="1"/>
  <c r="E65" i="2"/>
  <c r="E65" i="1"/>
  <c r="E65" i="3"/>
  <c r="R65" i="3" s="1"/>
  <c r="E65" i="4"/>
  <c r="H16" i="1"/>
  <c r="I16" i="1" s="1"/>
  <c r="O16" i="1" s="1"/>
  <c r="Q16" i="1" s="1"/>
  <c r="E16" i="1"/>
  <c r="E16" i="4"/>
  <c r="E16" i="2"/>
  <c r="E16" i="3"/>
  <c r="R16" i="3" s="1"/>
  <c r="R53" i="3"/>
  <c r="H35" i="1" l="1"/>
  <c r="I35" i="1" s="1"/>
  <c r="O35" i="1" s="1"/>
  <c r="E35" i="3"/>
  <c r="R35" i="3" s="1"/>
  <c r="E35" i="1"/>
  <c r="E35" i="2"/>
  <c r="E35" i="4"/>
  <c r="E9" i="4"/>
  <c r="E119" i="4" s="1"/>
  <c r="H19" i="1"/>
  <c r="H120" i="1" s="1"/>
  <c r="I120" i="1" s="1"/>
  <c r="I20" i="1"/>
  <c r="O31" i="4"/>
  <c r="O30" i="4" s="1"/>
  <c r="O121" i="4" s="1"/>
  <c r="G30" i="4"/>
  <c r="G121" i="4" s="1"/>
  <c r="R50" i="3"/>
  <c r="E49" i="3"/>
  <c r="E49" i="2"/>
  <c r="H9" i="1"/>
  <c r="H119" i="1" s="1"/>
  <c r="I10" i="1"/>
  <c r="G30" i="1"/>
  <c r="G121" i="1" s="1"/>
  <c r="E49" i="4"/>
  <c r="I60" i="1"/>
  <c r="E9" i="1"/>
  <c r="E119" i="1" s="1"/>
  <c r="G30" i="3"/>
  <c r="G121" i="3" s="1"/>
  <c r="O31" i="3"/>
  <c r="O30" i="3" s="1"/>
  <c r="O121" i="3" s="1"/>
  <c r="Q121" i="3" s="1"/>
  <c r="I31" i="3"/>
  <c r="Q119" i="3"/>
  <c r="I50" i="1"/>
  <c r="H49" i="1"/>
  <c r="H123" i="1" s="1"/>
  <c r="I123" i="1" s="1"/>
  <c r="H33" i="1"/>
  <c r="I33" i="1" s="1"/>
  <c r="O33" i="1" s="1"/>
  <c r="E33" i="1"/>
  <c r="E33" i="3"/>
  <c r="R33" i="3" s="1"/>
  <c r="E33" i="4"/>
  <c r="E33" i="2"/>
  <c r="E19" i="2"/>
  <c r="O39" i="1"/>
  <c r="H32" i="1"/>
  <c r="I32" i="1" s="1"/>
  <c r="O32" i="1" s="1"/>
  <c r="E32" i="4"/>
  <c r="E32" i="1"/>
  <c r="E32" i="2"/>
  <c r="E32" i="3"/>
  <c r="R32" i="3" s="1"/>
  <c r="R10" i="3"/>
  <c r="E9" i="3"/>
  <c r="E19" i="4"/>
  <c r="H34" i="1"/>
  <c r="I34" i="1" s="1"/>
  <c r="O34" i="1" s="1"/>
  <c r="E34" i="3"/>
  <c r="R34" i="3" s="1"/>
  <c r="E34" i="1"/>
  <c r="E34" i="4"/>
  <c r="E34" i="2"/>
  <c r="H36" i="1"/>
  <c r="I36" i="1" s="1"/>
  <c r="O36" i="1" s="1"/>
  <c r="E36" i="2"/>
  <c r="E36" i="3"/>
  <c r="R36" i="3" s="1"/>
  <c r="E36" i="4"/>
  <c r="E36" i="1"/>
  <c r="E19" i="1"/>
  <c r="E120" i="1" s="1"/>
  <c r="R60" i="3"/>
  <c r="E9" i="2"/>
  <c r="E119" i="2" s="1"/>
  <c r="R20" i="3"/>
  <c r="E19" i="3"/>
  <c r="K44" i="6"/>
  <c r="I119" i="1" l="1"/>
  <c r="E123" i="4"/>
  <c r="E123" i="2"/>
  <c r="E119" i="3"/>
  <c r="R9" i="3"/>
  <c r="Q31" i="3"/>
  <c r="Q30" i="3" s="1"/>
  <c r="I30" i="3"/>
  <c r="E123" i="3"/>
  <c r="R123" i="3" s="1"/>
  <c r="R49" i="3"/>
  <c r="E120" i="3"/>
  <c r="R120" i="3" s="1"/>
  <c r="R19" i="3"/>
  <c r="O20" i="1"/>
  <c r="I19" i="1"/>
  <c r="I121" i="3"/>
  <c r="O50" i="1"/>
  <c r="I49" i="1"/>
  <c r="H31" i="1"/>
  <c r="E31" i="3"/>
  <c r="E31" i="4"/>
  <c r="E31" i="2"/>
  <c r="E31" i="1"/>
  <c r="E30" i="1" s="1"/>
  <c r="E121" i="1" s="1"/>
  <c r="E120" i="4"/>
  <c r="E120" i="2"/>
  <c r="O60" i="1"/>
  <c r="O10" i="1"/>
  <c r="I9" i="1"/>
  <c r="E30" i="2" l="1"/>
  <c r="E30" i="4"/>
  <c r="R31" i="3"/>
  <c r="E30" i="3"/>
  <c r="O49" i="1"/>
  <c r="O123" i="1" s="1"/>
  <c r="H30" i="1"/>
  <c r="H121" i="1" s="1"/>
  <c r="I31" i="1"/>
  <c r="O9" i="1"/>
  <c r="O119" i="1" s="1"/>
  <c r="O19" i="1"/>
  <c r="O120" i="1" s="1"/>
  <c r="R119" i="3"/>
  <c r="I30" i="1" l="1"/>
  <c r="O31" i="1"/>
  <c r="E121" i="4"/>
  <c r="I121" i="1"/>
  <c r="E121" i="2"/>
  <c r="E121" i="3"/>
  <c r="R30" i="3"/>
  <c r="R121" i="3" l="1"/>
  <c r="O30" i="1"/>
  <c r="O121" i="1" s="1"/>
  <c r="G114" i="3" l="1"/>
  <c r="G109" i="3"/>
  <c r="G109" i="4"/>
  <c r="G109" i="1"/>
  <c r="G115" i="3"/>
  <c r="G115" i="1"/>
  <c r="G115" i="4"/>
  <c r="G116" i="3"/>
  <c r="G116" i="1"/>
  <c r="G116" i="4"/>
  <c r="O116" i="4" l="1"/>
  <c r="I116" i="4"/>
  <c r="Q116" i="4" s="1"/>
  <c r="O115" i="4"/>
  <c r="I115" i="4"/>
  <c r="Q115" i="4" s="1"/>
  <c r="K81" i="6"/>
  <c r="K80" i="6"/>
  <c r="O109" i="4"/>
  <c r="O116" i="3"/>
  <c r="I116" i="3"/>
  <c r="Q116" i="3" s="1"/>
  <c r="O115" i="3"/>
  <c r="I115" i="3"/>
  <c r="Q115" i="3" s="1"/>
  <c r="O109" i="3"/>
  <c r="I109" i="3"/>
  <c r="G113" i="3"/>
  <c r="G129" i="3" s="1"/>
  <c r="O114" i="3"/>
  <c r="Q109" i="3" l="1"/>
  <c r="H116" i="1"/>
  <c r="I116" i="1" s="1"/>
  <c r="O116" i="1" s="1"/>
  <c r="Q116" i="1" s="1"/>
  <c r="E116" i="3"/>
  <c r="R116" i="3" s="1"/>
  <c r="E116" i="4"/>
  <c r="E116" i="1"/>
  <c r="E116" i="2"/>
  <c r="H109" i="1"/>
  <c r="E109" i="4"/>
  <c r="E109" i="2"/>
  <c r="E109" i="1"/>
  <c r="E109" i="3"/>
  <c r="G110" i="3"/>
  <c r="G110" i="1"/>
  <c r="G110" i="4"/>
  <c r="H115" i="1"/>
  <c r="I115" i="1" s="1"/>
  <c r="O115" i="1" s="1"/>
  <c r="Q115" i="1" s="1"/>
  <c r="E115" i="2"/>
  <c r="E115" i="1"/>
  <c r="E115" i="4"/>
  <c r="E115" i="3"/>
  <c r="R115" i="3" s="1"/>
  <c r="O113" i="3"/>
  <c r="O129" i="3" s="1"/>
  <c r="D14" i="12"/>
  <c r="G42" i="3" l="1"/>
  <c r="G42" i="4"/>
  <c r="G42" i="1"/>
  <c r="O110" i="4"/>
  <c r="O108" i="4" s="1"/>
  <c r="O128" i="4" s="1"/>
  <c r="G108" i="4"/>
  <c r="G128" i="4" s="1"/>
  <c r="I109" i="1"/>
  <c r="G108" i="1"/>
  <c r="G128" i="1" s="1"/>
  <c r="K73" i="6"/>
  <c r="O110" i="3"/>
  <c r="O108" i="3" s="1"/>
  <c r="O128" i="3" s="1"/>
  <c r="Q128" i="3" s="1"/>
  <c r="I110" i="3"/>
  <c r="G108" i="3"/>
  <c r="G128" i="3" s="1"/>
  <c r="I128" i="3" s="1"/>
  <c r="J14" i="12"/>
  <c r="R109" i="3"/>
  <c r="G94" i="3" l="1"/>
  <c r="H94" i="1"/>
  <c r="G94" i="1"/>
  <c r="G94" i="4"/>
  <c r="H110" i="1"/>
  <c r="E110" i="1"/>
  <c r="E108" i="1" s="1"/>
  <c r="E128" i="1" s="1"/>
  <c r="E110" i="3"/>
  <c r="E110" i="2"/>
  <c r="E110" i="4"/>
  <c r="G105" i="3"/>
  <c r="G105" i="4"/>
  <c r="G105" i="1"/>
  <c r="E105" i="1"/>
  <c r="H105" i="1"/>
  <c r="G38" i="1"/>
  <c r="G122" i="1" s="1"/>
  <c r="G62" i="3"/>
  <c r="G62" i="4"/>
  <c r="G62" i="1"/>
  <c r="Q110" i="3"/>
  <c r="Q108" i="3" s="1"/>
  <c r="I108" i="3"/>
  <c r="O109" i="1"/>
  <c r="O42" i="4"/>
  <c r="O38" i="4" s="1"/>
  <c r="O122" i="4" s="1"/>
  <c r="G38" i="4"/>
  <c r="G122" i="4" s="1"/>
  <c r="K50" i="6"/>
  <c r="G90" i="3"/>
  <c r="G90" i="4"/>
  <c r="G90" i="1"/>
  <c r="H90" i="1"/>
  <c r="G103" i="3"/>
  <c r="E103" i="2"/>
  <c r="G103" i="4"/>
  <c r="G103" i="1"/>
  <c r="O42" i="3"/>
  <c r="O38" i="3" s="1"/>
  <c r="O122" i="3" s="1"/>
  <c r="I42" i="3"/>
  <c r="G38" i="3"/>
  <c r="G122" i="3" s="1"/>
  <c r="I105" i="1" l="1"/>
  <c r="O105" i="1" s="1"/>
  <c r="Q105" i="1" s="1"/>
  <c r="E94" i="3"/>
  <c r="E105" i="3"/>
  <c r="E103" i="1"/>
  <c r="E94" i="1"/>
  <c r="E94" i="4"/>
  <c r="I94" i="1"/>
  <c r="O94" i="1" s="1"/>
  <c r="E90" i="3"/>
  <c r="E90" i="2"/>
  <c r="E90" i="4"/>
  <c r="E105" i="2"/>
  <c r="E94" i="2"/>
  <c r="E103" i="3"/>
  <c r="E90" i="1"/>
  <c r="E105" i="4"/>
  <c r="I90" i="1"/>
  <c r="O90" i="1" s="1"/>
  <c r="Q90" i="1" s="1"/>
  <c r="O90" i="3"/>
  <c r="I90" i="3"/>
  <c r="Q90" i="3" s="1"/>
  <c r="Q122" i="3"/>
  <c r="Q7" i="3" s="1"/>
  <c r="O7" i="3"/>
  <c r="I105" i="4"/>
  <c r="Q105" i="4" s="1"/>
  <c r="O105" i="4"/>
  <c r="R110" i="3"/>
  <c r="E108" i="3"/>
  <c r="G68" i="3"/>
  <c r="G59" i="3" s="1"/>
  <c r="G124" i="3" s="1"/>
  <c r="G68" i="1"/>
  <c r="G59" i="1" s="1"/>
  <c r="G124" i="1" s="1"/>
  <c r="G68" i="4"/>
  <c r="O105" i="3"/>
  <c r="I105" i="3"/>
  <c r="Q105" i="3" s="1"/>
  <c r="G7" i="1"/>
  <c r="G97" i="3"/>
  <c r="G97" i="1"/>
  <c r="G97" i="4"/>
  <c r="G87" i="3"/>
  <c r="G87" i="4"/>
  <c r="G87" i="1"/>
  <c r="H108" i="1"/>
  <c r="H128" i="1" s="1"/>
  <c r="I128" i="1" s="1"/>
  <c r="I110" i="1"/>
  <c r="O103" i="3"/>
  <c r="I103" i="3"/>
  <c r="Q103" i="3" s="1"/>
  <c r="O62" i="4"/>
  <c r="O94" i="4"/>
  <c r="E108" i="2"/>
  <c r="G82" i="3"/>
  <c r="G82" i="4"/>
  <c r="G82" i="1"/>
  <c r="H82" i="1"/>
  <c r="G86" i="3"/>
  <c r="H86" i="1"/>
  <c r="G86" i="1"/>
  <c r="G86" i="4"/>
  <c r="G98" i="3"/>
  <c r="H98" i="1"/>
  <c r="G98" i="4"/>
  <c r="G98" i="1"/>
  <c r="G7" i="4"/>
  <c r="K60" i="6"/>
  <c r="G99" i="3"/>
  <c r="G99" i="4"/>
  <c r="G99" i="1"/>
  <c r="I103" i="4"/>
  <c r="Q103" i="4" s="1"/>
  <c r="O103" i="4"/>
  <c r="O62" i="3"/>
  <c r="I62" i="3"/>
  <c r="Q42" i="3"/>
  <c r="Q38" i="3" s="1"/>
  <c r="I38" i="3"/>
  <c r="H42" i="1"/>
  <c r="E42" i="4"/>
  <c r="E42" i="2"/>
  <c r="E42" i="3"/>
  <c r="E42" i="1"/>
  <c r="E38" i="1" s="1"/>
  <c r="E122" i="1" s="1"/>
  <c r="E7" i="1" s="1"/>
  <c r="G102" i="3"/>
  <c r="H102" i="1"/>
  <c r="G102" i="4"/>
  <c r="G102" i="1"/>
  <c r="G93" i="3"/>
  <c r="G93" i="1"/>
  <c r="G93" i="4"/>
  <c r="I122" i="3"/>
  <c r="G7" i="3"/>
  <c r="E103" i="4"/>
  <c r="H103" i="1"/>
  <c r="I103" i="1" s="1"/>
  <c r="O103" i="1" s="1"/>
  <c r="Q103" i="1" s="1"/>
  <c r="I90" i="4"/>
  <c r="Q90" i="4" s="1"/>
  <c r="O90" i="4"/>
  <c r="O7" i="4"/>
  <c r="E108" i="4"/>
  <c r="O94" i="3"/>
  <c r="I94" i="3"/>
  <c r="Q94" i="3" s="1"/>
  <c r="E102" i="2" l="1"/>
  <c r="E98" i="4"/>
  <c r="E98" i="1"/>
  <c r="E86" i="4"/>
  <c r="R90" i="3"/>
  <c r="E98" i="2"/>
  <c r="E86" i="2"/>
  <c r="E98" i="3"/>
  <c r="E86" i="1"/>
  <c r="E86" i="3"/>
  <c r="I98" i="1"/>
  <c r="O98" i="1" s="1"/>
  <c r="E82" i="2"/>
  <c r="R105" i="3"/>
  <c r="E102" i="4"/>
  <c r="E102" i="3"/>
  <c r="I102" i="1"/>
  <c r="O102" i="1" s="1"/>
  <c r="E102" i="1"/>
  <c r="O68" i="4"/>
  <c r="O59" i="4" s="1"/>
  <c r="O124" i="4" s="1"/>
  <c r="E97" i="1"/>
  <c r="E38" i="2"/>
  <c r="Q62" i="3"/>
  <c r="E82" i="3"/>
  <c r="G74" i="3"/>
  <c r="H74" i="1"/>
  <c r="G74" i="4"/>
  <c r="G74" i="1"/>
  <c r="K66" i="6"/>
  <c r="O93" i="4"/>
  <c r="O102" i="4"/>
  <c r="E38" i="4"/>
  <c r="O86" i="4"/>
  <c r="I82" i="1"/>
  <c r="O82" i="1" s="1"/>
  <c r="O68" i="3"/>
  <c r="O59" i="3" s="1"/>
  <c r="O124" i="3" s="1"/>
  <c r="I68" i="3"/>
  <c r="Q68" i="3" s="1"/>
  <c r="O99" i="4"/>
  <c r="G80" i="3"/>
  <c r="G80" i="1"/>
  <c r="G80" i="4"/>
  <c r="I7" i="3"/>
  <c r="O93" i="3"/>
  <c r="I93" i="3"/>
  <c r="G75" i="3"/>
  <c r="G75" i="4"/>
  <c r="G75" i="1"/>
  <c r="I86" i="1"/>
  <c r="O86" i="1" s="1"/>
  <c r="O82" i="4"/>
  <c r="G59" i="4"/>
  <c r="G124" i="4" s="1"/>
  <c r="O87" i="4"/>
  <c r="O97" i="4"/>
  <c r="E128" i="3"/>
  <c r="R128" i="3" s="1"/>
  <c r="R108" i="3"/>
  <c r="R42" i="3"/>
  <c r="E38" i="3"/>
  <c r="I124" i="3"/>
  <c r="E128" i="4"/>
  <c r="H38" i="1"/>
  <c r="H122" i="1" s="1"/>
  <c r="I42" i="1"/>
  <c r="O98" i="4"/>
  <c r="G96" i="3"/>
  <c r="H96" i="1"/>
  <c r="G96" i="4"/>
  <c r="G96" i="1"/>
  <c r="O99" i="3"/>
  <c r="I99" i="3"/>
  <c r="Q99" i="3" s="1"/>
  <c r="O98" i="3"/>
  <c r="I98" i="3"/>
  <c r="Q98" i="3" s="1"/>
  <c r="O86" i="3"/>
  <c r="I86" i="3"/>
  <c r="Q86" i="3" s="1"/>
  <c r="O82" i="3"/>
  <c r="I82" i="3"/>
  <c r="Q82" i="3" s="1"/>
  <c r="O102" i="3"/>
  <c r="I102" i="3"/>
  <c r="Q102" i="3" s="1"/>
  <c r="E82" i="1"/>
  <c r="R103" i="3"/>
  <c r="G101" i="3"/>
  <c r="E101" i="2"/>
  <c r="G101" i="4"/>
  <c r="G101" i="1"/>
  <c r="O87" i="3"/>
  <c r="I87" i="3"/>
  <c r="Q87" i="3" s="1"/>
  <c r="H62" i="1"/>
  <c r="E62" i="1"/>
  <c r="E62" i="2"/>
  <c r="E62" i="3"/>
  <c r="E62" i="4"/>
  <c r="E82" i="4"/>
  <c r="E128" i="2"/>
  <c r="O110" i="1"/>
  <c r="I108" i="1"/>
  <c r="G95" i="3"/>
  <c r="G95" i="1"/>
  <c r="G95" i="4"/>
  <c r="H95" i="1"/>
  <c r="O97" i="3"/>
  <c r="I97" i="3"/>
  <c r="Q97" i="3" s="1"/>
  <c r="R94" i="3"/>
  <c r="O74" i="4" l="1"/>
  <c r="H97" i="1"/>
  <c r="I97" i="1" s="1"/>
  <c r="O97" i="1" s="1"/>
  <c r="E97" i="4"/>
  <c r="E99" i="1"/>
  <c r="E97" i="3"/>
  <c r="R97" i="3" s="1"/>
  <c r="H99" i="1"/>
  <c r="I99" i="1" s="1"/>
  <c r="O99" i="1" s="1"/>
  <c r="E97" i="2"/>
  <c r="E99" i="2"/>
  <c r="E99" i="3"/>
  <c r="R99" i="3" s="1"/>
  <c r="E99" i="4"/>
  <c r="E96" i="4"/>
  <c r="E96" i="3"/>
  <c r="E101" i="3"/>
  <c r="I96" i="1"/>
  <c r="O96" i="1" s="1"/>
  <c r="E96" i="2"/>
  <c r="E96" i="1"/>
  <c r="E74" i="3"/>
  <c r="E74" i="1"/>
  <c r="E74" i="4"/>
  <c r="M2" i="5"/>
  <c r="E95" i="4"/>
  <c r="E95" i="1"/>
  <c r="E95" i="2"/>
  <c r="Q124" i="3"/>
  <c r="R62" i="3"/>
  <c r="O75" i="4"/>
  <c r="O80" i="3"/>
  <c r="I80" i="3"/>
  <c r="G73" i="1"/>
  <c r="G125" i="1" s="1"/>
  <c r="I74" i="1"/>
  <c r="E122" i="2"/>
  <c r="O95" i="3"/>
  <c r="I95" i="3"/>
  <c r="Q95" i="3" s="1"/>
  <c r="G81" i="3"/>
  <c r="G81" i="1"/>
  <c r="G81" i="4"/>
  <c r="O81" i="4" s="1"/>
  <c r="O75" i="3"/>
  <c r="I75" i="3"/>
  <c r="Q75" i="3" s="1"/>
  <c r="E122" i="4"/>
  <c r="G73" i="4"/>
  <c r="G125" i="4" s="1"/>
  <c r="G85" i="3"/>
  <c r="G85" i="4"/>
  <c r="G85" i="1"/>
  <c r="H85" i="1"/>
  <c r="O42" i="1"/>
  <c r="I38" i="1"/>
  <c r="H68" i="1"/>
  <c r="I68" i="1" s="1"/>
  <c r="O68" i="1" s="1"/>
  <c r="E68" i="4"/>
  <c r="E68" i="3"/>
  <c r="R68" i="3" s="1"/>
  <c r="E68" i="1"/>
  <c r="E68" i="2"/>
  <c r="O108" i="1"/>
  <c r="O128" i="1" s="1"/>
  <c r="R38" i="3"/>
  <c r="E122" i="3"/>
  <c r="G73" i="3"/>
  <c r="G125" i="3" s="1"/>
  <c r="O74" i="3"/>
  <c r="I74" i="3"/>
  <c r="O101" i="4"/>
  <c r="E101" i="4"/>
  <c r="H101" i="1"/>
  <c r="I101" i="1" s="1"/>
  <c r="O101" i="1" s="1"/>
  <c r="Q93" i="3"/>
  <c r="R82" i="3"/>
  <c r="O101" i="3"/>
  <c r="I101" i="3"/>
  <c r="Q101" i="3" s="1"/>
  <c r="G104" i="3"/>
  <c r="G92" i="3" s="1"/>
  <c r="G127" i="3" s="1"/>
  <c r="I127" i="3" s="1"/>
  <c r="H93" i="1"/>
  <c r="G104" i="1"/>
  <c r="G92" i="1" s="1"/>
  <c r="G127" i="1" s="1"/>
  <c r="G104" i="4"/>
  <c r="O96" i="4"/>
  <c r="O80" i="4"/>
  <c r="R86" i="3"/>
  <c r="G84" i="3"/>
  <c r="E84" i="1"/>
  <c r="G84" i="4"/>
  <c r="G84" i="1"/>
  <c r="O95" i="4"/>
  <c r="R98" i="3"/>
  <c r="R102" i="3"/>
  <c r="I59" i="3"/>
  <c r="I62" i="1"/>
  <c r="H7" i="1"/>
  <c r="I122" i="1"/>
  <c r="E95" i="3"/>
  <c r="G89" i="3"/>
  <c r="G89" i="4"/>
  <c r="H89" i="1"/>
  <c r="G89" i="1"/>
  <c r="I95" i="1"/>
  <c r="O95" i="1" s="1"/>
  <c r="E101" i="1"/>
  <c r="O96" i="3"/>
  <c r="I96" i="3"/>
  <c r="Q96" i="3" s="1"/>
  <c r="K70" i="6"/>
  <c r="E74" i="2"/>
  <c r="Q59" i="3"/>
  <c r="E93" i="4" l="1"/>
  <c r="R95" i="3"/>
  <c r="E93" i="1"/>
  <c r="E93" i="3"/>
  <c r="R93" i="3" s="1"/>
  <c r="E93" i="2"/>
  <c r="H81" i="1"/>
  <c r="I81" i="1" s="1"/>
  <c r="O81" i="1" s="1"/>
  <c r="E87" i="2"/>
  <c r="E87" i="4"/>
  <c r="H87" i="1"/>
  <c r="I87" i="1" s="1"/>
  <c r="O87" i="1" s="1"/>
  <c r="E87" i="1"/>
  <c r="E87" i="3"/>
  <c r="R87" i="3" s="1"/>
  <c r="H76" i="1"/>
  <c r="I76" i="1" s="1"/>
  <c r="O76" i="1" s="1"/>
  <c r="E76" i="3"/>
  <c r="R76" i="3" s="1"/>
  <c r="E76" i="1"/>
  <c r="E76" i="2"/>
  <c r="E76" i="4"/>
  <c r="H67" i="1"/>
  <c r="I67" i="1" s="1"/>
  <c r="O67" i="1" s="1"/>
  <c r="E67" i="1"/>
  <c r="E59" i="1" s="1"/>
  <c r="E124" i="1" s="1"/>
  <c r="E67" i="4"/>
  <c r="E67" i="2"/>
  <c r="E67" i="3"/>
  <c r="R67" i="3" s="1"/>
  <c r="E84" i="4"/>
  <c r="E89" i="3"/>
  <c r="E85" i="4"/>
  <c r="I89" i="1"/>
  <c r="O89" i="1" s="1"/>
  <c r="Q89" i="1" s="1"/>
  <c r="E84" i="2"/>
  <c r="R101" i="3"/>
  <c r="E85" i="1"/>
  <c r="E85" i="2"/>
  <c r="O73" i="4"/>
  <c r="O125" i="4" s="1"/>
  <c r="E85" i="3"/>
  <c r="G79" i="3"/>
  <c r="G126" i="3" s="1"/>
  <c r="I126" i="3" s="1"/>
  <c r="K52" i="6"/>
  <c r="K54" i="6" s="1"/>
  <c r="Q80" i="3"/>
  <c r="O84" i="3"/>
  <c r="I84" i="3"/>
  <c r="Q84" i="3" s="1"/>
  <c r="E104" i="3"/>
  <c r="H104" i="1"/>
  <c r="I104" i="1" s="1"/>
  <c r="O104" i="1" s="1"/>
  <c r="Q104" i="1" s="1"/>
  <c r="O74" i="1"/>
  <c r="E104" i="4"/>
  <c r="I93" i="1"/>
  <c r="I89" i="4"/>
  <c r="Q89" i="4" s="1"/>
  <c r="O89" i="4"/>
  <c r="E104" i="1"/>
  <c r="Q74" i="3"/>
  <c r="Q73" i="3" s="1"/>
  <c r="I73" i="3"/>
  <c r="E7" i="4"/>
  <c r="E81" i="3"/>
  <c r="G79" i="1"/>
  <c r="G126" i="1" s="1"/>
  <c r="H80" i="1"/>
  <c r="E80" i="3"/>
  <c r="E80" i="4"/>
  <c r="E80" i="2"/>
  <c r="E80" i="1"/>
  <c r="O81" i="3"/>
  <c r="I81" i="3"/>
  <c r="Q81" i="3" s="1"/>
  <c r="O89" i="3"/>
  <c r="I89" i="3"/>
  <c r="Q89" i="3" s="1"/>
  <c r="G79" i="4"/>
  <c r="G126" i="4" s="1"/>
  <c r="E104" i="2"/>
  <c r="O73" i="3"/>
  <c r="O125" i="3" s="1"/>
  <c r="K71" i="6"/>
  <c r="K76" i="6" s="1"/>
  <c r="O38" i="1"/>
  <c r="O122" i="1" s="1"/>
  <c r="E81" i="4"/>
  <c r="O62" i="1"/>
  <c r="H75" i="1"/>
  <c r="E75" i="2"/>
  <c r="E75" i="1"/>
  <c r="E75" i="4"/>
  <c r="E75" i="3"/>
  <c r="O84" i="4"/>
  <c r="O104" i="4"/>
  <c r="O92" i="4" s="1"/>
  <c r="O127" i="4" s="1"/>
  <c r="I104" i="4"/>
  <c r="Q104" i="4" s="1"/>
  <c r="I125" i="3"/>
  <c r="I85" i="1"/>
  <c r="O85" i="1" s="1"/>
  <c r="E81" i="1"/>
  <c r="E7" i="2"/>
  <c r="E89" i="1"/>
  <c r="E89" i="2"/>
  <c r="I7" i="1"/>
  <c r="E84" i="3"/>
  <c r="H84" i="1"/>
  <c r="I84" i="1" s="1"/>
  <c r="O84" i="1" s="1"/>
  <c r="O85" i="4"/>
  <c r="E81" i="2"/>
  <c r="R96" i="3"/>
  <c r="G92" i="4"/>
  <c r="G127" i="4" s="1"/>
  <c r="O85" i="3"/>
  <c r="I85" i="3"/>
  <c r="Q85" i="3" s="1"/>
  <c r="E89" i="4"/>
  <c r="O104" i="3"/>
  <c r="O92" i="3" s="1"/>
  <c r="O127" i="3" s="1"/>
  <c r="Q127" i="3" s="1"/>
  <c r="I104" i="3"/>
  <c r="Q104" i="3" s="1"/>
  <c r="Q92" i="3" s="1"/>
  <c r="R122" i="3"/>
  <c r="E7" i="3"/>
  <c r="E92" i="3" l="1"/>
  <c r="E127" i="3" s="1"/>
  <c r="E73" i="1"/>
  <c r="E125" i="1" s="1"/>
  <c r="E92" i="1"/>
  <c r="E127" i="1" s="1"/>
  <c r="E59" i="2"/>
  <c r="E124" i="2" s="1"/>
  <c r="E59" i="3"/>
  <c r="E124" i="3" s="1"/>
  <c r="I59" i="1"/>
  <c r="E59" i="4"/>
  <c r="H59" i="1"/>
  <c r="H124" i="1" s="1"/>
  <c r="I124" i="1" s="1"/>
  <c r="R84" i="3"/>
  <c r="G118" i="3"/>
  <c r="D13" i="12" s="1"/>
  <c r="G57" i="3"/>
  <c r="R74" i="3"/>
  <c r="O79" i="4"/>
  <c r="O126" i="4" s="1"/>
  <c r="R89" i="3"/>
  <c r="O79" i="3"/>
  <c r="O126" i="3" s="1"/>
  <c r="Q126" i="3" s="1"/>
  <c r="O93" i="1"/>
  <c r="I92" i="1"/>
  <c r="O59" i="1"/>
  <c r="O124" i="1" s="1"/>
  <c r="Q125" i="3"/>
  <c r="E79" i="1"/>
  <c r="E126" i="1" s="1"/>
  <c r="H92" i="1"/>
  <c r="H127" i="1" s="1"/>
  <c r="I127" i="1" s="1"/>
  <c r="Q79" i="3"/>
  <c r="E79" i="2"/>
  <c r="R81" i="3"/>
  <c r="I79" i="3"/>
  <c r="R75" i="3"/>
  <c r="E73" i="3"/>
  <c r="E79" i="4"/>
  <c r="R7" i="3"/>
  <c r="E73" i="4"/>
  <c r="R80" i="3"/>
  <c r="E79" i="3"/>
  <c r="E92" i="4"/>
  <c r="E73" i="2"/>
  <c r="E92" i="2"/>
  <c r="H79" i="1"/>
  <c r="H126" i="1" s="1"/>
  <c r="I126" i="1" s="1"/>
  <c r="I80" i="1"/>
  <c r="O7" i="1"/>
  <c r="R85" i="3"/>
  <c r="R104" i="3"/>
  <c r="I92" i="3"/>
  <c r="I75" i="1"/>
  <c r="H73" i="1"/>
  <c r="H125" i="1" s="1"/>
  <c r="R127" i="3" l="1"/>
  <c r="R92" i="3"/>
  <c r="R59" i="3"/>
  <c r="E124" i="4"/>
  <c r="O57" i="3"/>
  <c r="O118" i="3"/>
  <c r="J13" i="12" s="1"/>
  <c r="E126" i="2"/>
  <c r="E125" i="4"/>
  <c r="O92" i="1"/>
  <c r="O127" i="1" s="1"/>
  <c r="E125" i="3"/>
  <c r="R125" i="3" s="1"/>
  <c r="R73" i="3"/>
  <c r="R79" i="3"/>
  <c r="E126" i="3"/>
  <c r="R126" i="3" s="1"/>
  <c r="I125" i="1"/>
  <c r="E127" i="2"/>
  <c r="I79" i="1"/>
  <c r="O80" i="1"/>
  <c r="O75" i="1"/>
  <c r="I73" i="1"/>
  <c r="E125" i="2"/>
  <c r="E127" i="4"/>
  <c r="R124" i="3"/>
  <c r="E126" i="4"/>
  <c r="O73" i="1" l="1"/>
  <c r="O125" i="1" s="1"/>
  <c r="O79" i="1"/>
  <c r="O126" i="1" s="1"/>
  <c r="G114" i="1" l="1"/>
  <c r="G113" i="1" s="1"/>
  <c r="G129" i="1" s="1"/>
  <c r="G114" i="4"/>
  <c r="O114" i="4" s="1"/>
  <c r="O113" i="4" s="1"/>
  <c r="O129" i="4" s="1"/>
  <c r="H114" i="3"/>
  <c r="H113" i="3" s="1"/>
  <c r="H129" i="3" s="1"/>
  <c r="K79" i="6" l="1"/>
  <c r="AA568" i="5"/>
  <c r="O2" i="5"/>
  <c r="I114" i="3"/>
  <c r="I113" i="3" s="1"/>
  <c r="I114" i="4"/>
  <c r="Q114" i="4" s="1"/>
  <c r="Q113" i="4" s="1"/>
  <c r="P114" i="3"/>
  <c r="P113" i="3" s="1"/>
  <c r="P129" i="3" s="1"/>
  <c r="K14" i="12" s="1"/>
  <c r="O118" i="4"/>
  <c r="J20" i="12" s="1"/>
  <c r="O57" i="4"/>
  <c r="G57" i="1"/>
  <c r="G118" i="1"/>
  <c r="D24" i="12"/>
  <c r="H118" i="3"/>
  <c r="I129" i="3"/>
  <c r="E14" i="12"/>
  <c r="H57" i="3"/>
  <c r="G113" i="4"/>
  <c r="G129" i="4" s="1"/>
  <c r="K78" i="6"/>
  <c r="K83" i="6" s="1"/>
  <c r="G10" i="12" s="1"/>
  <c r="D7" i="12" l="1"/>
  <c r="I7" i="12" s="1"/>
  <c r="O1" i="5"/>
  <c r="P118" i="3"/>
  <c r="K13" i="12" s="1"/>
  <c r="Q129" i="3"/>
  <c r="Q118" i="3" s="1"/>
  <c r="P57" i="3"/>
  <c r="Q114" i="3"/>
  <c r="Q113" i="3" s="1"/>
  <c r="I113" i="4"/>
  <c r="E114" i="3"/>
  <c r="AA2" i="5"/>
  <c r="E114" i="2"/>
  <c r="E114" i="4"/>
  <c r="H114" i="1"/>
  <c r="E114" i="1"/>
  <c r="E113" i="1" s="1"/>
  <c r="E129" i="1" s="1"/>
  <c r="E13" i="12"/>
  <c r="D23" i="12"/>
  <c r="C4" i="12"/>
  <c r="G57" i="4"/>
  <c r="G118" i="4"/>
  <c r="I129" i="4"/>
  <c r="Q129" i="4" s="1"/>
  <c r="I118" i="3"/>
  <c r="I57" i="3"/>
  <c r="F14" i="12"/>
  <c r="D20" i="12" l="1"/>
  <c r="Q57" i="3"/>
  <c r="L14" i="12"/>
  <c r="E118" i="1"/>
  <c r="E57" i="1"/>
  <c r="C24" i="12"/>
  <c r="E113" i="4"/>
  <c r="D1" i="12"/>
  <c r="D25" i="12"/>
  <c r="L13" i="12"/>
  <c r="E113" i="2"/>
  <c r="F13" i="12"/>
  <c r="I114" i="1"/>
  <c r="H113" i="1"/>
  <c r="H129" i="1" s="1"/>
  <c r="E113" i="3"/>
  <c r="R114" i="3"/>
  <c r="C23" i="12" l="1"/>
  <c r="C25" i="12" s="1"/>
  <c r="E129" i="3"/>
  <c r="R113" i="3"/>
  <c r="H57" i="1"/>
  <c r="E24" i="12"/>
  <c r="H118" i="1"/>
  <c r="I129" i="1"/>
  <c r="O114" i="1"/>
  <c r="I113" i="1"/>
  <c r="E129" i="4"/>
  <c r="E129" i="2"/>
  <c r="E118" i="4" l="1"/>
  <c r="E57" i="4"/>
  <c r="E23" i="12"/>
  <c r="E25" i="12" s="1"/>
  <c r="D4" i="12"/>
  <c r="R129" i="3"/>
  <c r="E57" i="3"/>
  <c r="E118" i="3"/>
  <c r="C14" i="12"/>
  <c r="I118" i="1"/>
  <c r="I57" i="1"/>
  <c r="F24" i="12"/>
  <c r="C17" i="12"/>
  <c r="E57" i="2"/>
  <c r="E118" i="2"/>
  <c r="O113" i="1"/>
  <c r="Q114" i="1"/>
  <c r="Q113" i="1" s="1"/>
  <c r="F23" i="12" l="1"/>
  <c r="F25" i="12" s="1"/>
  <c r="J4" i="12"/>
  <c r="E4" i="12"/>
  <c r="C13" i="12"/>
  <c r="R118" i="3"/>
  <c r="R57" i="3"/>
  <c r="O129" i="1"/>
  <c r="L4" i="12"/>
  <c r="C16" i="12"/>
  <c r="C18" i="12" s="1"/>
  <c r="C20" i="12"/>
  <c r="O57" i="1" l="1"/>
  <c r="Q129" i="1"/>
  <c r="O118" i="1"/>
  <c r="J23" i="12" s="1"/>
  <c r="J24" i="12"/>
  <c r="L24" i="12" l="1"/>
  <c r="J25" i="12"/>
  <c r="C1" i="12"/>
  <c r="V517" i="5" l="1"/>
  <c r="AG517" i="5" s="1"/>
  <c r="V505" i="5"/>
  <c r="AG505" i="5" s="1"/>
  <c r="V443" i="5"/>
  <c r="AG443" i="5" s="1"/>
  <c r="V368" i="5"/>
  <c r="AG368" i="5" s="1"/>
  <c r="V338" i="5"/>
  <c r="AG338" i="5" s="1"/>
  <c r="V324" i="5"/>
  <c r="AG324" i="5" s="1"/>
  <c r="V91" i="5"/>
  <c r="AG91" i="5" s="1"/>
  <c r="V71" i="5"/>
  <c r="AG71" i="5" s="1"/>
  <c r="V25" i="5" l="1"/>
  <c r="H14" i="2"/>
  <c r="K14" i="1"/>
  <c r="M14" i="1" s="1"/>
  <c r="P14" i="1" s="1"/>
  <c r="Q14" i="1" s="1"/>
  <c r="H14" i="4"/>
  <c r="V384" i="5"/>
  <c r="AG384" i="5" s="1"/>
  <c r="K44" i="1"/>
  <c r="M44" i="1" s="1"/>
  <c r="P44" i="1" s="1"/>
  <c r="Q44" i="1" s="1"/>
  <c r="H44" i="4"/>
  <c r="P44" i="4" s="1"/>
  <c r="H44" i="2"/>
  <c r="V465" i="5"/>
  <c r="AG465" i="5" s="1"/>
  <c r="K83" i="1"/>
  <c r="M83" i="1" s="1"/>
  <c r="P83" i="1" s="1"/>
  <c r="Q83" i="1" s="1"/>
  <c r="H83" i="4"/>
  <c r="P83" i="4" s="1"/>
  <c r="H83" i="2"/>
  <c r="V403" i="5"/>
  <c r="AG403" i="5" s="1"/>
  <c r="H75" i="2"/>
  <c r="H75" i="4"/>
  <c r="P75" i="4" s="1"/>
  <c r="K75" i="1"/>
  <c r="M75" i="1" s="1"/>
  <c r="P75" i="1" s="1"/>
  <c r="Q75" i="1" s="1"/>
  <c r="V426" i="5"/>
  <c r="H31" i="2"/>
  <c r="P31" i="2" s="1"/>
  <c r="K31" i="1"/>
  <c r="H31" i="4"/>
  <c r="V477" i="5"/>
  <c r="AG477" i="5" s="1"/>
  <c r="K87" i="1"/>
  <c r="M87" i="1" s="1"/>
  <c r="P87" i="1" s="1"/>
  <c r="Q87" i="1" s="1"/>
  <c r="H87" i="2"/>
  <c r="H87" i="4"/>
  <c r="V44" i="5"/>
  <c r="H61" i="2"/>
  <c r="H61" i="4"/>
  <c r="K61" i="1"/>
  <c r="M61" i="1" s="1"/>
  <c r="P61" i="1" s="1"/>
  <c r="Q61" i="1" s="1"/>
  <c r="V430" i="5"/>
  <c r="K32" i="1"/>
  <c r="M32" i="1" s="1"/>
  <c r="P32" i="1" s="1"/>
  <c r="Q32" i="1" s="1"/>
  <c r="H32" i="4"/>
  <c r="P32" i="4" s="1"/>
  <c r="H32" i="2"/>
  <c r="V501" i="5"/>
  <c r="H97" i="4"/>
  <c r="K97" i="1"/>
  <c r="M97" i="1" s="1"/>
  <c r="P97" i="1" s="1"/>
  <c r="Q97" i="1" s="1"/>
  <c r="H97" i="2"/>
  <c r="V461" i="5"/>
  <c r="AG461" i="5" s="1"/>
  <c r="H84" i="4"/>
  <c r="P84" i="4" s="1"/>
  <c r="K84" i="1"/>
  <c r="M84" i="1" s="1"/>
  <c r="P84" i="1" s="1"/>
  <c r="Q84" i="1" s="1"/>
  <c r="H84" i="2"/>
  <c r="V69" i="5"/>
  <c r="AG69" i="5" s="1"/>
  <c r="V83" i="5"/>
  <c r="H23" i="4"/>
  <c r="P23" i="4" s="1"/>
  <c r="K23" i="1"/>
  <c r="M23" i="1" s="1"/>
  <c r="P23" i="1" s="1"/>
  <c r="Q23" i="1" s="1"/>
  <c r="H23" i="2"/>
  <c r="V101" i="5"/>
  <c r="K24" i="1"/>
  <c r="M24" i="1" s="1"/>
  <c r="P24" i="1" s="1"/>
  <c r="Q24" i="1" s="1"/>
  <c r="H24" i="2"/>
  <c r="H24" i="4"/>
  <c r="V334" i="5"/>
  <c r="AG334" i="5" s="1"/>
  <c r="V36" i="5"/>
  <c r="H45" i="2"/>
  <c r="H45" i="4"/>
  <c r="K45" i="1"/>
  <c r="M45" i="1" s="1"/>
  <c r="P45" i="1" s="1"/>
  <c r="V43" i="5"/>
  <c r="H60" i="2"/>
  <c r="H60" i="4"/>
  <c r="K60" i="1"/>
  <c r="V115" i="5"/>
  <c r="H25" i="2"/>
  <c r="K25" i="1"/>
  <c r="M25" i="1" s="1"/>
  <c r="P25" i="1" s="1"/>
  <c r="Q25" i="1" s="1"/>
  <c r="V507" i="5"/>
  <c r="AG507" i="5" s="1"/>
  <c r="H98" i="2"/>
  <c r="K98" i="1"/>
  <c r="H98" i="4"/>
  <c r="V55" i="5"/>
  <c r="V174" i="5"/>
  <c r="K50" i="1"/>
  <c r="H50" i="4"/>
  <c r="H50" i="2"/>
  <c r="I50" i="2" s="1"/>
  <c r="V380" i="5"/>
  <c r="AG380" i="5" s="1"/>
  <c r="K43" i="1"/>
  <c r="M43" i="1" s="1"/>
  <c r="P43" i="1" s="1"/>
  <c r="Q43" i="1" s="1"/>
  <c r="H43" i="2"/>
  <c r="H43" i="4"/>
  <c r="V531" i="5"/>
  <c r="AG531" i="5" s="1"/>
  <c r="H96" i="2"/>
  <c r="K96" i="1"/>
  <c r="M96" i="1" s="1"/>
  <c r="P96" i="1" s="1"/>
  <c r="Q96" i="1" s="1"/>
  <c r="H96" i="4"/>
  <c r="P96" i="4" s="1"/>
  <c r="H46" i="2"/>
  <c r="H46" i="4"/>
  <c r="K46" i="1"/>
  <c r="M46" i="1" s="1"/>
  <c r="P46" i="1" s="1"/>
  <c r="Q46" i="1" s="1"/>
  <c r="V37" i="5"/>
  <c r="AG37" i="5" s="1"/>
  <c r="V45" i="5"/>
  <c r="H62" i="2"/>
  <c r="H62" i="4"/>
  <c r="K62" i="1"/>
  <c r="M62" i="1" s="1"/>
  <c r="P62" i="1" s="1"/>
  <c r="Q62" i="1" s="1"/>
  <c r="H47" i="2"/>
  <c r="H47" i="4"/>
  <c r="K47" i="1"/>
  <c r="M47" i="1" s="1"/>
  <c r="P47" i="1" s="1"/>
  <c r="Q47" i="1" s="1"/>
  <c r="V358" i="5"/>
  <c r="AG358" i="5" s="1"/>
  <c r="V48" i="5"/>
  <c r="H64" i="2"/>
  <c r="K64" i="1"/>
  <c r="M64" i="1" s="1"/>
  <c r="P64" i="1" s="1"/>
  <c r="Q64" i="1" s="1"/>
  <c r="H64" i="4"/>
  <c r="V182" i="5"/>
  <c r="AG182" i="5" s="1"/>
  <c r="H51" i="2"/>
  <c r="H51" i="4"/>
  <c r="K51" i="1"/>
  <c r="M51" i="1" s="1"/>
  <c r="P51" i="1" s="1"/>
  <c r="Q51" i="1" s="1"/>
  <c r="V366" i="5"/>
  <c r="AG366" i="5" s="1"/>
  <c r="K42" i="1"/>
  <c r="M42" i="1" s="1"/>
  <c r="P42" i="1" s="1"/>
  <c r="Q42" i="1" s="1"/>
  <c r="H42" i="4"/>
  <c r="H42" i="2"/>
  <c r="H35" i="4"/>
  <c r="K35" i="1"/>
  <c r="M35" i="1" s="1"/>
  <c r="P35" i="1" s="1"/>
  <c r="Q35" i="1" s="1"/>
  <c r="H35" i="2"/>
  <c r="V445" i="5"/>
  <c r="V519" i="5"/>
  <c r="AG519" i="5" s="1"/>
  <c r="H102" i="2"/>
  <c r="K102" i="1"/>
  <c r="M102" i="1" s="1"/>
  <c r="P102" i="1" s="1"/>
  <c r="Q102" i="1" s="1"/>
  <c r="H102" i="4"/>
  <c r="P102" i="4" s="1"/>
  <c r="V530" i="5"/>
  <c r="AG530" i="5" s="1"/>
  <c r="K100" i="1"/>
  <c r="M100" i="1" s="1"/>
  <c r="P100" i="1" s="1"/>
  <c r="Q100" i="1" s="1"/>
  <c r="H100" i="4"/>
  <c r="H100" i="2"/>
  <c r="V34" i="5"/>
  <c r="K17" i="1"/>
  <c r="M17" i="1" s="1"/>
  <c r="P17" i="1" s="1"/>
  <c r="Q17" i="1" s="1"/>
  <c r="H17" i="4"/>
  <c r="H17" i="2"/>
  <c r="V316" i="5"/>
  <c r="AG316" i="5" s="1"/>
  <c r="V471" i="5"/>
  <c r="AG471" i="5" s="1"/>
  <c r="H86" i="2"/>
  <c r="H86" i="4"/>
  <c r="K86" i="1"/>
  <c r="M86" i="1" s="1"/>
  <c r="P86" i="1" s="1"/>
  <c r="Q86" i="1" s="1"/>
  <c r="V47" i="5"/>
  <c r="H63" i="2"/>
  <c r="K63" i="1"/>
  <c r="M63" i="1" s="1"/>
  <c r="P63" i="1" s="1"/>
  <c r="Q63" i="1" s="1"/>
  <c r="H63" i="4"/>
  <c r="V18" i="5"/>
  <c r="H12" i="2"/>
  <c r="K12" i="1"/>
  <c r="M12" i="1" s="1"/>
  <c r="P12" i="1" s="1"/>
  <c r="Q12" i="1" s="1"/>
  <c r="H12" i="4"/>
  <c r="V49" i="5"/>
  <c r="H66" i="2"/>
  <c r="K66" i="1"/>
  <c r="M66" i="1" s="1"/>
  <c r="P66" i="1" s="1"/>
  <c r="Q66" i="1" s="1"/>
  <c r="H66" i="4"/>
  <c r="P66" i="4" s="1"/>
  <c r="V457" i="5"/>
  <c r="H80" i="4"/>
  <c r="H80" i="2"/>
  <c r="K80" i="1"/>
  <c r="M80" i="1" s="1"/>
  <c r="V521" i="5"/>
  <c r="AG521" i="5" s="1"/>
  <c r="V459" i="5"/>
  <c r="AG459" i="5" s="1"/>
  <c r="K82" i="1"/>
  <c r="M82" i="1" s="1"/>
  <c r="P82" i="1" s="1"/>
  <c r="Q82" i="1" s="1"/>
  <c r="H82" i="2"/>
  <c r="H82" i="4"/>
  <c r="V554" i="5"/>
  <c r="H70" i="4"/>
  <c r="H70" i="2"/>
  <c r="K70" i="1"/>
  <c r="M70" i="1" s="1"/>
  <c r="P70" i="1" s="1"/>
  <c r="Q70" i="1" s="1"/>
  <c r="V565" i="5"/>
  <c r="H109" i="2"/>
  <c r="H109" i="4"/>
  <c r="K109" i="1"/>
  <c r="V46" i="5"/>
  <c r="H65" i="2"/>
  <c r="H65" i="4"/>
  <c r="K65" i="1"/>
  <c r="M65" i="1" s="1"/>
  <c r="P65" i="1" s="1"/>
  <c r="Q65" i="1" s="1"/>
  <c r="V15" i="5"/>
  <c r="H11" i="2"/>
  <c r="K11" i="1"/>
  <c r="M11" i="1" s="1"/>
  <c r="P11" i="1" s="1"/>
  <c r="H11" i="4"/>
  <c r="V23" i="5"/>
  <c r="H13" i="2"/>
  <c r="K13" i="1"/>
  <c r="M13" i="1" s="1"/>
  <c r="P13" i="1" s="1"/>
  <c r="Q13" i="1" s="1"/>
  <c r="H13" i="4"/>
  <c r="V50" i="5"/>
  <c r="H67" i="2"/>
  <c r="K67" i="1"/>
  <c r="M67" i="1" s="1"/>
  <c r="P67" i="1" s="1"/>
  <c r="Q67" i="1" s="1"/>
  <c r="H67" i="4"/>
  <c r="V222" i="5"/>
  <c r="AG222" i="5" s="1"/>
  <c r="H53" i="2"/>
  <c r="K53" i="1"/>
  <c r="M53" i="1" s="1"/>
  <c r="P53" i="1" s="1"/>
  <c r="Q53" i="1" s="1"/>
  <c r="H53" i="4"/>
  <c r="P53" i="4" s="1"/>
  <c r="V458" i="5"/>
  <c r="AG458" i="5" s="1"/>
  <c r="K88" i="1"/>
  <c r="M88" i="1" s="1"/>
  <c r="P88" i="1" s="1"/>
  <c r="Q88" i="1" s="1"/>
  <c r="H88" i="2"/>
  <c r="H88" i="4"/>
  <c r="V525" i="5"/>
  <c r="AG525" i="5" s="1"/>
  <c r="H101" i="4"/>
  <c r="H101" i="2"/>
  <c r="K101" i="1"/>
  <c r="M101" i="1" s="1"/>
  <c r="P101" i="1" s="1"/>
  <c r="Q101" i="1" s="1"/>
  <c r="P67" i="2" l="1"/>
  <c r="I67" i="2"/>
  <c r="Q67" i="2" s="1"/>
  <c r="P66" i="2"/>
  <c r="I66" i="2"/>
  <c r="Q66" i="2" s="1"/>
  <c r="P87" i="4"/>
  <c r="I87" i="4"/>
  <c r="Q87" i="4" s="1"/>
  <c r="P88" i="4"/>
  <c r="I88" i="4"/>
  <c r="Q88" i="4" s="1"/>
  <c r="P88" i="2"/>
  <c r="I88" i="2"/>
  <c r="Q88" i="2" s="1"/>
  <c r="I43" i="2"/>
  <c r="Q43" i="2" s="1"/>
  <c r="P43" i="2"/>
  <c r="AG501" i="5"/>
  <c r="P13" i="2"/>
  <c r="I13" i="2"/>
  <c r="Q13" i="2" s="1"/>
  <c r="P109" i="2"/>
  <c r="I109" i="2"/>
  <c r="P12" i="2"/>
  <c r="I12" i="2"/>
  <c r="Q12" i="2" s="1"/>
  <c r="P102" i="2"/>
  <c r="I102" i="2"/>
  <c r="Q102" i="2" s="1"/>
  <c r="I51" i="2"/>
  <c r="Q51" i="2" s="1"/>
  <c r="P51" i="2"/>
  <c r="P62" i="2"/>
  <c r="I62" i="2"/>
  <c r="Q62" i="2" s="1"/>
  <c r="P98" i="2"/>
  <c r="I98" i="2"/>
  <c r="P45" i="2"/>
  <c r="I45" i="2"/>
  <c r="Q45" i="2" s="1"/>
  <c r="I23" i="4"/>
  <c r="Q23" i="4" s="1"/>
  <c r="I32" i="2"/>
  <c r="Q32" i="2" s="1"/>
  <c r="P32" i="2"/>
  <c r="P31" i="4"/>
  <c r="I31" i="4"/>
  <c r="P44" i="2"/>
  <c r="I44" i="2"/>
  <c r="Q44" i="2" s="1"/>
  <c r="J16" i="6"/>
  <c r="AG23" i="5"/>
  <c r="AG565" i="5"/>
  <c r="J13" i="6"/>
  <c r="AG18" i="5"/>
  <c r="J60" i="6"/>
  <c r="AG45" i="5"/>
  <c r="AG36" i="5"/>
  <c r="J14" i="6"/>
  <c r="AG83" i="5"/>
  <c r="I32" i="4"/>
  <c r="Q32" i="4" s="1"/>
  <c r="M31" i="1"/>
  <c r="I44" i="4"/>
  <c r="Q44" i="4" s="1"/>
  <c r="P96" i="2"/>
  <c r="I96" i="2"/>
  <c r="Q96" i="2" s="1"/>
  <c r="J65" i="6"/>
  <c r="AG50" i="5"/>
  <c r="Q45" i="1"/>
  <c r="P63" i="4"/>
  <c r="I63" i="4"/>
  <c r="Q63" i="4" s="1"/>
  <c r="P17" i="2"/>
  <c r="I17" i="2"/>
  <c r="Q17" i="2" s="1"/>
  <c r="J42" i="6"/>
  <c r="AG445" i="5"/>
  <c r="P64" i="4"/>
  <c r="I64" i="4"/>
  <c r="Q64" i="4" s="1"/>
  <c r="P50" i="2"/>
  <c r="I31" i="2"/>
  <c r="V439" i="5"/>
  <c r="H34" i="2"/>
  <c r="P34" i="2" s="1"/>
  <c r="H34" i="4"/>
  <c r="K34" i="1"/>
  <c r="M34" i="1" s="1"/>
  <c r="P34" i="1" s="1"/>
  <c r="Q34" i="1" s="1"/>
  <c r="P98" i="4"/>
  <c r="I98" i="4"/>
  <c r="Q98" i="4" s="1"/>
  <c r="P51" i="4"/>
  <c r="I51" i="4"/>
  <c r="Q51" i="4" s="1"/>
  <c r="P17" i="4"/>
  <c r="I17" i="4"/>
  <c r="Q17" i="4" s="1"/>
  <c r="I35" i="2"/>
  <c r="Q35" i="2" s="1"/>
  <c r="P35" i="2"/>
  <c r="P50" i="4"/>
  <c r="I50" i="4"/>
  <c r="I25" i="2"/>
  <c r="Q25" i="2" s="1"/>
  <c r="P25" i="2"/>
  <c r="J45" i="6"/>
  <c r="AG430" i="5"/>
  <c r="J44" i="6"/>
  <c r="AG426" i="5"/>
  <c r="I53" i="4"/>
  <c r="Q53" i="4" s="1"/>
  <c r="P70" i="2"/>
  <c r="I70" i="2"/>
  <c r="Q70" i="2" s="1"/>
  <c r="I53" i="2"/>
  <c r="Q53" i="2" s="1"/>
  <c r="P53" i="2"/>
  <c r="P64" i="2"/>
  <c r="I64" i="2"/>
  <c r="Q64" i="2" s="1"/>
  <c r="I25" i="4"/>
  <c r="Q25" i="4" s="1"/>
  <c r="P84" i="2"/>
  <c r="I84" i="2"/>
  <c r="Q84" i="2" s="1"/>
  <c r="P14" i="4"/>
  <c r="I14" i="4"/>
  <c r="Q14" i="4" s="1"/>
  <c r="P65" i="2"/>
  <c r="I65" i="2"/>
  <c r="Q65" i="2" s="1"/>
  <c r="P47" i="2"/>
  <c r="I47" i="2"/>
  <c r="Q47" i="2" s="1"/>
  <c r="AG55" i="5"/>
  <c r="J17" i="6"/>
  <c r="AG101" i="5"/>
  <c r="P87" i="2"/>
  <c r="I87" i="2"/>
  <c r="Q87" i="2" s="1"/>
  <c r="P13" i="4"/>
  <c r="I13" i="4"/>
  <c r="Q13" i="4" s="1"/>
  <c r="P45" i="4"/>
  <c r="I45" i="4"/>
  <c r="Q45" i="4" s="1"/>
  <c r="P80" i="2"/>
  <c r="I80" i="2"/>
  <c r="Q80" i="2" s="1"/>
  <c r="P70" i="4"/>
  <c r="I70" i="4"/>
  <c r="Q70" i="4" s="1"/>
  <c r="P80" i="4"/>
  <c r="I80" i="4"/>
  <c r="Q80" i="4" s="1"/>
  <c r="P63" i="2"/>
  <c r="I63" i="2"/>
  <c r="Q63" i="2" s="1"/>
  <c r="I46" i="4"/>
  <c r="Q46" i="4" s="1"/>
  <c r="P46" i="4"/>
  <c r="M50" i="1"/>
  <c r="J10" i="6"/>
  <c r="AG15" i="5"/>
  <c r="AG554" i="5"/>
  <c r="AG457" i="5"/>
  <c r="J61" i="6"/>
  <c r="AG47" i="5"/>
  <c r="J22" i="6"/>
  <c r="AG34" i="5"/>
  <c r="I35" i="4"/>
  <c r="Q35" i="4" s="1"/>
  <c r="P35" i="4"/>
  <c r="J62" i="6"/>
  <c r="AG48" i="5"/>
  <c r="I46" i="2"/>
  <c r="Q46" i="2" s="1"/>
  <c r="P46" i="2"/>
  <c r="AG174" i="5"/>
  <c r="J20" i="6"/>
  <c r="AG115" i="5"/>
  <c r="P61" i="4"/>
  <c r="I61" i="4"/>
  <c r="Q61" i="4" s="1"/>
  <c r="I75" i="4"/>
  <c r="Q75" i="4" s="1"/>
  <c r="P86" i="2"/>
  <c r="I86" i="2"/>
  <c r="Q86" i="2" s="1"/>
  <c r="P97" i="2"/>
  <c r="I97" i="2"/>
  <c r="Q97" i="2" s="1"/>
  <c r="J63" i="6"/>
  <c r="AG46" i="5"/>
  <c r="J64" i="6"/>
  <c r="AG49" i="5"/>
  <c r="J58" i="6"/>
  <c r="AG43" i="5"/>
  <c r="M109" i="1"/>
  <c r="I102" i="4"/>
  <c r="Q102" i="4" s="1"/>
  <c r="P97" i="4"/>
  <c r="I97" i="4"/>
  <c r="Q97" i="4" s="1"/>
  <c r="M98" i="1"/>
  <c r="P98" i="1" s="1"/>
  <c r="Q98" i="1" s="1"/>
  <c r="P11" i="4"/>
  <c r="I11" i="4"/>
  <c r="Q11" i="4" s="1"/>
  <c r="P11" i="2"/>
  <c r="I11" i="2"/>
  <c r="Q11" i="2" s="1"/>
  <c r="P67" i="4"/>
  <c r="I67" i="4"/>
  <c r="Q67" i="4" s="1"/>
  <c r="P82" i="4"/>
  <c r="I82" i="4"/>
  <c r="Q82" i="4" s="1"/>
  <c r="I66" i="4"/>
  <c r="Q66" i="4" s="1"/>
  <c r="P100" i="2"/>
  <c r="I100" i="2"/>
  <c r="Q100" i="2" s="1"/>
  <c r="I42" i="2"/>
  <c r="Q42" i="2" s="1"/>
  <c r="P42" i="2"/>
  <c r="I96" i="4"/>
  <c r="Q96" i="4" s="1"/>
  <c r="M60" i="1"/>
  <c r="P24" i="4"/>
  <c r="I24" i="4"/>
  <c r="Q24" i="4" s="1"/>
  <c r="I84" i="4"/>
  <c r="Q84" i="4" s="1"/>
  <c r="P61" i="2"/>
  <c r="I61" i="2"/>
  <c r="Q61" i="2" s="1"/>
  <c r="P75" i="2"/>
  <c r="I75" i="2"/>
  <c r="Q75" i="2" s="1"/>
  <c r="P14" i="2"/>
  <c r="I14" i="2"/>
  <c r="Q14" i="2" s="1"/>
  <c r="P101" i="4"/>
  <c r="I101" i="4"/>
  <c r="Q101" i="4" s="1"/>
  <c r="P47" i="4"/>
  <c r="I47" i="4"/>
  <c r="Q47" i="4" s="1"/>
  <c r="P60" i="2"/>
  <c r="I60" i="2"/>
  <c r="P83" i="2"/>
  <c r="I83" i="2"/>
  <c r="Q83" i="2" s="1"/>
  <c r="I83" i="4"/>
  <c r="Q83" i="4" s="1"/>
  <c r="P12" i="4"/>
  <c r="I12" i="4"/>
  <c r="Q12" i="4" s="1"/>
  <c r="P43" i="4"/>
  <c r="I43" i="4"/>
  <c r="Q43" i="4" s="1"/>
  <c r="P23" i="2"/>
  <c r="I23" i="2"/>
  <c r="Q23" i="2" s="1"/>
  <c r="P109" i="4"/>
  <c r="I109" i="4"/>
  <c r="P62" i="4"/>
  <c r="I62" i="4"/>
  <c r="Q62" i="4" s="1"/>
  <c r="V232" i="5"/>
  <c r="AG232" i="5" s="1"/>
  <c r="H54" i="2"/>
  <c r="H54" i="4"/>
  <c r="P54" i="4" s="1"/>
  <c r="K54" i="1"/>
  <c r="M54" i="1" s="1"/>
  <c r="P54" i="1" s="1"/>
  <c r="Q54" i="1" s="1"/>
  <c r="P80" i="1"/>
  <c r="Q80" i="1" s="1"/>
  <c r="Q11" i="1"/>
  <c r="I101" i="2"/>
  <c r="Q101" i="2" s="1"/>
  <c r="P101" i="2"/>
  <c r="P65" i="4"/>
  <c r="I65" i="4"/>
  <c r="Q65" i="4" s="1"/>
  <c r="I82" i="2"/>
  <c r="Q82" i="2" s="1"/>
  <c r="P82" i="2"/>
  <c r="P86" i="4"/>
  <c r="I86" i="4"/>
  <c r="Q86" i="4" s="1"/>
  <c r="P100" i="4"/>
  <c r="I100" i="4"/>
  <c r="Q100" i="4" s="1"/>
  <c r="P42" i="4"/>
  <c r="I42" i="4"/>
  <c r="Q42" i="4" s="1"/>
  <c r="P60" i="4"/>
  <c r="I60" i="4"/>
  <c r="Q60" i="4" s="1"/>
  <c r="I24" i="2"/>
  <c r="Q24" i="2" s="1"/>
  <c r="P24" i="2"/>
  <c r="J59" i="6"/>
  <c r="AG44" i="5"/>
  <c r="J19" i="6"/>
  <c r="AG25" i="5"/>
  <c r="P34" i="4" l="1"/>
  <c r="I34" i="4"/>
  <c r="Q34" i="4" s="1"/>
  <c r="I34" i="2"/>
  <c r="Q34" i="2" s="1"/>
  <c r="Q60" i="2"/>
  <c r="P50" i="1"/>
  <c r="I45" i="6"/>
  <c r="N45" i="6"/>
  <c r="J41" i="6"/>
  <c r="AG439" i="5"/>
  <c r="I14" i="6"/>
  <c r="N14" i="6"/>
  <c r="I16" i="6"/>
  <c r="N16" i="6"/>
  <c r="I10" i="6"/>
  <c r="N10" i="6"/>
  <c r="I65" i="6"/>
  <c r="N65" i="6"/>
  <c r="I19" i="6"/>
  <c r="N19" i="6"/>
  <c r="I64" i="6"/>
  <c r="N64" i="6"/>
  <c r="I42" i="6"/>
  <c r="N42" i="6"/>
  <c r="I17" i="6"/>
  <c r="N17" i="6"/>
  <c r="Q31" i="2"/>
  <c r="Q50" i="2"/>
  <c r="I62" i="6"/>
  <c r="N62" i="6"/>
  <c r="I59" i="6"/>
  <c r="N59" i="6"/>
  <c r="I63" i="6"/>
  <c r="N63" i="6"/>
  <c r="I22" i="6"/>
  <c r="N22" i="6"/>
  <c r="Q31" i="4"/>
  <c r="Q98" i="2"/>
  <c r="I54" i="4"/>
  <c r="Q54" i="4" s="1"/>
  <c r="P60" i="1"/>
  <c r="I60" i="6"/>
  <c r="N60" i="6"/>
  <c r="I58" i="6"/>
  <c r="N58" i="6"/>
  <c r="H52" i="4"/>
  <c r="P52" i="4" s="1"/>
  <c r="H52" i="2"/>
  <c r="K52" i="1"/>
  <c r="Q109" i="4"/>
  <c r="I20" i="6"/>
  <c r="N20" i="6"/>
  <c r="I61" i="6"/>
  <c r="N61" i="6"/>
  <c r="Q50" i="4"/>
  <c r="P109" i="1"/>
  <c r="I44" i="6"/>
  <c r="N44" i="6"/>
  <c r="P54" i="2"/>
  <c r="I54" i="2"/>
  <c r="Q54" i="2" s="1"/>
  <c r="P31" i="1"/>
  <c r="I13" i="6"/>
  <c r="N13" i="6"/>
  <c r="V63" i="5"/>
  <c r="H20" i="4"/>
  <c r="P20" i="4" s="1"/>
  <c r="K20" i="1"/>
  <c r="H20" i="2"/>
  <c r="Q109" i="2"/>
  <c r="H19" i="4" l="1"/>
  <c r="P19" i="4"/>
  <c r="P120" i="4" s="1"/>
  <c r="I20" i="4"/>
  <c r="Q20" i="4" s="1"/>
  <c r="I41" i="6"/>
  <c r="N41" i="6"/>
  <c r="H76" i="2"/>
  <c r="H76" i="4"/>
  <c r="K76" i="1"/>
  <c r="M76" i="1" s="1"/>
  <c r="P76" i="1" s="1"/>
  <c r="Q76" i="1" s="1"/>
  <c r="V392" i="5"/>
  <c r="Q31" i="1"/>
  <c r="Q109" i="1"/>
  <c r="Q60" i="1"/>
  <c r="H19" i="2"/>
  <c r="P20" i="2"/>
  <c r="P19" i="2" s="1"/>
  <c r="P120" i="2" s="1"/>
  <c r="I20" i="2"/>
  <c r="AG186" i="5"/>
  <c r="M52" i="1"/>
  <c r="V9" i="5"/>
  <c r="H10" i="2"/>
  <c r="H10" i="4"/>
  <c r="K10" i="1"/>
  <c r="AG63" i="5"/>
  <c r="J8" i="6"/>
  <c r="V310" i="5"/>
  <c r="AG310" i="5" s="1"/>
  <c r="K55" i="1"/>
  <c r="M55" i="1" s="1"/>
  <c r="P55" i="1" s="1"/>
  <c r="Q55" i="1" s="1"/>
  <c r="H55" i="2"/>
  <c r="H55" i="4"/>
  <c r="P52" i="2"/>
  <c r="I52" i="2"/>
  <c r="K19" i="1"/>
  <c r="K120" i="1" s="1"/>
  <c r="M120" i="1" s="1"/>
  <c r="M20" i="1"/>
  <c r="I52" i="4"/>
  <c r="Q50" i="1"/>
  <c r="J51" i="6" l="1"/>
  <c r="I51" i="6" s="1"/>
  <c r="I55" i="2"/>
  <c r="Q55" i="2" s="1"/>
  <c r="P55" i="2"/>
  <c r="P49" i="2" s="1"/>
  <c r="P123" i="2" s="1"/>
  <c r="Q123" i="2" s="1"/>
  <c r="P52" i="1"/>
  <c r="M49" i="1"/>
  <c r="AG392" i="5"/>
  <c r="H120" i="4"/>
  <c r="I120" i="4" s="1"/>
  <c r="P20" i="1"/>
  <c r="M19" i="1"/>
  <c r="I19" i="2"/>
  <c r="Q20" i="2"/>
  <c r="P76" i="4"/>
  <c r="I76" i="4"/>
  <c r="Q76" i="4" s="1"/>
  <c r="I8" i="6"/>
  <c r="N8" i="6"/>
  <c r="H120" i="2"/>
  <c r="P76" i="2"/>
  <c r="I76" i="2"/>
  <c r="Q76" i="2" s="1"/>
  <c r="Q120" i="2"/>
  <c r="V434" i="5"/>
  <c r="H33" i="4"/>
  <c r="H33" i="2"/>
  <c r="K33" i="1"/>
  <c r="K49" i="1"/>
  <c r="K123" i="1" s="1"/>
  <c r="M123" i="1" s="1"/>
  <c r="K9" i="1"/>
  <c r="K119" i="1" s="1"/>
  <c r="M10" i="1"/>
  <c r="P10" i="1" s="1"/>
  <c r="H49" i="2"/>
  <c r="H9" i="2"/>
  <c r="P10" i="2"/>
  <c r="P9" i="2" s="1"/>
  <c r="P119" i="2" s="1"/>
  <c r="I10" i="2"/>
  <c r="I19" i="4"/>
  <c r="P55" i="4"/>
  <c r="I55" i="4"/>
  <c r="Q55" i="4" s="1"/>
  <c r="H9" i="4"/>
  <c r="P10" i="4"/>
  <c r="P9" i="4" s="1"/>
  <c r="I10" i="4"/>
  <c r="H49" i="4"/>
  <c r="Q52" i="2"/>
  <c r="V320" i="5"/>
  <c r="K39" i="1"/>
  <c r="H39" i="2"/>
  <c r="H39" i="4"/>
  <c r="Q52" i="4"/>
  <c r="AG9" i="5"/>
  <c r="J7" i="6"/>
  <c r="P119" i="4" l="1"/>
  <c r="N51" i="6"/>
  <c r="I49" i="2"/>
  <c r="Q49" i="4"/>
  <c r="I49" i="4"/>
  <c r="P33" i="4"/>
  <c r="I33" i="4"/>
  <c r="I7" i="6"/>
  <c r="N7" i="6"/>
  <c r="P49" i="4"/>
  <c r="P123" i="4" s="1"/>
  <c r="H123" i="4"/>
  <c r="I9" i="2"/>
  <c r="Q10" i="2"/>
  <c r="Q119" i="2"/>
  <c r="I9" i="4"/>
  <c r="Q10" i="4"/>
  <c r="V330" i="5"/>
  <c r="K41" i="1"/>
  <c r="M41" i="1" s="1"/>
  <c r="P41" i="1" s="1"/>
  <c r="Q41" i="1" s="1"/>
  <c r="H41" i="4"/>
  <c r="P41" i="4" s="1"/>
  <c r="H41" i="2"/>
  <c r="AG320" i="5"/>
  <c r="H123" i="2"/>
  <c r="Q52" i="1"/>
  <c r="Q49" i="1" s="1"/>
  <c r="P49" i="1"/>
  <c r="P123" i="1" s="1"/>
  <c r="H119" i="2"/>
  <c r="Q19" i="2"/>
  <c r="H119" i="4"/>
  <c r="M9" i="1"/>
  <c r="M39" i="1"/>
  <c r="I120" i="2"/>
  <c r="P33" i="2"/>
  <c r="I33" i="2"/>
  <c r="P39" i="4"/>
  <c r="I39" i="4"/>
  <c r="Q39" i="4" s="1"/>
  <c r="M119" i="1"/>
  <c r="P19" i="1"/>
  <c r="P120" i="1" s="1"/>
  <c r="Q20" i="1"/>
  <c r="Q19" i="1" s="1"/>
  <c r="M33" i="1"/>
  <c r="Q49" i="2"/>
  <c r="Q19" i="4"/>
  <c r="J46" i="6"/>
  <c r="AG434" i="5"/>
  <c r="Q120" i="4"/>
  <c r="I39" i="2"/>
  <c r="P39" i="2"/>
  <c r="Q120" i="1" l="1"/>
  <c r="Q123" i="1"/>
  <c r="P39" i="1"/>
  <c r="I41" i="4"/>
  <c r="Q41" i="4" s="1"/>
  <c r="AG330" i="5"/>
  <c r="Q9" i="4"/>
  <c r="I46" i="6"/>
  <c r="N46" i="6"/>
  <c r="Q33" i="4"/>
  <c r="P33" i="1"/>
  <c r="Q39" i="2"/>
  <c r="I119" i="2"/>
  <c r="Q10" i="1"/>
  <c r="Q9" i="1" s="1"/>
  <c r="P9" i="1"/>
  <c r="P119" i="1" s="1"/>
  <c r="I123" i="2"/>
  <c r="Q9" i="2"/>
  <c r="Q33" i="2"/>
  <c r="V376" i="5"/>
  <c r="AG376" i="5" s="1"/>
  <c r="K40" i="1"/>
  <c r="H40" i="2"/>
  <c r="H40" i="4"/>
  <c r="P40" i="4" s="1"/>
  <c r="I119" i="4"/>
  <c r="P41" i="2"/>
  <c r="I41" i="2"/>
  <c r="Q41" i="2" s="1"/>
  <c r="I123" i="4"/>
  <c r="Q123" i="4" s="1"/>
  <c r="Q119" i="4" l="1"/>
  <c r="I40" i="2"/>
  <c r="P40" i="2"/>
  <c r="P38" i="2" s="1"/>
  <c r="P122" i="2" s="1"/>
  <c r="Q122" i="2" s="1"/>
  <c r="H38" i="2"/>
  <c r="Q119" i="1"/>
  <c r="Q33" i="1"/>
  <c r="P38" i="4"/>
  <c r="P122" i="4" s="1"/>
  <c r="I40" i="4"/>
  <c r="H38" i="4"/>
  <c r="Q39" i="1"/>
  <c r="M40" i="1"/>
  <c r="K38" i="1"/>
  <c r="K122" i="1" s="1"/>
  <c r="M122" i="1" s="1"/>
  <c r="V421" i="5"/>
  <c r="AG421" i="5" s="1"/>
  <c r="H77" i="2"/>
  <c r="K77" i="1"/>
  <c r="M77" i="1" s="1"/>
  <c r="P77" i="1" s="1"/>
  <c r="Q77" i="1" s="1"/>
  <c r="H77" i="4"/>
  <c r="J50" i="6"/>
  <c r="V453" i="5" l="1"/>
  <c r="K36" i="1"/>
  <c r="H36" i="2"/>
  <c r="H36" i="4"/>
  <c r="H122" i="4"/>
  <c r="P77" i="4"/>
  <c r="I77" i="4"/>
  <c r="Q77" i="4" s="1"/>
  <c r="Q40" i="2"/>
  <c r="I38" i="2"/>
  <c r="Q40" i="4"/>
  <c r="I38" i="4"/>
  <c r="V463" i="5"/>
  <c r="H85" i="2"/>
  <c r="K85" i="1"/>
  <c r="H85" i="4"/>
  <c r="P77" i="2"/>
  <c r="I77" i="2"/>
  <c r="Q77" i="2" s="1"/>
  <c r="V503" i="5"/>
  <c r="H95" i="4"/>
  <c r="K95" i="1"/>
  <c r="M95" i="1" s="1"/>
  <c r="P95" i="1" s="1"/>
  <c r="Q95" i="1" s="1"/>
  <c r="H95" i="2"/>
  <c r="P40" i="1"/>
  <c r="M38" i="1"/>
  <c r="H122" i="2"/>
  <c r="V566" i="5"/>
  <c r="H110" i="2"/>
  <c r="K110" i="1"/>
  <c r="H110" i="4"/>
  <c r="V548" i="5"/>
  <c r="H68" i="2"/>
  <c r="K68" i="1"/>
  <c r="H68" i="4"/>
  <c r="I50" i="6"/>
  <c r="N50" i="6"/>
  <c r="AG566" i="5" l="1"/>
  <c r="J73" i="6"/>
  <c r="P68" i="4"/>
  <c r="I68" i="4"/>
  <c r="P95" i="2"/>
  <c r="I95" i="2"/>
  <c r="Q95" i="2" s="1"/>
  <c r="M85" i="1"/>
  <c r="P85" i="1" s="1"/>
  <c r="V467" i="5"/>
  <c r="AG467" i="5" s="1"/>
  <c r="H81" i="2"/>
  <c r="H81" i="4"/>
  <c r="P81" i="4" s="1"/>
  <c r="K81" i="1"/>
  <c r="M81" i="1" s="1"/>
  <c r="P85" i="2"/>
  <c r="I85" i="2"/>
  <c r="Q40" i="1"/>
  <c r="Q38" i="1" s="1"/>
  <c r="P38" i="1"/>
  <c r="P122" i="1" s="1"/>
  <c r="P95" i="4"/>
  <c r="I95" i="4"/>
  <c r="Q95" i="4" s="1"/>
  <c r="AG463" i="5"/>
  <c r="P85" i="4"/>
  <c r="I85" i="4"/>
  <c r="Q85" i="4" s="1"/>
  <c r="I122" i="4"/>
  <c r="Q122" i="4" s="1"/>
  <c r="P36" i="4"/>
  <c r="I36" i="4"/>
  <c r="H30" i="4"/>
  <c r="P110" i="4"/>
  <c r="P108" i="4" s="1"/>
  <c r="P128" i="4" s="1"/>
  <c r="I110" i="4"/>
  <c r="H108" i="4"/>
  <c r="Q38" i="4"/>
  <c r="P36" i="2"/>
  <c r="P30" i="2" s="1"/>
  <c r="P121" i="2" s="1"/>
  <c r="Q121" i="2" s="1"/>
  <c r="I36" i="2"/>
  <c r="H30" i="2"/>
  <c r="V527" i="5"/>
  <c r="AG527" i="5" s="1"/>
  <c r="K93" i="1"/>
  <c r="H93" i="2"/>
  <c r="H93" i="4"/>
  <c r="P93" i="4" s="1"/>
  <c r="I122" i="2"/>
  <c r="P68" i="2"/>
  <c r="I68" i="2"/>
  <c r="M36" i="1"/>
  <c r="K30" i="1"/>
  <c r="K121" i="1" s="1"/>
  <c r="M68" i="1"/>
  <c r="J66" i="6"/>
  <c r="AG548" i="5"/>
  <c r="AG503" i="5"/>
  <c r="M110" i="1"/>
  <c r="K108" i="1"/>
  <c r="K128" i="1" s="1"/>
  <c r="M128" i="1" s="1"/>
  <c r="I110" i="2"/>
  <c r="P110" i="2"/>
  <c r="P108" i="2" s="1"/>
  <c r="P128" i="2" s="1"/>
  <c r="Q128" i="2" s="1"/>
  <c r="H108" i="2"/>
  <c r="Q38" i="2"/>
  <c r="J48" i="6"/>
  <c r="AG453" i="5"/>
  <c r="Q122" i="1" l="1"/>
  <c r="H79" i="4"/>
  <c r="H126" i="4" s="1"/>
  <c r="P79" i="4"/>
  <c r="P126" i="4" s="1"/>
  <c r="K79" i="1"/>
  <c r="K126" i="1" s="1"/>
  <c r="M126" i="1" s="1"/>
  <c r="P68" i="1"/>
  <c r="H128" i="4"/>
  <c r="M121" i="1"/>
  <c r="K7" i="1"/>
  <c r="Q110" i="2"/>
  <c r="I108" i="2"/>
  <c r="P36" i="1"/>
  <c r="M30" i="1"/>
  <c r="M93" i="1"/>
  <c r="Q85" i="2"/>
  <c r="I66" i="6"/>
  <c r="N66" i="6"/>
  <c r="H128" i="2"/>
  <c r="I93" i="2"/>
  <c r="P93" i="2"/>
  <c r="Q110" i="4"/>
  <c r="I108" i="4"/>
  <c r="V556" i="5"/>
  <c r="H69" i="2"/>
  <c r="H69" i="4"/>
  <c r="K69" i="1"/>
  <c r="V543" i="5"/>
  <c r="AG543" i="5" s="1"/>
  <c r="H94" i="4"/>
  <c r="P94" i="4" s="1"/>
  <c r="K94" i="1"/>
  <c r="M94" i="1" s="1"/>
  <c r="P94" i="1" s="1"/>
  <c r="Q94" i="1" s="1"/>
  <c r="H94" i="2"/>
  <c r="V394" i="5"/>
  <c r="H74" i="2"/>
  <c r="H74" i="4"/>
  <c r="K74" i="1"/>
  <c r="U2" i="5"/>
  <c r="P30" i="4"/>
  <c r="P121" i="4" s="1"/>
  <c r="Q85" i="1"/>
  <c r="Q68" i="4"/>
  <c r="I93" i="4"/>
  <c r="Q68" i="2"/>
  <c r="Q36" i="2"/>
  <c r="I30" i="2"/>
  <c r="H121" i="4"/>
  <c r="J52" i="6"/>
  <c r="P81" i="1"/>
  <c r="Q81" i="1" s="1"/>
  <c r="M79" i="1"/>
  <c r="P7" i="2"/>
  <c r="I81" i="4"/>
  <c r="Q81" i="4" s="1"/>
  <c r="I73" i="6"/>
  <c r="N73" i="6"/>
  <c r="H121" i="2"/>
  <c r="P110" i="1"/>
  <c r="M108" i="1"/>
  <c r="I48" i="6"/>
  <c r="N48" i="6"/>
  <c r="V509" i="5"/>
  <c r="K99" i="1"/>
  <c r="M99" i="1" s="1"/>
  <c r="P99" i="1" s="1"/>
  <c r="Q99" i="1" s="1"/>
  <c r="H99" i="2"/>
  <c r="H99" i="4"/>
  <c r="P99" i="4" s="1"/>
  <c r="Q36" i="4"/>
  <c r="Q30" i="4" s="1"/>
  <c r="I30" i="4"/>
  <c r="P81" i="2"/>
  <c r="P79" i="2" s="1"/>
  <c r="P126" i="2" s="1"/>
  <c r="Q126" i="2" s="1"/>
  <c r="I81" i="2"/>
  <c r="Q81" i="2" s="1"/>
  <c r="H79" i="2"/>
  <c r="Q79" i="1" l="1"/>
  <c r="I52" i="6"/>
  <c r="I54" i="6" s="1"/>
  <c r="N52" i="6"/>
  <c r="N54" i="6" s="1"/>
  <c r="P92" i="4"/>
  <c r="P127" i="4" s="1"/>
  <c r="I94" i="4"/>
  <c r="Q94" i="4" s="1"/>
  <c r="I128" i="2"/>
  <c r="Q108" i="2"/>
  <c r="Q110" i="1"/>
  <c r="Q108" i="1" s="1"/>
  <c r="P108" i="1"/>
  <c r="P128" i="1" s="1"/>
  <c r="Q7" i="2"/>
  <c r="Q30" i="2"/>
  <c r="P79" i="1"/>
  <c r="P126" i="1" s="1"/>
  <c r="M69" i="1"/>
  <c r="K59" i="1"/>
  <c r="K124" i="1" s="1"/>
  <c r="Q93" i="2"/>
  <c r="P69" i="4"/>
  <c r="P59" i="4" s="1"/>
  <c r="P124" i="4" s="1"/>
  <c r="I69" i="4"/>
  <c r="H59" i="4"/>
  <c r="P69" i="2"/>
  <c r="P59" i="2" s="1"/>
  <c r="P124" i="2" s="1"/>
  <c r="I69" i="2"/>
  <c r="H59" i="2"/>
  <c r="M7" i="1"/>
  <c r="P94" i="2"/>
  <c r="I94" i="2"/>
  <c r="Q94" i="2" s="1"/>
  <c r="AG556" i="5"/>
  <c r="J67" i="6"/>
  <c r="Q79" i="2"/>
  <c r="AG509" i="5"/>
  <c r="J71" i="6"/>
  <c r="Q79" i="4"/>
  <c r="I79" i="4"/>
  <c r="AG394" i="5"/>
  <c r="J70" i="6"/>
  <c r="V2" i="5"/>
  <c r="P93" i="1"/>
  <c r="M92" i="1"/>
  <c r="J54" i="6"/>
  <c r="H92" i="2"/>
  <c r="H126" i="2"/>
  <c r="Q36" i="1"/>
  <c r="Q30" i="1" s="1"/>
  <c r="P30" i="1"/>
  <c r="P121" i="1" s="1"/>
  <c r="I121" i="4"/>
  <c r="Q121" i="4" s="1"/>
  <c r="H7" i="4"/>
  <c r="I126" i="4"/>
  <c r="Q126" i="4" s="1"/>
  <c r="P7" i="4"/>
  <c r="I121" i="2"/>
  <c r="H7" i="2"/>
  <c r="H92" i="4"/>
  <c r="I99" i="4"/>
  <c r="Q99" i="4" s="1"/>
  <c r="K73" i="1"/>
  <c r="K125" i="1" s="1"/>
  <c r="M125" i="1" s="1"/>
  <c r="M74" i="1"/>
  <c r="I79" i="2"/>
  <c r="I128" i="4"/>
  <c r="Q128" i="4" s="1"/>
  <c r="P99" i="2"/>
  <c r="I99" i="2"/>
  <c r="Q99" i="2" s="1"/>
  <c r="Q93" i="4"/>
  <c r="P74" i="4"/>
  <c r="P73" i="4" s="1"/>
  <c r="P125" i="4" s="1"/>
  <c r="H73" i="4"/>
  <c r="I74" i="4"/>
  <c r="Q108" i="4"/>
  <c r="I74" i="2"/>
  <c r="P74" i="2"/>
  <c r="P73" i="2" s="1"/>
  <c r="P125" i="2" s="1"/>
  <c r="Q125" i="2" s="1"/>
  <c r="H73" i="2"/>
  <c r="K92" i="1"/>
  <c r="K127" i="1" s="1"/>
  <c r="M127" i="1" s="1"/>
  <c r="Q68" i="1"/>
  <c r="Q128" i="1" l="1"/>
  <c r="Q126" i="1"/>
  <c r="P118" i="4"/>
  <c r="P92" i="2"/>
  <c r="P127" i="2" s="1"/>
  <c r="Q127" i="2" s="1"/>
  <c r="Q121" i="1"/>
  <c r="P7" i="1"/>
  <c r="Q69" i="4"/>
  <c r="I59" i="4"/>
  <c r="I71" i="6"/>
  <c r="N71" i="6"/>
  <c r="H124" i="2"/>
  <c r="Q92" i="2"/>
  <c r="M73" i="1"/>
  <c r="P74" i="1"/>
  <c r="K57" i="1"/>
  <c r="M124" i="1"/>
  <c r="K118" i="1"/>
  <c r="I126" i="2"/>
  <c r="I92" i="2"/>
  <c r="Q69" i="2"/>
  <c r="Q59" i="2" s="1"/>
  <c r="I59" i="2"/>
  <c r="P69" i="1"/>
  <c r="M59" i="1"/>
  <c r="P57" i="4"/>
  <c r="H127" i="2"/>
  <c r="Q124" i="2"/>
  <c r="I7" i="2"/>
  <c r="I67" i="6"/>
  <c r="N67" i="6"/>
  <c r="J76" i="6"/>
  <c r="J83" i="6" s="1"/>
  <c r="F10" i="12" s="1"/>
  <c r="I70" i="6"/>
  <c r="N70" i="6"/>
  <c r="Q74" i="4"/>
  <c r="Q73" i="4" s="1"/>
  <c r="I73" i="4"/>
  <c r="H125" i="4"/>
  <c r="I92" i="4"/>
  <c r="I7" i="4"/>
  <c r="P92" i="1"/>
  <c r="P127" i="1" s="1"/>
  <c r="Q93" i="1"/>
  <c r="Q92" i="1" s="1"/>
  <c r="Q74" i="2"/>
  <c r="Q73" i="2" s="1"/>
  <c r="I73" i="2"/>
  <c r="H125" i="2"/>
  <c r="Q92" i="4"/>
  <c r="H127" i="4"/>
  <c r="H124" i="4"/>
  <c r="G23" i="12" l="1"/>
  <c r="G25" i="12" s="1"/>
  <c r="M118" i="1"/>
  <c r="K20" i="12"/>
  <c r="Q127" i="1"/>
  <c r="P118" i="2"/>
  <c r="K16" i="12" s="1"/>
  <c r="K18" i="12" s="1"/>
  <c r="P57" i="2"/>
  <c r="N76" i="6"/>
  <c r="N83" i="6" s="1"/>
  <c r="N85" i="6" s="1"/>
  <c r="M57" i="1"/>
  <c r="Q7" i="1"/>
  <c r="I125" i="2"/>
  <c r="I125" i="4"/>
  <c r="Q125" i="4" s="1"/>
  <c r="Q59" i="4"/>
  <c r="I76" i="6"/>
  <c r="I83" i="6" s="1"/>
  <c r="E10" i="12" s="1"/>
  <c r="Q69" i="1"/>
  <c r="Q59" i="1" s="1"/>
  <c r="P59" i="1"/>
  <c r="P124" i="1" s="1"/>
  <c r="H57" i="4"/>
  <c r="I124" i="4"/>
  <c r="H118" i="4"/>
  <c r="I127" i="4"/>
  <c r="Q127" i="4" s="1"/>
  <c r="Q7" i="4"/>
  <c r="Q57" i="2"/>
  <c r="Q118" i="2"/>
  <c r="L16" i="12" s="1"/>
  <c r="L18" i="12" s="1"/>
  <c r="I127" i="2"/>
  <c r="P73" i="1"/>
  <c r="P125" i="1" s="1"/>
  <c r="Q74" i="1"/>
  <c r="Q73" i="1" s="1"/>
  <c r="H57" i="2"/>
  <c r="I124" i="2"/>
  <c r="H118" i="2"/>
  <c r="Q125" i="1" l="1"/>
  <c r="I10" i="12"/>
  <c r="E20" i="12"/>
  <c r="Q124" i="4"/>
  <c r="I57" i="4"/>
  <c r="I118" i="4"/>
  <c r="F20" i="12" s="1"/>
  <c r="P57" i="1"/>
  <c r="Q124" i="1"/>
  <c r="P118" i="1"/>
  <c r="H7" i="12"/>
  <c r="F7" i="12" s="1"/>
  <c r="I23" i="12"/>
  <c r="I25" i="12" s="1"/>
  <c r="P2" i="9"/>
  <c r="P3" i="9" s="1"/>
  <c r="E16" i="12"/>
  <c r="E18" i="12" s="1"/>
  <c r="I57" i="2"/>
  <c r="I118" i="2"/>
  <c r="K23" i="12" l="1"/>
  <c r="K25" i="12" s="1"/>
  <c r="Q57" i="1"/>
  <c r="Q118" i="1"/>
  <c r="F4" i="12"/>
  <c r="F16" i="12"/>
  <c r="F18" i="12" s="1"/>
  <c r="E7" i="12"/>
  <c r="Q57" i="4"/>
  <c r="Q118" i="4"/>
  <c r="L20" i="12" s="1"/>
  <c r="L23" i="12" l="1"/>
  <c r="L25" i="12" s="1"/>
  <c r="F1" i="12"/>
  <c r="H4" i="12"/>
  <c r="H1" i="12" s="1"/>
  <c r="I4" i="12"/>
  <c r="K4" i="12" s="1"/>
  <c r="M4" i="12" s="1"/>
  <c r="M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Tapia B.</author>
  </authors>
  <commentList>
    <comment ref="U55" authorId="0" shapeId="0" xr:uid="{CE5311C8-B930-4543-BC7C-51F1D844DBCF}">
      <text>
        <r>
          <rPr>
            <b/>
            <sz val="9"/>
            <color indexed="81"/>
            <rFont val="Tahoma"/>
            <family val="2"/>
          </rPr>
          <t>graut prorrateo</t>
        </r>
      </text>
    </comment>
    <comment ref="U63" authorId="0" shapeId="0" xr:uid="{A03AAF95-0500-4215-9CAA-D7D7E9A60E12}">
      <text>
        <r>
          <rPr>
            <b/>
            <sz val="9"/>
            <color indexed="81"/>
            <rFont val="Tahoma"/>
            <family val="2"/>
          </rPr>
          <t>enfierradura pendiente instalar</t>
        </r>
      </text>
    </comment>
    <comment ref="U83" authorId="0" shapeId="0" xr:uid="{1AA873BD-3C36-42D4-AF52-D2D519DC1887}">
      <text>
        <r>
          <rPr>
            <b/>
            <sz val="9"/>
            <color indexed="81"/>
            <rFont val="Tahoma"/>
            <family val="2"/>
          </rPr>
          <t>Prorrateo de soldadura</t>
        </r>
      </text>
    </comment>
    <comment ref="U91" authorId="0" shapeId="0" xr:uid="{BF6AC27F-B682-43E1-8657-9EBEC20CFF4F}">
      <text>
        <r>
          <rPr>
            <b/>
            <sz val="9"/>
            <color indexed="81"/>
            <rFont val="Tahoma"/>
            <family val="2"/>
          </rPr>
          <t>Prorrateo de materiales varios mecanicos</t>
        </r>
      </text>
    </comment>
    <comment ref="U115" authorId="0" shapeId="0" xr:uid="{AA4A9091-05A0-48C5-B9D5-7402F2E0A138}">
      <text>
        <r>
          <rPr>
            <b/>
            <sz val="9"/>
            <color indexed="81"/>
            <rFont val="Tahoma"/>
            <family val="2"/>
          </rPr>
          <t>prorrateo de materiales electrico varios para Obra general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Tapia B.</author>
  </authors>
  <commentList>
    <comment ref="B75" authorId="0" shapeId="0" xr:uid="{E691D5C5-83F1-4B5E-B7DA-EC803CC10B05}">
      <text>
        <r>
          <rPr>
            <b/>
            <sz val="9"/>
            <color indexed="81"/>
            <rFont val="Tahoma"/>
            <family val="2"/>
          </rPr>
          <t>buses</t>
        </r>
      </text>
    </comment>
  </commentList>
</comments>
</file>

<file path=xl/sharedStrings.xml><?xml version="1.0" encoding="utf-8"?>
<sst xmlns="http://schemas.openxmlformats.org/spreadsheetml/2006/main" count="4797" uniqueCount="2464">
  <si>
    <t>INDICE</t>
  </si>
  <si>
    <t>Cliente</t>
  </si>
  <si>
    <t xml:space="preserve">: </t>
  </si>
  <si>
    <t>Administrador de Proyecto</t>
  </si>
  <si>
    <t>Centros de Costos</t>
  </si>
  <si>
    <t xml:space="preserve">Periodo </t>
  </si>
  <si>
    <t>Matriz de Producción</t>
  </si>
  <si>
    <t>Matriz de Costos</t>
  </si>
  <si>
    <t>Matriz de Resultado</t>
  </si>
  <si>
    <t>Matriz de Proyecciones</t>
  </si>
  <si>
    <t>INFORME DE RESULTADOS</t>
  </si>
  <si>
    <t>FORMATO
 GENERAL</t>
  </si>
  <si>
    <t>Num</t>
  </si>
  <si>
    <t>Partida</t>
  </si>
  <si>
    <t>Presupuesto
Original</t>
  </si>
  <si>
    <t>Aumentos o Dism.
de Obras y Reajuste</t>
  </si>
  <si>
    <t xml:space="preserve">Presupuesto
Corregido </t>
  </si>
  <si>
    <t>Gastos Reales
del  Mes</t>
  </si>
  <si>
    <t>Gastos Reales
Acumulados</t>
  </si>
  <si>
    <t>Avance Según
Obra Ejecutada</t>
  </si>
  <si>
    <t>Proyección de
gasto por efectuar</t>
  </si>
  <si>
    <t>Resultado
de la Obra</t>
  </si>
  <si>
    <t>A.</t>
  </si>
  <si>
    <t>Costos Directos</t>
  </si>
  <si>
    <t>A1</t>
  </si>
  <si>
    <t>01 - Obras Civiles</t>
  </si>
  <si>
    <t>0A01</t>
  </si>
  <si>
    <t xml:space="preserve">Mano de Obra </t>
  </si>
  <si>
    <t>0A02</t>
  </si>
  <si>
    <t>Obras Civiles Reembolsable</t>
  </si>
  <si>
    <t>A2</t>
  </si>
  <si>
    <t>02 - Estructura</t>
  </si>
  <si>
    <t>0B01</t>
  </si>
  <si>
    <t>0B02</t>
  </si>
  <si>
    <t>Estructura Reembolsable</t>
  </si>
  <si>
    <t>A3</t>
  </si>
  <si>
    <t>03 - Mecanica (MO Arquitectura Puentes)</t>
  </si>
  <si>
    <t>0C01</t>
  </si>
  <si>
    <t>0C02</t>
  </si>
  <si>
    <t>Mecanica Reembolsable</t>
  </si>
  <si>
    <t>A4</t>
  </si>
  <si>
    <t>04 - Cañeria</t>
  </si>
  <si>
    <t>0D01</t>
  </si>
  <si>
    <t>0D02</t>
  </si>
  <si>
    <t>Cañeria Reembolsable</t>
  </si>
  <si>
    <t>A5</t>
  </si>
  <si>
    <t>05- Electricidad &amp; Instrumentacion</t>
  </si>
  <si>
    <t>0F01</t>
  </si>
  <si>
    <t>0F02</t>
  </si>
  <si>
    <t>Electricidad Reembolsable</t>
  </si>
  <si>
    <t>A6</t>
  </si>
  <si>
    <t>06 - Andamios</t>
  </si>
  <si>
    <t>0N01</t>
  </si>
  <si>
    <t>A7</t>
  </si>
  <si>
    <t>07 - Aislación</t>
  </si>
  <si>
    <t>0H01</t>
  </si>
  <si>
    <t>0H02</t>
  </si>
  <si>
    <t>Aislación Reembolsable</t>
  </si>
  <si>
    <t>A8</t>
  </si>
  <si>
    <t>08 - Caldera</t>
  </si>
  <si>
    <t>0I01</t>
  </si>
  <si>
    <t>0I02</t>
  </si>
  <si>
    <t>Caldera Reembolsable</t>
  </si>
  <si>
    <t>A9</t>
  </si>
  <si>
    <t>09 - Ducto</t>
  </si>
  <si>
    <t>0J01</t>
  </si>
  <si>
    <t>0J02</t>
  </si>
  <si>
    <t>Ducto Reembolsable</t>
  </si>
  <si>
    <t>A10</t>
  </si>
  <si>
    <t>10 - Comisionamiento - PEM</t>
  </si>
  <si>
    <t>0G01</t>
  </si>
  <si>
    <t>A11</t>
  </si>
  <si>
    <t>11 - Arquitectura</t>
  </si>
  <si>
    <t>0K01</t>
  </si>
  <si>
    <t>0K02</t>
  </si>
  <si>
    <t>Arquitectura Reembolsable</t>
  </si>
  <si>
    <t>A12</t>
  </si>
  <si>
    <t>12 - Estanque</t>
  </si>
  <si>
    <t>0M01</t>
  </si>
  <si>
    <t>0M02</t>
  </si>
  <si>
    <t>Estanque Reembolsable</t>
  </si>
  <si>
    <t>A13</t>
  </si>
  <si>
    <t>Costo Proporcional HH</t>
  </si>
  <si>
    <t>0Y01</t>
  </si>
  <si>
    <t>Movilización</t>
  </si>
  <si>
    <t>0Y02</t>
  </si>
  <si>
    <t/>
  </si>
  <si>
    <t>0Y03</t>
  </si>
  <si>
    <t>Cursos y Examenes</t>
  </si>
  <si>
    <t>0Y04</t>
  </si>
  <si>
    <t>Elem. de Seguridad</t>
  </si>
  <si>
    <t>0Y05</t>
  </si>
  <si>
    <t>Mat. de Consumo</t>
  </si>
  <si>
    <t>0Y06</t>
  </si>
  <si>
    <t>Herramienta Menor</t>
  </si>
  <si>
    <t>0Y07</t>
  </si>
  <si>
    <t xml:space="preserve">Artículos de Oficina </t>
  </si>
  <si>
    <t>0Y08</t>
  </si>
  <si>
    <t>Movilización Interna</t>
  </si>
  <si>
    <t>Otros Directos</t>
  </si>
  <si>
    <t>0Z01</t>
  </si>
  <si>
    <t>A14</t>
  </si>
  <si>
    <t>Equipos</t>
  </si>
  <si>
    <t>0Z02</t>
  </si>
  <si>
    <t>A15</t>
  </si>
  <si>
    <t>Subcontratos</t>
  </si>
  <si>
    <t>0Z03</t>
  </si>
  <si>
    <t>A16</t>
  </si>
  <si>
    <t>Instalación de Faenas</t>
  </si>
  <si>
    <t>Subtotal Costos Directos</t>
  </si>
  <si>
    <t>B.</t>
  </si>
  <si>
    <t>Costos Indirectos</t>
  </si>
  <si>
    <t xml:space="preserve"> </t>
  </si>
  <si>
    <t>B1</t>
  </si>
  <si>
    <t>Mano de Obra Indirecta</t>
  </si>
  <si>
    <t>1F01</t>
  </si>
  <si>
    <t>Staff Superior</t>
  </si>
  <si>
    <t>1F02</t>
  </si>
  <si>
    <t>Oficina Técnica</t>
  </si>
  <si>
    <t>1F03</t>
  </si>
  <si>
    <t>Supervisión</t>
  </si>
  <si>
    <t>1F04</t>
  </si>
  <si>
    <t>Seguridad / Medio Ambiente</t>
  </si>
  <si>
    <t>1F05</t>
  </si>
  <si>
    <t>Control de Calidad</t>
  </si>
  <si>
    <t>1F06</t>
  </si>
  <si>
    <t>Administración</t>
  </si>
  <si>
    <t>1F07</t>
  </si>
  <si>
    <t>Servicios</t>
  </si>
  <si>
    <t>1F08</t>
  </si>
  <si>
    <t>Topografía</t>
  </si>
  <si>
    <t>1F09</t>
  </si>
  <si>
    <t>1F10</t>
  </si>
  <si>
    <t>Pensión y Alimentación</t>
  </si>
  <si>
    <t>1F11</t>
  </si>
  <si>
    <t>Otros Indirectos</t>
  </si>
  <si>
    <t>1Z01</t>
  </si>
  <si>
    <t>B2</t>
  </si>
  <si>
    <t>Equipos Indirectos</t>
  </si>
  <si>
    <t>1Z02</t>
  </si>
  <si>
    <t>B3</t>
  </si>
  <si>
    <t>Gastos Generales</t>
  </si>
  <si>
    <t>1Z03</t>
  </si>
  <si>
    <t>B4</t>
  </si>
  <si>
    <t>Gastos Financieros</t>
  </si>
  <si>
    <t>1Z04</t>
  </si>
  <si>
    <t>B5</t>
  </si>
  <si>
    <t>Seguros y Boletas de Garantia</t>
  </si>
  <si>
    <t>1Z05</t>
  </si>
  <si>
    <t>B6</t>
  </si>
  <si>
    <t>Perdida de Reajuste</t>
  </si>
  <si>
    <t>Subtotal Costos Indirectos</t>
  </si>
  <si>
    <t>2A00</t>
  </si>
  <si>
    <t>C.</t>
  </si>
  <si>
    <t>Margen Esperado</t>
  </si>
  <si>
    <t>1K01</t>
  </si>
  <si>
    <t>Oficina Central</t>
  </si>
  <si>
    <t>1K02</t>
  </si>
  <si>
    <t>Imprevistos</t>
  </si>
  <si>
    <t>1K03</t>
  </si>
  <si>
    <t>Utilidad</t>
  </si>
  <si>
    <t>D.</t>
  </si>
  <si>
    <t>TOTAL</t>
  </si>
  <si>
    <t>E.</t>
  </si>
  <si>
    <t>Oficina Central (4%)</t>
  </si>
  <si>
    <t>F.</t>
  </si>
  <si>
    <t>Fecha de Inicio Contractual</t>
  </si>
  <si>
    <t>Fecha de Termino Contractual</t>
  </si>
  <si>
    <t xml:space="preserve">Administrador Obra </t>
  </si>
  <si>
    <t>MATRIZ DE PRODUCCION</t>
  </si>
  <si>
    <t>FO.EIM-OFT-001-04</t>
  </si>
  <si>
    <t>Rev. 3</t>
  </si>
  <si>
    <t>ACUMULADO</t>
  </si>
  <si>
    <t>ANTERIOR</t>
  </si>
  <si>
    <t>PERIODO</t>
  </si>
  <si>
    <t>PARTIDA / CATEGORIA</t>
  </si>
  <si>
    <t>PRESUPUESTO</t>
  </si>
  <si>
    <t>POM</t>
  </si>
  <si>
    <t>PRODUCCION</t>
  </si>
  <si>
    <t>ADICIONALES</t>
  </si>
  <si>
    <t>TOTAL
PRODUCCION
ACUMULADA</t>
  </si>
  <si>
    <t>TOTAL
PRODUCCION
ANTERIOR</t>
  </si>
  <si>
    <t>TOTAL
PRODUCCION
PERIODO</t>
  </si>
  <si>
    <t>COSTOS DIRECTOS</t>
  </si>
  <si>
    <t>0A00</t>
  </si>
  <si>
    <t>A - MANO DE OBRA DIRECTA</t>
  </si>
  <si>
    <t>Obras Civiles</t>
  </si>
  <si>
    <t>Estructura</t>
  </si>
  <si>
    <t>0A03</t>
  </si>
  <si>
    <t>0A04</t>
  </si>
  <si>
    <t>Cañeria</t>
  </si>
  <si>
    <t>0A05</t>
  </si>
  <si>
    <t>Electricidad &amp; Instrumentacion</t>
  </si>
  <si>
    <t>0A06</t>
  </si>
  <si>
    <t>0A07</t>
  </si>
  <si>
    <t>0B00</t>
  </si>
  <si>
    <t>B - MATERIALES</t>
  </si>
  <si>
    <t>0B03</t>
  </si>
  <si>
    <t>0B04</t>
  </si>
  <si>
    <t>0B05</t>
  </si>
  <si>
    <t>0C00</t>
  </si>
  <si>
    <t>C - COSTO PROPORCIONAL HH</t>
  </si>
  <si>
    <t>0C03</t>
  </si>
  <si>
    <t>0C04</t>
  </si>
  <si>
    <t>0C05</t>
  </si>
  <si>
    <t>0D00</t>
  </si>
  <si>
    <t>D - EQUIPOS Y COMBUSTIBLES</t>
  </si>
  <si>
    <t>0D03</t>
  </si>
  <si>
    <t>0D04</t>
  </si>
  <si>
    <t>0D05</t>
  </si>
  <si>
    <t>0D06</t>
  </si>
  <si>
    <t>0X00</t>
  </si>
  <si>
    <t>E - SUBCONTRATOS</t>
  </si>
  <si>
    <t>0X01</t>
  </si>
  <si>
    <t>0X03</t>
  </si>
  <si>
    <t>0X04</t>
  </si>
  <si>
    <t>0X05</t>
  </si>
  <si>
    <t>0X06</t>
  </si>
  <si>
    <t>0X07</t>
  </si>
  <si>
    <t>COSTOS INDIRECTOS</t>
  </si>
  <si>
    <t>1F00</t>
  </si>
  <si>
    <t>F - MANO DE OBRA INDIRECTA</t>
  </si>
  <si>
    <t>1G00</t>
  </si>
  <si>
    <t>G - EQUIPOS INDIRECTOS</t>
  </si>
  <si>
    <t>1G01</t>
  </si>
  <si>
    <t>1G02</t>
  </si>
  <si>
    <t>1G04</t>
  </si>
  <si>
    <t>1H00</t>
  </si>
  <si>
    <t>H - INSTALACIÓN DE FAENAS</t>
  </si>
  <si>
    <t>1H01</t>
  </si>
  <si>
    <t>1H02</t>
  </si>
  <si>
    <t>1H03</t>
  </si>
  <si>
    <t>1H05</t>
  </si>
  <si>
    <t>1H06</t>
  </si>
  <si>
    <t>1H07</t>
  </si>
  <si>
    <t>1H08</t>
  </si>
  <si>
    <t>1I00</t>
  </si>
  <si>
    <t>I - GASTOS GENERALES</t>
  </si>
  <si>
    <t>1I02</t>
  </si>
  <si>
    <t>1I04</t>
  </si>
  <si>
    <t>1I05</t>
  </si>
  <si>
    <t>1I07</t>
  </si>
  <si>
    <t>1I08</t>
  </si>
  <si>
    <t>1I10</t>
  </si>
  <si>
    <t>1J00</t>
  </si>
  <si>
    <t>J - GASTOS FINANCIEROS - SEGUROS Y BOLETAS</t>
  </si>
  <si>
    <t>1J01</t>
  </si>
  <si>
    <t>1J02</t>
  </si>
  <si>
    <t>1K00</t>
  </si>
  <si>
    <t>K - OFICINA CENTRAL - IMPREVISTOS - UTILIDADES</t>
  </si>
  <si>
    <t>TOTALES</t>
  </si>
  <si>
    <t>MATRIZ DE COSTOS</t>
  </si>
  <si>
    <t>FO.EIM-OFT-001-03</t>
  </si>
  <si>
    <t>COSTO</t>
  </si>
  <si>
    <t>PROVISION</t>
  </si>
  <si>
    <t>TOTAL COSTO
ACUMULADO</t>
  </si>
  <si>
    <t>TOTAL COSTO
ANTERIOR</t>
  </si>
  <si>
    <t>TOTAL COSTO
PERIODO</t>
  </si>
  <si>
    <t>MATRIZ DE RESULTADO</t>
  </si>
  <si>
    <t>FO.EIM-OFT-001-05</t>
  </si>
  <si>
    <t>RESULTADO
ACUMULADO</t>
  </si>
  <si>
    <t>RESULTADO
ANTERIOR</t>
  </si>
  <si>
    <t>TOTAL
PRODUCCION</t>
  </si>
  <si>
    <t>TOTAL
COSTO</t>
  </si>
  <si>
    <t>RESULTADO
PERIODO</t>
  </si>
  <si>
    <t>MATRIZ DE PROYECCIONES</t>
  </si>
  <si>
    <t>FO.EIM-OFT-001-06</t>
  </si>
  <si>
    <t>COSTOS</t>
  </si>
  <si>
    <t>PROYECCION</t>
  </si>
  <si>
    <t>PRODUCCION ACUMULADA</t>
  </si>
  <si>
    <t>COSTO
ACUMULADO</t>
  </si>
  <si>
    <t>TOTAL
COSTOS</t>
  </si>
  <si>
    <t>RESULTADO
PROYECCION</t>
  </si>
  <si>
    <t>UF al 09-08-23</t>
  </si>
  <si>
    <t>Categoria</t>
  </si>
  <si>
    <t>Decripción</t>
  </si>
  <si>
    <t>Unidad</t>
  </si>
  <si>
    <t>Cantidad</t>
  </si>
  <si>
    <t>PU</t>
  </si>
  <si>
    <t>Total</t>
  </si>
  <si>
    <t>PU Real</t>
  </si>
  <si>
    <t>Total real</t>
  </si>
  <si>
    <t>Resultado</t>
  </si>
  <si>
    <t>Etiquetas de fila</t>
  </si>
  <si>
    <t>Suma de Resultado</t>
  </si>
  <si>
    <t>21-010201A</t>
  </si>
  <si>
    <t>MAT CD - Civil  / Hormigón / Hormigón (A)</t>
  </si>
  <si>
    <t>m3</t>
  </si>
  <si>
    <t>11-120101G</t>
  </si>
  <si>
    <t>Hormigón G20(90)20-10</t>
  </si>
  <si>
    <t>Considera 5% de perdida</t>
  </si>
  <si>
    <t>Hormigón G25(90)20-10</t>
  </si>
  <si>
    <t>21-010401A</t>
  </si>
  <si>
    <t>Hormigón G35(90)20-10</t>
  </si>
  <si>
    <t>21-019901A</t>
  </si>
  <si>
    <t>Material estructural (arena)</t>
  </si>
  <si>
    <t>21-039901A</t>
  </si>
  <si>
    <t>31-013300A</t>
  </si>
  <si>
    <t>51-040100A</t>
  </si>
  <si>
    <t>MAT CD - Civil  / Enfierradura / Varios (A)</t>
  </si>
  <si>
    <t>Kg</t>
  </si>
  <si>
    <t>Considera 2% d eperdida</t>
  </si>
  <si>
    <t>51-050100A</t>
  </si>
  <si>
    <t>72-107010A</t>
  </si>
  <si>
    <t>SC Flete Enfierradura</t>
  </si>
  <si>
    <t>gl</t>
  </si>
  <si>
    <t>62-010100G</t>
  </si>
  <si>
    <r>
      <t xml:space="preserve">SUB CD - Civil  / Laboratorio (Resist. hormigón densid.) (A) </t>
    </r>
    <r>
      <rPr>
        <b/>
        <sz val="11"/>
        <color rgb="FFFF0000"/>
        <rFont val="Calibri"/>
        <family val="2"/>
        <scheme val="minor"/>
      </rPr>
      <t>LERV</t>
    </r>
  </si>
  <si>
    <t>62-030100A</t>
  </si>
  <si>
    <t>72-101030A</t>
  </si>
  <si>
    <t>GAS CI - De obra / Telecomunic. / Enlaces internet (A)</t>
  </si>
  <si>
    <t>mes</t>
  </si>
  <si>
    <t>PHH CD - Movilización / Movilización (A) VIATICO</t>
  </si>
  <si>
    <t>hh</t>
  </si>
  <si>
    <t>Considera 25% personal foraneo, incluye buses desde arauco a alrededores, PF junio 1,3</t>
  </si>
  <si>
    <t>72-102010A</t>
  </si>
  <si>
    <t>PHH CD - Alimentación / Alimentación (A)</t>
  </si>
  <si>
    <t>PF 1,3</t>
  </si>
  <si>
    <t>MAO CD - Equipos / Equipos / Operador (G)</t>
  </si>
  <si>
    <t>Total general</t>
  </si>
  <si>
    <t>Supervisor de equipos</t>
  </si>
  <si>
    <t>Mecánico</t>
  </si>
  <si>
    <t>Otros costos personal EQyM</t>
  </si>
  <si>
    <t>MAT CD - Mecánica / Materiales varios / Todos (A)</t>
  </si>
  <si>
    <t>Suministro de pernos de conexión estructuras puentes peatonales</t>
  </si>
  <si>
    <t>IFA CI - Materiales / Todos (A)</t>
  </si>
  <si>
    <t>Escritorios</t>
  </si>
  <si>
    <t>Sillas</t>
  </si>
  <si>
    <t>Bibliotecas</t>
  </si>
  <si>
    <t>Cardex</t>
  </si>
  <si>
    <t>Estanteria (bodega)</t>
  </si>
  <si>
    <t>Mesas</t>
  </si>
  <si>
    <t>IFA CI - Mano De Obra / Todos (G)</t>
  </si>
  <si>
    <t>FF 4,5</t>
  </si>
  <si>
    <t>GAS CI - De obra / Computación / Computadores (A)</t>
  </si>
  <si>
    <t>c/u</t>
  </si>
  <si>
    <t>Equipo + Usuario TIC</t>
  </si>
  <si>
    <t>AX</t>
  </si>
  <si>
    <t>Licencias software (Dron, Project, Presto, CAD, Asistencia, etc)</t>
  </si>
  <si>
    <t>Dron</t>
  </si>
  <si>
    <t>BIM</t>
  </si>
  <si>
    <t>ERROR DE PRODUCCION - ADICIONALES</t>
  </si>
  <si>
    <t>ERROR DE COSTO - CAMBIO CATEGORIA - PROVISION</t>
  </si>
  <si>
    <t>ERROR DE PROYECCION - INVENTARIO</t>
  </si>
  <si>
    <t>ACUMULADA</t>
  </si>
  <si>
    <t>ACUMULADA ANTERIOR</t>
  </si>
  <si>
    <t>ACUMULADO ANTERIOR</t>
  </si>
  <si>
    <t>CARGA MANUAL</t>
  </si>
  <si>
    <t>FORMULA</t>
  </si>
  <si>
    <t>DESDE AX</t>
  </si>
  <si>
    <t>SUBGRUPO</t>
  </si>
  <si>
    <t>NOMBRE SUBGRUPO</t>
  </si>
  <si>
    <t>NOMBRE CATEGORIA</t>
  </si>
  <si>
    <t>INCLUIR</t>
  </si>
  <si>
    <t>PRESUPUESTO
(ORIGINAL)</t>
  </si>
  <si>
    <t>PRESUPUESTO
FINAL
PROYECTADO</t>
  </si>
  <si>
    <t>PRODUCCION
PARTIDAS
ORIGINALES
ACTUAL</t>
  </si>
  <si>
    <t>PRODUCCION
ADICIONALES
ACTUAL</t>
  </si>
  <si>
    <t>TOTAL PRODUCCION
ACTUAL</t>
  </si>
  <si>
    <t>PRODUCCION
ANTERIOR</t>
  </si>
  <si>
    <t>PRODUCCION
ADICIONALES
ANTERIOR</t>
  </si>
  <si>
    <t>TOTAL PRODUCCION
ANTERIOR</t>
  </si>
  <si>
    <t>COSTO
ACUMULADO  AX</t>
  </si>
  <si>
    <t>CAMBIO DE
CATEGORIA</t>
  </si>
  <si>
    <t>PROVISIONES</t>
  </si>
  <si>
    <t>COSTO REAL</t>
  </si>
  <si>
    <t>COSTO ACUMULADO
ANTERIOR</t>
  </si>
  <si>
    <t>CAMBIO DE
CATEGORIA
ANTERIOR</t>
  </si>
  <si>
    <t>PROVISIONES
ANTERIOR</t>
  </si>
  <si>
    <t>COSTO REAL
ANTERIOR</t>
  </si>
  <si>
    <t>PROYECCION
DE INGRESO
DEL SALDO</t>
  </si>
  <si>
    <t>INVENTARIO</t>
  </si>
  <si>
    <t>PEDIDOS DE COMPRA
NO RECIBIDOS</t>
  </si>
  <si>
    <t>PROYECCION
DE COSTO
DEL SALDO</t>
  </si>
  <si>
    <t>PROYECCION
TOTAL DE COSTO</t>
  </si>
  <si>
    <t>ITEM</t>
  </si>
  <si>
    <t>NO</t>
  </si>
  <si>
    <t>-</t>
  </si>
  <si>
    <t>11-010100G</t>
  </si>
  <si>
    <t>SI</t>
  </si>
  <si>
    <t>11-010200G</t>
  </si>
  <si>
    <t>MAO CD - Civil  / Hormigón (G)</t>
  </si>
  <si>
    <t>11-010300G</t>
  </si>
  <si>
    <t>MAO CD - Civil  / Moldaje (G)</t>
  </si>
  <si>
    <t>11-010400G</t>
  </si>
  <si>
    <t>MAO CD - Civil  / Enfierradura (G)</t>
  </si>
  <si>
    <t>11-010500G</t>
  </si>
  <si>
    <t>MAO CD - Civil  / Arquitectura (G)</t>
  </si>
  <si>
    <t>11-019900G</t>
  </si>
  <si>
    <t>MAO CD - Civil  / Otros (G)</t>
  </si>
  <si>
    <t>11-020700G</t>
  </si>
  <si>
    <t>MAO CD - Estructura / Soldadura (G)</t>
  </si>
  <si>
    <t>11-020800G</t>
  </si>
  <si>
    <t>MAO CD - Estructura / Montajes (G)</t>
  </si>
  <si>
    <t>11-030700G</t>
  </si>
  <si>
    <t>MAO CD - Mecánica / Soldadura (G)</t>
  </si>
  <si>
    <t>Mecanica</t>
  </si>
  <si>
    <t>11-030800G</t>
  </si>
  <si>
    <t>MAO CD - Mecánica / Montajes (G)</t>
  </si>
  <si>
    <t>11-040700G</t>
  </si>
  <si>
    <t>MAO CD - Cañería / Soldadura (G)</t>
  </si>
  <si>
    <t>11-040800G</t>
  </si>
  <si>
    <t>MAO CD - Cañería / Montajes (G)</t>
  </si>
  <si>
    <t>11-050700G</t>
  </si>
  <si>
    <t>MAO CD - Electricidad / Soldadura (G)</t>
  </si>
  <si>
    <t>11-050800G</t>
  </si>
  <si>
    <t>MAO CD - Electricidad / Montajes (G)</t>
  </si>
  <si>
    <t>11-060700G</t>
  </si>
  <si>
    <t>MAO CD - Instrumentación / Soldadura (G)</t>
  </si>
  <si>
    <t>11-060800G</t>
  </si>
  <si>
    <t>MAO CD - Instrumentación / Montajes (G)</t>
  </si>
  <si>
    <t>11-070100G</t>
  </si>
  <si>
    <t>MAO CD - Aislación / Aislación (G)</t>
  </si>
  <si>
    <t>11-080700G</t>
  </si>
  <si>
    <t>MAO CD - Caldera / Soldadura (G)</t>
  </si>
  <si>
    <t>11-080800G</t>
  </si>
  <si>
    <t>MAO CD - Caldera / Montajes (G)</t>
  </si>
  <si>
    <t>11-090700G</t>
  </si>
  <si>
    <t>MAO CD - Ductos / Soldadura (G)</t>
  </si>
  <si>
    <t>11-090800G</t>
  </si>
  <si>
    <t>MAO CD - Ductos / Montajes (G)</t>
  </si>
  <si>
    <t>11-100100G</t>
  </si>
  <si>
    <t>MAO CD - Comisionamiento / Comisionamiento (G)</t>
  </si>
  <si>
    <t>Andamios</t>
  </si>
  <si>
    <t>11-110100G</t>
  </si>
  <si>
    <t>MAO CD - Andamios / Andamios (G)</t>
  </si>
  <si>
    <t>11-120100G</t>
  </si>
  <si>
    <t>MAO CD - Pintura / Pintura (G)</t>
  </si>
  <si>
    <t>11-120102G</t>
  </si>
  <si>
    <t>MAO CD - Equipos / Equipos / Rigger (G)</t>
  </si>
  <si>
    <t>11-120103G</t>
  </si>
  <si>
    <t>MAO CD - Equipos / Equipos / Operador dpto Equipos (G)</t>
  </si>
  <si>
    <t>11-120104G</t>
  </si>
  <si>
    <t>MAO CD - Equipos / Equipos / Rigger dpto Equipos(G)</t>
  </si>
  <si>
    <t>11-130700G</t>
  </si>
  <si>
    <t>MAO CD - Estanque / Soldadura (G)</t>
  </si>
  <si>
    <t>11-130800G</t>
  </si>
  <si>
    <t>MAO CD - Estanque / Montajes (G)</t>
  </si>
  <si>
    <t>11-980100G</t>
  </si>
  <si>
    <t>12-010702G</t>
  </si>
  <si>
    <t>12-510100G</t>
  </si>
  <si>
    <t>MAO CI - Staff Superior / Staff Superior (G)</t>
  </si>
  <si>
    <t>12-520100G</t>
  </si>
  <si>
    <t>MAO CI - Oficina Técnica / Oficina Técnica (G)</t>
  </si>
  <si>
    <t>12-530100G</t>
  </si>
  <si>
    <t>MAO CI - Supervisión / Supervisión (G)</t>
  </si>
  <si>
    <t>12-540100G</t>
  </si>
  <si>
    <t>MAO CI - Administración / Administración (G)</t>
  </si>
  <si>
    <t>12-550100G</t>
  </si>
  <si>
    <t>MAO CI - Prevención De Riesgos / Prevención De Riesgos (G)</t>
  </si>
  <si>
    <t>12-560100G</t>
  </si>
  <si>
    <t>MAO CI - Control De Calidad / Control De Calidad (G)</t>
  </si>
  <si>
    <t>12-570100G</t>
  </si>
  <si>
    <t>MAO CI - Servicios / Servicios (G)</t>
  </si>
  <si>
    <t>12-580100A</t>
  </si>
  <si>
    <t>MAO CI - Moviliz. y Alojamiento / Movilizacion (A)</t>
  </si>
  <si>
    <t>12-580100G</t>
  </si>
  <si>
    <t>MAO CI - Moviliz. y Alojamiento / Movilizacion (G)</t>
  </si>
  <si>
    <t>12-580101A</t>
  </si>
  <si>
    <t>MAO CI - Movilización / Reembolsable</t>
  </si>
  <si>
    <t>12-580101G</t>
  </si>
  <si>
    <t>12-580200A</t>
  </si>
  <si>
    <t>MAO CI - Moviliz. y Alojamiento / Alojamiento (A)</t>
  </si>
  <si>
    <t>12-580200G</t>
  </si>
  <si>
    <t>MAO CI - Moviliz. y Alojamiento / Alojamiento (G)</t>
  </si>
  <si>
    <t>12-580300A</t>
  </si>
  <si>
    <t>12-580300G</t>
  </si>
  <si>
    <t>12-580301A</t>
  </si>
  <si>
    <t>MAO CI - Alojamiento Viatico / Reembolsable</t>
  </si>
  <si>
    <t>12-580301G</t>
  </si>
  <si>
    <t>12-580400A</t>
  </si>
  <si>
    <t>MAO CI - Moviliz. y Alojamiento / Pensión y Aliment. (A)</t>
  </si>
  <si>
    <t>12-580400G</t>
  </si>
  <si>
    <t>MAO CI - Moviliz. y Alojamiento / Pensión y Aliment. (G)</t>
  </si>
  <si>
    <t>12-590200G</t>
  </si>
  <si>
    <t>MAO CI - Servicios / Topografía (G)</t>
  </si>
  <si>
    <t>12-600100G</t>
  </si>
  <si>
    <t>MAO CI - Prov. Pers. Planta / PROVAC (G)</t>
  </si>
  <si>
    <t>12-600200G</t>
  </si>
  <si>
    <t>MAO CI - Prov. Pers. Planta / PIAS (G)</t>
  </si>
  <si>
    <t>12-999999G</t>
  </si>
  <si>
    <t>21-010201G</t>
  </si>
  <si>
    <t>MAT CD - Civil  / Hormigón / Hormigón (G)</t>
  </si>
  <si>
    <t>21-010202A</t>
  </si>
  <si>
    <t>MAT CD - Civil  / Hormigón / Hormigón Prefabricado (A)</t>
  </si>
  <si>
    <t>21-010202G</t>
  </si>
  <si>
    <t>MAT CD - Civil  / Hormigón / Hormigón Prefabricado (G)</t>
  </si>
  <si>
    <t>21-010203A</t>
  </si>
  <si>
    <t>MAT CD - Civil  / Hormigón / Flete prefabricado (A)</t>
  </si>
  <si>
    <t>21-010203G</t>
  </si>
  <si>
    <t>MAT CD - Civil  / Hormigón / Flete prefabricado (G)</t>
  </si>
  <si>
    <t>21-010301A</t>
  </si>
  <si>
    <t>MAT CD - Civil  / Moldaje / Moldajes (A)</t>
  </si>
  <si>
    <t>21-010301G</t>
  </si>
  <si>
    <t>MAT CD - Civil  / Moldaje / Moldajes (G)</t>
  </si>
  <si>
    <t>21-010401G</t>
  </si>
  <si>
    <t>MAT CD - Civil  / Enfierradura / Varios (G)</t>
  </si>
  <si>
    <t>21-010501A</t>
  </si>
  <si>
    <t>MAT CD - Civil  / Arquitectura / Suministro Mat. Arq (A)</t>
  </si>
  <si>
    <t>21-010501G</t>
  </si>
  <si>
    <t>MAT CD - Civil  / Arquitectura / Suministro Mat. Arq (G)</t>
  </si>
  <si>
    <t>21-010599A</t>
  </si>
  <si>
    <t>MAT CD - Civil  / Arquitectura / Otros (A)</t>
  </si>
  <si>
    <t>21-010599G</t>
  </si>
  <si>
    <t>MAT CD - Civil  / Arquitectura / Otros (G)</t>
  </si>
  <si>
    <t>21-011101A</t>
  </si>
  <si>
    <t>MAT CD - Civil  / Pernos e Insertos / Pernos e Insertos (A)</t>
  </si>
  <si>
    <t>21-011101G</t>
  </si>
  <si>
    <t>MAT CD - Civil  / Pernos e Insertos / Pernos e Insertos (G)</t>
  </si>
  <si>
    <t>MAT CD - Civil  / Otros / Materiales varios (A)</t>
  </si>
  <si>
    <t>21-019901G</t>
  </si>
  <si>
    <t>MAT CD - Civil  / Otros / Materiales varios (G)</t>
  </si>
  <si>
    <t>21-021022G</t>
  </si>
  <si>
    <t>21-021201A</t>
  </si>
  <si>
    <t>MAT CD - Estructura / Suministro Estructura / Todos (A)</t>
  </si>
  <si>
    <t>21-021201G</t>
  </si>
  <si>
    <t>MAT CD - Estructura / Suministro Estructura / Todos (G)</t>
  </si>
  <si>
    <t>21-021301A</t>
  </si>
  <si>
    <t>MAT CD - Estructura / Pernos / Todos (A)</t>
  </si>
  <si>
    <t>21-021301G</t>
  </si>
  <si>
    <t>MAT CD - Estructura / Pernos / Todos (G)</t>
  </si>
  <si>
    <t>21-021401A</t>
  </si>
  <si>
    <t>MAT CD - Estructura / Soldaduras y Gases / Todos (A)</t>
  </si>
  <si>
    <t>21-021401G</t>
  </si>
  <si>
    <t>MAT CD - Estructura / Soldaduras y Gases / Todos (G)</t>
  </si>
  <si>
    <t>21-021501A</t>
  </si>
  <si>
    <t>MAT CD - Estructura / Suministro Revestimiento / Todos (A)</t>
  </si>
  <si>
    <t>21-021501G</t>
  </si>
  <si>
    <t>MAT CD - Estructura / Suministro Revestimiento / Todos (G)</t>
  </si>
  <si>
    <t>21-029901A</t>
  </si>
  <si>
    <t>MAT CD - Estructura / Otros / Todos (A)</t>
  </si>
  <si>
    <t>21-029901G</t>
  </si>
  <si>
    <t>MAT CD - Estructura / Otros / Todos (G)</t>
  </si>
  <si>
    <t>21-031401A</t>
  </si>
  <si>
    <t>MAT CD - Mecánica / Soldadura y Gases / Todos (A)</t>
  </si>
  <si>
    <t>21-031401G</t>
  </si>
  <si>
    <t>MAT CD - Mecánica / Soldadura y Gases / Todos (G)</t>
  </si>
  <si>
    <t>21-031701A</t>
  </si>
  <si>
    <t>MAT CD - Mecánica / Suministro Equipos / Todos (A)</t>
  </si>
  <si>
    <t>21-031701G</t>
  </si>
  <si>
    <t>MAT CD - Mecánica / Suministro Equipos / Todos (G)</t>
  </si>
  <si>
    <t>21-031801A</t>
  </si>
  <si>
    <t>MAT CD - Mecánica / Soportes / Todos (A)</t>
  </si>
  <si>
    <t>21-031801G</t>
  </si>
  <si>
    <t>MAT CD - Mecánica / Soportes / Todos (G)</t>
  </si>
  <si>
    <t>21-031901A</t>
  </si>
  <si>
    <t>MAT CD - Mecánica / Pernos y Empaquetaduras / Todos (A)</t>
  </si>
  <si>
    <t>21-031901G</t>
  </si>
  <si>
    <t>MAT CD - Mecánica / Pernos y Empaquetaduras / Todos (G)</t>
  </si>
  <si>
    <t>21-039901G</t>
  </si>
  <si>
    <t>MAT CD - Mecánica / Materiales varios / Todos (G)</t>
  </si>
  <si>
    <t>21-041401A</t>
  </si>
  <si>
    <t>MAT CD - Cañería / Soldadura y Gases / Todos (A)</t>
  </si>
  <si>
    <t>21-041401G</t>
  </si>
  <si>
    <t>MAT CD - Cañería / Soldadura y Gases / Todos (G)</t>
  </si>
  <si>
    <t>21-041801A</t>
  </si>
  <si>
    <t>MAT CD - Cañería / Soportes / Todos (A)</t>
  </si>
  <si>
    <t>21-041801G</t>
  </si>
  <si>
    <t>MAT CD - Cañería / Soportes / Todos (G)</t>
  </si>
  <si>
    <t>21-041901A</t>
  </si>
  <si>
    <t>MAT CD - Cañería / Pernos y Empaquetaduras / Todos (A)</t>
  </si>
  <si>
    <t>21-041901G</t>
  </si>
  <si>
    <t>MAT CD - Cañería / Pernos y Empaquetaduras / Todos (G)</t>
  </si>
  <si>
    <t>21-042001A</t>
  </si>
  <si>
    <t>MAT CD - Cañería / Sumini. Cañería Fitt. y Válvs / Todos (A)</t>
  </si>
  <si>
    <t>21-042001G</t>
  </si>
  <si>
    <t>MAT CD - Cañería / Sumini. Cañería Fitt. y Válvs / Todos (G)</t>
  </si>
  <si>
    <t>21-049901A</t>
  </si>
  <si>
    <t>MAT CD - Cañería / Materiales varios / Todos (A)</t>
  </si>
  <si>
    <t>21-049901G</t>
  </si>
  <si>
    <t>MAT CD - Cañería / Materiales varios / Todos (G)</t>
  </si>
  <si>
    <t>21-051401A</t>
  </si>
  <si>
    <t>MAT CD - Electricidad / Soldadura y Gases / Todos (A)</t>
  </si>
  <si>
    <t>21-051401G</t>
  </si>
  <si>
    <t>MAT CD - Electricidad / Soldadura y Gases / Todos (G)</t>
  </si>
  <si>
    <t>21-051701A</t>
  </si>
  <si>
    <t>MAT CD - Electricidad / Suministro de Equipos / Todos (A)</t>
  </si>
  <si>
    <t>21-051701G</t>
  </si>
  <si>
    <t>MAT CD - Electricidad / Suministro de Equipos / Todos (G)</t>
  </si>
  <si>
    <t>21-051801A</t>
  </si>
  <si>
    <t>MAT CD - Electricidad / Soportes / Todos (A)</t>
  </si>
  <si>
    <t>21-051801G</t>
  </si>
  <si>
    <t>MAT CD - Electricidad / Soportes / Todos (G)</t>
  </si>
  <si>
    <t>21-052101A</t>
  </si>
  <si>
    <t>MAT CD - Electricidad / Suministro de Cables / Todos (A)</t>
  </si>
  <si>
    <t>21-052101G</t>
  </si>
  <si>
    <t>MAT CD - Electricidad / Suministro de Cables / Todos (G)</t>
  </si>
  <si>
    <t>21-052201A</t>
  </si>
  <si>
    <t>MAT CD - Electricidad / Suministro Conduits / Todos (A)</t>
  </si>
  <si>
    <t>21-052201G</t>
  </si>
  <si>
    <t>MAT CD - Electricidad / Suministro Conduits / Todos (G)</t>
  </si>
  <si>
    <t>21-052301A</t>
  </si>
  <si>
    <t>MAT CD - Electricidad / Sumin Bdejas+Escalerillas / Todo (A)</t>
  </si>
  <si>
    <t>21-052301G</t>
  </si>
  <si>
    <t>MAT CD - Electricidad / Sumin Bdejas+Escalerillas / Todo (G)</t>
  </si>
  <si>
    <t>21-059901A</t>
  </si>
  <si>
    <t>MAT CD - Electricidad / Materiales varios / Todos (A)</t>
  </si>
  <si>
    <t>21-059901G</t>
  </si>
  <si>
    <t>MAT CD - Electricidad / Materiales varios / Todos (G)</t>
  </si>
  <si>
    <t>21-061401A</t>
  </si>
  <si>
    <t>MAT CD - Instrumentac. / Soldadura y Gases / Todos (A)</t>
  </si>
  <si>
    <t>21-061401G</t>
  </si>
  <si>
    <t>MAT CD - Instrumentac. / Soldadura y Gases / Todos (G)</t>
  </si>
  <si>
    <t>21-061701A</t>
  </si>
  <si>
    <t>MAT CD - Instrumentac. / Suministro de Equipos / Todos (A)</t>
  </si>
  <si>
    <t>21-061701G</t>
  </si>
  <si>
    <t>MAT CD - Instrumentac. / Suministro de Equipos / Todos (G)</t>
  </si>
  <si>
    <t>21-061801A</t>
  </si>
  <si>
    <t>MAT CD - Instrumentac. / Soportes / Todos (A)</t>
  </si>
  <si>
    <t>21-061801G</t>
  </si>
  <si>
    <t>MAT CD - Instrumentac. / Soportes / Todos (G)</t>
  </si>
  <si>
    <t>21-062101A</t>
  </si>
  <si>
    <t>MAT CD - Instrumentac. / Suministro de Cables / Todos (A)</t>
  </si>
  <si>
    <t>21-062101G</t>
  </si>
  <si>
    <t>MAT CD - Instrumentac. / Suministro de Cables / Todos (G)</t>
  </si>
  <si>
    <t>21-062201A</t>
  </si>
  <si>
    <t>MAT CD - Instrumentac. / Suministro Conduits / Todos (A)</t>
  </si>
  <si>
    <t>21-062201G</t>
  </si>
  <si>
    <t>MAT CD - Instrumentac. / Suministro Conduits / Todos (G)</t>
  </si>
  <si>
    <t>21-062301A</t>
  </si>
  <si>
    <t>MAT CD - Instrumentac. / Sumin Bdejas+Escalerills / Todo (A)</t>
  </si>
  <si>
    <t>21-062301G</t>
  </si>
  <si>
    <t>MAT CD - Instrumentac. / Sumin Bdejas+Escalerills / Todo (G)</t>
  </si>
  <si>
    <t>21-063001A</t>
  </si>
  <si>
    <t>MAT CD - Instrumentac. / Suministro Instrumentos / Todos (A)</t>
  </si>
  <si>
    <t>21-063001G</t>
  </si>
  <si>
    <t>MAT CD - Instrumentac. / Suministro Instrumentos / Todos (G)</t>
  </si>
  <si>
    <t>21-069901A</t>
  </si>
  <si>
    <t>MAT CD - Instrumentac. / Materiales varios / Todos (A)</t>
  </si>
  <si>
    <t>21-069901G</t>
  </si>
  <si>
    <t>MAT CD - Instrumentac. / Materiales varios / Todos (G)</t>
  </si>
  <si>
    <t>21-072401A</t>
  </si>
  <si>
    <t>MAT CD - Aislación / Suminist. Material Aislación / Todo (A)</t>
  </si>
  <si>
    <t>21-072401G</t>
  </si>
  <si>
    <t>MAT CD - Aislación / Suminist. Material Aislación / Todo (G)</t>
  </si>
  <si>
    <t>21-072501A</t>
  </si>
  <si>
    <t>MAT CD - Aislación / Suministro de Revestimiento / Todos (A)</t>
  </si>
  <si>
    <t>21-072501G</t>
  </si>
  <si>
    <t>MAT CD - Aislación / Suministro de Revestimiento / Todos (G)</t>
  </si>
  <si>
    <t>21-079901A</t>
  </si>
  <si>
    <t>MAT CD - Aislación / Materiales varios / Todos (A)</t>
  </si>
  <si>
    <t>21-079901G</t>
  </si>
  <si>
    <t>MAT CD - Aislación / Materiales varios / Todos (G)</t>
  </si>
  <si>
    <t>21-081401A</t>
  </si>
  <si>
    <t>MAT CD - Caldera / Soldadura y Gases / Todos (A)</t>
  </si>
  <si>
    <t>21-081401G</t>
  </si>
  <si>
    <t>MAT CD - Caldera / Soldadura y Gases / Todos (G)</t>
  </si>
  <si>
    <t>21-082601A</t>
  </si>
  <si>
    <t>MAT CD - Caldera / Suministro Caldera / Todos (A)</t>
  </si>
  <si>
    <t>21-082601G</t>
  </si>
  <si>
    <t>MAT CD - Caldera / Suministro Caldera / Todos (G)</t>
  </si>
  <si>
    <t>21-089901A</t>
  </si>
  <si>
    <t>MAT CD - Caldera / Materiales varios / Todos (A)</t>
  </si>
  <si>
    <t>21-089901G</t>
  </si>
  <si>
    <t>MAT CD - Caldera / Materiales varios / Todos (G)</t>
  </si>
  <si>
    <t>21-091401A</t>
  </si>
  <si>
    <t>MAT CD - Ductos / Soldadura y Gases / Todos (A)</t>
  </si>
  <si>
    <t>21-091401G</t>
  </si>
  <si>
    <t>MAT CD - Ductos / Soldadura y Gases / Todos (G)</t>
  </si>
  <si>
    <t>21-091801A</t>
  </si>
  <si>
    <t>MAT CD - Ductos / Soportes / Todos (A)</t>
  </si>
  <si>
    <t>21-091801G</t>
  </si>
  <si>
    <t>MAT CD - Ductos / Soportes / Todos (G)</t>
  </si>
  <si>
    <t>21-091901A</t>
  </si>
  <si>
    <t>MAT CD - Ductos / Pernos y Empaquetaduras / Todos (A)</t>
  </si>
  <si>
    <t>21-091901G</t>
  </si>
  <si>
    <t>MAT CD - Ductos / Pernos y Empaquetaduras / Todos (G)</t>
  </si>
  <si>
    <t>21-092701A</t>
  </si>
  <si>
    <t>MAT CD - Ductos / Suminist. y Fabricación Ductos / Todos (A)</t>
  </si>
  <si>
    <t>21-092701G</t>
  </si>
  <si>
    <t>MAT CD - Ductos / Suminist. y Fabricación Ductos / Todos (G)</t>
  </si>
  <si>
    <t>21-099901A</t>
  </si>
  <si>
    <t>MAT CD - Ductos / Materiales Varios / Todos (A)</t>
  </si>
  <si>
    <t>21-099901G</t>
  </si>
  <si>
    <t>MAT CD - Ductos / Materiales Varios / Todos (G)</t>
  </si>
  <si>
    <t>21-131401A</t>
  </si>
  <si>
    <t>MAT CD - Estanque / Soldadura y Gases / Todos (A)</t>
  </si>
  <si>
    <t>21-131401G</t>
  </si>
  <si>
    <t>MAT CD - Estanque / Soldadura y Gases / Todos (G)</t>
  </si>
  <si>
    <t>21-131901A</t>
  </si>
  <si>
    <t>MAT CD - Estanque / Pernos y Empaquetaduras / Todos (A)</t>
  </si>
  <si>
    <t>21-131901G</t>
  </si>
  <si>
    <t>MAT CD - Estanque / Pernos y Empaquetaduras / Todos (G)</t>
  </si>
  <si>
    <t>21-132801A</t>
  </si>
  <si>
    <t>MAT CD - Estanque / Suminist. Estanque (Planchas) / Todo (A)</t>
  </si>
  <si>
    <t>21-132801G</t>
  </si>
  <si>
    <t>MAT CD - Estanque / Suminist. Estanque (Planchas) / Todo (G)</t>
  </si>
  <si>
    <t>21-139901A</t>
  </si>
  <si>
    <t>MAT CD - Estanque / Materiales Varios / Todos (A)</t>
  </si>
  <si>
    <t>21-139901G</t>
  </si>
  <si>
    <t>MAT CD - Estanque / Materiales Varios / Todos (G)</t>
  </si>
  <si>
    <t>21-973001A</t>
  </si>
  <si>
    <t>MAT CD - Importaciones / Importaciones / Todos (A)</t>
  </si>
  <si>
    <t>21-973001G</t>
  </si>
  <si>
    <t>MAT CD - Importaciones / Importaciones / Todos (G)</t>
  </si>
  <si>
    <t>21-980101A</t>
  </si>
  <si>
    <t>MAT CD - Especialidad por distribuir / Todos / Todos (A)</t>
  </si>
  <si>
    <t>21-980101G</t>
  </si>
  <si>
    <t>MAT CD - Especialidad por distribuir / Todos / Todos (G)</t>
  </si>
  <si>
    <t>21-990101A</t>
  </si>
  <si>
    <t>MAT CD - Especialidad por distribuir / Todos /Reembolsable</t>
  </si>
  <si>
    <t>21-990101G</t>
  </si>
  <si>
    <t>31-010100A</t>
  </si>
  <si>
    <t>SUB CD - Civil  / Movimiento de tierra (A)</t>
  </si>
  <si>
    <t>31-010100G</t>
  </si>
  <si>
    <t>SUB CD - Civil  / Movimiento de tierra (G)</t>
  </si>
  <si>
    <t>31-010200A</t>
  </si>
  <si>
    <t>SUB CD - Civil  / Hormigón (A)</t>
  </si>
  <si>
    <t>31-010200G</t>
  </si>
  <si>
    <t>SUB CD - Civil  / Hormigón (G)</t>
  </si>
  <si>
    <t>31-010300A</t>
  </si>
  <si>
    <t>SUB CD - Civil  / Moldaje (A)</t>
  </si>
  <si>
    <t>31-010300G</t>
  </si>
  <si>
    <t>SUB CD - Civil  / Moldaje (G)</t>
  </si>
  <si>
    <t>31-010400A</t>
  </si>
  <si>
    <t>SUB CD - Civil  / Enfierradura (A)</t>
  </si>
  <si>
    <t>31-010400G</t>
  </si>
  <si>
    <t>SUB CD - Civil  / Enfierradura (G)</t>
  </si>
  <si>
    <t>31-010500A</t>
  </si>
  <si>
    <t>SUB CD - Civil  / Arquitectura (A)</t>
  </si>
  <si>
    <t>31-010500G</t>
  </si>
  <si>
    <t>SUB CD - Civil  / Arquitectura (G)</t>
  </si>
  <si>
    <t>31-013200A</t>
  </si>
  <si>
    <t>SUB CD - Civil  / Agotamiento (A)</t>
  </si>
  <si>
    <t>31-013200G</t>
  </si>
  <si>
    <t>SUB CD - Civil  / Agotamiento (G)</t>
  </si>
  <si>
    <t>SUB CD - Civil  / Laboratorio (Resist. hormigón densid.) (A)</t>
  </si>
  <si>
    <t>31-013300G</t>
  </si>
  <si>
    <t>SUB CD - Civil  / Laboratorio (Resist. hormigón densid.) (G)</t>
  </si>
  <si>
    <t>31-013400A</t>
  </si>
  <si>
    <t>SUB CD - Civil  / Revestimiento Radier Epoxico (A)</t>
  </si>
  <si>
    <t>31-013400G</t>
  </si>
  <si>
    <t>SUB CD - Civil  / Revestimiento Radier Epoxico (G)</t>
  </si>
  <si>
    <t>31-013500A</t>
  </si>
  <si>
    <t>SUB CD - Civil  / Entibaciones (A)</t>
  </si>
  <si>
    <t>31-013500G</t>
  </si>
  <si>
    <t>SUB CD - Civil  / Entibaciones (G)</t>
  </si>
  <si>
    <t>31-019900A</t>
  </si>
  <si>
    <t>SUB CD - Civil  / Otros (A)</t>
  </si>
  <si>
    <t>31-019900G</t>
  </si>
  <si>
    <t>SUB CD - Civil  / Otros (G)</t>
  </si>
  <si>
    <t>31-020600A</t>
  </si>
  <si>
    <t>SUB CD - Estructura / Pintura (A)</t>
  </si>
  <si>
    <t>31-020600G</t>
  </si>
  <si>
    <t>SUB CD - Estructura / Pintura (G)</t>
  </si>
  <si>
    <t>31-020700A</t>
  </si>
  <si>
    <t>SUB CD - Estructura / Montaje de Estructura (A)</t>
  </si>
  <si>
    <t>31-020700G</t>
  </si>
  <si>
    <t>SUB CD - Estructura / Montaje de Estructura (G)</t>
  </si>
  <si>
    <t>31-020800A</t>
  </si>
  <si>
    <t>SUB CD - Estructura / Montaje de Revestimiento (A)</t>
  </si>
  <si>
    <t>31-020800G</t>
  </si>
  <si>
    <t>SUB CD - Estructura / Montaje de Revestimiento (G)</t>
  </si>
  <si>
    <t>31-029900A</t>
  </si>
  <si>
    <t>SUB CD - Estructura / Otros (A)</t>
  </si>
  <si>
    <t>31-029900G</t>
  </si>
  <si>
    <t>SUB CD - Estructura / Otros (G)</t>
  </si>
  <si>
    <t>31-030700A</t>
  </si>
  <si>
    <t>SUB CD - Mecánica / Montaje Equipos (A)</t>
  </si>
  <si>
    <t>31-030700G</t>
  </si>
  <si>
    <t>SUB CD - Mecánica / Montaje Equipos (G)</t>
  </si>
  <si>
    <t>31-030800A</t>
  </si>
  <si>
    <t>SUB CD - Mecánica / Montajes (A)</t>
  </si>
  <si>
    <t>31-030800G</t>
  </si>
  <si>
    <t>SUB CD - Mecánica / Montajes (G)</t>
  </si>
  <si>
    <t>31-033900A</t>
  </si>
  <si>
    <t>SUB CD - Mecánica / Empalme Correas (A)</t>
  </si>
  <si>
    <t>31-033900G</t>
  </si>
  <si>
    <t>SUB CD - Mecánica / Empalme Correas (G)</t>
  </si>
  <si>
    <t>31-034000A</t>
  </si>
  <si>
    <t>SUB CD - Mecánica / Alineamiento Laser (A)</t>
  </si>
  <si>
    <t>31-034000G</t>
  </si>
  <si>
    <t>SUB CD - Mecánica / Alineamiento Laser (G)</t>
  </si>
  <si>
    <t>31-034100A</t>
  </si>
  <si>
    <t>SUB CD - Mecánica / Análisis de Vibración (A)</t>
  </si>
  <si>
    <t>31-034100G</t>
  </si>
  <si>
    <t>SUB CD - Mecánica / Análisis de Vibración (G)</t>
  </si>
  <si>
    <t>31-034200A</t>
  </si>
  <si>
    <t>SUB CD - Mecánica / HI-TORQ (A)</t>
  </si>
  <si>
    <t>31-034200G</t>
  </si>
  <si>
    <t>SUB CD - Mecánica / HI-TORQ (G)</t>
  </si>
  <si>
    <t>31-034300A</t>
  </si>
  <si>
    <t>SUB CD - Mecánica / Limpieza Química (A)</t>
  </si>
  <si>
    <t>31-034300G</t>
  </si>
  <si>
    <t>SUB CD - Mecánica / Limpieza Química (G)</t>
  </si>
  <si>
    <t>31-039900A</t>
  </si>
  <si>
    <t>SUB CD - Mecánica / Otros (A)</t>
  </si>
  <si>
    <t>31-039900G</t>
  </si>
  <si>
    <t>SUB CD - Mecánica / Otros (G)</t>
  </si>
  <si>
    <t>31-040600A</t>
  </si>
  <si>
    <t>SUB CD - Cañería / Soldadura (A)</t>
  </si>
  <si>
    <t>31-040600G</t>
  </si>
  <si>
    <t>SUB CD - Cañería / Soldadura (G)</t>
  </si>
  <si>
    <t>31-040700A</t>
  </si>
  <si>
    <t>SUB CD - Cañería / Montaje Cañerías (A)</t>
  </si>
  <si>
    <t>31-040700G</t>
  </si>
  <si>
    <t>SUB CD - Cañería / Montaje Cañerías (G)</t>
  </si>
  <si>
    <t>31-040800A</t>
  </si>
  <si>
    <t>SUB CD - Cañería / Montajes (A)</t>
  </si>
  <si>
    <t>31-040800G</t>
  </si>
  <si>
    <t>SUB CD - Cañería / Montajes (G)</t>
  </si>
  <si>
    <t>31-044500A</t>
  </si>
  <si>
    <t>SUB CD - Cañería / Pintura Cañerías (A)</t>
  </si>
  <si>
    <t>31-044500G</t>
  </si>
  <si>
    <t>SUB CD - Cañería / Pintura Cañerías (G)</t>
  </si>
  <si>
    <t>31-044600A</t>
  </si>
  <si>
    <t>SUB CD - Cañería / END (Radiografías, Tintas Penetrant.) (A)</t>
  </si>
  <si>
    <t>31-044600G</t>
  </si>
  <si>
    <t>SUB CD - Cañería / END (Radiografías, Tintas Penetrant.) (G)</t>
  </si>
  <si>
    <t>31-044700A</t>
  </si>
  <si>
    <t>SUB CD - Cañería / Limpieza Química (A)</t>
  </si>
  <si>
    <t>31-044700G</t>
  </si>
  <si>
    <t>SUB CD - Cañería / Limpieza Química (G)</t>
  </si>
  <si>
    <t>31-044800A</t>
  </si>
  <si>
    <t>SUB CD - Cañería / Soplado Cañería (A)</t>
  </si>
  <si>
    <t>31-044800G</t>
  </si>
  <si>
    <t>SUB CD - Cañería / Soplado Cañería (G)</t>
  </si>
  <si>
    <t>31-044900A</t>
  </si>
  <si>
    <t>SUB CD - Cañería / Tratamiento Térmico (A)</t>
  </si>
  <si>
    <t>31-044900G</t>
  </si>
  <si>
    <t>SUB CD - Cañería / Tratamiento Térmico (G)</t>
  </si>
  <si>
    <t>31-045000A</t>
  </si>
  <si>
    <t>SUB CD - Cañería / Vendajes Cañerías FRP (A)</t>
  </si>
  <si>
    <t>31-045000G</t>
  </si>
  <si>
    <t>SUB CD - Cañería / Vendajes Cañerías FRP (G)</t>
  </si>
  <si>
    <t>31-045100A</t>
  </si>
  <si>
    <t>SUB CD - Cañería / Termofusión Cañería (A)</t>
  </si>
  <si>
    <t>31-045100G</t>
  </si>
  <si>
    <t>SUB CD - Cañería / Termofusión Cañería (G)</t>
  </si>
  <si>
    <t>31-045200A</t>
  </si>
  <si>
    <t>SUB CD - Cañería / Pruebas Hidraulicas / Neumaticas (A)</t>
  </si>
  <si>
    <t>31-045200G</t>
  </si>
  <si>
    <t>SUB CD - Cañería / Pruebas Hidraulicas / Neumaticas (G)</t>
  </si>
  <si>
    <t>31-049900A</t>
  </si>
  <si>
    <t>SUB CD - Cañería / Otros Subcontratos (A)</t>
  </si>
  <si>
    <t>31-049900G</t>
  </si>
  <si>
    <t>SUB CD - Cañería / Otros Subcontratos (G)</t>
  </si>
  <si>
    <t>31-050800A</t>
  </si>
  <si>
    <t>SUB CD - Electricidad / Mtaje. Lín. Media y Alta Tensión (A)</t>
  </si>
  <si>
    <t>31-050800G</t>
  </si>
  <si>
    <t>SUB CD - Electricidad / Mtaje. Lín. Media y Alta Tensión (G)</t>
  </si>
  <si>
    <t>31-055300A</t>
  </si>
  <si>
    <t>SUB CD - Electricidad / Pruebas Equipos (A)</t>
  </si>
  <si>
    <t>31-055300G</t>
  </si>
  <si>
    <t>SUB CD - Electricidad / Pruebas Equipos (G)</t>
  </si>
  <si>
    <t>31-055400A</t>
  </si>
  <si>
    <t>SUB CD - Electricidad / Llenado de Aceite Transforms. (A)</t>
  </si>
  <si>
    <t>31-055400G</t>
  </si>
  <si>
    <t>SUB CD - Electricidad / Llenado de Aceite Transforms. (G)</t>
  </si>
  <si>
    <t>31-055500A</t>
  </si>
  <si>
    <t>SUB CD - Electricidad / HI-POT (A)</t>
  </si>
  <si>
    <t>31-055500G</t>
  </si>
  <si>
    <t>SUB CD - Electricidad / HI-POT (G)</t>
  </si>
  <si>
    <t>31-059900A</t>
  </si>
  <si>
    <t>SUB CD - Electricidad / Otros Subcontratos (A)</t>
  </si>
  <si>
    <t>31-059900G</t>
  </si>
  <si>
    <t>SUB CD - Electricidad / Otros Subcontratos (G)</t>
  </si>
  <si>
    <t>31-065700A</t>
  </si>
  <si>
    <t>SUB CD - Instrumentación / Calibración de Equipos (A)</t>
  </si>
  <si>
    <t>31-065700G</t>
  </si>
  <si>
    <t>SUB CD - Instrumentación / Calibración de Equipos (G)</t>
  </si>
  <si>
    <t>31-065800A</t>
  </si>
  <si>
    <t>SUB CD - Instrumentación / Chequeos de Lazo (A)</t>
  </si>
  <si>
    <t>31-065800G</t>
  </si>
  <si>
    <t>SUB CD - Instrumentación / Chequeos de Lazo (G)</t>
  </si>
  <si>
    <t>31-069900A</t>
  </si>
  <si>
    <t>SUB CD - Instrumentación / Otros Subcontratos (A)</t>
  </si>
  <si>
    <t>31-069900G</t>
  </si>
  <si>
    <t>SUB CD - Instrumentación / Otros Subcontratos (G)</t>
  </si>
  <si>
    <t>31-070800A</t>
  </si>
  <si>
    <t>SUB CD - Aislación / Montaje Aislación (A)</t>
  </si>
  <si>
    <t>31-070800G</t>
  </si>
  <si>
    <t>SUB CD - Aislación / Montaje Aislación (G)</t>
  </si>
  <si>
    <t>31-079900A</t>
  </si>
  <si>
    <t>SUB CD - Aislación / Otros Subcontratos (A)</t>
  </si>
  <si>
    <t>31-079900G</t>
  </si>
  <si>
    <t>SUB CD - Aislación / Otros Subcontratos (G)</t>
  </si>
  <si>
    <t>31-080700A</t>
  </si>
  <si>
    <t>SUB CD - Caldera / Soldadura (A)</t>
  </si>
  <si>
    <t>31-080700G</t>
  </si>
  <si>
    <t>SUB CD - Caldera / Soldadura (G)</t>
  </si>
  <si>
    <t>31-080800A</t>
  </si>
  <si>
    <t>SUB CD - Caldera / Montaje Caldera (A)</t>
  </si>
  <si>
    <t>31-080800G</t>
  </si>
  <si>
    <t>SUB CD - Caldera / Montaje Caldera (G)</t>
  </si>
  <si>
    <t>31-084600A</t>
  </si>
  <si>
    <t>SUB CD - Caldera / END (Radiografs., Tintas Penetrant.) (A)</t>
  </si>
  <si>
    <t>31-084600G</t>
  </si>
  <si>
    <t>SUB CD - Caldera / END (Radiografs., Tintas Penetrant.) (G)</t>
  </si>
  <si>
    <t>31-086100A</t>
  </si>
  <si>
    <t>SUB CD - Caldera / Soplado (A)</t>
  </si>
  <si>
    <t>31-086100G</t>
  </si>
  <si>
    <t>SUB CD - Caldera / Soplado (G)</t>
  </si>
  <si>
    <t>31-086200A</t>
  </si>
  <si>
    <t>SUB CD - Caldera / Refractario (A)</t>
  </si>
  <si>
    <t>31-086200G</t>
  </si>
  <si>
    <t>SUB CD - Caldera / Refractario (G)</t>
  </si>
  <si>
    <t>31-086400A</t>
  </si>
  <si>
    <t>SUB CD - Caldera / Tratamiento Térmico (A)</t>
  </si>
  <si>
    <t>31-086400G</t>
  </si>
  <si>
    <t>SUB CD - Caldera / Tratamiento Térmico (G)</t>
  </si>
  <si>
    <t>31-086500A</t>
  </si>
  <si>
    <t>SUB CD - Caldera / Izamiento Domo (A)</t>
  </si>
  <si>
    <t>31-086500G</t>
  </si>
  <si>
    <t>SUB CD - Caldera / Izamiento Domo (G)</t>
  </si>
  <si>
    <t>31-086600A</t>
  </si>
  <si>
    <t>SUB CD - Caldera / Prueba Hidraulica (A)</t>
  </si>
  <si>
    <t>31-086600G</t>
  </si>
  <si>
    <t>SUB CD - Caldera / Prueba Hidraulica (G)</t>
  </si>
  <si>
    <t>31-086700A</t>
  </si>
  <si>
    <t>SUB CD - Caldera / Agua Desmineralizada (A)</t>
  </si>
  <si>
    <t>31-086700G</t>
  </si>
  <si>
    <t>SUB CD - Caldera / Agua Desmineralizada (G)</t>
  </si>
  <si>
    <t>31-086800A</t>
  </si>
  <si>
    <t>SUB CD - Caldera / Manejo y Disposición Efluentes (A)</t>
  </si>
  <si>
    <t>31-086800G</t>
  </si>
  <si>
    <t>SUB CD - Caldera / Manejo y Disposición Efluentes (G)</t>
  </si>
  <si>
    <t>31-089900A</t>
  </si>
  <si>
    <t>SUB CD - Caldera / Otros Subcontratos (A)</t>
  </si>
  <si>
    <t>31-089900G</t>
  </si>
  <si>
    <t>SUB CD - Caldera / Otros Subcontratos (G)</t>
  </si>
  <si>
    <t>31-090700A</t>
  </si>
  <si>
    <t>SUB CD - Ductos / Soldadura (A)</t>
  </si>
  <si>
    <t>31-090700G</t>
  </si>
  <si>
    <t>SUB CD - Ductos / Soldadura (G)</t>
  </si>
  <si>
    <t>31-090800A</t>
  </si>
  <si>
    <t>SUB CD - Ductos / Montajes (A)</t>
  </si>
  <si>
    <t>31-090800G</t>
  </si>
  <si>
    <t>SUB CD - Ductos / Montajes (G)</t>
  </si>
  <si>
    <t>31-094600A</t>
  </si>
  <si>
    <t>SUB CD - Ductos / END (Radiografs., Tintas Penetrant.) (A)</t>
  </si>
  <si>
    <t>31-094600G</t>
  </si>
  <si>
    <t>SUB CD - Ductos / END (Radiografs., Tintas Penetrant.) (G)</t>
  </si>
  <si>
    <t>31-099900A</t>
  </si>
  <si>
    <t>SUB CD - Ductos / Otros Subcontratos (A)</t>
  </si>
  <si>
    <t>31-099900G</t>
  </si>
  <si>
    <t>SUB CD - Ductos / Otros Subcontratos (G)</t>
  </si>
  <si>
    <t>31-130700A</t>
  </si>
  <si>
    <t>SUB CD - Estanque / Soldadura (A)</t>
  </si>
  <si>
    <t>31-130700G</t>
  </si>
  <si>
    <t>SUB CD - Estanque / Soldadura (G)</t>
  </si>
  <si>
    <t>31-130800A</t>
  </si>
  <si>
    <t>SUB CD - Estanque / Montaje Estanque (A)</t>
  </si>
  <si>
    <t>31-130800G</t>
  </si>
  <si>
    <t>SUB CD - Estanque / Montaje Estanque (G)</t>
  </si>
  <si>
    <t>31-134600A</t>
  </si>
  <si>
    <t>SUB CD - Estanque / END (Radiografs., Tintas Penetrant.) (A)</t>
  </si>
  <si>
    <t>31-134600G</t>
  </si>
  <si>
    <t>SUB CD - Estanque / END (Radiografs., Tintas Penetrant.) (G)</t>
  </si>
  <si>
    <t>31-136600A</t>
  </si>
  <si>
    <t>SUB CD - Estanque / Prueba Hidraulica (Estanqueidad) (A)</t>
  </si>
  <si>
    <t>31-136600G</t>
  </si>
  <si>
    <t>SUB CD - Estanque / Prueba Hidraulica (Estanqueidad) (G)</t>
  </si>
  <si>
    <t>31-139900A</t>
  </si>
  <si>
    <t>SUB CD - Estanque / Otros Subcontratos (A)</t>
  </si>
  <si>
    <t>31-139900G</t>
  </si>
  <si>
    <t>SUB CD - Estanque / Otros Subcontratos (G)</t>
  </si>
  <si>
    <t>31-146900A</t>
  </si>
  <si>
    <t>SUB CD - Ingeniería / Ingeniería (A)</t>
  </si>
  <si>
    <t>31-146900G</t>
  </si>
  <si>
    <t>SUB CD - Ingeniería / Ingeniería (G)</t>
  </si>
  <si>
    <t>31-147000A</t>
  </si>
  <si>
    <t>SUB CD - Ingeniería / Ingeniería P&amp;A (A)</t>
  </si>
  <si>
    <t>31-147000G</t>
  </si>
  <si>
    <t>SUB CD - Ingeniería / Ingeniería P&amp;A (G)</t>
  </si>
  <si>
    <t>31-990800A</t>
  </si>
  <si>
    <t>SUB CD - Otras especialidades / Montaje Transformador (A)</t>
  </si>
  <si>
    <t>31-990800G</t>
  </si>
  <si>
    <t>SUB CD - Otras especialidades / Montaje Transformador (G)</t>
  </si>
  <si>
    <t>31-997100A</t>
  </si>
  <si>
    <t>SUB CD - Otras especialidades / Touch-UP (A)</t>
  </si>
  <si>
    <t>31-997100G</t>
  </si>
  <si>
    <t>SUB CD - Otras especialidades / Touch-UP (G)</t>
  </si>
  <si>
    <t>31-997200A</t>
  </si>
  <si>
    <t>SUB CD - Otras especialidades / HVAC (A)</t>
  </si>
  <si>
    <t>31-997200G</t>
  </si>
  <si>
    <t>SUB CD - Otras especialidades / HVAC (G)</t>
  </si>
  <si>
    <t>31-997300A</t>
  </si>
  <si>
    <t>SUB CD - Otras especialidades / Equipo Mtje Megalift (A)</t>
  </si>
  <si>
    <t>31-997300G</t>
  </si>
  <si>
    <t>SUB CD - Otras especialidades / Equipo Mtje Megalift (G)</t>
  </si>
  <si>
    <t>31-997500A</t>
  </si>
  <si>
    <t>SUB CD - Otras especialidades / Gestión (A)</t>
  </si>
  <si>
    <t>31-997500G</t>
  </si>
  <si>
    <t>SUB CD - Otras especialidades / Gestión (G)</t>
  </si>
  <si>
    <t>31-997501A</t>
  </si>
  <si>
    <t>SUB CD - Otras especialidades / Reembolsable</t>
  </si>
  <si>
    <t>31-997501G</t>
  </si>
  <si>
    <t>31-997600A</t>
  </si>
  <si>
    <t>SUB CD - Otras especialidades / Admin. Financiera (A)</t>
  </si>
  <si>
    <t>31-997600G</t>
  </si>
  <si>
    <t>SUB CD - Otras especialidades / Admin. Financiera (G)</t>
  </si>
  <si>
    <t>41-101100A</t>
  </si>
  <si>
    <t>EQU CD - Mayor / Grúa / Propio (A)</t>
  </si>
  <si>
    <t>41-101100G</t>
  </si>
  <si>
    <t>EQU CD - Mayor / Grúa / Propio (G)</t>
  </si>
  <si>
    <t>41-101200A</t>
  </si>
  <si>
    <t>EQU CD - Mayor / Grúa / Arriendo (A)</t>
  </si>
  <si>
    <t>41-101200G</t>
  </si>
  <si>
    <t>EQU CD - Mayor / Grúa / Arriendo (G)</t>
  </si>
  <si>
    <t>41-102100A</t>
  </si>
  <si>
    <t>EQU CD - Mayor / Camión Pluma / Propio (A)</t>
  </si>
  <si>
    <t>41-102100G</t>
  </si>
  <si>
    <t>EQU CD - Mayor / Camión Pluma / Propio (G)</t>
  </si>
  <si>
    <t>41-102200A</t>
  </si>
  <si>
    <t>EQU CD - Mayor / Camión Pluma / Arriendo (A)</t>
  </si>
  <si>
    <t>41-102200G</t>
  </si>
  <si>
    <t>EQU CD - Mayor / Camión Pluma / Arriendo (G)</t>
  </si>
  <si>
    <t>41-103100A</t>
  </si>
  <si>
    <t>EQU CD - Mayor / Camión Rampla / Propio (A)</t>
  </si>
  <si>
    <t>41-103100G</t>
  </si>
  <si>
    <t>EQU CD - Mayor / Camión Rampla / Propio (G)</t>
  </si>
  <si>
    <t>41-103101A</t>
  </si>
  <si>
    <t>EQU CD - Mayor / Reembolsable</t>
  </si>
  <si>
    <t>41-103101G</t>
  </si>
  <si>
    <t>41-103200A</t>
  </si>
  <si>
    <t>EQU CD - Mayor / Camión Rampla / Arriendo (A)</t>
  </si>
  <si>
    <t>41-103200G</t>
  </si>
  <si>
    <t>EQU CD - Mayor / Camión Rampla / Arriendo (G)</t>
  </si>
  <si>
    <t>41-104100A</t>
  </si>
  <si>
    <t>EQU CD - Mayor / Movimiento De Tierras / Propio (A)</t>
  </si>
  <si>
    <t>41-104100G</t>
  </si>
  <si>
    <t>EQU CD - Mayor / Movimiento De Tierras / Propio (G)</t>
  </si>
  <si>
    <t>41-104200A</t>
  </si>
  <si>
    <t>EQU CD - Mayor / Movimiento De Tierras / Arriendo (A)</t>
  </si>
  <si>
    <t>41-104200G</t>
  </si>
  <si>
    <t>EQU CD - Mayor / Movimiento De Tierras / Arriendo (G)</t>
  </si>
  <si>
    <t>41-105100A</t>
  </si>
  <si>
    <t>EQU CD - Mayor / Generador / Propio (A)</t>
  </si>
  <si>
    <t>41-105100G</t>
  </si>
  <si>
    <t>EQU CD - Mayor / Generador / Propio (G)</t>
  </si>
  <si>
    <t>41-105200A</t>
  </si>
  <si>
    <t>EQU CD - Mayor / Generador / Arriendo (A)</t>
  </si>
  <si>
    <t>41-105200G</t>
  </si>
  <si>
    <t>EQU CD - Mayor / Generador / Arriendo (G)</t>
  </si>
  <si>
    <t>41-106100A</t>
  </si>
  <si>
    <t>EQU CD - Mayor / Compresor / Propio (A)</t>
  </si>
  <si>
    <t>41-106100G</t>
  </si>
  <si>
    <t>EQU CD - Mayor / Compresor / Propio (G)</t>
  </si>
  <si>
    <t>41-106200A</t>
  </si>
  <si>
    <t>EQU CD - Mayor / Compresor / Arriendo (A)</t>
  </si>
  <si>
    <t>41-106200G</t>
  </si>
  <si>
    <t>EQU CD - Mayor / Compresor / Arriendo (G)</t>
  </si>
  <si>
    <t>41-107100A</t>
  </si>
  <si>
    <t>EQU CD - Mayor / Plataforma Elevadora / Propio (A)</t>
  </si>
  <si>
    <t>41-107100G</t>
  </si>
  <si>
    <t>EQU CD - Mayor / Plataforma Elevadora / Propio (G)</t>
  </si>
  <si>
    <t>41-107200A</t>
  </si>
  <si>
    <t>EQU CD - Mayor / Plataforma Elevadora / Arriendo (A)</t>
  </si>
  <si>
    <t>41-107200G</t>
  </si>
  <si>
    <t>EQU CD - Mayor / Plataforma Elevadora / Arriendo (G)</t>
  </si>
  <si>
    <t>41-108100A</t>
  </si>
  <si>
    <t>EQU CD - Mayor / Monta Cargas. / Propio (A)</t>
  </si>
  <si>
    <t>41-108100G</t>
  </si>
  <si>
    <t>EQU CD - Mayor / Monta Cargas. / Propio (G)</t>
  </si>
  <si>
    <t>41-108200A</t>
  </si>
  <si>
    <t>EQU CD - Mayor / Monta Cargas. / Arriendo (A)</t>
  </si>
  <si>
    <t>41-108200G</t>
  </si>
  <si>
    <t>EQU CD - Mayor / Monta Cargas. / Arriendo (G)</t>
  </si>
  <si>
    <t>41-198100A</t>
  </si>
  <si>
    <t>EQU CD - Mayor / Gastos de mantención / Propio (A)</t>
  </si>
  <si>
    <t>41-198100G</t>
  </si>
  <si>
    <t>EQU CD - Mayor / Gastos de mantención / Propio (G)</t>
  </si>
  <si>
    <t>41-198200A</t>
  </si>
  <si>
    <t>EQU CD - Mayor / Gastos de mantención / Arriendo (A)</t>
  </si>
  <si>
    <t>41-198200G</t>
  </si>
  <si>
    <t>EQU CD - Mayor / Gastos de mantención / Arriendo (G)</t>
  </si>
  <si>
    <t>41-199100A</t>
  </si>
  <si>
    <t>EQU CD - Mayor / Otros Equipos. / Propio (A)</t>
  </si>
  <si>
    <t>41-199100G</t>
  </si>
  <si>
    <t>EQU CD - Mayor / Otros Equipos. / Propio (G)</t>
  </si>
  <si>
    <t>41-199200A</t>
  </si>
  <si>
    <t>EQU CD - Mayor / Otros Equipos. / Arriendo (A)</t>
  </si>
  <si>
    <t>41-199200G</t>
  </si>
  <si>
    <t>EQU CD - Mayor / Otros Equipos. / Arriendo (G)</t>
  </si>
  <si>
    <t>41-250100A</t>
  </si>
  <si>
    <t>EQU CD - Menor / Maquinas Soldadoras / Propio (A)</t>
  </si>
  <si>
    <t>41-250100G</t>
  </si>
  <si>
    <t>EQU CD - Menor / Maquinas Soldadoras / Propio (G)</t>
  </si>
  <si>
    <t>41-250200A</t>
  </si>
  <si>
    <t>EQU CD - Menor / Maquinas Soldadoras / Arriendo (A)</t>
  </si>
  <si>
    <t>41-250200G</t>
  </si>
  <si>
    <t>EQU CD - Menor / Maquinas Soldadoras / Arriendo (G)</t>
  </si>
  <si>
    <t>41-251100A</t>
  </si>
  <si>
    <t>EQU CD - Menor / Elementos De Izaje / Propio (A)</t>
  </si>
  <si>
    <t>41-251100G</t>
  </si>
  <si>
    <t>EQU CD - Menor / Elementos De Izaje / Propio (G)</t>
  </si>
  <si>
    <t>41-251200A</t>
  </si>
  <si>
    <t>EQU CD - Menor / Elementos De Izaje / Arriendo (A)</t>
  </si>
  <si>
    <t>41-251200G</t>
  </si>
  <si>
    <t>EQU CD - Menor / Elementos De Izaje / Arriendo (G)</t>
  </si>
  <si>
    <t>41-252100A</t>
  </si>
  <si>
    <t>EQU CD - Menor / Andamios / Propio (A)</t>
  </si>
  <si>
    <t>41-252100G</t>
  </si>
  <si>
    <t>EQU CD - Menor / Andamios / Propio (G)</t>
  </si>
  <si>
    <t>41-252200A</t>
  </si>
  <si>
    <t>EQU CD - Menor / Andamios / Arriendo (A)</t>
  </si>
  <si>
    <t>41-252200G</t>
  </si>
  <si>
    <t>EQU CD - Menor / Andamios / Arriendo (G)</t>
  </si>
  <si>
    <t>41-298100A</t>
  </si>
  <si>
    <t>EQU CD - Menor / Gastos de mantención / Propio (A)</t>
  </si>
  <si>
    <t>41-298100G</t>
  </si>
  <si>
    <t>EQU CD - Menor / Gastos de mantención / Propio (G)</t>
  </si>
  <si>
    <t>41-298200A</t>
  </si>
  <si>
    <t>EQU CD - Menor / Gastos de mantención / Arriendo (A)</t>
  </si>
  <si>
    <t>41-298200G</t>
  </si>
  <si>
    <t>EQU CD - Menor / Gastos de mantención / Arriendo (G)</t>
  </si>
  <si>
    <t>41-299100A</t>
  </si>
  <si>
    <t>EQU CD - Menor / Otros Equipos  / Propio (A)</t>
  </si>
  <si>
    <t>41-299100G</t>
  </si>
  <si>
    <t>EQU CD - Menor / Otros Equipos  / Propio (G)</t>
  </si>
  <si>
    <t>41-299200A</t>
  </si>
  <si>
    <t>EQU CD - Menor / Otros Equipos  / Arriendo (A)</t>
  </si>
  <si>
    <t>41-299200G</t>
  </si>
  <si>
    <t>EQU CD - Menor / Otros Equipos  / Arriendo (G)</t>
  </si>
  <si>
    <t>41-396100A</t>
  </si>
  <si>
    <t>EQU CD - Combustibles / Bencina / Bencina (A)</t>
  </si>
  <si>
    <t>41-396100G</t>
  </si>
  <si>
    <t>EQU CD - Combustibles / Bencina / Bencina (G)</t>
  </si>
  <si>
    <t>41-397100A</t>
  </si>
  <si>
    <t>EQU CD - Combustibles / Petroleo / Petroleo (A)</t>
  </si>
  <si>
    <t>41-397100G</t>
  </si>
  <si>
    <t>EQU CD - Combustibles / Petroleo / Petroleo (G)</t>
  </si>
  <si>
    <t>41-397101A</t>
  </si>
  <si>
    <t>EQU CD - Combustibles / Reembolsable</t>
  </si>
  <si>
    <t>41-397101G</t>
  </si>
  <si>
    <t>41-495100A</t>
  </si>
  <si>
    <t>EQU CD - Fletes / Fletes / Fletes (A)</t>
  </si>
  <si>
    <t>41-495100G</t>
  </si>
  <si>
    <t>EQU CD - Fletes / Fletes / Fletes (G)</t>
  </si>
  <si>
    <t>41-594100A</t>
  </si>
  <si>
    <t>EQU CD - Certific. de Equipos / Certificación / Todos (A)</t>
  </si>
  <si>
    <t>41-594100G</t>
  </si>
  <si>
    <t>EQU CD - Certific. de Equipos / Certificación / Todos (G)</t>
  </si>
  <si>
    <t>42-253100A</t>
  </si>
  <si>
    <t>EQU CI - Menor / Equipo topográfico / Propio (A)</t>
  </si>
  <si>
    <t>42-253100G</t>
  </si>
  <si>
    <t>EQU CI - Menor / Equipo topográfico / Propio (G)</t>
  </si>
  <si>
    <t>42-253200A</t>
  </si>
  <si>
    <t>EQU CI - Menor / Equipo topográfico / Arriendo (A)</t>
  </si>
  <si>
    <t>42-253200G</t>
  </si>
  <si>
    <t>EQU CI - Menor / Equipo topográfico / Arriendo (G)</t>
  </si>
  <si>
    <t>42-254100A</t>
  </si>
  <si>
    <t>EQU CI - Menor / Camioneta / Propio (A)</t>
  </si>
  <si>
    <t>42-254100G</t>
  </si>
  <si>
    <t>EQU CI - Menor / Camioneta / Propio (G)(MANTENCION)</t>
  </si>
  <si>
    <t>42-254102G</t>
  </si>
  <si>
    <t>EQU CI - Menor / Camioneta / Depreciacion</t>
  </si>
  <si>
    <t>42-254200A</t>
  </si>
  <si>
    <t>EQU CI - Menor / Camioneta / Arriendo (A)</t>
  </si>
  <si>
    <t>42-254200G</t>
  </si>
  <si>
    <t>EQU CI - Menor / Camioneta / Arriendo (G)</t>
  </si>
  <si>
    <t>42-255100A</t>
  </si>
  <si>
    <t>EQU CI - Menor / Buses y VAN / Propio (A)</t>
  </si>
  <si>
    <t>42-255100G</t>
  </si>
  <si>
    <t>EQU CI - Menor / Buses y VAN / Propio (G)</t>
  </si>
  <si>
    <t>EQU CI - Menor / Buses y VAN / Propio (G) / DEP MAQ</t>
  </si>
  <si>
    <t>EQU CI - Menor / Buses y VAN / Propio (G) / DEP MAQ LEASING</t>
  </si>
  <si>
    <t>42-255200A</t>
  </si>
  <si>
    <t>EQU CI - Menor / Buses y VAN / Arriendo (A)</t>
  </si>
  <si>
    <t>42-255200G</t>
  </si>
  <si>
    <t>EQU CI - Menor / Buses y VAN / Arriendo (G)</t>
  </si>
  <si>
    <t>42-256100A</t>
  </si>
  <si>
    <t>EQU CI - Menor / Ambulancia / Propio (A)</t>
  </si>
  <si>
    <t>42-256100G</t>
  </si>
  <si>
    <t>EQU CI - Menor / Ambulancia / Propio (G)</t>
  </si>
  <si>
    <t>42-256200A</t>
  </si>
  <si>
    <t>EQU CI - Menor / Ambulancia / Arriendo (A)</t>
  </si>
  <si>
    <t>42-256200G</t>
  </si>
  <si>
    <t>EQU CI - Menor / Ambulancia / Arriendo (G)</t>
  </si>
  <si>
    <t>42-299100A</t>
  </si>
  <si>
    <t>EQU CI - Menor / Otros Equipos / Propio (A)</t>
  </si>
  <si>
    <t>42-299100G</t>
  </si>
  <si>
    <t>EQU CI - Menor / Otros Equipos / Propio (G)</t>
  </si>
  <si>
    <t>42-299200A</t>
  </si>
  <si>
    <t>EQU CI - Menor / Otros Equipos / Arriendo (A)</t>
  </si>
  <si>
    <t>42-299200G</t>
  </si>
  <si>
    <t>EQU CI - Menor / Otros Equipos / Arriendo (G)</t>
  </si>
  <si>
    <t>42-299301A</t>
  </si>
  <si>
    <t>EQU CI - Menor / Otros Equipos / Reembolsable</t>
  </si>
  <si>
    <t>42-299301G</t>
  </si>
  <si>
    <t>42-393100A</t>
  </si>
  <si>
    <t>EQU CI - Combustibles / Gas / Gas (A)</t>
  </si>
  <si>
    <t>42-393100G</t>
  </si>
  <si>
    <t>EQU CI - Combustibles / Gas / Gas (G)</t>
  </si>
  <si>
    <t>42-396100A</t>
  </si>
  <si>
    <t>EQU CI - Combustibles / Bencina / Bencina (A)</t>
  </si>
  <si>
    <t>42-396100G</t>
  </si>
  <si>
    <t>EQU CI - Combustibles / Bencina / Bencina (G)</t>
  </si>
  <si>
    <t>42-396101A</t>
  </si>
  <si>
    <t>EQU CI - Combustibles / Bencina / Reembolsable</t>
  </si>
  <si>
    <t>42-396101G</t>
  </si>
  <si>
    <t>42-397100A</t>
  </si>
  <si>
    <t>EQU CI - Combustibles / Petroleo / Petroleo (A)</t>
  </si>
  <si>
    <t>42-397100G</t>
  </si>
  <si>
    <t>EQU CI - Combustibles / Petroleo / Petroleo (G)</t>
  </si>
  <si>
    <t>42-401107G</t>
  </si>
  <si>
    <t>51-010100A</t>
  </si>
  <si>
    <t>PHH CD - Seguridad / Seguridad (A)</t>
  </si>
  <si>
    <t>51-010100G</t>
  </si>
  <si>
    <t>PHH CD - Seguridad / Seguridad (G)</t>
  </si>
  <si>
    <t>51-010101A</t>
  </si>
  <si>
    <t>PHH CD - Seguridad /Reembolsable</t>
  </si>
  <si>
    <t>51-010101G</t>
  </si>
  <si>
    <t>51-020100A</t>
  </si>
  <si>
    <t>PHH CD - Materiales de Consumo / Materiales de Consumo (A)</t>
  </si>
  <si>
    <t>51-020100G</t>
  </si>
  <si>
    <t>PHH CD - Materiales de Consumo / Materiales de Consumo (G)</t>
  </si>
  <si>
    <t>51-020101A</t>
  </si>
  <si>
    <t>PHH CD - Materiales de Consumo / Reembolsable</t>
  </si>
  <si>
    <t>51-020101G</t>
  </si>
  <si>
    <t>51-030100A</t>
  </si>
  <si>
    <t>PHH CD - Herramienta Menor / Herramienta Menor (A)</t>
  </si>
  <si>
    <t>51-030100G</t>
  </si>
  <si>
    <t>PHH CD - Herramienta Menor / Herramienta Menor (G)</t>
  </si>
  <si>
    <t>51-030101A</t>
  </si>
  <si>
    <t>PHH CD - Herramienta Menor / Reembolsable</t>
  </si>
  <si>
    <t>51-030101G</t>
  </si>
  <si>
    <t>PHH CD - Movilización / Movilización (A)</t>
  </si>
  <si>
    <t>51-040100G</t>
  </si>
  <si>
    <t>PHH CD - Movilización / Movilización (G)</t>
  </si>
  <si>
    <t>51-040101A</t>
  </si>
  <si>
    <t>PHH CD - Movilización / Reembolsable</t>
  </si>
  <si>
    <t>51-040101G</t>
  </si>
  <si>
    <t>51-040200A</t>
  </si>
  <si>
    <t>PHH CD - Movilización / Movilización Interna (A)</t>
  </si>
  <si>
    <t>51-040200G</t>
  </si>
  <si>
    <t>PHH CD - Movilización / Movilización Interna (G)</t>
  </si>
  <si>
    <t>51-050100G</t>
  </si>
  <si>
    <t>PHH CD - Alimentación / Alimentación (G)</t>
  </si>
  <si>
    <t>51-050101A</t>
  </si>
  <si>
    <t>PHH CD - Alimentación / Reembolsable</t>
  </si>
  <si>
    <t>51-050101G</t>
  </si>
  <si>
    <t>51-060100A</t>
  </si>
  <si>
    <t>PHH CD - Art. Oficina / Art. Oficina (A)</t>
  </si>
  <si>
    <t>51-060100G</t>
  </si>
  <si>
    <t>PHH CD - Art. Oficina / Art. Oficina (G)</t>
  </si>
  <si>
    <t>51-060101A</t>
  </si>
  <si>
    <t>PHH CD - Art. Oficina / Reembolsable</t>
  </si>
  <si>
    <t>51-060101G</t>
  </si>
  <si>
    <t>51-070100A</t>
  </si>
  <si>
    <t>51-070100G</t>
  </si>
  <si>
    <t>51-080100A</t>
  </si>
  <si>
    <t>PHH CD - Pensión y Alojamiento / Pensión y Alojamiento (A)</t>
  </si>
  <si>
    <t>51-080100G</t>
  </si>
  <si>
    <t>PHH CD - Pensión y Alojamiento / Pensión y Alojamiento (G)</t>
  </si>
  <si>
    <t>62-010100A</t>
  </si>
  <si>
    <t>62-010301A</t>
  </si>
  <si>
    <t>62-010301G</t>
  </si>
  <si>
    <t>62-020100A</t>
  </si>
  <si>
    <t>IFA CI - Permisos De Construcción / Todos (A)</t>
  </si>
  <si>
    <t>62-020100G</t>
  </si>
  <si>
    <t>62-030100G</t>
  </si>
  <si>
    <t>IFA CI - Materiales / Todos (G)</t>
  </si>
  <si>
    <t>62-040100A</t>
  </si>
  <si>
    <t>IFA CI - Mobiliario / Todos (A)</t>
  </si>
  <si>
    <t>62-040100G</t>
  </si>
  <si>
    <t>IFA CI - Mobiliario / Todos (G)</t>
  </si>
  <si>
    <t>Baños Químicos</t>
  </si>
  <si>
    <t>62-050100A</t>
  </si>
  <si>
    <t>IFA CI - Baños Químicos / Todos (A)</t>
  </si>
  <si>
    <t>62-050100G</t>
  </si>
  <si>
    <t>IFA CI - Baños Químicos / Todos (G)</t>
  </si>
  <si>
    <t>62-060100A</t>
  </si>
  <si>
    <t>IFA CI - Energía Eléctrica - Generadores / Todos (A)</t>
  </si>
  <si>
    <t>62-060100G</t>
  </si>
  <si>
    <t>IFA CI - Energía Eléctrica - Generadores / Todos (G)</t>
  </si>
  <si>
    <t>62-070100A</t>
  </si>
  <si>
    <t>IFA CI - Containers / Todos (A)</t>
  </si>
  <si>
    <t>62-070100G</t>
  </si>
  <si>
    <t>IFA CI - Containers / Todos (G)</t>
  </si>
  <si>
    <t>62-080100A</t>
  </si>
  <si>
    <t>IFA CI - Servicios / Servicios (A)</t>
  </si>
  <si>
    <t>62-080100G</t>
  </si>
  <si>
    <t>IFA CI - Servicios / Servicios (G)</t>
  </si>
  <si>
    <t>62-080200A</t>
  </si>
  <si>
    <t>IFA CI - Servicios / Suministro Agua Potable (A)</t>
  </si>
  <si>
    <t>62-080200G</t>
  </si>
  <si>
    <t>IFA CI - Servicios / Suministro Agua Potable (G)</t>
  </si>
  <si>
    <t>62-090100A</t>
  </si>
  <si>
    <t>IFA CI - Tableros Eléctricos / Todos (A)</t>
  </si>
  <si>
    <t>62-090100G</t>
  </si>
  <si>
    <t>IFA CI - Tableros Eléctricos / Todos (G)</t>
  </si>
  <si>
    <t>62-100100A</t>
  </si>
  <si>
    <t>IFA CI - Letreros y Señaléticas / Todos (A)</t>
  </si>
  <si>
    <t>62-100100G</t>
  </si>
  <si>
    <t>IFA CI - Letreros y Señaléticas / Todos (G)</t>
  </si>
  <si>
    <t>62-110100A</t>
  </si>
  <si>
    <t>IFA CI - Fletes / Todos (A)</t>
  </si>
  <si>
    <t>62-110100G</t>
  </si>
  <si>
    <t>IFA CI - Fletes / Todos (G)</t>
  </si>
  <si>
    <t>62-120100A</t>
  </si>
  <si>
    <t>IFA CI - Combustibles / Petroleo (A)</t>
  </si>
  <si>
    <t>62-120100G</t>
  </si>
  <si>
    <t>IFA CI - Combustibles / Petroleo (G)</t>
  </si>
  <si>
    <t>62-120200A</t>
  </si>
  <si>
    <t>IFA CI - Combustibles / Bencina (A)</t>
  </si>
  <si>
    <t>62-120200G</t>
  </si>
  <si>
    <t>IFA CI - Combustibles / Bencina (G)</t>
  </si>
  <si>
    <t>72-010101G</t>
  </si>
  <si>
    <t>72-010515G</t>
  </si>
  <si>
    <t>72-010702G</t>
  </si>
  <si>
    <t>72-010705G</t>
  </si>
  <si>
    <t>72-020103G</t>
  </si>
  <si>
    <t>72-020104G</t>
  </si>
  <si>
    <t>72-020105G</t>
  </si>
  <si>
    <t>72-101010A</t>
  </si>
  <si>
    <t>GAS CI - De obra / Telecomunic. / Telefonía fija (A)</t>
  </si>
  <si>
    <t>72-101010G</t>
  </si>
  <si>
    <t>GAS CI - De obra / Telecomunic. / Telefonía fija (G)</t>
  </si>
  <si>
    <t>72-101020A</t>
  </si>
  <si>
    <t>GAS CI - De obra / Telecomunic. / Telefonía celular (A)</t>
  </si>
  <si>
    <t>72-101020G</t>
  </si>
  <si>
    <t>GAS CI - De obra / Telecomunic. / Telefonía celular (G)</t>
  </si>
  <si>
    <t>72-101030G</t>
  </si>
  <si>
    <t>GAS CI - De obra / Telecomunic. / Enlaces internet (G)</t>
  </si>
  <si>
    <t>72-101040A</t>
  </si>
  <si>
    <t>GAS CI - De obra / Telecomunic. / Equipos de Radio (A)</t>
  </si>
  <si>
    <t>72-101040G</t>
  </si>
  <si>
    <t>GAS CI - De obra / Telecomunic. / Equipos de Radio (G)</t>
  </si>
  <si>
    <t>72-102010G</t>
  </si>
  <si>
    <t>GAS CI - De obra / Computación / Computadores (G)</t>
  </si>
  <si>
    <t>72-102020A</t>
  </si>
  <si>
    <t>GAS CI - De obra / Computación / Impresoras y plott (A)</t>
  </si>
  <si>
    <t>72-102020G</t>
  </si>
  <si>
    <t>GAS CI - De obra / Computación / Impresoras y plott (G)</t>
  </si>
  <si>
    <t>72-102030A</t>
  </si>
  <si>
    <t>GAS CI - De obra / Computación / Servidores y redes (A)</t>
  </si>
  <si>
    <t>72-102030G</t>
  </si>
  <si>
    <t>GAS CI - De obra / Computación / Servidores y redes (G)</t>
  </si>
  <si>
    <t>72-102040A</t>
  </si>
  <si>
    <t>GAS CI - De obra / Computación / Software estándar -Office (</t>
  </si>
  <si>
    <t>72-102040G</t>
  </si>
  <si>
    <t>72-102050A</t>
  </si>
  <si>
    <t>GAS CI - De obra / Computación / Software técnico (A)</t>
  </si>
  <si>
    <t>72-102050G</t>
  </si>
  <si>
    <t>GAS CI - De obra / Computación / Software técnico (G)</t>
  </si>
  <si>
    <t>72-103010A</t>
  </si>
  <si>
    <t>GAS CI - De obra / Gastos Ofici. / Fotoc. Planos y Especifi.</t>
  </si>
  <si>
    <t>72-103010G</t>
  </si>
  <si>
    <t>72-103020A</t>
  </si>
  <si>
    <t>GAS CI - De obra / Gastos Ofici. / Café. y Agua Potab. (A)</t>
  </si>
  <si>
    <t>72-103020G</t>
  </si>
  <si>
    <t>GAS CI - De obra / Gastos Ofici. / Café. y Agua Potab. (G)</t>
  </si>
  <si>
    <t>72-103030A</t>
  </si>
  <si>
    <t>GAS CI - De obra / Gastos Ofici. / Mant. y Aseo (A)</t>
  </si>
  <si>
    <t>72-103030G</t>
  </si>
  <si>
    <t>GAS CI - De obra / Gastos Ofici. / Mant. y Aseo (G)</t>
  </si>
  <si>
    <t>72-103990A</t>
  </si>
  <si>
    <t>GAS CI - De obra / Gastos Ofici. / Otros (A)</t>
  </si>
  <si>
    <t>72-103990G</t>
  </si>
  <si>
    <t>GAS CI - De obra / Gastos Ofici. / Otros (G)</t>
  </si>
  <si>
    <t>72-104010A</t>
  </si>
  <si>
    <t>GAS CI - De obra / Elemento seguridad Indirectos / Todos (A)</t>
  </si>
  <si>
    <t>72-104010G</t>
  </si>
  <si>
    <t>GAS CI - De obra / Elemento seguridad Indirectos / Todos (G)</t>
  </si>
  <si>
    <t>72-105010A</t>
  </si>
  <si>
    <t>GAS CI - De obra / Gastos contratación / Todos (A)</t>
  </si>
  <si>
    <t>72-105010G</t>
  </si>
  <si>
    <t>GAS CI - De obra / Gastos contratación / Todos (G)</t>
  </si>
  <si>
    <t>72-105600G</t>
  </si>
  <si>
    <t>CD / Gastos por Caja Chica (G)</t>
  </si>
  <si>
    <t>72-106010A</t>
  </si>
  <si>
    <t>GAS CI - De obra / Calific. Soldadores y Procs. / Todos (A)</t>
  </si>
  <si>
    <t>72-106010G</t>
  </si>
  <si>
    <t>Fletes Generales</t>
  </si>
  <si>
    <t>GAS CI - De obra / Fletes generales de Obra / Todos (A)</t>
  </si>
  <si>
    <t>72-107010G</t>
  </si>
  <si>
    <t>GAS CI - De obra / Fletes generales de Obra / Todos (G)</t>
  </si>
  <si>
    <t>72-108010A</t>
  </si>
  <si>
    <t>GAS CI - De obra / Alimentación M. de Obra Indir. / Todos (A</t>
  </si>
  <si>
    <t>72-108010G</t>
  </si>
  <si>
    <t>GAS CI - De obra / Alimentación M. de Obra Indir. / Todos (G</t>
  </si>
  <si>
    <t>72-109010A</t>
  </si>
  <si>
    <t>GAS CI - De obra / Vigilancia / Todos (A)</t>
  </si>
  <si>
    <t>72-109010G</t>
  </si>
  <si>
    <t>GAS CI - De obra / Vigilancia / Todos (G)</t>
  </si>
  <si>
    <t>72-110010A</t>
  </si>
  <si>
    <t>GAS CI - De obra / Visitas / Todos (A)</t>
  </si>
  <si>
    <t>72-110010G</t>
  </si>
  <si>
    <t>GAS CI - De obra / Visitas / Todos (G)</t>
  </si>
  <si>
    <t>72-111010A</t>
  </si>
  <si>
    <t>GAS CI - De obra / Estacionamientos y peajes / Todos (A)</t>
  </si>
  <si>
    <t>72-111010G</t>
  </si>
  <si>
    <t>GAS CI - De obra / Estacionamientos y peajes / Todos (G)</t>
  </si>
  <si>
    <t>72-112010A</t>
  </si>
  <si>
    <t>GAS CI - De obra / De Representación / Todos (A)</t>
  </si>
  <si>
    <t>72-112010G</t>
  </si>
  <si>
    <t>GAS CI - De obra / De Representación / Todos (G)</t>
  </si>
  <si>
    <t>72-199010A</t>
  </si>
  <si>
    <t>GAS CI - De obra / Otros gastos generales / Todos (A)</t>
  </si>
  <si>
    <t>72-199010G</t>
  </si>
  <si>
    <t>GAS CI - De obra / Otros gastos generales / Todos (G)</t>
  </si>
  <si>
    <t>72-201011A</t>
  </si>
  <si>
    <t>72-203010G</t>
  </si>
  <si>
    <t>72-304018G</t>
  </si>
  <si>
    <t>72-403099G</t>
  </si>
  <si>
    <t>72-601010g</t>
  </si>
  <si>
    <t>72-601011G</t>
  </si>
  <si>
    <t>72-602010G</t>
  </si>
  <si>
    <t>72-607070A</t>
  </si>
  <si>
    <t>72-607070G</t>
  </si>
  <si>
    <t>Gastos - Proyectos / Comisiones Pagadas a bancos (G)</t>
  </si>
  <si>
    <t>72-901097G</t>
  </si>
  <si>
    <t>72-999999G</t>
  </si>
  <si>
    <t>FACTURAS DIRECTO A GASTO</t>
  </si>
  <si>
    <t>72-A01010A</t>
  </si>
  <si>
    <t>72-A01010G</t>
  </si>
  <si>
    <t>GAS CI - Of. Central / Gastos Financieros / Todos (G)</t>
  </si>
  <si>
    <t>72-A01110G</t>
  </si>
  <si>
    <t>GAS CI - Of. Central / Gastos Financieros / Factoring (G)</t>
  </si>
  <si>
    <t>72-A02010A</t>
  </si>
  <si>
    <t>72-A02010G</t>
  </si>
  <si>
    <t>GAS CI - Of. Central / Boleta Garantia / Todos (G)</t>
  </si>
  <si>
    <t>72-A03010A</t>
  </si>
  <si>
    <t>GAS CI - Of. Central / Gastos por Seguros / Todos (A)</t>
  </si>
  <si>
    <t>72-A03010G</t>
  </si>
  <si>
    <t>GAS CI - Of. Central / Gastos por Seguros / Todos (G)</t>
  </si>
  <si>
    <t>72-A04010A</t>
  </si>
  <si>
    <t>GAS CI - Of. Central / Oficina Central / Todos (A)</t>
  </si>
  <si>
    <t>72-A04010G</t>
  </si>
  <si>
    <t>GAS CI - Of. Central / Oficina Central / Todos (G)</t>
  </si>
  <si>
    <t>72-A05010A</t>
  </si>
  <si>
    <t>GAS CI - Of. Central / Imprevistos / Todos (A)</t>
  </si>
  <si>
    <t>72-A05010G</t>
  </si>
  <si>
    <t>GAS CI - Of. Central / Imprevistos / Todos (G)</t>
  </si>
  <si>
    <t>72-A06010A</t>
  </si>
  <si>
    <t>GAS CI - Of. Central / Utilidades / Todos (A)</t>
  </si>
  <si>
    <t>Utilidades</t>
  </si>
  <si>
    <t>72-A06010G</t>
  </si>
  <si>
    <t>GAS CI - Of. Central / Utilidades / Todos (G)</t>
  </si>
  <si>
    <t>72-A08010G</t>
  </si>
  <si>
    <t>72-A09010G</t>
  </si>
  <si>
    <t>GAS CI - Of. Central / Asesorias Honorarios / Todos (G)</t>
  </si>
  <si>
    <t>72-A09020G</t>
  </si>
  <si>
    <t>GAS CI - Of. Central / GG Rechazados/ Todos (G)</t>
  </si>
  <si>
    <t>GAS CI - Of. Central / Ingresos por Reajuste / Todos (G)</t>
  </si>
  <si>
    <t>72-B01010G</t>
  </si>
  <si>
    <t>GAS CI - Bodega / Cobros de Bodega / Todos (G)</t>
  </si>
  <si>
    <t>72-C02010G</t>
  </si>
  <si>
    <t>ING EDP - Partida-Ppt  (C)</t>
  </si>
  <si>
    <t>ING EDP - Partida-Gastos Generales  (C)</t>
  </si>
  <si>
    <t>ING EDP - Partida-Retención  (C)</t>
  </si>
  <si>
    <t>ING EDP - Partida-Utilidad  (C)</t>
  </si>
  <si>
    <t>ING EDP - Partida- Adicional  (C)</t>
  </si>
  <si>
    <t>ING EDP - Partida-Otros  (C)</t>
  </si>
  <si>
    <t>ING EDP - Partida-Retención UF (C)</t>
  </si>
  <si>
    <t>AA-799999G</t>
  </si>
  <si>
    <t>Imputación directo a gastos RESOLUCION 61</t>
  </si>
  <si>
    <t>10-0000-000G</t>
  </si>
  <si>
    <t>Proyecto</t>
  </si>
  <si>
    <t>Categoría</t>
  </si>
  <si>
    <t>Fecha Avance</t>
  </si>
  <si>
    <t>Id. de revisión</t>
  </si>
  <si>
    <t>Produccion acumulada</t>
  </si>
  <si>
    <t>Reajuste Producción</t>
  </si>
  <si>
    <t>Proyección Produccion</t>
  </si>
  <si>
    <t>Costos Cambio Categoría</t>
  </si>
  <si>
    <t>Costo Provisiones</t>
  </si>
  <si>
    <t>Costos Proyección</t>
  </si>
  <si>
    <t>Suma</t>
  </si>
  <si>
    <t>Costos AX</t>
  </si>
  <si>
    <t>Inventario</t>
  </si>
  <si>
    <t>Pedidos no Rec</t>
  </si>
  <si>
    <t>72-201010A</t>
  </si>
  <si>
    <t>72-201010G</t>
  </si>
  <si>
    <t>72-202010A</t>
  </si>
  <si>
    <t>72-202010G</t>
  </si>
  <si>
    <t>72-203010A</t>
  </si>
  <si>
    <r>
      <rPr>
        <b/>
        <sz val="16"/>
        <color rgb="FF000000"/>
        <rFont val="Arial"/>
        <family val="2"/>
      </rPr>
      <t xml:space="preserve">MATRIZ DE PROYECCIONES
</t>
    </r>
    <r>
      <rPr>
        <sz val="12"/>
        <color rgb="FF000000"/>
        <rFont val="Arial"/>
        <family val="2"/>
      </rPr>
      <t xml:space="preserve">Proyecto: </t>
    </r>
    <r>
      <rPr>
        <b/>
        <sz val="12"/>
        <color rgb="FF000000"/>
        <rFont val="Arial"/>
        <family val="2"/>
      </rPr>
      <t xml:space="preserve">0357
</t>
    </r>
    <r>
      <rPr>
        <sz val="12"/>
        <color rgb="FF000000"/>
        <rFont val="Arial"/>
        <family val="2"/>
      </rPr>
      <t xml:space="preserve">Desde </t>
    </r>
    <r>
      <rPr>
        <b/>
        <sz val="12"/>
        <color rgb="FF000000"/>
        <rFont val="Arial"/>
        <family val="2"/>
      </rPr>
      <t>01-01-2010</t>
    </r>
    <r>
      <rPr>
        <sz val="12"/>
        <color rgb="FF000000"/>
        <rFont val="Arial"/>
        <family val="2"/>
      </rPr>
      <t xml:space="preserve"> hasta </t>
    </r>
    <r>
      <rPr>
        <b/>
        <sz val="12"/>
        <color rgb="FF000000"/>
        <rFont val="Arial"/>
        <family val="2"/>
      </rPr>
      <t>31-08-2019</t>
    </r>
  </si>
  <si>
    <t>GRUPO / SUBGRUPO / CATEGORIA</t>
  </si>
  <si>
    <t>PRESU-PUESTO</t>
  </si>
  <si>
    <t>PRODUCCION ACTUAL</t>
  </si>
  <si>
    <r>
      <rPr>
        <b/>
        <sz val="10"/>
        <color rgb="FF000000"/>
        <rFont val="Arial Narrow"/>
        <family val="2"/>
      </rPr>
      <t xml:space="preserve">TOTAL
</t>
    </r>
  </si>
  <si>
    <r>
      <rPr>
        <sz val="10"/>
        <color rgb="FF000000"/>
        <rFont val="Arial Narrow"/>
        <family val="2"/>
      </rPr>
      <t xml:space="preserve">Costos en Inventario
</t>
    </r>
    <r>
      <rPr>
        <sz val="10"/>
        <color rgb="FF000000"/>
        <rFont val="Arial Narrow"/>
        <family val="2"/>
      </rPr>
      <t>(AX)</t>
    </r>
  </si>
  <si>
    <r>
      <rPr>
        <sz val="10"/>
        <color rgb="FF000000"/>
        <rFont val="Arial Narrow"/>
        <family val="2"/>
      </rPr>
      <t xml:space="preserve">Costos en Pedidos no Recibidos
</t>
    </r>
    <r>
      <rPr>
        <sz val="10"/>
        <color rgb="FF000000"/>
        <rFont val="Arial Narrow"/>
        <family val="2"/>
      </rPr>
      <t>(AX)</t>
    </r>
  </si>
  <si>
    <r>
      <rPr>
        <sz val="10"/>
        <color rgb="FF000000"/>
        <rFont val="Arial Narrow"/>
        <family val="2"/>
      </rPr>
      <t xml:space="preserve">Costos por Incurrir
</t>
    </r>
    <r>
      <rPr>
        <sz val="10"/>
        <color rgb="FF000000"/>
        <rFont val="Arial Narrow"/>
        <family val="2"/>
      </rPr>
      <t>Informados</t>
    </r>
  </si>
  <si>
    <r>
      <rPr>
        <b/>
        <sz val="10"/>
        <color rgb="FF000000"/>
        <rFont val="Arial Narrow"/>
        <family val="2"/>
      </rPr>
      <t xml:space="preserve">PRODUCCION
</t>
    </r>
  </si>
  <si>
    <t>RESULTADO</t>
  </si>
  <si>
    <t>CATEGORIAS SIN PPTO</t>
  </si>
  <si>
    <t xml:space="preserve"> - 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</si>
  <si>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 xml:space="preserve"> - 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</si>
  <si>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0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Categoría NULA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</si>
  <si>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Andamios / Andamios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</si>
  <si>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CD / Gastos por Caja Chica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</si>
  <si>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AA-799999G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Imputación directo a gastos RESOLUCION 61</t>
    </r>
  </si>
  <si>
    <t>COSTO DIRECTO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</si>
  <si>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Movimiento de tierra (G) 31010201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</si>
  <si>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Hormigón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</si>
  <si>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Moldaje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</si>
  <si>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Enfierradura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</si>
  <si>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Otros (G)</t>
    </r>
  </si>
  <si>
    <t>03 - Mecanica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</si>
  <si>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11-030800G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Mecánica / Montajes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</si>
  <si>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11-040800G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Cañería / Montajes (G)</t>
    </r>
  </si>
  <si>
    <t>05 - Electricidad &amp; Instrumentacion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</si>
  <si>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11-050800G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Electricidad / Montajes (G)</t>
    </r>
  </si>
  <si>
    <t>10 - Arquitectura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</si>
  <si>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11-010500G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Civil  / Arquitectura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</si>
  <si>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21-010201A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Hormigón / Hormigón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</si>
  <si>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21-010201G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Hormigón / Hormigón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</si>
  <si>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21-010301A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Moldaje / Moldajes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</si>
  <si>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21-010301G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Moldaje / Moldajes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</si>
  <si>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Enfierradura / Varios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</si>
  <si>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Enfierradura / Varios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</si>
  <si>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21-010501A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Arquitectura / Suministro Mat. Arq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</si>
  <si>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21-010501G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Arquitectura / Suministro Mat. Arq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</si>
  <si>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21-011101A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Pernos e Insertos / Pernos e Insertos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</si>
  <si>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21-011101G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Pernos e Insertos / Pernos e Insertos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</si>
  <si>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Otros / Materiales varios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</si>
  <si>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21-019901G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Civil  / Otros / Materiales varios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</si>
  <si>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21-031401A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Soldadura y Gases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</si>
  <si>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21-031401G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Soldadura y Gases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</si>
  <si>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</si>
  <si>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21-039901G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Mecánica / Materiales varios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</si>
  <si>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21-041401A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Soldadura y Gases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</si>
  <si>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21-041401G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Soldadura y Gases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</si>
  <si>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21-042001A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Sumini. Cañería Fitt. y Válvs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</si>
  <si>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21-042001G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Sumini. Cañería Fitt. y Válvs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</si>
  <si>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</si>
  <si>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21-049901G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Cañería / Materiales varios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</si>
  <si>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21-051801A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Soportes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</si>
  <si>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21-051801G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Soportes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</si>
  <si>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21-052101A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Suministro de Cables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</si>
  <si>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21-052101G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Suministro de Cables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</si>
  <si>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21-059901A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Materiales varios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</si>
  <si>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21-059901G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MAT CD - Electricidad / Materiales varios / Todos (G)</t>
    </r>
  </si>
  <si>
    <t>01 - Movilización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</si>
  <si>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51-040100A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Movilización / Movilización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</si>
  <si>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Movilización / Movilización (G)</t>
    </r>
  </si>
  <si>
    <t>02 - Alimentacion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</si>
  <si>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51-050100A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Alimentación / Alimentación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</si>
  <si>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51-050100G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Alimentación / Alimentación (G)</t>
    </r>
  </si>
  <si>
    <t>03 - Cursos y Examenes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</si>
  <si>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contratación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</si>
  <si>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72-105010G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contratación / Todos (G)</t>
    </r>
  </si>
  <si>
    <t>04 - Elem. de Seguridad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</si>
  <si>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51-010100A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Seguridad / Seguridad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</si>
  <si>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Seguridad / Seguridad (G)</t>
    </r>
  </si>
  <si>
    <t>05 - Mat. de Consumo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</si>
  <si>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51-020100A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Materiales de Consumo / Materiales de Consumo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</si>
  <si>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Materiales de Consumo / Materiales de Consumo (G)</t>
    </r>
  </si>
  <si>
    <t>06 - Herramienta Menor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</si>
  <si>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51-030100A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Herramienta Menor / Herramienta Menor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</si>
  <si>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51-030100G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PHH CD - Herramienta Menor / Herramienta Menor (G)</t>
    </r>
  </si>
  <si>
    <t>01 - Equipo Mayor-Grúas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</si>
  <si>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41-101200A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Grúa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</si>
  <si>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41-101200G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Grúa / Arriendo (G)</t>
    </r>
  </si>
  <si>
    <t>02 - Equipo Mayor-Otros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</si>
  <si>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</si>
  <si>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</si>
  <si>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41-102200G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Pluma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</si>
  <si>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41-103200A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Rampla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</si>
  <si>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41-103200G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Camión Rampla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</si>
  <si>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41-104200A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Movimiento De Tierras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</si>
  <si>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41-104200G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Movimiento De Tierras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</si>
  <si>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41-105200A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Generador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</si>
  <si>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41-105200G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Generador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</si>
  <si>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41-106200A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Compresor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</si>
  <si>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41-106200G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Compresor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</si>
  <si>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41-107200A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Plataforma Elevadora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</si>
  <si>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41-107200G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Plataforma Elevadora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</si>
  <si>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</si>
  <si>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Propio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</si>
  <si>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</si>
  <si>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41-199200G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Mayor / Otros Equipos. / Arriendo (G)</t>
    </r>
  </si>
  <si>
    <t>03 - Equipo Menor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</si>
  <si>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41-250200A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Maquinas Soldadoras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</si>
  <si>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Maquinas Soldadoras / Arriendo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</si>
  <si>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41-299200A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Otros Equipos 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</si>
  <si>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41-299200G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Otros Equipos  / Arriendo (G)</t>
    </r>
  </si>
  <si>
    <t>04 - Andamios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</si>
  <si>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41-252200A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Andamios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</si>
  <si>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41-252200G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Menor / Andamios / Arriendo (G)</t>
    </r>
  </si>
  <si>
    <t>05 - Combustibles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</si>
  <si>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41-397100A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Combustibles / Petroleo / Petroleo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</si>
  <si>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41-397100G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Combustibles / Petroleo / Petroleo (G)</t>
    </r>
  </si>
  <si>
    <t>06 - Fletes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</si>
  <si>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41-495100A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Fletes / Fletes / Fletes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</si>
  <si>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41-495100G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CD - Fletes / Fletes / Fletes (G)</t>
    </r>
  </si>
  <si>
    <t>07 - Operador y Rigger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</si>
  <si>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11-120101G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Equipos / Equipos / Operador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</si>
  <si>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11-120102G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CD - Equipos / Equipos / Rigger (G)</t>
    </r>
  </si>
  <si>
    <t>X - SUBCONTRATOS</t>
  </si>
  <si>
    <t>01 - Subcontrato Civil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</si>
  <si>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31-013300A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Civil  / Laboratorio (Resist. hormigón densid.)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</si>
  <si>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31-013300G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Civil  / Laboratorio (Resist. hormigón densid.) (G)</t>
    </r>
  </si>
  <si>
    <t>03 - Subcontrato Mecanica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</si>
  <si>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31-033900A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Empalme Correas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</si>
  <si>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31-033900G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Empalme Correas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</si>
  <si>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31-034000A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Alineamiento Laser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</si>
  <si>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31-034000G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Alineamiento Laser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</si>
  <si>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Limpieza Química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</si>
  <si>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31-034300G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Limpieza Química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</si>
  <si>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31-039900A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Otros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</si>
  <si>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31-039900G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Mecánica / Otros (G)</t>
    </r>
  </si>
  <si>
    <t>04 - Subcontrato Cañeria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</si>
  <si>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31-044600A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END (Radiografías, Tintas Penetrant.)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</si>
  <si>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31-044600G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END (Radiografías, Tintas Penetrant.)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</si>
  <si>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31-045100A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Termofusión Cañería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</si>
  <si>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31-045100G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Cañería / Termofusión Cañería (G)</t>
    </r>
  </si>
  <si>
    <t>05 - Subcontrato Electricidad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</si>
  <si>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31-055300A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Pruebas Equipos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</si>
  <si>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31-055300G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Pruebas Equipos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</si>
  <si>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31-055400A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Llenado de Aceite Transforms.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</si>
  <si>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Llenado de Aceite Transforms.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</si>
  <si>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31-055500A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HI-POT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</si>
  <si>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31-055500G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HI-POT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</si>
  <si>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31-059900A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Otros Subcontratos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</si>
  <si>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31-059900G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Electricidad / Otros Subcontratos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</si>
  <si>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31-065700A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Calibración de Equipos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</si>
  <si>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31-065700G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Calibración de Equipos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</si>
  <si>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31-065800A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Chequeos de Lazo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</si>
  <si>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31-065800G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Instrumentación / Chequeos de Lazo (G)</t>
    </r>
  </si>
  <si>
    <t>06 - Subcontrato Aislacion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</si>
  <si>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31-070800A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Aislación / Montaje Aislación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</si>
  <si>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31-070800G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Aislación / Montaje Aislación (G)</t>
    </r>
  </si>
  <si>
    <t>07 - Subcontrato Caldera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</si>
  <si>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31-084600A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Caldera / END (Radiografs., Tintas Penetrant.)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</si>
  <si>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31-084600G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SUB CD - Caldera / END (Radiografs., Tintas Penetrant.) (G)</t>
    </r>
  </si>
  <si>
    <t>COSTO INDIRECTO</t>
  </si>
  <si>
    <t>01 - Staff Superior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</si>
  <si>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Staff Superior / Staff Superior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</si>
  <si>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12-600100G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Prov. Pers. Planta / PROVAC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</si>
  <si>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12-600200G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Prov. Pers. Planta / PIAS (G)</t>
    </r>
  </si>
  <si>
    <t>02 - Oficina Técnica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</si>
  <si>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Oficina Técnica / Oficina Técnica (G)</t>
    </r>
  </si>
  <si>
    <t>03 - Supervisión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</si>
  <si>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Supervisión / Supervisión (G)</t>
    </r>
  </si>
  <si>
    <t>04 - Administración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</si>
  <si>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Administración / Administración (G)</t>
    </r>
  </si>
  <si>
    <t>05 - Seguridad / Medio Ambiente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</si>
  <si>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12-550100G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Prevención De Riesgos / Prevención De Riesgos (G)</t>
    </r>
  </si>
  <si>
    <t>06 - Control de Calidad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</si>
  <si>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12-560100G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Control De Calidad / Control De Calidad (G)</t>
    </r>
  </si>
  <si>
    <t>07 - Servicios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</si>
  <si>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12-570100G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Servicios / Servicios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</si>
  <si>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12-999999G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MO / Personal Inclusion / (G)</t>
    </r>
  </si>
  <si>
    <t>08 - Topografía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</si>
  <si>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12-590200G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Servicios / Topografía (G)</t>
    </r>
  </si>
  <si>
    <t>09 - Movilización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</si>
  <si>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Movilizacion (A)</t>
    </r>
  </si>
  <si>
    <t>10 - Pensión y Alimentación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</si>
  <si>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12-580400A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Pensión y Aliment. (A)</t>
    </r>
  </si>
  <si>
    <t>01 - Equipos Topográficos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</si>
  <si>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42-253200A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Equipo topográfico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</si>
  <si>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42-253200G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Equipo topográfico / Arriendo (G)</t>
    </r>
  </si>
  <si>
    <t>02 - Camionetas Personal Indirecto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</si>
  <si>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Propio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</si>
  <si>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Propio (G)(MANTENCION)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</si>
  <si>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Arriendo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</si>
  <si>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42-254200G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EQU CI - Menor / Camioneta / Arriendo (G)</t>
    </r>
  </si>
  <si>
    <t>04 - Minibus Indirectos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</si>
  <si>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Movilizacion (G)</t>
    </r>
  </si>
  <si>
    <t>02 - Contenedores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</si>
  <si>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62-070100A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Containers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</si>
  <si>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62-070100G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Containers / Todos (G)</t>
    </r>
  </si>
  <si>
    <t>03 - Estructuras varias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</si>
  <si>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62-030100A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Materiales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</si>
  <si>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62-030100G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Materiales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</si>
  <si>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62-040100A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Mobiliario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</si>
  <si>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62-040100G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Mobiliario / Todos (G)</t>
    </r>
  </si>
  <si>
    <t>05 - Instalación Eléctrica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</si>
  <si>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62-090100A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Tableros Eléctricos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</si>
  <si>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62-090100G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Tableros Eléctricos / Todos (G)</t>
    </r>
  </si>
  <si>
    <t>06 - Letreros y Señaletica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</si>
  <si>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62-100100A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Letreros y Señaléticas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</si>
  <si>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62-100100G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Letreros y Señaléticas / Todos (G)</t>
    </r>
  </si>
  <si>
    <t>07 - Mano de Obra y Acreditaciones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</si>
  <si>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62-010100A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Mano De Obra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</si>
  <si>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62-010100G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Mano De Obra / Todos (G)</t>
    </r>
  </si>
  <si>
    <t>08 - Permisos De Construccion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</si>
  <si>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62-020100A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Permisos De Construcción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</si>
  <si>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62-020100G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IFA CI - Permisos De Construcción / Todos (G)</t>
    </r>
  </si>
  <si>
    <t>02 - Fletes Generales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</si>
  <si>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72-107010A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Fletes generales de Obra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</si>
  <si>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72-107010G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Fletes generales de Obra / Todos (G)</t>
    </r>
  </si>
  <si>
    <t>04 - Gastos Varios Oficina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</si>
  <si>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Fotoc. Planos y Especifi.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</si>
  <si>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Fotoc. Planos y Especifi.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</si>
  <si>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Café. y Agua Potab.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</si>
  <si>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Café. y Agua Potab.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</si>
  <si>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72-103030A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Mant. y Aseo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</si>
  <si>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72-103030G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Mant. y Aseo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</si>
  <si>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72-103990A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Otros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</si>
  <si>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72-103990G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Gastos Ofici. / Otros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</si>
  <si>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72-199010A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Otros gastos generales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</si>
  <si>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72-199010G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Otros gastos generales / Todos (G)</t>
    </r>
  </si>
  <si>
    <t>05 - Informatica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</si>
  <si>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Computadores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</si>
  <si>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Computadores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</si>
  <si>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Impresoras y plott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</si>
  <si>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Impresoras y plott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</si>
  <si>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72-102040A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estándar -Office (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</si>
  <si>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72-102040G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estándar -Office (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</si>
  <si>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72-102050A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Computación / Software técnico (A)</t>
    </r>
  </si>
  <si>
    <t>07 - Telecomunicaciones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</si>
  <si>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72-101020A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Telefonía celular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</si>
  <si>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72-101020G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Telefonía celular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</si>
  <si>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72-101030A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Enlaces internet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</si>
  <si>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72-101030G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Enlaces internet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</si>
  <si>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72-101040A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Equipos de Radio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</si>
  <si>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72-101040G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Telecomunic. / Equipos de Radio (G)</t>
    </r>
  </si>
  <si>
    <t>08 - Otros GG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</si>
  <si>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72-109010A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Vigilancia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</si>
  <si>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72-109010G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De obra / Vigilancia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</si>
  <si>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72-607070A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Gastos - Proyectos / Comisiones Pagadas a bancos (A)</t>
    </r>
  </si>
  <si>
    <t>10 - Viatico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</si>
  <si>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12-580200A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Alojamiento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</si>
  <si>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12-580400G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MAO CI - Moviliz. y Alojamiento / Pensión y Aliment. (G)</t>
    </r>
  </si>
  <si>
    <t>01 - Boletas de Garantia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</si>
  <si>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72-A02010G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Boleta Garantia / Todos (G)</t>
    </r>
  </si>
  <si>
    <t>02 - Seguros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</si>
  <si>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72-A03010A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por Seguros / Todos (A)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</si>
  <si>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72-A03010G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por Seguros / Todos (G)</t>
    </r>
  </si>
  <si>
    <t>03 - Costo Financiero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</si>
  <si>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72-A01010G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Financieros / Todos (G)</t>
    </r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</si>
  <si>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72-A01110G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Gastos Financieros / Factoring (G)</t>
    </r>
  </si>
  <si>
    <t>01 - Oficina Central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</si>
  <si>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72-A04010G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Oficina Central / Todos (G)</t>
    </r>
  </si>
  <si>
    <t>02 - Imprevistos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</si>
  <si>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72-A05010G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Imprevistos / Todos (G)</t>
    </r>
  </si>
  <si>
    <t>03 - Utilidades</t>
  </si>
  <si>
    <r>
      <rPr>
        <i/>
        <sz val="10"/>
        <color rgb="FF000000"/>
        <rFont val="Arial Narrow"/>
        <family val="2"/>
      </rPr>
      <t xml:space="preserve">     </t>
    </r>
    <r>
      <rPr>
        <i/>
        <sz val="10"/>
        <color rgb="FF000000"/>
        <rFont val="Arial Narrow"/>
        <family val="2"/>
      </rPr>
      <t>72-A06010G</t>
    </r>
    <r>
      <rPr>
        <i/>
        <sz val="10"/>
        <color rgb="FF000000"/>
        <rFont val="Arial Narrow"/>
        <family val="2"/>
      </rPr>
      <t xml:space="preserve"> - </t>
    </r>
    <r>
      <rPr>
        <i/>
        <sz val="10"/>
        <color rgb="FF000000"/>
        <rFont val="Arial Narrow"/>
        <family val="2"/>
      </rPr>
      <t>GAS CI - Of. Central / Utilidades / Todos (G)</t>
    </r>
  </si>
  <si>
    <t>OBRA</t>
  </si>
  <si>
    <t>PRODUCCION SALDO</t>
  </si>
  <si>
    <t>PRODUCCION A TERMINO</t>
  </si>
  <si>
    <t>COSTO REAL
ACUMULADO</t>
  </si>
  <si>
    <t>COSTO
PROYECTADO
DEL SALDO</t>
  </si>
  <si>
    <t>PROYECCION
TOTAL</t>
  </si>
  <si>
    <t>MARGEN ACUMULADO</t>
  </si>
  <si>
    <t>MARGEN
SALDO</t>
  </si>
  <si>
    <t>MARGEN
A TERMINO</t>
  </si>
  <si>
    <t>MARGEN
ESPERADO</t>
  </si>
  <si>
    <t>SOBREMARGEN
ESPERADO</t>
  </si>
  <si>
    <t>Mes</t>
  </si>
  <si>
    <t>Monto Contrato</t>
  </si>
  <si>
    <t>Monto Proyectado</t>
  </si>
  <si>
    <t>Producción</t>
  </si>
  <si>
    <t>Costo Obra</t>
  </si>
  <si>
    <t>Margen Proyectado</t>
  </si>
  <si>
    <t>Margen</t>
  </si>
  <si>
    <t>Costo Proyectado</t>
  </si>
  <si>
    <t>Avance Real</t>
  </si>
  <si>
    <t>Avance Programado</t>
  </si>
  <si>
    <t>Facturacion</t>
  </si>
  <si>
    <t>Contabilidad</t>
  </si>
  <si>
    <t>Resultado Contabilidad</t>
  </si>
  <si>
    <t>Nombre
Proyecto</t>
  </si>
  <si>
    <t>Administrador</t>
  </si>
  <si>
    <t>11-0101-000G</t>
  </si>
  <si>
    <t>11-0102-000G</t>
  </si>
  <si>
    <t>11-0103-000G</t>
  </si>
  <si>
    <t>11-0104-000G</t>
  </si>
  <si>
    <t>11-0105-000G</t>
  </si>
  <si>
    <t>11-0199-000G</t>
  </si>
  <si>
    <t>11-0207-000G</t>
  </si>
  <si>
    <t>11-0208-000G</t>
  </si>
  <si>
    <t>11-0307-000G</t>
  </si>
  <si>
    <t>11-0308-000G</t>
  </si>
  <si>
    <t>11-0407-000G</t>
  </si>
  <si>
    <t>11-0408-000G</t>
  </si>
  <si>
    <t>11-0507-000G</t>
  </si>
  <si>
    <t>11-0508-000G</t>
  </si>
  <si>
    <t>11-0607-000G</t>
  </si>
  <si>
    <t>11-0608-000G</t>
  </si>
  <si>
    <t>11-0701-000G</t>
  </si>
  <si>
    <t>11-0807-000G</t>
  </si>
  <si>
    <t>11-0808-000G</t>
  </si>
  <si>
    <t>11-0907-000G</t>
  </si>
  <si>
    <t>11-0908-000G</t>
  </si>
  <si>
    <t>11-1001-000G</t>
  </si>
  <si>
    <t>11-1101-000G</t>
  </si>
  <si>
    <t>11-1201-000G</t>
  </si>
  <si>
    <t>11-1201-010G</t>
  </si>
  <si>
    <t>11-1201-020G</t>
  </si>
  <si>
    <t>11-1201-030G</t>
  </si>
  <si>
    <t>11-1201-040G</t>
  </si>
  <si>
    <t>11-1307-000G</t>
  </si>
  <si>
    <t>11-1308-000G</t>
  </si>
  <si>
    <t>12-5101-000G</t>
  </si>
  <si>
    <t>12-5201-000G</t>
  </si>
  <si>
    <t>12-5301-000G</t>
  </si>
  <si>
    <t>12-5401-000G</t>
  </si>
  <si>
    <t>12-5501-000G</t>
  </si>
  <si>
    <t>12-5601-000G</t>
  </si>
  <si>
    <t>12-5701-000G</t>
  </si>
  <si>
    <t>12-5902-000G</t>
  </si>
  <si>
    <t>12-6001-000G</t>
  </si>
  <si>
    <t>12-6002-000G</t>
  </si>
  <si>
    <t>12-9999-990G</t>
  </si>
  <si>
    <t>MO / Personal Inclusion / (G)</t>
  </si>
  <si>
    <t>21-0102-010A</t>
  </si>
  <si>
    <t>21-0102-010G</t>
  </si>
  <si>
    <t>21-0102-020A</t>
  </si>
  <si>
    <t>21-0102-020G</t>
  </si>
  <si>
    <t>21-0102-030A</t>
  </si>
  <si>
    <t>21-0102-030G</t>
  </si>
  <si>
    <t>21-0103-010A</t>
  </si>
  <si>
    <t>21-0103-010G</t>
  </si>
  <si>
    <t>21-0104-010A</t>
  </si>
  <si>
    <t>21-0104-010G</t>
  </si>
  <si>
    <t>21-0105-010A</t>
  </si>
  <si>
    <t>21-0105-010G</t>
  </si>
  <si>
    <t>21-0105-990A</t>
  </si>
  <si>
    <t>21-0105-990G</t>
  </si>
  <si>
    <t>21-0111-010A</t>
  </si>
  <si>
    <t>21-0111-010G</t>
  </si>
  <si>
    <t>21-0199-010A</t>
  </si>
  <si>
    <t>21-0199-010G</t>
  </si>
  <si>
    <t>21-0212-010A</t>
  </si>
  <si>
    <t>21-0212-010G</t>
  </si>
  <si>
    <t>21-0213-010A</t>
  </si>
  <si>
    <t>21-0213-010G</t>
  </si>
  <si>
    <t>21-0214-010A</t>
  </si>
  <si>
    <t>21-0214-010G</t>
  </si>
  <si>
    <t>21-0215-010A</t>
  </si>
  <si>
    <t>21-0215-010G</t>
  </si>
  <si>
    <t>21-0299-010A</t>
  </si>
  <si>
    <t>21-0299-010G</t>
  </si>
  <si>
    <t>21-0314-010A</t>
  </si>
  <si>
    <t>21-0314-010G</t>
  </si>
  <si>
    <t>21-0317-010A</t>
  </si>
  <si>
    <t>21-0317-010G</t>
  </si>
  <si>
    <t>21-0318-010A</t>
  </si>
  <si>
    <t>21-0318-010G</t>
  </si>
  <si>
    <t>21-0319-010A</t>
  </si>
  <si>
    <t>21-0319-010G</t>
  </si>
  <si>
    <t>21-0399-010A</t>
  </si>
  <si>
    <t>21-0399-010G</t>
  </si>
  <si>
    <t>21-0414-010A</t>
  </si>
  <si>
    <t>21-0414-010G</t>
  </si>
  <si>
    <t>21-0418-010A</t>
  </si>
  <si>
    <t>21-0418-010G</t>
  </si>
  <si>
    <t>21-0419-010A</t>
  </si>
  <si>
    <t>21-0419-010G</t>
  </si>
  <si>
    <t>21-0420-010A</t>
  </si>
  <si>
    <t>21-0420-010G</t>
  </si>
  <si>
    <t>21-0499-010A</t>
  </si>
  <si>
    <t>21-0499-010G</t>
  </si>
  <si>
    <t>21-0514-010A</t>
  </si>
  <si>
    <t>21-0514-010G</t>
  </si>
  <si>
    <t>21-0517-010A</t>
  </si>
  <si>
    <t>21-0517-010G</t>
  </si>
  <si>
    <t>21-0518-010A</t>
  </si>
  <si>
    <t>21-0518-010G</t>
  </si>
  <si>
    <t>21-0521-010A</t>
  </si>
  <si>
    <t>21-0521-010G</t>
  </si>
  <si>
    <t>21-0522-010A</t>
  </si>
  <si>
    <t>21-0522-010G</t>
  </si>
  <si>
    <t>21-0523-010A</t>
  </si>
  <si>
    <t>21-0523-010G</t>
  </si>
  <si>
    <t>21-0599-010A</t>
  </si>
  <si>
    <t>21-0599-010G</t>
  </si>
  <si>
    <t>21-0614-010A</t>
  </si>
  <si>
    <t>21-0614-010G</t>
  </si>
  <si>
    <t>21-0617-010A</t>
  </si>
  <si>
    <t>21-0617-010G</t>
  </si>
  <si>
    <t>21-0618-010A</t>
  </si>
  <si>
    <t>21-0618-010G</t>
  </si>
  <si>
    <t>21-0621-010A</t>
  </si>
  <si>
    <t>21-0621-010G</t>
  </si>
  <si>
    <t>21-0622-010A</t>
  </si>
  <si>
    <t>21-0622-010G</t>
  </si>
  <si>
    <t>21-0623-010A</t>
  </si>
  <si>
    <t>21-0623-010G</t>
  </si>
  <si>
    <t>21-0630-010A</t>
  </si>
  <si>
    <t>21-0630-010G</t>
  </si>
  <si>
    <t>21-0699-010A</t>
  </si>
  <si>
    <t>21-0699-010G</t>
  </si>
  <si>
    <t>21-0724-010A</t>
  </si>
  <si>
    <t>21-0724-010G</t>
  </si>
  <si>
    <t>21-0725-010A</t>
  </si>
  <si>
    <t>21-0725-010G</t>
  </si>
  <si>
    <t>21-0799-010A</t>
  </si>
  <si>
    <t>21-0799-010G</t>
  </si>
  <si>
    <t>21-0814-010A</t>
  </si>
  <si>
    <t>21-0814-010G</t>
  </si>
  <si>
    <t>21-0826-010A</t>
  </si>
  <si>
    <t>21-0826-010G</t>
  </si>
  <si>
    <t>21-0899-010A</t>
  </si>
  <si>
    <t>21-0899-010G</t>
  </si>
  <si>
    <t>21-0914-010A</t>
  </si>
  <si>
    <t>21-0914-010G</t>
  </si>
  <si>
    <t>21-0918-010A</t>
  </si>
  <si>
    <t>21-0918-010G</t>
  </si>
  <si>
    <t>21-0919-010A</t>
  </si>
  <si>
    <t>21-0919-010G</t>
  </si>
  <si>
    <t>21-0927-010A</t>
  </si>
  <si>
    <t>21-0927-010G</t>
  </si>
  <si>
    <t>21-0999-010A</t>
  </si>
  <si>
    <t>21-0999-010G</t>
  </si>
  <si>
    <t>21-1314-010A</t>
  </si>
  <si>
    <t>21-1314-010G</t>
  </si>
  <si>
    <t>21-1319-010A</t>
  </si>
  <si>
    <t>21-1319-010G</t>
  </si>
  <si>
    <t>21-1328-010A</t>
  </si>
  <si>
    <t>21-1328-010G</t>
  </si>
  <si>
    <t>21-1399-010A</t>
  </si>
  <si>
    <t>21-1399-010G</t>
  </si>
  <si>
    <t>21-9730-010A</t>
  </si>
  <si>
    <t>21-9730-010G</t>
  </si>
  <si>
    <t>21-9801-010A</t>
  </si>
  <si>
    <t>21-9801-010G</t>
  </si>
  <si>
    <t>21-9901-010A</t>
  </si>
  <si>
    <t>21-9901-010G</t>
  </si>
  <si>
    <t>31-0101-000A</t>
  </si>
  <si>
    <t>31-0101-000G</t>
  </si>
  <si>
    <t>31-0102-000A</t>
  </si>
  <si>
    <t>31-0102-000G</t>
  </si>
  <si>
    <t>31-0103-000A</t>
  </si>
  <si>
    <t>31-0103-000G</t>
  </si>
  <si>
    <t>31-0104-000A</t>
  </si>
  <si>
    <t>31-0104-000G</t>
  </si>
  <si>
    <t>31-0105-000A</t>
  </si>
  <si>
    <t>31-0105-000G</t>
  </si>
  <si>
    <t>31-0132-000A</t>
  </si>
  <si>
    <t>31-0132-000G</t>
  </si>
  <si>
    <t>31-0133-000A</t>
  </si>
  <si>
    <t>31-0133-000G</t>
  </si>
  <si>
    <t>31-0134-000A</t>
  </si>
  <si>
    <t>31-0134-000G</t>
  </si>
  <si>
    <t>31-0135-000A</t>
  </si>
  <si>
    <t>31-0135-000G</t>
  </si>
  <si>
    <t>31-0199-000A</t>
  </si>
  <si>
    <t>31-0199-000G</t>
  </si>
  <si>
    <t>31-0206-000A</t>
  </si>
  <si>
    <t>31-0206-000G</t>
  </si>
  <si>
    <t>31-0207-000A</t>
  </si>
  <si>
    <t>31-0207-000G</t>
  </si>
  <si>
    <t>31-0208-000A</t>
  </si>
  <si>
    <t>31-0208-000G</t>
  </si>
  <si>
    <t>31-0299-000A</t>
  </si>
  <si>
    <t>31-0299-000G</t>
  </si>
  <si>
    <t>31-0307-000A</t>
  </si>
  <si>
    <t>31-0307-000G</t>
  </si>
  <si>
    <t>31-0308-000A</t>
  </si>
  <si>
    <t>31-0308-000G</t>
  </si>
  <si>
    <t>31-0339-000A</t>
  </si>
  <si>
    <t>31-0339-000G</t>
  </si>
  <si>
    <t>31-0340-000A</t>
  </si>
  <si>
    <t>31-0340-000G</t>
  </si>
  <si>
    <t>31-0341-000A</t>
  </si>
  <si>
    <t>31-0341-000G</t>
  </si>
  <si>
    <t>31-0342-000A</t>
  </si>
  <si>
    <t>31-0342-000G</t>
  </si>
  <si>
    <t>31-0343-000A</t>
  </si>
  <si>
    <t>31-0343-000G</t>
  </si>
  <si>
    <t>31-0399-000A</t>
  </si>
  <si>
    <t>31-0399-000G</t>
  </si>
  <si>
    <t>31-0406-000A</t>
  </si>
  <si>
    <t>31-0406-000G</t>
  </si>
  <si>
    <t>31-0407-000A</t>
  </si>
  <si>
    <t>31-0407-000G</t>
  </si>
  <si>
    <t>31-0408-000A</t>
  </si>
  <si>
    <t>31-0408-000G</t>
  </si>
  <si>
    <t>31-0445-000A</t>
  </si>
  <si>
    <t>31-0445-000G</t>
  </si>
  <si>
    <t>31-0446-000A</t>
  </si>
  <si>
    <t>31-0446-000G</t>
  </si>
  <si>
    <t>31-0447-000A</t>
  </si>
  <si>
    <t>31-0447-000G</t>
  </si>
  <si>
    <t>31-0448-000A</t>
  </si>
  <si>
    <t>31-0448-000G</t>
  </si>
  <si>
    <t>31-0449-000A</t>
  </si>
  <si>
    <t>31-0449-000G</t>
  </si>
  <si>
    <t>31-0450-000A</t>
  </si>
  <si>
    <t>31-0450-000G</t>
  </si>
  <si>
    <t>31-0451-000A</t>
  </si>
  <si>
    <t>31-0451-000G</t>
  </si>
  <si>
    <t>31-0452-000A</t>
  </si>
  <si>
    <t>31-0452-000G</t>
  </si>
  <si>
    <t>31-0499-000A</t>
  </si>
  <si>
    <t>31-0499-000G</t>
  </si>
  <si>
    <t>31-0508-000A</t>
  </si>
  <si>
    <t>31-0508-000G</t>
  </si>
  <si>
    <t>31-0553-000A</t>
  </si>
  <si>
    <t>31-0553-000G</t>
  </si>
  <si>
    <t>31-0554-000A</t>
  </si>
  <si>
    <t>31-0554-000G</t>
  </si>
  <si>
    <t>31-0555-000A</t>
  </si>
  <si>
    <t>31-0555-000G</t>
  </si>
  <si>
    <t>31-0599-000A</t>
  </si>
  <si>
    <t>31-0599-000G</t>
  </si>
  <si>
    <t>31-0657-000A</t>
  </si>
  <si>
    <t>31-0657-000G</t>
  </si>
  <si>
    <t>31-0658-000A</t>
  </si>
  <si>
    <t>31-0658-000G</t>
  </si>
  <si>
    <t>31-0699-000A</t>
  </si>
  <si>
    <t>31-0699-000G</t>
  </si>
  <si>
    <t>31-0708-000A</t>
  </si>
  <si>
    <t>31-0708-000G</t>
  </si>
  <si>
    <t>31-0799-000A</t>
  </si>
  <si>
    <t>31-0799-000G</t>
  </si>
  <si>
    <t>31-0807-000A</t>
  </si>
  <si>
    <t>31-0807-000G</t>
  </si>
  <si>
    <t>31-0808-000A</t>
  </si>
  <si>
    <t>31-0808-000G</t>
  </si>
  <si>
    <t>31-0846-000A</t>
  </si>
  <si>
    <t>31-0846-000G</t>
  </si>
  <si>
    <t>31-0861-000A</t>
  </si>
  <si>
    <t>31-0861-000G</t>
  </si>
  <si>
    <t>31-0862-000A</t>
  </si>
  <si>
    <t>31-0862-000G</t>
  </si>
  <si>
    <t>31-0864-000A</t>
  </si>
  <si>
    <t>31-0864-000G</t>
  </si>
  <si>
    <t>31-0865-000A</t>
  </si>
  <si>
    <t>31-0865-000G</t>
  </si>
  <si>
    <t>31-0866-000A</t>
  </si>
  <si>
    <t>31-0866-000G</t>
  </si>
  <si>
    <t>31-0867-000A</t>
  </si>
  <si>
    <t>31-0867-000G</t>
  </si>
  <si>
    <t>31-0868-000A</t>
  </si>
  <si>
    <t>31-0868-000G</t>
  </si>
  <si>
    <t>31-0899-000A</t>
  </si>
  <si>
    <t>31-0899-000G</t>
  </si>
  <si>
    <t>31-0907-000A</t>
  </si>
  <si>
    <t>31-0907-000G</t>
  </si>
  <si>
    <t>31-0908-000A</t>
  </si>
  <si>
    <t>31-0908-000G</t>
  </si>
  <si>
    <t>31-0946-000A</t>
  </si>
  <si>
    <t>31-0946-000G</t>
  </si>
  <si>
    <t>31-0999-000A</t>
  </si>
  <si>
    <t>31-0999-000G</t>
  </si>
  <si>
    <t>31-1307-000A</t>
  </si>
  <si>
    <t>31-1307-000G</t>
  </si>
  <si>
    <t>31-1308-000A</t>
  </si>
  <si>
    <t>31-1308-000G</t>
  </si>
  <si>
    <t>31-1346-000A</t>
  </si>
  <si>
    <t>31-1346-000G</t>
  </si>
  <si>
    <t>31-1366-000A</t>
  </si>
  <si>
    <t>31-1366-000G</t>
  </si>
  <si>
    <t>31-1399-000A</t>
  </si>
  <si>
    <t>31-1399-000G</t>
  </si>
  <si>
    <t>31-1469-000A</t>
  </si>
  <si>
    <t>31-1469-000G</t>
  </si>
  <si>
    <t>31-1470-000A</t>
  </si>
  <si>
    <t>31-1470-000G</t>
  </si>
  <si>
    <t>31-9908-000A</t>
  </si>
  <si>
    <t>31-9908-000G</t>
  </si>
  <si>
    <t>31-9971-000A</t>
  </si>
  <si>
    <t>31-9971-000G</t>
  </si>
  <si>
    <t>31-9972-000A</t>
  </si>
  <si>
    <t>31-9972-000G</t>
  </si>
  <si>
    <t>31-9973-000A</t>
  </si>
  <si>
    <t>31-9973-000G</t>
  </si>
  <si>
    <t>31-9975-000A</t>
  </si>
  <si>
    <t>31-9975-000G</t>
  </si>
  <si>
    <t>31-9975-010A</t>
  </si>
  <si>
    <t>31-9975-010G</t>
  </si>
  <si>
    <t>31-9976-000A</t>
  </si>
  <si>
    <t>31-9976-000G</t>
  </si>
  <si>
    <t>41-1011-000A</t>
  </si>
  <si>
    <t>41-1011-000G</t>
  </si>
  <si>
    <t>41-1012-000A</t>
  </si>
  <si>
    <t>41-1012-000G</t>
  </si>
  <si>
    <t>41-1021-000A</t>
  </si>
  <si>
    <t>41-1021-000G</t>
  </si>
  <si>
    <t>41-1022-000A</t>
  </si>
  <si>
    <t>41-1022-000G</t>
  </si>
  <si>
    <t>41-1031-000A</t>
  </si>
  <si>
    <t>41-1031-000G</t>
  </si>
  <si>
    <t>41-1031-010A</t>
  </si>
  <si>
    <t>41-1031-010G</t>
  </si>
  <si>
    <t>41-1032-000A</t>
  </si>
  <si>
    <t>41-1032-000G</t>
  </si>
  <si>
    <t>41-1041-000A</t>
  </si>
  <si>
    <t>41-1041-000G</t>
  </si>
  <si>
    <t>41-1042-000A</t>
  </si>
  <si>
    <t>41-1042-000G</t>
  </si>
  <si>
    <t>41-1051-000A</t>
  </si>
  <si>
    <t>41-1051-000G</t>
  </si>
  <si>
    <t>41-1052-000A</t>
  </si>
  <si>
    <t>41-1052-000G</t>
  </si>
  <si>
    <t>41-1061-000A</t>
  </si>
  <si>
    <t>41-1061-000G</t>
  </si>
  <si>
    <t>41-1062-000A</t>
  </si>
  <si>
    <t>41-1062-000G</t>
  </si>
  <si>
    <t>41-1071-000A</t>
  </si>
  <si>
    <t>41-1071-000G</t>
  </si>
  <si>
    <t>41-1072-000A</t>
  </si>
  <si>
    <t>41-1072-000G</t>
  </si>
  <si>
    <t>41-1081-000A</t>
  </si>
  <si>
    <t>41-1081-000G</t>
  </si>
  <si>
    <t>41-1082-000A</t>
  </si>
  <si>
    <t>41-1082-000G</t>
  </si>
  <si>
    <t>41-1981-000A</t>
  </si>
  <si>
    <t>41-1981-000G</t>
  </si>
  <si>
    <t>41-1982-000A</t>
  </si>
  <si>
    <t>41-1982-000G</t>
  </si>
  <si>
    <t>41-1991-000A</t>
  </si>
  <si>
    <t>41-1991-000G</t>
  </si>
  <si>
    <t>41-1992-000A</t>
  </si>
  <si>
    <t>41-1992-000G</t>
  </si>
  <si>
    <t>41-2501-000A</t>
  </si>
  <si>
    <t>41-2501-000G</t>
  </si>
  <si>
    <t>41-2502-000A</t>
  </si>
  <si>
    <t>41-2502-000G</t>
  </si>
  <si>
    <t>41-2511-000A</t>
  </si>
  <si>
    <t>41-2511-000G</t>
  </si>
  <si>
    <t>41-2512-000A</t>
  </si>
  <si>
    <t>41-2512-000G</t>
  </si>
  <si>
    <t>41-2521-000A</t>
  </si>
  <si>
    <t>41-2521-000G</t>
  </si>
  <si>
    <t>41-2522-000A</t>
  </si>
  <si>
    <t>41-2522-000G</t>
  </si>
  <si>
    <t>41-2981-000A</t>
  </si>
  <si>
    <t>41-2981-000G</t>
  </si>
  <si>
    <t>41-2982-000A</t>
  </si>
  <si>
    <t>41-2982-000G</t>
  </si>
  <si>
    <t>41-2991-000A</t>
  </si>
  <si>
    <t>41-2991-000G</t>
  </si>
  <si>
    <t>41-2992-000A</t>
  </si>
  <si>
    <t>41-2992-000G</t>
  </si>
  <si>
    <t>41-3961-000A</t>
  </si>
  <si>
    <t>41-3961-000G</t>
  </si>
  <si>
    <t>41-3971-000A</t>
  </si>
  <si>
    <t>41-3971-000G</t>
  </si>
  <si>
    <t>41-3971-010A</t>
  </si>
  <si>
    <t>41-3971-010G</t>
  </si>
  <si>
    <t>41-4951-000A</t>
  </si>
  <si>
    <t>41-4951-000G</t>
  </si>
  <si>
    <t>41-5941-000A</t>
  </si>
  <si>
    <t>41-5941-000G</t>
  </si>
  <si>
    <t>42-2531-000A</t>
  </si>
  <si>
    <t>42-2531-000G</t>
  </si>
  <si>
    <t>42-2532-000A</t>
  </si>
  <si>
    <t>42-2532-000G</t>
  </si>
  <si>
    <t>42-2541-000A</t>
  </si>
  <si>
    <t>42-2541-000G</t>
  </si>
  <si>
    <t>42-2541-020G</t>
  </si>
  <si>
    <t>42-2542-000A</t>
  </si>
  <si>
    <t>42-2542-000G</t>
  </si>
  <si>
    <t>42-2551-000A</t>
  </si>
  <si>
    <t>42-2551-000G</t>
  </si>
  <si>
    <t>42-2551-010G</t>
  </si>
  <si>
    <t>42-2551-020g</t>
  </si>
  <si>
    <t>42-2552-000A</t>
  </si>
  <si>
    <t>42-2552-000G</t>
  </si>
  <si>
    <t>42-2561-000A</t>
  </si>
  <si>
    <t>42-2561-000G</t>
  </si>
  <si>
    <t>42-2562-000A</t>
  </si>
  <si>
    <t>42-2562-000G</t>
  </si>
  <si>
    <t>42-2991-000A</t>
  </si>
  <si>
    <t>42-2991-000G</t>
  </si>
  <si>
    <t>42-2992-000A</t>
  </si>
  <si>
    <t>42-2992-000G</t>
  </si>
  <si>
    <t>42-2993-010A</t>
  </si>
  <si>
    <t>42-2993-010G</t>
  </si>
  <si>
    <t>42-3931-000A</t>
  </si>
  <si>
    <t>42-3931-000G</t>
  </si>
  <si>
    <t>42-3961-000A</t>
  </si>
  <si>
    <t>42-3961-000G</t>
  </si>
  <si>
    <t>42-3961-010A</t>
  </si>
  <si>
    <t>42-3961-010G</t>
  </si>
  <si>
    <t>42-3971-000A</t>
  </si>
  <si>
    <t>42-3971-000G</t>
  </si>
  <si>
    <t>51-0101-000A</t>
  </si>
  <si>
    <t>51-0101-000G</t>
  </si>
  <si>
    <t>51-0101-010A</t>
  </si>
  <si>
    <t>51-0101-010G</t>
  </si>
  <si>
    <t>51-0201-000A</t>
  </si>
  <si>
    <t>51-0201-000G</t>
  </si>
  <si>
    <t>51-0201-010A</t>
  </si>
  <si>
    <t>51-0201-010G</t>
  </si>
  <si>
    <t>51-0301-000A</t>
  </si>
  <si>
    <t>51-0301-000G</t>
  </si>
  <si>
    <t>51-0301-010A</t>
  </si>
  <si>
    <t>51-0301-010G</t>
  </si>
  <si>
    <t>51-0301-110A</t>
  </si>
  <si>
    <t>PHH CD - Herramienta Menor / Prestamo (A)</t>
  </si>
  <si>
    <t>51-0401-000A</t>
  </si>
  <si>
    <t>51-0401-000G</t>
  </si>
  <si>
    <t>51-0401-010A</t>
  </si>
  <si>
    <t>51-0401-010G</t>
  </si>
  <si>
    <t>51-0402-000A</t>
  </si>
  <si>
    <t>51-0402-000G</t>
  </si>
  <si>
    <t>51-0501-000A</t>
  </si>
  <si>
    <t>51-0501-000G</t>
  </si>
  <si>
    <t>51-0501-010A</t>
  </si>
  <si>
    <t>51-0501-010G</t>
  </si>
  <si>
    <t>51-0601-000A</t>
  </si>
  <si>
    <t>51-0601-000G</t>
  </si>
  <si>
    <t>51-0601-010A</t>
  </si>
  <si>
    <t>51-0601-010G</t>
  </si>
  <si>
    <t>51-0801-000A</t>
  </si>
  <si>
    <t>51-0801-000G</t>
  </si>
  <si>
    <t>51-1301-000A</t>
  </si>
  <si>
    <t>PHH CD -  / Hotelería y Movilización / Operadores y Riggers</t>
  </si>
  <si>
    <t>51-1301-000G</t>
  </si>
  <si>
    <t>PHH CD-/Hotelería y Movilización / Operadores y Riggers (G)</t>
  </si>
  <si>
    <t>62-0101-000G</t>
  </si>
  <si>
    <t>62-0201-000A</t>
  </si>
  <si>
    <t>62-0301-000A</t>
  </si>
  <si>
    <t>62-0301-000G</t>
  </si>
  <si>
    <t>62-0401-000A</t>
  </si>
  <si>
    <t>62-0401-000G</t>
  </si>
  <si>
    <t>62-0501-000A</t>
  </si>
  <si>
    <t>62-0501-000G</t>
  </si>
  <si>
    <t>62-0601-000A</t>
  </si>
  <si>
    <t>62-0601-000G</t>
  </si>
  <si>
    <t>62-0701-000A</t>
  </si>
  <si>
    <t>62-0701-000G</t>
  </si>
  <si>
    <t>62-0801-000A</t>
  </si>
  <si>
    <t>62-0801-000G</t>
  </si>
  <si>
    <t>62-0802-000A</t>
  </si>
  <si>
    <t>62-0802-000G</t>
  </si>
  <si>
    <t>62-0901-000A</t>
  </si>
  <si>
    <t>62-0901-000G</t>
  </si>
  <si>
    <t>62-1001-000A</t>
  </si>
  <si>
    <t>62-1001-000G</t>
  </si>
  <si>
    <t>62-1101-000A</t>
  </si>
  <si>
    <t>62-1101-000G</t>
  </si>
  <si>
    <t>62-1201-000A</t>
  </si>
  <si>
    <t>62-1201-000G</t>
  </si>
  <si>
    <t>62-1202-000A</t>
  </si>
  <si>
    <t>62-1202-000G</t>
  </si>
  <si>
    <t>72-0101-010G</t>
  </si>
  <si>
    <t>72-0105-150G</t>
  </si>
  <si>
    <t>72-1010-100A</t>
  </si>
  <si>
    <t>72-1010-100G</t>
  </si>
  <si>
    <t>72-1010-200A</t>
  </si>
  <si>
    <t>72-1010-200G</t>
  </si>
  <si>
    <t>72-1010-300A</t>
  </si>
  <si>
    <t>72-1010-300G</t>
  </si>
  <si>
    <t>72-1010-400A</t>
  </si>
  <si>
    <t>72-1010-400G</t>
  </si>
  <si>
    <t>72-1020-100A</t>
  </si>
  <si>
    <t>72-1020-100G</t>
  </si>
  <si>
    <t>72-1020-200A</t>
  </si>
  <si>
    <t>72-1020-200G</t>
  </si>
  <si>
    <t>72-1020-300A</t>
  </si>
  <si>
    <t>72-1020-300G</t>
  </si>
  <si>
    <t>72-1020-400A</t>
  </si>
  <si>
    <t>72-1020-400G</t>
  </si>
  <si>
    <t>72-1020-500A</t>
  </si>
  <si>
    <t>72-1020-500G</t>
  </si>
  <si>
    <t>72-1030-100A</t>
  </si>
  <si>
    <t>72-1030-100G</t>
  </si>
  <si>
    <t>72-1030-200A</t>
  </si>
  <si>
    <t>72-1030-200G</t>
  </si>
  <si>
    <t>72-1030-300A</t>
  </si>
  <si>
    <t>72-1030-300G</t>
  </si>
  <si>
    <t>72-1039-900A</t>
  </si>
  <si>
    <t>72-1039-900G</t>
  </si>
  <si>
    <t>72-1040-100A</t>
  </si>
  <si>
    <t>72-1040-100G</t>
  </si>
  <si>
    <t>72-1050-100A</t>
  </si>
  <si>
    <t>72-1050-100G</t>
  </si>
  <si>
    <t>72-1056-000G</t>
  </si>
  <si>
    <t>72-1060-100A</t>
  </si>
  <si>
    <t>72-1070-100A</t>
  </si>
  <si>
    <t>72-1070-100G</t>
  </si>
  <si>
    <t>72-1080-100A</t>
  </si>
  <si>
    <t>72-1080-100G</t>
  </si>
  <si>
    <t>72-1090-100A</t>
  </si>
  <si>
    <t>72-1090-100G</t>
  </si>
  <si>
    <t>72-1100-100A</t>
  </si>
  <si>
    <t>72-1100-100G</t>
  </si>
  <si>
    <t>72-1110-100A</t>
  </si>
  <si>
    <t>72-1110-100G</t>
  </si>
  <si>
    <t>72-1120-100A</t>
  </si>
  <si>
    <t>72-1120-100G</t>
  </si>
  <si>
    <t>72-1990-100A</t>
  </si>
  <si>
    <t>72-1990-100G</t>
  </si>
  <si>
    <t>72-2010-110A</t>
  </si>
  <si>
    <t>72-2030-100G</t>
  </si>
  <si>
    <t>72-6070-700G</t>
  </si>
  <si>
    <t>72-9013-800G</t>
  </si>
  <si>
    <t>GG Finanzas / Intereses Pagados por Operaciones Confirming</t>
  </si>
  <si>
    <t>72-9999-990G</t>
  </si>
  <si>
    <t>72-A010-100G</t>
  </si>
  <si>
    <t>72-A011-100G</t>
  </si>
  <si>
    <t>72-A020-100G</t>
  </si>
  <si>
    <t>72-A030-100A</t>
  </si>
  <si>
    <t>72-A030-100G</t>
  </si>
  <si>
    <t>72-A040-100A</t>
  </si>
  <si>
    <t>72-A040-100G</t>
  </si>
  <si>
    <t>72-A050-100A</t>
  </si>
  <si>
    <t>72-A050-100G</t>
  </si>
  <si>
    <t>72-A060-100A</t>
  </si>
  <si>
    <t>72-A060-100G</t>
  </si>
  <si>
    <t>72-A090-100G</t>
  </si>
  <si>
    <t>72-A090-200G</t>
  </si>
  <si>
    <t>72-A100-100G</t>
  </si>
  <si>
    <t>72-B010-100G</t>
  </si>
  <si>
    <t>72-REA0-010G</t>
  </si>
  <si>
    <t>91-0100-000C</t>
  </si>
  <si>
    <t>AA-7999-990G</t>
  </si>
  <si>
    <t>Anticip-o-0S</t>
  </si>
  <si>
    <t>Anticipo Subcontrato</t>
  </si>
  <si>
    <t>Ret-SB--$0</t>
  </si>
  <si>
    <t>Retención Subcontrato $</t>
  </si>
  <si>
    <t>Ret-SB--UF0</t>
  </si>
  <si>
    <t>Retención Subcontrato UF</t>
  </si>
  <si>
    <t>Ret-SB--US0D</t>
  </si>
  <si>
    <t>Retención Subcontrato USD</t>
  </si>
  <si>
    <t>CATEGORIA2</t>
  </si>
  <si>
    <t>MAO / Por Distribuir (G)</t>
  </si>
  <si>
    <t>11-7101-000G</t>
  </si>
  <si>
    <t>MAO CD - Multas (G)</t>
  </si>
  <si>
    <t>12-7101-000G</t>
  </si>
  <si>
    <t>MAO CI - Multas (G)</t>
  </si>
  <si>
    <t>41-6201-040G</t>
  </si>
  <si>
    <t>EQU CD - Depreciacion maquinaria en Leasing</t>
  </si>
  <si>
    <t>41-6201-050G</t>
  </si>
  <si>
    <t>EQU CD - Depreciacion maquinaria</t>
  </si>
  <si>
    <t>GAS CI - Diferencia tipo de cambio</t>
  </si>
  <si>
    <t>GAS CI - Recuperación de Gastos (G)</t>
  </si>
  <si>
    <t>GAS CI - Traspaso venta obra / Todos (G)</t>
  </si>
  <si>
    <t>72-5801-000A</t>
  </si>
  <si>
    <t>72-5801-000G</t>
  </si>
  <si>
    <t>72-5801-010A</t>
  </si>
  <si>
    <t>72-5801-010G</t>
  </si>
  <si>
    <t>72-5802-000A</t>
  </si>
  <si>
    <t>72-5802-000G</t>
  </si>
  <si>
    <t>72-5803-010A</t>
  </si>
  <si>
    <t>72-5803-010G</t>
  </si>
  <si>
    <t>72-5804-000A</t>
  </si>
  <si>
    <t>72-5804-000G</t>
  </si>
  <si>
    <t>GAS CI - Diferencia de Cambio Dólar (G)</t>
  </si>
  <si>
    <t>91-0200-301C</t>
  </si>
  <si>
    <t>91-0200-311C</t>
  </si>
  <si>
    <t>91-0200-321C</t>
  </si>
  <si>
    <t>91-0300-301C</t>
  </si>
  <si>
    <t>91-0300-302C</t>
  </si>
  <si>
    <t>91-0300-303C</t>
  </si>
  <si>
    <t>GAS CI - Gastos Generales Reembolsables (A)</t>
  </si>
  <si>
    <t>72-4010-700G</t>
  </si>
  <si>
    <t>GAS CI / Resultado Forward (G)</t>
  </si>
  <si>
    <t>72-6010-100G</t>
  </si>
  <si>
    <t>72-6010-111G</t>
  </si>
  <si>
    <t>GAS CI -Diferencia Tipo de Cambio otras monedas (G)</t>
  </si>
  <si>
    <t>72-EERR-001G</t>
  </si>
  <si>
    <t>GAS CI - Intereses EERR / Pagadas o Devengadas (G)</t>
  </si>
  <si>
    <t>72-RBCO-001G</t>
  </si>
  <si>
    <t>GAS CI - Reajuste Banco (G)</t>
  </si>
  <si>
    <t>GAS CI - Reajustes de Banco (G)</t>
  </si>
  <si>
    <t>ING EDP - Partida-Anticipo - UF  (C)</t>
  </si>
  <si>
    <t>91-0300-304C</t>
  </si>
  <si>
    <t>MAO CD - Civil  / Movimiento de tierra (G)</t>
  </si>
  <si>
    <t>11-0231-201G</t>
  </si>
  <si>
    <t>Remuneraciones / Otros Gastos / Prov. Vacaciones</t>
  </si>
  <si>
    <t>11-0321-619A</t>
  </si>
  <si>
    <t>Remuneraciones / Remuneraciones / Otros Dsctos. al Personal</t>
  </si>
  <si>
    <t>11-0321-619G</t>
  </si>
  <si>
    <t>11-0331-201G</t>
  </si>
  <si>
    <t>Remuneraciones / Remuneraciones / Remuneraciones</t>
  </si>
  <si>
    <t>21-0700-001G</t>
  </si>
  <si>
    <t>MO / Mano de Obra (G)</t>
  </si>
  <si>
    <t>44-1631-603G</t>
  </si>
  <si>
    <t>Oficina / Activo Fijo / Depr.  Muebles Y Utiles</t>
  </si>
  <si>
    <t>44-1631-606G</t>
  </si>
  <si>
    <t>Oficina / Activo Fijo / Depreciacion Instalaciones</t>
  </si>
  <si>
    <t>44-1631-614G</t>
  </si>
  <si>
    <t>Oficina / Activo Fijo / Depr.  D. De Uso De Bs. Rcs.</t>
  </si>
  <si>
    <t>71-0131-510A</t>
  </si>
  <si>
    <t>Remuneraciones / Honorarios / Honorarios</t>
  </si>
  <si>
    <t>71-0131-510G</t>
  </si>
  <si>
    <t>72-0431-507A</t>
  </si>
  <si>
    <t>Otros gastos personal / CCHo Rendiciones / CCH o Rendiciones</t>
  </si>
  <si>
    <t>72-0431-507G</t>
  </si>
  <si>
    <t>72-0531-511A</t>
  </si>
  <si>
    <t>Otros gastos personal / Beneficios / Beneficios</t>
  </si>
  <si>
    <t>72-0531-511G</t>
  </si>
  <si>
    <t>72-0631-511A</t>
  </si>
  <si>
    <t>Otros gastos personal / Estadía / Estadia</t>
  </si>
  <si>
    <t>72-0631-511G</t>
  </si>
  <si>
    <t>72-0731-511A</t>
  </si>
  <si>
    <t>Otros gastos personal / Gastos personal / Gastos personal</t>
  </si>
  <si>
    <t>72-0731-511G</t>
  </si>
  <si>
    <t>72-0831-511A</t>
  </si>
  <si>
    <t>Otros gastos personal / Viajes / Viajes</t>
  </si>
  <si>
    <t>72-0831-511G</t>
  </si>
  <si>
    <t>72-0931-505A</t>
  </si>
  <si>
    <t>Otros gastos personal / Insumos Oficina / Insumos Oficina</t>
  </si>
  <si>
    <t>72-0931-505G</t>
  </si>
  <si>
    <t>99-2941-203C</t>
  </si>
  <si>
    <t>Ingresos / Del Giro</t>
  </si>
  <si>
    <t>99-2941-502C</t>
  </si>
  <si>
    <t>Ingresos / Otras Entradas de Explotacion</t>
  </si>
  <si>
    <t>Cañería</t>
  </si>
  <si>
    <t>Mano de Obra</t>
  </si>
  <si>
    <t>0A08</t>
  </si>
  <si>
    <t>Prevención De Riesgos</t>
  </si>
  <si>
    <t>Calidad</t>
  </si>
  <si>
    <t>Alimentación</t>
  </si>
  <si>
    <t>Camioneta</t>
  </si>
  <si>
    <t>Otros gastos generales</t>
  </si>
  <si>
    <t>Boleta Garantia</t>
  </si>
  <si>
    <t>Gastos por Seguros</t>
  </si>
  <si>
    <t>Seguridad</t>
  </si>
  <si>
    <t>Generadores</t>
  </si>
  <si>
    <t>Materiales de Consumo</t>
  </si>
  <si>
    <t>Mano De Obra</t>
  </si>
  <si>
    <t>Materiales</t>
  </si>
  <si>
    <t>Containers</t>
  </si>
  <si>
    <t>Combustible</t>
  </si>
  <si>
    <t>IFA Fletes</t>
  </si>
  <si>
    <t>Mobiliarios</t>
  </si>
  <si>
    <t>1H09</t>
  </si>
  <si>
    <t>1H10</t>
  </si>
  <si>
    <t>1H11</t>
  </si>
  <si>
    <t>1H04</t>
  </si>
  <si>
    <t>Enlaces Internet</t>
  </si>
  <si>
    <t>Computadores</t>
  </si>
  <si>
    <t>Café. Y Agua Potab.</t>
  </si>
  <si>
    <t>Elementos Seguridad Indirectos</t>
  </si>
  <si>
    <t>Laboratorio</t>
  </si>
  <si>
    <t>Mecánica</t>
  </si>
  <si>
    <t>Electricidad</t>
  </si>
  <si>
    <t>Equipo Topográfico</t>
  </si>
  <si>
    <t>1I01</t>
  </si>
  <si>
    <t>1I03</t>
  </si>
  <si>
    <t>1I06</t>
  </si>
  <si>
    <t>1I09</t>
  </si>
  <si>
    <t>1I11</t>
  </si>
  <si>
    <t>1I12</t>
  </si>
  <si>
    <t>1I13</t>
  </si>
  <si>
    <t>1I14</t>
  </si>
  <si>
    <t>Civil</t>
  </si>
  <si>
    <t>0B06</t>
  </si>
  <si>
    <t>0B07</t>
  </si>
  <si>
    <t>0B08</t>
  </si>
  <si>
    <t>0B09</t>
  </si>
  <si>
    <t>1F12</t>
  </si>
  <si>
    <t>Operador</t>
  </si>
  <si>
    <t>Rigger</t>
  </si>
  <si>
    <t>Gastos De Contratación</t>
  </si>
  <si>
    <t>1J03</t>
  </si>
  <si>
    <t>Columna1</t>
  </si>
  <si>
    <t>0D07</t>
  </si>
  <si>
    <t>0D08</t>
  </si>
  <si>
    <t xml:space="preserve">    </t>
  </si>
  <si>
    <t>Fletes</t>
  </si>
  <si>
    <t xml:space="preserve">                                            </t>
  </si>
  <si>
    <t>Costos Financieros</t>
  </si>
  <si>
    <t>ARAUCO</t>
  </si>
  <si>
    <t>Moldajes</t>
  </si>
  <si>
    <t>Entibaciones</t>
  </si>
  <si>
    <t>Ensayos</t>
  </si>
  <si>
    <t>Termofusion</t>
  </si>
  <si>
    <t>Otros Subcontratos</t>
  </si>
  <si>
    <t>Equipos Mayores</t>
  </si>
  <si>
    <t>Equipos Menores</t>
  </si>
  <si>
    <t>Combustibles</t>
  </si>
  <si>
    <t>0D09</t>
  </si>
  <si>
    <t>Movimiento de tierra</t>
  </si>
  <si>
    <t>Maquinas Soldadoras</t>
  </si>
  <si>
    <t>Permisos</t>
  </si>
  <si>
    <t>Calificaciones</t>
  </si>
  <si>
    <t>Hoteleria</t>
  </si>
  <si>
    <t>0C06</t>
  </si>
  <si>
    <t>1G03</t>
  </si>
  <si>
    <t>Comunicación</t>
  </si>
  <si>
    <t>Impresoras / Fotocopias</t>
  </si>
  <si>
    <t>CC: EIMI00398
ARAUCO</t>
  </si>
  <si>
    <t>CRISTIAN SEPULVEDA GARAY</t>
  </si>
  <si>
    <t>EIMI00398</t>
  </si>
  <si>
    <t>INFORME DE COSTOS N° 01</t>
  </si>
  <si>
    <t>OBS</t>
  </si>
  <si>
    <t xml:space="preserve">Mecanica </t>
  </si>
  <si>
    <t>REAJUSTE 
PAGADO</t>
  </si>
  <si>
    <t>REAJUSTE
PROYECTADO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</si>
</sst>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&quot;$&quot;\ * #,##0.00_-;\-&quot;$&quot;\ * #,##0.00_-;_-&quot;$&quot;\ * &quot;-&quot;??_-;_-@_-"/>
    <numFmt numFmtId="166" formatCode="_-* #,##0.00_-;\-* #,##0.00_-;_-* &quot;-&quot;??_-;_-@_-"/>
    <numFmt numFmtId="167" formatCode="[$-10C0A]#,##0;\(#,##0\)"/>
    <numFmt numFmtId="168" formatCode="[$-10C0A]#,##0;\-#,##0"/>
    <numFmt numFmtId="169" formatCode="_-* #,##0_-;\-* #,##0_-;_-* &quot;-&quot;??_-;_-@_-"/>
    <numFmt numFmtId="170" formatCode="#,##0_ ;[Red]\(\-#,##0\)"/>
    <numFmt numFmtId="171" formatCode="&quot;$&quot;\ #,##0"/>
    <numFmt numFmtId="172" formatCode="#,##0;[Red]\(\-#,##0\)"/>
    <numFmt numFmtId="173" formatCode="#,##0_ ;[Red]\-#,##0\ "/>
    <numFmt numFmtId="174" formatCode="_-* #,##0.00\ _P_t_s_-;\-* #,##0.00\ _P_t_s_-;_-* &quot;-&quot;??\ _P_t_s_-;_-@_-"/>
    <numFmt numFmtId="175" formatCode="_-&quot;$&quot;\ * #,##0_-;\-&quot;$&quot;\ * #,##0_-;_-&quot;$&quot;\ * &quot;-&quot;??_-;_-@_-"/>
    <numFmt numFmtId="176" formatCode="[$-10C0A]#,##0.00;\(#,##0.00\)"/>
    <numFmt numFmtId="177" formatCode="#,##0_ ;\-#,##0\ "/>
    <numFmt numFmtId="178" formatCode="_ * #,##0.00_ ;_ * \-#,##0.00_ ;_ * &quot;-&quot;_ ;_ @_ "/>
  </numFmts>
  <fonts count="5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rgb="FF0D0605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6"/>
      <name val="Calibri"/>
      <family val="2"/>
    </font>
    <font>
      <b/>
      <sz val="11"/>
      <color rgb="FF000000"/>
      <name val="Arial"/>
      <family val="2"/>
    </font>
    <font>
      <u/>
      <sz val="16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1A0C09"/>
      <name val="Arial Narrow"/>
      <family val="2"/>
    </font>
    <font>
      <sz val="11"/>
      <color rgb="FF000000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3"/>
      <name val="Arial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i/>
      <u/>
      <sz val="10"/>
      <color rgb="FF0000FF"/>
      <name val="Arial Narrow"/>
      <family val="2"/>
    </font>
    <font>
      <b/>
      <u/>
      <sz val="10"/>
      <color rgb="FF0000FF"/>
      <name val="Arial Narrow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0"/>
      <name val="MS Sans Serif"/>
      <family val="2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D3D2D1"/>
        <bgColor rgb="FFD3D2D1"/>
      </patternFill>
    </fill>
    <fill>
      <patternFill patternType="solid">
        <fgColor rgb="FFA9BEBD"/>
        <bgColor rgb="FFA9BEBD"/>
      </patternFill>
    </fill>
    <fill>
      <patternFill patternType="solid">
        <fgColor rgb="FFD5B9B3"/>
        <bgColor rgb="FFD5B9B3"/>
      </patternFill>
    </fill>
    <fill>
      <patternFill patternType="solid">
        <fgColor rgb="FFDDDDDD"/>
        <bgColor rgb="FFDDDDDD"/>
      </patternFill>
    </fill>
    <fill>
      <patternFill patternType="solid">
        <fgColor rgb="FFD4DEDE"/>
        <bgColor rgb="FFD4DEDE"/>
      </patternFill>
    </fill>
    <fill>
      <patternFill patternType="solid">
        <fgColor rgb="FFEADCD9"/>
        <bgColor rgb="FFEADCD9"/>
      </patternFill>
    </fill>
    <fill>
      <patternFill patternType="solid">
        <fgColor rgb="FFEEEEEE"/>
        <bgColor rgb="FFEEEEEE"/>
      </patternFill>
    </fill>
    <fill>
      <patternFill patternType="solid">
        <fgColor rgb="FFE9EEEE"/>
        <bgColor rgb="FFE9EEEE"/>
      </patternFill>
    </fill>
    <fill>
      <patternFill patternType="solid">
        <fgColor rgb="FFF4EDEC"/>
        <bgColor rgb="FFF4EDEC"/>
      </patternFill>
    </fill>
    <fill>
      <patternFill patternType="solid">
        <fgColor rgb="FFFFFFFF"/>
        <bgColor rgb="FFFFFFFF"/>
      </patternFill>
    </fill>
    <fill>
      <patternFill patternType="solid">
        <fgColor rgb="FFDEDDDC"/>
        <bgColor rgb="FFDEDDDC"/>
      </patternFill>
    </fill>
    <fill>
      <patternFill patternType="solid">
        <fgColor rgb="FFBECECD"/>
        <bgColor rgb="FFBECECD"/>
      </patternFill>
    </fill>
    <fill>
      <patternFill patternType="solid">
        <fgColor rgb="FFE0CAC6"/>
        <bgColor rgb="FFE0CAC6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3AEAC"/>
        <bgColor rgb="FF93AEAC"/>
      </patternFill>
    </fill>
    <fill>
      <patternFill patternType="solid">
        <fgColor rgb="FFCBA8A0"/>
        <bgColor rgb="FFCBA8A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</fills>
  <borders count="4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52">
    <xf numFmtId="0" fontId="0" fillId="0" borderId="0"/>
    <xf numFmtId="0" fontId="7" fillId="0" borderId="0"/>
    <xf numFmtId="166" fontId="7" fillId="0" borderId="0" applyFont="0" applyFill="0" applyBorder="0" applyAlignment="0" applyProtection="0"/>
    <xf numFmtId="0" fontId="9" fillId="0" borderId="0"/>
    <xf numFmtId="0" fontId="9" fillId="0" borderId="0"/>
    <xf numFmtId="174" fontId="9" fillId="0" borderId="0" applyFont="0" applyFill="0" applyBorder="0" applyAlignment="0" applyProtection="0"/>
    <xf numFmtId="0" fontId="9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7" fillId="0" borderId="0" applyFont="0" applyFill="0" applyBorder="0" applyAlignment="0" applyProtection="0"/>
    <xf numFmtId="0" fontId="22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8" fillId="0" borderId="0"/>
    <xf numFmtId="0" fontId="28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" fillId="0" borderId="0"/>
    <xf numFmtId="40" fontId="49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8" fontId="9" fillId="0" borderId="0"/>
    <xf numFmtId="38" fontId="49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9" fillId="0" borderId="0"/>
    <xf numFmtId="0" fontId="9" fillId="0" borderId="0"/>
    <xf numFmtId="0" fontId="7" fillId="0" borderId="0"/>
    <xf numFmtId="16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</cellStyleXfs>
  <cellXfs count="398">
    <xf numFmtId="0" fontId="0" fillId="0" borderId="0" xfId="0"/>
    <xf numFmtId="167" fontId="4" fillId="5" borderId="1" xfId="0" applyNumberFormat="1" applyFont="1" applyFill="1" applyBorder="1" applyAlignment="1">
      <alignment vertical="top" wrapText="1" readingOrder="1"/>
    </xf>
    <xf numFmtId="168" fontId="4" fillId="5" borderId="1" xfId="0" applyNumberFormat="1" applyFont="1" applyFill="1" applyBorder="1" applyAlignment="1">
      <alignment vertical="top" wrapText="1" readingOrder="1"/>
    </xf>
    <xf numFmtId="167" fontId="5" fillId="11" borderId="1" xfId="0" applyNumberFormat="1" applyFont="1" applyFill="1" applyBorder="1" applyAlignment="1">
      <alignment vertical="top" wrapText="1" readingOrder="1"/>
    </xf>
    <xf numFmtId="167" fontId="4" fillId="12" borderId="1" xfId="0" applyNumberFormat="1" applyFont="1" applyFill="1" applyBorder="1" applyAlignment="1">
      <alignment vertical="top" wrapText="1" readingOrder="1"/>
    </xf>
    <xf numFmtId="167" fontId="6" fillId="11" borderId="1" xfId="0" applyNumberFormat="1" applyFont="1" applyFill="1" applyBorder="1" applyAlignment="1">
      <alignment vertical="top" wrapText="1" readingOrder="1"/>
    </xf>
    <xf numFmtId="0" fontId="5" fillId="11" borderId="1" xfId="0" applyFont="1" applyFill="1" applyBorder="1" applyAlignment="1">
      <alignment vertical="top" wrapText="1" readingOrder="1"/>
    </xf>
    <xf numFmtId="0" fontId="4" fillId="12" borderId="1" xfId="0" applyFont="1" applyFill="1" applyBorder="1" applyAlignment="1">
      <alignment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  <xf numFmtId="168" fontId="4" fillId="14" borderId="1" xfId="0" applyNumberFormat="1" applyFont="1" applyFill="1" applyBorder="1" applyAlignment="1">
      <alignment vertical="top" wrapText="1" readingOrder="1"/>
    </xf>
    <xf numFmtId="168" fontId="6" fillId="11" borderId="1" xfId="0" applyNumberFormat="1" applyFont="1" applyFill="1" applyBorder="1" applyAlignment="1">
      <alignment vertical="top" wrapText="1" readingOrder="1"/>
    </xf>
    <xf numFmtId="168" fontId="4" fillId="7" borderId="1" xfId="0" applyNumberFormat="1" applyFont="1" applyFill="1" applyBorder="1" applyAlignment="1">
      <alignment vertical="top" wrapText="1" readingOrder="1"/>
    </xf>
    <xf numFmtId="168" fontId="4" fillId="6" borderId="1" xfId="0" applyNumberFormat="1" applyFont="1" applyFill="1" applyBorder="1" applyAlignment="1">
      <alignment vertical="top" wrapText="1" readingOrder="1"/>
    </xf>
    <xf numFmtId="168" fontId="4" fillId="13" borderId="1" xfId="0" applyNumberFormat="1" applyFont="1" applyFill="1" applyBorder="1" applyAlignment="1">
      <alignment vertical="top" wrapText="1" readingOrder="1"/>
    </xf>
    <xf numFmtId="0" fontId="2" fillId="0" borderId="0" xfId="0" applyFont="1"/>
    <xf numFmtId="0" fontId="9" fillId="0" borderId="0" xfId="3"/>
    <xf numFmtId="0" fontId="11" fillId="0" borderId="0" xfId="3" applyFont="1"/>
    <xf numFmtId="0" fontId="11" fillId="0" borderId="0" xfId="3" applyFont="1" applyAlignment="1">
      <alignment horizontal="center"/>
    </xf>
    <xf numFmtId="0" fontId="12" fillId="0" borderId="0" xfId="3" applyFont="1"/>
    <xf numFmtId="171" fontId="12" fillId="0" borderId="0" xfId="3" applyNumberFormat="1" applyFont="1"/>
    <xf numFmtId="171" fontId="9" fillId="0" borderId="0" xfId="3" applyNumberFormat="1"/>
    <xf numFmtId="0" fontId="13" fillId="0" borderId="32" xfId="3" applyFont="1" applyBorder="1" applyAlignment="1">
      <alignment horizontal="left"/>
    </xf>
    <xf numFmtId="172" fontId="12" fillId="0" borderId="32" xfId="3" applyNumberFormat="1" applyFont="1" applyBorder="1"/>
    <xf numFmtId="173" fontId="12" fillId="0" borderId="0" xfId="3" applyNumberFormat="1" applyFont="1"/>
    <xf numFmtId="171" fontId="14" fillId="0" borderId="0" xfId="3" applyNumberFormat="1" applyFont="1"/>
    <xf numFmtId="0" fontId="12" fillId="0" borderId="32" xfId="3" applyFont="1" applyBorder="1" applyAlignment="1">
      <alignment horizontal="left" indent="1"/>
    </xf>
    <xf numFmtId="0" fontId="13" fillId="0" borderId="32" xfId="3" applyFont="1" applyBorder="1"/>
    <xf numFmtId="172" fontId="13" fillId="0" borderId="32" xfId="3" applyNumberFormat="1" applyFont="1" applyBorder="1"/>
    <xf numFmtId="0" fontId="12" fillId="0" borderId="32" xfId="3" applyFont="1" applyBorder="1"/>
    <xf numFmtId="0" fontId="12" fillId="0" borderId="0" xfId="3" applyFont="1" applyAlignment="1">
      <alignment horizontal="left"/>
    </xf>
    <xf numFmtId="172" fontId="12" fillId="0" borderId="0" xfId="3" applyNumberFormat="1" applyFont="1"/>
    <xf numFmtId="173" fontId="13" fillId="0" borderId="0" xfId="3" applyNumberFormat="1" applyFont="1"/>
    <xf numFmtId="0" fontId="13" fillId="0" borderId="0" xfId="3" applyFont="1"/>
    <xf numFmtId="172" fontId="13" fillId="0" borderId="0" xfId="3" applyNumberFormat="1" applyFont="1"/>
    <xf numFmtId="15" fontId="12" fillId="0" borderId="34" xfId="3" applyNumberFormat="1" applyFont="1" applyBorder="1"/>
    <xf numFmtId="15" fontId="12" fillId="0" borderId="0" xfId="3" applyNumberFormat="1" applyFont="1"/>
    <xf numFmtId="172" fontId="9" fillId="0" borderId="0" xfId="3" applyNumberFormat="1"/>
    <xf numFmtId="171" fontId="12" fillId="0" borderId="0" xfId="3" applyNumberFormat="1" applyFont="1" applyAlignment="1">
      <alignment horizontal="left"/>
    </xf>
    <xf numFmtId="0" fontId="9" fillId="0" borderId="35" xfId="3" applyBorder="1"/>
    <xf numFmtId="14" fontId="0" fillId="0" borderId="0" xfId="0" applyNumberFormat="1"/>
    <xf numFmtId="0" fontId="11" fillId="18" borderId="32" xfId="3" applyFont="1" applyFill="1" applyBorder="1" applyAlignment="1">
      <alignment horizontal="center" wrapText="1"/>
    </xf>
    <xf numFmtId="0" fontId="11" fillId="18" borderId="32" xfId="3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3" applyFont="1"/>
    <xf numFmtId="0" fontId="2" fillId="0" borderId="4" xfId="0" applyFont="1" applyBorder="1" applyAlignment="1">
      <alignment horizontal="center"/>
    </xf>
    <xf numFmtId="0" fontId="9" fillId="15" borderId="0" xfId="4" applyFill="1"/>
    <xf numFmtId="0" fontId="9" fillId="15" borderId="36" xfId="4" applyFill="1" applyBorder="1"/>
    <xf numFmtId="0" fontId="9" fillId="15" borderId="37" xfId="4" applyFill="1" applyBorder="1"/>
    <xf numFmtId="0" fontId="9" fillId="15" borderId="38" xfId="4" applyFill="1" applyBorder="1"/>
    <xf numFmtId="0" fontId="9" fillId="15" borderId="25" xfId="4" applyFill="1" applyBorder="1"/>
    <xf numFmtId="0" fontId="9" fillId="15" borderId="39" xfId="4" applyFill="1" applyBorder="1"/>
    <xf numFmtId="0" fontId="9" fillId="15" borderId="39" xfId="4" applyFill="1" applyBorder="1" applyAlignment="1">
      <alignment horizontal="right"/>
    </xf>
    <xf numFmtId="172" fontId="13" fillId="15" borderId="0" xfId="6" applyNumberFormat="1" applyFont="1" applyFill="1" applyAlignment="1">
      <alignment vertical="top"/>
    </xf>
    <xf numFmtId="172" fontId="13" fillId="15" borderId="39" xfId="6" applyNumberFormat="1" applyFont="1" applyFill="1" applyBorder="1" applyAlignment="1">
      <alignment vertical="top"/>
    </xf>
    <xf numFmtId="0" fontId="9" fillId="15" borderId="0" xfId="4" applyFill="1" applyAlignment="1">
      <alignment horizontal="center"/>
    </xf>
    <xf numFmtId="0" fontId="11" fillId="15" borderId="0" xfId="4" applyFont="1" applyFill="1" applyAlignment="1">
      <alignment wrapText="1"/>
    </xf>
    <xf numFmtId="0" fontId="11" fillId="15" borderId="0" xfId="4" applyFont="1" applyFill="1"/>
    <xf numFmtId="0" fontId="19" fillId="15" borderId="0" xfId="4" applyFont="1" applyFill="1"/>
    <xf numFmtId="0" fontId="18" fillId="15" borderId="0" xfId="7" applyFill="1" applyBorder="1" applyAlignment="1" applyProtection="1"/>
    <xf numFmtId="0" fontId="9" fillId="15" borderId="40" xfId="4" applyFill="1" applyBorder="1"/>
    <xf numFmtId="0" fontId="9" fillId="15" borderId="41" xfId="4" applyFill="1" applyBorder="1"/>
    <xf numFmtId="0" fontId="9" fillId="15" borderId="42" xfId="4" applyFill="1" applyBorder="1"/>
    <xf numFmtId="0" fontId="12" fillId="15" borderId="0" xfId="4" applyFont="1" applyFill="1"/>
    <xf numFmtId="0" fontId="15" fillId="15" borderId="0" xfId="0" applyFont="1" applyFill="1" applyAlignment="1">
      <alignment vertical="center"/>
    </xf>
    <xf numFmtId="0" fontId="20" fillId="0" borderId="0" xfId="0" applyFont="1"/>
    <xf numFmtId="175" fontId="8" fillId="0" borderId="0" xfId="8" applyNumberFormat="1" applyFont="1"/>
    <xf numFmtId="49" fontId="11" fillId="15" borderId="0" xfId="4" applyNumberFormat="1" applyFont="1" applyFill="1"/>
    <xf numFmtId="0" fontId="23" fillId="0" borderId="0" xfId="3" applyFont="1"/>
    <xf numFmtId="0" fontId="13" fillId="18" borderId="32" xfId="3" applyFont="1" applyFill="1" applyBorder="1" applyAlignment="1">
      <alignment horizontal="center" vertical="center"/>
    </xf>
    <xf numFmtId="0" fontId="13" fillId="0" borderId="32" xfId="3" applyFont="1" applyBorder="1" applyAlignment="1">
      <alignment horizontal="center"/>
    </xf>
    <xf numFmtId="0" fontId="12" fillId="0" borderId="0" xfId="3" applyFont="1" applyAlignment="1">
      <alignment horizontal="center"/>
    </xf>
    <xf numFmtId="168" fontId="5" fillId="11" borderId="1" xfId="0" applyNumberFormat="1" applyFont="1" applyFill="1" applyBorder="1" applyAlignment="1">
      <alignment vertical="top" wrapText="1" readingOrder="1"/>
    </xf>
    <xf numFmtId="0" fontId="13" fillId="0" borderId="0" xfId="3" applyFont="1" applyAlignment="1">
      <alignment horizontal="center"/>
    </xf>
    <xf numFmtId="0" fontId="26" fillId="0" borderId="0" xfId="0" applyFont="1"/>
    <xf numFmtId="0" fontId="24" fillId="0" borderId="0" xfId="3" applyFont="1" applyAlignment="1">
      <alignment horizontal="center"/>
    </xf>
    <xf numFmtId="0" fontId="12" fillId="0" borderId="0" xfId="3" applyFont="1" applyAlignment="1">
      <alignment horizontal="center" wrapText="1"/>
    </xf>
    <xf numFmtId="0" fontId="25" fillId="0" borderId="0" xfId="0" applyFont="1"/>
    <xf numFmtId="172" fontId="13" fillId="19" borderId="32" xfId="3" applyNumberFormat="1" applyFont="1" applyFill="1" applyBorder="1"/>
    <xf numFmtId="0" fontId="11" fillId="19" borderId="32" xfId="3" applyFont="1" applyFill="1" applyBorder="1"/>
    <xf numFmtId="0" fontId="17" fillId="0" borderId="0" xfId="3" applyFont="1" applyAlignment="1">
      <alignment horizontal="center"/>
    </xf>
    <xf numFmtId="0" fontId="3" fillId="2" borderId="1" xfId="0" applyFont="1" applyFill="1" applyBorder="1" applyAlignment="1">
      <alignment horizontal="center" vertical="top" wrapText="1" readingOrder="1"/>
    </xf>
    <xf numFmtId="0" fontId="4" fillId="8" borderId="1" xfId="0" applyFont="1" applyFill="1" applyBorder="1" applyAlignment="1">
      <alignment vertical="top" wrapText="1" readingOrder="1"/>
    </xf>
    <xf numFmtId="167" fontId="4" fillId="8" borderId="1" xfId="0" applyNumberFormat="1" applyFont="1" applyFill="1" applyBorder="1" applyAlignment="1">
      <alignment vertical="top" wrapText="1" readingOrder="1"/>
    </xf>
    <xf numFmtId="168" fontId="4" fillId="9" borderId="1" xfId="0" applyNumberFormat="1" applyFont="1" applyFill="1" applyBorder="1" applyAlignment="1">
      <alignment vertical="top" wrapText="1" readingOrder="1"/>
    </xf>
    <xf numFmtId="168" fontId="4" fillId="10" borderId="1" xfId="0" applyNumberFormat="1" applyFont="1" applyFill="1" applyBorder="1" applyAlignment="1">
      <alignment vertical="top" wrapText="1" readingOrder="1"/>
    </xf>
    <xf numFmtId="168" fontId="5" fillId="0" borderId="1" xfId="0" applyNumberFormat="1" applyFont="1" applyBorder="1" applyAlignment="1">
      <alignment vertical="top" wrapText="1" readingOrder="1"/>
    </xf>
    <xf numFmtId="167" fontId="5" fillId="0" borderId="1" xfId="0" applyNumberFormat="1" applyFont="1" applyBorder="1" applyAlignment="1">
      <alignment horizontal="right" vertical="top" wrapText="1" readingOrder="1"/>
    </xf>
    <xf numFmtId="168" fontId="4" fillId="8" borderId="1" xfId="0" applyNumberFormat="1" applyFont="1" applyFill="1" applyBorder="1" applyAlignment="1">
      <alignment vertical="top" wrapText="1" readingOrder="1"/>
    </xf>
    <xf numFmtId="168" fontId="27" fillId="0" borderId="1" xfId="0" applyNumberFormat="1" applyFont="1" applyBorder="1" applyAlignment="1">
      <alignment vertical="top" wrapText="1" readingOrder="1"/>
    </xf>
    <xf numFmtId="167" fontId="27" fillId="0" borderId="1" xfId="0" applyNumberFormat="1" applyFont="1" applyBorder="1" applyAlignment="1">
      <alignment horizontal="right" vertical="top" wrapText="1" readingOrder="1"/>
    </xf>
    <xf numFmtId="168" fontId="27" fillId="0" borderId="1" xfId="0" applyNumberFormat="1" applyFont="1" applyBorder="1" applyAlignment="1">
      <alignment horizontal="right" vertical="top" wrapText="1" readingOrder="1"/>
    </xf>
    <xf numFmtId="168" fontId="5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17" fillId="0" borderId="0" xfId="3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 readingOrder="1"/>
    </xf>
    <xf numFmtId="0" fontId="18" fillId="15" borderId="0" xfId="7" applyFill="1" applyBorder="1" applyAlignment="1" applyProtection="1">
      <protection locked="0"/>
    </xf>
    <xf numFmtId="0" fontId="17" fillId="0" borderId="0" xfId="3" applyFont="1" applyAlignment="1">
      <alignment vertical="center"/>
    </xf>
    <xf numFmtId="38" fontId="29" fillId="0" borderId="0" xfId="3" applyNumberFormat="1" applyFont="1"/>
    <xf numFmtId="0" fontId="16" fillId="0" borderId="0" xfId="0" applyFont="1" applyAlignment="1">
      <alignment horizontal="left" vertical="top" wrapText="1" readingOrder="1"/>
    </xf>
    <xf numFmtId="0" fontId="7" fillId="15" borderId="0" xfId="1" applyFill="1" applyAlignment="1" applyProtection="1">
      <alignment horizontal="center"/>
      <protection locked="0"/>
    </xf>
    <xf numFmtId="0" fontId="7" fillId="15" borderId="0" xfId="1" applyFill="1" applyProtection="1">
      <protection locked="0"/>
    </xf>
    <xf numFmtId="0" fontId="8" fillId="16" borderId="13" xfId="1" applyFont="1" applyFill="1" applyBorder="1" applyAlignment="1" applyProtection="1">
      <alignment horizontal="center"/>
      <protection locked="0"/>
    </xf>
    <xf numFmtId="0" fontId="8" fillId="15" borderId="0" xfId="1" applyFont="1" applyFill="1" applyAlignment="1" applyProtection="1">
      <alignment horizontal="center"/>
      <protection locked="0"/>
    </xf>
    <xf numFmtId="0" fontId="8" fillId="15" borderId="14" xfId="1" applyFont="1" applyFill="1" applyBorder="1" applyAlignment="1" applyProtection="1">
      <alignment horizontal="center"/>
      <protection locked="0"/>
    </xf>
    <xf numFmtId="0" fontId="8" fillId="16" borderId="15" xfId="1" applyFont="1" applyFill="1" applyBorder="1" applyAlignment="1" applyProtection="1">
      <alignment horizontal="center"/>
      <protection locked="0"/>
    </xf>
    <xf numFmtId="0" fontId="8" fillId="16" borderId="16" xfId="1" applyFont="1" applyFill="1" applyBorder="1" applyAlignment="1" applyProtection="1">
      <alignment horizontal="center"/>
      <protection locked="0"/>
    </xf>
    <xf numFmtId="0" fontId="8" fillId="16" borderId="17" xfId="1" applyFont="1" applyFill="1" applyBorder="1" applyAlignment="1" applyProtection="1">
      <alignment horizontal="center"/>
      <protection locked="0"/>
    </xf>
    <xf numFmtId="0" fontId="8" fillId="16" borderId="18" xfId="1" applyFont="1" applyFill="1" applyBorder="1" applyAlignment="1" applyProtection="1">
      <alignment horizontal="center"/>
      <protection locked="0"/>
    </xf>
    <xf numFmtId="0" fontId="8" fillId="16" borderId="19" xfId="1" applyFont="1" applyFill="1" applyBorder="1" applyAlignment="1" applyProtection="1">
      <alignment horizontal="center"/>
      <protection locked="0"/>
    </xf>
    <xf numFmtId="0" fontId="8" fillId="17" borderId="15" xfId="1" applyFont="1" applyFill="1" applyBorder="1" applyAlignment="1" applyProtection="1">
      <alignment horizontal="center"/>
      <protection locked="0"/>
    </xf>
    <xf numFmtId="0" fontId="8" fillId="17" borderId="16" xfId="1" applyFont="1" applyFill="1" applyBorder="1" applyAlignment="1" applyProtection="1">
      <alignment horizontal="center"/>
      <protection locked="0"/>
    </xf>
    <xf numFmtId="0" fontId="8" fillId="17" borderId="20" xfId="1" applyFont="1" applyFill="1" applyBorder="1" applyAlignment="1" applyProtection="1">
      <alignment horizontal="center"/>
      <protection locked="0"/>
    </xf>
    <xf numFmtId="0" fontId="8" fillId="17" borderId="17" xfId="1" applyFont="1" applyFill="1" applyBorder="1" applyAlignment="1" applyProtection="1">
      <alignment horizontal="center"/>
      <protection locked="0"/>
    </xf>
    <xf numFmtId="0" fontId="8" fillId="17" borderId="19" xfId="1" applyFont="1" applyFill="1" applyBorder="1" applyAlignment="1" applyProtection="1">
      <alignment horizontal="center"/>
      <protection locked="0"/>
    </xf>
    <xf numFmtId="0" fontId="8" fillId="17" borderId="21" xfId="1" applyFont="1" applyFill="1" applyBorder="1" applyAlignment="1" applyProtection="1">
      <alignment horizontal="center"/>
      <protection locked="0"/>
    </xf>
    <xf numFmtId="0" fontId="8" fillId="16" borderId="16" xfId="1" applyFont="1" applyFill="1" applyBorder="1" applyAlignment="1" applyProtection="1">
      <alignment horizontal="center" wrapText="1"/>
      <protection locked="0"/>
    </xf>
    <xf numFmtId="0" fontId="8" fillId="16" borderId="18" xfId="1" applyFont="1" applyFill="1" applyBorder="1" applyAlignment="1" applyProtection="1">
      <alignment horizontal="center" wrapText="1"/>
      <protection locked="0"/>
    </xf>
    <xf numFmtId="0" fontId="8" fillId="17" borderId="15" xfId="1" applyFont="1" applyFill="1" applyBorder="1" applyAlignment="1" applyProtection="1">
      <alignment horizontal="center" wrapText="1"/>
      <protection locked="0"/>
    </xf>
    <xf numFmtId="0" fontId="8" fillId="17" borderId="16" xfId="1" applyFont="1" applyFill="1" applyBorder="1" applyAlignment="1" applyProtection="1">
      <alignment horizontal="center" wrapText="1"/>
      <protection locked="0"/>
    </xf>
    <xf numFmtId="0" fontId="8" fillId="17" borderId="18" xfId="1" applyFont="1" applyFill="1" applyBorder="1" applyAlignment="1" applyProtection="1">
      <alignment horizontal="center" wrapText="1"/>
      <protection locked="0"/>
    </xf>
    <xf numFmtId="0" fontId="8" fillId="17" borderId="20" xfId="1" applyFont="1" applyFill="1" applyBorder="1" applyAlignment="1" applyProtection="1">
      <alignment horizontal="center" wrapText="1"/>
      <protection locked="0"/>
    </xf>
    <xf numFmtId="0" fontId="8" fillId="17" borderId="21" xfId="1" applyFont="1" applyFill="1" applyBorder="1" applyAlignment="1" applyProtection="1">
      <alignment horizontal="center" wrapText="1"/>
      <protection locked="0"/>
    </xf>
    <xf numFmtId="175" fontId="0" fillId="0" borderId="0" xfId="0" applyNumberFormat="1"/>
    <xf numFmtId="0" fontId="31" fillId="0" borderId="0" xfId="0" applyFont="1"/>
    <xf numFmtId="0" fontId="31" fillId="0" borderId="0" xfId="0" applyFont="1" applyAlignment="1">
      <alignment vertical="center"/>
    </xf>
    <xf numFmtId="167" fontId="31" fillId="0" borderId="0" xfId="0" applyNumberFormat="1" applyFont="1"/>
    <xf numFmtId="0" fontId="8" fillId="17" borderId="9" xfId="1" applyFont="1" applyFill="1" applyBorder="1" applyAlignment="1" applyProtection="1">
      <alignment horizontal="center"/>
      <protection locked="0"/>
    </xf>
    <xf numFmtId="168" fontId="31" fillId="0" borderId="0" xfId="0" applyNumberFormat="1" applyFont="1"/>
    <xf numFmtId="41" fontId="0" fillId="0" borderId="32" xfId="15" applyFont="1" applyFill="1" applyBorder="1"/>
    <xf numFmtId="175" fontId="8" fillId="0" borderId="0" xfId="0" applyNumberFormat="1" applyFont="1"/>
    <xf numFmtId="169" fontId="0" fillId="0" borderId="25" xfId="2" applyNumberFormat="1" applyFont="1" applyFill="1" applyBorder="1" applyProtection="1">
      <protection locked="0"/>
    </xf>
    <xf numFmtId="169" fontId="0" fillId="0" borderId="26" xfId="2" applyNumberFormat="1" applyFont="1" applyFill="1" applyBorder="1" applyProtection="1">
      <protection locked="0"/>
    </xf>
    <xf numFmtId="169" fontId="0" fillId="0" borderId="23" xfId="2" applyNumberFormat="1" applyFont="1" applyFill="1" applyBorder="1" applyProtection="1">
      <protection locked="0"/>
    </xf>
    <xf numFmtId="169" fontId="0" fillId="0" borderId="0" xfId="2" applyNumberFormat="1" applyFont="1" applyFill="1" applyBorder="1" applyProtection="1">
      <protection locked="0"/>
    </xf>
    <xf numFmtId="169" fontId="0" fillId="0" borderId="0" xfId="2" applyNumberFormat="1" applyFont="1" applyFill="1" applyProtection="1">
      <protection locked="0"/>
    </xf>
    <xf numFmtId="168" fontId="2" fillId="0" borderId="0" xfId="0" applyNumberFormat="1" applyFont="1"/>
    <xf numFmtId="0" fontId="11" fillId="15" borderId="0" xfId="4" applyFont="1" applyFill="1" applyAlignment="1">
      <alignment vertical="center"/>
    </xf>
    <xf numFmtId="170" fontId="0" fillId="0" borderId="23" xfId="2" applyNumberFormat="1" applyFont="1" applyFill="1" applyBorder="1" applyProtection="1"/>
    <xf numFmtId="0" fontId="7" fillId="15" borderId="0" xfId="1" applyFill="1"/>
    <xf numFmtId="169" fontId="0" fillId="0" borderId="29" xfId="2" applyNumberFormat="1" applyFont="1" applyFill="1" applyBorder="1" applyProtection="1"/>
    <xf numFmtId="169" fontId="0" fillId="0" borderId="28" xfId="2" applyNumberFormat="1" applyFont="1" applyFill="1" applyBorder="1" applyProtection="1"/>
    <xf numFmtId="169" fontId="33" fillId="0" borderId="28" xfId="2" applyNumberFormat="1" applyFont="1" applyFill="1" applyBorder="1" applyProtection="1"/>
    <xf numFmtId="169" fontId="0" fillId="0" borderId="25" xfId="2" applyNumberFormat="1" applyFont="1" applyFill="1" applyBorder="1" applyProtection="1"/>
    <xf numFmtId="169" fontId="8" fillId="15" borderId="31" xfId="2" applyNumberFormat="1" applyFont="1" applyFill="1" applyBorder="1" applyProtection="1"/>
    <xf numFmtId="14" fontId="11" fillId="15" borderId="0" xfId="4" applyNumberFormat="1" applyFont="1" applyFill="1" applyProtection="1">
      <protection locked="0"/>
    </xf>
    <xf numFmtId="42" fontId="0" fillId="31" borderId="32" xfId="17" applyFont="1" applyFill="1" applyBorder="1"/>
    <xf numFmtId="42" fontId="0" fillId="28" borderId="32" xfId="17" applyFont="1" applyFill="1" applyBorder="1"/>
    <xf numFmtId="42" fontId="0" fillId="25" borderId="32" xfId="17" applyFont="1" applyFill="1" applyBorder="1"/>
    <xf numFmtId="42" fontId="0" fillId="22" borderId="32" xfId="17" applyFont="1" applyFill="1" applyBorder="1"/>
    <xf numFmtId="42" fontId="0" fillId="0" borderId="32" xfId="17" applyFont="1" applyBorder="1"/>
    <xf numFmtId="42" fontId="0" fillId="26" borderId="32" xfId="17" applyFont="1" applyFill="1" applyBorder="1"/>
    <xf numFmtId="10" fontId="0" fillId="0" borderId="32" xfId="16" applyNumberFormat="1" applyFont="1" applyBorder="1"/>
    <xf numFmtId="0" fontId="0" fillId="22" borderId="32" xfId="0" applyFill="1" applyBorder="1" applyAlignment="1">
      <alignment horizontal="center" vertical="center"/>
    </xf>
    <xf numFmtId="0" fontId="0" fillId="22" borderId="32" xfId="0" applyFill="1" applyBorder="1" applyAlignment="1">
      <alignment horizontal="center" vertical="center" wrapText="1"/>
    </xf>
    <xf numFmtId="0" fontId="0" fillId="0" borderId="32" xfId="0" applyBorder="1"/>
    <xf numFmtId="42" fontId="0" fillId="0" borderId="32" xfId="0" applyNumberFormat="1" applyBorder="1"/>
    <xf numFmtId="42" fontId="0" fillId="22" borderId="32" xfId="0" applyNumberFormat="1" applyFill="1" applyBorder="1"/>
    <xf numFmtId="42" fontId="0" fillId="26" borderId="32" xfId="0" applyNumberFormat="1" applyFill="1" applyBorder="1"/>
    <xf numFmtId="0" fontId="36" fillId="2" borderId="32" xfId="14" applyFont="1" applyFill="1" applyBorder="1" applyAlignment="1">
      <alignment horizontal="center" vertical="center" wrapText="1" readingOrder="1"/>
    </xf>
    <xf numFmtId="0" fontId="36" fillId="3" borderId="32" xfId="14" applyFont="1" applyFill="1" applyBorder="1" applyAlignment="1">
      <alignment horizontal="center" vertical="center" wrapText="1" readingOrder="1"/>
    </xf>
    <xf numFmtId="0" fontId="36" fillId="20" borderId="32" xfId="14" applyFont="1" applyFill="1" applyBorder="1" applyAlignment="1">
      <alignment horizontal="center" vertical="center" wrapText="1" readingOrder="1"/>
    </xf>
    <xf numFmtId="0" fontId="36" fillId="4" borderId="32" xfId="14" applyFont="1" applyFill="1" applyBorder="1" applyAlignment="1">
      <alignment horizontal="center" vertical="center" wrapText="1" readingOrder="1"/>
    </xf>
    <xf numFmtId="0" fontId="36" fillId="21" borderId="32" xfId="14" applyFont="1" applyFill="1" applyBorder="1" applyAlignment="1">
      <alignment horizontal="center" vertical="center" wrapText="1" readingOrder="1"/>
    </xf>
    <xf numFmtId="42" fontId="36" fillId="30" borderId="32" xfId="17" applyFont="1" applyFill="1" applyBorder="1" applyAlignment="1">
      <alignment horizontal="right" vertical="top" wrapText="1" readingOrder="1"/>
    </xf>
    <xf numFmtId="42" fontId="28" fillId="24" borderId="32" xfId="17" applyFont="1" applyFill="1" applyBorder="1" applyAlignment="1">
      <alignment vertical="top" wrapText="1" readingOrder="1"/>
    </xf>
    <xf numFmtId="42" fontId="28" fillId="11" borderId="32" xfId="17" applyFont="1" applyFill="1" applyBorder="1" applyAlignment="1">
      <alignment vertical="top" wrapText="1" readingOrder="1"/>
    </xf>
    <xf numFmtId="42" fontId="28" fillId="29" borderId="32" xfId="17" applyFont="1" applyFill="1" applyBorder="1" applyAlignment="1">
      <alignment vertical="top" wrapText="1" readingOrder="1"/>
    </xf>
    <xf numFmtId="42" fontId="28" fillId="23" borderId="32" xfId="17" applyFont="1" applyFill="1" applyBorder="1" applyAlignment="1">
      <alignment vertical="top" wrapText="1" readingOrder="1"/>
    </xf>
    <xf numFmtId="42" fontId="28" fillId="27" borderId="32" xfId="17" applyFont="1" applyFill="1" applyBorder="1" applyAlignment="1">
      <alignment vertical="top" wrapText="1" readingOrder="1"/>
    </xf>
    <xf numFmtId="42" fontId="36" fillId="11" borderId="32" xfId="17" applyFont="1" applyFill="1" applyBorder="1" applyAlignment="1">
      <alignment horizontal="center" vertical="top" wrapText="1" readingOrder="1"/>
    </xf>
    <xf numFmtId="0" fontId="37" fillId="18" borderId="32" xfId="3" applyFont="1" applyFill="1" applyBorder="1" applyAlignment="1">
      <alignment horizontal="center" vertical="center"/>
    </xf>
    <xf numFmtId="0" fontId="37" fillId="18" borderId="32" xfId="3" applyFont="1" applyFill="1" applyBorder="1" applyAlignment="1">
      <alignment horizontal="center" wrapText="1"/>
    </xf>
    <xf numFmtId="0" fontId="37" fillId="19" borderId="32" xfId="3" applyFont="1" applyFill="1" applyBorder="1"/>
    <xf numFmtId="42" fontId="37" fillId="31" borderId="32" xfId="17" applyFont="1" applyFill="1" applyBorder="1"/>
    <xf numFmtId="42" fontId="37" fillId="19" borderId="32" xfId="17" applyFont="1" applyFill="1" applyBorder="1"/>
    <xf numFmtId="42" fontId="37" fillId="28" borderId="32" xfId="17" applyFont="1" applyFill="1" applyBorder="1"/>
    <xf numFmtId="42" fontId="37" fillId="22" borderId="32" xfId="17" applyFont="1" applyFill="1" applyBorder="1"/>
    <xf numFmtId="0" fontId="36" fillId="2" borderId="44" xfId="0" applyFont="1" applyFill="1" applyBorder="1" applyAlignment="1">
      <alignment horizontal="center" vertical="center" wrapText="1" readingOrder="1"/>
    </xf>
    <xf numFmtId="0" fontId="36" fillId="3" borderId="44" xfId="0" applyFont="1" applyFill="1" applyBorder="1" applyAlignment="1">
      <alignment horizontal="center" vertical="center" wrapText="1" readingOrder="1"/>
    </xf>
    <xf numFmtId="0" fontId="36" fillId="2" borderId="45" xfId="0" applyFont="1" applyFill="1" applyBorder="1" applyAlignment="1">
      <alignment horizontal="center" vertical="center" wrapText="1" readingOrder="1"/>
    </xf>
    <xf numFmtId="0" fontId="36" fillId="4" borderId="45" xfId="0" applyFont="1" applyFill="1" applyBorder="1" applyAlignment="1">
      <alignment horizontal="center" vertical="center" wrapText="1" readingOrder="1"/>
    </xf>
    <xf numFmtId="0" fontId="36" fillId="3" borderId="45" xfId="0" applyFont="1" applyFill="1" applyBorder="1" applyAlignment="1">
      <alignment horizontal="center" vertical="center" wrapText="1" readingOrder="1"/>
    </xf>
    <xf numFmtId="0" fontId="8" fillId="15" borderId="11" xfId="1" applyFont="1" applyFill="1" applyBorder="1" applyAlignment="1" applyProtection="1">
      <alignment horizontal="center" wrapText="1"/>
      <protection locked="0"/>
    </xf>
    <xf numFmtId="0" fontId="8" fillId="15" borderId="11" xfId="1" applyFont="1" applyFill="1" applyBorder="1" applyAlignment="1" applyProtection="1">
      <alignment horizontal="center"/>
      <protection locked="0"/>
    </xf>
    <xf numFmtId="0" fontId="8" fillId="15" borderId="9" xfId="1" applyFont="1" applyFill="1" applyBorder="1" applyAlignment="1" applyProtection="1">
      <alignment horizontal="center"/>
      <protection locked="0"/>
    </xf>
    <xf numFmtId="0" fontId="8" fillId="16" borderId="17" xfId="1" applyFont="1" applyFill="1" applyBorder="1" applyAlignment="1" applyProtection="1">
      <alignment horizontal="center" wrapText="1"/>
      <protection locked="0"/>
    </xf>
    <xf numFmtId="0" fontId="8" fillId="16" borderId="19" xfId="1" applyFont="1" applyFill="1" applyBorder="1" applyAlignment="1" applyProtection="1">
      <alignment horizontal="center" wrapText="1"/>
      <protection locked="0"/>
    </xf>
    <xf numFmtId="0" fontId="8" fillId="17" borderId="19" xfId="1" applyFont="1" applyFill="1" applyBorder="1" applyAlignment="1" applyProtection="1">
      <alignment horizontal="center" wrapText="1"/>
      <protection locked="0"/>
    </xf>
    <xf numFmtId="0" fontId="8" fillId="16" borderId="13" xfId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69" fontId="38" fillId="0" borderId="28" xfId="2" applyNumberFormat="1" applyFont="1" applyFill="1" applyBorder="1" applyProtection="1"/>
    <xf numFmtId="0" fontId="11" fillId="15" borderId="0" xfId="4" applyFont="1" applyFill="1" applyAlignment="1" applyProtection="1">
      <alignment horizontal="left" vertical="center"/>
      <protection locked="0"/>
    </xf>
    <xf numFmtId="0" fontId="43" fillId="0" borderId="0" xfId="0" applyFont="1" applyAlignment="1">
      <alignment vertical="top" wrapText="1" readingOrder="1"/>
    </xf>
    <xf numFmtId="167" fontId="43" fillId="8" borderId="1" xfId="0" applyNumberFormat="1" applyFont="1" applyFill="1" applyBorder="1" applyAlignment="1">
      <alignment vertical="top" wrapText="1" readingOrder="1"/>
    </xf>
    <xf numFmtId="168" fontId="43" fillId="9" borderId="1" xfId="0" applyNumberFormat="1" applyFont="1" applyFill="1" applyBorder="1" applyAlignment="1">
      <alignment vertical="top" wrapText="1" readingOrder="1"/>
    </xf>
    <xf numFmtId="0" fontId="43" fillId="0" borderId="1" xfId="0" applyFont="1" applyBorder="1" applyAlignment="1">
      <alignment vertical="top" wrapText="1" readingOrder="1"/>
    </xf>
    <xf numFmtId="168" fontId="43" fillId="8" borderId="1" xfId="0" applyNumberFormat="1" applyFont="1" applyFill="1" applyBorder="1" applyAlignment="1">
      <alignment vertical="top" wrapText="1" readingOrder="1"/>
    </xf>
    <xf numFmtId="167" fontId="44" fillId="0" borderId="1" xfId="0" applyNumberFormat="1" applyFont="1" applyBorder="1" applyAlignment="1">
      <alignment horizontal="right" vertical="top" wrapText="1" readingOrder="1"/>
    </xf>
    <xf numFmtId="0" fontId="44" fillId="0" borderId="0" xfId="0" applyFont="1" applyAlignment="1">
      <alignment vertical="top" wrapText="1" readingOrder="1"/>
    </xf>
    <xf numFmtId="168" fontId="44" fillId="0" borderId="1" xfId="0" applyNumberFormat="1" applyFont="1" applyBorder="1" applyAlignment="1">
      <alignment vertical="top" wrapText="1" readingOrder="1"/>
    </xf>
    <xf numFmtId="168" fontId="44" fillId="0" borderId="1" xfId="0" applyNumberFormat="1" applyFont="1" applyBorder="1" applyAlignment="1">
      <alignment horizontal="right" vertical="top" wrapText="1" readingOrder="1"/>
    </xf>
    <xf numFmtId="168" fontId="45" fillId="0" borderId="1" xfId="0" applyNumberFormat="1" applyFont="1" applyBorder="1" applyAlignment="1">
      <alignment vertical="top" wrapText="1" readingOrder="1"/>
    </xf>
    <xf numFmtId="0" fontId="7" fillId="35" borderId="0" xfId="1" applyFill="1" applyAlignment="1" applyProtection="1">
      <alignment horizontal="center"/>
      <protection locked="0"/>
    </xf>
    <xf numFmtId="1" fontId="0" fillId="0" borderId="0" xfId="0" quotePrefix="1" applyNumberFormat="1"/>
    <xf numFmtId="0" fontId="44" fillId="0" borderId="1" xfId="0" applyFont="1" applyBorder="1" applyAlignment="1">
      <alignment vertical="top" wrapText="1" readingOrder="1"/>
    </xf>
    <xf numFmtId="0" fontId="39" fillId="0" borderId="0" xfId="0" applyFont="1"/>
    <xf numFmtId="168" fontId="43" fillId="10" borderId="1" xfId="0" applyNumberFormat="1" applyFont="1" applyFill="1" applyBorder="1" applyAlignment="1">
      <alignment vertical="top" wrapText="1" readingOrder="1"/>
    </xf>
    <xf numFmtId="168" fontId="46" fillId="14" borderId="1" xfId="0" applyNumberFormat="1" applyFont="1" applyFill="1" applyBorder="1" applyAlignment="1">
      <alignment vertical="top" wrapText="1" readingOrder="1"/>
    </xf>
    <xf numFmtId="11" fontId="2" fillId="0" borderId="0" xfId="0" quotePrefix="1" applyNumberFormat="1" applyFont="1"/>
    <xf numFmtId="1" fontId="11" fillId="15" borderId="0" xfId="6" quotePrefix="1" applyNumberFormat="1" applyFont="1" applyFill="1" applyAlignment="1" applyProtection="1">
      <alignment horizontal="left" vertical="center" wrapText="1"/>
      <protection locked="0"/>
    </xf>
    <xf numFmtId="0" fontId="11" fillId="15" borderId="0" xfId="4" applyFont="1" applyFill="1" applyAlignment="1" applyProtection="1">
      <alignment horizontal="left" vertical="center" wrapText="1"/>
      <protection locked="0"/>
    </xf>
    <xf numFmtId="0" fontId="11" fillId="15" borderId="0" xfId="4" applyFont="1" applyFill="1" applyAlignment="1">
      <alignment vertical="center" wrapText="1"/>
    </xf>
    <xf numFmtId="3" fontId="0" fillId="0" borderId="0" xfId="0" applyNumberFormat="1"/>
    <xf numFmtId="0" fontId="8" fillId="0" borderId="0" xfId="0" applyFont="1"/>
    <xf numFmtId="3" fontId="8" fillId="0" borderId="0" xfId="0" applyNumberFormat="1" applyFont="1"/>
    <xf numFmtId="3" fontId="7" fillId="15" borderId="0" xfId="1" applyNumberFormat="1" applyFill="1" applyProtection="1">
      <protection locked="0"/>
    </xf>
    <xf numFmtId="4" fontId="0" fillId="0" borderId="0" xfId="0" applyNumberFormat="1"/>
    <xf numFmtId="167" fontId="2" fillId="0" borderId="0" xfId="0" applyNumberFormat="1" applyFont="1"/>
    <xf numFmtId="170" fontId="7" fillId="0" borderId="23" xfId="2" applyNumberFormat="1" applyFont="1" applyFill="1" applyBorder="1" applyProtection="1"/>
    <xf numFmtId="169" fontId="7" fillId="0" borderId="23" xfId="2" applyNumberFormat="1" applyFont="1" applyFill="1" applyBorder="1" applyProtection="1">
      <protection locked="0"/>
    </xf>
    <xf numFmtId="169" fontId="7" fillId="15" borderId="0" xfId="1" applyNumberFormat="1" applyFill="1" applyProtection="1">
      <protection locked="0"/>
    </xf>
    <xf numFmtId="167" fontId="47" fillId="0" borderId="0" xfId="0" applyNumberFormat="1" applyFont="1"/>
    <xf numFmtId="173" fontId="4" fillId="5" borderId="1" xfId="0" applyNumberFormat="1" applyFont="1" applyFill="1" applyBorder="1" applyAlignment="1">
      <alignment vertical="top" wrapText="1" readingOrder="1"/>
    </xf>
    <xf numFmtId="173" fontId="2" fillId="0" borderId="0" xfId="0" applyNumberFormat="1" applyFont="1"/>
    <xf numFmtId="173" fontId="5" fillId="11" borderId="1" xfId="0" applyNumberFormat="1" applyFont="1" applyFill="1" applyBorder="1" applyAlignment="1">
      <alignment vertical="top" wrapText="1" readingOrder="1"/>
    </xf>
    <xf numFmtId="173" fontId="5" fillId="0" borderId="1" xfId="0" applyNumberFormat="1" applyFont="1" applyBorder="1" applyAlignment="1">
      <alignment vertical="top" wrapText="1" readingOrder="1"/>
    </xf>
    <xf numFmtId="169" fontId="7" fillId="15" borderId="0" xfId="1" applyNumberFormat="1" applyFill="1"/>
    <xf numFmtId="168" fontId="47" fillId="0" borderId="0" xfId="0" applyNumberFormat="1" applyFont="1"/>
    <xf numFmtId="10" fontId="47" fillId="0" borderId="0" xfId="16" applyNumberFormat="1" applyFont="1" applyFill="1" applyBorder="1"/>
    <xf numFmtId="10" fontId="2" fillId="0" borderId="0" xfId="16" applyNumberFormat="1" applyFont="1"/>
    <xf numFmtId="10" fontId="7" fillId="15" borderId="0" xfId="16" applyNumberFormat="1" applyFill="1" applyProtection="1"/>
    <xf numFmtId="41" fontId="2" fillId="0" borderId="0" xfId="18" applyFont="1"/>
    <xf numFmtId="172" fontId="0" fillId="0" borderId="0" xfId="0" applyNumberFormat="1"/>
    <xf numFmtId="168" fontId="2" fillId="0" borderId="0" xfId="0" applyNumberFormat="1" applyFont="1" applyAlignment="1">
      <alignment horizontal="left"/>
    </xf>
    <xf numFmtId="0" fontId="48" fillId="0" borderId="0" xfId="0" applyFont="1"/>
    <xf numFmtId="3" fontId="48" fillId="0" borderId="0" xfId="0" applyNumberFormat="1" applyFont="1"/>
    <xf numFmtId="168" fontId="48" fillId="0" borderId="0" xfId="0" applyNumberFormat="1" applyFont="1"/>
    <xf numFmtId="9" fontId="2" fillId="0" borderId="0" xfId="16" applyFont="1" applyFill="1" applyBorder="1"/>
    <xf numFmtId="176" fontId="47" fillId="0" borderId="0" xfId="0" applyNumberFormat="1" applyFont="1"/>
    <xf numFmtId="0" fontId="4" fillId="0" borderId="1" xfId="0" applyFont="1" applyBorder="1" applyAlignment="1">
      <alignment vertical="top" wrapText="1" readingOrder="1"/>
    </xf>
    <xf numFmtId="0" fontId="2" fillId="0" borderId="0" xfId="0" applyFont="1" applyAlignment="1">
      <alignment horizontal="right"/>
    </xf>
    <xf numFmtId="0" fontId="7" fillId="0" borderId="0" xfId="1"/>
    <xf numFmtId="0" fontId="21" fillId="0" borderId="0" xfId="1" applyFont="1"/>
    <xf numFmtId="0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0" fontId="12" fillId="0" borderId="0" xfId="16" applyNumberFormat="1" applyFont="1"/>
    <xf numFmtId="3" fontId="2" fillId="0" borderId="0" xfId="0" applyNumberFormat="1" applyFont="1"/>
    <xf numFmtId="0" fontId="8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right"/>
    </xf>
    <xf numFmtId="1" fontId="0" fillId="0" borderId="0" xfId="0" applyNumberFormat="1"/>
    <xf numFmtId="0" fontId="0" fillId="0" borderId="0" xfId="0" applyAlignment="1">
      <alignment horizontal="left" indent="2"/>
    </xf>
    <xf numFmtId="0" fontId="0" fillId="0" borderId="0" xfId="0" pivotButton="1"/>
    <xf numFmtId="41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0" fontId="47" fillId="0" borderId="0" xfId="16" applyNumberFormat="1" applyFont="1"/>
    <xf numFmtId="0" fontId="11" fillId="37" borderId="32" xfId="3" applyFont="1" applyFill="1" applyBorder="1"/>
    <xf numFmtId="172" fontId="13" fillId="37" borderId="32" xfId="3" applyNumberFormat="1" applyFont="1" applyFill="1" applyBorder="1"/>
    <xf numFmtId="169" fontId="7" fillId="0" borderId="28" xfId="2" applyNumberFormat="1" applyFont="1" applyFill="1" applyBorder="1" applyProtection="1"/>
    <xf numFmtId="169" fontId="7" fillId="0" borderId="29" xfId="2" applyNumberFormat="1" applyFont="1" applyFill="1" applyBorder="1" applyProtection="1"/>
    <xf numFmtId="169" fontId="7" fillId="0" borderId="0" xfId="2" applyNumberFormat="1" applyFont="1" applyFill="1" applyProtection="1">
      <protection locked="0"/>
    </xf>
    <xf numFmtId="169" fontId="7" fillId="0" borderId="30" xfId="2" applyNumberFormat="1" applyFont="1" applyFill="1" applyBorder="1" applyProtection="1"/>
    <xf numFmtId="0" fontId="3" fillId="0" borderId="43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4" fillId="0" borderId="4" xfId="0" applyFont="1" applyBorder="1" applyAlignment="1">
      <alignment vertical="top" wrapText="1" readingOrder="1"/>
    </xf>
    <xf numFmtId="168" fontId="4" fillId="12" borderId="1" xfId="0" applyNumberFormat="1" applyFont="1" applyFill="1" applyBorder="1" applyAlignment="1">
      <alignment vertical="top" wrapText="1" readingOrder="1"/>
    </xf>
    <xf numFmtId="169" fontId="7" fillId="0" borderId="24" xfId="2" applyNumberFormat="1" applyFont="1" applyFill="1" applyBorder="1" applyAlignment="1" applyProtection="1">
      <alignment horizontal="right"/>
    </xf>
    <xf numFmtId="169" fontId="0" fillId="0" borderId="24" xfId="2" applyNumberFormat="1" applyFont="1" applyFill="1" applyBorder="1" applyAlignment="1" applyProtection="1">
      <alignment horizontal="right"/>
    </xf>
    <xf numFmtId="0" fontId="0" fillId="15" borderId="0" xfId="1" applyFont="1" applyFill="1" applyProtection="1">
      <protection locked="0"/>
    </xf>
    <xf numFmtId="169" fontId="7" fillId="0" borderId="0" xfId="1" applyNumberFormat="1" applyProtection="1">
      <protection locked="0"/>
    </xf>
    <xf numFmtId="0" fontId="7" fillId="0" borderId="0" xfId="1" applyProtection="1">
      <protection locked="0"/>
    </xf>
    <xf numFmtId="169" fontId="50" fillId="0" borderId="0" xfId="2" applyNumberFormat="1" applyFont="1" applyFill="1" applyBorder="1"/>
    <xf numFmtId="0" fontId="51" fillId="0" borderId="0" xfId="1" applyFont="1"/>
    <xf numFmtId="0" fontId="7" fillId="0" borderId="39" xfId="1" applyBorder="1"/>
    <xf numFmtId="169" fontId="52" fillId="0" borderId="24" xfId="2" applyNumberFormat="1" applyFont="1" applyFill="1" applyBorder="1" applyAlignment="1" applyProtection="1">
      <alignment horizontal="right"/>
    </xf>
    <xf numFmtId="169" fontId="52" fillId="0" borderId="25" xfId="2" applyNumberFormat="1" applyFont="1" applyFill="1" applyBorder="1" applyProtection="1">
      <protection locked="0"/>
    </xf>
    <xf numFmtId="169" fontId="52" fillId="0" borderId="26" xfId="2" applyNumberFormat="1" applyFont="1" applyFill="1" applyBorder="1" applyProtection="1">
      <protection locked="0"/>
    </xf>
    <xf numFmtId="169" fontId="53" fillId="0" borderId="27" xfId="2" applyNumberFormat="1" applyFont="1" applyFill="1" applyBorder="1" applyProtection="1">
      <protection locked="0"/>
    </xf>
    <xf numFmtId="169" fontId="52" fillId="0" borderId="28" xfId="2" applyNumberFormat="1" applyFont="1" applyFill="1" applyBorder="1" applyProtection="1"/>
    <xf numFmtId="169" fontId="52" fillId="0" borderId="23" xfId="2" applyNumberFormat="1" applyFont="1" applyFill="1" applyBorder="1" applyProtection="1">
      <protection locked="0"/>
    </xf>
    <xf numFmtId="169" fontId="52" fillId="0" borderId="29" xfId="2" applyNumberFormat="1" applyFont="1" applyFill="1" applyBorder="1" applyProtection="1"/>
    <xf numFmtId="169" fontId="52" fillId="0" borderId="0" xfId="2" applyNumberFormat="1" applyFont="1" applyFill="1" applyProtection="1">
      <protection locked="0"/>
    </xf>
    <xf numFmtId="169" fontId="52" fillId="0" borderId="30" xfId="2" applyNumberFormat="1" applyFont="1" applyFill="1" applyBorder="1" applyProtection="1"/>
    <xf numFmtId="170" fontId="52" fillId="0" borderId="23" xfId="2" applyNumberFormat="1" applyFont="1" applyFill="1" applyBorder="1" applyProtection="1"/>
    <xf numFmtId="169" fontId="38" fillId="0" borderId="0" xfId="2" applyNumberFormat="1" applyFont="1" applyFill="1" applyBorder="1" applyProtection="1">
      <protection locked="0"/>
    </xf>
    <xf numFmtId="0" fontId="0" fillId="15" borderId="0" xfId="1" applyFont="1" applyFill="1" applyAlignment="1" applyProtection="1">
      <alignment horizontal="left"/>
      <protection locked="0"/>
    </xf>
    <xf numFmtId="0" fontId="8" fillId="36" borderId="32" xfId="0" applyFont="1" applyFill="1" applyBorder="1" applyAlignment="1">
      <alignment horizontal="left"/>
    </xf>
    <xf numFmtId="0" fontId="0" fillId="38" borderId="32" xfId="0" applyFill="1" applyBorder="1" applyAlignment="1">
      <alignment horizontal="left"/>
    </xf>
    <xf numFmtId="3" fontId="0" fillId="38" borderId="32" xfId="0" applyNumberFormat="1" applyFill="1" applyBorder="1" applyAlignment="1">
      <alignment horizontal="left"/>
    </xf>
    <xf numFmtId="0" fontId="0" fillId="41" borderId="32" xfId="0" applyFill="1" applyBorder="1" applyAlignment="1">
      <alignment horizontal="left"/>
    </xf>
    <xf numFmtId="3" fontId="0" fillId="41" borderId="32" xfId="0" applyNumberFormat="1" applyFill="1" applyBorder="1" applyAlignment="1">
      <alignment horizontal="left"/>
    </xf>
    <xf numFmtId="0" fontId="55" fillId="42" borderId="32" xfId="0" applyFont="1" applyFill="1" applyBorder="1" applyAlignment="1">
      <alignment horizontal="left"/>
    </xf>
    <xf numFmtId="3" fontId="55" fillId="42" borderId="32" xfId="0" applyNumberFormat="1" applyFont="1" applyFill="1" applyBorder="1" applyAlignment="1">
      <alignment horizontal="left"/>
    </xf>
    <xf numFmtId="0" fontId="54" fillId="44" borderId="32" xfId="0" applyFont="1" applyFill="1" applyBorder="1" applyAlignment="1">
      <alignment horizontal="left"/>
    </xf>
    <xf numFmtId="3" fontId="54" fillId="44" borderId="32" xfId="0" applyNumberFormat="1" applyFont="1" applyFill="1" applyBorder="1" applyAlignment="1">
      <alignment horizontal="left"/>
    </xf>
    <xf numFmtId="0" fontId="0" fillId="39" borderId="32" xfId="0" applyFill="1" applyBorder="1" applyAlignment="1">
      <alignment horizontal="left"/>
    </xf>
    <xf numFmtId="3" fontId="0" fillId="39" borderId="32" xfId="0" applyNumberFormat="1" applyFill="1" applyBorder="1" applyAlignment="1">
      <alignment horizontal="left"/>
    </xf>
    <xf numFmtId="0" fontId="0" fillId="40" borderId="32" xfId="0" applyFill="1" applyBorder="1" applyAlignment="1">
      <alignment horizontal="left"/>
    </xf>
    <xf numFmtId="3" fontId="0" fillId="40" borderId="32" xfId="0" applyNumberFormat="1" applyFill="1" applyBorder="1" applyAlignment="1">
      <alignment horizontal="left"/>
    </xf>
    <xf numFmtId="0" fontId="54" fillId="43" borderId="32" xfId="0" applyFont="1" applyFill="1" applyBorder="1" applyAlignment="1">
      <alignment horizontal="left"/>
    </xf>
    <xf numFmtId="3" fontId="54" fillId="43" borderId="32" xfId="0" applyNumberFormat="1" applyFont="1" applyFill="1" applyBorder="1" applyAlignment="1">
      <alignment horizontal="left"/>
    </xf>
    <xf numFmtId="0" fontId="0" fillId="32" borderId="32" xfId="0" applyFill="1" applyBorder="1" applyAlignment="1">
      <alignment horizontal="left"/>
    </xf>
    <xf numFmtId="3" fontId="0" fillId="32" borderId="32" xfId="0" applyNumberFormat="1" applyFill="1" applyBorder="1" applyAlignment="1">
      <alignment horizontal="left"/>
    </xf>
    <xf numFmtId="0" fontId="0" fillId="17" borderId="32" xfId="0" applyFill="1" applyBorder="1" applyAlignment="1">
      <alignment horizontal="left"/>
    </xf>
    <xf numFmtId="3" fontId="0" fillId="17" borderId="32" xfId="0" applyNumberFormat="1" applyFill="1" applyBorder="1" applyAlignment="1">
      <alignment horizontal="left"/>
    </xf>
    <xf numFmtId="0" fontId="8" fillId="36" borderId="33" xfId="0" applyFont="1" applyFill="1" applyBorder="1" applyAlignment="1">
      <alignment horizontal="left"/>
    </xf>
    <xf numFmtId="41" fontId="8" fillId="36" borderId="0" xfId="18" applyFont="1" applyFill="1" applyAlignment="1">
      <alignment horizontal="center"/>
    </xf>
    <xf numFmtId="0" fontId="7" fillId="33" borderId="0" xfId="1" applyFill="1" applyAlignment="1" applyProtection="1">
      <alignment horizontal="center"/>
      <protection locked="0"/>
    </xf>
    <xf numFmtId="0" fontId="7" fillId="34" borderId="0" xfId="1" applyFill="1" applyAlignment="1" applyProtection="1">
      <alignment horizontal="center"/>
      <protection locked="0"/>
    </xf>
    <xf numFmtId="0" fontId="7" fillId="32" borderId="0" xfId="1" applyFill="1" applyAlignment="1" applyProtection="1">
      <alignment horizontal="center"/>
      <protection locked="0"/>
    </xf>
    <xf numFmtId="0" fontId="21" fillId="0" borderId="33" xfId="1" applyFont="1" applyBorder="1" applyAlignment="1">
      <alignment horizontal="center"/>
    </xf>
    <xf numFmtId="0" fontId="7" fillId="15" borderId="0" xfId="1" applyFill="1" applyAlignment="1">
      <alignment horizontal="center"/>
    </xf>
    <xf numFmtId="169" fontId="21" fillId="0" borderId="27" xfId="2" applyNumberFormat="1" applyFont="1" applyFill="1" applyBorder="1" applyProtection="1">
      <protection locked="0"/>
    </xf>
    <xf numFmtId="169" fontId="57" fillId="0" borderId="0" xfId="2" applyNumberFormat="1" applyFont="1" applyFill="1" applyProtection="1">
      <protection locked="0"/>
    </xf>
    <xf numFmtId="167" fontId="58" fillId="0" borderId="0" xfId="0" applyNumberFormat="1" applyFont="1"/>
    <xf numFmtId="41" fontId="7" fillId="15" borderId="0" xfId="18" applyFill="1" applyProtection="1">
      <protection locked="0"/>
    </xf>
    <xf numFmtId="41" fontId="7" fillId="15" borderId="0" xfId="18" applyFill="1"/>
    <xf numFmtId="177" fontId="7" fillId="15" borderId="0" xfId="1" applyNumberFormat="1" applyFill="1" applyAlignment="1" applyProtection="1">
      <alignment horizontal="center"/>
      <protection locked="0"/>
    </xf>
    <xf numFmtId="0" fontId="8" fillId="15" borderId="22" xfId="1" applyFont="1" applyFill="1" applyBorder="1" applyAlignment="1" applyProtection="1">
      <alignment horizontal="center" vertical="center" wrapText="1"/>
      <protection locked="0"/>
    </xf>
    <xf numFmtId="169" fontId="54" fillId="15" borderId="0" xfId="1" applyNumberFormat="1" applyFont="1" applyFill="1" applyProtection="1">
      <protection locked="0"/>
    </xf>
    <xf numFmtId="41" fontId="7" fillId="15" borderId="0" xfId="1" applyNumberFormat="1" applyFill="1" applyProtection="1">
      <protection locked="0"/>
    </xf>
    <xf numFmtId="169" fontId="7" fillId="15" borderId="0" xfId="1" applyNumberFormat="1" applyFill="1" applyAlignment="1" applyProtection="1">
      <alignment horizontal="center"/>
      <protection locked="0"/>
    </xf>
    <xf numFmtId="41" fontId="2" fillId="0" borderId="0" xfId="0" applyNumberFormat="1" applyFont="1"/>
    <xf numFmtId="177" fontId="54" fillId="15" borderId="0" xfId="1" applyNumberFormat="1" applyFont="1" applyFill="1" applyAlignment="1" applyProtection="1">
      <alignment horizontal="center"/>
      <protection locked="0"/>
    </xf>
    <xf numFmtId="41" fontId="54" fillId="15" borderId="0" xfId="18" applyFont="1" applyFill="1" applyProtection="1">
      <protection locked="0"/>
    </xf>
    <xf numFmtId="41" fontId="0" fillId="0" borderId="30" xfId="18" applyFont="1" applyFill="1" applyBorder="1" applyProtection="1"/>
    <xf numFmtId="178" fontId="0" fillId="0" borderId="30" xfId="18" applyNumberFormat="1" applyFont="1" applyFill="1" applyBorder="1" applyProtection="1"/>
    <xf numFmtId="0" fontId="3" fillId="3" borderId="1" xfId="0" applyFont="1" applyFill="1" applyBorder="1" applyAlignment="1">
      <alignment horizontal="center" vertical="top" wrapText="1" readingOrder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top" wrapText="1" readingOrder="1"/>
    </xf>
    <xf numFmtId="0" fontId="17" fillId="0" borderId="0" xfId="3" applyFont="1" applyAlignment="1">
      <alignment horizontal="center"/>
    </xf>
    <xf numFmtId="0" fontId="20" fillId="0" borderId="0" xfId="0" applyFont="1" applyAlignment="1">
      <alignment horizontal="center"/>
    </xf>
    <xf numFmtId="0" fontId="13" fillId="15" borderId="0" xfId="6" applyFont="1" applyFill="1" applyAlignment="1" applyProtection="1">
      <alignment horizontal="left" wrapText="1"/>
      <protection locked="0"/>
    </xf>
    <xf numFmtId="172" fontId="13" fillId="15" borderId="0" xfId="6" applyNumberFormat="1" applyFont="1" applyFill="1" applyAlignment="1">
      <alignment horizontal="center" vertical="top"/>
    </xf>
    <xf numFmtId="0" fontId="15" fillId="15" borderId="0" xfId="0" applyFont="1" applyFill="1" applyAlignment="1">
      <alignment horizontal="center" vertical="center"/>
    </xf>
    <xf numFmtId="0" fontId="16" fillId="15" borderId="0" xfId="0" applyFont="1" applyFill="1" applyAlignment="1" applyProtection="1">
      <alignment horizontal="left" vertical="top" wrapText="1" readingOrder="1"/>
      <protection locked="0"/>
    </xf>
    <xf numFmtId="0" fontId="16" fillId="15" borderId="39" xfId="0" applyFont="1" applyFill="1" applyBorder="1" applyAlignment="1" applyProtection="1">
      <alignment horizontal="left" vertical="top" wrapText="1" readingOrder="1"/>
      <protection locked="0"/>
    </xf>
    <xf numFmtId="0" fontId="11" fillId="0" borderId="0" xfId="3" applyFont="1" applyAlignment="1">
      <alignment horizontal="center"/>
    </xf>
    <xf numFmtId="38" fontId="34" fillId="0" borderId="0" xfId="3" applyNumberFormat="1" applyFont="1" applyAlignment="1">
      <alignment horizontal="left"/>
    </xf>
    <xf numFmtId="0" fontId="10" fillId="0" borderId="0" xfId="3" applyFont="1" applyAlignment="1">
      <alignment horizontal="center"/>
    </xf>
    <xf numFmtId="0" fontId="30" fillId="0" borderId="0" xfId="0" applyFont="1" applyAlignment="1">
      <alignment horizontal="center" vertical="center"/>
    </xf>
    <xf numFmtId="172" fontId="13" fillId="37" borderId="11" xfId="3" applyNumberFormat="1" applyFont="1" applyFill="1" applyBorder="1" applyAlignment="1">
      <alignment horizontal="center"/>
    </xf>
    <xf numFmtId="172" fontId="13" fillId="37" borderId="9" xfId="3" applyNumberFormat="1" applyFont="1" applyFill="1" applyBorder="1" applyAlignment="1">
      <alignment horizontal="center"/>
    </xf>
    <xf numFmtId="172" fontId="13" fillId="37" borderId="10" xfId="3" applyNumberFormat="1" applyFont="1" applyFill="1" applyBorder="1" applyAlignment="1">
      <alignment horizontal="center"/>
    </xf>
    <xf numFmtId="0" fontId="8" fillId="16" borderId="5" xfId="1" applyFont="1" applyFill="1" applyBorder="1" applyAlignment="1" applyProtection="1">
      <alignment horizontal="center"/>
      <protection locked="0"/>
    </xf>
    <xf numFmtId="0" fontId="8" fillId="16" borderId="6" xfId="1" applyFont="1" applyFill="1" applyBorder="1" applyAlignment="1" applyProtection="1">
      <alignment horizontal="center"/>
      <protection locked="0"/>
    </xf>
    <xf numFmtId="0" fontId="8" fillId="16" borderId="7" xfId="1" applyFont="1" applyFill="1" applyBorder="1" applyAlignment="1" applyProtection="1">
      <alignment horizontal="center"/>
      <protection locked="0"/>
    </xf>
    <xf numFmtId="0" fontId="8" fillId="17" borderId="5" xfId="1" applyFont="1" applyFill="1" applyBorder="1" applyAlignment="1" applyProtection="1">
      <alignment horizontal="center"/>
      <protection locked="0"/>
    </xf>
    <xf numFmtId="0" fontId="8" fillId="17" borderId="6" xfId="1" applyFont="1" applyFill="1" applyBorder="1" applyAlignment="1" applyProtection="1">
      <alignment horizontal="center"/>
      <protection locked="0"/>
    </xf>
    <xf numFmtId="0" fontId="8" fillId="17" borderId="7" xfId="1" applyFont="1" applyFill="1" applyBorder="1" applyAlignment="1" applyProtection="1">
      <alignment horizontal="center"/>
      <protection locked="0"/>
    </xf>
    <xf numFmtId="0" fontId="8" fillId="15" borderId="5" xfId="1" applyFont="1" applyFill="1" applyBorder="1" applyAlignment="1" applyProtection="1">
      <alignment horizontal="center"/>
      <protection locked="0"/>
    </xf>
    <xf numFmtId="0" fontId="8" fillId="15" borderId="6" xfId="1" applyFont="1" applyFill="1" applyBorder="1" applyAlignment="1" applyProtection="1">
      <alignment horizontal="center"/>
      <protection locked="0"/>
    </xf>
    <xf numFmtId="0" fontId="8" fillId="15" borderId="7" xfId="1" applyFont="1" applyFill="1" applyBorder="1" applyAlignment="1" applyProtection="1">
      <alignment horizontal="center"/>
      <protection locked="0"/>
    </xf>
    <xf numFmtId="0" fontId="8" fillId="16" borderId="8" xfId="1" applyFont="1" applyFill="1" applyBorder="1" applyAlignment="1" applyProtection="1">
      <alignment horizontal="center"/>
      <protection locked="0"/>
    </xf>
    <xf numFmtId="0" fontId="8" fillId="16" borderId="9" xfId="1" applyFont="1" applyFill="1" applyBorder="1" applyAlignment="1" applyProtection="1">
      <alignment horizontal="center"/>
      <protection locked="0"/>
    </xf>
    <xf numFmtId="0" fontId="8" fillId="16" borderId="10" xfId="1" applyFont="1" applyFill="1" applyBorder="1" applyAlignment="1" applyProtection="1">
      <alignment horizontal="center"/>
      <protection locked="0"/>
    </xf>
    <xf numFmtId="0" fontId="8" fillId="16" borderId="11" xfId="1" applyFont="1" applyFill="1" applyBorder="1" applyAlignment="1" applyProtection="1">
      <alignment horizontal="center"/>
      <protection locked="0"/>
    </xf>
    <xf numFmtId="0" fontId="8" fillId="16" borderId="12" xfId="1" applyFont="1" applyFill="1" applyBorder="1" applyAlignment="1" applyProtection="1">
      <alignment horizontal="center"/>
      <protection locked="0"/>
    </xf>
    <xf numFmtId="0" fontId="8" fillId="17" borderId="8" xfId="1" applyFont="1" applyFill="1" applyBorder="1" applyAlignment="1" applyProtection="1">
      <alignment horizontal="center"/>
      <protection locked="0"/>
    </xf>
    <xf numFmtId="0" fontId="8" fillId="17" borderId="9" xfId="1" applyFont="1" applyFill="1" applyBorder="1" applyAlignment="1" applyProtection="1">
      <alignment horizontal="center"/>
      <protection locked="0"/>
    </xf>
    <xf numFmtId="0" fontId="8" fillId="17" borderId="10" xfId="1" applyFont="1" applyFill="1" applyBorder="1" applyAlignment="1" applyProtection="1">
      <alignment horizontal="center"/>
      <protection locked="0"/>
    </xf>
    <xf numFmtId="0" fontId="8" fillId="17" borderId="11" xfId="1" applyFont="1" applyFill="1" applyBorder="1" applyAlignment="1" applyProtection="1">
      <alignment horizontal="center"/>
      <protection locked="0"/>
    </xf>
    <xf numFmtId="0" fontId="8" fillId="17" borderId="12" xfId="1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>
      <alignment horizontal="center" vertical="top" wrapText="1" readingOrder="1"/>
    </xf>
    <xf numFmtId="49" fontId="17" fillId="0" borderId="0" xfId="3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top" wrapText="1" readingOrder="1"/>
    </xf>
    <xf numFmtId="0" fontId="44" fillId="0" borderId="1" xfId="0" applyFont="1" applyBorder="1" applyAlignment="1">
      <alignment vertical="top" wrapText="1" readingOrder="1"/>
    </xf>
    <xf numFmtId="168" fontId="45" fillId="0" borderId="1" xfId="0" applyNumberFormat="1" applyFont="1" applyBorder="1" applyAlignment="1">
      <alignment horizontal="right" vertical="top" wrapText="1" readingOrder="1"/>
    </xf>
    <xf numFmtId="0" fontId="4" fillId="12" borderId="1" xfId="0" applyFont="1" applyFill="1" applyBorder="1" applyAlignment="1">
      <alignment vertical="top" wrapText="1" readingOrder="1"/>
    </xf>
    <xf numFmtId="168" fontId="46" fillId="14" borderId="1" xfId="0" applyNumberFormat="1" applyFont="1" applyFill="1" applyBorder="1" applyAlignment="1">
      <alignment vertical="top" wrapText="1" readingOrder="1"/>
    </xf>
    <xf numFmtId="0" fontId="5" fillId="11" borderId="1" xfId="0" applyFont="1" applyFill="1" applyBorder="1" applyAlignment="1">
      <alignment vertical="top" wrapText="1" readingOrder="1"/>
    </xf>
    <xf numFmtId="168" fontId="5" fillId="11" borderId="1" xfId="0" applyNumberFormat="1" applyFont="1" applyFill="1" applyBorder="1" applyAlignment="1">
      <alignment vertical="top" wrapText="1" readingOrder="1"/>
    </xf>
    <xf numFmtId="0" fontId="43" fillId="8" borderId="1" xfId="0" applyFont="1" applyFill="1" applyBorder="1" applyAlignment="1">
      <alignment vertical="top" wrapText="1" readingOrder="1"/>
    </xf>
    <xf numFmtId="168" fontId="43" fillId="10" borderId="1" xfId="0" applyNumberFormat="1" applyFont="1" applyFill="1" applyBorder="1" applyAlignment="1">
      <alignment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  <xf numFmtId="168" fontId="4" fillId="7" borderId="1" xfId="0" applyNumberFormat="1" applyFont="1" applyFill="1" applyBorder="1" applyAlignment="1">
      <alignment vertical="top" wrapText="1" readingOrder="1"/>
    </xf>
    <xf numFmtId="0" fontId="40" fillId="0" borderId="0" xfId="0" applyFont="1" applyAlignment="1">
      <alignment horizontal="left" vertical="top" wrapText="1" readingOrder="1"/>
    </xf>
    <xf numFmtId="0" fontId="2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36" fillId="2" borderId="32" xfId="14" applyFont="1" applyFill="1" applyBorder="1" applyAlignment="1">
      <alignment horizontal="center" vertical="center" wrapText="1" readingOrder="1"/>
    </xf>
    <xf numFmtId="0" fontId="36" fillId="3" borderId="32" xfId="14" applyFont="1" applyFill="1" applyBorder="1" applyAlignment="1">
      <alignment horizontal="center" vertical="center" wrapText="1" readingOrder="1"/>
    </xf>
    <xf numFmtId="0" fontId="36" fillId="4" borderId="32" xfId="14" applyFont="1" applyFill="1" applyBorder="1" applyAlignment="1">
      <alignment horizontal="center" vertical="center" wrapText="1" readingOrder="1"/>
    </xf>
  </cellXfs>
  <cellStyles count="52">
    <cellStyle name="Hipervínculo" xfId="7" builtinId="8"/>
    <cellStyle name="Millares [0]" xfId="18" builtinId="6"/>
    <cellStyle name="Millares [0] 2" xfId="15" xr:uid="{00000000-0005-0000-0000-000001000000}"/>
    <cellStyle name="Millares [0] 2 2" xfId="24" xr:uid="{6A3EC1BD-1EB0-4147-B7D3-CBCE7AC61A2A}"/>
    <cellStyle name="Millares [0] 2 2 2" xfId="44" xr:uid="{7B5DDDDA-B3CE-4380-B7E8-99329FE7EA9E}"/>
    <cellStyle name="Millares [0] 2 3" xfId="32" xr:uid="{A51B1239-E237-451B-B7F7-E6F59F473B68}"/>
    <cellStyle name="Millares [0] 2 4" xfId="40" xr:uid="{5F1CBBA2-82D0-43F3-A893-F1481A022F54}"/>
    <cellStyle name="Millares [0] 3" xfId="27" xr:uid="{D1D7BDA3-02B4-4FD8-8423-A5E1348BA571}"/>
    <cellStyle name="Millares [0] 3 2" xfId="38" xr:uid="{1DC6BD0A-6AAD-4AE6-803C-BEC2ECE74155}"/>
    <cellStyle name="Millares [0] 3 3" xfId="47" xr:uid="{3EA879FB-93FC-426D-889E-F3C283ABBDF2}"/>
    <cellStyle name="Millares [0] 4" xfId="42" xr:uid="{BFE29D4C-3C5E-4BF2-B9A2-3F01C3BE558C}"/>
    <cellStyle name="Millares 2" xfId="10" xr:uid="{00000000-0005-0000-0000-000002000000}"/>
    <cellStyle name="Millares 2 2" xfId="22" xr:uid="{83E3D9CC-645B-47E4-9B61-107A048888A3}"/>
    <cellStyle name="Millares 2 3" xfId="33" xr:uid="{3F96D023-D2E4-4B75-9CFD-6D28C782EB56}"/>
    <cellStyle name="Millares 3" xfId="26" xr:uid="{FF3CB5F9-3346-437C-8830-906B8F9F35C4}"/>
    <cellStyle name="Millares 3 2" xfId="46" xr:uid="{D6E854D5-9D83-49B0-B2CF-98937DD8B54D}"/>
    <cellStyle name="Millares 4" xfId="23" xr:uid="{EB949426-C732-44E5-A12D-1146AA6175CF}"/>
    <cellStyle name="Millares 4 2" xfId="43" xr:uid="{BFFA1D37-AD49-489D-89EB-1230C740A1CB}"/>
    <cellStyle name="Millares 44" xfId="2" xr:uid="{00000000-0005-0000-0000-000003000000}"/>
    <cellStyle name="Millares 5" xfId="28" xr:uid="{18E38EE7-D11D-4CE8-8299-F2243E8DC2A9}"/>
    <cellStyle name="Millares 5 2" xfId="48" xr:uid="{1C425F10-85A8-42C6-98C4-E22A909D2397}"/>
    <cellStyle name="Millares 6" xfId="29" xr:uid="{98AA5F57-1F9B-46A7-9B1A-4548382416FC}"/>
    <cellStyle name="Millares 6 2" xfId="49" xr:uid="{99D5BB8E-28E1-4737-B0C7-B1F4D153E0B6}"/>
    <cellStyle name="Millares 7" xfId="30" xr:uid="{7CBA4336-A101-4D6A-B5BD-FEC5AF4A6604}"/>
    <cellStyle name="Millares 7 2" xfId="50" xr:uid="{1775B183-FE6F-417F-9D9C-247A0D5BEC84}"/>
    <cellStyle name="Millares 8" xfId="5" xr:uid="{00000000-0005-0000-0000-000004000000}"/>
    <cellStyle name="Moneda" xfId="8" builtinId="4"/>
    <cellStyle name="Moneda [0]" xfId="17" builtinId="7"/>
    <cellStyle name="Moneda [0] 2" xfId="25" xr:uid="{69B63C43-353A-4FFB-AF28-13B42C9071CD}"/>
    <cellStyle name="Moneda [0] 2 2" xfId="45" xr:uid="{27AC2DFD-7D81-41F1-8B64-90B23BCC6577}"/>
    <cellStyle name="Moneda [0] 3" xfId="39" xr:uid="{6BFE39DC-30F3-4529-999C-BBEF783F6593}"/>
    <cellStyle name="Moneda [0] 3 2" xfId="51" xr:uid="{BADCEEC3-1236-4C2D-8641-D3B75CAEC144}"/>
    <cellStyle name="Moneda [0] 4" xfId="41" xr:uid="{FD032129-1449-4630-BCB0-41A4D87125B4}"/>
    <cellStyle name="Moneda 2" xfId="12" xr:uid="{00000000-0005-0000-0000-000007000000}"/>
    <cellStyle name="Normal" xfId="0" builtinId="0"/>
    <cellStyle name="Normal - Style1 10" xfId="4" xr:uid="{00000000-0005-0000-0000-000009000000}"/>
    <cellStyle name="Normal - Style1 2" xfId="6" xr:uid="{00000000-0005-0000-0000-00000A000000}"/>
    <cellStyle name="Normal 2" xfId="9" xr:uid="{00000000-0005-0000-0000-00000B000000}"/>
    <cellStyle name="Normal 2 10" xfId="35" xr:uid="{CA40D64A-2F82-4BAB-A91B-5DAB253119AD}"/>
    <cellStyle name="Normal 2 2" xfId="14" xr:uid="{00000000-0005-0000-0000-00000C000000}"/>
    <cellStyle name="Normal 2 2 2" xfId="3" xr:uid="{00000000-0005-0000-0000-00000D000000}"/>
    <cellStyle name="Normal 2 2 3" xfId="20" xr:uid="{1A7E3890-13E9-4D30-924A-448E786AF197}"/>
    <cellStyle name="Normal 2 3" xfId="31" xr:uid="{92BAFDE3-AECB-40DE-A1C0-910F4018C87F}"/>
    <cellStyle name="Normal 215" xfId="37" xr:uid="{8452D5A3-94C5-4FE3-BE9A-D5A80E1EA33F}"/>
    <cellStyle name="Normal 3" xfId="13" xr:uid="{00000000-0005-0000-0000-00000E000000}"/>
    <cellStyle name="Normal 3 2" xfId="21" xr:uid="{09BEC30B-C610-4644-98E2-19063E75FB02}"/>
    <cellStyle name="Normal 32" xfId="36" xr:uid="{AFD41821-497E-4E13-9A4E-364216577766}"/>
    <cellStyle name="Normal 75" xfId="1" xr:uid="{00000000-0005-0000-0000-00000F000000}"/>
    <cellStyle name="Porcentaje" xfId="16" builtinId="5"/>
    <cellStyle name="Porcentaje 2" xfId="11" xr:uid="{00000000-0005-0000-0000-000010000000}"/>
    <cellStyle name="Porcentaje 2 2" xfId="19" xr:uid="{6EC2D01E-6F83-475A-BFFD-BBF90FC38DC6}"/>
    <cellStyle name="Porcentaje 2 3" xfId="34" xr:uid="{E525FD46-91FC-444C-A931-71DDDB5FE121}"/>
  </cellStyles>
  <dxfs count="6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179" formatCode="#,##0.0"/>
    </dxf>
    <dxf>
      <numFmt numFmtId="180" formatCode="#,##0.000000000000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#,##0_ ;[Red]\(\-#,##0\)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hair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_-;\-* #,##0_-;_-* &quot;-&quot;??_-;_-@_-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border outline="0">
        <right style="medium">
          <color indexed="64"/>
        </right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color auto="1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protection locked="0" hidden="0"/>
    </dxf>
    <dxf>
      <protection locked="0" hidden="0"/>
    </dxf>
    <dxf>
      <fill>
        <patternFill patternType="solid">
          <fgColor rgb="FFFFFFFF"/>
          <bgColor rgb="FF000000"/>
        </patternFill>
      </fill>
    </dxf>
  </dxfs>
  <tableStyles count="1" defaultTableStyle="TableStyleMedium2" defaultPivotStyle="PivotStyleLight16">
    <tableStyle name="Invisible" pivot="0" table="0" count="0" xr9:uid="{FB74017F-CFE1-45BD-B668-49BAFAB81E53}"/>
  </tableStyles>
  <colors>
    <mruColors>
      <color rgb="FFFFFF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57150</xdr:rowOff>
    </xdr:from>
    <xdr:to>
      <xdr:col>2</xdr:col>
      <xdr:colOff>979955</xdr:colOff>
      <xdr:row>1</xdr:row>
      <xdr:rowOff>400538</xdr:rowOff>
    </xdr:to>
    <xdr:pic>
      <xdr:nvPicPr>
        <xdr:cNvPr id="3" name="1 Imagen" descr="4">
          <a:extLst>
            <a:ext uri="{FF2B5EF4-FFF2-40B4-BE49-F238E27FC236}">
              <a16:creationId xmlns:a16="http://schemas.microsoft.com/office/drawing/2014/main" id="{3E774904-B77B-4419-811D-6D230A63A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809625" y="57150"/>
          <a:ext cx="1694330" cy="53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11211</xdr:colOff>
      <xdr:row>0</xdr:row>
      <xdr:rowOff>0</xdr:rowOff>
    </xdr:from>
    <xdr:to>
      <xdr:col>1</xdr:col>
      <xdr:colOff>1705541</xdr:colOff>
      <xdr:row>0</xdr:row>
      <xdr:rowOff>533888</xdr:rowOff>
    </xdr:to>
    <xdr:pic>
      <xdr:nvPicPr>
        <xdr:cNvPr id="3" name="1 Imagen" descr="4">
          <a:extLst>
            <a:ext uri="{FF2B5EF4-FFF2-40B4-BE49-F238E27FC236}">
              <a16:creationId xmlns:a16="http://schemas.microsoft.com/office/drawing/2014/main" id="{7BB75EBA-4C09-442A-8D28-933CD8BF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82711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0</xdr:row>
      <xdr:rowOff>0</xdr:rowOff>
    </xdr:from>
    <xdr:to>
      <xdr:col>1</xdr:col>
      <xdr:colOff>1697787</xdr:colOff>
      <xdr:row>0</xdr:row>
      <xdr:rowOff>536494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58B065-9968-4942-ACF7-B54AA5E9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707" y="0"/>
          <a:ext cx="1694835" cy="5364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0</xdr:row>
      <xdr:rowOff>0</xdr:rowOff>
    </xdr:from>
    <xdr:to>
      <xdr:col>1</xdr:col>
      <xdr:colOff>1705535</xdr:colOff>
      <xdr:row>0</xdr:row>
      <xdr:rowOff>533888</xdr:rowOff>
    </xdr:to>
    <xdr:pic>
      <xdr:nvPicPr>
        <xdr:cNvPr id="2" name="1 Imagen" descr="4">
          <a:extLst>
            <a:ext uri="{FF2B5EF4-FFF2-40B4-BE49-F238E27FC236}">
              <a16:creationId xmlns:a16="http://schemas.microsoft.com/office/drawing/2014/main" id="{8C30ABB8-A7D4-483B-9271-E92BD597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82705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22412</xdr:colOff>
      <xdr:row>0</xdr:row>
      <xdr:rowOff>0</xdr:rowOff>
    </xdr:from>
    <xdr:to>
      <xdr:col>1</xdr:col>
      <xdr:colOff>1716742</xdr:colOff>
      <xdr:row>0</xdr:row>
      <xdr:rowOff>533888</xdr:rowOff>
    </xdr:to>
    <xdr:pic>
      <xdr:nvPicPr>
        <xdr:cNvPr id="2" name="1 Imagen" descr="4">
          <a:extLst>
            <a:ext uri="{FF2B5EF4-FFF2-40B4-BE49-F238E27FC236}">
              <a16:creationId xmlns:a16="http://schemas.microsoft.com/office/drawing/2014/main" id="{96734D0D-5C7C-4189-BE34-D41AD0366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0" t="12821" r="4790" b="10423"/>
        <a:stretch>
          <a:fillRect/>
        </a:stretch>
      </xdr:blipFill>
      <xdr:spPr bwMode="auto">
        <a:xfrm>
          <a:off x="593912" y="0"/>
          <a:ext cx="1694330" cy="53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Figueroa L" refreshedDate="45124.687213078701" createdVersion="8" refreshedVersion="8" minRefreshableVersion="3" recordCount="33" xr:uid="{27AF95B6-C78F-4A9A-9976-EE8D3E46E4EA}">
  <cacheSource type="worksheet">
    <worksheetSource ref="B4:J37" sheet="Proyeccion"/>
  </cacheSource>
  <cacheFields count="9">
    <cacheField name="Categoria" numFmtId="0">
      <sharedItems containsBlank="1" count="14">
        <s v="21-010201A"/>
        <s v="21-019901A"/>
        <s v="21-010401A"/>
        <s v="72-107010A"/>
        <s v="31-013300A"/>
        <s v="72-101030A"/>
        <s v="51-040100A"/>
        <s v="51-050100A"/>
        <s v="11-120101G"/>
        <s v="21-039901A"/>
        <s v="62-030100A"/>
        <s v="62-010100G"/>
        <s v="72-102010A"/>
        <m u="1"/>
      </sharedItems>
    </cacheField>
    <cacheField name="Decripción" numFmtId="0">
      <sharedItems/>
    </cacheField>
    <cacheField name="Unidad" numFmtId="0">
      <sharedItems containsBlank="1"/>
    </cacheField>
    <cacheField name="Cantidad" numFmtId="0">
      <sharedItems containsString="0" containsBlank="1" containsNumber="1" minValue="1" maxValue="180002.73"/>
    </cacheField>
    <cacheField name="PU" numFmtId="0">
      <sharedItems containsString="0" containsBlank="1" containsNumber="1" minValue="60" maxValue="4613923.8095238069"/>
    </cacheField>
    <cacheField name="Total" numFmtId="0">
      <sharedItems containsString="0" containsBlank="1" containsNumber="1" minValue="7462020" maxValue="404662188.3078838"/>
    </cacheField>
    <cacheField name="PU Real" numFmtId="0">
      <sharedItems containsString="0" containsBlank="1" containsNumber="1" minValue="32.799999999999997" maxValue="60000000"/>
    </cacheField>
    <cacheField name="Total real" numFmtId="0">
      <sharedItems containsString="0" containsBlank="1" containsNumber="1" minValue="-214320736.12499997" maxValue="215659416.96428576"/>
    </cacheField>
    <cacheField name="Resultado" numFmtId="0">
      <sharedItems containsString="0" containsBlank="1" containsNumber="1" minValue="-214320736.12499997" maxValue="251275574.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MAT CD - Civil  / Hormigón / Hormigón (A)"/>
    <s v="m3"/>
    <m/>
    <m/>
    <m/>
    <m/>
    <m/>
    <m/>
  </r>
  <r>
    <x v="0"/>
    <s v="Hormigón G20(90)20-10"/>
    <s v="m3"/>
    <n v="117.642"/>
    <n v="107840"/>
    <n v="12686513.279999999"/>
    <n v="97996.432000000001"/>
    <n v="12104921.0660112"/>
    <n v="581592.2139887996"/>
  </r>
  <r>
    <x v="0"/>
    <s v="Hormigón G25(90)20-10"/>
    <s v="m3"/>
    <n v="748.58799999999997"/>
    <n v="118161"/>
    <n v="88453906.667999998"/>
    <n v="97996.432000000001"/>
    <n v="77026900.68991679"/>
    <n v="11427005.978083208"/>
  </r>
  <r>
    <x v="0"/>
    <s v="Hormigón G35(90)20-10"/>
    <s v="m3"/>
    <n v="416.85"/>
    <n v="128482"/>
    <n v="53557721.700000003"/>
    <n v="104481.48999999999"/>
    <n v="45730764.561825"/>
    <n v="7826957.1381750032"/>
  </r>
  <r>
    <x v="1"/>
    <s v="Material estructural (arena)"/>
    <s v="m3"/>
    <n v="17329.349999999999"/>
    <n v="14500"/>
    <n v="251275574.99999997"/>
    <m/>
    <m/>
    <n v="251275574.99999997"/>
  </r>
  <r>
    <x v="1"/>
    <s v="Material estructural (arena)"/>
    <s v="m3"/>
    <n v="4332.3374999999996"/>
    <m/>
    <m/>
    <n v="17950"/>
    <n v="-77765458.125"/>
    <n v="-77765458.125"/>
  </r>
  <r>
    <x v="1"/>
    <s v="Material estructural (arena)"/>
    <s v="m3"/>
    <n v="12997.012499999999"/>
    <m/>
    <m/>
    <n v="16490"/>
    <n v="-214320736.12499997"/>
    <n v="-214320736.12499997"/>
  </r>
  <r>
    <x v="2"/>
    <s v="MAT CD - Civil  / Enfierradura / Varios (A)"/>
    <s v="Kg"/>
    <n v="128098.01"/>
    <n v="818"/>
    <n v="104784172.17999999"/>
    <n v="754"/>
    <n v="98517617.5308"/>
    <n v="6266554.6491999924"/>
  </r>
  <r>
    <x v="3"/>
    <s v="SC Flete Enfierradura"/>
    <s v="gl"/>
    <n v="124367"/>
    <n v="60"/>
    <n v="7462020"/>
    <n v="32.799999999999997"/>
    <n v="4160822.3519999995"/>
    <n v="3301197.6480000005"/>
  </r>
  <r>
    <x v="4"/>
    <s v="SUB CD - Civil  / Laboratorio (Resist. hormigón densid.) (A) LERV"/>
    <s v="m3"/>
    <n v="3700"/>
    <n v="19800"/>
    <n v="73260000"/>
    <n v="60000000"/>
    <n v="60000000"/>
    <n v="13260000"/>
  </r>
  <r>
    <x v="5"/>
    <s v="GAS CI - De obra / Telecomunic. / Enlaces internet (A)"/>
    <s v="mes"/>
    <n v="7"/>
    <n v="4613923.8095238069"/>
    <n v="32297466.666666649"/>
    <n v="756590.1"/>
    <n v="5296130.7"/>
    <n v="27001335.96666665"/>
  </r>
  <r>
    <x v="6"/>
    <s v="PHH CD - Movilización / Movilización (A) VIATICO"/>
    <s v="hh"/>
    <n v="180002.73"/>
    <n v="2248.089172358018"/>
    <n v="404662188.3078838"/>
    <n v="1198.0897009966779"/>
    <n v="215659416.96428576"/>
    <n v="189002771.34359804"/>
  </r>
  <r>
    <x v="7"/>
    <s v="PHH CD - Alimentación / Alimentación (A)"/>
    <s v="hh"/>
    <n v="180002.73"/>
    <n v="826.6674031916682"/>
    <n v="148802389.37651101"/>
    <n v="916.36734693877554"/>
    <n v="164948624.13183674"/>
    <n v="-16146234.755325735"/>
  </r>
  <r>
    <x v="8"/>
    <s v="MAO CD - Equipos / Equipos / Operador (G)"/>
    <m/>
    <m/>
    <m/>
    <m/>
    <m/>
    <m/>
    <m/>
  </r>
  <r>
    <x v="8"/>
    <s v="Supervisor de equipos"/>
    <s v="mes"/>
    <n v="7.5"/>
    <m/>
    <m/>
    <n v="2530000"/>
    <n v="18975000"/>
    <n v="-18975000"/>
  </r>
  <r>
    <x v="8"/>
    <s v="Mecánico"/>
    <s v="mes"/>
    <n v="7"/>
    <m/>
    <m/>
    <n v="2106000"/>
    <n v="14742000"/>
    <n v="-14742000"/>
  </r>
  <r>
    <x v="8"/>
    <s v="Otros costos personal EQyM"/>
    <s v="mes"/>
    <n v="14.5"/>
    <m/>
    <m/>
    <n v="680543.06547619053"/>
    <n v="7925160.9388383422"/>
    <n v="-7925160.9388383422"/>
  </r>
  <r>
    <x v="9"/>
    <s v="MAT CD - Mecánica / Materiales varios / Todos (A)"/>
    <m/>
    <m/>
    <m/>
    <m/>
    <m/>
    <m/>
    <m/>
  </r>
  <r>
    <x v="9"/>
    <s v="Suministro de pernos de conexión estructuras puentes peatonales"/>
    <s v="gl"/>
    <n v="1"/>
    <m/>
    <m/>
    <n v="19569977"/>
    <n v="19569977"/>
    <n v="-19569977"/>
  </r>
  <r>
    <x v="10"/>
    <s v="IFA CI - Materiales / Todos (A)"/>
    <m/>
    <m/>
    <m/>
    <m/>
    <m/>
    <m/>
    <m/>
  </r>
  <r>
    <x v="10"/>
    <s v="Escritorios"/>
    <m/>
    <n v="61"/>
    <m/>
    <m/>
    <n v="60000"/>
    <n v="3660000"/>
    <n v="-3660000"/>
  </r>
  <r>
    <x v="10"/>
    <s v="Sillas"/>
    <m/>
    <n v="77"/>
    <m/>
    <m/>
    <n v="50000"/>
    <n v="3850000"/>
    <n v="-3850000"/>
  </r>
  <r>
    <x v="10"/>
    <s v="Bibliotecas"/>
    <m/>
    <n v="50"/>
    <m/>
    <m/>
    <n v="40000"/>
    <n v="2000000"/>
    <n v="-2000000"/>
  </r>
  <r>
    <x v="10"/>
    <s v="Cardex"/>
    <m/>
    <n v="6"/>
    <m/>
    <m/>
    <n v="40000"/>
    <n v="240000"/>
    <n v="-240000"/>
  </r>
  <r>
    <x v="10"/>
    <s v="Estanteria (bodega)"/>
    <m/>
    <n v="16"/>
    <m/>
    <m/>
    <n v="150000"/>
    <n v="2400000"/>
    <n v="-2400000"/>
  </r>
  <r>
    <x v="10"/>
    <s v="Mesas"/>
    <m/>
    <n v="4"/>
    <m/>
    <m/>
    <n v="150000"/>
    <n v="600000"/>
    <n v="-600000"/>
  </r>
  <r>
    <x v="11"/>
    <s v="IFA CI - Mano De Obra / Todos (G)"/>
    <s v="hh"/>
    <n v="1560"/>
    <n v="14002.728693812138"/>
    <n v="21844256.762346935"/>
    <n v="14002.728693812138"/>
    <n v="98299155.4305612"/>
    <n v="-76454898.668214262"/>
  </r>
  <r>
    <x v="12"/>
    <s v="GAS CI - De obra / Computación / Computadores (A)"/>
    <s v="c/u"/>
    <n v="266"/>
    <n v="50000"/>
    <n v="13300000"/>
    <m/>
    <m/>
    <n v="13300000"/>
  </r>
  <r>
    <x v="12"/>
    <s v="Equipo + Usuario TIC"/>
    <s v="c/u"/>
    <n v="322"/>
    <m/>
    <m/>
    <n v="79622.100999999995"/>
    <n v="25638316.522"/>
    <n v="-25638316.522"/>
  </r>
  <r>
    <x v="12"/>
    <s v="AX"/>
    <s v="mes"/>
    <n v="70"/>
    <m/>
    <m/>
    <n v="158883.921"/>
    <n v="11121874.470000001"/>
    <n v="-11121874.470000001"/>
  </r>
  <r>
    <x v="12"/>
    <s v="Licencias software (Dron, Project, Presto, CAD, Asistencia, etc)"/>
    <s v="gl"/>
    <n v="1"/>
    <m/>
    <m/>
    <n v="10000000"/>
    <n v="10000000"/>
    <n v="-10000000"/>
  </r>
  <r>
    <x v="12"/>
    <s v="Dron"/>
    <s v="c/u"/>
    <n v="1"/>
    <m/>
    <m/>
    <n v="2000000"/>
    <n v="2000000"/>
    <n v="-2000000"/>
  </r>
  <r>
    <x v="12"/>
    <s v="BIM"/>
    <s v="mes"/>
    <n v="7"/>
    <m/>
    <m/>
    <n v="2261904.7619047621"/>
    <n v="15833333.333333336"/>
    <n v="-15833333.3333333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F747B-6CCF-4CDD-BE48-E15536C2CB06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4:O18" firstHeaderRow="1" firstDataRow="1" firstDataCol="1"/>
  <pivotFields count="9">
    <pivotField axis="axisRow" showAll="0">
      <items count="15">
        <item x="8"/>
        <item x="0"/>
        <item x="2"/>
        <item x="1"/>
        <item x="9"/>
        <item x="4"/>
        <item x="6"/>
        <item x="7"/>
        <item x="11"/>
        <item x="10"/>
        <item x="5"/>
        <item x="12"/>
        <item x="3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Resultado" fld="8" baseField="0" baseItem="0" numFmtId="3"/>
  </dataFields>
  <formats count="4">
    <format dxfId="28">
      <pivotArea collapsedLevelsAreSubtotals="1" fieldPosition="0">
        <references count="1">
          <reference field="0" count="0"/>
        </references>
      </pivotArea>
    </format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grandRow="1" outline="0" collapsedLevelsAreSubtotals="1" fieldPosition="0"/>
    </format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AS" displayName="CATEGORIAS" ref="A6:AG598" totalsRowShown="0" headerRowDxfId="64" dataDxfId="63" tableBorderDxfId="62" dataCellStyle="Millares 44">
  <autoFilter ref="A6:AG598" xr:uid="{00000000-000C-0000-FFFF-FFFF00000000}"/>
  <tableColumns count="33">
    <tableColumn id="13" xr3:uid="{00000000-0010-0000-0000-00000D000000}" name="FORMATO_x000a_ GENERAL" dataDxfId="61" dataCellStyle="Normal 75"/>
    <tableColumn id="1" xr3:uid="{00000000-0010-0000-0000-000001000000}" name="SUBGRUPO" dataDxfId="60" dataCellStyle="Normal 75"/>
    <tableColumn id="29" xr3:uid="{76AB2C25-C841-4392-BCBF-7A02BE4E7129}" name="NOMBRE SUBGRUPO" dataDxfId="59" dataCellStyle="Normal 75"/>
    <tableColumn id="2" xr3:uid="{00000000-0010-0000-0000-000002000000}" name="CATEGORIA2" dataDxfId="58" dataCellStyle="Normal 75"/>
    <tableColumn id="3" xr3:uid="{00000000-0010-0000-0000-000003000000}" name="NOMBRE CATEGORIA" dataDxfId="57" dataCellStyle="Normal 75"/>
    <tableColumn id="30" xr3:uid="{A10D26E2-FBA3-4593-9472-DC3B95E5017D}" name="INCLUIR" dataDxfId="56" dataCellStyle="Normal 75"/>
    <tableColumn id="4" xr3:uid="{00000000-0010-0000-0000-000004000000}" name="PRESUPUESTO_x000a_(ORIGINAL)" dataDxfId="55" dataCellStyle="Millares 44"/>
    <tableColumn id="22" xr3:uid="{00000000-0010-0000-0000-000016000000}" name="POM" dataDxfId="54" dataCellStyle="Millares 44"/>
    <tableColumn id="5" xr3:uid="{00000000-0010-0000-0000-000005000000}" name="ADICIONALES" dataDxfId="53" dataCellStyle="Millares 44"/>
    <tableColumn id="32" xr3:uid="{373EB508-8C8C-4248-902D-64CBFECD5996}" name="REAJUSTE _x000a_PAGADO" dataDxfId="52" dataCellStyle="Millares 44"/>
    <tableColumn id="35" xr3:uid="{0D2B207B-EB49-4533-A0DD-CC8EB55E6F4C}" name="REAJUSTE_x000a_PROYECTADO" dataDxfId="51" dataCellStyle="Millares 44"/>
    <tableColumn id="6" xr3:uid="{00000000-0010-0000-0000-000006000000}" name="PRESUPUESTO_x000a_FINAL_x000a_PROYECTADO" dataDxfId="50" dataCellStyle="Millares 44">
      <calculatedColumnFormula>CATEGORIAS[[#This Row],[ADICIONALES]]+CATEGORIAS[[#This Row],[POM]]+CATEGORIAS[[#This Row],[REAJUSTE 
PAGADO]]+CATEGORIAS[[#This Row],[REAJUSTE
PROYECTADO]]</calculatedColumnFormula>
    </tableColumn>
    <tableColumn id="7" xr3:uid="{00000000-0010-0000-0000-000007000000}" name="PRODUCCION_x000a_PARTIDAS_x000a_ORIGINALES_x000a_ACTUAL" dataDxfId="49" dataCellStyle="Millares 44"/>
    <tableColumn id="8" xr3:uid="{00000000-0010-0000-0000-000008000000}" name="PRODUCCION_x000a_ADICIONALES_x000a_ACTUAL" dataDxfId="48" dataCellStyle="Millares 44"/>
    <tableColumn id="9" xr3:uid="{00000000-0010-0000-0000-000009000000}" name="TOTAL PRODUCCION_x000a_ACTUAL" dataDxfId="47" dataCellStyle="Millares 44">
      <calculatedColumnFormula>CATEGORIAS[[#This Row],[PRODUCCION
PARTIDAS
ORIGINALES
ACTUAL]]+CATEGORIAS[[#This Row],[PRODUCCION
ADICIONALES
ACTUAL]]</calculatedColumnFormula>
    </tableColumn>
    <tableColumn id="10" xr3:uid="{00000000-0010-0000-0000-00000A000000}" name="PRODUCCION_x000a_ANTERIOR" dataDxfId="46" dataCellStyle="Millares 44"/>
    <tableColumn id="11" xr3:uid="{00000000-0010-0000-0000-00000B000000}" name="PRODUCCION_x000a_ADICIONALES_x000a_ANTERIOR" dataDxfId="45" dataCellStyle="Millares 44"/>
    <tableColumn id="12" xr3:uid="{00000000-0010-0000-0000-00000C000000}" name="TOTAL PRODUCCION_x000a_ANTERIOR" dataDxfId="44" dataCellStyle="Millares 44"/>
    <tableColumn id="14" xr3:uid="{00000000-0010-0000-0000-00000E000000}" name="COSTO_x000a_ACUMULADO  AX" dataDxfId="43" dataCellStyle="Millares 44"/>
    <tableColumn id="15" xr3:uid="{00000000-0010-0000-0000-00000F000000}" name="CAMBIO DE_x000a_CATEGORIA" dataDxfId="42" dataCellStyle="Millares 44"/>
    <tableColumn id="16" xr3:uid="{00000000-0010-0000-0000-000010000000}" name="PROVISIONES" dataDxfId="41" dataCellStyle="Millares 44"/>
    <tableColumn id="17" xr3:uid="{00000000-0010-0000-0000-000011000000}" name="COSTO REAL" dataDxfId="40" dataCellStyle="Millares 44">
      <calculatedColumnFormula>SUM(CATEGORIAS[[#This Row],[COSTO
ACUMULADO  AX]:[PROVISIONES]])</calculatedColumnFormula>
    </tableColumn>
    <tableColumn id="18" xr3:uid="{00000000-0010-0000-0000-000012000000}" name="COSTO ACUMULADO_x000a_ANTERIOR" dataDxfId="39" dataCellStyle="Millares 44"/>
    <tableColumn id="19" xr3:uid="{00000000-0010-0000-0000-000013000000}" name="CAMBIO DE_x000a_CATEGORIA_x000a_ANTERIOR" dataDxfId="38" dataCellStyle="Millares 44"/>
    <tableColumn id="20" xr3:uid="{00000000-0010-0000-0000-000014000000}" name="PROVISIONES_x000a_ANTERIOR" dataDxfId="37" dataCellStyle="Millares 44"/>
    <tableColumn id="21" xr3:uid="{00000000-0010-0000-0000-000015000000}" name="COSTO REAL_x000a_ANTERIOR" dataDxfId="36" dataCellStyle="Millares 44">
      <calculatedColumnFormula>SUM(CATEGORIAS[[#This Row],[COSTO ACUMULADO
ANTERIOR]:[PROVISIONES
ANTERIOR]])</calculatedColumnFormula>
    </tableColumn>
    <tableColumn id="23" xr3:uid="{00000000-0010-0000-0000-000017000000}" name="PROYECCION_x000a_DE INGRESO_x000a_DEL SALDO" dataDxfId="35" dataCellStyle="Millares 44">
      <calculatedColumnFormula>CATEGORIAS[[#This Row],[PRESUPUESTO
FINAL
PROYECTADO]]-CATEGORIAS[[#This Row],[TOTAL PRODUCCION
ACTUAL]]</calculatedColumnFormula>
    </tableColumn>
    <tableColumn id="24" xr3:uid="{00000000-0010-0000-0000-000018000000}" name="INVENTARIO" dataDxfId="34" dataCellStyle="Millares 44"/>
    <tableColumn id="27" xr3:uid="{00000000-0010-0000-0000-00001B000000}" name="PEDIDOS DE COMPRA_x000a_NO RECIBIDOS" dataDxfId="33" dataCellStyle="Millares 44"/>
    <tableColumn id="25" xr3:uid="{00000000-0010-0000-0000-000019000000}" name="PROYECCION_x000a_DE COSTO_x000a_DEL SALDO" dataDxfId="32" dataCellStyle="Millares 44"/>
    <tableColumn id="26" xr3:uid="{00000000-0010-0000-0000-00001A000000}" name="PROYECCION_x000a_TOTAL DE COSTO" dataDxfId="31" dataCellStyle="Millares 44">
      <calculatedColumnFormula>SUM(CATEGORIAS[[#This Row],[INVENTARIO]:[PROYECCION
DE COSTO
DEL SALDO]])</calculatedColumnFormula>
    </tableColumn>
    <tableColumn id="28" xr3:uid="{21D949CB-01A5-4C2B-AF82-F838283B87CB}" name="ITEM" dataDxfId="30" dataCellStyle="Millares 44"/>
    <tableColumn id="31" xr3:uid="{B0318F93-FB87-460D-926C-9B539BF8D2BD}" name="Columna1" dataDxfId="29" dataCellStyle="Millares 44">
      <calculatedColumnFormula>+CATEGORIAS[[#This Row],[PRESUPUESTO
FINAL
PROYECTADO]]-CATEGORIAS[[#This Row],[COSTO REAL]]-CATEGORIAS[[#This Row],[PROYECCION
TOTAL DE COSTO]]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utar" displayName="Imputar" ref="A2:N573" totalsRowShown="0" headerRowDxfId="24">
  <autoFilter ref="A2:N573" xr:uid="{00000000-0009-0000-0100-000002000000}">
    <filterColumn colId="10">
      <filters>
        <filter val="FALSO"/>
      </filters>
    </filterColumn>
  </autoFilter>
  <sortState xmlns:xlrd2="http://schemas.microsoft.com/office/spreadsheetml/2017/richdata2" ref="A3:N512">
    <sortCondition ref="B2:B512"/>
  </sortState>
  <tableColumns count="14">
    <tableColumn id="1" xr3:uid="{00000000-0010-0000-0100-000001000000}" name="Proyecto">
      <calculatedColumnFormula>Indice!$I$11</calculatedColumnFormula>
    </tableColumn>
    <tableColumn id="2" xr3:uid="{00000000-0010-0000-0100-000002000000}" name="Categoría"/>
    <tableColumn id="3" xr3:uid="{00000000-0010-0000-0100-000003000000}" name="Fecha Avance" dataDxfId="23">
      <calculatedColumnFormula>Indice!$I$12</calculatedColumnFormula>
    </tableColumn>
    <tableColumn id="4" xr3:uid="{00000000-0010-0000-0100-000004000000}" name="Id. de revisión"/>
    <tableColumn id="5" xr3:uid="{00000000-0010-0000-0100-000005000000}" name="Produccion acumulada" dataDxfId="22">
      <calculatedColumnFormula>ROUND(SUMIFS(CATEGORIAS[[#All],[TOTAL PRODUCCION
ACTUAL]],CATEGORIAS[[#All],[CATEGORIA2]],Imputar[[#This Row],[Categoría]]),0)</calculatedColumnFormula>
    </tableColumn>
    <tableColumn id="6" xr3:uid="{00000000-0010-0000-0100-000006000000}" name="Reajuste Producción"/>
    <tableColumn id="7" xr3:uid="{00000000-0010-0000-0100-000007000000}" name="Proyección Produccion" dataDxfId="21">
      <calculatedColumnFormula>ROUND(SUMIFS(CATEGORIAS[[#All],[PROYECCION
DE INGRESO
DEL SALDO]],CATEGORIAS[[#All],[CATEGORIA2]],Imputar[[#This Row],[Categoría]]),0)</calculatedColumnFormula>
    </tableColumn>
    <tableColumn id="8" xr3:uid="{00000000-0010-0000-0100-000008000000}" name="Costos Cambio Categoría" dataDxfId="20">
      <calculatedColumnFormula>ROUND(SUMIFS(CATEGORIAS[[#All],[CAMBIO DE
CATEGORIA]],CATEGORIAS[[#All],[CATEGORIA2]],Imputar[[#This Row],[Categoría]]),0)</calculatedColumnFormula>
    </tableColumn>
    <tableColumn id="9" xr3:uid="{00000000-0010-0000-0100-000009000000}" name="Costo Provisiones" dataDxfId="19">
      <calculatedColumnFormula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calculatedColumnFormula>
    </tableColumn>
    <tableColumn id="10" xr3:uid="{00000000-0010-0000-0100-00000A000000}" name="Costos Proyección" dataDxfId="18">
      <calculatedColumnFormula>+ROUND(SUMIFS(CATEGORIAS[[#All],[PROYECCION
TOTAL DE COSTO]],CATEGORIAS[[#All],[CATEGORIA2]],Imputar[[#This Row],[Categoría]]),0)
-Imputar[[#This Row],[Inventario]]
-Imputar[[#This Row],[Pedidos no Rec]]</calculatedColumnFormula>
    </tableColumn>
    <tableColumn id="15" xr3:uid="{00000000-0010-0000-0100-00000F000000}" name="Suma" dataDxfId="17">
      <calculatedColumnFormula>AND(Imputar[[#This Row],[Produccion acumulada]]=0,Imputar[[#This Row],[Proyección Produccion]]=0,Imputar[[#This Row],[Costo Provisiones]]=0,Imputar[[#This Row],[Costos Proyección]]=0,Imputar[[#This Row],[Costos Cambio Categoría]]=0)</calculatedColumnFormula>
    </tableColumn>
    <tableColumn id="11" xr3:uid="{41030FC4-D6D0-43CA-939D-4C057843CD4C}" name="Costos AX" dataDxfId="16">
      <calculatedColumnFormula>_xlfn.IFNA(VLOOKUP(Imputar[[#This Row],[Categoría]],EIMI!C:T,8,0),0)</calculatedColumnFormula>
    </tableColumn>
    <tableColumn id="12" xr3:uid="{D5BD5CFA-C72D-4920-84C1-9D5FD06E0256}" name="Inventario" dataDxfId="15">
      <calculatedColumnFormula>_xlfn.IFNA(VLOOKUP(Imputar[[#This Row],[Categoría]],EIMI!C:T,9,0),0)</calculatedColumnFormula>
    </tableColumn>
    <tableColumn id="13" xr3:uid="{03D6CBCB-B506-4290-BD11-EB97E9884D33}" name="Pedidos no Rec" dataDxfId="14">
      <calculatedColumnFormula>_xlfn.IFNA(VLOOKUP(Imputar[[#This Row],[Categoría]],EIMI!C:T,10,0),0)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G&amp;rs%3AParameterLanguage=" TargetMode="External"/><Relationship Id="rId2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A&amp;rs%3AParameterLanguage=" TargetMode="External"/><Relationship Id="rId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30800G&amp;rs%3AParameterLanguage=" TargetMode="External"/><Relationship Id="rId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G&amp;rs%3AParameterLanguage=" TargetMode="External"/><Relationship Id="rId1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A&amp;rs%3AParameterLanguage=" TargetMode="External"/><Relationship Id="rId3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10A&amp;Dataset1_Reporte=3&amp;rs%3AParameterLanguage=" TargetMode="External"/><Relationship Id="rId3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1010G&amp;Dataset1_Reporte=3&amp;rs%3AParameterLanguage=" TargetMode="External"/><Relationship Id="rId1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20102G&amp;Dataset1_Reporte=3&amp;rs%3AParameterLanguage=" TargetMode="External"/><Relationship Id="rId2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70800G&amp;Dataset1_Reporte=3&amp;rs%3AParameterLanguage=" TargetMode="External"/><Relationship Id="rId2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200G&amp;Dataset1_Reporte=3&amp;rs%3AParameterLanguage=" TargetMode="External"/><Relationship Id="rId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201G&amp;Dataset1_Reporte=3&amp;rs%3AParameterLanguage=" TargetMode="External"/><Relationship Id="rId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1801A&amp;Dataset1_Reporte=3&amp;rs%3AParameterLanguage=" TargetMode="External"/><Relationship Id="rId1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5200A&amp;Dataset1_Reporte=3&amp;rs%3AParameterLanguage=" TargetMode="External"/><Relationship Id="rId3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50A&amp;rs%3AParameterLanguage=" TargetMode="External"/><Relationship Id="rId377" Type="http://schemas.openxmlformats.org/officeDocument/2006/relationships/printerSettings" Target="../printerSettings/printerSettings11.bin"/><Relationship Id="rId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10100G&amp;rs%3AParameterLanguage=" TargetMode="External"/><Relationship Id="rId1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G&amp;rs%3AParameterLanguage=" TargetMode="External"/><Relationship Id="rId2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20100G&amp;rs%3AParameterLanguage=" TargetMode="External"/><Relationship Id="rId2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A&amp;rs%3AParameterLanguage=" TargetMode="External"/><Relationship Id="rId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G&amp;rs%3AParameterLanguage=" TargetMode="External"/><Relationship Id="rId1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A&amp;rs%3AParameterLanguage=" TargetMode="External"/><Relationship Id="rId2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100100G&amp;Dataset1_Reporte=3&amp;rs%3AParameterLanguage=" TargetMode="External"/><Relationship Id="rId3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10A&amp;Dataset1_Reporte=3&amp;rs%3AParameterLanguage=" TargetMode="External"/><Relationship Id="rId3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40A&amp;Dataset1_Reporte=3&amp;rs%3AParameterLanguage=" TargetMode="External"/><Relationship Id="rId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A&amp;rs%3AParameterLanguage=" TargetMode="External"/><Relationship Id="rId1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0200G&amp;Dataset1_Reporte=3&amp;rs%3AParameterLanguage=" TargetMode="External"/><Relationship Id="rId1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4600A&amp;Dataset1_Reporte=3&amp;rs%3AParameterLanguage=" TargetMode="External"/><Relationship Id="rId2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400G&amp;Dataset1_Reporte=3&amp;rs%3AParameterLanguage=" TargetMode="External"/><Relationship Id="rId2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70100G&amp;Dataset1_Reporte=3&amp;rs%3AParameterLanguage=" TargetMode="External"/><Relationship Id="rId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100G&amp;Dataset1_Reporte=3&amp;rs%3AParameterLanguage=" TargetMode="External"/><Relationship Id="rId1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30100G&amp;Dataset1_Reporte=3&amp;rs%3AParameterLanguage=" TargetMode="External"/><Relationship Id="rId3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A&amp;rs%3AParameterLanguage=" TargetMode="External"/><Relationship Id="rId3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G&amp;rs%3AParameterLanguage=" TargetMode="External"/><Relationship Id="rId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1401A&amp;Dataset1_Reporte=3&amp;rs%3AParameterLanguage=" TargetMode="External"/><Relationship Id="rId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010G&amp;Dataset1_Reporte=3&amp;rs%3AParameterLanguage=" TargetMode="External"/><Relationship Id="rId1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G&amp;rs%3AParameterLanguage=" TargetMode="External"/><Relationship Id="rId2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G&amp;rs%3AParameterLanguage=" TargetMode="External"/><Relationship Id="rId2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G&amp;rs%3AParameterLanguage=" TargetMode="External"/><Relationship Id="rId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40800G&amp;rs%3AParameterLanguage=" TargetMode="External"/><Relationship Id="rId1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A&amp;rs%3AParameterLanguage=" TargetMode="External"/><Relationship Id="rId2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100G&amp;Dataset1_Reporte=3&amp;rs%3AParameterLanguage=" TargetMode="External"/><Relationship Id="rId3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10G&amp;Dataset1_Reporte=3&amp;rs%3AParameterLanguage=" TargetMode="External"/><Relationship Id="rId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A&amp;rs%3AParameterLanguage=" TargetMode="External"/><Relationship Id="rId1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5200G&amp;Dataset1_Reporte=3&amp;rs%3AParameterLanguage=" TargetMode="External"/><Relationship Id="rId3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1110G&amp;Dataset1_Reporte=3&amp;rs%3AParameterLanguage=" TargetMode="External"/><Relationship Id="rId1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13300A&amp;Dataset1_Reporte=3&amp;rs%3AParameterLanguage=" TargetMode="External"/><Relationship Id="rId2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84600A&amp;Dataset1_Reporte=3&amp;rs%3AParameterLanguage=" TargetMode="External"/><Relationship Id="rId2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G&amp;rs%3AParameterLanguage=" TargetMode="External"/><Relationship Id="rId3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A&amp;rs%3AParameterLanguage=" TargetMode="External"/><Relationship Id="rId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301A&amp;Dataset1_Reporte=3&amp;rs%3AParameterLanguage=" TargetMode="External"/><Relationship Id="rId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1801G&amp;Dataset1_Reporte=3&amp;rs%3AParameterLanguage=" TargetMode="External"/><Relationship Id="rId1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G&amp;rs%3AParameterLanguage=" TargetMode="External"/><Relationship Id="rId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600G&amp;rs%3AParameterLanguage=" TargetMode="External"/><Relationship Id="rId1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A&amp;rs%3AParameterLanguage=" TargetMode="External"/><Relationship Id="rId2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30100G&amp;rs%3AParameterLanguage=" TargetMode="External"/><Relationship Id="rId2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999999G&amp;Dataset1_Reporte=3&amp;rs%3AParameterLanguage=" TargetMode="External"/><Relationship Id="rId2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10100A&amp;Dataset1_Reporte=3&amp;rs%3AParameterLanguage=" TargetMode="External"/><Relationship Id="rId3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10G&amp;Dataset1_Reporte=3&amp;rs%3AParameterLanguage=" TargetMode="External"/><Relationship Id="rId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A&amp;rs%3AParameterLanguage=" TargetMode="External"/><Relationship Id="rId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G&amp;rs%3AParameterLanguage=" TargetMode="External"/><Relationship Id="rId1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1200A&amp;Dataset1_Reporte=3&amp;rs%3AParameterLanguage=" TargetMode="External"/><Relationship Id="rId3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40G&amp;Dataset1_Reporte=3&amp;rs%3AParameterLanguage=" TargetMode="External"/><Relationship Id="rId1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99200A&amp;Dataset1_Reporte=3&amp;rs%3AParameterLanguage=" TargetMode="External"/><Relationship Id="rId1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4600G&amp;Dataset1_Reporte=3&amp;rs%3AParameterLanguage=" TargetMode="External"/><Relationship Id="rId2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500A&amp;Dataset1_Reporte=3&amp;rs%3AParameterLanguage=" TargetMode="External"/><Relationship Id="rId2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A&amp;rs%3AParameterLanguage=" TargetMode="External"/><Relationship Id="rId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200G&amp;Dataset1_Reporte=3&amp;rs%3AParameterLanguage=" TargetMode="External"/><Relationship Id="rId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1401G&amp;Dataset1_Reporte=3&amp;rs%3AParameterLanguage=" TargetMode="External"/><Relationship Id="rId3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G&amp;rs%3AParameterLanguage=" TargetMode="External"/><Relationship Id="rId3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2010G&amp;rs%3AParameterLanguage=" TargetMode="External"/><Relationship Id="rId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10100A&amp;Dataset1_Reporte=3&amp;rs%3AParameterLanguage=" TargetMode="External"/><Relationship Id="rId1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G&amp;rs%3AParameterLanguage=" TargetMode="External"/><Relationship Id="rId1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A&amp;rs%3AParameterLanguage=" TargetMode="External"/><Relationship Id="rId2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A&amp;rs%3AParameterLanguage=" TargetMode="External"/><Relationship Id="rId3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4010G&amp;Dataset1_Reporte=3&amp;rs%3AParameterLanguage=" TargetMode="External"/><Relationship Id="rId2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84600G&amp;Dataset1_Reporte=3&amp;rs%3AParameterLanguage=" TargetMode="External"/><Relationship Id="rId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50800G&amp;rs%3AParameterLanguage=" TargetMode="External"/><Relationship Id="rId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G&amp;rs%3AParameterLanguage=" TargetMode="External"/><Relationship Id="rId2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70100A&amp;Dataset1_Reporte=3&amp;rs%3AParameterLanguage=" TargetMode="External"/><Relationship Id="rId3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20A&amp;Dataset1_Reporte=3&amp;rs%3AParameterLanguage=" TargetMode="External"/><Relationship Id="rId1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6200A&amp;Dataset1_Reporte=3&amp;rs%3AParameterLanguage=" TargetMode="External"/><Relationship Id="rId1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13300G&amp;Dataset1_Reporte=3&amp;rs%3AParameterLanguage=" TargetMode="External"/><Relationship Id="rId2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40100G&amp;rs%3AParameterLanguage=" TargetMode="External"/><Relationship Id="rId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301G&amp;Dataset1_Reporte=3&amp;rs%3AParameterLanguage=" TargetMode="External"/><Relationship Id="rId2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A&amp;rs%3AParameterLanguage=" TargetMode="External"/><Relationship Id="rId3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G&amp;rs%3AParameterLanguage=" TargetMode="External"/><Relationship Id="rId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2101A&amp;Dataset1_Reporte=3&amp;rs%3AParameterLanguage=" TargetMode="External"/><Relationship Id="rId1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A&amp;rs%3AParameterLanguage=" TargetMode="External"/><Relationship Id="rId1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A&amp;rs%3AParameterLanguage=" TargetMode="External"/><Relationship Id="rId1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G&amp;rs%3AParameterLanguage=" TargetMode="External"/><Relationship Id="rId3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9010A&amp;Dataset1_Reporte=3&amp;rs%3AParameterLanguage=" TargetMode="External"/><Relationship Id="rId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AA-799999G&amp;rs%3AParameterLanguage=" TargetMode="External"/><Relationship Id="rId2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500G&amp;Dataset1_Reporte=3&amp;rs%3AParameterLanguage=" TargetMode="External"/><Relationship Id="rId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50800G&amp;Dataset1_Reporte=3&amp;rs%3AParameterLanguage=" TargetMode="External"/><Relationship Id="rId2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10100G&amp;rs%3AParameterLanguage=" TargetMode="External"/><Relationship Id="rId2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90200G&amp;Dataset1_Reporte=3&amp;rs%3AParameterLanguage=" TargetMode="External"/><Relationship Id="rId2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G&amp;rs%3AParameterLanguage=" TargetMode="External"/><Relationship Id="rId2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10100G&amp;Dataset1_Reporte=3&amp;rs%3AParameterLanguage=" TargetMode="External"/><Relationship Id="rId30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20A&amp;Dataset1_Reporte=3&amp;rs%3AParameterLanguage=" TargetMode="External"/><Relationship Id="rId3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G&amp;rs%3AParameterLanguage=" TargetMode="External"/><Relationship Id="rId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G&amp;rs%3AParameterLanguage=" TargetMode="External"/><Relationship Id="rId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2001G&amp;Dataset1_Reporte=3&amp;rs%3AParameterLanguage=" TargetMode="External"/><Relationship Id="rId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A&amp;rs%3AParameterLanguage=" TargetMode="External"/><Relationship Id="rId1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1200G&amp;Dataset1_Reporte=3&amp;rs%3AParameterLanguage=" TargetMode="External"/><Relationship Id="rId1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G&amp;rs%3AParameterLanguage=" TargetMode="External"/><Relationship Id="rId1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99200G&amp;Dataset1_Reporte=3&amp;rs%3AParameterLanguage=" TargetMode="External"/><Relationship Id="rId1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A&amp;rs%3AParameterLanguage=" TargetMode="External"/><Relationship Id="rId3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20G&amp;Dataset1_Reporte=3&amp;rs%3AParameterLanguage=" TargetMode="External"/><Relationship Id="rId3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A&amp;rs%3AParameterLanguage=" TargetMode="External"/><Relationship Id="rId1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5100A&amp;Dataset1_Reporte=3&amp;rs%3AParameterLanguage=" TargetMode="External"/><Relationship Id="rId2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300A&amp;Dataset1_Reporte=3&amp;rs%3AParameterLanguage=" TargetMode="External"/><Relationship Id="rId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300G&amp;Dataset1_Reporte=3&amp;rs%3AParameterLanguage=" TargetMode="External"/><Relationship Id="rId2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G&amp;rs%3AParameterLanguage=" TargetMode="External"/><Relationship Id="rId2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40100G&amp;Dataset1_Reporte=3&amp;rs%3AParameterLanguage=" TargetMode="External"/><Relationship Id="rId2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G&amp;rs%3AParameterLanguage=" TargetMode="External"/><Relationship Id="rId2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90100A&amp;Dataset1_Reporte=3&amp;rs%3AParameterLanguage=" TargetMode="External"/><Relationship Id="rId3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A&amp;rs%3AParameterLanguage=" TargetMode="External"/><Relationship Id="rId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A&amp;rs%3AParameterLanguage=" TargetMode="External"/><Relationship Id="rId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9901A&amp;Dataset1_Reporte=3&amp;rs%3AParameterLanguage=" TargetMode="External"/><Relationship Id="rId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G&amp;rs%3AParameterLanguage=" TargetMode="External"/><Relationship Id="rId1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20100A&amp;Dataset1_Reporte=3&amp;rs%3AParameterLanguage=" TargetMode="External"/><Relationship Id="rId1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A&amp;rs%3AParameterLanguage=" TargetMode="External"/><Relationship Id="rId1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200A&amp;Dataset1_Reporte=3&amp;rs%3AParameterLanguage=" TargetMode="External"/><Relationship Id="rId3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20G&amp;Dataset1_Reporte=3&amp;rs%3AParameterLanguage=" TargetMode="External"/><Relationship Id="rId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50100A&amp;Dataset1_Reporte=3&amp;rs%3AParameterLanguage=" TargetMode="External"/><Relationship Id="rId1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G&amp;rs%3AParameterLanguage=" TargetMode="External"/><Relationship Id="rId1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300G&amp;Dataset1_Reporte=3&amp;rs%3AParameterLanguage=" TargetMode="External"/><Relationship Id="rId3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G&amp;rs%3AParameterLanguage=" TargetMode="External"/><Relationship Id="rId3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5010G&amp;Dataset1_Reporte=3&amp;rs%3AParameterLanguage=" TargetMode="External"/><Relationship Id="rId2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A&amp;rs%3AParameterLanguage=" TargetMode="External"/><Relationship Id="rId2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10100G&amp;Dataset1_Reporte=3&amp;rs%3AParameterLanguage=" TargetMode="External"/><Relationship Id="rId2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A&amp;rs%3AParameterLanguage=" TargetMode="External"/><Relationship Id="rId2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70100G&amp;Dataset1_Reporte=3&amp;rs%3AParameterLanguage=" TargetMode="External"/><Relationship Id="rId2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A&amp;rs%3AParameterLanguage=" TargetMode="External"/><Relationship Id="rId3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G&amp;rs%3AParameterLanguage=" TargetMode="External"/><Relationship Id="rId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500G&amp;rs%3AParameterLanguage=" TargetMode="External"/><Relationship Id="rId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1101G&amp;Dataset1_Reporte=3&amp;rs%3AParameterLanguage=" TargetMode="External"/><Relationship Id="rId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A&amp;rs%3AParameterLanguage=" TargetMode="External"/><Relationship Id="rId1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100A&amp;rs%3AParameterLanguage=" TargetMode="External"/><Relationship Id="rId1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6200G&amp;Dataset1_Reporte=3&amp;rs%3AParameterLanguage=" TargetMode="External"/><Relationship Id="rId3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99010A&amp;Dataset1_Reporte=3&amp;rs%3AParameterLanguage=" TargetMode="External"/><Relationship Id="rId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2101G&amp;Dataset1_Reporte=3&amp;rs%3AParameterLanguage=" TargetMode="External"/><Relationship Id="rId1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A&amp;rs%3AParameterLanguage=" TargetMode="External"/><Relationship Id="rId1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3900A&amp;Dataset1_Reporte=3&amp;rs%3AParameterLanguage=" TargetMode="External"/><Relationship Id="rId1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G&amp;rs%3AParameterLanguage=" TargetMode="External"/><Relationship Id="rId3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A&amp;rs%3AParameterLanguage=" TargetMode="External"/><Relationship Id="rId3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3010A&amp;Dataset1_Reporte=3&amp;rs%3AParameterLanguage=" TargetMode="External"/><Relationship Id="rId2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G&amp;rs%3AParameterLanguage=" TargetMode="External"/><Relationship Id="rId2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800G&amp;Dataset1_Reporte=3&amp;rs%3AParameterLanguage=" TargetMode="External"/><Relationship Id="rId2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50100G&amp;rs%3AParameterLanguage=" TargetMode="External"/><Relationship Id="rId2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100G&amp;Dataset1_Reporte=3&amp;rs%3AParameterLanguage=" TargetMode="External"/><Relationship Id="rId28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G&amp;rs%3AParameterLanguage=" TargetMode="External"/><Relationship Id="rId1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400G&amp;rs%3AParameterLanguage=" TargetMode="External"/><Relationship Id="rId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401A&amp;Dataset1_Reporte=3&amp;rs%3AParameterLanguage=" TargetMode="External"/><Relationship Id="rId5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G&amp;rs%3AParameterLanguage=" TargetMode="External"/><Relationship Id="rId1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G&amp;rs%3AParameterLanguage=" TargetMode="External"/><Relationship Id="rId1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4200A&amp;Dataset1_Reporte=3&amp;rs%3AParameterLanguage=" TargetMode="External"/><Relationship Id="rId3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20G&amp;Dataset1_Reporte=3&amp;rs%3AParameterLanguage=" TargetMode="External"/><Relationship Id="rId7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9901A&amp;Dataset1_Reporte=3&amp;rs%3AParameterLanguage=" TargetMode="External"/><Relationship Id="rId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G&amp;rs%3AParameterLanguage=" TargetMode="External"/><Relationship Id="rId1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G&amp;rs%3AParameterLanguage=" TargetMode="External"/><Relationship Id="rId1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495100G&amp;Dataset1_Reporte=3&amp;rs%3AParameterLanguage=" TargetMode="External"/><Relationship Id="rId1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A&amp;rs%3AParameterLanguage=" TargetMode="External"/><Relationship Id="rId3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A&amp;rs%3AParameterLanguage=" TargetMode="External"/><Relationship Id="rId3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9010G&amp;Dataset1_Reporte=3&amp;rs%3AParameterLanguage=" TargetMode="External"/><Relationship Id="rId3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6010G&amp;rs%3AParameterLanguage=" TargetMode="External"/><Relationship Id="rId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TargetMode="External"/><Relationship Id="rId2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9900A&amp;Dataset1_Reporte=3&amp;rs%3AParameterLanguage=" TargetMode="External"/><Relationship Id="rId2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100G&amp;rs%3AParameterLanguage=" TargetMode="External"/><Relationship Id="rId2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100A&amp;Dataset1_Reporte=3&amp;rs%3AParameterLanguage=" TargetMode="External"/><Relationship Id="rId2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500G&amp;Dataset1_Reporte=3&amp;rs%3AParameterLanguage=" TargetMode="External"/><Relationship Id="rId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A&amp;rs%3AParameterLanguage=" TargetMode="External"/><Relationship Id="rId1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100A&amp;Dataset1_Reporte=3&amp;rs%3AParameterLanguage=" TargetMode="External"/><Relationship Id="rId2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A&amp;rs%3AParameterLanguage=" TargetMode="External"/><Relationship Id="rId29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20100A&amp;Dataset1_Reporte=3&amp;rs%3AParameterLanguage=" TargetMode="External"/><Relationship Id="rId3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7010A&amp;Dataset1_Reporte=3&amp;rs%3AParameterLanguage=" TargetMode="External"/><Relationship Id="rId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39901G&amp;Dataset1_Reporte=3&amp;rs%3AParameterLanguage=" TargetMode="External"/><Relationship Id="rId8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A&amp;rs%3AParameterLanguage=" TargetMode="External"/><Relationship Id="rId1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A&amp;rs%3AParameterLanguage=" TargetMode="External"/><Relationship Id="rId1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2200A&amp;Dataset1_Reporte=3&amp;rs%3AParameterLanguage=" TargetMode="External"/><Relationship Id="rId1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G&amp;rs%3AParameterLanguage=" TargetMode="External"/><Relationship Id="rId1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45100G&amp;Dataset1_Reporte=3&amp;rs%3AParameterLanguage=" TargetMode="External"/><Relationship Id="rId32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G&amp;rs%3AParameterLanguage=" TargetMode="External"/><Relationship Id="rId3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30A&amp;Dataset1_Reporte=3&amp;rs%3AParameterLanguage=" TargetMode="External"/><Relationship Id="rId36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G&amp;rs%3AParameterLanguage=" TargetMode="External"/><Relationship Id="rId2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300G&amp;Dataset1_Reporte=3&amp;rs%3AParameterLanguage=" TargetMode="External"/><Relationship Id="rId2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A&amp;rs%3AParameterLanguage=" TargetMode="External"/><Relationship Id="rId2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50100G&amp;Dataset1_Reporte=3&amp;rs%3AParameterLanguage=" TargetMode="External"/><Relationship Id="rId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0400G&amp;Dataset1_Reporte=3&amp;rs%3AParameterLanguage=" TargetMode="External"/><Relationship Id="rId3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G&amp;rs%3AParameterLanguage=" TargetMode="External"/><Relationship Id="rId2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A&amp;rs%3AParameterLanguage=" TargetMode="External"/><Relationship Id="rId2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90100G&amp;Dataset1_Reporte=3&amp;rs%3AParameterLanguage=" TargetMode="External"/><Relationship Id="rId5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9901A&amp;Dataset1_Reporte=3&amp;rs%3AParameterLanguage=" TargetMode="External"/><Relationship Id="rId1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20100G&amp;Dataset1_Reporte=3&amp;rs%3AParameterLanguage=" TargetMode="External"/><Relationship Id="rId1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G&amp;rs%3AParameterLanguage=" TargetMode="External"/><Relationship Id="rId1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200G&amp;Dataset1_Reporte=3&amp;rs%3AParameterLanguage=" TargetMode="External"/><Relationship Id="rId1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1G&amp;rs%3AParameterLanguage=" TargetMode="External"/><Relationship Id="rId1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9900A&amp;Dataset1_Reporte=3&amp;rs%3AParameterLanguage=" TargetMode="External"/><Relationship Id="rId3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A&amp;rs%3AParameterLanguage=" TargetMode="External"/><Relationship Id="rId33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40A&amp;Dataset1_Reporte=3&amp;rs%3AParameterLanguage=" TargetMode="External"/><Relationship Id="rId3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607070A&amp;rs%3AParameterLanguage=" TargetMode="External"/><Relationship Id="rId37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6010G&amp;Dataset1_Reporte=3&amp;rs%3AParameterLanguage=" TargetMode="External"/><Relationship Id="rId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G&amp;rs%3AParameterLanguage=" TargetMode="External"/><Relationship Id="rId9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50100G&amp;Dataset1_Reporte=3&amp;rs%3AParameterLanguage=" TargetMode="External"/><Relationship Id="rId2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G&amp;rs%3AParameterLanguage=" TargetMode="External"/><Relationship Id="rId2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600100G&amp;Dataset1_Reporte=3&amp;rs%3AParameterLanguage=" TargetMode="External"/><Relationship Id="rId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&amp;Dataset1_Reporte=3&amp;rs%3AParameterLanguage=" TargetMode="External"/><Relationship Id="rId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A&amp;rs%3AParameterLanguage=" TargetMode="External"/><Relationship Id="rId2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A&amp;rs%3AParameterLanguage=" TargetMode="External"/><Relationship Id="rId2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30100A&amp;Dataset1_Reporte=3&amp;rs%3AParameterLanguage=" TargetMode="External"/><Relationship Id="rId2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G&amp;rs%3AParameterLanguage=" TargetMode="External"/><Relationship Id="rId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401G&amp;Dataset1_Reporte=3&amp;rs%3AParameterLanguage=" TargetMode="External"/><Relationship Id="rId1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A&amp;rs%3AParameterLanguage=" TargetMode="External"/><Relationship Id="rId1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7200A&amp;Dataset1_Reporte=3&amp;rs%3AParameterLanguage=" TargetMode="External"/><Relationship Id="rId1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G&amp;rs%3AParameterLanguage=" TargetMode="External"/><Relationship Id="rId1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3900G&amp;Dataset1_Reporte=3&amp;rs%3AParameterLanguage=" TargetMode="External"/><Relationship Id="rId30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G&amp;rs%3AParameterLanguage=" TargetMode="External"/><Relationship Id="rId3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99010G&amp;Dataset1_Reporte=3&amp;rs%3AParameterLanguage=" TargetMode="External"/><Relationship Id="rId34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G&amp;rs%3AParameterLanguage=" TargetMode="External"/><Relationship Id="rId3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3010G&amp;Dataset1_Reporte=3&amp;rs%3AParameterLanguage=" TargetMode="External"/><Relationship Id="rId6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A&amp;rs%3AParameterLanguage=" TargetMode="External"/><Relationship Id="rId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9901A&amp;Dataset1_Reporte=3&amp;rs%3AParameterLanguage=" TargetMode="External"/><Relationship Id="rId1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A&amp;rs%3AParameterLanguage=" TargetMode="External"/><Relationship Id="rId2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A&amp;rs%3AParameterLanguage=" TargetMode="External"/><Relationship Id="rId1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9900G&amp;rs%3AParameterLanguage=" TargetMode="External"/><Relationship Id="rId2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70800A&amp;Dataset1_Reporte=3&amp;rs%3AParameterLanguage=" TargetMode="External"/><Relationship Id="rId2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60100G&amp;rs%3AParameterLanguage=" TargetMode="External"/><Relationship Id="rId2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200A&amp;Dataset1_Reporte=3&amp;rs%3AParameterLanguage=" TargetMode="External"/><Relationship Id="rId28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A&amp;rs%3AParameterLanguage=" TargetMode="External"/><Relationship Id="rId3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201A&amp;Dataset1_Reporte=3&amp;rs%3AParameterLanguage=" TargetMode="External"/><Relationship Id="rId1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A&amp;rs%3AParameterLanguage=" TargetMode="External"/><Relationship Id="rId12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4200G&amp;Dataset1_Reporte=3&amp;rs%3AParameterLanguage=" TargetMode="External"/><Relationship Id="rId1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A&amp;rs%3AParameterLanguage=" TargetMode="External"/><Relationship Id="rId16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20101G&amp;Dataset1_Reporte=3&amp;rs%3AParameterLanguage=" TargetMode="External"/><Relationship Id="rId31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30A&amp;Dataset1_Reporte=3&amp;rs%3AParameterLanguage=" TargetMode="External"/><Relationship Id="rId3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G&amp;rs%3AParameterLanguage=" TargetMode="External"/><Relationship Id="rId35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607070A&amp;Dataset1_Reporte=3&amp;rs%3AParameterLanguage=" TargetMode="External"/><Relationship Id="rId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G&amp;rs%3AParameterLanguage=" TargetMode="External"/><Relationship Id="rId7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9901G&amp;Dataset1_Reporte=3&amp;rs%3AParameterLanguage=" TargetMode="External"/><Relationship Id="rId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A&amp;rs%3AParameterLanguage=" TargetMode="External"/><Relationship Id="rId1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G&amp;rs%3AParameterLanguage=" TargetMode="External"/><Relationship Id="rId3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TargetMode="External"/><Relationship Id="rId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0&amp;rs%3AParameterLanguage=" TargetMode="External"/><Relationship Id="rId2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9900G&amp;Dataset1_Reporte=3&amp;rs%3AParameterLanguage=" TargetMode="External"/><Relationship Id="rId2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200G&amp;rs%3AParameterLanguage=" TargetMode="External"/><Relationship Id="rId2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400A&amp;Dataset1_Reporte=3&amp;rs%3AParameterLanguage=" TargetMode="External"/><Relationship Id="rId2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G&amp;rs%3AParameterLanguage=" TargetMode="External"/><Relationship Id="rId29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20100G&amp;Dataset1_Reporte=3&amp;rs%3AParameterLanguage=" TargetMode="External"/><Relationship Id="rId1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200A&amp;Dataset1_Reporte=3&amp;rs%3AParameterLanguage=" TargetMode="External"/><Relationship Id="rId13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G&amp;rs%3AParameterLanguage=" TargetMode="External"/><Relationship Id="rId1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2200G&amp;Dataset1_Reporte=3&amp;rs%3AParameterLanguage=" TargetMode="External"/><Relationship Id="rId30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7010G&amp;Dataset1_Reporte=3&amp;rs%3AParameterLanguage=" TargetMode="External"/><Relationship Id="rId32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A&amp;rs%3AParameterLanguage=" TargetMode="External"/><Relationship Id="rId3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30G&amp;Dataset1_Reporte=3&amp;rs%3AParameterLanguage=" TargetMode="External"/><Relationship Id="rId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19900G&amp;Dataset1_Reporte=3&amp;rs%3AParameterLanguage=" TargetMode="External"/><Relationship Id="rId4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A&amp;rs%3AParameterLanguage=" TargetMode="External"/><Relationship Id="rId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1401A&amp;Dataset1_Reporte=3&amp;rs%3AParameterLanguage=" TargetMode="External"/><Relationship Id="rId8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G&amp;rs%3AParameterLanguage=" TargetMode="External"/><Relationship Id="rId17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A&amp;rs%3AParameterLanguage=" TargetMode="External"/><Relationship Id="rId36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010G&amp;rs%3AParameterLanguage=" TargetMode="External"/><Relationship Id="rId19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9900G&amp;Dataset1_Reporte=3&amp;rs%3AParameterLanguage=" TargetMode="External"/><Relationship Id="rId20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55400A&amp;Dataset1_Reporte=3&amp;rs%3AParameterLanguage=" TargetMode="External"/><Relationship Id="rId2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G&amp;rs%3AParameterLanguage=" TargetMode="External"/><Relationship Id="rId2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60100G&amp;Dataset1_Reporte=3&amp;rs%3AParameterLanguage=" TargetMode="External"/><Relationship Id="rId2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G&amp;rs%3AParameterLanguage=" TargetMode="External"/><Relationship Id="rId2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100100A&amp;Dataset1_Reporte=3&amp;rs%3AParameterLanguage=" TargetMode="External"/><Relationship Id="rId10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30100A&amp;Dataset1_Reporte=3&amp;rs%3AParameterLanguage=" TargetMode="External"/><Relationship Id="rId1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A&amp;rs%3AParameterLanguage=" TargetMode="External"/><Relationship Id="rId3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G&amp;rs%3AParameterLanguage=" TargetMode="External"/><Relationship Id="rId1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AA-799999G&amp;Dataset1_Reporte=3&amp;rs%3AParameterLanguage=" TargetMode="External"/><Relationship Id="rId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G&amp;rs%3AParameterLanguage=" TargetMode="External"/><Relationship Id="rId5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9901G&amp;Dataset1_Reporte=3&amp;rs%3AParameterLanguage=" TargetMode="External"/><Relationship Id="rId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A&amp;rs%3AParameterLanguage=" TargetMode="External"/><Relationship Id="rId9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010A&amp;Dataset1_Reporte=3&amp;rs%3AParameterLanguage=" TargetMode="External"/><Relationship Id="rId14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250200A&amp;Dataset1_Reporte=3&amp;rs%3AParameterLanguage=" TargetMode="External"/><Relationship Id="rId1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2G&amp;rs%3AParameterLanguage=" TargetMode="External"/><Relationship Id="rId33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40G&amp;Dataset1_Reporte=3&amp;rs%3AParameterLanguage=" TargetMode="External"/><Relationship Id="rId3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200A&amp;rs%3AParameterLanguage=" TargetMode="External"/><Relationship Id="rId37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Reporte=3&amp;Dataset1_Categoria=&amp;rs%3AParameterLanguage=" TargetMode="External"/><Relationship Id="rId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0&amp;Dataset1_Reporte=3&amp;rs%3AParameterLanguage=" TargetMode="External"/><Relationship Id="rId1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000A&amp;Dataset1_Reporte=3&amp;rs%3AParameterLanguage=" TargetMode="External"/><Relationship Id="rId2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A&amp;rs%3AParameterLanguage=" TargetMode="External"/><Relationship Id="rId2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600200G&amp;Dataset1_Reporte=3&amp;rs%3AParameterLanguage=" TargetMode="External"/><Relationship Id="rId2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A&amp;rs%3AParameterLanguage=" TargetMode="External"/><Relationship Id="rId27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30100G&amp;Dataset1_Reporte=3&amp;rs%3AParameterLanguage=" TargetMode="External"/><Relationship Id="rId30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A&amp;rs%3AParameterLanguage=" TargetMode="External"/><Relationship Id="rId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501A&amp;Dataset1_Reporte=3&amp;rs%3AParameterLanguage=" TargetMode="External"/><Relationship Id="rId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59901G&amp;Dataset1_Reporte=3&amp;rs%3AParameterLanguage=" TargetMode="External"/><Relationship Id="rId1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7200G&amp;Dataset1_Reporte=3&amp;rs%3AParameterLanguage=" TargetMode="External"/><Relationship Id="rId34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A&amp;rs%3AParameterLanguage=" TargetMode="External"/><Relationship Id="rId1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A&amp;rs%3AParameterLanguage=" TargetMode="External"/><Relationship Id="rId2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G&amp;rs%3AParameterLanguage=" TargetMode="External"/><Relationship Id="rId2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70100G&amp;rs%3AParameterLanguage=" TargetMode="External"/><Relationship Id="rId1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G&amp;rs%3AParameterLanguage=" TargetMode="External"/><Relationship Id="rId28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G&amp;rs%3AParameterLanguage=" TargetMode="External"/><Relationship Id="rId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100G&amp;rs%3AParameterLanguage=" TargetMode="External"/><Relationship Id="rId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A&amp;rs%3AParameterLanguage=" TargetMode="External"/><Relationship Id="rId1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G&amp;rs%3AParameterLanguage=" TargetMode="External"/><Relationship Id="rId31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030G&amp;Dataset1_Reporte=3&amp;rs%3AParameterLanguage=" TargetMode="External"/><Relationship Id="rId35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200A&amp;Dataset1_Reporte=3&amp;rs%3AParameterLanguage=" TargetMode="External"/><Relationship Id="rId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G&amp;rs%3AParameterLanguage=" TargetMode="External"/><Relationship Id="rId1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397100A&amp;Dataset1_Reporte=3&amp;rs%3AParameterLanguage=" TargetMode="External"/><Relationship Id="rId2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700A&amp;Dataset1_Reporte=3&amp;rs%3AParameterLanguage=" TargetMode="External"/><Relationship Id="rId2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3200A&amp;Dataset1_Reporte=3&amp;rs%3AParameterLanguage=" TargetMode="External"/><Relationship Id="rId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30800G&amp;Dataset1_Reporte=3&amp;rs%3AParameterLanguage=" TargetMode="External"/><Relationship Id="rId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1401G&amp;Dataset1_Reporte=3&amp;rs%3AParameterLanguage=" TargetMode="External"/><Relationship Id="rId1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2200G&amp;Dataset1_Reporte=3&amp;rs%3AParameterLanguage=" TargetMode="External"/><Relationship Id="rId32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G&amp;rs%3AParameterLanguage=" TargetMode="External"/><Relationship Id="rId36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110G&amp;rs%3AParameterLanguage=" TargetMode="External"/><Relationship Id="rId1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A&amp;rs%3AParameterLanguage=" TargetMode="External"/><Relationship Id="rId2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A&amp;rs%3AParameterLanguage=" TargetMode="External"/><Relationship Id="rId2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G&amp;rs%3AParameterLanguage=" TargetMode="External"/><Relationship Id="rId3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A&amp;rs%3AParameterLanguage=" TargetMode="External"/><Relationship Id="rId1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G&amp;rs%3AParameterLanguage=" TargetMode="External"/><Relationship Id="rId28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40100A&amp;Dataset1_Reporte=3&amp;rs%3AParameterLanguage=" TargetMode="External"/><Relationship Id="rId33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2050A&amp;Dataset1_Reporte=3&amp;rs%3AParameterLanguage=" TargetMode="External"/><Relationship Id="rId7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G&amp;rs%3AParameterLanguage=" TargetMode="External"/><Relationship Id="rId1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100A&amp;Dataset1_Reporte=3&amp;rs%3AParameterLanguage=" TargetMode="External"/><Relationship Id="rId1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000G&amp;Dataset1_Reporte=3&amp;rs%3AParameterLanguage=" TargetMode="External"/><Relationship Id="rId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110100G&amp;Dataset1_Reporte=3&amp;rs%3AParameterLanguage=" TargetMode="External"/><Relationship Id="rId2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20100G&amp;Dataset1_Reporte=3&amp;rs%3AParameterLanguage=" TargetMode="External"/><Relationship Id="rId29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A&amp;rs%3AParameterLanguage=" TargetMode="External"/><Relationship Id="rId30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G&amp;rs%3AParameterLanguage=" TargetMode="External"/><Relationship Id="rId34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G&amp;rs%3AParameterLanguage=" TargetMode="External"/><Relationship Id="rId4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0501G&amp;Dataset1_Reporte=3&amp;rs%3AParameterLanguage=" TargetMode="External"/><Relationship Id="rId8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40100A&amp;Dataset1_Reporte=3&amp;rs%3AParameterLanguage=" TargetMode="External"/><Relationship Id="rId1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A&amp;rs%3AParameterLanguage=" TargetMode="External"/><Relationship Id="rId1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G&amp;rs%3AParameterLanguage=" TargetMode="External"/><Relationship Id="rId2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A&amp;rs%3AParameterLanguage=" TargetMode="External"/><Relationship Id="rId2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999999G&amp;rs%3AParameterLanguage=" TargetMode="External"/><Relationship Id="rId1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200G&amp;rs%3AParameterLanguage=" TargetMode="External"/><Relationship Id="rId1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A&amp;rs%3AParameterLanguage=" TargetMode="External"/><Relationship Id="rId2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3200G&amp;Dataset1_Reporte=3&amp;rs%3AParameterLanguage=" TargetMode="External"/><Relationship Id="rId31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990A&amp;Dataset1_Reporte=3&amp;rs%3AParameterLanguage=" TargetMode="External"/><Relationship Id="rId5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G&amp;rs%3AParameterLanguage=" TargetMode="External"/><Relationship Id="rId9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A&amp;rs%3AParameterLanguage=" TargetMode="External"/><Relationship Id="rId1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3200A&amp;Dataset1_Reporte=3&amp;rs%3AParameterLanguage=" TargetMode="External"/><Relationship Id="rId35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80400G&amp;Dataset1_Reporte=3&amp;rs%3AParameterLanguage=" TargetMode="External"/><Relationship Id="rId1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397100G&amp;Dataset1_Reporte=3&amp;rs%3AParameterLanguage=" TargetMode="External"/><Relationship Id="rId2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700G&amp;Dataset1_Reporte=3&amp;rs%3AParameterLanguage=" TargetMode="External"/><Relationship Id="rId2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A&amp;rs%3AParameterLanguage=" TargetMode="External"/><Relationship Id="rId2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1-040800G&amp;Dataset1_Reporte=3&amp;rs%3AParameterLanguage=" TargetMode="External"/><Relationship Id="rId6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42001A&amp;Dataset1_Reporte=3&amp;rs%3AParameterLanguage=" TargetMode="External"/><Relationship Id="rId13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A&amp;rs%3AParameterLanguage=" TargetMode="External"/><Relationship Id="rId32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A&amp;rs%3AParameterLanguage=" TargetMode="External"/><Relationship Id="rId36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4010G&amp;rs%3AParameterLanguage=" TargetMode="External"/><Relationship Id="rId17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G&amp;rs%3AParameterLanguage=" TargetMode="External"/><Relationship Id="rId22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G&amp;rs%3AParameterLanguage=" TargetMode="External"/><Relationship Id="rId24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12-530100G&amp;Dataset1_Reporte=3&amp;rs%3AParameterLanguage=" TargetMode="External"/><Relationship Id="rId3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G&amp;rs%3AParameterLanguage=" TargetMode="External"/><Relationship Id="rId7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A&amp;rs%3AParameterLanguage=" TargetMode="External"/><Relationship Id="rId10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10100G&amp;Dataset1_Reporte=3&amp;rs%3AParameterLanguage=" TargetMode="External"/><Relationship Id="rId28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62-040100G&amp;Dataset1_Reporte=3&amp;rs%3AParameterLanguage=" TargetMode="External"/><Relationship Id="rId33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1020A&amp;Dataset1_Reporte=3&amp;rs%3AParameterLanguage=" TargetMode="External"/><Relationship Id="rId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5600G&amp;Dataset1_Reporte=3&amp;rs%3AParameterLanguage=" TargetMode="External"/><Relationship Id="rId14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99100G&amp;Dataset1_Reporte=3&amp;rs%3AParameterLanguage=" TargetMode="External"/><Relationship Id="rId18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34300A&amp;Dataset1_Reporte=3&amp;rs%3AParameterLanguage=" TargetMode="External"/><Relationship Id="rId25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90200G&amp;rs%3AParameterLanguage=" TargetMode="External"/><Relationship Id="rId46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21-011101A&amp;Dataset1_Reporte=3&amp;rs%3AParameterLanguage=" TargetMode="External"/><Relationship Id="rId29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G&amp;rs%3AParameterLanguage=" TargetMode="External"/><Relationship Id="rId30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A&amp;rs%3AParameterLanguage=" TargetMode="External"/><Relationship Id="rId34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A&amp;rs%3AParameterLanguage=" TargetMode="External"/><Relationship Id="rId8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51-040100G&amp;Dataset1_Reporte=3&amp;rs%3AParameterLanguage=" TargetMode="External"/><Relationship Id="rId11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G&amp;rs%3AParameterLanguage=" TargetMode="External"/><Relationship Id="rId153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G&amp;rs%3AParameterLanguage=" TargetMode="External"/><Relationship Id="rId19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A&amp;rs%3AParameterLanguage=" TargetMode="External"/><Relationship Id="rId20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G&amp;rs%3AParameterLanguage=" TargetMode="External"/><Relationship Id="rId36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A02010G&amp;Dataset1_Reporte=3&amp;rs%3AParameterLanguage=" TargetMode="External"/><Relationship Id="rId220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31-065800A&amp;Dataset1_Reporte=3&amp;rs%3AParameterLanguage=" TargetMode="External"/><Relationship Id="rId15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300G&amp;rs%3AParameterLanguage=" TargetMode="External"/><Relationship Id="rId57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A&amp;rs%3AParameterLanguage=" TargetMode="External"/><Relationship Id="rId26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2-254100A&amp;Dataset1_Reporte=3&amp;rs%3AParameterLanguage=" TargetMode="External"/><Relationship Id="rId318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72-103990G&amp;Dataset1_Reporte=3&amp;rs%3AParameterLanguage=" TargetMode="External"/><Relationship Id="rId99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G&amp;rs%3AParameterLanguage=" TargetMode="External"/><Relationship Id="rId122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103200G&amp;Dataset1_Reporte=3&amp;rs%3AParameterLanguage=" TargetMode="External"/><Relationship Id="rId164" Type="http://schemas.openxmlformats.org/officeDocument/2006/relationships/hyperlink" Target="http://eiax-bi/ReportServer?%2FDynamicsAX%2FEIMI_SCP03_Detalles_Report.PrecisionDesign3PedidosNoRecibidos&amp;Dataset1_FechaInicio=01%2F01%2F2010%2000%3A00%3A00&amp;Dataset1_FechaTermino=08%2F31%2F2019%2000%3A00%3A00&amp;Dataset1_Proyecto=0357&amp;Dataset1_Categoria=41-495100A&amp;Dataset1_Reporte=3&amp;rs%3AParameterLanguage=" TargetMode="External"/><Relationship Id="rId371" Type="http://schemas.openxmlformats.org/officeDocument/2006/relationships/hyperlink" Target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5010G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91AC-3A43-453F-B424-F7334386C264}">
  <sheetPr>
    <pageSetUpPr fitToPage="1"/>
  </sheetPr>
  <dimension ref="A1:F89"/>
  <sheetViews>
    <sheetView showGridLines="0" topLeftCell="A54" workbookViewId="0">
      <selection activeCell="G64" sqref="G64"/>
    </sheetView>
  </sheetViews>
  <sheetFormatPr baseColWidth="10" defaultRowHeight="15" x14ac:dyDescent="0.25"/>
  <cols>
    <col min="1" max="1" width="26.7109375" bestFit="1" customWidth="1"/>
    <col min="2" max="2" width="12.7109375" bestFit="1" customWidth="1"/>
    <col min="3" max="3" width="52.42578125" bestFit="1" customWidth="1"/>
    <col min="4" max="4" width="12.28515625" bestFit="1" customWidth="1"/>
    <col min="5" max="5" width="23.28515625" bestFit="1" customWidth="1"/>
  </cols>
  <sheetData>
    <row r="1" spans="1:6" x14ac:dyDescent="0.25">
      <c r="E1" s="319">
        <f>+SUBTOTAL(9,E3:E89)</f>
        <v>4750000000.2055159</v>
      </c>
    </row>
    <row r="2" spans="1:6" x14ac:dyDescent="0.25">
      <c r="A2" s="299" t="s">
        <v>351</v>
      </c>
      <c r="B2" s="299" t="s">
        <v>2297</v>
      </c>
      <c r="C2" s="299" t="s">
        <v>352</v>
      </c>
      <c r="D2" s="299" t="s">
        <v>353</v>
      </c>
      <c r="E2" s="299" t="s">
        <v>354</v>
      </c>
      <c r="F2" s="318" t="s">
        <v>2460</v>
      </c>
    </row>
    <row r="3" spans="1:6" x14ac:dyDescent="0.25">
      <c r="A3" s="300" t="s">
        <v>186</v>
      </c>
      <c r="B3" s="300" t="s">
        <v>1751</v>
      </c>
      <c r="C3" s="300" t="s">
        <v>381</v>
      </c>
      <c r="D3" s="300" t="s">
        <v>376</v>
      </c>
      <c r="E3" s="301">
        <v>249347566.42085752</v>
      </c>
    </row>
    <row r="4" spans="1:6" x14ac:dyDescent="0.25">
      <c r="A4" s="300" t="s">
        <v>187</v>
      </c>
      <c r="B4" s="300" t="s">
        <v>1757</v>
      </c>
      <c r="C4" s="300" t="s">
        <v>393</v>
      </c>
      <c r="D4" s="300" t="s">
        <v>379</v>
      </c>
      <c r="E4" s="301">
        <v>9107425.3160245083</v>
      </c>
    </row>
    <row r="5" spans="1:6" x14ac:dyDescent="0.25">
      <c r="A5" s="300" t="s">
        <v>396</v>
      </c>
      <c r="B5" s="300" t="s">
        <v>1759</v>
      </c>
      <c r="C5" s="300" t="s">
        <v>398</v>
      </c>
      <c r="D5" s="300" t="s">
        <v>379</v>
      </c>
      <c r="E5" s="301">
        <v>648232300.96841526</v>
      </c>
    </row>
    <row r="6" spans="1:6" x14ac:dyDescent="0.25">
      <c r="A6" s="300" t="s">
        <v>2381</v>
      </c>
      <c r="B6" s="300" t="s">
        <v>1761</v>
      </c>
      <c r="C6" s="300" t="s">
        <v>402</v>
      </c>
      <c r="D6" s="300" t="s">
        <v>379</v>
      </c>
      <c r="E6" s="301">
        <v>37872374.345846228</v>
      </c>
    </row>
    <row r="7" spans="1:6" x14ac:dyDescent="0.25">
      <c r="A7" s="300" t="s">
        <v>192</v>
      </c>
      <c r="B7" s="300" t="s">
        <v>1763</v>
      </c>
      <c r="C7" s="300" t="s">
        <v>406</v>
      </c>
      <c r="D7" s="300" t="s">
        <v>379</v>
      </c>
      <c r="E7" s="301">
        <v>4909779.3548685564</v>
      </c>
    </row>
    <row r="8" spans="1:6" x14ac:dyDescent="0.25">
      <c r="A8" s="300" t="s">
        <v>423</v>
      </c>
      <c r="B8" s="300" t="s">
        <v>1772</v>
      </c>
      <c r="C8" s="300" t="s">
        <v>425</v>
      </c>
      <c r="D8" s="300" t="s">
        <v>379</v>
      </c>
      <c r="E8" s="301">
        <v>40034534.039657995</v>
      </c>
    </row>
    <row r="9" spans="1:6" x14ac:dyDescent="0.25">
      <c r="A9" s="300" t="s">
        <v>2426</v>
      </c>
      <c r="B9" s="300" t="s">
        <v>1774</v>
      </c>
      <c r="C9" s="300" t="s">
        <v>318</v>
      </c>
      <c r="D9" s="300" t="s">
        <v>379</v>
      </c>
      <c r="E9" s="301">
        <v>109544629.7149321</v>
      </c>
    </row>
    <row r="10" spans="1:6" x14ac:dyDescent="0.25">
      <c r="A10" s="300" t="s">
        <v>2427</v>
      </c>
      <c r="B10" s="300" t="s">
        <v>1775</v>
      </c>
      <c r="C10" s="300" t="s">
        <v>429</v>
      </c>
      <c r="D10" s="300" t="s">
        <v>379</v>
      </c>
      <c r="E10" s="301">
        <v>69826848.009499088</v>
      </c>
    </row>
    <row r="11" spans="1:6" x14ac:dyDescent="0.25">
      <c r="A11" s="302" t="s">
        <v>116</v>
      </c>
      <c r="B11" s="302" t="s">
        <v>1780</v>
      </c>
      <c r="C11" s="302" t="s">
        <v>441</v>
      </c>
      <c r="D11" s="302" t="s">
        <v>379</v>
      </c>
      <c r="E11" s="303">
        <v>263311370.33350706</v>
      </c>
    </row>
    <row r="12" spans="1:6" x14ac:dyDescent="0.25">
      <c r="A12" s="302" t="s">
        <v>118</v>
      </c>
      <c r="B12" s="302" t="s">
        <v>1781</v>
      </c>
      <c r="C12" s="302" t="s">
        <v>443</v>
      </c>
      <c r="D12" s="302" t="s">
        <v>379</v>
      </c>
      <c r="E12" s="303">
        <v>80469294.782991737</v>
      </c>
    </row>
    <row r="13" spans="1:6" x14ac:dyDescent="0.25">
      <c r="A13" s="302" t="s">
        <v>120</v>
      </c>
      <c r="B13" s="302" t="s">
        <v>1782</v>
      </c>
      <c r="C13" s="302" t="s">
        <v>445</v>
      </c>
      <c r="D13" s="302" t="s">
        <v>379</v>
      </c>
      <c r="E13" s="303">
        <v>97274459.021890849</v>
      </c>
    </row>
    <row r="14" spans="1:6" x14ac:dyDescent="0.25">
      <c r="A14" s="302" t="s">
        <v>126</v>
      </c>
      <c r="B14" s="302" t="s">
        <v>1783</v>
      </c>
      <c r="C14" s="302" t="s">
        <v>447</v>
      </c>
      <c r="D14" s="302" t="s">
        <v>379</v>
      </c>
      <c r="E14" s="303">
        <v>55188181.120416395</v>
      </c>
    </row>
    <row r="15" spans="1:6" x14ac:dyDescent="0.25">
      <c r="A15" s="302" t="s">
        <v>2384</v>
      </c>
      <c r="B15" s="302" t="s">
        <v>1784</v>
      </c>
      <c r="C15" s="302" t="s">
        <v>449</v>
      </c>
      <c r="D15" s="302" t="s">
        <v>379</v>
      </c>
      <c r="E15" s="303">
        <v>97189486.687312499</v>
      </c>
    </row>
    <row r="16" spans="1:6" x14ac:dyDescent="0.25">
      <c r="A16" s="302" t="s">
        <v>2385</v>
      </c>
      <c r="B16" s="302" t="s">
        <v>1785</v>
      </c>
      <c r="C16" s="302" t="s">
        <v>451</v>
      </c>
      <c r="D16" s="302" t="s">
        <v>379</v>
      </c>
      <c r="E16" s="303">
        <v>39901819.760774568</v>
      </c>
    </row>
    <row r="17" spans="1:5" x14ac:dyDescent="0.25">
      <c r="A17" s="302" t="s">
        <v>128</v>
      </c>
      <c r="B17" s="302" t="s">
        <v>1786</v>
      </c>
      <c r="C17" s="302" t="s">
        <v>453</v>
      </c>
      <c r="D17" s="302" t="s">
        <v>379</v>
      </c>
      <c r="E17" s="303">
        <v>67752174.763487533</v>
      </c>
    </row>
    <row r="18" spans="1:5" x14ac:dyDescent="0.25">
      <c r="A18" s="302" t="s">
        <v>130</v>
      </c>
      <c r="B18" s="302" t="s">
        <v>1787</v>
      </c>
      <c r="C18" s="302" t="s">
        <v>475</v>
      </c>
      <c r="D18" s="302" t="s">
        <v>379</v>
      </c>
      <c r="E18" s="303">
        <v>44741710.359320536</v>
      </c>
    </row>
    <row r="19" spans="1:5" x14ac:dyDescent="0.25">
      <c r="A19" s="304" t="s">
        <v>2420</v>
      </c>
      <c r="B19" s="304" t="s">
        <v>1792</v>
      </c>
      <c r="C19" s="304" t="s">
        <v>286</v>
      </c>
      <c r="D19" s="304" t="s">
        <v>379</v>
      </c>
      <c r="E19" s="305">
        <v>229870481.54260001</v>
      </c>
    </row>
    <row r="20" spans="1:5" x14ac:dyDescent="0.25">
      <c r="A20" s="304" t="s">
        <v>2420</v>
      </c>
      <c r="B20" s="304" t="s">
        <v>1800</v>
      </c>
      <c r="C20" s="304" t="s">
        <v>299</v>
      </c>
      <c r="D20" s="304" t="s">
        <v>379</v>
      </c>
      <c r="E20" s="305">
        <v>190055117.79899999</v>
      </c>
    </row>
    <row r="21" spans="1:5" x14ac:dyDescent="0.25">
      <c r="A21" s="304" t="s">
        <v>2420</v>
      </c>
      <c r="B21" s="304" t="s">
        <v>1806</v>
      </c>
      <c r="C21" s="304" t="s">
        <v>506</v>
      </c>
      <c r="D21" s="304" t="s">
        <v>379</v>
      </c>
      <c r="E21" s="305">
        <v>16081600</v>
      </c>
    </row>
    <row r="22" spans="1:5" x14ac:dyDescent="0.25">
      <c r="A22" s="304" t="s">
        <v>2420</v>
      </c>
      <c r="B22" s="304" t="s">
        <v>1808</v>
      </c>
      <c r="C22" s="304" t="s">
        <v>509</v>
      </c>
      <c r="D22" s="304" t="s">
        <v>379</v>
      </c>
      <c r="E22" s="305">
        <v>68946512.875499994</v>
      </c>
    </row>
    <row r="23" spans="1:5" x14ac:dyDescent="0.25">
      <c r="A23" s="304" t="s">
        <v>2409</v>
      </c>
      <c r="B23" s="304" t="s">
        <v>1820</v>
      </c>
      <c r="C23" s="304" t="s">
        <v>534</v>
      </c>
      <c r="D23" s="304" t="s">
        <v>379</v>
      </c>
      <c r="E23" s="305">
        <v>56641076.848200001</v>
      </c>
    </row>
    <row r="24" spans="1:5" x14ac:dyDescent="0.25">
      <c r="A24" s="304" t="s">
        <v>2409</v>
      </c>
      <c r="B24" s="304" t="s">
        <v>1828</v>
      </c>
      <c r="C24" s="304" t="s">
        <v>323</v>
      </c>
      <c r="D24" s="304" t="s">
        <v>379</v>
      </c>
      <c r="E24" s="305">
        <v>87689706.304599985</v>
      </c>
    </row>
    <row r="25" spans="1:5" x14ac:dyDescent="0.25">
      <c r="A25" s="304" t="s">
        <v>2381</v>
      </c>
      <c r="B25" s="304" t="s">
        <v>1838</v>
      </c>
      <c r="C25" s="304" t="s">
        <v>568</v>
      </c>
      <c r="D25" s="304" t="s">
        <v>379</v>
      </c>
      <c r="E25" s="305">
        <v>3653812.5723999999</v>
      </c>
    </row>
    <row r="26" spans="1:5" x14ac:dyDescent="0.25">
      <c r="A26" s="304" t="s">
        <v>2410</v>
      </c>
      <c r="B26" s="304" t="s">
        <v>1852</v>
      </c>
      <c r="C26" s="304" t="s">
        <v>596</v>
      </c>
      <c r="D26" s="304" t="s">
        <v>379</v>
      </c>
      <c r="E26" s="305">
        <v>1198500</v>
      </c>
    </row>
    <row r="27" spans="1:5" x14ac:dyDescent="0.25">
      <c r="A27" s="306" t="s">
        <v>2438</v>
      </c>
      <c r="B27" s="306" t="s">
        <v>1910</v>
      </c>
      <c r="C27" s="306" t="s">
        <v>711</v>
      </c>
      <c r="D27" s="306" t="s">
        <v>379</v>
      </c>
      <c r="E27" s="307">
        <v>3419673.7199999997</v>
      </c>
    </row>
    <row r="28" spans="1:5" x14ac:dyDescent="0.25">
      <c r="A28" s="306" t="s">
        <v>2408</v>
      </c>
      <c r="B28" s="306" t="s">
        <v>1918</v>
      </c>
      <c r="C28" s="306" t="s">
        <v>726</v>
      </c>
      <c r="D28" s="306" t="s">
        <v>379</v>
      </c>
      <c r="E28" s="307">
        <v>22923307.425000001</v>
      </c>
    </row>
    <row r="29" spans="1:5" x14ac:dyDescent="0.25">
      <c r="A29" s="306" t="s">
        <v>2439</v>
      </c>
      <c r="B29" s="306" t="s">
        <v>1922</v>
      </c>
      <c r="C29" s="306" t="s">
        <v>734</v>
      </c>
      <c r="D29" s="306" t="s">
        <v>379</v>
      </c>
      <c r="E29" s="307">
        <v>37704331.5</v>
      </c>
    </row>
    <row r="30" spans="1:5" x14ac:dyDescent="0.25">
      <c r="A30" s="306" t="s">
        <v>2440</v>
      </c>
      <c r="B30" s="306" t="s">
        <v>1958</v>
      </c>
      <c r="C30" s="306" t="s">
        <v>806</v>
      </c>
      <c r="D30" s="306" t="s">
        <v>379</v>
      </c>
      <c r="E30" s="307">
        <v>22686901.279799998</v>
      </c>
    </row>
    <row r="31" spans="1:5" x14ac:dyDescent="0.25">
      <c r="A31" s="306" t="s">
        <v>2441</v>
      </c>
      <c r="B31" s="306" t="s">
        <v>1968</v>
      </c>
      <c r="C31" s="306" t="s">
        <v>826</v>
      </c>
      <c r="D31" s="306" t="s">
        <v>376</v>
      </c>
      <c r="E31" s="307">
        <v>4509885.5999999996</v>
      </c>
    </row>
    <row r="32" spans="1:5" x14ac:dyDescent="0.25">
      <c r="A32" s="306" t="s">
        <v>2442</v>
      </c>
      <c r="B32" s="306" t="s">
        <v>2046</v>
      </c>
      <c r="C32" s="306" t="s">
        <v>982</v>
      </c>
      <c r="D32" s="306" t="s">
        <v>376</v>
      </c>
      <c r="E32" s="307">
        <v>18977373.126400001</v>
      </c>
    </row>
    <row r="33" spans="1:5" x14ac:dyDescent="0.25">
      <c r="A33" s="308" t="s">
        <v>2443</v>
      </c>
      <c r="B33" s="308" t="s">
        <v>2052</v>
      </c>
      <c r="C33" s="308" t="s">
        <v>993</v>
      </c>
      <c r="D33" s="308" t="s">
        <v>376</v>
      </c>
      <c r="E33" s="309">
        <v>232072407.84</v>
      </c>
    </row>
    <row r="34" spans="1:5" x14ac:dyDescent="0.25">
      <c r="A34" s="308" t="s">
        <v>2443</v>
      </c>
      <c r="B34" s="308" t="s">
        <v>2056</v>
      </c>
      <c r="C34" s="308" t="s">
        <v>1001</v>
      </c>
      <c r="D34" s="308" t="s">
        <v>376</v>
      </c>
      <c r="E34" s="309">
        <v>51659953.800000012</v>
      </c>
    </row>
    <row r="35" spans="1:5" x14ac:dyDescent="0.25">
      <c r="A35" s="308" t="s">
        <v>2443</v>
      </c>
      <c r="B35" s="308" t="s">
        <v>2060</v>
      </c>
      <c r="C35" s="308" t="s">
        <v>1009</v>
      </c>
      <c r="D35" s="308" t="s">
        <v>376</v>
      </c>
      <c r="E35" s="309">
        <v>27498990.791999999</v>
      </c>
    </row>
    <row r="36" spans="1:5" x14ac:dyDescent="0.25">
      <c r="A36" s="308" t="s">
        <v>2447</v>
      </c>
      <c r="B36" s="308" t="s">
        <v>2066</v>
      </c>
      <c r="C36" s="308" t="s">
        <v>1020</v>
      </c>
      <c r="D36" s="308" t="s">
        <v>376</v>
      </c>
      <c r="E36" s="309">
        <v>128778478.8483</v>
      </c>
    </row>
    <row r="37" spans="1:5" x14ac:dyDescent="0.25">
      <c r="A37" s="308" t="s">
        <v>2444</v>
      </c>
      <c r="B37" s="308" t="s">
        <v>2070</v>
      </c>
      <c r="C37" s="308" t="s">
        <v>1028</v>
      </c>
      <c r="D37" s="308" t="s">
        <v>376</v>
      </c>
      <c r="E37" s="309">
        <v>0</v>
      </c>
    </row>
    <row r="38" spans="1:5" x14ac:dyDescent="0.25">
      <c r="A38" s="308" t="s">
        <v>2444</v>
      </c>
      <c r="B38" s="308" t="s">
        <v>2074</v>
      </c>
      <c r="C38" s="308" t="s">
        <v>1036</v>
      </c>
      <c r="D38" s="308" t="s">
        <v>376</v>
      </c>
      <c r="E38" s="309">
        <v>0</v>
      </c>
    </row>
    <row r="39" spans="1:5" x14ac:dyDescent="0.25">
      <c r="A39" s="308" t="s">
        <v>2448</v>
      </c>
      <c r="B39" s="308" t="s">
        <v>2094</v>
      </c>
      <c r="C39" s="308" t="s">
        <v>1076</v>
      </c>
      <c r="D39" s="308" t="s">
        <v>376</v>
      </c>
      <c r="E39" s="309">
        <v>0</v>
      </c>
    </row>
    <row r="40" spans="1:5" x14ac:dyDescent="0.25">
      <c r="A40" s="308" t="s">
        <v>423</v>
      </c>
      <c r="B40" s="308" t="s">
        <v>2102</v>
      </c>
      <c r="C40" s="308" t="s">
        <v>1092</v>
      </c>
      <c r="D40" s="308" t="s">
        <v>376</v>
      </c>
      <c r="E40" s="309">
        <v>23667361.039999999</v>
      </c>
    </row>
    <row r="41" spans="1:5" x14ac:dyDescent="0.25">
      <c r="A41" s="308" t="s">
        <v>423</v>
      </c>
      <c r="B41" s="308" t="s">
        <v>2104</v>
      </c>
      <c r="C41" s="308" t="s">
        <v>1096</v>
      </c>
      <c r="D41" s="308" t="s">
        <v>379</v>
      </c>
      <c r="E41" s="309">
        <v>0</v>
      </c>
    </row>
    <row r="42" spans="1:5" x14ac:dyDescent="0.25">
      <c r="A42" s="308" t="s">
        <v>2444</v>
      </c>
      <c r="B42" s="308" t="s">
        <v>2112</v>
      </c>
      <c r="C42" s="308" t="s">
        <v>1112</v>
      </c>
      <c r="D42" s="308" t="s">
        <v>379</v>
      </c>
      <c r="E42" s="309">
        <v>106019661.30159998</v>
      </c>
    </row>
    <row r="43" spans="1:5" x14ac:dyDescent="0.25">
      <c r="A43" s="308" t="s">
        <v>2397</v>
      </c>
      <c r="B43" s="308" t="s">
        <v>2116</v>
      </c>
      <c r="C43" s="308" t="s">
        <v>1120</v>
      </c>
      <c r="D43" s="308" t="s">
        <v>376</v>
      </c>
      <c r="E43" s="309">
        <v>39200000</v>
      </c>
    </row>
    <row r="44" spans="1:5" x14ac:dyDescent="0.25">
      <c r="A44" s="308" t="s">
        <v>2434</v>
      </c>
      <c r="B44" s="308" t="s">
        <v>2120</v>
      </c>
      <c r="C44" s="308" t="s">
        <v>1127</v>
      </c>
      <c r="D44" s="308" t="s">
        <v>376</v>
      </c>
      <c r="E44" s="309">
        <v>36937813.120000005</v>
      </c>
    </row>
    <row r="45" spans="1:5" x14ac:dyDescent="0.25">
      <c r="A45" s="310" t="s">
        <v>2411</v>
      </c>
      <c r="B45" s="310" t="s">
        <v>2126</v>
      </c>
      <c r="C45" s="310" t="s">
        <v>1139</v>
      </c>
      <c r="D45" s="310" t="s">
        <v>379</v>
      </c>
      <c r="E45" s="311">
        <v>4087380.9600000004</v>
      </c>
    </row>
    <row r="46" spans="1:5" x14ac:dyDescent="0.25">
      <c r="A46" s="310" t="s">
        <v>2387</v>
      </c>
      <c r="B46" s="310" t="s">
        <v>2128</v>
      </c>
      <c r="C46" s="310" t="s">
        <v>1143</v>
      </c>
      <c r="D46" s="310" t="s">
        <v>376</v>
      </c>
      <c r="E46" s="311">
        <v>24410747.400000002</v>
      </c>
    </row>
    <row r="47" spans="1:5" x14ac:dyDescent="0.25">
      <c r="A47" s="310" t="s">
        <v>84</v>
      </c>
      <c r="B47" s="310" t="s">
        <v>2137</v>
      </c>
      <c r="C47" s="310" t="s">
        <v>1159</v>
      </c>
      <c r="D47" s="310" t="s">
        <v>376</v>
      </c>
      <c r="E47" s="311">
        <v>57172500</v>
      </c>
    </row>
    <row r="48" spans="1:5" x14ac:dyDescent="0.25">
      <c r="A48" s="310" t="s">
        <v>2445</v>
      </c>
      <c r="B48" s="310" t="s">
        <v>2155</v>
      </c>
      <c r="C48" s="310" t="s">
        <v>1193</v>
      </c>
      <c r="D48" s="310" t="s">
        <v>376</v>
      </c>
      <c r="E48" s="311">
        <v>27125000</v>
      </c>
    </row>
    <row r="49" spans="1:5" x14ac:dyDescent="0.25">
      <c r="A49" s="312" t="s">
        <v>2391</v>
      </c>
      <c r="B49" s="312" t="s">
        <v>2157</v>
      </c>
      <c r="C49" s="312" t="s">
        <v>1198</v>
      </c>
      <c r="D49" s="312" t="s">
        <v>379</v>
      </c>
      <c r="E49" s="313">
        <v>49460193.317142844</v>
      </c>
    </row>
    <row r="50" spans="1:5" x14ac:dyDescent="0.25">
      <c r="A50" s="304" t="s">
        <v>2393</v>
      </c>
      <c r="B50" s="304" t="s">
        <v>2161</v>
      </c>
      <c r="C50" s="304" t="s">
        <v>1205</v>
      </c>
      <c r="D50" s="304" t="s">
        <v>379</v>
      </c>
      <c r="E50" s="305">
        <v>12103994.75785714</v>
      </c>
    </row>
    <row r="51" spans="1:5" x14ac:dyDescent="0.25">
      <c r="A51" s="312" t="s">
        <v>94</v>
      </c>
      <c r="B51" s="312" t="s">
        <v>2165</v>
      </c>
      <c r="C51" s="312" t="s">
        <v>1212</v>
      </c>
      <c r="D51" s="312" t="s">
        <v>379</v>
      </c>
      <c r="E51" s="313">
        <v>8347786.981428571</v>
      </c>
    </row>
    <row r="52" spans="1:5" x14ac:dyDescent="0.25">
      <c r="A52" s="312" t="s">
        <v>84</v>
      </c>
      <c r="B52" s="312" t="s">
        <v>2171</v>
      </c>
      <c r="C52" s="312" t="s">
        <v>1218</v>
      </c>
      <c r="D52" s="312" t="s">
        <v>379</v>
      </c>
      <c r="E52" s="313">
        <v>55882517.030930884</v>
      </c>
    </row>
    <row r="53" spans="1:5" x14ac:dyDescent="0.25">
      <c r="A53" s="312" t="s">
        <v>84</v>
      </c>
      <c r="B53" s="312" t="s">
        <v>2175</v>
      </c>
      <c r="C53" s="312" t="s">
        <v>1225</v>
      </c>
      <c r="D53" s="312" t="s">
        <v>376</v>
      </c>
      <c r="E53" s="313">
        <v>77372266.295214429</v>
      </c>
    </row>
    <row r="54" spans="1:5" x14ac:dyDescent="0.25">
      <c r="A54" s="312" t="s">
        <v>2386</v>
      </c>
      <c r="B54" s="312" t="s">
        <v>2177</v>
      </c>
      <c r="C54" s="312" t="s">
        <v>316</v>
      </c>
      <c r="D54" s="312" t="s">
        <v>379</v>
      </c>
      <c r="E54" s="313">
        <v>55445822.578890182</v>
      </c>
    </row>
    <row r="55" spans="1:5" x14ac:dyDescent="0.25">
      <c r="A55" s="312" t="s">
        <v>2451</v>
      </c>
      <c r="B55" s="312" t="s">
        <v>2185</v>
      </c>
      <c r="C55" s="312" t="s">
        <v>1243</v>
      </c>
      <c r="D55" s="312" t="s">
        <v>376</v>
      </c>
      <c r="E55" s="313">
        <v>180048876.79006767</v>
      </c>
    </row>
    <row r="56" spans="1:5" x14ac:dyDescent="0.25">
      <c r="A56" s="314" t="s">
        <v>2394</v>
      </c>
      <c r="B56" s="314" t="s">
        <v>2191</v>
      </c>
      <c r="C56" s="314" t="s">
        <v>332</v>
      </c>
      <c r="D56" s="314" t="s">
        <v>379</v>
      </c>
      <c r="E56" s="315">
        <v>27346689.342590965</v>
      </c>
    </row>
    <row r="57" spans="1:5" x14ac:dyDescent="0.25">
      <c r="A57" s="314" t="s">
        <v>2449</v>
      </c>
      <c r="B57" s="314" t="s">
        <v>2192</v>
      </c>
      <c r="C57" s="314" t="s">
        <v>1250</v>
      </c>
      <c r="D57" s="314" t="s">
        <v>376</v>
      </c>
      <c r="E57" s="315">
        <v>16500000</v>
      </c>
    </row>
    <row r="58" spans="1:5" x14ac:dyDescent="0.25">
      <c r="A58" s="314" t="s">
        <v>2395</v>
      </c>
      <c r="B58" s="314" t="s">
        <v>2193</v>
      </c>
      <c r="C58" s="314" t="s">
        <v>325</v>
      </c>
      <c r="D58" s="314" t="s">
        <v>379</v>
      </c>
      <c r="E58" s="315">
        <v>6230000</v>
      </c>
    </row>
    <row r="59" spans="1:5" x14ac:dyDescent="0.25">
      <c r="A59" s="314" t="s">
        <v>2399</v>
      </c>
      <c r="B59" s="314" t="s">
        <v>2195</v>
      </c>
      <c r="C59" s="314" t="s">
        <v>1255</v>
      </c>
      <c r="D59" s="314" t="s">
        <v>379</v>
      </c>
      <c r="E59" s="315">
        <v>5340000</v>
      </c>
    </row>
    <row r="60" spans="1:5" x14ac:dyDescent="0.25">
      <c r="A60" s="314" t="s">
        <v>1258</v>
      </c>
      <c r="B60" s="314" t="s">
        <v>2197</v>
      </c>
      <c r="C60" s="314" t="s">
        <v>1260</v>
      </c>
      <c r="D60" s="314" t="s">
        <v>379</v>
      </c>
      <c r="E60" s="315">
        <v>15748843.167042889</v>
      </c>
    </row>
    <row r="61" spans="1:5" x14ac:dyDescent="0.25">
      <c r="A61" s="314" t="s">
        <v>2392</v>
      </c>
      <c r="B61" s="314" t="s">
        <v>2199</v>
      </c>
      <c r="C61" s="314" t="s">
        <v>1264</v>
      </c>
      <c r="D61" s="314" t="s">
        <v>376</v>
      </c>
      <c r="E61" s="315">
        <v>32733000</v>
      </c>
    </row>
    <row r="62" spans="1:5" x14ac:dyDescent="0.25">
      <c r="A62" s="314" t="s">
        <v>2396</v>
      </c>
      <c r="B62" s="314" t="s">
        <v>2201</v>
      </c>
      <c r="C62" s="314" t="s">
        <v>1268</v>
      </c>
      <c r="D62" s="314" t="s">
        <v>379</v>
      </c>
      <c r="E62" s="315">
        <v>19956000</v>
      </c>
    </row>
    <row r="63" spans="1:5" x14ac:dyDescent="0.25">
      <c r="A63" s="314" t="s">
        <v>128</v>
      </c>
      <c r="B63" s="314" t="s">
        <v>2205</v>
      </c>
      <c r="C63" s="314" t="s">
        <v>1276</v>
      </c>
      <c r="D63" s="314" t="s">
        <v>376</v>
      </c>
      <c r="E63" s="315">
        <v>6500000</v>
      </c>
    </row>
    <row r="64" spans="1:5" x14ac:dyDescent="0.25">
      <c r="A64" s="314" t="s">
        <v>2398</v>
      </c>
      <c r="B64" s="314" t="s">
        <v>2211</v>
      </c>
      <c r="C64" s="314" t="s">
        <v>1288</v>
      </c>
      <c r="D64" s="314" t="s">
        <v>379</v>
      </c>
      <c r="E64" s="315">
        <v>5400000</v>
      </c>
    </row>
    <row r="65" spans="1:5" x14ac:dyDescent="0.25">
      <c r="A65" s="316" t="s">
        <v>2454</v>
      </c>
      <c r="B65" s="316" t="s">
        <v>2221</v>
      </c>
      <c r="C65" s="316" t="s">
        <v>1311</v>
      </c>
      <c r="D65" s="316" t="s">
        <v>379</v>
      </c>
      <c r="E65" s="317">
        <v>1675000</v>
      </c>
    </row>
    <row r="66" spans="1:5" x14ac:dyDescent="0.25">
      <c r="A66" s="316" t="s">
        <v>2404</v>
      </c>
      <c r="B66" s="316" t="s">
        <v>2223</v>
      </c>
      <c r="C66" s="316" t="s">
        <v>310</v>
      </c>
      <c r="D66" s="316" t="s">
        <v>379</v>
      </c>
      <c r="E66" s="317">
        <v>7200000</v>
      </c>
    </row>
    <row r="67" spans="1:5" x14ac:dyDescent="0.25">
      <c r="A67" s="316" t="s">
        <v>2454</v>
      </c>
      <c r="B67" s="316" t="s">
        <v>2225</v>
      </c>
      <c r="C67" s="316" t="s">
        <v>1317</v>
      </c>
      <c r="D67" s="316" t="s">
        <v>379</v>
      </c>
      <c r="E67" s="317">
        <v>5936063.4056433411</v>
      </c>
    </row>
    <row r="68" spans="1:5" x14ac:dyDescent="0.25">
      <c r="A68" s="316" t="s">
        <v>2405</v>
      </c>
      <c r="B68" s="316" t="s">
        <v>2227</v>
      </c>
      <c r="C68" s="316" t="s">
        <v>334</v>
      </c>
      <c r="D68" s="316" t="s">
        <v>379</v>
      </c>
      <c r="E68" s="317">
        <v>9839991.2000000011</v>
      </c>
    </row>
    <row r="69" spans="1:5" x14ac:dyDescent="0.25">
      <c r="A69" s="316" t="s">
        <v>2455</v>
      </c>
      <c r="B69" s="316" t="s">
        <v>2229</v>
      </c>
      <c r="C69" s="316" t="s">
        <v>1323</v>
      </c>
      <c r="D69" s="316" t="s">
        <v>379</v>
      </c>
      <c r="E69" s="317">
        <v>200000</v>
      </c>
    </row>
    <row r="70" spans="1:5" x14ac:dyDescent="0.25">
      <c r="A70" s="316" t="s">
        <v>2455</v>
      </c>
      <c r="B70" s="316" t="s">
        <v>2237</v>
      </c>
      <c r="C70" s="316" t="s">
        <v>1338</v>
      </c>
      <c r="D70" s="316" t="s">
        <v>379</v>
      </c>
      <c r="E70" s="317">
        <v>6788715.5472142855</v>
      </c>
    </row>
    <row r="71" spans="1:5" x14ac:dyDescent="0.25">
      <c r="A71" s="316" t="s">
        <v>2406</v>
      </c>
      <c r="B71" s="316" t="s">
        <v>2239</v>
      </c>
      <c r="C71" s="316" t="s">
        <v>1341</v>
      </c>
      <c r="D71" s="316" t="s">
        <v>379</v>
      </c>
      <c r="E71" s="317">
        <v>5117633.4354056884</v>
      </c>
    </row>
    <row r="72" spans="1:5" x14ac:dyDescent="0.25">
      <c r="A72" s="316" t="s">
        <v>2388</v>
      </c>
      <c r="B72" s="316" t="s">
        <v>2241</v>
      </c>
      <c r="C72" s="316" t="s">
        <v>1345</v>
      </c>
      <c r="D72" s="316" t="s">
        <v>376</v>
      </c>
      <c r="E72" s="317">
        <v>17800000</v>
      </c>
    </row>
    <row r="73" spans="1:5" x14ac:dyDescent="0.25">
      <c r="A73" s="316" t="s">
        <v>2407</v>
      </c>
      <c r="B73" s="316" t="s">
        <v>2245</v>
      </c>
      <c r="C73" s="316" t="s">
        <v>1353</v>
      </c>
      <c r="D73" s="316" t="s">
        <v>379</v>
      </c>
      <c r="E73" s="317">
        <v>14137964.285714285</v>
      </c>
    </row>
    <row r="74" spans="1:5" x14ac:dyDescent="0.25">
      <c r="A74" s="316" t="s">
        <v>2428</v>
      </c>
      <c r="B74" s="316" t="s">
        <v>2247</v>
      </c>
      <c r="C74" s="316" t="s">
        <v>1357</v>
      </c>
      <c r="D74" s="316" t="s">
        <v>379</v>
      </c>
      <c r="E74" s="317">
        <v>39447434.040254258</v>
      </c>
    </row>
    <row r="75" spans="1:5" x14ac:dyDescent="0.25">
      <c r="A75" s="316" t="s">
        <v>2450</v>
      </c>
      <c r="B75" s="316" t="s">
        <v>2250</v>
      </c>
      <c r="C75" s="316" t="s">
        <v>1363</v>
      </c>
      <c r="D75" s="316" t="s">
        <v>376</v>
      </c>
      <c r="E75" s="317">
        <v>30843363.248571426</v>
      </c>
    </row>
    <row r="76" spans="1:5" x14ac:dyDescent="0.25">
      <c r="A76" s="316" t="s">
        <v>1365</v>
      </c>
      <c r="B76" s="316" t="s">
        <v>2251</v>
      </c>
      <c r="C76" s="316" t="s">
        <v>1366</v>
      </c>
      <c r="D76" s="316" t="s">
        <v>379</v>
      </c>
      <c r="E76" s="317">
        <v>27440623.725000001</v>
      </c>
    </row>
    <row r="77" spans="1:5" x14ac:dyDescent="0.25">
      <c r="A77" s="316" t="s">
        <v>2388</v>
      </c>
      <c r="B77" s="316" t="s">
        <v>2263</v>
      </c>
      <c r="C77" s="316" t="s">
        <v>1390</v>
      </c>
      <c r="D77" s="316" t="s">
        <v>379</v>
      </c>
      <c r="E77" s="317">
        <v>28117952.319629576</v>
      </c>
    </row>
    <row r="78" spans="1:5" x14ac:dyDescent="0.25">
      <c r="A78" s="302" t="s">
        <v>84</v>
      </c>
      <c r="B78" s="302" t="s">
        <v>2310</v>
      </c>
      <c r="C78" s="302" t="s">
        <v>455</v>
      </c>
      <c r="D78" s="302" t="s">
        <v>379</v>
      </c>
      <c r="E78" s="303">
        <v>17775000</v>
      </c>
    </row>
    <row r="79" spans="1:5" x14ac:dyDescent="0.25">
      <c r="A79" s="302" t="s">
        <v>2386</v>
      </c>
      <c r="B79" s="302" t="s">
        <v>2316</v>
      </c>
      <c r="C79" s="302" t="s">
        <v>468</v>
      </c>
      <c r="D79" s="302" t="s">
        <v>376</v>
      </c>
      <c r="E79" s="303">
        <v>23518100.418080352</v>
      </c>
    </row>
    <row r="80" spans="1:5" x14ac:dyDescent="0.25">
      <c r="A80" s="302" t="s">
        <v>2451</v>
      </c>
      <c r="B80" s="302" t="s">
        <v>2318</v>
      </c>
      <c r="C80" s="302" t="s">
        <v>471</v>
      </c>
      <c r="D80" s="302" t="s">
        <v>379</v>
      </c>
      <c r="E80" s="303">
        <v>62225000</v>
      </c>
    </row>
    <row r="81" spans="1:5" x14ac:dyDescent="0.25">
      <c r="A81" s="316" t="s">
        <v>2436</v>
      </c>
      <c r="B81" s="316" t="s">
        <v>2271</v>
      </c>
      <c r="C81" s="316" t="s">
        <v>1408</v>
      </c>
      <c r="D81" s="316" t="s">
        <v>376</v>
      </c>
      <c r="E81" s="317">
        <v>8312500.000160668</v>
      </c>
    </row>
    <row r="82" spans="1:5" x14ac:dyDescent="0.25">
      <c r="A82" s="316" t="s">
        <v>2389</v>
      </c>
      <c r="B82" s="316" t="s">
        <v>2273</v>
      </c>
      <c r="C82" s="316" t="s">
        <v>1413</v>
      </c>
      <c r="D82" s="316" t="s">
        <v>379</v>
      </c>
      <c r="E82" s="317">
        <v>12191666.666902319</v>
      </c>
    </row>
    <row r="83" spans="1:5" x14ac:dyDescent="0.25">
      <c r="A83" s="316" t="s">
        <v>2390</v>
      </c>
      <c r="B83" s="316" t="s">
        <v>2274</v>
      </c>
      <c r="C83" s="316" t="s">
        <v>1415</v>
      </c>
      <c r="D83" s="316" t="s">
        <v>376</v>
      </c>
      <c r="E83" s="317">
        <v>39324470.949226037</v>
      </c>
    </row>
    <row r="84" spans="1:5" x14ac:dyDescent="0.25">
      <c r="A84" s="316" t="s">
        <v>156</v>
      </c>
      <c r="B84" s="316" t="s">
        <v>2276</v>
      </c>
      <c r="C84" s="316" t="s">
        <v>1419</v>
      </c>
      <c r="D84" s="316" t="s">
        <v>376</v>
      </c>
      <c r="E84" s="317">
        <v>190000000.00367245</v>
      </c>
    </row>
    <row r="85" spans="1:5" x14ac:dyDescent="0.25">
      <c r="A85" s="316" t="s">
        <v>156</v>
      </c>
      <c r="B85" s="316" t="s">
        <v>2277</v>
      </c>
      <c r="C85" s="316" t="s">
        <v>1421</v>
      </c>
      <c r="D85" s="316" t="s">
        <v>379</v>
      </c>
      <c r="E85" s="317">
        <v>0</v>
      </c>
    </row>
    <row r="86" spans="1:5" x14ac:dyDescent="0.25">
      <c r="A86" s="316" t="s">
        <v>158</v>
      </c>
      <c r="B86" s="316" t="s">
        <v>2278</v>
      </c>
      <c r="C86" s="316" t="s">
        <v>1423</v>
      </c>
      <c r="D86" s="316" t="s">
        <v>376</v>
      </c>
      <c r="E86" s="317">
        <v>47500000.000918113</v>
      </c>
    </row>
    <row r="87" spans="1:5" x14ac:dyDescent="0.25">
      <c r="A87" s="316" t="s">
        <v>158</v>
      </c>
      <c r="B87" s="316" t="s">
        <v>2279</v>
      </c>
      <c r="C87" s="316" t="s">
        <v>1425</v>
      </c>
      <c r="D87" s="316" t="s">
        <v>379</v>
      </c>
      <c r="E87" s="317">
        <v>0</v>
      </c>
    </row>
    <row r="88" spans="1:5" x14ac:dyDescent="0.25">
      <c r="A88" s="316" t="s">
        <v>1428</v>
      </c>
      <c r="B88" s="316" t="s">
        <v>2280</v>
      </c>
      <c r="C88" s="316" t="s">
        <v>1427</v>
      </c>
      <c r="D88" s="316" t="s">
        <v>376</v>
      </c>
      <c r="E88" s="317">
        <v>142500000.00275433</v>
      </c>
    </row>
    <row r="89" spans="1:5" x14ac:dyDescent="0.25">
      <c r="A89" s="316" t="s">
        <v>1428</v>
      </c>
      <c r="B89" s="316" t="s">
        <v>2281</v>
      </c>
      <c r="C89" s="316" t="s">
        <v>1430</v>
      </c>
      <c r="D89" s="316" t="s">
        <v>379</v>
      </c>
      <c r="E89" s="317">
        <v>0</v>
      </c>
    </row>
  </sheetData>
  <autoFilter ref="A2:E89" xr:uid="{4D06023A-E099-4782-9872-128911675ED8}"/>
  <pageMargins left="0.70866141732283472" right="0.70866141732283472" top="0.74803149606299213" bottom="0.74803149606299213" header="0.31496062992125984" footer="0.31496062992125984"/>
  <pageSetup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K26"/>
  <sheetViews>
    <sheetView workbookViewId="0">
      <selection activeCell="L12" sqref="L12"/>
    </sheetView>
  </sheetViews>
  <sheetFormatPr baseColWidth="10" defaultColWidth="11.42578125" defaultRowHeight="15" x14ac:dyDescent="0.25"/>
  <cols>
    <col min="3" max="3" width="20.7109375" bestFit="1" customWidth="1"/>
    <col min="7" max="7" width="29.28515625" customWidth="1"/>
    <col min="8" max="8" width="15.7109375" customWidth="1"/>
    <col min="9" max="9" width="29.42578125" customWidth="1"/>
    <col min="10" max="10" width="9.42578125" customWidth="1"/>
  </cols>
  <sheetData>
    <row r="1" spans="1:11" x14ac:dyDescent="0.25">
      <c r="A1" s="45"/>
      <c r="B1" s="46"/>
      <c r="C1" s="47"/>
      <c r="D1" s="47"/>
      <c r="E1" s="47"/>
      <c r="F1" s="47"/>
      <c r="G1" s="47"/>
      <c r="H1" s="47"/>
      <c r="I1" s="47"/>
      <c r="J1" s="48"/>
      <c r="K1" s="45"/>
    </row>
    <row r="2" spans="1:11" ht="70.5" customHeight="1" x14ac:dyDescent="0.25">
      <c r="A2" s="45"/>
      <c r="B2" s="49"/>
      <c r="C2" s="45"/>
      <c r="D2" s="349" t="s">
        <v>0</v>
      </c>
      <c r="E2" s="349"/>
      <c r="F2" s="349"/>
      <c r="G2" s="349"/>
      <c r="H2" s="350" t="s">
        <v>2456</v>
      </c>
      <c r="I2" s="350"/>
      <c r="J2" s="351"/>
      <c r="K2" s="45"/>
    </row>
    <row r="3" spans="1:11" ht="16.5" customHeight="1" x14ac:dyDescent="0.25">
      <c r="A3" s="45"/>
      <c r="B3" s="49"/>
      <c r="C3" s="45"/>
      <c r="D3" s="45"/>
      <c r="E3" s="45"/>
      <c r="F3" s="45"/>
      <c r="G3" s="45"/>
      <c r="H3" s="45"/>
      <c r="I3" s="45"/>
      <c r="J3" s="50"/>
      <c r="K3" s="45"/>
    </row>
    <row r="4" spans="1:11" ht="15" customHeight="1" x14ac:dyDescent="0.25">
      <c r="A4" s="45"/>
      <c r="B4" s="49"/>
      <c r="C4" s="347" t="s">
        <v>2459</v>
      </c>
      <c r="D4" s="63"/>
      <c r="E4" s="63"/>
      <c r="F4" s="63"/>
      <c r="G4" s="63"/>
      <c r="H4" s="63"/>
      <c r="I4" s="63"/>
      <c r="J4" s="51"/>
      <c r="K4" s="45"/>
    </row>
    <row r="5" spans="1:11" ht="15.75" customHeight="1" x14ac:dyDescent="0.25">
      <c r="A5" s="45"/>
      <c r="B5" s="49"/>
      <c r="C5" s="347"/>
      <c r="D5" s="348"/>
      <c r="E5" s="348"/>
      <c r="F5" s="348"/>
      <c r="G5" s="348"/>
      <c r="H5" s="52"/>
      <c r="I5" s="52"/>
      <c r="J5" s="50"/>
      <c r="K5" s="45"/>
    </row>
    <row r="6" spans="1:11" x14ac:dyDescent="0.25">
      <c r="A6" s="45"/>
      <c r="B6" s="49"/>
      <c r="C6" s="45"/>
      <c r="D6" s="348"/>
      <c r="E6" s="348"/>
      <c r="F6" s="348"/>
      <c r="G6" s="348"/>
      <c r="H6" s="52"/>
      <c r="I6" s="52"/>
      <c r="J6" s="50"/>
      <c r="K6" s="45"/>
    </row>
    <row r="7" spans="1:11" x14ac:dyDescent="0.25">
      <c r="A7" s="45"/>
      <c r="B7" s="49"/>
      <c r="C7" s="45"/>
      <c r="D7" s="348"/>
      <c r="E7" s="348"/>
      <c r="F7" s="348"/>
      <c r="G7" s="348"/>
      <c r="H7" s="52"/>
      <c r="I7" s="52"/>
      <c r="J7" s="50"/>
      <c r="K7" s="45"/>
    </row>
    <row r="8" spans="1:11" ht="15" customHeight="1" x14ac:dyDescent="0.25">
      <c r="A8" s="45"/>
      <c r="B8" s="49"/>
      <c r="C8" s="45"/>
      <c r="D8" s="348"/>
      <c r="E8" s="348"/>
      <c r="F8" s="348"/>
      <c r="G8" s="348"/>
      <c r="H8" s="52"/>
      <c r="I8" s="52"/>
      <c r="J8" s="53"/>
      <c r="K8" s="54"/>
    </row>
    <row r="9" spans="1:11" x14ac:dyDescent="0.25">
      <c r="A9" s="45"/>
      <c r="B9" s="49"/>
      <c r="C9" s="45"/>
      <c r="D9" s="45"/>
      <c r="E9" s="55"/>
      <c r="F9" s="45"/>
      <c r="G9" s="214" t="s">
        <v>1</v>
      </c>
      <c r="H9" s="138" t="s">
        <v>2</v>
      </c>
      <c r="I9" s="213" t="s">
        <v>2437</v>
      </c>
      <c r="J9" s="53"/>
      <c r="K9" s="45"/>
    </row>
    <row r="10" spans="1:11" x14ac:dyDescent="0.25">
      <c r="A10" s="45"/>
      <c r="B10" s="49"/>
      <c r="C10" s="45"/>
      <c r="D10" s="45"/>
      <c r="E10" s="45"/>
      <c r="F10" s="45"/>
      <c r="G10" s="55" t="s">
        <v>3</v>
      </c>
      <c r="H10" s="138" t="s">
        <v>2</v>
      </c>
      <c r="I10" s="194" t="s">
        <v>2457</v>
      </c>
      <c r="J10" s="53"/>
      <c r="K10" s="45"/>
    </row>
    <row r="11" spans="1:11" x14ac:dyDescent="0.25">
      <c r="A11" s="45"/>
      <c r="B11" s="49"/>
      <c r="C11" s="45"/>
      <c r="D11" s="45"/>
      <c r="E11" s="45"/>
      <c r="F11" s="45"/>
      <c r="G11" s="56" t="s">
        <v>4</v>
      </c>
      <c r="H11" s="56" t="s">
        <v>2</v>
      </c>
      <c r="I11" s="212" t="s">
        <v>2458</v>
      </c>
      <c r="J11" s="53"/>
      <c r="K11" s="45"/>
    </row>
    <row r="12" spans="1:11" x14ac:dyDescent="0.25">
      <c r="A12" s="45"/>
      <c r="B12" s="49"/>
      <c r="C12" s="45"/>
      <c r="D12" s="45"/>
      <c r="E12" s="45"/>
      <c r="F12" s="45"/>
      <c r="G12" s="66" t="s">
        <v>5</v>
      </c>
      <c r="H12" s="66" t="s">
        <v>2</v>
      </c>
      <c r="I12" s="146">
        <v>46053</v>
      </c>
      <c r="J12" s="50"/>
      <c r="K12" s="45"/>
    </row>
    <row r="13" spans="1:11" ht="15.75" x14ac:dyDescent="0.25">
      <c r="A13" s="45"/>
      <c r="B13" s="49"/>
      <c r="C13" s="57"/>
      <c r="D13" s="45"/>
      <c r="E13" s="45"/>
      <c r="F13" s="56"/>
      <c r="G13" s="45"/>
      <c r="H13" s="45"/>
      <c r="I13" s="45"/>
      <c r="J13" s="53"/>
      <c r="K13" s="45"/>
    </row>
    <row r="14" spans="1:11" x14ac:dyDescent="0.25">
      <c r="A14" s="45"/>
      <c r="B14" s="49"/>
      <c r="C14" s="56"/>
      <c r="D14" s="45"/>
      <c r="E14" s="45"/>
      <c r="F14" s="45"/>
      <c r="G14" s="45"/>
      <c r="H14" s="45"/>
      <c r="I14" s="45"/>
      <c r="J14" s="53"/>
      <c r="K14" s="45"/>
    </row>
    <row r="15" spans="1:11" x14ac:dyDescent="0.25">
      <c r="A15" s="45"/>
      <c r="B15" s="49"/>
      <c r="C15" s="45"/>
      <c r="D15" s="45"/>
      <c r="E15" s="45"/>
      <c r="F15" s="45"/>
      <c r="G15" s="45"/>
      <c r="H15" s="45"/>
      <c r="I15" s="45"/>
      <c r="J15" s="53"/>
      <c r="K15" s="45"/>
    </row>
    <row r="16" spans="1:11" x14ac:dyDescent="0.25">
      <c r="A16" s="45"/>
      <c r="B16" s="49"/>
      <c r="C16" s="97" t="s">
        <v>6</v>
      </c>
      <c r="D16" s="45"/>
      <c r="E16" s="45"/>
      <c r="F16" s="45"/>
      <c r="G16" s="45"/>
      <c r="H16" s="45"/>
      <c r="I16" s="45"/>
      <c r="J16" s="53"/>
      <c r="K16" s="45"/>
    </row>
    <row r="17" spans="1:11" x14ac:dyDescent="0.25">
      <c r="A17" s="45"/>
      <c r="B17" s="49"/>
      <c r="C17" s="97" t="s">
        <v>7</v>
      </c>
      <c r="D17" s="45"/>
      <c r="E17" s="45"/>
      <c r="F17" s="45"/>
      <c r="G17" s="45"/>
      <c r="H17" s="45"/>
      <c r="I17" s="45"/>
      <c r="J17" s="53"/>
      <c r="K17" s="45"/>
    </row>
    <row r="18" spans="1:11" x14ac:dyDescent="0.25">
      <c r="A18" s="45"/>
      <c r="B18" s="49"/>
      <c r="C18" s="97" t="s">
        <v>8</v>
      </c>
      <c r="D18" s="45"/>
      <c r="E18" s="45"/>
      <c r="F18" s="45"/>
      <c r="G18" s="45"/>
      <c r="H18" s="45"/>
      <c r="I18" s="45"/>
      <c r="J18" s="50"/>
      <c r="K18" s="45"/>
    </row>
    <row r="19" spans="1:11" x14ac:dyDescent="0.25">
      <c r="A19" s="45"/>
      <c r="B19" s="49"/>
      <c r="C19" s="97" t="s">
        <v>9</v>
      </c>
      <c r="D19" s="45"/>
      <c r="E19" s="45"/>
      <c r="F19" s="45"/>
      <c r="G19" s="45"/>
      <c r="H19" s="45"/>
      <c r="I19" s="45"/>
      <c r="J19" s="50"/>
      <c r="K19" s="45"/>
    </row>
    <row r="20" spans="1:11" x14ac:dyDescent="0.25">
      <c r="A20" s="45"/>
      <c r="B20" s="49"/>
      <c r="C20" s="58"/>
      <c r="D20" s="45"/>
      <c r="E20" s="45"/>
      <c r="F20" s="45"/>
      <c r="G20" s="45"/>
      <c r="H20" s="45"/>
      <c r="I20" s="45"/>
      <c r="J20" s="50"/>
      <c r="K20" s="45"/>
    </row>
    <row r="21" spans="1:11" ht="15" customHeight="1" x14ac:dyDescent="0.25">
      <c r="A21" s="45"/>
      <c r="B21" s="49"/>
      <c r="C21" s="45"/>
      <c r="D21" s="45"/>
      <c r="E21" s="45"/>
      <c r="F21" s="45"/>
      <c r="G21" s="45"/>
      <c r="H21" s="45"/>
      <c r="I21" s="45"/>
      <c r="J21" s="50"/>
      <c r="K21" s="45"/>
    </row>
    <row r="22" spans="1:11" ht="123.75" customHeight="1" x14ac:dyDescent="0.25">
      <c r="A22" s="45"/>
      <c r="B22" s="49"/>
      <c r="C22" s="45"/>
      <c r="D22" s="45"/>
      <c r="E22" s="45"/>
      <c r="F22" s="45"/>
      <c r="G22" s="45"/>
      <c r="H22" s="45"/>
      <c r="I22" s="45"/>
      <c r="J22" s="50"/>
      <c r="K22" s="45"/>
    </row>
    <row r="23" spans="1:11" ht="15" customHeight="1" x14ac:dyDescent="0.25">
      <c r="A23" s="45"/>
      <c r="B23" s="49"/>
      <c r="C23" s="45"/>
      <c r="D23" s="45"/>
      <c r="E23" s="45"/>
      <c r="F23" s="45"/>
      <c r="G23" s="45"/>
      <c r="H23" s="45"/>
      <c r="I23" s="45"/>
      <c r="J23" s="50"/>
      <c r="K23" s="45"/>
    </row>
    <row r="24" spans="1:11" ht="15.75" customHeight="1" thickBot="1" x14ac:dyDescent="0.3">
      <c r="A24" s="45"/>
      <c r="B24" s="59"/>
      <c r="C24" s="60"/>
      <c r="D24" s="60"/>
      <c r="E24" s="60"/>
      <c r="F24" s="60"/>
      <c r="G24" s="60"/>
      <c r="H24" s="60"/>
      <c r="I24" s="60"/>
      <c r="J24" s="61"/>
      <c r="K24" s="45"/>
    </row>
    <row r="25" spans="1:11" ht="1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spans="1:11" ht="15" customHeight="1" x14ac:dyDescent="0.25">
      <c r="A26" s="45"/>
      <c r="B26" s="62"/>
      <c r="C26" s="45"/>
      <c r="D26" s="45"/>
      <c r="E26" s="45"/>
      <c r="F26" s="45"/>
      <c r="G26" s="45"/>
      <c r="H26" s="45"/>
      <c r="I26" s="45"/>
      <c r="J26" s="45"/>
      <c r="K26" s="45"/>
    </row>
  </sheetData>
  <sheetProtection selectLockedCells="1" autoFilter="0"/>
  <mergeCells count="7">
    <mergeCell ref="C4:C5"/>
    <mergeCell ref="D8:G8"/>
    <mergeCell ref="D2:G2"/>
    <mergeCell ref="H2:J2"/>
    <mergeCell ref="D5:G5"/>
    <mergeCell ref="D6:G6"/>
    <mergeCell ref="D7:G7"/>
  </mergeCells>
  <hyperlinks>
    <hyperlink ref="C16" location="'Matriz de Produccion'!A1" display="Matriz de Producción" xr:uid="{00000000-0004-0000-0000-000000000000}"/>
    <hyperlink ref="C17" location="'Matriz de Costos'!A1" display="Matriz de Costos" xr:uid="{00000000-0004-0000-0000-000001000000}"/>
    <hyperlink ref="C18" location="'Matriz de Resultados'!A1" display="Matriz de Resultado" xr:uid="{00000000-0004-0000-0000-000002000000}"/>
    <hyperlink ref="C19" location="'Matriz de Proyecciones'!A1" display="Matriz de Proyecciones" xr:uid="{00000000-0004-0000-0000-000003000000}"/>
  </hyperlinks>
  <pageMargins left="0.25" right="0.25" top="0.75" bottom="0.75" header="0.3" footer="0.3"/>
  <pageSetup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O94"/>
  <sheetViews>
    <sheetView view="pageBreakPreview" zoomScale="85" zoomScaleNormal="90" zoomScaleSheetLayoutView="85" workbookViewId="0">
      <pane xSplit="3" ySplit="5" topLeftCell="D12" activePane="bottomRight" state="frozen"/>
      <selection activeCell="R21" sqref="R21"/>
      <selection pane="topRight" activeCell="R21" sqref="R21"/>
      <selection pane="bottomLeft" activeCell="R21" sqref="R21"/>
      <selection pane="bottomRight" activeCell="L13" sqref="L13"/>
    </sheetView>
  </sheetViews>
  <sheetFormatPr baseColWidth="10" defaultColWidth="11.42578125" defaultRowHeight="15" outlineLevelRow="1" x14ac:dyDescent="0.25"/>
  <cols>
    <col min="1" max="1" width="9.42578125" style="76" bestFit="1" customWidth="1"/>
    <col min="2" max="2" width="8.5703125" style="73" customWidth="1"/>
    <col min="3" max="3" width="65.28515625" customWidth="1"/>
    <col min="4" max="4" width="1.7109375" customWidth="1"/>
    <col min="5" max="7" width="20.28515625" customWidth="1"/>
    <col min="8" max="8" width="1.7109375" customWidth="1"/>
    <col min="9" max="12" width="20.28515625" customWidth="1"/>
    <col min="13" max="13" width="1.7109375" customWidth="1"/>
    <col min="14" max="14" width="20.28515625" customWidth="1"/>
    <col min="15" max="15" width="14" bestFit="1" customWidth="1"/>
  </cols>
  <sheetData>
    <row r="1" spans="1:14" ht="30.75" customHeight="1" x14ac:dyDescent="0.25">
      <c r="A1" s="70"/>
      <c r="B1" s="355" t="s">
        <v>10</v>
      </c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</row>
    <row r="2" spans="1:14" ht="18" customHeight="1" x14ac:dyDescent="0.25">
      <c r="A2" s="74"/>
      <c r="B2" s="353" t="str">
        <f>MID(Indice!H2,1,100)</f>
        <v>CC: EIMI00398
ARAUCO</v>
      </c>
      <c r="C2" s="353"/>
      <c r="D2" s="353"/>
      <c r="E2" s="353"/>
      <c r="F2" s="353"/>
      <c r="G2" s="353"/>
      <c r="H2" s="98"/>
      <c r="I2" s="98"/>
      <c r="J2" s="98"/>
      <c r="K2" s="99"/>
      <c r="L2" s="354" t="str">
        <f>"Periodo : " &amp; TEXT(Indice!I12,"Mmmm yyyy")</f>
        <v>Periodo : enero 2026</v>
      </c>
      <c r="M2" s="354"/>
      <c r="N2" s="354"/>
    </row>
    <row r="3" spans="1:14" ht="9" customHeight="1" x14ac:dyDescent="0.25">
      <c r="A3" s="67"/>
      <c r="B3" s="67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ht="26.25" x14ac:dyDescent="0.25">
      <c r="A4" s="75" t="s">
        <v>11</v>
      </c>
      <c r="B4" s="68" t="s">
        <v>12</v>
      </c>
      <c r="C4" s="41" t="s">
        <v>13</v>
      </c>
      <c r="D4" s="17"/>
      <c r="E4" s="40" t="s">
        <v>14</v>
      </c>
      <c r="F4" s="40" t="s">
        <v>15</v>
      </c>
      <c r="G4" s="40" t="s">
        <v>16</v>
      </c>
      <c r="H4" s="17"/>
      <c r="I4" s="40" t="s">
        <v>17</v>
      </c>
      <c r="J4" s="40" t="s">
        <v>18</v>
      </c>
      <c r="K4" s="40" t="s">
        <v>19</v>
      </c>
      <c r="L4" s="40" t="s">
        <v>20</v>
      </c>
      <c r="M4" s="17"/>
      <c r="N4" s="40" t="s">
        <v>21</v>
      </c>
    </row>
    <row r="5" spans="1:14" ht="13.5" customHeight="1" x14ac:dyDescent="0.25">
      <c r="A5" s="70"/>
      <c r="B5" s="69" t="s">
        <v>22</v>
      </c>
      <c r="C5" s="78" t="s">
        <v>23</v>
      </c>
      <c r="D5" s="16"/>
      <c r="E5" s="77"/>
      <c r="F5" s="77"/>
      <c r="G5" s="77"/>
      <c r="H5" s="31"/>
      <c r="I5" s="77"/>
      <c r="J5" s="77"/>
      <c r="K5" s="77"/>
      <c r="L5" s="77"/>
      <c r="M5" s="31"/>
      <c r="N5" s="77"/>
    </row>
    <row r="6" spans="1:14" ht="13.5" customHeight="1" x14ac:dyDescent="0.25">
      <c r="A6" s="70"/>
      <c r="B6" s="69" t="s">
        <v>24</v>
      </c>
      <c r="C6" s="21" t="s">
        <v>25</v>
      </c>
      <c r="D6" s="18"/>
      <c r="E6" s="22" t="str">
        <f>IF(ISBLANK(A6),"",     SUMIF(CATEGORIAS[[#All],[FORMATO
 GENERAL]],     A6,     CATEGORIAS[[#All],[PRESUPUESTO
(ORIGINAL)]]))</f>
        <v/>
      </c>
      <c r="F6" s="22" t="str">
        <f>IF(ISBLANK(A6),"",G6-E6)</f>
        <v/>
      </c>
      <c r="G6" s="22" t="str">
        <f>IF(ISBLANK(A6),"",SUMIF(CATEGORIAS[[#All],[FORMATO
 GENERAL]],     A6,       CATEGORIAS[[#All],[PRESUPUESTO
FINAL
PROYECTADO]]))</f>
        <v/>
      </c>
      <c r="H6" s="23"/>
      <c r="I6" s="22" t="str">
        <f>IF(ISBLANK(A6),"",J6-SUMIF(CATEGORIAS[[#All],[FORMATO
 GENERAL]],     A6,     CATEGORIAS[[#All],[COSTO REAL
ANTERIOR]]))</f>
        <v/>
      </c>
      <c r="J6" s="22" t="str">
        <f>IF(ISBLANK(A6),"",SUMIF(CATEGORIAS[[#All],[FORMATO
 GENERAL]],     A6,     CATEGORIAS[[#All],[COSTO REAL]]))</f>
        <v/>
      </c>
      <c r="K6" s="22" t="str">
        <f>IF(ISBLANK(A6),"",SUMIF(CATEGORIAS[[#All],[FORMATO
 GENERAL]],     A6,     CATEGORIAS[[#All],[TOTAL PRODUCCION
ACTUAL]]))</f>
        <v/>
      </c>
      <c r="L6" s="22" t="str">
        <f>IF(ISBLANK(A6),"",SUMIF(CATEGORIAS[[#All],[FORMATO
 GENERAL]],     A6,     CATEGORIAS[[#All],[PROYECCION
TOTAL DE COSTO]]))</f>
        <v/>
      </c>
      <c r="M6" s="23"/>
      <c r="N6" s="22" t="str">
        <f>IF(ISBLANK(A6),"",TRUNC(G6-J6-L6,2))</f>
        <v/>
      </c>
    </row>
    <row r="7" spans="1:14" ht="13.5" customHeight="1" x14ac:dyDescent="0.25">
      <c r="A7" s="70" t="s">
        <v>26</v>
      </c>
      <c r="B7" s="69"/>
      <c r="C7" s="25" t="s">
        <v>27</v>
      </c>
      <c r="D7" s="18"/>
      <c r="E7" s="22">
        <f>IF(ISBLANK(A7),"",     SUMIF(CATEGORIAS[[#All],[FORMATO
 GENERAL]],     A7,     CATEGORIAS[[#All],[PRESUPUESTO
(ORIGINAL)]]))</f>
        <v>249347566.42085752</v>
      </c>
      <c r="F7" s="22">
        <f t="shared" ref="F7:F52" si="0">IF(ISBLANK(A7),"",G7-E7)</f>
        <v>-50544233.744310856</v>
      </c>
      <c r="G7" s="22">
        <f>IF(ISBLANK(A7),"",SUMIF(CATEGORIAS[[#All],[FORMATO
 GENERAL]],     A7,       CATEGORIAS[[#All],[PRESUPUESTO
FINAL
PROYECTADO]]))</f>
        <v>198803332.67654666</v>
      </c>
      <c r="H7" s="23"/>
      <c r="I7" s="22">
        <f>IF(ISBLANK(A7),"",J7-SUMIF(CATEGORIAS[[#All],[FORMATO
 GENERAL]],     A7,     CATEGORIAS[[#All],[COSTO REAL
ANTERIOR]]))</f>
        <v>0</v>
      </c>
      <c r="J7" s="22">
        <f>IF(ISBLANK(A7),"",SUMIF(CATEGORIAS[[#All],[FORMATO
 GENERAL]],     A7,     CATEGORIAS[[#All],[COSTO REAL]]))</f>
        <v>226422941</v>
      </c>
      <c r="K7" s="22">
        <f>IF(ISBLANK(A7),"",SUMIF(CATEGORIAS[[#All],[FORMATO
 GENERAL]],     A7,     CATEGORIAS[[#All],[TOTAL PRODUCCION
ACTUAL]]))</f>
        <v>198803332.67654666</v>
      </c>
      <c r="L7" s="22">
        <f>IF(ISBLANK(A7),"",SUMIF(CATEGORIAS[[#All],[FORMATO
 GENERAL]],     A7,     CATEGORIAS[[#All],[PROYECCION
TOTAL DE COSTO]]))</f>
        <v>0</v>
      </c>
      <c r="M7" s="23"/>
      <c r="N7" s="22">
        <f t="shared" ref="N7:N52" si="1">IF(ISBLANK(A7),"",TRUNC(G7-J7-L7,2))</f>
        <v>-27619608.32</v>
      </c>
    </row>
    <row r="8" spans="1:14" ht="13.5" customHeight="1" x14ac:dyDescent="0.25">
      <c r="A8" s="70" t="s">
        <v>28</v>
      </c>
      <c r="B8" s="69"/>
      <c r="C8" s="25" t="s">
        <v>29</v>
      </c>
      <c r="D8" s="18"/>
      <c r="E8" s="22">
        <f>IF(ISBLANK(A8),"",     SUMIF(CATEGORIAS[[#All],[FORMATO
 GENERAL]],     A8,     CATEGORIAS[[#All],[PRESUPUESTO
(ORIGINAL)]]))</f>
        <v>504953712.21710002</v>
      </c>
      <c r="F8" s="22">
        <f t="shared" si="0"/>
        <v>-52500881.089267254</v>
      </c>
      <c r="G8" s="22">
        <f>IF(ISBLANK(A8),"",SUMIF(CATEGORIAS[[#All],[FORMATO
 GENERAL]],     A8,       CATEGORIAS[[#All],[PRESUPUESTO
FINAL
PROYECTADO]]))</f>
        <v>452452831.12783277</v>
      </c>
      <c r="H8" s="23"/>
      <c r="I8" s="22">
        <f>IF(ISBLANK(A8),"",J8-SUMIF(CATEGORIAS[[#All],[FORMATO
 GENERAL]],     A8,     CATEGORIAS[[#All],[COSTO REAL
ANTERIOR]]))</f>
        <v>7053441</v>
      </c>
      <c r="J8" s="22">
        <f>IF(ISBLANK(A8),"",SUMIF(CATEGORIAS[[#All],[FORMATO
 GENERAL]],     A8,     CATEGORIAS[[#All],[COSTO REAL]]))</f>
        <v>548455838</v>
      </c>
      <c r="K8" s="22">
        <f>IF(ISBLANK(A8),"",SUMIF(CATEGORIAS[[#All],[FORMATO
 GENERAL]],     A8,     CATEGORIAS[[#All],[TOTAL PRODUCCION
ACTUAL]]))</f>
        <v>452452831.12783277</v>
      </c>
      <c r="L8" s="22">
        <f>IF(ISBLANK(A8),"",SUMIF(CATEGORIAS[[#All],[FORMATO
 GENERAL]],     A8,     CATEGORIAS[[#All],[PROYECCION
TOTAL DE COSTO]]))</f>
        <v>0</v>
      </c>
      <c r="M8" s="23"/>
      <c r="N8" s="22">
        <f t="shared" si="1"/>
        <v>-96003006.870000005</v>
      </c>
    </row>
    <row r="9" spans="1:14" ht="13.5" customHeight="1" x14ac:dyDescent="0.25">
      <c r="A9" s="70"/>
      <c r="B9" s="69" t="s">
        <v>30</v>
      </c>
      <c r="C9" s="21" t="s">
        <v>31</v>
      </c>
      <c r="D9" s="18"/>
      <c r="E9" s="22" t="str">
        <f>IF(ISBLANK(A9),"",     SUMIF(CATEGORIAS[[#All],[FORMATO
 GENERAL]],     A9,     CATEGORIAS[[#All],[PRESUPUESTO
(ORIGINAL)]]))</f>
        <v/>
      </c>
      <c r="F9" s="22" t="str">
        <f t="shared" si="0"/>
        <v/>
      </c>
      <c r="G9" s="22" t="str">
        <f>IF(ISBLANK(A9),"",SUMIF(CATEGORIAS[[#All],[FORMATO
 GENERAL]],     A9,       CATEGORIAS[[#All],[PRESUPUESTO
FINAL
PROYECTADO]]))</f>
        <v/>
      </c>
      <c r="H9" s="23"/>
      <c r="I9" s="22" t="str">
        <f>IF(ISBLANK(A9),"",J9-SUMIF(CATEGORIAS[[#All],[FORMATO
 GENERAL]],     A9,     CATEGORIAS[[#All],[COSTO REAL
ANTERIOR]]))</f>
        <v/>
      </c>
      <c r="J9" s="22" t="str">
        <f>IF(ISBLANK(A9),"",SUMIF(CATEGORIAS[[#All],[FORMATO
 GENERAL]],     A9,     CATEGORIAS[[#All],[COSTO REAL]]))</f>
        <v/>
      </c>
      <c r="K9" s="22" t="str">
        <f>IF(ISBLANK(A9),"",SUMIF(CATEGORIAS[[#All],[FORMATO
 GENERAL]],     A9,     CATEGORIAS[[#All],[TOTAL PRODUCCION
ACTUAL]]))</f>
        <v/>
      </c>
      <c r="L9" s="22" t="str">
        <f>IF(ISBLANK(A9),"",SUMIF(CATEGORIAS[[#All],[FORMATO
 GENERAL]],     A9,     CATEGORIAS[[#All],[PROYECCION
TOTAL DE COSTO]]))</f>
        <v/>
      </c>
      <c r="M9" s="23"/>
      <c r="N9" s="22" t="str">
        <f t="shared" si="1"/>
        <v/>
      </c>
    </row>
    <row r="10" spans="1:14" ht="13.5" customHeight="1" x14ac:dyDescent="0.25">
      <c r="A10" s="70" t="s">
        <v>32</v>
      </c>
      <c r="B10" s="69"/>
      <c r="C10" s="25" t="s">
        <v>27</v>
      </c>
      <c r="D10" s="18"/>
      <c r="E10" s="22">
        <f>IF(ISBLANK(A10),"",     SUMIF(CATEGORIAS[[#All],[FORMATO
 GENERAL]],     A10,     CATEGORIAS[[#All],[PRESUPUESTO
(ORIGINAL)]]))</f>
        <v>9107425.3160245083</v>
      </c>
      <c r="F10" s="22">
        <f t="shared" si="0"/>
        <v>-2901494.2042494183</v>
      </c>
      <c r="G10" s="22">
        <f>IF(ISBLANK(A10),"",SUMIF(CATEGORIAS[[#All],[FORMATO
 GENERAL]],     A10,       CATEGORIAS[[#All],[PRESUPUESTO
FINAL
PROYECTADO]]))</f>
        <v>6205931.11177509</v>
      </c>
      <c r="H10" s="23"/>
      <c r="I10" s="22">
        <f>IF(ISBLANK(A10),"",J10-SUMIF(CATEGORIAS[[#All],[FORMATO
 GENERAL]],     A10,     CATEGORIAS[[#All],[COSTO REAL
ANTERIOR]]))</f>
        <v>0</v>
      </c>
      <c r="J10" s="22">
        <f>IF(ISBLANK(A10),"",SUMIF(CATEGORIAS[[#All],[FORMATO
 GENERAL]],     A10,     CATEGORIAS[[#All],[COSTO REAL]]))</f>
        <v>0</v>
      </c>
      <c r="K10" s="22">
        <f>IF(ISBLANK(A10),"",SUMIF(CATEGORIAS[[#All],[FORMATO
 GENERAL]],     A10,     CATEGORIAS[[#All],[TOTAL PRODUCCION
ACTUAL]]))</f>
        <v>6205931.11177509</v>
      </c>
      <c r="L10" s="22">
        <f>IF(ISBLANK(A10),"",SUMIF(CATEGORIAS[[#All],[FORMATO
 GENERAL]],     A10,     CATEGORIAS[[#All],[PROYECCION
TOTAL DE COSTO]]))</f>
        <v>0</v>
      </c>
      <c r="M10" s="23"/>
      <c r="N10" s="22">
        <f t="shared" si="1"/>
        <v>6205931.1100000003</v>
      </c>
    </row>
    <row r="11" spans="1:14" ht="13.5" customHeight="1" x14ac:dyDescent="0.25">
      <c r="A11" s="70" t="s">
        <v>33</v>
      </c>
      <c r="B11" s="69"/>
      <c r="C11" s="25" t="s">
        <v>34</v>
      </c>
      <c r="D11" s="18"/>
      <c r="E11" s="22">
        <f>IF(ISBLANK(A11),"",     SUMIF(CATEGORIAS[[#All],[FORMATO
 GENERAL]],     A11,     CATEGORIAS[[#All],[PRESUPUESTO
(ORIGINAL)]]))</f>
        <v>0</v>
      </c>
      <c r="F11" s="22">
        <f t="shared" si="0"/>
        <v>0</v>
      </c>
      <c r="G11" s="22">
        <f>IF(ISBLANK(A11),"",SUMIF(CATEGORIAS[[#All],[FORMATO
 GENERAL]],     A11,       CATEGORIAS[[#All],[PRESUPUESTO
FINAL
PROYECTADO]]))</f>
        <v>0</v>
      </c>
      <c r="H11" s="23"/>
      <c r="I11" s="22">
        <f>IF(ISBLANK(A11),"",J11-SUMIF(CATEGORIAS[[#All],[FORMATO
 GENERAL]],     A11,     CATEGORIAS[[#All],[COSTO REAL
ANTERIOR]]))</f>
        <v>0</v>
      </c>
      <c r="J11" s="22">
        <f>IF(ISBLANK(A11),"",SUMIF(CATEGORIAS[[#All],[FORMATO
 GENERAL]],     A11,     CATEGORIAS[[#All],[COSTO REAL]]))</f>
        <v>0</v>
      </c>
      <c r="K11" s="22">
        <f>IF(ISBLANK(A11),"",SUMIF(CATEGORIAS[[#All],[FORMATO
 GENERAL]],     A11,     CATEGORIAS[[#All],[TOTAL PRODUCCION
ACTUAL]]))</f>
        <v>0</v>
      </c>
      <c r="L11" s="22">
        <f>IF(ISBLANK(A11),"",SUMIF(CATEGORIAS[[#All],[FORMATO
 GENERAL]],     A11,     CATEGORIAS[[#All],[PROYECCION
TOTAL DE COSTO]]))</f>
        <v>0</v>
      </c>
      <c r="M11" s="23"/>
      <c r="N11" s="22">
        <f t="shared" si="1"/>
        <v>0</v>
      </c>
    </row>
    <row r="12" spans="1:14" ht="13.5" customHeight="1" x14ac:dyDescent="0.25">
      <c r="A12" s="70"/>
      <c r="B12" s="69" t="s">
        <v>35</v>
      </c>
      <c r="C12" s="21" t="s">
        <v>36</v>
      </c>
      <c r="D12" s="18"/>
      <c r="E12" s="22" t="str">
        <f>IF(ISBLANK(A12),"",     SUMIF(CATEGORIAS[[#All],[FORMATO
 GENERAL]],     A12,     CATEGORIAS[[#All],[PRESUPUESTO
(ORIGINAL)]]))</f>
        <v/>
      </c>
      <c r="F12" s="22" t="str">
        <f t="shared" si="0"/>
        <v/>
      </c>
      <c r="G12" s="22" t="str">
        <f>IF(ISBLANK(A12),"",SUMIF(CATEGORIAS[[#All],[FORMATO
 GENERAL]],     A12,       CATEGORIAS[[#All],[PRESUPUESTO
FINAL
PROYECTADO]]))</f>
        <v/>
      </c>
      <c r="H12" s="23"/>
      <c r="I12" s="22" t="str">
        <f>IF(ISBLANK(A12),"",J12-SUMIF(CATEGORIAS[[#All],[FORMATO
 GENERAL]],     A12,     CATEGORIAS[[#All],[COSTO REAL
ANTERIOR]]))</f>
        <v/>
      </c>
      <c r="J12" s="22" t="str">
        <f>IF(ISBLANK(A12),"",SUMIF(CATEGORIAS[[#All],[FORMATO
 GENERAL]],     A12,     CATEGORIAS[[#All],[COSTO REAL]]))</f>
        <v/>
      </c>
      <c r="K12" s="22" t="str">
        <f>IF(ISBLANK(A12),"",SUMIF(CATEGORIAS[[#All],[FORMATO
 GENERAL]],     A12,     CATEGORIAS[[#All],[TOTAL PRODUCCION
ACTUAL]]))</f>
        <v/>
      </c>
      <c r="L12" s="22" t="str">
        <f>IF(ISBLANK(A12),"",SUMIF(CATEGORIAS[[#All],[FORMATO
 GENERAL]],     A12,     CATEGORIAS[[#All],[PROYECCION
TOTAL DE COSTO]]))</f>
        <v/>
      </c>
      <c r="M12" s="23"/>
      <c r="N12" s="22" t="str">
        <f t="shared" si="1"/>
        <v/>
      </c>
    </row>
    <row r="13" spans="1:14" ht="13.5" customHeight="1" x14ac:dyDescent="0.25">
      <c r="A13" s="70" t="s">
        <v>37</v>
      </c>
      <c r="B13" s="69"/>
      <c r="C13" s="25" t="s">
        <v>27</v>
      </c>
      <c r="D13" s="18"/>
      <c r="E13" s="22">
        <f>IF(ISBLANK(A13),"",     SUMIF(CATEGORIAS[[#All],[FORMATO
 GENERAL]],     A13,     CATEGORIAS[[#All],[PRESUPUESTO
(ORIGINAL)]]))</f>
        <v>648232300.96841526</v>
      </c>
      <c r="F13" s="22">
        <f t="shared" si="0"/>
        <v>193568818.17907298</v>
      </c>
      <c r="G13" s="22">
        <f>IF(ISBLANK(A13),"",SUMIF(CATEGORIAS[[#All],[FORMATO
 GENERAL]],     A13,       CATEGORIAS[[#All],[PRESUPUESTO
FINAL
PROYECTADO]]))</f>
        <v>841801119.14748824</v>
      </c>
      <c r="H13" s="23"/>
      <c r="I13" s="22">
        <f>IF(ISBLANK(A13),"",J13-SUMIF(CATEGORIAS[[#All],[FORMATO
 GENERAL]],     A13,     CATEGORIAS[[#All],[COSTO REAL
ANTERIOR]]))</f>
        <v>0</v>
      </c>
      <c r="J13" s="22">
        <f>IF(ISBLANK(A13),"",SUMIF(CATEGORIAS[[#All],[FORMATO
 GENERAL]],     A13,     CATEGORIAS[[#All],[COSTO REAL]]))</f>
        <v>586461235</v>
      </c>
      <c r="K13" s="22">
        <f>IF(ISBLANK(A13),"",SUMIF(CATEGORIAS[[#All],[FORMATO
 GENERAL]],     A13,     CATEGORIAS[[#All],[TOTAL PRODUCCION
ACTUAL]]))</f>
        <v>841801119.14748871</v>
      </c>
      <c r="L13" s="22">
        <f>IF(ISBLANK(A13),"",SUMIF(CATEGORIAS[[#All],[FORMATO
 GENERAL]],     A13,     CATEGORIAS[[#All],[PROYECCION
TOTAL DE COSTO]]))</f>
        <v>0</v>
      </c>
      <c r="M13" s="23"/>
      <c r="N13" s="22">
        <f t="shared" si="1"/>
        <v>255339884.13999999</v>
      </c>
    </row>
    <row r="14" spans="1:14" ht="13.5" customHeight="1" x14ac:dyDescent="0.25">
      <c r="A14" s="70" t="s">
        <v>38</v>
      </c>
      <c r="B14" s="69"/>
      <c r="C14" s="25" t="s">
        <v>39</v>
      </c>
      <c r="D14" s="18"/>
      <c r="E14" s="22">
        <f>IF(ISBLANK(A14),"",     SUMIF(CATEGORIAS[[#All],[FORMATO
 GENERAL]],     A14,     CATEGORIAS[[#All],[PRESUPUESTO
(ORIGINAL)]]))</f>
        <v>144330783.15279999</v>
      </c>
      <c r="F14" s="22">
        <f t="shared" si="0"/>
        <v>80364044.246312886</v>
      </c>
      <c r="G14" s="22">
        <f>IF(ISBLANK(A14),"",SUMIF(CATEGORIAS[[#All],[FORMATO
 GENERAL]],     A14,       CATEGORIAS[[#All],[PRESUPUESTO
FINAL
PROYECTADO]]))</f>
        <v>224694827.39911288</v>
      </c>
      <c r="H14" s="23"/>
      <c r="I14" s="22">
        <f>IF(ISBLANK(A14),"",J14-SUMIF(CATEGORIAS[[#All],[FORMATO
 GENERAL]],     A14,     CATEGORIAS[[#All],[COSTO REAL
ANTERIOR]]))</f>
        <v>18039318</v>
      </c>
      <c r="J14" s="22">
        <f>IF(ISBLANK(A14),"",SUMIF(CATEGORIAS[[#All],[FORMATO
 GENERAL]],     A14,     CATEGORIAS[[#All],[COSTO REAL]]))</f>
        <v>339509978</v>
      </c>
      <c r="K14" s="22">
        <f>IF(ISBLANK(A14),"",SUMIF(CATEGORIAS[[#All],[FORMATO
 GENERAL]],     A14,     CATEGORIAS[[#All],[TOTAL PRODUCCION
ACTUAL]]))</f>
        <v>224694827.39911288</v>
      </c>
      <c r="L14" s="22">
        <f>IF(ISBLANK(A14),"",SUMIF(CATEGORIAS[[#All],[FORMATO
 GENERAL]],     A14,     CATEGORIAS[[#All],[PROYECCION
TOTAL DE COSTO]]))</f>
        <v>0</v>
      </c>
      <c r="M14" s="23"/>
      <c r="N14" s="22">
        <f t="shared" si="1"/>
        <v>-114815150.59999999</v>
      </c>
    </row>
    <row r="15" spans="1:14" ht="13.5" customHeight="1" x14ac:dyDescent="0.25">
      <c r="A15" s="70"/>
      <c r="B15" s="69" t="s">
        <v>40</v>
      </c>
      <c r="C15" s="21" t="s">
        <v>41</v>
      </c>
      <c r="D15" s="18"/>
      <c r="E15" s="22" t="str">
        <f>IF(ISBLANK(A15),"",     SUMIF(CATEGORIAS[[#All],[FORMATO
 GENERAL]],     A15,     CATEGORIAS[[#All],[PRESUPUESTO
(ORIGINAL)]]))</f>
        <v/>
      </c>
      <c r="F15" s="22" t="str">
        <f t="shared" si="0"/>
        <v/>
      </c>
      <c r="G15" s="22" t="str">
        <f>IF(ISBLANK(A15),"",SUMIF(CATEGORIAS[[#All],[FORMATO
 GENERAL]],     A15,       CATEGORIAS[[#All],[PRESUPUESTO
FINAL
PROYECTADO]]))</f>
        <v/>
      </c>
      <c r="H15" s="23"/>
      <c r="I15" s="22" t="str">
        <f>IF(ISBLANK(A15),"",J15-SUMIF(CATEGORIAS[[#All],[FORMATO
 GENERAL]],     A15,     CATEGORIAS[[#All],[COSTO REAL
ANTERIOR]]))</f>
        <v/>
      </c>
      <c r="J15" s="22" t="str">
        <f>IF(ISBLANK(A15),"",SUMIF(CATEGORIAS[[#All],[FORMATO
 GENERAL]],     A15,     CATEGORIAS[[#All],[COSTO REAL]]))</f>
        <v/>
      </c>
      <c r="K15" s="22" t="str">
        <f>IF(ISBLANK(A15),"",SUMIF(CATEGORIAS[[#All],[FORMATO
 GENERAL]],     A15,     CATEGORIAS[[#All],[TOTAL PRODUCCION
ACTUAL]]))</f>
        <v/>
      </c>
      <c r="L15" s="22" t="str">
        <f>IF(ISBLANK(A15),"",SUMIF(CATEGORIAS[[#All],[FORMATO
 GENERAL]],     A15,     CATEGORIAS[[#All],[PROYECCION
TOTAL DE COSTO]]))</f>
        <v/>
      </c>
      <c r="M15" s="23"/>
      <c r="N15" s="22" t="str">
        <f t="shared" si="1"/>
        <v/>
      </c>
    </row>
    <row r="16" spans="1:14" ht="13.5" customHeight="1" x14ac:dyDescent="0.25">
      <c r="A16" s="70" t="s">
        <v>42</v>
      </c>
      <c r="B16" s="69"/>
      <c r="C16" s="25" t="s">
        <v>27</v>
      </c>
      <c r="D16" s="18"/>
      <c r="E16" s="22">
        <f>IF(ISBLANK(A16),"",     SUMIF(CATEGORIAS[[#All],[FORMATO
 GENERAL]],     A16,     CATEGORIAS[[#All],[PRESUPUESTO
(ORIGINAL)]]))</f>
        <v>37872374.345846228</v>
      </c>
      <c r="F16" s="22">
        <f t="shared" si="0"/>
        <v>-19046384.143024638</v>
      </c>
      <c r="G16" s="22">
        <f>IF(ISBLANK(A16),"",SUMIF(CATEGORIAS[[#All],[FORMATO
 GENERAL]],     A16,       CATEGORIAS[[#All],[PRESUPUESTO
FINAL
PROYECTADO]]))</f>
        <v>18825990.20282159</v>
      </c>
      <c r="H16" s="23"/>
      <c r="I16" s="22">
        <f>IF(ISBLANK(A16),"",J16-SUMIF(CATEGORIAS[[#All],[FORMATO
 GENERAL]],     A16,     CATEGORIAS[[#All],[COSTO REAL
ANTERIOR]]))</f>
        <v>0</v>
      </c>
      <c r="J16" s="22">
        <f>IF(ISBLANK(A16),"",SUMIF(CATEGORIAS[[#All],[FORMATO
 GENERAL]],     A16,     CATEGORIAS[[#All],[COSTO REAL]]))</f>
        <v>0</v>
      </c>
      <c r="K16" s="22">
        <f>IF(ISBLANK(A16),"",SUMIF(CATEGORIAS[[#All],[FORMATO
 GENERAL]],     A16,     CATEGORIAS[[#All],[TOTAL PRODUCCION
ACTUAL]]))</f>
        <v>18825990.20282159</v>
      </c>
      <c r="L16" s="22">
        <f>IF(ISBLANK(A16),"",SUMIF(CATEGORIAS[[#All],[FORMATO
 GENERAL]],     A16,     CATEGORIAS[[#All],[PROYECCION
TOTAL DE COSTO]]))</f>
        <v>0</v>
      </c>
      <c r="M16" s="23"/>
      <c r="N16" s="22">
        <f t="shared" si="1"/>
        <v>18825990.199999999</v>
      </c>
    </row>
    <row r="17" spans="1:14" ht="13.5" customHeight="1" x14ac:dyDescent="0.25">
      <c r="A17" s="70" t="s">
        <v>43</v>
      </c>
      <c r="B17" s="69"/>
      <c r="C17" s="25" t="s">
        <v>44</v>
      </c>
      <c r="D17" s="18"/>
      <c r="E17" s="22">
        <f>IF(ISBLANK(A17),"",     SUMIF(CATEGORIAS[[#All],[FORMATO
 GENERAL]],     A17,     CATEGORIAS[[#All],[PRESUPUESTO
(ORIGINAL)]]))</f>
        <v>3653812.5723999999</v>
      </c>
      <c r="F17" s="22">
        <f t="shared" si="0"/>
        <v>-2584050.2677341341</v>
      </c>
      <c r="G17" s="22">
        <f>IF(ISBLANK(A17),"",SUMIF(CATEGORIAS[[#All],[FORMATO
 GENERAL]],     A17,       CATEGORIAS[[#All],[PRESUPUESTO
FINAL
PROYECTADO]]))</f>
        <v>1069762.3046658658</v>
      </c>
      <c r="H17" s="23"/>
      <c r="I17" s="22">
        <f>IF(ISBLANK(A17),"",J17-SUMIF(CATEGORIAS[[#All],[FORMATO
 GENERAL]],     A17,     CATEGORIAS[[#All],[COSTO REAL
ANTERIOR]]))</f>
        <v>0</v>
      </c>
      <c r="J17" s="22">
        <f>IF(ISBLANK(A17),"",SUMIF(CATEGORIAS[[#All],[FORMATO
 GENERAL]],     A17,     CATEGORIAS[[#All],[COSTO REAL]]))</f>
        <v>0</v>
      </c>
      <c r="K17" s="22">
        <f>IF(ISBLANK(A17),"",SUMIF(CATEGORIAS[[#All],[FORMATO
 GENERAL]],     A17,     CATEGORIAS[[#All],[TOTAL PRODUCCION
ACTUAL]]))</f>
        <v>1069762.3046658658</v>
      </c>
      <c r="L17" s="22">
        <f>IF(ISBLANK(A17),"",SUMIF(CATEGORIAS[[#All],[FORMATO
 GENERAL]],     A17,     CATEGORIAS[[#All],[PROYECCION
TOTAL DE COSTO]]))</f>
        <v>0</v>
      </c>
      <c r="M17" s="23"/>
      <c r="N17" s="22">
        <f t="shared" si="1"/>
        <v>1069762.3</v>
      </c>
    </row>
    <row r="18" spans="1:14" ht="13.5" customHeight="1" x14ac:dyDescent="0.25">
      <c r="A18" s="70"/>
      <c r="B18" s="69" t="s">
        <v>45</v>
      </c>
      <c r="C18" s="21" t="s">
        <v>46</v>
      </c>
      <c r="D18" s="18"/>
      <c r="E18" s="22" t="str">
        <f>IF(ISBLANK(A18),"",     SUMIF(CATEGORIAS[[#All],[FORMATO
 GENERAL]],     A18,     CATEGORIAS[[#All],[PRESUPUESTO
(ORIGINAL)]]))</f>
        <v/>
      </c>
      <c r="F18" s="22" t="str">
        <f t="shared" si="0"/>
        <v/>
      </c>
      <c r="G18" s="22" t="str">
        <f>IF(ISBLANK(A18),"",SUMIF(CATEGORIAS[[#All],[FORMATO
 GENERAL]],     A18,       CATEGORIAS[[#All],[PRESUPUESTO
FINAL
PROYECTADO]]))</f>
        <v/>
      </c>
      <c r="H18" s="23"/>
      <c r="I18" s="22" t="str">
        <f>IF(ISBLANK(A18),"",J18-SUMIF(CATEGORIAS[[#All],[FORMATO
 GENERAL]],     A18,     CATEGORIAS[[#All],[COSTO REAL
ANTERIOR]]))</f>
        <v/>
      </c>
      <c r="J18" s="22" t="str">
        <f>IF(ISBLANK(A18),"",SUMIF(CATEGORIAS[[#All],[FORMATO
 GENERAL]],     A18,     CATEGORIAS[[#All],[COSTO REAL]]))</f>
        <v/>
      </c>
      <c r="K18" s="22" t="str">
        <f>IF(ISBLANK(A18),"",SUMIF(CATEGORIAS[[#All],[FORMATO
 GENERAL]],     A18,     CATEGORIAS[[#All],[TOTAL PRODUCCION
ACTUAL]]))</f>
        <v/>
      </c>
      <c r="L18" s="22" t="str">
        <f>IF(ISBLANK(A18),"",SUMIF(CATEGORIAS[[#All],[FORMATO
 GENERAL]],     A18,     CATEGORIAS[[#All],[PROYECCION
TOTAL DE COSTO]]))</f>
        <v/>
      </c>
      <c r="M18" s="23"/>
      <c r="N18" s="22" t="str">
        <f t="shared" si="1"/>
        <v/>
      </c>
    </row>
    <row r="19" spans="1:14" ht="13.5" customHeight="1" x14ac:dyDescent="0.25">
      <c r="A19" s="70" t="s">
        <v>47</v>
      </c>
      <c r="B19" s="69"/>
      <c r="C19" s="25" t="s">
        <v>27</v>
      </c>
      <c r="D19" s="18"/>
      <c r="E19" s="22">
        <f>IF(ISBLANK(A19),"",     SUMIF(CATEGORIAS[[#All],[FORMATO
 GENERAL]],     A19,     CATEGORIAS[[#All],[PRESUPUESTO
(ORIGINAL)]]))</f>
        <v>4909779.3548685564</v>
      </c>
      <c r="F19" s="22">
        <f>IF(ISBLANK(A19),"",G19-E19)</f>
        <v>114705413.04148898</v>
      </c>
      <c r="G19" s="22">
        <f>IF(ISBLANK(A19),"",SUMIF(CATEGORIAS[[#All],[FORMATO
 GENERAL]],     A19,       CATEGORIAS[[#All],[PRESUPUESTO
FINAL
PROYECTADO]]))</f>
        <v>119615192.39635754</v>
      </c>
      <c r="H19" s="23"/>
      <c r="I19" s="22">
        <f>IF(ISBLANK(A19),"",J19-SUMIF(CATEGORIAS[[#All],[FORMATO
 GENERAL]],     A19,     CATEGORIAS[[#All],[COSTO REAL
ANTERIOR]]))</f>
        <v>0</v>
      </c>
      <c r="J19" s="22">
        <f>IF(ISBLANK(A19),"",SUMIF(CATEGORIAS[[#All],[FORMATO
 GENERAL]],     A19,     CATEGORIAS[[#All],[COSTO REAL]]))</f>
        <v>41920101</v>
      </c>
      <c r="K19" s="22">
        <f>IF(ISBLANK(A19),"",SUMIF(CATEGORIAS[[#All],[FORMATO
 GENERAL]],     A19,     CATEGORIAS[[#All],[TOTAL PRODUCCION
ACTUAL]]))</f>
        <v>119615192.39635754</v>
      </c>
      <c r="L19" s="22">
        <f>IF(ISBLANK(A19),"",SUMIF(CATEGORIAS[[#All],[FORMATO
 GENERAL]],     A19,     CATEGORIAS[[#All],[PROYECCION
TOTAL DE COSTO]]))</f>
        <v>0</v>
      </c>
      <c r="M19" s="23"/>
      <c r="N19" s="22">
        <f>IF(ISBLANK(A19),"",TRUNC(G19-J19-L19,2))</f>
        <v>77695091.390000001</v>
      </c>
    </row>
    <row r="20" spans="1:14" ht="13.5" customHeight="1" x14ac:dyDescent="0.25">
      <c r="A20" s="70" t="s">
        <v>48</v>
      </c>
      <c r="B20" s="69"/>
      <c r="C20" s="25" t="s">
        <v>49</v>
      </c>
      <c r="D20" s="18"/>
      <c r="E20" s="22">
        <f>IF(ISBLANK(A20),"",     SUMIF(CATEGORIAS[[#All],[FORMATO
 GENERAL]],     A20,     CATEGORIAS[[#All],[PRESUPUESTO
(ORIGINAL)]]))</f>
        <v>1198500</v>
      </c>
      <c r="F20" s="22">
        <f t="shared" si="0"/>
        <v>-232733.3622418337</v>
      </c>
      <c r="G20" s="22">
        <f>IF(ISBLANK(A20),"",SUMIF(CATEGORIAS[[#All],[FORMATO
 GENERAL]],     A20,       CATEGORIAS[[#All],[PRESUPUESTO
FINAL
PROYECTADO]]))</f>
        <v>965766.6377581663</v>
      </c>
      <c r="H20" s="23"/>
      <c r="I20" s="22">
        <f>IF(ISBLANK(A20),"",J20-SUMIF(CATEGORIAS[[#All],[FORMATO
 GENERAL]],     A20,     CATEGORIAS[[#All],[COSTO REAL
ANTERIOR]]))</f>
        <v>-370962</v>
      </c>
      <c r="J20" s="22">
        <f>IF(ISBLANK(A20),"",SUMIF(CATEGORIAS[[#All],[FORMATO
 GENERAL]],     A20,     CATEGORIAS[[#All],[COSTO REAL]]))</f>
        <v>3189423</v>
      </c>
      <c r="K20" s="22">
        <f>IF(ISBLANK(A20),"",SUMIF(CATEGORIAS[[#All],[FORMATO
 GENERAL]],     A20,     CATEGORIAS[[#All],[TOTAL PRODUCCION
ACTUAL]]))</f>
        <v>965766.6377581663</v>
      </c>
      <c r="L20" s="22">
        <f>IF(ISBLANK(A20),"",SUMIF(CATEGORIAS[[#All],[FORMATO
 GENERAL]],     A20,     CATEGORIAS[[#All],[PROYECCION
TOTAL DE COSTO]]))</f>
        <v>0</v>
      </c>
      <c r="M20" s="23"/>
      <c r="N20" s="22">
        <f t="shared" si="1"/>
        <v>-2223656.36</v>
      </c>
    </row>
    <row r="21" spans="1:14" ht="13.5" customHeight="1" x14ac:dyDescent="0.25">
      <c r="A21" s="70"/>
      <c r="B21" s="69" t="s">
        <v>50</v>
      </c>
      <c r="C21" s="26" t="s">
        <v>51</v>
      </c>
      <c r="D21" s="18"/>
      <c r="E21" s="22" t="str">
        <f>IF(ISBLANK(A21),"",     SUMIF(CATEGORIAS[[#All],[FORMATO
 GENERAL]],     A21,     CATEGORIAS[[#All],[PRESUPUESTO
(ORIGINAL)]]))</f>
        <v/>
      </c>
      <c r="F21" s="22" t="str">
        <f t="shared" si="0"/>
        <v/>
      </c>
      <c r="G21" s="22" t="str">
        <f>IF(ISBLANK(A21),"",SUMIF(CATEGORIAS[[#All],[FORMATO
 GENERAL]],     A21,       CATEGORIAS[[#All],[PRESUPUESTO
FINAL
PROYECTADO]]))</f>
        <v/>
      </c>
      <c r="H21" s="23"/>
      <c r="I21" s="22" t="str">
        <f>IF(ISBLANK(A21),"",J21-SUMIF(CATEGORIAS[[#All],[FORMATO
 GENERAL]],     A21,     CATEGORIAS[[#All],[COSTO REAL
ANTERIOR]]))</f>
        <v/>
      </c>
      <c r="J21" s="22" t="str">
        <f>IF(ISBLANK(A21),"",SUMIF(CATEGORIAS[[#All],[FORMATO
 GENERAL]],     A21,     CATEGORIAS[[#All],[COSTO REAL]]))</f>
        <v/>
      </c>
      <c r="K21" s="22" t="str">
        <f>IF(ISBLANK(A21),"",SUMIF(CATEGORIAS[[#All],[FORMATO
 GENERAL]],     A21,     CATEGORIAS[[#All],[TOTAL PRODUCCION
ACTUAL]]))</f>
        <v/>
      </c>
      <c r="L21" s="22" t="str">
        <f>IF(ISBLANK(A21),"",SUMIF(CATEGORIAS[[#All],[FORMATO
 GENERAL]],     A21,     CATEGORIAS[[#All],[PROYECCION
TOTAL DE COSTO]]))</f>
        <v/>
      </c>
      <c r="M21" s="23"/>
      <c r="N21" s="22" t="str">
        <f t="shared" si="1"/>
        <v/>
      </c>
    </row>
    <row r="22" spans="1:14" ht="13.5" customHeight="1" x14ac:dyDescent="0.25">
      <c r="A22" s="70" t="s">
        <v>52</v>
      </c>
      <c r="B22" s="69"/>
      <c r="C22" s="25" t="s">
        <v>2382</v>
      </c>
      <c r="D22" s="18"/>
      <c r="E22" s="22">
        <f>IF(ISBLANK(A22),"",     SUMIF(CATEGORIAS[[#All],[FORMATO
 GENERAL]],     A22,     CATEGORIAS[[#All],[PRESUPUESTO
(ORIGINAL)]]))</f>
        <v>40034534.039657995</v>
      </c>
      <c r="F22" s="22">
        <f t="shared" si="0"/>
        <v>14598475.658439994</v>
      </c>
      <c r="G22" s="22">
        <f>IF(ISBLANK(A22),"",SUMIF(CATEGORIAS[[#All],[FORMATO
 GENERAL]],     A22,       CATEGORIAS[[#All],[PRESUPUESTO
FINAL
PROYECTADO]]))</f>
        <v>54633009.698097989</v>
      </c>
      <c r="H22" s="23"/>
      <c r="I22" s="22">
        <f>IF(ISBLANK(A22),"",J22-SUMIF(CATEGORIAS[[#All],[FORMATO
 GENERAL]],     A22,     CATEGORIAS[[#All],[COSTO REAL
ANTERIOR]]))</f>
        <v>0</v>
      </c>
      <c r="J22" s="22">
        <f>IF(ISBLANK(A22),"",SUMIF(CATEGORIAS[[#All],[FORMATO
 GENERAL]],     A22,     CATEGORIAS[[#All],[COSTO REAL]]))</f>
        <v>166683412</v>
      </c>
      <c r="K22" s="22">
        <f>IF(ISBLANK(A22),"",SUMIF(CATEGORIAS[[#All],[FORMATO
 GENERAL]],     A22,     CATEGORIAS[[#All],[TOTAL PRODUCCION
ACTUAL]]))</f>
        <v>54633009.698097989</v>
      </c>
      <c r="L22" s="22">
        <f>IF(ISBLANK(A22),"",SUMIF(CATEGORIAS[[#All],[FORMATO
 GENERAL]],     A22,     CATEGORIAS[[#All],[PROYECCION
TOTAL DE COSTO]]))</f>
        <v>0</v>
      </c>
      <c r="M22" s="23"/>
      <c r="N22" s="22">
        <f t="shared" si="1"/>
        <v>-112050402.3</v>
      </c>
    </row>
    <row r="23" spans="1:14" ht="13.5" customHeight="1" x14ac:dyDescent="0.25">
      <c r="A23" s="70"/>
      <c r="B23" s="69" t="s">
        <v>53</v>
      </c>
      <c r="C23" s="26" t="s">
        <v>54</v>
      </c>
      <c r="D23" s="18"/>
      <c r="E23" s="22" t="str">
        <f>IF(ISBLANK(A23),"",     SUMIF(CATEGORIAS[[#All],[FORMATO
 GENERAL]],     A23,     CATEGORIAS[[#All],[PRESUPUESTO
(ORIGINAL)]]))</f>
        <v/>
      </c>
      <c r="F23" s="22" t="str">
        <f t="shared" si="0"/>
        <v/>
      </c>
      <c r="G23" s="22" t="str">
        <f>IF(ISBLANK(A23),"",SUMIF(CATEGORIAS[[#All],[FORMATO
 GENERAL]],     A23,       CATEGORIAS[[#All],[PRESUPUESTO
FINAL
PROYECTADO]]))</f>
        <v/>
      </c>
      <c r="H23" s="23"/>
      <c r="I23" s="22" t="str">
        <f>IF(ISBLANK(A23),"",J23-SUMIF(CATEGORIAS[[#All],[FORMATO
 GENERAL]],     A23,     CATEGORIAS[[#All],[COSTO REAL
ANTERIOR]]))</f>
        <v/>
      </c>
      <c r="J23" s="22" t="str">
        <f>IF(ISBLANK(A23),"",SUMIF(CATEGORIAS[[#All],[FORMATO
 GENERAL]],     A23,     CATEGORIAS[[#All],[COSTO REAL]]))</f>
        <v/>
      </c>
      <c r="K23" s="22" t="str">
        <f>IF(ISBLANK(A23),"",SUMIF(CATEGORIAS[[#All],[FORMATO
 GENERAL]],     A23,     CATEGORIAS[[#All],[TOTAL PRODUCCION
ACTUAL]]))</f>
        <v/>
      </c>
      <c r="L23" s="22" t="str">
        <f>IF(ISBLANK(A23),"",SUMIF(CATEGORIAS[[#All],[FORMATO
 GENERAL]],     A23,     CATEGORIAS[[#All],[PROYECCION
TOTAL DE COSTO]]))</f>
        <v/>
      </c>
      <c r="M23" s="23"/>
      <c r="N23" s="22" t="str">
        <f t="shared" si="1"/>
        <v/>
      </c>
    </row>
    <row r="24" spans="1:14" ht="13.5" customHeight="1" x14ac:dyDescent="0.25">
      <c r="A24" s="70" t="s">
        <v>55</v>
      </c>
      <c r="B24" s="69"/>
      <c r="C24" s="25" t="s">
        <v>2382</v>
      </c>
      <c r="D24" s="18"/>
      <c r="E24" s="22">
        <f>IF(ISBLANK(A24),"",     SUMIF(CATEGORIAS[[#All],[FORMATO
 GENERAL]],     A24,     CATEGORIAS[[#All],[PRESUPUESTO
(ORIGINAL)]]))</f>
        <v>0</v>
      </c>
      <c r="F24" s="22">
        <f t="shared" si="0"/>
        <v>0</v>
      </c>
      <c r="G24" s="22">
        <f>IF(ISBLANK(A24),"",SUMIF(CATEGORIAS[[#All],[FORMATO
 GENERAL]],     A24,       CATEGORIAS[[#All],[PRESUPUESTO
FINAL
PROYECTADO]]))</f>
        <v>0</v>
      </c>
      <c r="H24" s="23"/>
      <c r="I24" s="22">
        <f>IF(ISBLANK(A24),"",J24-SUMIF(CATEGORIAS[[#All],[FORMATO
 GENERAL]],     A24,     CATEGORIAS[[#All],[COSTO REAL
ANTERIOR]]))</f>
        <v>0</v>
      </c>
      <c r="J24" s="22">
        <f>IF(ISBLANK(A24),"",SUMIF(CATEGORIAS[[#All],[FORMATO
 GENERAL]],     A24,     CATEGORIAS[[#All],[COSTO REAL]]))</f>
        <v>0</v>
      </c>
      <c r="K24" s="22">
        <f>IF(ISBLANK(A24),"",SUMIF(CATEGORIAS[[#All],[FORMATO
 GENERAL]],     A24,     CATEGORIAS[[#All],[TOTAL PRODUCCION
ACTUAL]]))</f>
        <v>0</v>
      </c>
      <c r="L24" s="22">
        <f>IF(ISBLANK(A24),"",SUMIF(CATEGORIAS[[#All],[FORMATO
 GENERAL]],     A24,     CATEGORIAS[[#All],[PROYECCION
TOTAL DE COSTO]]))</f>
        <v>0</v>
      </c>
      <c r="M24" s="23"/>
      <c r="N24" s="22">
        <f t="shared" si="1"/>
        <v>0</v>
      </c>
    </row>
    <row r="25" spans="1:14" ht="13.5" customHeight="1" x14ac:dyDescent="0.25">
      <c r="A25" s="70" t="s">
        <v>56</v>
      </c>
      <c r="B25" s="69"/>
      <c r="C25" s="25" t="s">
        <v>57</v>
      </c>
      <c r="D25" s="18"/>
      <c r="E25" s="22">
        <f>IF(ISBLANK(A25),"",     SUMIF(CATEGORIAS[[#All],[FORMATO
 GENERAL]],     A25,     CATEGORIAS[[#All],[PRESUPUESTO
(ORIGINAL)]]))</f>
        <v>0</v>
      </c>
      <c r="F25" s="22">
        <f t="shared" si="0"/>
        <v>0</v>
      </c>
      <c r="G25" s="22">
        <f>IF(ISBLANK(A25),"",SUMIF(CATEGORIAS[[#All],[FORMATO
 GENERAL]],     A25,       CATEGORIAS[[#All],[PRESUPUESTO
FINAL
PROYECTADO]]))</f>
        <v>0</v>
      </c>
      <c r="H25" s="23"/>
      <c r="I25" s="22">
        <f>IF(ISBLANK(A25),"",J25-SUMIF(CATEGORIAS[[#All],[FORMATO
 GENERAL]],     A25,     CATEGORIAS[[#All],[COSTO REAL
ANTERIOR]]))</f>
        <v>0</v>
      </c>
      <c r="J25" s="22">
        <f>IF(ISBLANK(A25),"",SUMIF(CATEGORIAS[[#All],[FORMATO
 GENERAL]],     A25,     CATEGORIAS[[#All],[COSTO REAL]]))</f>
        <v>0</v>
      </c>
      <c r="K25" s="22">
        <f>IF(ISBLANK(A25),"",SUMIF(CATEGORIAS[[#All],[FORMATO
 GENERAL]],     A25,     CATEGORIAS[[#All],[TOTAL PRODUCCION
ACTUAL]]))</f>
        <v>0</v>
      </c>
      <c r="L25" s="22">
        <f>IF(ISBLANK(A25),"",SUMIF(CATEGORIAS[[#All],[FORMATO
 GENERAL]],     A25,     CATEGORIAS[[#All],[PROYECCION
TOTAL DE COSTO]]))</f>
        <v>0</v>
      </c>
      <c r="M25" s="23"/>
      <c r="N25" s="22">
        <f t="shared" si="1"/>
        <v>0</v>
      </c>
    </row>
    <row r="26" spans="1:14" ht="13.5" hidden="1" customHeight="1" x14ac:dyDescent="0.25">
      <c r="A26" s="70"/>
      <c r="B26" s="69" t="s">
        <v>58</v>
      </c>
      <c r="C26" s="26" t="s">
        <v>59</v>
      </c>
      <c r="D26" s="18"/>
      <c r="E26" s="22" t="str">
        <f>IF(ISBLANK(A26),"",     SUMIF(CATEGORIAS[[#All],[FORMATO
 GENERAL]],     A26,     CATEGORIAS[[#All],[PRESUPUESTO
(ORIGINAL)]]))</f>
        <v/>
      </c>
      <c r="F26" s="22" t="str">
        <f>IF(ISBLANK(A26),"",G26-E26)</f>
        <v/>
      </c>
      <c r="G26" s="22" t="str">
        <f>IF(ISBLANK(A26),"",SUMIF(CATEGORIAS[[#All],[FORMATO
 GENERAL]],     A26,       CATEGORIAS[[#All],[PRESUPUESTO
FINAL
PROYECTADO]]))</f>
        <v/>
      </c>
      <c r="H26" s="23"/>
      <c r="I26" s="22" t="str">
        <f>IF(ISBLANK(A26),"",J26-SUMIF(CATEGORIAS[[#All],[FORMATO
 GENERAL]],     A26,     CATEGORIAS[[#All],[COSTO REAL
ANTERIOR]]))</f>
        <v/>
      </c>
      <c r="J26" s="22" t="str">
        <f>IF(ISBLANK(A26),"",SUMIF(CATEGORIAS[[#All],[FORMATO
 GENERAL]],     A26,     CATEGORIAS[[#All],[COSTO REAL]]))</f>
        <v/>
      </c>
      <c r="K26" s="22" t="str">
        <f>IF(ISBLANK(A26),"",SUMIF(CATEGORIAS[[#All],[FORMATO
 GENERAL]],     A26,     CATEGORIAS[[#All],[TOTAL PRODUCCION
ACTUAL]]))</f>
        <v/>
      </c>
      <c r="L26" s="22" t="str">
        <f>IF(ISBLANK(A26),"",SUMIF(CATEGORIAS[[#All],[FORMATO
 GENERAL]],     A26,     CATEGORIAS[[#All],[PROYECCION
TOTAL DE COSTO]]))</f>
        <v/>
      </c>
      <c r="M26" s="23"/>
      <c r="N26" s="22" t="str">
        <f>IF(ISBLANK(A26),"",TRUNC(G26-J26-L26,2))</f>
        <v/>
      </c>
    </row>
    <row r="27" spans="1:14" ht="13.5" hidden="1" customHeight="1" x14ac:dyDescent="0.25">
      <c r="A27" s="70" t="s">
        <v>60</v>
      </c>
      <c r="B27" s="69"/>
      <c r="C27" s="25" t="s">
        <v>27</v>
      </c>
      <c r="D27" s="18"/>
      <c r="E27" s="22">
        <f>IF(ISBLANK(A27),"",     SUMIF(CATEGORIAS[[#All],[FORMATO
 GENERAL]],     A27,     CATEGORIAS[[#All],[PRESUPUESTO
(ORIGINAL)]]))</f>
        <v>0</v>
      </c>
      <c r="F27" s="22">
        <f>IF(ISBLANK(A27),"",G27-E27)</f>
        <v>0</v>
      </c>
      <c r="G27" s="22">
        <f>IF(ISBLANK(A27),"",SUMIF(CATEGORIAS[[#All],[FORMATO
 GENERAL]],     A27,       CATEGORIAS[[#All],[PRESUPUESTO
FINAL
PROYECTADO]]))</f>
        <v>0</v>
      </c>
      <c r="H27" s="23"/>
      <c r="I27" s="22">
        <f>IF(ISBLANK(A27),"",J27-SUMIF(CATEGORIAS[[#All],[FORMATO
 GENERAL]],     A27,     CATEGORIAS[[#All],[COSTO REAL
ANTERIOR]]))</f>
        <v>0</v>
      </c>
      <c r="J27" s="22">
        <f>IF(ISBLANK(A27),"",SUMIF(CATEGORIAS[[#All],[FORMATO
 GENERAL]],     A27,     CATEGORIAS[[#All],[COSTO REAL]]))</f>
        <v>0</v>
      </c>
      <c r="K27" s="22">
        <f>IF(ISBLANK(A27),"",SUMIF(CATEGORIAS[[#All],[FORMATO
 GENERAL]],     A27,     CATEGORIAS[[#All],[TOTAL PRODUCCION
ACTUAL]]))</f>
        <v>0</v>
      </c>
      <c r="L27" s="22">
        <f>IF(ISBLANK(A27),"",SUMIF(CATEGORIAS[[#All],[FORMATO
 GENERAL]],     A27,     CATEGORIAS[[#All],[PROYECCION
TOTAL DE COSTO]]))</f>
        <v>0</v>
      </c>
      <c r="M27" s="23"/>
      <c r="N27" s="22">
        <f>IF(ISBLANK(A27),"",TRUNC(G27-J27-L27,2))</f>
        <v>0</v>
      </c>
    </row>
    <row r="28" spans="1:14" ht="13.5" hidden="1" customHeight="1" x14ac:dyDescent="0.25">
      <c r="A28" s="70" t="s">
        <v>61</v>
      </c>
      <c r="B28" s="69"/>
      <c r="C28" s="25" t="s">
        <v>62</v>
      </c>
      <c r="D28" s="18"/>
      <c r="E28" s="22">
        <f>IF(ISBLANK(A28),"",     SUMIF(CATEGORIAS[[#All],[FORMATO
 GENERAL]],     A28,     CATEGORIAS[[#All],[PRESUPUESTO
(ORIGINAL)]]))</f>
        <v>0</v>
      </c>
      <c r="F28" s="22">
        <f>IF(ISBLANK(A28),"",G28-E28)</f>
        <v>0</v>
      </c>
      <c r="G28" s="22">
        <f>IF(ISBLANK(A28),"",SUMIF(CATEGORIAS[[#All],[FORMATO
 GENERAL]],     A28,       CATEGORIAS[[#All],[PRESUPUESTO
FINAL
PROYECTADO]]))</f>
        <v>0</v>
      </c>
      <c r="H28" s="23"/>
      <c r="I28" s="22">
        <f>IF(ISBLANK(A28),"",J28-SUMIF(CATEGORIAS[[#All],[FORMATO
 GENERAL]],     A28,     CATEGORIAS[[#All],[COSTO REAL
ANTERIOR]]))</f>
        <v>0</v>
      </c>
      <c r="J28" s="22">
        <f>IF(ISBLANK(A28),"",SUMIF(CATEGORIAS[[#All],[FORMATO
 GENERAL]],     A28,     CATEGORIAS[[#All],[COSTO REAL]]))</f>
        <v>0</v>
      </c>
      <c r="K28" s="22">
        <f>IF(ISBLANK(A28),"",SUMIF(CATEGORIAS[[#All],[FORMATO
 GENERAL]],     A28,     CATEGORIAS[[#All],[TOTAL PRODUCCION
ACTUAL]]))</f>
        <v>0</v>
      </c>
      <c r="L28" s="22">
        <f>IF(ISBLANK(A28),"",SUMIF(CATEGORIAS[[#All],[FORMATO
 GENERAL]],     A28,     CATEGORIAS[[#All],[PROYECCION
TOTAL DE COSTO]]))</f>
        <v>0</v>
      </c>
      <c r="M28" s="23"/>
      <c r="N28" s="22">
        <f>IF(ISBLANK(A28),"",TRUNC(G28-J28-L28,2))</f>
        <v>0</v>
      </c>
    </row>
    <row r="29" spans="1:14" ht="13.5" customHeight="1" x14ac:dyDescent="0.25">
      <c r="A29" s="70"/>
      <c r="B29" s="69" t="s">
        <v>63</v>
      </c>
      <c r="C29" s="26" t="s">
        <v>64</v>
      </c>
      <c r="D29" s="18"/>
      <c r="E29" s="22" t="str">
        <f>IF(ISBLANK(A29),"",     SUMIF(CATEGORIAS[[#All],[FORMATO
 GENERAL]],     A29,     CATEGORIAS[[#All],[PRESUPUESTO
(ORIGINAL)]]))</f>
        <v/>
      </c>
      <c r="F29" s="22" t="str">
        <f t="shared" si="0"/>
        <v/>
      </c>
      <c r="G29" s="22" t="str">
        <f>IF(ISBLANK(A29),"",SUMIF(CATEGORIAS[[#All],[FORMATO
 GENERAL]],     A29,       CATEGORIAS[[#All],[PRESUPUESTO
FINAL
PROYECTADO]]))</f>
        <v/>
      </c>
      <c r="H29" s="23"/>
      <c r="I29" s="22" t="str">
        <f>IF(ISBLANK(A29),"",J29-SUMIF(CATEGORIAS[[#All],[FORMATO
 GENERAL]],     A29,     CATEGORIAS[[#All],[COSTO REAL
ANTERIOR]]))</f>
        <v/>
      </c>
      <c r="J29" s="22" t="str">
        <f>IF(ISBLANK(A29),"",SUMIF(CATEGORIAS[[#All],[FORMATO
 GENERAL]],     A29,     CATEGORIAS[[#All],[COSTO REAL]]))</f>
        <v/>
      </c>
      <c r="K29" s="22" t="str">
        <f>IF(ISBLANK(A29),"",SUMIF(CATEGORIAS[[#All],[FORMATO
 GENERAL]],     A29,     CATEGORIAS[[#All],[TOTAL PRODUCCION
ACTUAL]]))</f>
        <v/>
      </c>
      <c r="L29" s="22" t="str">
        <f>IF(ISBLANK(A29),"",SUMIF(CATEGORIAS[[#All],[FORMATO
 GENERAL]],     A29,     CATEGORIAS[[#All],[PROYECCION
TOTAL DE COSTO]]))</f>
        <v/>
      </c>
      <c r="M29" s="23"/>
      <c r="N29" s="22" t="str">
        <f t="shared" si="1"/>
        <v/>
      </c>
    </row>
    <row r="30" spans="1:14" ht="13.5" customHeight="1" x14ac:dyDescent="0.25">
      <c r="A30" s="70" t="s">
        <v>65</v>
      </c>
      <c r="B30" s="69"/>
      <c r="C30" s="25" t="s">
        <v>27</v>
      </c>
      <c r="D30" s="18"/>
      <c r="E30" s="22">
        <f>IF(ISBLANK(A30),"",     SUMIF(CATEGORIAS[[#All],[FORMATO
 GENERAL]],     A30,     CATEGORIAS[[#All],[PRESUPUESTO
(ORIGINAL)]]))</f>
        <v>0</v>
      </c>
      <c r="F30" s="22">
        <f t="shared" si="0"/>
        <v>0</v>
      </c>
      <c r="G30" s="22">
        <f>IF(ISBLANK(A30),"",SUMIF(CATEGORIAS[[#All],[FORMATO
 GENERAL]],     A30,       CATEGORIAS[[#All],[PRESUPUESTO
FINAL
PROYECTADO]]))</f>
        <v>0</v>
      </c>
      <c r="H30" s="23"/>
      <c r="I30" s="22">
        <f>IF(ISBLANK(A30),"",J30-SUMIF(CATEGORIAS[[#All],[FORMATO
 GENERAL]],     A30,     CATEGORIAS[[#All],[COSTO REAL
ANTERIOR]]))</f>
        <v>0</v>
      </c>
      <c r="J30" s="22">
        <f>IF(ISBLANK(A30),"",SUMIF(CATEGORIAS[[#All],[FORMATO
 GENERAL]],     A30,     CATEGORIAS[[#All],[COSTO REAL]]))</f>
        <v>0</v>
      </c>
      <c r="K30" s="22">
        <f>IF(ISBLANK(A30),"",SUMIF(CATEGORIAS[[#All],[FORMATO
 GENERAL]],     A30,     CATEGORIAS[[#All],[TOTAL PRODUCCION
ACTUAL]]))</f>
        <v>0</v>
      </c>
      <c r="L30" s="22">
        <f>IF(ISBLANK(A30),"",SUMIF(CATEGORIAS[[#All],[FORMATO
 GENERAL]],     A30,     CATEGORIAS[[#All],[PROYECCION
TOTAL DE COSTO]]))</f>
        <v>0</v>
      </c>
      <c r="M30" s="23"/>
      <c r="N30" s="22">
        <f t="shared" si="1"/>
        <v>0</v>
      </c>
    </row>
    <row r="31" spans="1:14" ht="13.5" customHeight="1" x14ac:dyDescent="0.25">
      <c r="A31" s="70" t="s">
        <v>66</v>
      </c>
      <c r="B31" s="69"/>
      <c r="C31" s="25" t="s">
        <v>67</v>
      </c>
      <c r="D31" s="18"/>
      <c r="E31" s="22">
        <f>IF(ISBLANK(A31),"",     SUMIF(CATEGORIAS[[#All],[FORMATO
 GENERAL]],     A31,     CATEGORIAS[[#All],[PRESUPUESTO
(ORIGINAL)]]))</f>
        <v>0</v>
      </c>
      <c r="F31" s="22">
        <f t="shared" si="0"/>
        <v>0</v>
      </c>
      <c r="G31" s="22">
        <f>IF(ISBLANK(A31),"",SUMIF(CATEGORIAS[[#All],[FORMATO
 GENERAL]],     A31,       CATEGORIAS[[#All],[PRESUPUESTO
FINAL
PROYECTADO]]))</f>
        <v>0</v>
      </c>
      <c r="H31" s="23"/>
      <c r="I31" s="22">
        <f>IF(ISBLANK(A31),"",J31-SUMIF(CATEGORIAS[[#All],[FORMATO
 GENERAL]],     A31,     CATEGORIAS[[#All],[COSTO REAL
ANTERIOR]]))</f>
        <v>0</v>
      </c>
      <c r="J31" s="22">
        <f>IF(ISBLANK(A31),"",SUMIF(CATEGORIAS[[#All],[FORMATO
 GENERAL]],     A31,     CATEGORIAS[[#All],[COSTO REAL]]))</f>
        <v>0</v>
      </c>
      <c r="K31" s="22">
        <f>IF(ISBLANK(A31),"",SUMIF(CATEGORIAS[[#All],[FORMATO
 GENERAL]],     A31,     CATEGORIAS[[#All],[TOTAL PRODUCCION
ACTUAL]]))</f>
        <v>0</v>
      </c>
      <c r="L31" s="22">
        <f>IF(ISBLANK(A31),"",SUMIF(CATEGORIAS[[#All],[FORMATO
 GENERAL]],     A31,     CATEGORIAS[[#All],[PROYECCION
TOTAL DE COSTO]]))</f>
        <v>0</v>
      </c>
      <c r="M31" s="23"/>
      <c r="N31" s="22">
        <f t="shared" si="1"/>
        <v>0</v>
      </c>
    </row>
    <row r="32" spans="1:14" ht="13.5" customHeight="1" x14ac:dyDescent="0.25">
      <c r="A32" s="70"/>
      <c r="B32" s="69" t="s">
        <v>68</v>
      </c>
      <c r="C32" s="26" t="s">
        <v>69</v>
      </c>
      <c r="D32" s="18"/>
      <c r="E32" s="22" t="str">
        <f>IF(ISBLANK(A32),"",     SUMIF(CATEGORIAS[[#All],[FORMATO
 GENERAL]],     A32,     CATEGORIAS[[#All],[PRESUPUESTO
(ORIGINAL)]]))</f>
        <v/>
      </c>
      <c r="F32" s="22" t="str">
        <f t="shared" si="0"/>
        <v/>
      </c>
      <c r="G32" s="22" t="str">
        <f>IF(ISBLANK(A32),"",SUMIF(CATEGORIAS[[#All],[FORMATO
 GENERAL]],     A32,       CATEGORIAS[[#All],[PRESUPUESTO
FINAL
PROYECTADO]]))</f>
        <v/>
      </c>
      <c r="H32" s="23"/>
      <c r="I32" s="22" t="str">
        <f>IF(ISBLANK(A32),"",J32-SUMIF(CATEGORIAS[[#All],[FORMATO
 GENERAL]],     A32,     CATEGORIAS[[#All],[COSTO REAL
ANTERIOR]]))</f>
        <v/>
      </c>
      <c r="J32" s="22" t="str">
        <f>IF(ISBLANK(A32),"",SUMIF(CATEGORIAS[[#All],[FORMATO
 GENERAL]],     A32,     CATEGORIAS[[#All],[COSTO REAL]]))</f>
        <v/>
      </c>
      <c r="K32" s="22" t="str">
        <f>IF(ISBLANK(A32),"",SUMIF(CATEGORIAS[[#All],[FORMATO
 GENERAL]],     A32,     CATEGORIAS[[#All],[TOTAL PRODUCCION
ACTUAL]]))</f>
        <v/>
      </c>
      <c r="L32" s="22" t="str">
        <f>IF(ISBLANK(A32),"",SUMIF(CATEGORIAS[[#All],[FORMATO
 GENERAL]],     A32,     CATEGORIAS[[#All],[PROYECCION
TOTAL DE COSTO]]))</f>
        <v/>
      </c>
      <c r="M32" s="23"/>
      <c r="N32" s="22" t="str">
        <f t="shared" si="1"/>
        <v/>
      </c>
    </row>
    <row r="33" spans="1:14" ht="13.5" customHeight="1" x14ac:dyDescent="0.25">
      <c r="A33" s="70" t="s">
        <v>70</v>
      </c>
      <c r="B33" s="69"/>
      <c r="C33" s="25" t="s">
        <v>27</v>
      </c>
      <c r="D33" s="18"/>
      <c r="E33" s="22">
        <f>IF(ISBLANK(A33),"",     SUMIF(CATEGORIAS[[#All],[FORMATO
 GENERAL]],     A33,     CATEGORIAS[[#All],[PRESUPUESTO
(ORIGINAL)]]))</f>
        <v>0</v>
      </c>
      <c r="F33" s="22">
        <f t="shared" si="0"/>
        <v>0</v>
      </c>
      <c r="G33" s="22">
        <f>IF(ISBLANK(A33),"",SUMIF(CATEGORIAS[[#All],[FORMATO
 GENERAL]],     A33,       CATEGORIAS[[#All],[PRESUPUESTO
FINAL
PROYECTADO]]))</f>
        <v>0</v>
      </c>
      <c r="H33" s="23"/>
      <c r="I33" s="22">
        <f>IF(ISBLANK(A33),"",J33-SUMIF(CATEGORIAS[[#All],[FORMATO
 GENERAL]],     A33,     CATEGORIAS[[#All],[COSTO REAL
ANTERIOR]]))</f>
        <v>0</v>
      </c>
      <c r="J33" s="22">
        <f>IF(ISBLANK(A33),"",SUMIF(CATEGORIAS[[#All],[FORMATO
 GENERAL]],     A33,     CATEGORIAS[[#All],[COSTO REAL]]))</f>
        <v>0</v>
      </c>
      <c r="K33" s="22">
        <f>IF(ISBLANK(A33),"",SUMIF(CATEGORIAS[[#All],[FORMATO
 GENERAL]],     A33,     CATEGORIAS[[#All],[TOTAL PRODUCCION
ACTUAL]]))</f>
        <v>0</v>
      </c>
      <c r="L33" s="22">
        <f>IF(ISBLANK(A33),"",SUMIF(CATEGORIAS[[#All],[FORMATO
 GENERAL]],     A33,     CATEGORIAS[[#All],[PROYECCION
TOTAL DE COSTO]]))</f>
        <v>0</v>
      </c>
      <c r="M33" s="23"/>
      <c r="N33" s="22">
        <f t="shared" si="1"/>
        <v>0</v>
      </c>
    </row>
    <row r="34" spans="1:14" ht="13.5" hidden="1" customHeight="1" x14ac:dyDescent="0.25">
      <c r="A34" s="70"/>
      <c r="B34" s="69" t="s">
        <v>71</v>
      </c>
      <c r="C34" s="26" t="s">
        <v>72</v>
      </c>
      <c r="D34" s="18"/>
      <c r="E34" s="22" t="str">
        <f>IF(ISBLANK(A34),"",     SUMIF(CATEGORIAS[[#All],[FORMATO
 GENERAL]],     A34,     CATEGORIAS[[#All],[PRESUPUESTO
(ORIGINAL)]]))</f>
        <v/>
      </c>
      <c r="F34" s="22" t="str">
        <f t="shared" ref="F34:F39" si="2">IF(ISBLANK(A34),"",G34-E34)</f>
        <v/>
      </c>
      <c r="G34" s="22" t="str">
        <f>IF(ISBLANK(A34),"",SUMIF(CATEGORIAS[[#All],[FORMATO
 GENERAL]],     A34,       CATEGORIAS[[#All],[PRESUPUESTO
FINAL
PROYECTADO]]))</f>
        <v/>
      </c>
      <c r="H34" s="23"/>
      <c r="I34" s="22" t="str">
        <f>IF(ISBLANK(A34),"",J34-SUMIF(CATEGORIAS[[#All],[FORMATO
 GENERAL]],     A34,     CATEGORIAS[[#All],[COSTO REAL
ANTERIOR]]))</f>
        <v/>
      </c>
      <c r="J34" s="22" t="str">
        <f>IF(ISBLANK(A34),"",SUMIF(CATEGORIAS[[#All],[FORMATO
 GENERAL]],     A34,     CATEGORIAS[[#All],[COSTO REAL]]))</f>
        <v/>
      </c>
      <c r="K34" s="22" t="str">
        <f>IF(ISBLANK(A34),"",SUMIF(CATEGORIAS[[#All],[FORMATO
 GENERAL]],     A34,     CATEGORIAS[[#All],[TOTAL PRODUCCION
ACTUAL]]))</f>
        <v/>
      </c>
      <c r="L34" s="22" t="str">
        <f>IF(ISBLANK(A34),"",SUMIF(CATEGORIAS[[#All],[FORMATO
 GENERAL]],     A34,     CATEGORIAS[[#All],[PROYECCION
TOTAL DE COSTO]]))</f>
        <v/>
      </c>
      <c r="M34" s="23"/>
      <c r="N34" s="22" t="str">
        <f t="shared" ref="N34:N39" si="3">IF(ISBLANK(A34),"",TRUNC(G34-J34-L34,2))</f>
        <v/>
      </c>
    </row>
    <row r="35" spans="1:14" ht="13.5" hidden="1" customHeight="1" x14ac:dyDescent="0.25">
      <c r="A35" s="70" t="s">
        <v>73</v>
      </c>
      <c r="B35" s="69"/>
      <c r="C35" s="25" t="s">
        <v>27</v>
      </c>
      <c r="D35" s="18"/>
      <c r="E35" s="22">
        <f>IF(ISBLANK(A35),"",     SUMIF(CATEGORIAS[[#All],[FORMATO
 GENERAL]],     A35,     CATEGORIAS[[#All],[PRESUPUESTO
(ORIGINAL)]]))</f>
        <v>0</v>
      </c>
      <c r="F35" s="22">
        <f t="shared" si="2"/>
        <v>0</v>
      </c>
      <c r="G35" s="22">
        <f>IF(ISBLANK(A35),"",SUMIF(CATEGORIAS[[#All],[FORMATO
 GENERAL]],     A35,       CATEGORIAS[[#All],[PRESUPUESTO
FINAL
PROYECTADO]]))</f>
        <v>0</v>
      </c>
      <c r="H35" s="23"/>
      <c r="I35" s="22">
        <f>IF(ISBLANK(A35),"",J35-SUMIF(CATEGORIAS[[#All],[FORMATO
 GENERAL]],     A35,     CATEGORIAS[[#All],[COSTO REAL
ANTERIOR]]))</f>
        <v>0</v>
      </c>
      <c r="J35" s="22">
        <f>IF(ISBLANK(A35),"",SUMIF(CATEGORIAS[[#All],[FORMATO
 GENERAL]],     A35,     CATEGORIAS[[#All],[COSTO REAL]]))</f>
        <v>0</v>
      </c>
      <c r="K35" s="22">
        <f>IF(ISBLANK(A35),"",SUMIF(CATEGORIAS[[#All],[FORMATO
 GENERAL]],     A35,     CATEGORIAS[[#All],[TOTAL PRODUCCION
ACTUAL]]))</f>
        <v>0</v>
      </c>
      <c r="L35" s="22">
        <f>IF(ISBLANK(A35),"",SUMIF(CATEGORIAS[[#All],[FORMATO
 GENERAL]],     A35,     CATEGORIAS[[#All],[PROYECCION
TOTAL DE COSTO]]))</f>
        <v>0</v>
      </c>
      <c r="M35" s="23"/>
      <c r="N35" s="22">
        <f t="shared" si="3"/>
        <v>0</v>
      </c>
    </row>
    <row r="36" spans="1:14" ht="13.5" hidden="1" customHeight="1" x14ac:dyDescent="0.25">
      <c r="A36" s="70" t="s">
        <v>74</v>
      </c>
      <c r="B36" s="69"/>
      <c r="C36" s="25" t="s">
        <v>75</v>
      </c>
      <c r="D36" s="18"/>
      <c r="E36" s="22">
        <f>IF(ISBLANK(A36),"",     SUMIF(CATEGORIAS[[#All],[FORMATO
 GENERAL]],     A36,     CATEGORIAS[[#All],[PRESUPUESTO
(ORIGINAL)]]))</f>
        <v>0</v>
      </c>
      <c r="F36" s="22">
        <f t="shared" si="2"/>
        <v>0</v>
      </c>
      <c r="G36" s="22">
        <f>IF(ISBLANK(A36),"",SUMIF(CATEGORIAS[[#All],[FORMATO
 GENERAL]],     A36,       CATEGORIAS[[#All],[PRESUPUESTO
FINAL
PROYECTADO]]))</f>
        <v>0</v>
      </c>
      <c r="H36" s="23"/>
      <c r="I36" s="22">
        <f>IF(ISBLANK(A36),"",J36-SUMIF(CATEGORIAS[[#All],[FORMATO
 GENERAL]],     A36,     CATEGORIAS[[#All],[COSTO REAL
ANTERIOR]]))</f>
        <v>0</v>
      </c>
      <c r="J36" s="22">
        <f>IF(ISBLANK(A36),"",SUMIF(CATEGORIAS[[#All],[FORMATO
 GENERAL]],     A36,     CATEGORIAS[[#All],[COSTO REAL]]))</f>
        <v>0</v>
      </c>
      <c r="K36" s="22">
        <f>IF(ISBLANK(A36),"",SUMIF(CATEGORIAS[[#All],[FORMATO
 GENERAL]],     A36,     CATEGORIAS[[#All],[TOTAL PRODUCCION
ACTUAL]]))</f>
        <v>0</v>
      </c>
      <c r="L36" s="22">
        <f>IF(ISBLANK(A36),"",SUMIF(CATEGORIAS[[#All],[FORMATO
 GENERAL]],     A36,     CATEGORIAS[[#All],[PROYECCION
TOTAL DE COSTO]]))</f>
        <v>0</v>
      </c>
      <c r="M36" s="23"/>
      <c r="N36" s="22">
        <f t="shared" si="3"/>
        <v>0</v>
      </c>
    </row>
    <row r="37" spans="1:14" ht="13.5" hidden="1" customHeight="1" x14ac:dyDescent="0.25">
      <c r="A37" s="70"/>
      <c r="B37" s="69" t="s">
        <v>76</v>
      </c>
      <c r="C37" s="26" t="s">
        <v>77</v>
      </c>
      <c r="D37" s="18"/>
      <c r="E37" s="22" t="str">
        <f>IF(ISBLANK(A37),"",     SUMIF(CATEGORIAS[[#All],[FORMATO
 GENERAL]],     A37,     CATEGORIAS[[#All],[PRESUPUESTO
(ORIGINAL)]]))</f>
        <v/>
      </c>
      <c r="F37" s="22" t="str">
        <f t="shared" si="2"/>
        <v/>
      </c>
      <c r="G37" s="22" t="str">
        <f>IF(ISBLANK(A37),"",SUMIF(CATEGORIAS[[#All],[FORMATO
 GENERAL]],     A37,       CATEGORIAS[[#All],[PRESUPUESTO
FINAL
PROYECTADO]]))</f>
        <v/>
      </c>
      <c r="H37" s="23"/>
      <c r="I37" s="22" t="str">
        <f>IF(ISBLANK(A37),"",J37-SUMIF(CATEGORIAS[[#All],[FORMATO
 GENERAL]],     A37,     CATEGORIAS[[#All],[COSTO REAL
ANTERIOR]]))</f>
        <v/>
      </c>
      <c r="J37" s="22" t="str">
        <f>IF(ISBLANK(A37),"",SUMIF(CATEGORIAS[[#All],[FORMATO
 GENERAL]],     A37,     CATEGORIAS[[#All],[COSTO REAL]]))</f>
        <v/>
      </c>
      <c r="K37" s="22" t="str">
        <f>IF(ISBLANK(A37),"",SUMIF(CATEGORIAS[[#All],[FORMATO
 GENERAL]],     A37,     CATEGORIAS[[#All],[TOTAL PRODUCCION
ACTUAL]]))</f>
        <v/>
      </c>
      <c r="L37" s="22" t="str">
        <f>IF(ISBLANK(A37),"",SUMIF(CATEGORIAS[[#All],[FORMATO
 GENERAL]],     A37,     CATEGORIAS[[#All],[PROYECCION
TOTAL DE COSTO]]))</f>
        <v/>
      </c>
      <c r="M37" s="23"/>
      <c r="N37" s="22" t="str">
        <f t="shared" si="3"/>
        <v/>
      </c>
    </row>
    <row r="38" spans="1:14" ht="13.5" hidden="1" customHeight="1" x14ac:dyDescent="0.25">
      <c r="A38" s="70" t="s">
        <v>78</v>
      </c>
      <c r="B38" s="69"/>
      <c r="C38" s="25" t="s">
        <v>27</v>
      </c>
      <c r="D38" s="18"/>
      <c r="E38" s="22">
        <f>IF(ISBLANK(A38),"",     SUMIF(CATEGORIAS[[#All],[FORMATO
 GENERAL]],     A38,     CATEGORIAS[[#All],[PRESUPUESTO
(ORIGINAL)]]))</f>
        <v>0</v>
      </c>
      <c r="F38" s="22">
        <f t="shared" si="2"/>
        <v>0</v>
      </c>
      <c r="G38" s="22">
        <f>IF(ISBLANK(A38),"",SUMIF(CATEGORIAS[[#All],[FORMATO
 GENERAL]],     A38,       CATEGORIAS[[#All],[PRESUPUESTO
FINAL
PROYECTADO]]))</f>
        <v>0</v>
      </c>
      <c r="H38" s="23"/>
      <c r="I38" s="22">
        <f>IF(ISBLANK(A38),"",J38-SUMIF(CATEGORIAS[[#All],[FORMATO
 GENERAL]],     A38,     CATEGORIAS[[#All],[COSTO REAL
ANTERIOR]]))</f>
        <v>0</v>
      </c>
      <c r="J38" s="22">
        <f>IF(ISBLANK(A38),"",SUMIF(CATEGORIAS[[#All],[FORMATO
 GENERAL]],     A38,     CATEGORIAS[[#All],[COSTO REAL]]))</f>
        <v>0</v>
      </c>
      <c r="K38" s="22">
        <f>IF(ISBLANK(A38),"",SUMIF(CATEGORIAS[[#All],[FORMATO
 GENERAL]],     A38,     CATEGORIAS[[#All],[TOTAL PRODUCCION
ACTUAL]]))</f>
        <v>0</v>
      </c>
      <c r="L38" s="22">
        <f>IF(ISBLANK(A38),"",SUMIF(CATEGORIAS[[#All],[FORMATO
 GENERAL]],     A38,     CATEGORIAS[[#All],[PROYECCION
TOTAL DE COSTO]]))</f>
        <v>0</v>
      </c>
      <c r="M38" s="23"/>
      <c r="N38" s="22">
        <f t="shared" si="3"/>
        <v>0</v>
      </c>
    </row>
    <row r="39" spans="1:14" ht="13.5" hidden="1" customHeight="1" x14ac:dyDescent="0.25">
      <c r="A39" s="70" t="s">
        <v>79</v>
      </c>
      <c r="B39" s="69"/>
      <c r="C39" s="25" t="s">
        <v>80</v>
      </c>
      <c r="D39" s="18"/>
      <c r="E39" s="22">
        <f>IF(ISBLANK(A39),"",     SUMIF(CATEGORIAS[[#All],[FORMATO
 GENERAL]],     A39,     CATEGORIAS[[#All],[PRESUPUESTO
(ORIGINAL)]]))</f>
        <v>0</v>
      </c>
      <c r="F39" s="22">
        <f t="shared" si="2"/>
        <v>0</v>
      </c>
      <c r="G39" s="22">
        <f>IF(ISBLANK(A39),"",SUMIF(CATEGORIAS[[#All],[FORMATO
 GENERAL]],     A39,       CATEGORIAS[[#All],[PRESUPUESTO
FINAL
PROYECTADO]]))</f>
        <v>0</v>
      </c>
      <c r="H39" s="23"/>
      <c r="I39" s="22">
        <f>IF(ISBLANK(A39),"",J39-SUMIF(CATEGORIAS[[#All],[FORMATO
 GENERAL]],     A39,     CATEGORIAS[[#All],[COSTO REAL
ANTERIOR]]))</f>
        <v>0</v>
      </c>
      <c r="J39" s="22">
        <f>IF(ISBLANK(A39),"",SUMIF(CATEGORIAS[[#All],[FORMATO
 GENERAL]],     A39,     CATEGORIAS[[#All],[COSTO REAL]]))</f>
        <v>0</v>
      </c>
      <c r="K39" s="22">
        <f>IF(ISBLANK(A39),"",SUMIF(CATEGORIAS[[#All],[FORMATO
 GENERAL]],     A39,     CATEGORIAS[[#All],[TOTAL PRODUCCION
ACTUAL]]))</f>
        <v>0</v>
      </c>
      <c r="L39" s="22">
        <f>IF(ISBLANK(A39),"",SUMIF(CATEGORIAS[[#All],[FORMATO
 GENERAL]],     A39,     CATEGORIAS[[#All],[PROYECCION
TOTAL DE COSTO]]))</f>
        <v>0</v>
      </c>
      <c r="M39" s="23"/>
      <c r="N39" s="22">
        <f t="shared" si="3"/>
        <v>0</v>
      </c>
    </row>
    <row r="40" spans="1:14" ht="13.5" customHeight="1" x14ac:dyDescent="0.25">
      <c r="A40" s="70"/>
      <c r="B40" s="69" t="s">
        <v>81</v>
      </c>
      <c r="C40" s="26" t="s">
        <v>82</v>
      </c>
      <c r="D40" s="18"/>
      <c r="E40" s="22" t="str">
        <f>IF(ISBLANK(A40),"",     SUMIF(CATEGORIAS[[#All],[FORMATO
 GENERAL]],     A40,     CATEGORIAS[[#All],[PRESUPUESTO
(ORIGINAL)]]))</f>
        <v/>
      </c>
      <c r="F40" s="22" t="str">
        <f t="shared" si="0"/>
        <v/>
      </c>
      <c r="G40" s="22" t="str">
        <f>IF(ISBLANK(A40),"",SUMIF(CATEGORIAS[[#All],[FORMATO
 GENERAL]],     A40,       CATEGORIAS[[#All],[PRESUPUESTO
FINAL
PROYECTADO]]))</f>
        <v/>
      </c>
      <c r="H40" s="23"/>
      <c r="I40" s="22" t="str">
        <f>IF(ISBLANK(A40),"",J40-SUMIF(CATEGORIAS[[#All],[FORMATO
 GENERAL]],     A40,     CATEGORIAS[[#All],[COSTO REAL
ANTERIOR]]))</f>
        <v/>
      </c>
      <c r="J40" s="22" t="str">
        <f>IF(ISBLANK(A40),"",SUMIF(CATEGORIAS[[#All],[FORMATO
 GENERAL]],     A40,     CATEGORIAS[[#All],[COSTO REAL]]))</f>
        <v/>
      </c>
      <c r="K40" s="22" t="str">
        <f>IF(ISBLANK(A40),"",SUMIF(CATEGORIAS[[#All],[FORMATO
 GENERAL]],     A40,     CATEGORIAS[[#All],[TOTAL PRODUCCION
ACTUAL]]))</f>
        <v/>
      </c>
      <c r="L40" s="22" t="str">
        <f>IF(ISBLANK(A40),"",SUMIF(CATEGORIAS[[#All],[FORMATO
 GENERAL]],     A40,     CATEGORIAS[[#All],[PROYECCION
TOTAL DE COSTO]]))</f>
        <v/>
      </c>
      <c r="M40" s="23"/>
      <c r="N40" s="22" t="str">
        <f t="shared" si="1"/>
        <v/>
      </c>
    </row>
    <row r="41" spans="1:14" ht="13.5" customHeight="1" x14ac:dyDescent="0.25">
      <c r="A41" s="70" t="s">
        <v>83</v>
      </c>
      <c r="B41" s="69"/>
      <c r="C41" s="25" t="s">
        <v>84</v>
      </c>
      <c r="D41" s="18"/>
      <c r="E41" s="22">
        <f>IF(ISBLANK(A41),"",     SUMIF(CATEGORIAS[[#All],[FORMATO
 GENERAL]],     A41,     CATEGORIAS[[#All],[PRESUPUESTO
(ORIGINAL)]]))</f>
        <v>133254783.32614532</v>
      </c>
      <c r="F41" s="22">
        <f t="shared" si="0"/>
        <v>5084246.4459188282</v>
      </c>
      <c r="G41" s="22">
        <f>IF(ISBLANK(A41),"",SUMIF(CATEGORIAS[[#All],[FORMATO
 GENERAL]],     A41,       CATEGORIAS[[#All],[PRESUPUESTO
FINAL
PROYECTADO]]))</f>
        <v>138339029.77206415</v>
      </c>
      <c r="H41" s="23"/>
      <c r="I41" s="22">
        <f>IF(ISBLANK(A41),"",J41-SUMIF(CATEGORIAS[[#All],[FORMATO
 GENERAL]],     A41,     CATEGORIAS[[#All],[COSTO REAL
ANTERIOR]]))</f>
        <v>0</v>
      </c>
      <c r="J41" s="22">
        <f>IF(ISBLANK(A41),"",SUMIF(CATEGORIAS[[#All],[FORMATO
 GENERAL]],     A41,     CATEGORIAS[[#All],[COSTO REAL]]))</f>
        <v>199139273.3666665</v>
      </c>
      <c r="K41" s="22">
        <f>IF(ISBLANK(A41),"",SUMIF(CATEGORIAS[[#All],[FORMATO
 GENERAL]],     A41,     CATEGORIAS[[#All],[TOTAL PRODUCCION
ACTUAL]]))</f>
        <v>138339029.77206415</v>
      </c>
      <c r="L41" s="22">
        <f>IF(ISBLANK(A41),"",SUMIF(CATEGORIAS[[#All],[FORMATO
 GENERAL]],     A41,     CATEGORIAS[[#All],[PROYECCION
TOTAL DE COSTO]]))</f>
        <v>0</v>
      </c>
      <c r="M41" s="23"/>
      <c r="N41" s="22">
        <f t="shared" si="1"/>
        <v>-60800243.590000004</v>
      </c>
    </row>
    <row r="42" spans="1:14" ht="13.5" customHeight="1" x14ac:dyDescent="0.25">
      <c r="A42" s="70" t="s">
        <v>85</v>
      </c>
      <c r="B42" s="69" t="s">
        <v>86</v>
      </c>
      <c r="C42" s="25" t="s">
        <v>2386</v>
      </c>
      <c r="D42" s="18"/>
      <c r="E42" s="22">
        <f>IF(ISBLANK(A42),"",     SUMIF(CATEGORIAS[[#All],[FORMATO
 GENERAL]],     A42,     CATEGORIAS[[#All],[PRESUPUESTO
(ORIGINAL)]]))</f>
        <v>55445822.578890182</v>
      </c>
      <c r="F42" s="22">
        <f t="shared" si="0"/>
        <v>8479996.7036167905</v>
      </c>
      <c r="G42" s="22">
        <f>IF(ISBLANK(A42),"",SUMIF(CATEGORIAS[[#All],[FORMATO
 GENERAL]],     A42,       CATEGORIAS[[#All],[PRESUPUESTO
FINAL
PROYECTADO]]))</f>
        <v>63925819.282506973</v>
      </c>
      <c r="H42" s="23"/>
      <c r="I42" s="22">
        <f>IF(ISBLANK(A42),"",J42-SUMIF(CATEGORIAS[[#All],[FORMATO
 GENERAL]],     A42,     CATEGORIAS[[#All],[COSTO REAL
ANTERIOR]]))</f>
        <v>0</v>
      </c>
      <c r="J42" s="22">
        <f>IF(ISBLANK(A42),"",SUMIF(CATEGORIAS[[#All],[FORMATO
 GENERAL]],     A42,     CATEGORIAS[[#All],[COSTO REAL]]))</f>
        <v>55284127.420000002</v>
      </c>
      <c r="K42" s="22">
        <f>IF(ISBLANK(A42),"",SUMIF(CATEGORIAS[[#All],[FORMATO
 GENERAL]],     A42,     CATEGORIAS[[#All],[TOTAL PRODUCCION
ACTUAL]]))</f>
        <v>63925819.282506973</v>
      </c>
      <c r="L42" s="22">
        <f>IF(ISBLANK(A42),"",SUMIF(CATEGORIAS[[#All],[FORMATO
 GENERAL]],     A42,     CATEGORIAS[[#All],[PROYECCION
TOTAL DE COSTO]]))</f>
        <v>0</v>
      </c>
      <c r="M42" s="23"/>
      <c r="N42" s="22">
        <f t="shared" si="1"/>
        <v>8641691.8599999994</v>
      </c>
    </row>
    <row r="43" spans="1:14" ht="13.5" hidden="1" customHeight="1" x14ac:dyDescent="0.25">
      <c r="A43" s="70" t="s">
        <v>87</v>
      </c>
      <c r="B43" s="69"/>
      <c r="C43" s="25" t="s">
        <v>88</v>
      </c>
      <c r="D43" s="18"/>
      <c r="E43" s="22">
        <f>IF(ISBLANK(A43),"",     SUMIF(CATEGORIAS[[#All],[FORMATO
 GENERAL]],     A43,     CATEGORIAS[[#All],[PRESUPUESTO
(ORIGINAL)]]))</f>
        <v>0</v>
      </c>
      <c r="F43" s="22">
        <f t="shared" si="0"/>
        <v>0</v>
      </c>
      <c r="G43" s="22">
        <f>IF(ISBLANK(A43),"",SUMIF(CATEGORIAS[[#All],[FORMATO
 GENERAL]],     A43,       CATEGORIAS[[#All],[PRESUPUESTO
FINAL
PROYECTADO]]))</f>
        <v>0</v>
      </c>
      <c r="H43" s="23"/>
      <c r="I43" s="22">
        <f>IF(ISBLANK(A43),"",J43-SUMIF(CATEGORIAS[[#All],[FORMATO
 GENERAL]],     A43,     CATEGORIAS[[#All],[COSTO REAL
ANTERIOR]]))</f>
        <v>0</v>
      </c>
      <c r="J43" s="22">
        <f>IF(ISBLANK(A43),"",SUMIF(CATEGORIAS[[#All],[FORMATO
 GENERAL]],     A43,     CATEGORIAS[[#All],[COSTO REAL]]))</f>
        <v>0</v>
      </c>
      <c r="K43" s="22">
        <f>IF(ISBLANK(A43),"",SUMIF(CATEGORIAS[[#All],[FORMATO
 GENERAL]],     A43,     CATEGORIAS[[#All],[TOTAL PRODUCCION
ACTUAL]]))</f>
        <v>0</v>
      </c>
      <c r="L43" s="22">
        <f>IF(ISBLANK(A43),"",SUMIF(CATEGORIAS[[#All],[FORMATO
 GENERAL]],     A43,     CATEGORIAS[[#All],[PROYECCION
TOTAL DE COSTO]]))</f>
        <v>0</v>
      </c>
      <c r="M43" s="23"/>
      <c r="N43" s="22">
        <f t="shared" si="1"/>
        <v>0</v>
      </c>
    </row>
    <row r="44" spans="1:14" ht="13.5" customHeight="1" x14ac:dyDescent="0.25">
      <c r="A44" s="70" t="s">
        <v>89</v>
      </c>
      <c r="B44" s="69"/>
      <c r="C44" s="25" t="s">
        <v>90</v>
      </c>
      <c r="D44" s="18"/>
      <c r="E44" s="22">
        <f>IF(ISBLANK(A44),"",     SUMIF(CATEGORIAS[[#All],[FORMATO
 GENERAL]],     A44,     CATEGORIAS[[#All],[PRESUPUESTO
(ORIGINAL)]]))</f>
        <v>49460193.317142844</v>
      </c>
      <c r="F44" s="22">
        <f t="shared" si="0"/>
        <v>9118898.3656649441</v>
      </c>
      <c r="G44" s="22">
        <f>IF(ISBLANK(A44),"",SUMIF(CATEGORIAS[[#All],[FORMATO
 GENERAL]],     A44,       CATEGORIAS[[#All],[PRESUPUESTO
FINAL
PROYECTADO]]))</f>
        <v>58579091.682807788</v>
      </c>
      <c r="H44" s="23"/>
      <c r="I44" s="22">
        <f>IF(ISBLANK(A44),"",J44-SUMIF(CATEGORIAS[[#All],[FORMATO
 GENERAL]],     A44,     CATEGORIAS[[#All],[COSTO REAL
ANTERIOR]]))</f>
        <v>-7606773</v>
      </c>
      <c r="J44" s="22">
        <f>IF(ISBLANK(A44),"",SUMIF(CATEGORIAS[[#All],[FORMATO
 GENERAL]],     A44,     CATEGORIAS[[#All],[COSTO REAL]]))</f>
        <v>65116448</v>
      </c>
      <c r="K44" s="22">
        <f>IF(ISBLANK(A44),"",SUMIF(CATEGORIAS[[#All],[FORMATO
 GENERAL]],     A44,     CATEGORIAS[[#All],[TOTAL PRODUCCION
ACTUAL]]))</f>
        <v>58579091.682807788</v>
      </c>
      <c r="L44" s="22">
        <f>IF(ISBLANK(A44),"",SUMIF(CATEGORIAS[[#All],[FORMATO
 GENERAL]],     A44,     CATEGORIAS[[#All],[PROYECCION
TOTAL DE COSTO]]))</f>
        <v>0</v>
      </c>
      <c r="M44" s="23"/>
      <c r="N44" s="22">
        <f t="shared" si="1"/>
        <v>-6537356.3099999996</v>
      </c>
    </row>
    <row r="45" spans="1:14" ht="13.5" customHeight="1" x14ac:dyDescent="0.25">
      <c r="A45" s="70" t="s">
        <v>91</v>
      </c>
      <c r="B45" s="69"/>
      <c r="C45" s="25" t="s">
        <v>92</v>
      </c>
      <c r="D45" s="18"/>
      <c r="E45" s="22">
        <f>IF(ISBLANK(A45),"",     SUMIF(CATEGORIAS[[#All],[FORMATO
 GENERAL]],     A45,     CATEGORIAS[[#All],[PRESUPUESTO
(ORIGINAL)]]))</f>
        <v>12103994.75785714</v>
      </c>
      <c r="F45" s="22">
        <f>IF(ISBLANK(A45),"",G45-E45)</f>
        <v>1517057.4776371159</v>
      </c>
      <c r="G45" s="22">
        <f>IF(ISBLANK(A45),"",SUMIF(CATEGORIAS[[#All],[FORMATO
 GENERAL]],     A45,       CATEGORIAS[[#All],[PRESUPUESTO
FINAL
PROYECTADO]]))</f>
        <v>13621052.235494256</v>
      </c>
      <c r="H45" s="23"/>
      <c r="I45" s="22">
        <f>IF(ISBLANK(A45),"",J45-SUMIF(CATEGORIAS[[#All],[FORMATO
 GENERAL]],     A45,     CATEGORIAS[[#All],[COSTO REAL
ANTERIOR]]))</f>
        <v>-5064484</v>
      </c>
      <c r="J45" s="22">
        <f>IF(ISBLANK(A45),"",SUMIF(CATEGORIAS[[#All],[FORMATO
 GENERAL]],     A45,     CATEGORIAS[[#All],[COSTO REAL]]))</f>
        <v>19527807.213078432</v>
      </c>
      <c r="K45" s="22">
        <f>IF(ISBLANK(A45),"",SUMIF(CATEGORIAS[[#All],[FORMATO
 GENERAL]],     A45,     CATEGORIAS[[#All],[TOTAL PRODUCCION
ACTUAL]]))</f>
        <v>13621052.235494256</v>
      </c>
      <c r="L45" s="22">
        <f>IF(ISBLANK(A45),"",SUMIF(CATEGORIAS[[#All],[FORMATO
 GENERAL]],     A45,     CATEGORIAS[[#All],[PROYECCION
TOTAL DE COSTO]]))</f>
        <v>0</v>
      </c>
      <c r="M45" s="23"/>
      <c r="N45" s="22">
        <f>IF(ISBLANK(A45),"",TRUNC(G45-J45-L45,2))</f>
        <v>-5906754.9699999997</v>
      </c>
    </row>
    <row r="46" spans="1:14" ht="13.5" customHeight="1" x14ac:dyDescent="0.25">
      <c r="A46" s="70" t="s">
        <v>93</v>
      </c>
      <c r="B46" s="69"/>
      <c r="C46" s="25" t="s">
        <v>94</v>
      </c>
      <c r="D46" s="18"/>
      <c r="E46" s="22">
        <f>IF(ISBLANK(A46),"",     SUMIF(CATEGORIAS[[#All],[FORMATO
 GENERAL]],     A46,     CATEGORIAS[[#All],[PRESUPUESTO
(ORIGINAL)]]))</f>
        <v>8347786.981428571</v>
      </c>
      <c r="F46" s="22">
        <f t="shared" si="0"/>
        <v>10169315.592504721</v>
      </c>
      <c r="G46" s="22">
        <f>IF(ISBLANK(A46),"",SUMIF(CATEGORIAS[[#All],[FORMATO
 GENERAL]],     A46,       CATEGORIAS[[#All],[PRESUPUESTO
FINAL
PROYECTADO]]))</f>
        <v>18517102.573933292</v>
      </c>
      <c r="H46" s="23"/>
      <c r="I46" s="22">
        <f>IF(ISBLANK(A46),"",J46-SUMIF(CATEGORIAS[[#All],[FORMATO
 GENERAL]],     A46,     CATEGORIAS[[#All],[COSTO REAL
ANTERIOR]]))</f>
        <v>25082986</v>
      </c>
      <c r="J46" s="22">
        <f>IF(ISBLANK(A46),"",SUMIF(CATEGORIAS[[#All],[FORMATO
 GENERAL]],     A46,     CATEGORIAS[[#All],[COSTO REAL]]))</f>
        <v>76380238</v>
      </c>
      <c r="K46" s="22">
        <f>IF(ISBLANK(A46),"",SUMIF(CATEGORIAS[[#All],[FORMATO
 GENERAL]],     A46,     CATEGORIAS[[#All],[TOTAL PRODUCCION
ACTUAL]]))</f>
        <v>18517102.573933292</v>
      </c>
      <c r="L46" s="22">
        <f>IF(ISBLANK(A46),"",SUMIF(CATEGORIAS[[#All],[FORMATO
 GENERAL]],     A46,     CATEGORIAS[[#All],[PROYECCION
TOTAL DE COSTO]]))</f>
        <v>0</v>
      </c>
      <c r="M46" s="23"/>
      <c r="N46" s="22">
        <f t="shared" si="1"/>
        <v>-57863135.420000002</v>
      </c>
    </row>
    <row r="47" spans="1:14" ht="13.5" hidden="1" customHeight="1" x14ac:dyDescent="0.25">
      <c r="A47" s="70" t="s">
        <v>95</v>
      </c>
      <c r="B47" s="69"/>
      <c r="C47" s="25" t="s">
        <v>96</v>
      </c>
      <c r="D47" s="18"/>
      <c r="E47" s="22">
        <f>IF(ISBLANK(A47),"",     SUMIF(CATEGORIAS[[#All],[FORMATO
 GENERAL]],     A47,     CATEGORIAS[[#All],[PRESUPUESTO
(ORIGINAL)]]))</f>
        <v>0</v>
      </c>
      <c r="F47" s="22">
        <f t="shared" ref="F47" si="4">IF(ISBLANK(A47),"",G47-E47)</f>
        <v>0</v>
      </c>
      <c r="G47" s="22">
        <f>IF(ISBLANK(A47),"",SUMIF(CATEGORIAS[[#All],[FORMATO
 GENERAL]],     A47,       CATEGORIAS[[#All],[PRESUPUESTO
FINAL
PROYECTADO]]))</f>
        <v>0</v>
      </c>
      <c r="H47" s="23"/>
      <c r="I47" s="22">
        <f>IF(ISBLANK(A47),"",J47-SUMIF(CATEGORIAS[[#All],[FORMATO
 GENERAL]],     A47,     CATEGORIAS[[#All],[COSTO REAL
ANTERIOR]]))</f>
        <v>0</v>
      </c>
      <c r="J47" s="22">
        <f>IF(ISBLANK(A47),"",SUMIF(CATEGORIAS[[#All],[FORMATO
 GENERAL]],     A47,     CATEGORIAS[[#All],[COSTO REAL]]))</f>
        <v>0</v>
      </c>
      <c r="K47" s="22">
        <f>IF(ISBLANK(A47),"",SUMIF(CATEGORIAS[[#All],[FORMATO
 GENERAL]],     A47,     CATEGORIAS[[#All],[TOTAL PRODUCCION
ACTUAL]]))</f>
        <v>0</v>
      </c>
      <c r="L47" s="22">
        <f>IF(ISBLANK(A47),"",SUMIF(CATEGORIAS[[#All],[FORMATO
 GENERAL]],     A47,     CATEGORIAS[[#All],[PROYECCION
TOTAL DE COSTO]]))</f>
        <v>0</v>
      </c>
      <c r="M47" s="23"/>
      <c r="N47" s="22">
        <f t="shared" ref="N47" si="5">IF(ISBLANK(A47),"",TRUNC(G47-J47-L47,2))</f>
        <v>0</v>
      </c>
    </row>
    <row r="48" spans="1:14" ht="13.5" customHeight="1" x14ac:dyDescent="0.25">
      <c r="A48" s="70" t="s">
        <v>97</v>
      </c>
      <c r="B48" s="69"/>
      <c r="C48" s="25" t="s">
        <v>98</v>
      </c>
      <c r="D48" s="18"/>
      <c r="E48" s="22">
        <f>IF(ISBLANK(A48),"",     SUMIF(CATEGORIAS[[#All],[FORMATO
 GENERAL]],     A48,     CATEGORIAS[[#All],[PRESUPUESTO
(ORIGINAL)]]))</f>
        <v>180048876.79006767</v>
      </c>
      <c r="F48" s="22">
        <f t="shared" si="0"/>
        <v>22146845.20042485</v>
      </c>
      <c r="G48" s="22">
        <f>IF(ISBLANK(A48),"",SUMIF(CATEGORIAS[[#All],[FORMATO
 GENERAL]],     A48,       CATEGORIAS[[#All],[PRESUPUESTO
FINAL
PROYECTADO]]))</f>
        <v>202195721.99049252</v>
      </c>
      <c r="H48" s="23"/>
      <c r="I48" s="22">
        <f>IF(ISBLANK(A48),"",J48-SUMIF(CATEGORIAS[[#All],[FORMATO
 GENERAL]],     A48,     CATEGORIAS[[#All],[COSTO REAL
ANTERIOR]]))</f>
        <v>50400</v>
      </c>
      <c r="J48" s="22">
        <f>IF(ISBLANK(A48),"",SUMIF(CATEGORIAS[[#All],[FORMATO
 GENERAL]],     A48,     CATEGORIAS[[#All],[COSTO REAL]]))</f>
        <v>211932874</v>
      </c>
      <c r="K48" s="22">
        <f>IF(ISBLANK(A48),"",SUMIF(CATEGORIAS[[#All],[FORMATO
 GENERAL]],     A48,     CATEGORIAS[[#All],[TOTAL PRODUCCION
ACTUAL]]))</f>
        <v>202195721.99049252</v>
      </c>
      <c r="L48" s="22">
        <f>IF(ISBLANK(A48),"",SUMIF(CATEGORIAS[[#All],[FORMATO
 GENERAL]],     A48,     CATEGORIAS[[#All],[PROYECCION
TOTAL DE COSTO]]))</f>
        <v>0</v>
      </c>
      <c r="M48" s="23"/>
      <c r="N48" s="22">
        <f t="shared" si="1"/>
        <v>-9737152</v>
      </c>
    </row>
    <row r="49" spans="1:14" ht="13.5" customHeight="1" x14ac:dyDescent="0.25">
      <c r="A49" s="70"/>
      <c r="B49" s="69"/>
      <c r="C49" s="21" t="s">
        <v>99</v>
      </c>
      <c r="D49" s="18"/>
      <c r="E49" s="22" t="str">
        <f>IF(ISBLANK(A49),"",     SUMIF(CATEGORIAS[[#All],[FORMATO
 GENERAL]],     A49,     CATEGORIAS[[#All],[PRESUPUESTO
(ORIGINAL)]]))</f>
        <v/>
      </c>
      <c r="F49" s="22" t="str">
        <f t="shared" si="0"/>
        <v/>
      </c>
      <c r="G49" s="22" t="str">
        <f>IF(ISBLANK(A49),"",SUMIF(CATEGORIAS[[#All],[FORMATO
 GENERAL]],     A49,       CATEGORIAS[[#All],[PRESUPUESTO
FINAL
PROYECTADO]]))</f>
        <v/>
      </c>
      <c r="H49" s="23"/>
      <c r="I49" s="22" t="str">
        <f>IF(ISBLANK(A49),"",J49-SUMIF(CATEGORIAS[[#All],[FORMATO
 GENERAL]],     A49,     CATEGORIAS[[#All],[COSTO REAL
ANTERIOR]]))</f>
        <v/>
      </c>
      <c r="J49" s="22" t="str">
        <f>IF(ISBLANK(A49),"",SUMIF(CATEGORIAS[[#All],[FORMATO
 GENERAL]],     A49,     CATEGORIAS[[#All],[COSTO REAL]]))</f>
        <v/>
      </c>
      <c r="K49" s="22" t="str">
        <f>IF(ISBLANK(A49),"",SUMIF(CATEGORIAS[[#All],[FORMATO
 GENERAL]],     A49,     CATEGORIAS[[#All],[TOTAL PRODUCCION
ACTUAL]]))</f>
        <v/>
      </c>
      <c r="L49" s="22" t="str">
        <f>IF(ISBLANK(A49),"",SUMIF(CATEGORIAS[[#All],[FORMATO
 GENERAL]],     A49,     CATEGORIAS[[#All],[PROYECCION
TOTAL DE COSTO]]))</f>
        <v/>
      </c>
      <c r="M49" s="23"/>
      <c r="N49" s="22" t="str">
        <f t="shared" si="1"/>
        <v/>
      </c>
    </row>
    <row r="50" spans="1:14" ht="13.5" customHeight="1" x14ac:dyDescent="0.25">
      <c r="A50" s="70" t="s">
        <v>100</v>
      </c>
      <c r="B50" s="69" t="s">
        <v>101</v>
      </c>
      <c r="C50" s="21" t="s">
        <v>102</v>
      </c>
      <c r="D50" s="18"/>
      <c r="E50" s="27">
        <f>IF(ISBLANK(A50),"",     SUMIF(CATEGORIAS[[#All],[FORMATO
 GENERAL]],     A50,     CATEGORIAS[[#All],[PRESUPUESTO
(ORIGINAL)]]))</f>
        <v>825206144.46633112</v>
      </c>
      <c r="F50" s="27">
        <f t="shared" si="0"/>
        <v>180540808.45988286</v>
      </c>
      <c r="G50" s="27">
        <f>IF(ISBLANK(A50),"",SUMIF(CATEGORIAS[[#All],[FORMATO
 GENERAL]],     A50,       CATEGORIAS[[#All],[PRESUPUESTO
FINAL
PROYECTADO]]))</f>
        <v>1005746952.926214</v>
      </c>
      <c r="H50" s="31"/>
      <c r="I50" s="27">
        <f>IF(ISBLANK(A50),"",J50-SUMIF(CATEGORIAS[[#All],[FORMATO
 GENERAL]],     A50,     CATEGORIAS[[#All],[COSTO REAL
ANTERIOR]]))</f>
        <v>-5501231</v>
      </c>
      <c r="J50" s="27">
        <f>IF(ISBLANK(A50),"",SUMIF(CATEGORIAS[[#All],[FORMATO
 GENERAL]],     A50,     CATEGORIAS[[#All],[COSTO REAL]]))</f>
        <v>718626203.34471464</v>
      </c>
      <c r="K50" s="27">
        <f>IF(ISBLANK(A50),"",SUMIF(CATEGORIAS[[#All],[FORMATO
 GENERAL]],     A50,     CATEGORIAS[[#All],[TOTAL PRODUCCION
ACTUAL]]))</f>
        <v>1005746952.926214</v>
      </c>
      <c r="L50" s="27">
        <f>IF(ISBLANK(A50),"",SUMIF(CATEGORIAS[[#All],[FORMATO
 GENERAL]],     A50,     CATEGORIAS[[#All],[PROYECCION
TOTAL DE COSTO]]))</f>
        <v>0</v>
      </c>
      <c r="M50" s="23"/>
      <c r="N50" s="22">
        <f t="shared" si="1"/>
        <v>287120749.57999998</v>
      </c>
    </row>
    <row r="51" spans="1:14" ht="13.5" customHeight="1" x14ac:dyDescent="0.25">
      <c r="A51" s="70" t="s">
        <v>103</v>
      </c>
      <c r="B51" s="69" t="s">
        <v>104</v>
      </c>
      <c r="C51" s="21" t="s">
        <v>105</v>
      </c>
      <c r="D51" s="18"/>
      <c r="E51" s="27">
        <f>IF(ISBLANK(A51),"",     SUMIF(CATEGORIAS[[#All],[FORMATO
 GENERAL]],     A51,     CATEGORIAS[[#All],[PRESUPUESTO
(ORIGINAL)]]))</f>
        <v>110221472.6512</v>
      </c>
      <c r="F51" s="27">
        <f t="shared" si="0"/>
        <v>128459344.52734521</v>
      </c>
      <c r="G51" s="27">
        <f>IF(ISBLANK(A51),"",SUMIF(CATEGORIAS[[#All],[FORMATO
 GENERAL]],     A51,       CATEGORIAS[[#All],[PRESUPUESTO
FINAL
PROYECTADO]]))</f>
        <v>238680817.17854521</v>
      </c>
      <c r="H51" s="31"/>
      <c r="I51" s="27">
        <f>IF(ISBLANK(A51),"",J51-SUMIF(CATEGORIAS[[#All],[FORMATO
 GENERAL]],     A51,     CATEGORIAS[[#All],[COSTO REAL
ANTERIOR]]))</f>
        <v>3335540</v>
      </c>
      <c r="J51" s="27">
        <f>IF(ISBLANK(A51),"",SUMIF(CATEGORIAS[[#All],[FORMATO
 GENERAL]],     A51,     CATEGORIAS[[#All],[COSTO REAL]]))</f>
        <v>187957917.34266669</v>
      </c>
      <c r="K51" s="27">
        <f>IF(ISBLANK(A51),"",SUMIF(CATEGORIAS[[#All],[FORMATO
 GENERAL]],     A51,     CATEGORIAS[[#All],[TOTAL PRODUCCION
ACTUAL]]))</f>
        <v>238680817.17854521</v>
      </c>
      <c r="L51" s="27">
        <f>IF(ISBLANK(A51),"",SUMIF(CATEGORIAS[[#All],[FORMATO
 GENERAL]],     A51,     CATEGORIAS[[#All],[PROYECCION
TOTAL DE COSTO]]))</f>
        <v>0</v>
      </c>
      <c r="M51" s="23"/>
      <c r="N51" s="22">
        <f t="shared" si="1"/>
        <v>50722899.829999998</v>
      </c>
    </row>
    <row r="52" spans="1:14" ht="13.5" customHeight="1" x14ac:dyDescent="0.25">
      <c r="A52" s="70" t="s">
        <v>106</v>
      </c>
      <c r="B52" s="69" t="s">
        <v>107</v>
      </c>
      <c r="C52" s="21" t="s">
        <v>108</v>
      </c>
      <c r="D52" s="18"/>
      <c r="E52" s="27">
        <f>IF(ISBLANK(A52),"",     SUMIF(CATEGORIAS[[#All],[FORMATO
 GENERAL]],     A52,     CATEGORIAS[[#All],[PRESUPUESTO
(ORIGINAL)]]))</f>
        <v>135754532.50963384</v>
      </c>
      <c r="F52" s="27">
        <f t="shared" si="0"/>
        <v>61083738.668694705</v>
      </c>
      <c r="G52" s="27">
        <f>IF(ISBLANK(A52),"",SUMIF(CATEGORIAS[[#All],[FORMATO
 GENERAL]],     A52,       CATEGORIAS[[#All],[PRESUPUESTO
FINAL
PROYECTADO]]))</f>
        <v>196838271.17832854</v>
      </c>
      <c r="H52" s="31"/>
      <c r="I52" s="27">
        <f>IF(ISBLANK(A52),"",J52-SUMIF(CATEGORIAS[[#All],[FORMATO
 GENERAL]],     A52,     CATEGORIAS[[#All],[COSTO REAL
ANTERIOR]]))</f>
        <v>-35662648.180000007</v>
      </c>
      <c r="J52" s="27">
        <f>IF(ISBLANK(A52),"",SUMIF(CATEGORIAS[[#All],[FORMATO
 GENERAL]],     A52,     CATEGORIAS[[#All],[COSTO REAL]]))</f>
        <v>104873927</v>
      </c>
      <c r="K52" s="27">
        <f>IF(ISBLANK(A52),"",SUMIF(CATEGORIAS[[#All],[FORMATO
 GENERAL]],     A52,     CATEGORIAS[[#All],[TOTAL PRODUCCION
ACTUAL]]))</f>
        <v>196838271.17832854</v>
      </c>
      <c r="L52" s="27">
        <f>IF(ISBLANK(A52),"",SUMIF(CATEGORIAS[[#All],[FORMATO
 GENERAL]],     A52,     CATEGORIAS[[#All],[PROYECCION
TOTAL DE COSTO]]))</f>
        <v>0</v>
      </c>
      <c r="M52" s="23"/>
      <c r="N52" s="22">
        <f t="shared" si="1"/>
        <v>91964344.170000002</v>
      </c>
    </row>
    <row r="53" spans="1:14" ht="13.5" customHeight="1" x14ac:dyDescent="0.25">
      <c r="A53" s="70"/>
      <c r="B53" s="72"/>
      <c r="C53" s="29"/>
      <c r="D53" s="18"/>
      <c r="E53" s="30"/>
      <c r="F53" s="30"/>
      <c r="G53" s="30"/>
      <c r="H53" s="23"/>
      <c r="I53" s="30"/>
      <c r="J53" s="30"/>
      <c r="K53" s="30"/>
      <c r="L53" s="30"/>
      <c r="M53" s="23"/>
      <c r="N53" s="30"/>
    </row>
    <row r="54" spans="1:14" ht="13.5" customHeight="1" x14ac:dyDescent="0.25">
      <c r="A54" s="70"/>
      <c r="B54" s="72"/>
      <c r="C54" s="26" t="s">
        <v>109</v>
      </c>
      <c r="D54" s="18"/>
      <c r="E54" s="27">
        <f>SUM(E6:E52)</f>
        <v>3153484395.7666674</v>
      </c>
      <c r="F54" s="27">
        <f>SUM(F6:F52)</f>
        <v>702027225.75617683</v>
      </c>
      <c r="G54" s="27">
        <f>SUM(G6:G52)</f>
        <v>3855511621.5228424</v>
      </c>
      <c r="H54" s="31"/>
      <c r="I54" s="27">
        <f>SUM(I6:I52)</f>
        <v>-644413.18000000715</v>
      </c>
      <c r="J54" s="27">
        <f>SUM(J6:J52)</f>
        <v>3551481743.6871262</v>
      </c>
      <c r="K54" s="27">
        <f>SUM(K6:K52)</f>
        <v>3855511621.5228434</v>
      </c>
      <c r="L54" s="27">
        <f>SUM(L6:L52)</f>
        <v>0</v>
      </c>
      <c r="M54" s="31"/>
      <c r="N54" s="27">
        <f>SUM(N6:N52)</f>
        <v>304029877.83999997</v>
      </c>
    </row>
    <row r="55" spans="1:14" ht="13.5" customHeight="1" x14ac:dyDescent="0.25">
      <c r="A55" s="70"/>
      <c r="B55" s="72"/>
      <c r="C55" s="32"/>
      <c r="D55" s="18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13.5" customHeight="1" x14ac:dyDescent="0.25">
      <c r="A56" s="72" t="s">
        <v>110</v>
      </c>
      <c r="B56" s="69" t="s">
        <v>110</v>
      </c>
      <c r="C56" s="78" t="s">
        <v>111</v>
      </c>
      <c r="D56" s="16"/>
      <c r="E56" s="77"/>
      <c r="F56" s="77"/>
      <c r="G56" s="77" t="s">
        <v>112</v>
      </c>
      <c r="H56" s="31"/>
      <c r="I56" s="77"/>
      <c r="J56" s="77"/>
      <c r="K56" s="77"/>
      <c r="L56" s="77"/>
      <c r="M56" s="31"/>
      <c r="N56" s="77"/>
    </row>
    <row r="57" spans="1:14" ht="13.5" customHeight="1" x14ac:dyDescent="0.25">
      <c r="A57" s="70"/>
      <c r="B57" s="69" t="s">
        <v>113</v>
      </c>
      <c r="C57" s="26" t="s">
        <v>114</v>
      </c>
      <c r="D57" s="18"/>
      <c r="E57" s="22" t="str">
        <f>IF(ISBLANK(A57),"",     SUMIF(CATEGORIAS[[#All],[FORMATO
 GENERAL]],     A57,     CATEGORIAS[[#All],[PRESUPUESTO
(ORIGINAL)]]))</f>
        <v/>
      </c>
      <c r="F57" s="22" t="str">
        <f>IF(ISBLANK(A57),"",G57-E57)</f>
        <v/>
      </c>
      <c r="G57" s="22" t="str">
        <f>IF(ISBLANK(A57),"",SUMIF(CATEGORIAS[[#All],[FORMATO
 GENERAL]],     A57,       CATEGORIAS[[#All],[PRESUPUESTO
FINAL
PROYECTADO]]))</f>
        <v/>
      </c>
      <c r="H57" s="23"/>
      <c r="I57" s="22" t="str">
        <f>IF(ISBLANK(A57),"",J57-SUMIF(CATEGORIAS[[#All],[FORMATO
 GENERAL]],     A57,     CATEGORIAS[[#All],[COSTO REAL
ANTERIOR]]))</f>
        <v/>
      </c>
      <c r="J57" s="22" t="str">
        <f>IF(ISBLANK(A57),"",SUMIF(CATEGORIAS[[#All],[FORMATO
 GENERAL]],     A57,     CATEGORIAS[[#All],[COSTO REAL]]))</f>
        <v/>
      </c>
      <c r="K57" s="22" t="str">
        <f>IF(ISBLANK(A57),"",SUMIF(CATEGORIAS[[#All],[FORMATO
 GENERAL]],     A57,     CATEGORIAS[[#All],[TOTAL PRODUCCION
ACTUAL]]))</f>
        <v/>
      </c>
      <c r="L57" s="22" t="str">
        <f>IF(ISBLANK(A57),"",SUMIF(CATEGORIAS[[#All],[FORMATO
 GENERAL]],     A57,     CATEGORIAS[[#All],[PROYECCION
TOTAL DE COSTO]]))</f>
        <v/>
      </c>
      <c r="M57" s="23"/>
      <c r="N57" s="22" t="str">
        <f>IF(ISBLANK(A57),"",TRUNC(G57-J57-L57,2))</f>
        <v/>
      </c>
    </row>
    <row r="58" spans="1:14" ht="13.5" customHeight="1" x14ac:dyDescent="0.25">
      <c r="A58" s="70" t="s">
        <v>115</v>
      </c>
      <c r="B58" s="69"/>
      <c r="C58" s="28" t="s">
        <v>116</v>
      </c>
      <c r="D58" s="18"/>
      <c r="E58" s="22">
        <f>IF(ISBLANK(A58),"",     SUMIF(CATEGORIAS[[#All],[FORMATO
 GENERAL]],     A58,     CATEGORIAS[[#All],[PRESUPUESTO
(ORIGINAL)]]))</f>
        <v>263311370.33350706</v>
      </c>
      <c r="F58" s="22">
        <f t="shared" ref="F58:F73" si="6">IF(ISBLANK(A58),"",G58-E58)</f>
        <v>126510943.9635874</v>
      </c>
      <c r="G58" s="22">
        <f>IF(ISBLANK(A58),"",SUMIF(CATEGORIAS[[#All],[FORMATO
 GENERAL]],     A58,       CATEGORIAS[[#All],[PRESUPUESTO
FINAL
PROYECTADO]]))</f>
        <v>389822314.29709446</v>
      </c>
      <c r="H58" s="23"/>
      <c r="I58" s="22">
        <f>IF(ISBLANK(A58),"",J58-SUMIF(CATEGORIAS[[#All],[FORMATO
 GENERAL]],     A58,     CATEGORIAS[[#All],[COSTO REAL
ANTERIOR]]))</f>
        <v>24997457</v>
      </c>
      <c r="J58" s="22">
        <f>IF(ISBLANK(A58),"",SUMIF(CATEGORIAS[[#All],[FORMATO
 GENERAL]],     A58,     CATEGORIAS[[#All],[COSTO REAL]]))</f>
        <v>354096373.81104273</v>
      </c>
      <c r="K58" s="22">
        <f>IF(ISBLANK(A58),"",SUMIF(CATEGORIAS[[#All],[FORMATO
 GENERAL]],     A58,     CATEGORIAS[[#All],[TOTAL PRODUCCION
ACTUAL]]))</f>
        <v>389822314.29709446</v>
      </c>
      <c r="L58" s="22">
        <f>IF(ISBLANK(A58),"",SUMIF(CATEGORIAS[[#All],[FORMATO
 GENERAL]],     A58,     CATEGORIAS[[#All],[PROYECCION
TOTAL DE COSTO]]))</f>
        <v>1652803.5</v>
      </c>
      <c r="M58" s="23"/>
      <c r="N58" s="22">
        <f t="shared" ref="N58:N73" si="7">IF(ISBLANK(A58),"",TRUNC(G58-J58-L58,2))</f>
        <v>34073136.979999997</v>
      </c>
    </row>
    <row r="59" spans="1:14" ht="13.5" customHeight="1" x14ac:dyDescent="0.25">
      <c r="A59" s="70" t="s">
        <v>117</v>
      </c>
      <c r="B59" s="69"/>
      <c r="C59" s="28" t="s">
        <v>118</v>
      </c>
      <c r="D59" s="18"/>
      <c r="E59" s="22">
        <f>IF(ISBLANK(A59),"",     SUMIF(CATEGORIAS[[#All],[FORMATO
 GENERAL]],     A59,     CATEGORIAS[[#All],[PRESUPUESTO
(ORIGINAL)]]))</f>
        <v>80469294.782991737</v>
      </c>
      <c r="F59" s="22">
        <f t="shared" si="6"/>
        <v>43596689.869818911</v>
      </c>
      <c r="G59" s="22">
        <f>IF(ISBLANK(A59),"",SUMIF(CATEGORIAS[[#All],[FORMATO
 GENERAL]],     A59,       CATEGORIAS[[#All],[PRESUPUESTO
FINAL
PROYECTADO]]))</f>
        <v>124065984.65281065</v>
      </c>
      <c r="H59" s="23"/>
      <c r="I59" s="22">
        <f>IF(ISBLANK(A59),"",J59-SUMIF(CATEGORIAS[[#All],[FORMATO
 GENERAL]],     A59,     CATEGORIAS[[#All],[COSTO REAL
ANTERIOR]]))</f>
        <v>0</v>
      </c>
      <c r="J59" s="22">
        <f>IF(ISBLANK(A59),"",SUMIF(CATEGORIAS[[#All],[FORMATO
 GENERAL]],     A59,     CATEGORIAS[[#All],[COSTO REAL]]))</f>
        <v>122778866.53333333</v>
      </c>
      <c r="K59" s="22">
        <f>IF(ISBLANK(A59),"",SUMIF(CATEGORIAS[[#All],[FORMATO
 GENERAL]],     A59,     CATEGORIAS[[#All],[TOTAL PRODUCCION
ACTUAL]]))</f>
        <v>124065984.65281066</v>
      </c>
      <c r="L59" s="22">
        <f>IF(ISBLANK(A59),"",SUMIF(CATEGORIAS[[#All],[FORMATO
 GENERAL]],     A59,     CATEGORIAS[[#All],[PROYECCION
TOTAL DE COSTO]]))</f>
        <v>0</v>
      </c>
      <c r="M59" s="23"/>
      <c r="N59" s="22">
        <f t="shared" si="7"/>
        <v>1287118.1100000001</v>
      </c>
    </row>
    <row r="60" spans="1:14" ht="13.5" customHeight="1" x14ac:dyDescent="0.25">
      <c r="A60" s="70" t="s">
        <v>119</v>
      </c>
      <c r="B60" s="69"/>
      <c r="C60" s="28" t="s">
        <v>120</v>
      </c>
      <c r="D60" s="18"/>
      <c r="E60" s="22">
        <f>IF(ISBLANK(A60),"",     SUMIF(CATEGORIAS[[#All],[FORMATO
 GENERAL]],     A60,     CATEGORIAS[[#All],[PRESUPUESTO
(ORIGINAL)]]))</f>
        <v>97274459.021890849</v>
      </c>
      <c r="F60" s="22">
        <f t="shared" si="6"/>
        <v>74377433.742539346</v>
      </c>
      <c r="G60" s="22">
        <f>IF(ISBLANK(A60),"",SUMIF(CATEGORIAS[[#All],[FORMATO
 GENERAL]],     A60,       CATEGORIAS[[#All],[PRESUPUESTO
FINAL
PROYECTADO]]))</f>
        <v>171651892.7644302</v>
      </c>
      <c r="H60" s="23"/>
      <c r="I60" s="22">
        <f>IF(ISBLANK(A60),"",J60-SUMIF(CATEGORIAS[[#All],[FORMATO
 GENERAL]],     A60,     CATEGORIAS[[#All],[COSTO REAL
ANTERIOR]]))</f>
        <v>0</v>
      </c>
      <c r="J60" s="22">
        <f>IF(ISBLANK(A60),"",SUMIF(CATEGORIAS[[#All],[FORMATO
 GENERAL]],     A60,     CATEGORIAS[[#All],[COSTO REAL]]))</f>
        <v>121259605</v>
      </c>
      <c r="K60" s="22">
        <f>IF(ISBLANK(A60),"",SUMIF(CATEGORIAS[[#All],[FORMATO
 GENERAL]],     A60,     CATEGORIAS[[#All],[TOTAL PRODUCCION
ACTUAL]]))</f>
        <v>171651892.76443022</v>
      </c>
      <c r="L60" s="22">
        <f>IF(ISBLANK(A60),"",SUMIF(CATEGORIAS[[#All],[FORMATO
 GENERAL]],     A60,     CATEGORIAS[[#All],[PROYECCION
TOTAL DE COSTO]]))</f>
        <v>0</v>
      </c>
      <c r="M60" s="23"/>
      <c r="N60" s="22">
        <f t="shared" si="7"/>
        <v>50392287.759999998</v>
      </c>
    </row>
    <row r="61" spans="1:14" ht="13.5" customHeight="1" x14ac:dyDescent="0.25">
      <c r="A61" s="70" t="s">
        <v>121</v>
      </c>
      <c r="B61" s="69"/>
      <c r="C61" s="28" t="s">
        <v>122</v>
      </c>
      <c r="D61" s="18"/>
      <c r="E61" s="22">
        <f>IF(ISBLANK(A61),"",     SUMIF(CATEGORIAS[[#All],[FORMATO
 GENERAL]],     A61,     CATEGORIAS[[#All],[PRESUPUESTO
(ORIGINAL)]]))</f>
        <v>97189486.687312499</v>
      </c>
      <c r="F61" s="22">
        <f t="shared" si="6"/>
        <v>49662843.539573118</v>
      </c>
      <c r="G61" s="22">
        <f>IF(ISBLANK(A61),"",SUMIF(CATEGORIAS[[#All],[FORMATO
 GENERAL]],     A61,       CATEGORIAS[[#All],[PRESUPUESTO
FINAL
PROYECTADO]]))</f>
        <v>146852330.22688562</v>
      </c>
      <c r="H61" s="23"/>
      <c r="I61" s="22">
        <f>IF(ISBLANK(A61),"",J61-SUMIF(CATEGORIAS[[#All],[FORMATO
 GENERAL]],     A61,     CATEGORIAS[[#All],[COSTO REAL
ANTERIOR]]))</f>
        <v>0</v>
      </c>
      <c r="J61" s="22">
        <f>IF(ISBLANK(A61),"",SUMIF(CATEGORIAS[[#All],[FORMATO
 GENERAL]],     A61,     CATEGORIAS[[#All],[COSTO REAL]]))</f>
        <v>84690890</v>
      </c>
      <c r="K61" s="22">
        <f>IF(ISBLANK(A61),"",SUMIF(CATEGORIAS[[#All],[FORMATO
 GENERAL]],     A61,     CATEGORIAS[[#All],[TOTAL PRODUCCION
ACTUAL]]))</f>
        <v>146852330.22688562</v>
      </c>
      <c r="L61" s="22">
        <f>IF(ISBLANK(A61),"",SUMIF(CATEGORIAS[[#All],[FORMATO
 GENERAL]],     A61,     CATEGORIAS[[#All],[PROYECCION
TOTAL DE COSTO]]))</f>
        <v>0</v>
      </c>
      <c r="M61" s="23"/>
      <c r="N61" s="22">
        <f t="shared" si="7"/>
        <v>62161440.219999999</v>
      </c>
    </row>
    <row r="62" spans="1:14" ht="13.5" customHeight="1" x14ac:dyDescent="0.25">
      <c r="A62" s="70" t="s">
        <v>123</v>
      </c>
      <c r="B62" s="69"/>
      <c r="C62" s="28" t="s">
        <v>124</v>
      </c>
      <c r="D62" s="18"/>
      <c r="E62" s="22">
        <f>IF(ISBLANK(A62),"",     SUMIF(CATEGORIAS[[#All],[FORMATO
 GENERAL]],     A62,     CATEGORIAS[[#All],[PRESUPUESTO
(ORIGINAL)]]))</f>
        <v>39901819.760774568</v>
      </c>
      <c r="F62" s="22">
        <f t="shared" si="6"/>
        <v>21371381.345401339</v>
      </c>
      <c r="G62" s="22">
        <f>IF(ISBLANK(A62),"",SUMIF(CATEGORIAS[[#All],[FORMATO
 GENERAL]],     A62,       CATEGORIAS[[#All],[PRESUPUESTO
FINAL
PROYECTADO]]))</f>
        <v>61273201.106175907</v>
      </c>
      <c r="H62" s="23"/>
      <c r="I62" s="22">
        <f>IF(ISBLANK(A62),"",J62-SUMIF(CATEGORIAS[[#All],[FORMATO
 GENERAL]],     A62,     CATEGORIAS[[#All],[COSTO REAL
ANTERIOR]]))</f>
        <v>0</v>
      </c>
      <c r="J62" s="22">
        <f>IF(ISBLANK(A62),"",SUMIF(CATEGORIAS[[#All],[FORMATO
 GENERAL]],     A62,     CATEGORIAS[[#All],[COSTO REAL]]))</f>
        <v>44849347</v>
      </c>
      <c r="K62" s="22">
        <f>IF(ISBLANK(A62),"",SUMIF(CATEGORIAS[[#All],[FORMATO
 GENERAL]],     A62,     CATEGORIAS[[#All],[TOTAL PRODUCCION
ACTUAL]]))</f>
        <v>61273201.106175914</v>
      </c>
      <c r="L62" s="22">
        <f>IF(ISBLANK(A62),"",SUMIF(CATEGORIAS[[#All],[FORMATO
 GENERAL]],     A62,     CATEGORIAS[[#All],[PROYECCION
TOTAL DE COSTO]]))</f>
        <v>0</v>
      </c>
      <c r="M62" s="23"/>
      <c r="N62" s="22">
        <f t="shared" si="7"/>
        <v>16423854.1</v>
      </c>
    </row>
    <row r="63" spans="1:14" ht="13.5" customHeight="1" x14ac:dyDescent="0.25">
      <c r="A63" s="70" t="s">
        <v>125</v>
      </c>
      <c r="B63" s="69"/>
      <c r="C63" s="28" t="s">
        <v>126</v>
      </c>
      <c r="D63" s="18"/>
      <c r="E63" s="22">
        <f>IF(ISBLANK(A63),"",     SUMIF(CATEGORIAS[[#All],[FORMATO
 GENERAL]],     A63,     CATEGORIAS[[#All],[PRESUPUESTO
(ORIGINAL)]]))</f>
        <v>55188181.120416395</v>
      </c>
      <c r="F63" s="22">
        <f t="shared" si="6"/>
        <v>36286669.516066618</v>
      </c>
      <c r="G63" s="22">
        <f>IF(ISBLANK(A63),"",SUMIF(CATEGORIAS[[#All],[FORMATO
 GENERAL]],     A63,       CATEGORIAS[[#All],[PRESUPUESTO
FINAL
PROYECTADO]]))</f>
        <v>91474850.636483014</v>
      </c>
      <c r="H63" s="23"/>
      <c r="I63" s="22">
        <f>IF(ISBLANK(A63),"",J63-SUMIF(CATEGORIAS[[#All],[FORMATO
 GENERAL]],     A63,     CATEGORIAS[[#All],[COSTO REAL
ANTERIOR]]))</f>
        <v>0</v>
      </c>
      <c r="J63" s="22">
        <f>IF(ISBLANK(A63),"",SUMIF(CATEGORIAS[[#All],[FORMATO
 GENERAL]],     A63,     CATEGORIAS[[#All],[COSTO REAL]]))</f>
        <v>89355743</v>
      </c>
      <c r="K63" s="22">
        <f>IF(ISBLANK(A63),"",SUMIF(CATEGORIAS[[#All],[FORMATO
 GENERAL]],     A63,     CATEGORIAS[[#All],[TOTAL PRODUCCION
ACTUAL]]))</f>
        <v>91474850.636483014</v>
      </c>
      <c r="L63" s="22">
        <f>IF(ISBLANK(A63),"",SUMIF(CATEGORIAS[[#All],[FORMATO
 GENERAL]],     A63,     CATEGORIAS[[#All],[PROYECCION
TOTAL DE COSTO]]))</f>
        <v>0</v>
      </c>
      <c r="M63" s="23"/>
      <c r="N63" s="22">
        <f t="shared" si="7"/>
        <v>2119107.63</v>
      </c>
    </row>
    <row r="64" spans="1:14" ht="13.5" customHeight="1" x14ac:dyDescent="0.25">
      <c r="A64" s="70" t="s">
        <v>127</v>
      </c>
      <c r="B64" s="69"/>
      <c r="C64" s="28" t="s">
        <v>128</v>
      </c>
      <c r="D64" s="18"/>
      <c r="E64" s="22">
        <f>IF(ISBLANK(A64),"",     SUMIF(CATEGORIAS[[#All],[FORMATO
 GENERAL]],     A64,     CATEGORIAS[[#All],[PRESUPUESTO
(ORIGINAL)]]))</f>
        <v>67752174.763487533</v>
      </c>
      <c r="F64" s="22">
        <f t="shared" si="6"/>
        <v>31934011.951069862</v>
      </c>
      <c r="G64" s="22">
        <f>IF(ISBLANK(A64),"",SUMIF(CATEGORIAS[[#All],[FORMATO
 GENERAL]],     A64,       CATEGORIAS[[#All],[PRESUPUESTO
FINAL
PROYECTADO]]))</f>
        <v>99686186.714557394</v>
      </c>
      <c r="H64" s="23"/>
      <c r="I64" s="22">
        <f>IF(ISBLANK(A64),"",J64-SUMIF(CATEGORIAS[[#All],[FORMATO
 GENERAL]],     A64,     CATEGORIAS[[#All],[COSTO REAL
ANTERIOR]]))</f>
        <v>6940424</v>
      </c>
      <c r="J64" s="22">
        <f>IF(ISBLANK(A64),"",SUMIF(CATEGORIAS[[#All],[FORMATO
 GENERAL]],     A64,     CATEGORIAS[[#All],[COSTO REAL]]))</f>
        <v>145760303</v>
      </c>
      <c r="K64" s="22">
        <f>IF(ISBLANK(A64),"",SUMIF(CATEGORIAS[[#All],[FORMATO
 GENERAL]],     A64,     CATEGORIAS[[#All],[TOTAL PRODUCCION
ACTUAL]]))</f>
        <v>99686186.714557394</v>
      </c>
      <c r="L64" s="22">
        <f>IF(ISBLANK(A64),"",SUMIF(CATEGORIAS[[#All],[FORMATO
 GENERAL]],     A64,     CATEGORIAS[[#All],[PROYECCION
TOTAL DE COSTO]]))</f>
        <v>0</v>
      </c>
      <c r="M64" s="23"/>
      <c r="N64" s="22">
        <f t="shared" si="7"/>
        <v>-46074116.280000001</v>
      </c>
    </row>
    <row r="65" spans="1:14" ht="13.5" customHeight="1" x14ac:dyDescent="0.25">
      <c r="A65" s="70" t="s">
        <v>129</v>
      </c>
      <c r="B65" s="69"/>
      <c r="C65" s="28" t="s">
        <v>130</v>
      </c>
      <c r="D65" s="18"/>
      <c r="E65" s="22">
        <f>IF(ISBLANK(A65),"",     SUMIF(CATEGORIAS[[#All],[FORMATO
 GENERAL]],     A65,     CATEGORIAS[[#All],[PRESUPUESTO
(ORIGINAL)]]))</f>
        <v>44741710.359320536</v>
      </c>
      <c r="F65" s="22">
        <f>IF(ISBLANK(A65),"",G65-E65)</f>
        <v>20197248.093181364</v>
      </c>
      <c r="G65" s="22">
        <f>IF(ISBLANK(A65),"",SUMIF(CATEGORIAS[[#All],[FORMATO
 GENERAL]],     A65,       CATEGORIAS[[#All],[PRESUPUESTO
FINAL
PROYECTADO]]))</f>
        <v>64938958.4525019</v>
      </c>
      <c r="H65" s="23"/>
      <c r="I65" s="22">
        <f>IF(ISBLANK(A65),"",J65-SUMIF(CATEGORIAS[[#All],[FORMATO
 GENERAL]],     A65,     CATEGORIAS[[#All],[COSTO REAL
ANTERIOR]]))</f>
        <v>0</v>
      </c>
      <c r="J65" s="22">
        <f>IF(ISBLANK(A65),"",SUMIF(CATEGORIAS[[#All],[FORMATO
 GENERAL]],     A65,     CATEGORIAS[[#All],[COSTO REAL]]))</f>
        <v>80582133</v>
      </c>
      <c r="K65" s="22">
        <f>IF(ISBLANK(A65),"",SUMIF(CATEGORIAS[[#All],[FORMATO
 GENERAL]],     A65,     CATEGORIAS[[#All],[TOTAL PRODUCCION
ACTUAL]]))</f>
        <v>64938958.4525019</v>
      </c>
      <c r="L65" s="22">
        <f>IF(ISBLANK(A65),"",SUMIF(CATEGORIAS[[#All],[FORMATO
 GENERAL]],     A65,     CATEGORIAS[[#All],[PROYECCION
TOTAL DE COSTO]]))</f>
        <v>0</v>
      </c>
      <c r="M65" s="23"/>
      <c r="N65" s="22">
        <f>IF(ISBLANK(A65),"",TRUNC(G65-J65-L65,2))</f>
        <v>-15643174.539999999</v>
      </c>
    </row>
    <row r="66" spans="1:14" ht="13.5" customHeight="1" x14ac:dyDescent="0.25">
      <c r="A66" s="70" t="s">
        <v>131</v>
      </c>
      <c r="B66" s="69"/>
      <c r="C66" s="28" t="s">
        <v>84</v>
      </c>
      <c r="D66" s="18"/>
      <c r="E66" s="22">
        <f>IF(ISBLANK(A66),"",     SUMIF(CATEGORIAS[[#All],[FORMATO
 GENERAL]],     A66,     CATEGORIAS[[#All],[PRESUPUESTO
(ORIGINAL)]]))</f>
        <v>17775000</v>
      </c>
      <c r="F66" s="22">
        <f t="shared" si="6"/>
        <v>9437056.4616319835</v>
      </c>
      <c r="G66" s="22">
        <f>IF(ISBLANK(A66),"",SUMIF(CATEGORIAS[[#All],[FORMATO
 GENERAL]],     A66,       CATEGORIAS[[#All],[PRESUPUESTO
FINAL
PROYECTADO]]))</f>
        <v>27212056.461631984</v>
      </c>
      <c r="H66" s="23"/>
      <c r="I66" s="22">
        <f>IF(ISBLANK(A66),"",J66-SUMIF(CATEGORIAS[[#All],[FORMATO
 GENERAL]],     A66,     CATEGORIAS[[#All],[COSTO REAL
ANTERIOR]]))</f>
        <v>518650</v>
      </c>
      <c r="J66" s="22">
        <f>IF(ISBLANK(A66),"",SUMIF(CATEGORIAS[[#All],[FORMATO
 GENERAL]],     A66,     CATEGORIAS[[#All],[COSTO REAL]]))</f>
        <v>79403794</v>
      </c>
      <c r="K66" s="22">
        <f>IF(ISBLANK(A66),"",SUMIF(CATEGORIAS[[#All],[FORMATO
 GENERAL]],     A66,     CATEGORIAS[[#All],[TOTAL PRODUCCION
ACTUAL]]))</f>
        <v>27212056.461631984</v>
      </c>
      <c r="L66" s="22">
        <f>IF(ISBLANK(A66),"",SUMIF(CATEGORIAS[[#All],[FORMATO
 GENERAL]],     A66,     CATEGORIAS[[#All],[PROYECCION
TOTAL DE COSTO]]))</f>
        <v>0</v>
      </c>
      <c r="M66" s="23"/>
      <c r="N66" s="22">
        <f t="shared" si="7"/>
        <v>-52191737.530000001</v>
      </c>
    </row>
    <row r="67" spans="1:14" ht="13.5" customHeight="1" x14ac:dyDescent="0.25">
      <c r="A67" s="70" t="s">
        <v>132</v>
      </c>
      <c r="B67" s="69"/>
      <c r="C67" s="28" t="s">
        <v>133</v>
      </c>
      <c r="D67" s="18"/>
      <c r="E67" s="22">
        <f>IF(ISBLANK(A67),"",     SUMIF(CATEGORIAS[[#All],[FORMATO
 GENERAL]],     A67,     CATEGORIAS[[#All],[PRESUPUESTO
(ORIGINAL)]]))</f>
        <v>85743100.41808036</v>
      </c>
      <c r="F67" s="22">
        <f t="shared" ref="F67" si="8">IF(ISBLANK(A67),"",G67-E67)</f>
        <v>44596854.857870385</v>
      </c>
      <c r="G67" s="22">
        <f>IF(ISBLANK(A67),"",SUMIF(CATEGORIAS[[#All],[FORMATO
 GENERAL]],     A67,       CATEGORIAS[[#All],[PRESUPUESTO
FINAL
PROYECTADO]]))</f>
        <v>130339955.27595074</v>
      </c>
      <c r="H67" s="23"/>
      <c r="I67" s="22">
        <f>IF(ISBLANK(A67),"",J67-SUMIF(CATEGORIAS[[#All],[FORMATO
 GENERAL]],     A67,     CATEGORIAS[[#All],[COSTO REAL
ANTERIOR]]))</f>
        <v>939133</v>
      </c>
      <c r="J67" s="22">
        <f>IF(ISBLANK(A67),"",SUMIF(CATEGORIAS[[#All],[FORMATO
 GENERAL]],     A67,     CATEGORIAS[[#All],[COSTO REAL]]))</f>
        <v>166238754.57999998</v>
      </c>
      <c r="K67" s="22">
        <f>IF(ISBLANK(A67),"",SUMIF(CATEGORIAS[[#All],[FORMATO
 GENERAL]],     A67,     CATEGORIAS[[#All],[TOTAL PRODUCCION
ACTUAL]]))</f>
        <v>130339955.27595074</v>
      </c>
      <c r="L67" s="22">
        <f>IF(ISBLANK(A67),"",SUMIF(CATEGORIAS[[#All],[FORMATO
 GENERAL]],     A67,     CATEGORIAS[[#All],[PROYECCION
TOTAL DE COSTO]]))</f>
        <v>249500</v>
      </c>
      <c r="M67" s="23"/>
      <c r="N67" s="22">
        <f t="shared" ref="N67" si="9">IF(ISBLANK(A67),"",TRUNC(G67-J67-L67,2))</f>
        <v>-36148299.299999997</v>
      </c>
    </row>
    <row r="68" spans="1:14" ht="13.5" customHeight="1" x14ac:dyDescent="0.25">
      <c r="A68" s="70"/>
      <c r="B68" s="69"/>
      <c r="C68" s="28"/>
      <c r="D68" s="18"/>
      <c r="E68" s="22"/>
      <c r="F68" s="22"/>
      <c r="G68" s="22"/>
      <c r="H68" s="23"/>
      <c r="I68" s="22"/>
      <c r="J68" s="22"/>
      <c r="K68" s="22"/>
      <c r="L68" s="22"/>
      <c r="M68" s="23"/>
      <c r="N68" s="22"/>
    </row>
    <row r="69" spans="1:14" ht="13.5" customHeight="1" x14ac:dyDescent="0.25">
      <c r="A69" s="70"/>
      <c r="B69" s="69"/>
      <c r="C69" s="26" t="s">
        <v>135</v>
      </c>
      <c r="D69" s="18"/>
      <c r="E69" s="22" t="str">
        <f>IF(ISBLANK(A69),"",     SUMIF(CATEGORIAS[[#All],[FORMATO
 GENERAL]],     A69,     CATEGORIAS[[#All],[PRESUPUESTO
(ORIGINAL)]]))</f>
        <v/>
      </c>
      <c r="F69" s="22" t="str">
        <f t="shared" si="6"/>
        <v/>
      </c>
      <c r="G69" s="22" t="str">
        <f>IF(ISBLANK(A69),"",SUMIF(CATEGORIAS[[#All],[FORMATO
 GENERAL]],     A69,       CATEGORIAS[[#All],[PRESUPUESTO
FINAL
PROYECTADO]]))</f>
        <v/>
      </c>
      <c r="H69" s="23"/>
      <c r="I69" s="22" t="str">
        <f>IF(ISBLANK(A69),"",J69-SUMIF(CATEGORIAS[[#All],[FORMATO
 GENERAL]],     A69,     CATEGORIAS[[#All],[COSTO REAL
ANTERIOR]]))</f>
        <v/>
      </c>
      <c r="J69" s="22" t="str">
        <f>IF(ISBLANK(A69),"",SUMIF(CATEGORIAS[[#All],[FORMATO
 GENERAL]],     A69,     CATEGORIAS[[#All],[COSTO REAL]]))</f>
        <v/>
      </c>
      <c r="K69" s="22" t="str">
        <f>IF(ISBLANK(A69),"",SUMIF(CATEGORIAS[[#All],[FORMATO
 GENERAL]],     A69,     CATEGORIAS[[#All],[TOTAL PRODUCCION
ACTUAL]]))</f>
        <v/>
      </c>
      <c r="L69" s="22" t="str">
        <f>IF(ISBLANK(A69),"",SUMIF(CATEGORIAS[[#All],[FORMATO
 GENERAL]],     A69,     CATEGORIAS[[#All],[PROYECCION
TOTAL DE COSTO]]))</f>
        <v/>
      </c>
      <c r="M69" s="23"/>
      <c r="N69" s="22" t="str">
        <f t="shared" si="7"/>
        <v/>
      </c>
    </row>
    <row r="70" spans="1:14" ht="13.5" customHeight="1" x14ac:dyDescent="0.25">
      <c r="A70" s="70" t="s">
        <v>136</v>
      </c>
      <c r="B70" s="69" t="s">
        <v>137</v>
      </c>
      <c r="C70" s="26" t="s">
        <v>138</v>
      </c>
      <c r="D70" s="18"/>
      <c r="E70" s="27">
        <f>IF(ISBLANK(A70),"",     SUMIF(CATEGORIAS[[#All],[FORMATO
 GENERAL]],     A70,     CATEGORIAS[[#All],[PRESUPUESTO
(ORIGINAL)]]))</f>
        <v>112795628.36</v>
      </c>
      <c r="F70" s="27">
        <f t="shared" si="6"/>
        <v>48654422.919940963</v>
      </c>
      <c r="G70" s="27">
        <f>IF(ISBLANK(A70),"",SUMIF(CATEGORIAS[[#All],[FORMATO
 GENERAL]],     A70,       CATEGORIAS[[#All],[PRESUPUESTO
FINAL
PROYECTADO]]))</f>
        <v>161450051.27994096</v>
      </c>
      <c r="H70" s="31"/>
      <c r="I70" s="27">
        <f>IF(ISBLANK(A70),"",J70-SUMIF(CATEGORIAS[[#All],[FORMATO
 GENERAL]],     A70,     CATEGORIAS[[#All],[COSTO REAL
ANTERIOR]]))</f>
        <v>2813505</v>
      </c>
      <c r="J70" s="27">
        <f>IF(ISBLANK(A70),"",SUMIF(CATEGORIAS[[#All],[FORMATO
 GENERAL]],     A70,     CATEGORIAS[[#All],[COSTO REAL]]))</f>
        <v>131407294.3</v>
      </c>
      <c r="K70" s="27">
        <f>IF(ISBLANK(A70),"",SUMIF(CATEGORIAS[[#All],[FORMATO
 GENERAL]],     A70,     CATEGORIAS[[#All],[TOTAL PRODUCCION
ACTUAL]]))</f>
        <v>161450051.27994096</v>
      </c>
      <c r="L70" s="27">
        <f>IF(ISBLANK(A70),"",SUMIF(CATEGORIAS[[#All],[FORMATO
 GENERAL]],     A70,     CATEGORIAS[[#All],[PROYECCION
TOTAL DE COSTO]]))</f>
        <v>482537.5</v>
      </c>
      <c r="M70" s="23"/>
      <c r="N70" s="22">
        <f t="shared" si="7"/>
        <v>29560219.469999999</v>
      </c>
    </row>
    <row r="71" spans="1:14" ht="13.5" customHeight="1" x14ac:dyDescent="0.25">
      <c r="A71" s="70" t="s">
        <v>139</v>
      </c>
      <c r="B71" s="69" t="s">
        <v>140</v>
      </c>
      <c r="C71" s="26" t="s">
        <v>141</v>
      </c>
      <c r="D71" s="18"/>
      <c r="E71" s="27">
        <f>IF(ISBLANK(A71),"",     SUMIF(CATEGORIAS[[#All],[FORMATO
 GENERAL]],     A71,     CATEGORIAS[[#All],[PRESUPUESTO
(ORIGINAL)]]))</f>
        <v>194544741.20743287</v>
      </c>
      <c r="F71" s="27">
        <f>IF(ISBLANK(A71),"",G71-E71)</f>
        <v>53203876.588847846</v>
      </c>
      <c r="G71" s="27">
        <f>IF(ISBLANK(A71),"",SUMIF(CATEGORIAS[[#All],[FORMATO
 GENERAL]],     A71,       CATEGORIAS[[#All],[PRESUPUESTO
FINAL
PROYECTADO]]))</f>
        <v>247748617.79628071</v>
      </c>
      <c r="H71" s="31"/>
      <c r="I71" s="27">
        <f>IF(ISBLANK(A71),"",J71-SUMIF(CATEGORIAS[[#All],[FORMATO
 GENERAL]],     A71,     CATEGORIAS[[#All],[COSTO REAL
ANTERIOR]]))</f>
        <v>6894916</v>
      </c>
      <c r="J71" s="27">
        <f>IF(ISBLANK(A71),"",SUMIF(CATEGORIAS[[#All],[FORMATO
 GENERAL]],     A71,     CATEGORIAS[[#All],[COSTO REAL]]))</f>
        <v>174581266</v>
      </c>
      <c r="K71" s="27">
        <f>IF(ISBLANK(A71),"",SUMIF(CATEGORIAS[[#All],[FORMATO
 GENERAL]],     A71,     CATEGORIAS[[#All],[TOTAL PRODUCCION
ACTUAL]]))</f>
        <v>247748617.79628071</v>
      </c>
      <c r="L71" s="27">
        <f>IF(ISBLANK(A71),"",SUMIF(CATEGORIAS[[#All],[FORMATO
 GENERAL]],     A71,     CATEGORIAS[[#All],[PROYECCION
TOTAL DE COSTO]]))</f>
        <v>2000000</v>
      </c>
      <c r="M71" s="23"/>
      <c r="N71" s="22">
        <f>IF(ISBLANK(A71),"",TRUNC(G71-J71-L71,2))</f>
        <v>71167351.790000007</v>
      </c>
    </row>
    <row r="72" spans="1:14" ht="13.5" customHeight="1" x14ac:dyDescent="0.25">
      <c r="A72" s="70" t="s">
        <v>142</v>
      </c>
      <c r="B72" s="69" t="s">
        <v>143</v>
      </c>
      <c r="C72" s="26" t="s">
        <v>144</v>
      </c>
      <c r="D72" s="18"/>
      <c r="E72" s="27">
        <f>IF(ISBLANK(A72),"",     SUMIF(CATEGORIAS[[#All],[FORMATO
 GENERAL]],     A72,     CATEGORIAS[[#All],[PRESUPUESTO
(ORIGINAL)]]))</f>
        <v>8312500.000160668</v>
      </c>
      <c r="F72" s="27">
        <f t="shared" si="6"/>
        <v>293085.07449555583</v>
      </c>
      <c r="G72" s="27">
        <f>IF(ISBLANK(A72),"",SUMIF(CATEGORIAS[[#All],[FORMATO
 GENERAL]],     A72,       CATEGORIAS[[#All],[PRESUPUESTO
FINAL
PROYECTADO]]))</f>
        <v>8605585.0746562239</v>
      </c>
      <c r="H72" s="31"/>
      <c r="I72" s="27">
        <f>IF(ISBLANK(A72),"",J72-SUMIF(CATEGORIAS[[#All],[FORMATO
 GENERAL]],     A72,     CATEGORIAS[[#All],[COSTO REAL
ANTERIOR]]))</f>
        <v>40631</v>
      </c>
      <c r="J72" s="27">
        <f>IF(ISBLANK(A72),"",SUMIF(CATEGORIAS[[#All],[FORMATO
 GENERAL]],     A72,     CATEGORIAS[[#All],[COSTO REAL]]))</f>
        <v>42897990</v>
      </c>
      <c r="K72" s="27">
        <f>IF(ISBLANK(A72),"",SUMIF(CATEGORIAS[[#All],[FORMATO
 GENERAL]],     A72,     CATEGORIAS[[#All],[TOTAL PRODUCCION
ACTUAL]]))</f>
        <v>8605585.0758256298</v>
      </c>
      <c r="L72" s="27">
        <f>IF(ISBLANK(A72),"",SUMIF(CATEGORIAS[[#All],[FORMATO
 GENERAL]],     A72,     CATEGORIAS[[#All],[PROYECCION
TOTAL DE COSTO]]))</f>
        <v>0</v>
      </c>
      <c r="M72" s="23"/>
      <c r="N72" s="22">
        <f t="shared" si="7"/>
        <v>-34292404.920000002</v>
      </c>
    </row>
    <row r="73" spans="1:14" ht="13.5" customHeight="1" x14ac:dyDescent="0.25">
      <c r="A73" s="70" t="s">
        <v>145</v>
      </c>
      <c r="B73" s="69" t="s">
        <v>146</v>
      </c>
      <c r="C73" s="26" t="s">
        <v>147</v>
      </c>
      <c r="D73" s="18"/>
      <c r="E73" s="27">
        <f>IF(ISBLANK(A73),"",     SUMIF(CATEGORIAS[[#All],[FORMATO
 GENERAL]],     A73,     CATEGORIAS[[#All],[PRESUPUESTO
(ORIGINAL)]]))</f>
        <v>51516137.616128355</v>
      </c>
      <c r="F73" s="27">
        <f t="shared" si="6"/>
        <v>1816374.2593268529</v>
      </c>
      <c r="G73" s="27">
        <f>IF(ISBLANK(A73),"",SUMIF(CATEGORIAS[[#All],[FORMATO
 GENERAL]],     A73,       CATEGORIAS[[#All],[PRESUPUESTO
FINAL
PROYECTADO]]))</f>
        <v>53332511.875455208</v>
      </c>
      <c r="H73" s="31"/>
      <c r="I73" s="27">
        <f>IF(ISBLANK(A73),"",J73-SUMIF(CATEGORIAS[[#All],[FORMATO
 GENERAL]],     A73,     CATEGORIAS[[#All],[COSTO REAL
ANTERIOR]]))</f>
        <v>-844408</v>
      </c>
      <c r="J73" s="27">
        <f>IF(ISBLANK(A73),"",SUMIF(CATEGORIAS[[#All],[FORMATO
 GENERAL]],     A73,     CATEGORIAS[[#All],[COSTO REAL]]))</f>
        <v>54456193</v>
      </c>
      <c r="K73" s="27">
        <f>IF(ISBLANK(A73),"",SUMIF(CATEGORIAS[[#All],[FORMATO
 GENERAL]],     A73,     CATEGORIAS[[#All],[TOTAL PRODUCCION
ACTUAL]]))</f>
        <v>53332511.876154803</v>
      </c>
      <c r="L73" s="27">
        <f>IF(ISBLANK(A73),"",SUMIF(CATEGORIAS[[#All],[FORMATO
 GENERAL]],     A73,     CATEGORIAS[[#All],[PROYECCION
TOTAL DE COSTO]]))</f>
        <v>0</v>
      </c>
      <c r="M73" s="23"/>
      <c r="N73" s="22">
        <f t="shared" si="7"/>
        <v>-1123681.1200000001</v>
      </c>
    </row>
    <row r="74" spans="1:14" ht="13.5" customHeight="1" x14ac:dyDescent="0.25">
      <c r="A74" s="70" t="s">
        <v>148</v>
      </c>
      <c r="B74" s="69" t="s">
        <v>149</v>
      </c>
      <c r="C74" s="26" t="s">
        <v>150</v>
      </c>
      <c r="D74" s="18"/>
      <c r="E74" s="27">
        <f>IF(ISBLANK(A74),"",     SUMIF(CATEGORIAS[[#All],[FORMATO
 GENERAL]],     A74,     CATEGORIAS[[#All],[PRESUPUESTO
(ORIGINAL)]]))</f>
        <v>0</v>
      </c>
      <c r="F74" s="27">
        <f t="shared" ref="F74" si="10">IF(ISBLANK(A74),"",G74-E74)</f>
        <v>0</v>
      </c>
      <c r="G74" s="27">
        <f>IF(ISBLANK(A74),"",SUMIF(CATEGORIAS[[#All],[FORMATO
 GENERAL]],     A74,       CATEGORIAS[[#All],[PRESUPUESTO
FINAL
PROYECTADO]]))</f>
        <v>0</v>
      </c>
      <c r="H74" s="31"/>
      <c r="I74" s="27">
        <f>IF(ISBLANK(A74),"",J74-SUMIF(CATEGORIAS[[#All],[FORMATO
 GENERAL]],     A74,     CATEGORIAS[[#All],[COSTO REAL
ANTERIOR]]))</f>
        <v>0</v>
      </c>
      <c r="J74" s="27">
        <f>IF(ISBLANK(A74),"",SUMIF(CATEGORIAS[[#All],[FORMATO
 GENERAL]],     A74,     CATEGORIAS[[#All],[COSTO REAL]]))</f>
        <v>0</v>
      </c>
      <c r="K74" s="27">
        <f>IF(ISBLANK(A74),"",SUMIF(CATEGORIAS[[#All],[FORMATO
 GENERAL]],     A74,     CATEGORIAS[[#All],[TOTAL PRODUCCION
ACTUAL]]))</f>
        <v>0</v>
      </c>
      <c r="L74" s="27">
        <f>IF(ISBLANK(A74),"",SUMIF(CATEGORIAS[[#All],[FORMATO
 GENERAL]],     A74,     CATEGORIAS[[#All],[PROYECCION
TOTAL DE COSTO]]))</f>
        <v>0</v>
      </c>
      <c r="M74" s="23"/>
      <c r="N74" s="22">
        <f t="shared" ref="N74" si="11">IF(ISBLANK(A74),"",TRUNC(G74-J74-L74,2))</f>
        <v>0</v>
      </c>
    </row>
    <row r="75" spans="1:14" ht="13.5" customHeight="1" x14ac:dyDescent="0.25">
      <c r="A75" s="70"/>
      <c r="B75" s="7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3.5" customHeight="1" x14ac:dyDescent="0.25">
      <c r="A76" s="70"/>
      <c r="B76" s="72"/>
      <c r="C76" s="26" t="s">
        <v>151</v>
      </c>
      <c r="D76" s="18"/>
      <c r="E76" s="27">
        <f>SUM(E57:E75)</f>
        <v>1216515604.4315038</v>
      </c>
      <c r="F76" s="27">
        <f>SUM(F57:F75)</f>
        <v>561938892.18335152</v>
      </c>
      <c r="G76" s="27">
        <f>SUM(G57:G75)</f>
        <v>1778454496.6148551</v>
      </c>
      <c r="H76" s="31"/>
      <c r="I76" s="27">
        <f>SUM(I57:I75)</f>
        <v>42300308</v>
      </c>
      <c r="J76" s="27">
        <f>SUM(J57:J75)</f>
        <v>1692358553.224376</v>
      </c>
      <c r="K76" s="27">
        <f>SUM(K57:K75)</f>
        <v>1778454496.6167243</v>
      </c>
      <c r="L76" s="27">
        <f>SUM(L57:L75)</f>
        <v>4384841</v>
      </c>
      <c r="M76" s="31"/>
      <c r="N76" s="27">
        <f>SUM(N57:N75)</f>
        <v>81711102.36999999</v>
      </c>
    </row>
    <row r="77" spans="1:14" ht="13.5" customHeight="1" x14ac:dyDescent="0.25">
      <c r="A77" s="70"/>
      <c r="B77" s="7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3.5" customHeight="1" x14ac:dyDescent="0.25">
      <c r="A78" s="70" t="s">
        <v>152</v>
      </c>
      <c r="B78" s="69" t="s">
        <v>153</v>
      </c>
      <c r="C78" s="78" t="s">
        <v>154</v>
      </c>
      <c r="D78" s="16"/>
      <c r="E78" s="77">
        <f>IF(ISBLANK(A78),"",SUMIF('Analisis por Categorias'!A:A,A78,'Analisis por Categorias'!G:G))</f>
        <v>380000000.0073449</v>
      </c>
      <c r="F78" s="77">
        <f>IF(ISBLANK(A78),"",G78-E78)</f>
        <v>0</v>
      </c>
      <c r="G78" s="77">
        <f>IF(ISBLANK(A78),"",SUMIF('Analisis por Categorias'!A:A,A78,'Analisis por Categorias'!L:L))</f>
        <v>380000000.0073449</v>
      </c>
      <c r="H78" s="31"/>
      <c r="I78" s="77">
        <v>0</v>
      </c>
      <c r="J78" s="77">
        <v>0</v>
      </c>
      <c r="K78" s="77">
        <f>IF(ISBLANK(A78),"",SUMIF('Analisis por Categorias'!$A:$A,A78,'Analisis por Categorias'!O:O))</f>
        <v>380000000.0073449</v>
      </c>
      <c r="L78" s="77">
        <v>0</v>
      </c>
      <c r="M78" s="31"/>
      <c r="N78" s="77">
        <f>IF(ISBLANK(A78),"",G78-J78-L78)</f>
        <v>380000000.0073449</v>
      </c>
    </row>
    <row r="79" spans="1:14" ht="13.5" hidden="1" customHeight="1" outlineLevel="1" x14ac:dyDescent="0.25">
      <c r="A79" s="70" t="s">
        <v>155</v>
      </c>
      <c r="B79" s="69"/>
      <c r="C79" s="28" t="s">
        <v>156</v>
      </c>
      <c r="D79" s="18"/>
      <c r="E79" s="22">
        <f>IF(ISBLANK(A79),"",     SUMIF(CATEGORIAS[[#All],[SUBGRUPO]],     A79,     CATEGORIAS[[#All],[PRESUPUESTO
(ORIGINAL)]]))</f>
        <v>190000000.00367245</v>
      </c>
      <c r="F79" s="22"/>
      <c r="G79" s="22">
        <f>IF(ISBLANK(A79),"",     SUMIF(CATEGORIAS[[#All],[SUBGRUPO]],     A79,     CATEGORIAS[[#All],[PRESUPUESTO
FINAL
PROYECTADO]]))</f>
        <v>190000000.00367245</v>
      </c>
      <c r="H79" s="23"/>
      <c r="I79" s="22">
        <v>0</v>
      </c>
      <c r="J79" s="22">
        <v>0</v>
      </c>
      <c r="K79" s="22">
        <f>IF(ISBLANK(A79),"",SUMIF(CATEGORIAS[[#All],[SUBGRUPO]],     A79,     CATEGORIAS[[#All],[TOTAL PRODUCCION
ACTUAL]]))</f>
        <v>190000000.00367245</v>
      </c>
      <c r="L79" s="22">
        <v>0</v>
      </c>
      <c r="M79" s="23"/>
      <c r="N79" s="22">
        <f>IF(ISBLANK(A79),"",G79-J79-L79)</f>
        <v>190000000.00367245</v>
      </c>
    </row>
    <row r="80" spans="1:14" ht="13.5" hidden="1" customHeight="1" outlineLevel="1" x14ac:dyDescent="0.25">
      <c r="A80" s="70" t="s">
        <v>157</v>
      </c>
      <c r="B80" s="69"/>
      <c r="C80" s="28" t="s">
        <v>158</v>
      </c>
      <c r="D80" s="18"/>
      <c r="E80" s="22">
        <f>IF(ISBLANK(A80),"",     SUMIF(CATEGORIAS[[#All],[SUBGRUPO]],     A80,     CATEGORIAS[[#All],[PRESUPUESTO
(ORIGINAL)]]))</f>
        <v>47500000.000918113</v>
      </c>
      <c r="F80" s="22"/>
      <c r="G80" s="22">
        <f>IF(ISBLANK(A80),"",     SUMIF(CATEGORIAS[[#All],[SUBGRUPO]],     A80,     CATEGORIAS[[#All],[PRESUPUESTO
FINAL
PROYECTADO]]))</f>
        <v>47500000.000918113</v>
      </c>
      <c r="H80" s="23"/>
      <c r="I80" s="22">
        <v>0</v>
      </c>
      <c r="J80" s="22">
        <v>0</v>
      </c>
      <c r="K80" s="22">
        <f>IF(ISBLANK(A80),"",SUMIF(CATEGORIAS[[#All],[SUBGRUPO]],     A80,     CATEGORIAS[[#All],[TOTAL PRODUCCION
ACTUAL]]))</f>
        <v>47500000.000918113</v>
      </c>
      <c r="L80" s="22">
        <v>0</v>
      </c>
      <c r="M80" s="23"/>
      <c r="N80" s="22">
        <f>IF(ISBLANK(A80),"",G80-J80-L80)</f>
        <v>47500000.000918113</v>
      </c>
    </row>
    <row r="81" spans="1:15" ht="13.5" hidden="1" customHeight="1" outlineLevel="1" x14ac:dyDescent="0.25">
      <c r="A81" s="70" t="s">
        <v>159</v>
      </c>
      <c r="B81" s="69"/>
      <c r="C81" s="28" t="s">
        <v>160</v>
      </c>
      <c r="D81" s="18"/>
      <c r="E81" s="22">
        <f>IF(ISBLANK(A81),"",     SUMIF(CATEGORIAS[[#All],[SUBGRUPO]],     A81,     CATEGORIAS[[#All],[PRESUPUESTO
(ORIGINAL)]]))</f>
        <v>142500000.00275433</v>
      </c>
      <c r="F81" s="22"/>
      <c r="G81" s="22">
        <f>IF(ISBLANK(A81),"",     SUMIF(CATEGORIAS[[#All],[SUBGRUPO]],     A81,     CATEGORIAS[[#All],[PRESUPUESTO
FINAL
PROYECTADO]]))</f>
        <v>142500000.00275433</v>
      </c>
      <c r="H81" s="23"/>
      <c r="I81" s="22">
        <v>0</v>
      </c>
      <c r="J81" s="22">
        <v>0</v>
      </c>
      <c r="K81" s="22">
        <f>IF(ISBLANK(A81),"",SUMIF(CATEGORIAS[[#All],[SUBGRUPO]],     A81,     CATEGORIAS[[#All],[TOTAL PRODUCCION
ACTUAL]]))</f>
        <v>142500000.00275433</v>
      </c>
      <c r="L81" s="22">
        <v>0</v>
      </c>
      <c r="M81" s="23"/>
      <c r="N81" s="22">
        <f>IF(ISBLANK(A81),"",G81-J81-L81)</f>
        <v>142500000.00275433</v>
      </c>
    </row>
    <row r="82" spans="1:15" ht="13.5" hidden="1" customHeight="1" outlineLevel="1" x14ac:dyDescent="0.25">
      <c r="A82" s="70"/>
      <c r="B82" s="69"/>
      <c r="C82" s="28"/>
      <c r="D82" s="18"/>
      <c r="E82" s="22"/>
      <c r="F82" s="22"/>
      <c r="G82" s="22"/>
      <c r="H82" s="23"/>
      <c r="I82" s="22"/>
      <c r="J82" s="22"/>
      <c r="K82" s="22"/>
      <c r="L82" s="22"/>
      <c r="M82" s="23"/>
      <c r="N82" s="22"/>
    </row>
    <row r="83" spans="1:15" ht="13.5" customHeight="1" collapsed="1" x14ac:dyDescent="0.25">
      <c r="A83" s="70"/>
      <c r="B83" s="69" t="s">
        <v>161</v>
      </c>
      <c r="C83" s="78" t="s">
        <v>162</v>
      </c>
      <c r="D83" s="16"/>
      <c r="E83" s="77">
        <f>E54+E76+E78</f>
        <v>4750000000.2055168</v>
      </c>
      <c r="F83" s="77">
        <f>F54+F76+F78</f>
        <v>1263966117.9395285</v>
      </c>
      <c r="G83" s="77">
        <f>G54+G76+G78</f>
        <v>6013966118.1450424</v>
      </c>
      <c r="H83" s="31"/>
      <c r="I83" s="77">
        <f>I54+I76+I78</f>
        <v>41655894.819999993</v>
      </c>
      <c r="J83" s="77">
        <f>J54+J76+J78</f>
        <v>5243840296.9115019</v>
      </c>
      <c r="K83" s="77">
        <f>K54+K76+K78</f>
        <v>6013966118.1469126</v>
      </c>
      <c r="L83" s="77">
        <f>L54+L76+L78</f>
        <v>4384841</v>
      </c>
      <c r="M83" s="31"/>
      <c r="N83" s="77">
        <f>N54+N76+N78+N82</f>
        <v>765740980.21734488</v>
      </c>
      <c r="O83" s="235"/>
    </row>
    <row r="84" spans="1:15" ht="13.5" customHeight="1" x14ac:dyDescent="0.25">
      <c r="A84" s="70"/>
      <c r="B84" s="69" t="s">
        <v>163</v>
      </c>
      <c r="C84" s="260" t="s">
        <v>164</v>
      </c>
      <c r="D84" s="16"/>
      <c r="E84" s="356"/>
      <c r="F84" s="357"/>
      <c r="G84" s="358"/>
      <c r="H84" s="31"/>
      <c r="I84" s="356"/>
      <c r="J84" s="357"/>
      <c r="K84" s="357"/>
      <c r="L84" s="358"/>
      <c r="M84" s="31"/>
      <c r="N84" s="261">
        <f>-4%*G83</f>
        <v>-240558644.72580171</v>
      </c>
    </row>
    <row r="85" spans="1:15" ht="13.5" customHeight="1" x14ac:dyDescent="0.25">
      <c r="A85" s="70"/>
      <c r="B85" s="69" t="s">
        <v>165</v>
      </c>
      <c r="C85" s="260" t="s">
        <v>162</v>
      </c>
      <c r="D85" s="16"/>
      <c r="E85" s="356"/>
      <c r="F85" s="357"/>
      <c r="G85" s="358"/>
      <c r="H85" s="31"/>
      <c r="I85" s="356"/>
      <c r="J85" s="357"/>
      <c r="K85" s="357"/>
      <c r="L85" s="358"/>
      <c r="M85" s="31"/>
      <c r="N85" s="261">
        <f>+N83+N84</f>
        <v>525182335.49154317</v>
      </c>
    </row>
    <row r="86" spans="1:15" ht="15.75" thickBot="1" x14ac:dyDescent="0.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7"/>
      <c r="M86" s="37"/>
      <c r="N86" s="37"/>
      <c r="O86" s="235"/>
    </row>
    <row r="87" spans="1:15" ht="15.75" thickBot="1" x14ac:dyDescent="0.3">
      <c r="A87" s="70"/>
      <c r="B87" s="72"/>
      <c r="C87" s="25" t="s">
        <v>166</v>
      </c>
      <c r="D87" s="18"/>
      <c r="E87" s="34"/>
      <c r="F87" s="35"/>
      <c r="G87" s="249"/>
      <c r="H87" s="19"/>
      <c r="I87" s="36"/>
      <c r="J87" s="36"/>
      <c r="K87" s="36"/>
      <c r="L87" s="37"/>
      <c r="M87" s="37"/>
      <c r="N87" s="37"/>
      <c r="O87" s="235"/>
    </row>
    <row r="88" spans="1:15" ht="15.75" thickBot="1" x14ac:dyDescent="0.3">
      <c r="A88" s="70"/>
      <c r="B88" s="72"/>
      <c r="C88" s="25" t="s">
        <v>167</v>
      </c>
      <c r="D88" s="18"/>
      <c r="E88" s="34">
        <v>45930</v>
      </c>
      <c r="F88" s="35"/>
      <c r="G88" s="19"/>
      <c r="H88" s="19"/>
      <c r="I88" s="15"/>
      <c r="J88" s="37"/>
      <c r="K88" s="37"/>
      <c r="L88" s="37"/>
      <c r="M88" s="37"/>
      <c r="N88" s="37"/>
    </row>
    <row r="89" spans="1:15" x14ac:dyDescent="0.25">
      <c r="A89" s="70"/>
      <c r="B89" s="7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20"/>
    </row>
    <row r="90" spans="1:15" x14ac:dyDescent="0.25">
      <c r="A90" s="70"/>
      <c r="B90" s="72"/>
      <c r="C90" s="15"/>
      <c r="D90" s="15"/>
      <c r="E90" s="15"/>
      <c r="F90" s="15"/>
      <c r="G90" s="36"/>
      <c r="H90" s="15"/>
      <c r="I90" s="15"/>
      <c r="J90" s="15"/>
      <c r="K90" s="20"/>
      <c r="L90" s="15"/>
      <c r="M90" s="15"/>
      <c r="N90" s="15"/>
    </row>
    <row r="91" spans="1:15" x14ac:dyDescent="0.25">
      <c r="A91" s="70"/>
      <c r="B91" s="7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5" ht="15.75" thickBot="1" x14ac:dyDescent="0.3">
      <c r="A92" s="70"/>
      <c r="B92" s="72"/>
      <c r="C92" s="16"/>
      <c r="D92" s="15"/>
      <c r="E92" s="15"/>
      <c r="F92" s="15"/>
      <c r="G92" s="15"/>
      <c r="H92" s="15"/>
      <c r="I92" s="15"/>
      <c r="J92" s="15"/>
      <c r="K92" s="15"/>
      <c r="L92" s="38"/>
      <c r="M92" s="38"/>
      <c r="N92" s="38"/>
    </row>
    <row r="93" spans="1:15" ht="15.75" thickTop="1" x14ac:dyDescent="0.25">
      <c r="A93" s="70"/>
      <c r="B93" s="72"/>
      <c r="C93" s="16"/>
      <c r="D93" s="15"/>
      <c r="E93" s="15"/>
      <c r="F93" s="15"/>
      <c r="G93" s="15"/>
      <c r="H93" s="15"/>
      <c r="I93" s="15"/>
      <c r="J93" s="15"/>
      <c r="K93" s="15"/>
      <c r="L93" s="352"/>
      <c r="M93" s="352"/>
      <c r="N93" s="352"/>
    </row>
    <row r="94" spans="1:15" x14ac:dyDescent="0.25">
      <c r="A94" s="70"/>
      <c r="B94" s="72"/>
      <c r="C94" s="16"/>
      <c r="D94" s="15"/>
      <c r="E94" s="15"/>
      <c r="F94" s="15"/>
      <c r="G94" s="15"/>
      <c r="H94" s="15"/>
      <c r="I94" s="15"/>
      <c r="J94" s="15"/>
      <c r="K94" s="15"/>
      <c r="L94" s="352" t="s">
        <v>168</v>
      </c>
      <c r="M94" s="352"/>
      <c r="N94" s="352"/>
    </row>
  </sheetData>
  <sheetProtection selectLockedCells="1" autoFilter="0" selectUnlockedCells="1"/>
  <mergeCells count="9">
    <mergeCell ref="L93:N93"/>
    <mergeCell ref="L94:N94"/>
    <mergeCell ref="B2:G2"/>
    <mergeCell ref="L2:N2"/>
    <mergeCell ref="B1:N1"/>
    <mergeCell ref="E84:G84"/>
    <mergeCell ref="I84:L84"/>
    <mergeCell ref="E85:G85"/>
    <mergeCell ref="I85:L85"/>
  </mergeCells>
  <phoneticPr fontId="35" type="noConversion"/>
  <conditionalFormatting sqref="A74">
    <cfRule type="duplicateValues" dxfId="13" priority="2"/>
  </conditionalFormatting>
  <conditionalFormatting sqref="A75:A83 A1:A73 A86:A1048576">
    <cfRule type="duplicateValues" dxfId="12" priority="4"/>
  </conditionalFormatting>
  <conditionalFormatting sqref="A84:A85">
    <cfRule type="duplicateValues" dxfId="11" priority="1"/>
  </conditionalFormatting>
  <printOptions horizontalCentered="1"/>
  <pageMargins left="0.23622047244094491" right="0.23622047244094491" top="0.35433070866141736" bottom="0.35433070866141736" header="0.31496062992125984" footer="0.31496062992125984"/>
  <pageSetup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AH612"/>
  <sheetViews>
    <sheetView tabSelected="1" zoomScale="70" zoomScaleNormal="70" workbookViewId="0">
      <pane xSplit="5" ySplit="6" topLeftCell="F7" activePane="bottomRight" state="frozen"/>
      <selection activeCell="R21" sqref="R21"/>
      <selection pane="topRight" activeCell="R21" sqref="R21"/>
      <selection pane="bottomLeft" activeCell="R21" sqref="R21"/>
      <selection pane="bottomRight" activeCell="H16" sqref="H16"/>
    </sheetView>
  </sheetViews>
  <sheetFormatPr baseColWidth="10" defaultColWidth="11.42578125" defaultRowHeight="15" outlineLevelCol="1" x14ac:dyDescent="0.25"/>
  <cols>
    <col min="1" max="1" width="10.7109375" style="140" customWidth="1"/>
    <col min="2" max="2" width="12.28515625" style="140" customWidth="1"/>
    <col min="3" max="3" width="22.7109375" style="140" customWidth="1"/>
    <col min="4" max="4" width="23.42578125" style="324" bestFit="1" customWidth="1"/>
    <col min="5" max="5" width="56.7109375" style="140" bestFit="1" customWidth="1"/>
    <col min="6" max="6" width="15.28515625" style="140" customWidth="1"/>
    <col min="7" max="7" width="24" style="140" bestFit="1" customWidth="1"/>
    <col min="8" max="8" width="21.140625" style="102" customWidth="1"/>
    <col min="9" max="9" width="24" style="102" customWidth="1"/>
    <col min="10" max="11" width="21" style="102" hidden="1" customWidth="1" outlineLevel="1"/>
    <col min="12" max="12" width="25.85546875" style="140" customWidth="1" collapsed="1"/>
    <col min="13" max="13" width="24" style="102" customWidth="1"/>
    <col min="14" max="14" width="24" style="102" bestFit="1" customWidth="1"/>
    <col min="15" max="15" width="24" style="140" customWidth="1"/>
    <col min="16" max="17" width="24" style="102" bestFit="1" customWidth="1"/>
    <col min="18" max="18" width="24" style="140" bestFit="1" customWidth="1"/>
    <col min="19" max="19" width="24.42578125" style="102" customWidth="1"/>
    <col min="20" max="20" width="21" style="102" bestFit="1" customWidth="1"/>
    <col min="21" max="21" width="24.42578125" style="102" bestFit="1" customWidth="1"/>
    <col min="22" max="22" width="23.42578125" style="140" bestFit="1" customWidth="1"/>
    <col min="23" max="23" width="23.140625" style="102" bestFit="1" customWidth="1"/>
    <col min="24" max="24" width="21" style="102" bestFit="1" customWidth="1"/>
    <col min="25" max="25" width="21.42578125" style="102" bestFit="1" customWidth="1"/>
    <col min="26" max="26" width="23.42578125" style="140" bestFit="1" customWidth="1"/>
    <col min="27" max="27" width="23.85546875" style="140" bestFit="1" customWidth="1"/>
    <col min="28" max="29" width="22.42578125" style="102" bestFit="1" customWidth="1"/>
    <col min="30" max="30" width="22.140625" style="102" bestFit="1" customWidth="1"/>
    <col min="31" max="31" width="23.85546875" style="140" bestFit="1" customWidth="1"/>
    <col min="32" max="32" width="11.42578125" style="102" customWidth="1"/>
    <col min="33" max="33" width="12.7109375" style="102" hidden="1" customWidth="1"/>
    <col min="34" max="16384" width="11.42578125" style="102"/>
  </cols>
  <sheetData>
    <row r="1" spans="1:33" x14ac:dyDescent="0.25">
      <c r="A1" s="101"/>
      <c r="B1" s="101"/>
      <c r="C1" s="101"/>
      <c r="D1" s="205"/>
      <c r="E1" s="298" t="s">
        <v>341</v>
      </c>
      <c r="F1" s="101"/>
      <c r="G1" s="101">
        <v>4</v>
      </c>
      <c r="H1" s="101">
        <v>5</v>
      </c>
      <c r="I1" s="101">
        <v>6</v>
      </c>
      <c r="J1" s="101"/>
      <c r="K1" s="101"/>
      <c r="L1" s="101">
        <v>7</v>
      </c>
      <c r="M1" s="101">
        <v>8</v>
      </c>
      <c r="N1" s="334"/>
      <c r="O1" s="334">
        <f>+L2-O2</f>
        <v>-1.8701553344726563E-3</v>
      </c>
      <c r="P1" s="101">
        <v>11</v>
      </c>
      <c r="Q1" s="101">
        <v>12</v>
      </c>
      <c r="R1" s="101">
        <v>13</v>
      </c>
      <c r="S1" s="101">
        <v>14</v>
      </c>
      <c r="T1" s="101">
        <v>15</v>
      </c>
      <c r="U1" s="101">
        <v>16</v>
      </c>
      <c r="V1" s="101">
        <v>17</v>
      </c>
      <c r="W1" s="101">
        <v>18</v>
      </c>
      <c r="X1" s="101">
        <v>19</v>
      </c>
      <c r="Y1" s="101">
        <v>20</v>
      </c>
      <c r="Z1" s="101">
        <v>21</v>
      </c>
      <c r="AA1" s="101">
        <v>22</v>
      </c>
      <c r="AB1" s="101">
        <v>23</v>
      </c>
      <c r="AC1" s="101">
        <v>24</v>
      </c>
      <c r="AD1" s="101">
        <v>25</v>
      </c>
      <c r="AE1" s="101">
        <v>26</v>
      </c>
    </row>
    <row r="2" spans="1:33" ht="15.75" thickBot="1" x14ac:dyDescent="0.3">
      <c r="A2" s="102"/>
      <c r="B2" s="102"/>
      <c r="C2" s="223"/>
      <c r="D2" s="320"/>
      <c r="E2" s="102" t="s">
        <v>341</v>
      </c>
      <c r="F2" s="102"/>
      <c r="G2" s="145">
        <f>SUBTOTAL(9,CATEGORIAS[PRESUPUESTO
(ORIGINAL)])</f>
        <v>4750000000.2055159</v>
      </c>
      <c r="H2" s="145">
        <f>SUBTOTAL(9,CATEGORIAS[POM])</f>
        <v>4313940396.3679523</v>
      </c>
      <c r="I2" s="145">
        <f>SUBTOTAL(9,CATEGORIAS[ADICIONALES])</f>
        <v>1561321455.4184589</v>
      </c>
      <c r="J2" s="145">
        <f>+SUBTOTAL(9,CATEGORIAS[REAJUSTE 
PAGADO])</f>
        <v>138704266.35863319</v>
      </c>
      <c r="K2" s="145">
        <f>+SUBTOTAL(9,CATEGORIAS[REAJUSTE
PROYECTADO])</f>
        <v>0</v>
      </c>
      <c r="L2" s="145">
        <f>SUBTOTAL(9,CATEGORIAS[PRESUPUESTO
FINAL
PROYECTADO])</f>
        <v>6013966118.1450443</v>
      </c>
      <c r="M2" s="145">
        <f>SUBTOTAL(9,CATEGORIAS[PRODUCCION
PARTIDAS
ORIGINALES
ACTUAL])</f>
        <v>4451884172.2223721</v>
      </c>
      <c r="N2" s="145">
        <f>SUBTOTAL(9,CATEGORIAS[PRODUCCION
ADICIONALES
ACTUAL])</f>
        <v>1562081945.9245412</v>
      </c>
      <c r="O2" s="145">
        <f>SUBTOTAL(9,CATEGORIAS[TOTAL PRODUCCION
ACTUAL])</f>
        <v>6013966118.1469145</v>
      </c>
      <c r="P2" s="145">
        <f>SUBTOTAL(9,CATEGORIAS[PRODUCCION
ANTERIOR])</f>
        <v>4451872427.8223724</v>
      </c>
      <c r="Q2" s="145">
        <f>SUBTOTAL(9,CATEGORIAS[PRODUCCION
ADICIONALES
ANTERIOR])</f>
        <v>1541301354.4184592</v>
      </c>
      <c r="R2" s="145">
        <f>SUBTOTAL(9,CATEGORIAS[TOTAL PRODUCCION
ANTERIOR])</f>
        <v>5993173782.2408276</v>
      </c>
      <c r="S2" s="145">
        <f>SUBTOTAL(9,CATEGORIAS[COSTO
ACUMULADO  AX])</f>
        <v>5598112754.5761814</v>
      </c>
      <c r="T2" s="145">
        <f>SUM(CATEGORIAS[CAMBIO DE
CATEGORIA])</f>
        <v>3.7252902984619141E-9</v>
      </c>
      <c r="U2" s="145">
        <f>SUBTOTAL(9,CATEGORIAS[PROVISIONES])</f>
        <v>25727542.342666667</v>
      </c>
      <c r="V2" s="145">
        <f>SUBTOTAL(9,CATEGORIAS[COSTO REAL])</f>
        <v>5623840296.918848</v>
      </c>
      <c r="W2" s="145">
        <f>SUBTOTAL(9,CATEGORIAS[COSTO ACUMULADO
ANTERIOR])</f>
        <v>5416266799.5761805</v>
      </c>
      <c r="X2" s="145">
        <f>SUBTOTAL(9,CATEGORIAS[CAMBIO DE
CATEGORIA
ANTERIOR])</f>
        <v>3.7252902984619141E-9</v>
      </c>
      <c r="Y2" s="145">
        <f>SUBTOTAL(9,CATEGORIAS[PROVISIONES
ANTERIOR])</f>
        <v>165917602.52266669</v>
      </c>
      <c r="Z2" s="145">
        <f>SUBTOTAL(9,CATEGORIAS[COSTO REAL
ANTERIOR])</f>
        <v>5582184402.0988474</v>
      </c>
      <c r="AA2" s="145">
        <f>SUBTOTAL(9,CATEGORIAS[PROYECCION
DE INGRESO
DEL SALDO])</f>
        <v>5.105871707201004E-3</v>
      </c>
      <c r="AB2" s="145">
        <f>SUBTOTAL(9,CATEGORIAS[INVENTARIO])</f>
        <v>0</v>
      </c>
      <c r="AC2" s="145">
        <f>SUBTOTAL(9,CATEGORIAS[PEDIDOS DE COMPRA
NO RECIBIDOS])</f>
        <v>0</v>
      </c>
      <c r="AD2" s="145">
        <f>SUBTOTAL(9,CATEGORIAS[PROYECCION
DE COSTO
DEL SALDO])</f>
        <v>4384841</v>
      </c>
      <c r="AE2" s="145">
        <f>SUBTOTAL(9,CATEGORIAS[PROYECCION
TOTAL DE COSTO])</f>
        <v>4384841</v>
      </c>
    </row>
    <row r="3" spans="1:33" x14ac:dyDescent="0.25">
      <c r="A3" s="102"/>
      <c r="B3" s="281"/>
      <c r="C3" s="281"/>
      <c r="D3" s="321"/>
      <c r="E3" s="102" t="s">
        <v>342</v>
      </c>
      <c r="F3" s="223"/>
      <c r="G3" s="102"/>
      <c r="H3" s="332">
        <v>3931246334</v>
      </c>
      <c r="J3" s="328"/>
      <c r="K3" s="328"/>
      <c r="L3" s="337">
        <v>5993173782.2408276</v>
      </c>
      <c r="M3" s="359" t="s">
        <v>178</v>
      </c>
      <c r="N3" s="360"/>
      <c r="O3" s="360"/>
      <c r="P3" s="360"/>
      <c r="Q3" s="360"/>
      <c r="R3" s="361"/>
      <c r="S3" s="362" t="s">
        <v>267</v>
      </c>
      <c r="T3" s="363"/>
      <c r="U3" s="363"/>
      <c r="V3" s="363"/>
      <c r="W3" s="363"/>
      <c r="X3" s="363"/>
      <c r="Y3" s="363"/>
      <c r="Z3" s="364"/>
      <c r="AA3" s="365" t="s">
        <v>268</v>
      </c>
      <c r="AB3" s="366"/>
      <c r="AC3" s="366"/>
      <c r="AD3" s="366"/>
      <c r="AE3" s="367"/>
    </row>
    <row r="4" spans="1:33" ht="15.75" thickBot="1" x14ac:dyDescent="0.3">
      <c r="A4" s="102"/>
      <c r="B4" s="102"/>
      <c r="C4" s="102"/>
      <c r="D4" s="322"/>
      <c r="E4" s="102" t="s">
        <v>343</v>
      </c>
      <c r="F4" s="223"/>
      <c r="G4" s="102"/>
      <c r="H4" s="332">
        <f>+H2-H3</f>
        <v>382694062.36795235</v>
      </c>
      <c r="I4" s="223"/>
      <c r="J4" s="336">
        <v>138609278.15200001</v>
      </c>
      <c r="K4" s="330"/>
      <c r="L4" s="333"/>
      <c r="M4" s="368" t="s">
        <v>344</v>
      </c>
      <c r="N4" s="369"/>
      <c r="O4" s="370"/>
      <c r="P4" s="371" t="s">
        <v>345</v>
      </c>
      <c r="Q4" s="369"/>
      <c r="R4" s="372"/>
      <c r="S4" s="373" t="s">
        <v>172</v>
      </c>
      <c r="T4" s="374"/>
      <c r="U4" s="374"/>
      <c r="V4" s="375"/>
      <c r="W4" s="376" t="s">
        <v>346</v>
      </c>
      <c r="X4" s="374"/>
      <c r="Y4" s="374"/>
      <c r="Z4" s="377"/>
      <c r="AA4" s="103" t="s">
        <v>178</v>
      </c>
      <c r="AB4" s="376" t="s">
        <v>267</v>
      </c>
      <c r="AC4" s="374"/>
      <c r="AD4" s="374"/>
      <c r="AE4" s="377"/>
    </row>
    <row r="5" spans="1:33" s="104" customFormat="1" x14ac:dyDescent="0.25">
      <c r="G5" s="105" t="s">
        <v>347</v>
      </c>
      <c r="H5" s="105" t="s">
        <v>347</v>
      </c>
      <c r="I5" s="105" t="s">
        <v>347</v>
      </c>
      <c r="J5" s="105"/>
      <c r="K5" s="105"/>
      <c r="L5" s="105" t="s">
        <v>348</v>
      </c>
      <c r="M5" s="106" t="s">
        <v>347</v>
      </c>
      <c r="N5" s="107" t="s">
        <v>347</v>
      </c>
      <c r="O5" s="108" t="s">
        <v>348</v>
      </c>
      <c r="P5" s="109" t="s">
        <v>347</v>
      </c>
      <c r="Q5" s="107" t="s">
        <v>347</v>
      </c>
      <c r="R5" s="110" t="s">
        <v>348</v>
      </c>
      <c r="S5" s="111" t="s">
        <v>349</v>
      </c>
      <c r="T5" s="112" t="s">
        <v>347</v>
      </c>
      <c r="U5" s="113" t="s">
        <v>347</v>
      </c>
      <c r="V5" s="114" t="s">
        <v>348</v>
      </c>
      <c r="W5" s="128" t="s">
        <v>347</v>
      </c>
      <c r="X5" s="113" t="s">
        <v>347</v>
      </c>
      <c r="Y5" s="113" t="s">
        <v>347</v>
      </c>
      <c r="Z5" s="115" t="s">
        <v>348</v>
      </c>
      <c r="AA5" s="103" t="s">
        <v>348</v>
      </c>
      <c r="AB5" s="116" t="s">
        <v>349</v>
      </c>
      <c r="AC5" s="116" t="s">
        <v>349</v>
      </c>
      <c r="AD5" s="112" t="s">
        <v>347</v>
      </c>
      <c r="AE5" s="115" t="s">
        <v>348</v>
      </c>
    </row>
    <row r="6" spans="1:33" ht="60" x14ac:dyDescent="0.25">
      <c r="A6" s="184" t="s">
        <v>11</v>
      </c>
      <c r="B6" s="185" t="s">
        <v>350</v>
      </c>
      <c r="C6" s="185" t="s">
        <v>351</v>
      </c>
      <c r="D6" s="185" t="s">
        <v>2297</v>
      </c>
      <c r="E6" s="186" t="s">
        <v>352</v>
      </c>
      <c r="F6" s="186" t="s">
        <v>353</v>
      </c>
      <c r="G6" s="331" t="s">
        <v>354</v>
      </c>
      <c r="H6" s="331" t="s">
        <v>177</v>
      </c>
      <c r="I6" s="331" t="s">
        <v>179</v>
      </c>
      <c r="J6" s="331" t="s">
        <v>2462</v>
      </c>
      <c r="K6" s="331" t="s">
        <v>2463</v>
      </c>
      <c r="L6" s="331" t="s">
        <v>355</v>
      </c>
      <c r="M6" s="187" t="s">
        <v>356</v>
      </c>
      <c r="N6" s="187" t="s">
        <v>357</v>
      </c>
      <c r="O6" s="187" t="s">
        <v>358</v>
      </c>
      <c r="P6" s="118" t="s">
        <v>359</v>
      </c>
      <c r="Q6" s="117" t="s">
        <v>360</v>
      </c>
      <c r="R6" s="188" t="s">
        <v>361</v>
      </c>
      <c r="S6" s="119" t="s">
        <v>362</v>
      </c>
      <c r="T6" s="120" t="s">
        <v>363</v>
      </c>
      <c r="U6" s="113" t="s">
        <v>364</v>
      </c>
      <c r="V6" s="114" t="s">
        <v>365</v>
      </c>
      <c r="W6" s="121" t="s">
        <v>366</v>
      </c>
      <c r="X6" s="120" t="s">
        <v>367</v>
      </c>
      <c r="Y6" s="122" t="s">
        <v>368</v>
      </c>
      <c r="Z6" s="189" t="s">
        <v>369</v>
      </c>
      <c r="AA6" s="190" t="s">
        <v>370</v>
      </c>
      <c r="AB6" s="116" t="s">
        <v>371</v>
      </c>
      <c r="AC6" s="123" t="s">
        <v>372</v>
      </c>
      <c r="AD6" s="120" t="s">
        <v>373</v>
      </c>
      <c r="AE6" s="122" t="s">
        <v>374</v>
      </c>
      <c r="AF6" s="122" t="s">
        <v>375</v>
      </c>
      <c r="AG6" s="102" t="s">
        <v>2430</v>
      </c>
    </row>
    <row r="7" spans="1:33" x14ac:dyDescent="0.25">
      <c r="A7" s="245"/>
      <c r="B7" s="245"/>
      <c r="C7" s="245"/>
      <c r="D7" s="323" t="s">
        <v>1449</v>
      </c>
      <c r="E7" s="246" t="s">
        <v>2298</v>
      </c>
      <c r="F7" s="246" t="s">
        <v>376</v>
      </c>
      <c r="G7" s="279">
        <v>0</v>
      </c>
      <c r="H7" s="279">
        <v>0</v>
      </c>
      <c r="I7" s="132">
        <v>0</v>
      </c>
      <c r="J7" s="132">
        <v>0</v>
      </c>
      <c r="K7" s="132">
        <v>0</v>
      </c>
      <c r="L7" s="144">
        <f>CATEGORIAS[[#This Row],[ADICIONALES]]+CATEGORIAS[[#This Row],[POM]]+CATEGORIAS[[#This Row],[REAJUSTE 
PAGADO]]+CATEGORIAS[[#This Row],[REAJUSTE
PROYECTADO]]</f>
        <v>0</v>
      </c>
      <c r="M7" s="133">
        <v>0</v>
      </c>
      <c r="N7" s="325">
        <v>0</v>
      </c>
      <c r="O7" s="142">
        <f>+CATEGORIAS[[#This Row],[PRODUCCION
PARTIDAS
ORIGINALES
ACTUAL]]+CATEGORIAS[[#This Row],[PRODUCCION
ADICIONALES
ACTUAL]]</f>
        <v>0</v>
      </c>
      <c r="P7" s="134">
        <v>0</v>
      </c>
      <c r="Q7" s="134">
        <v>0</v>
      </c>
      <c r="R7" s="141">
        <f>+CATEGORIAS[[#This Row],[PRODUCCION
ANTERIOR]]+CATEGORIAS[[#This Row],[PRODUCCION
ADICIONALES
ANTERIOR]]</f>
        <v>0</v>
      </c>
      <c r="S7" s="135">
        <v>0</v>
      </c>
      <c r="T7" s="135"/>
      <c r="U7" s="135">
        <v>0</v>
      </c>
      <c r="V7" s="142">
        <f>SUM(CATEGORIAS[[#This Row],[COSTO
ACUMULADO  AX]:[PROVISIONES]])</f>
        <v>0</v>
      </c>
      <c r="W7" s="135">
        <v>0</v>
      </c>
      <c r="X7" s="134"/>
      <c r="Y7" s="134">
        <v>0</v>
      </c>
      <c r="Z7" s="141">
        <f>SUM(CATEGORIAS[[#This Row],[COSTO ACUMULADO
ANTERIOR]:[PROVISIONES
ANTERIOR]])</f>
        <v>0</v>
      </c>
      <c r="AA7" s="338">
        <f>ABS(+CATEGORIAS[[#This Row],[PRESUPUESTO
FINAL
PROYECTADO]]-CATEGORIAS[[#This Row],[TOTAL PRODUCCION
ACTUAL]])</f>
        <v>0</v>
      </c>
      <c r="AB7" s="134"/>
      <c r="AC7" s="134"/>
      <c r="AD7" s="134">
        <v>0</v>
      </c>
      <c r="AE7" s="139">
        <f>SUM(CATEGORIAS[[#This Row],[INVENTARIO]:[PROYECCION
DE COSTO
DEL SALDO]])</f>
        <v>0</v>
      </c>
      <c r="AF7" s="134"/>
      <c r="AG7" s="134">
        <f>+CATEGORIAS[[#This Row],[PRESUPUESTO
FINAL
PROYECTADO]]-CATEGORIAS[[#This Row],[COSTO REAL]]-CATEGORIAS[[#This Row],[PROYECCION
TOTAL DE COSTO]]</f>
        <v>0</v>
      </c>
    </row>
    <row r="8" spans="1:33" x14ac:dyDescent="0.25">
      <c r="A8" s="245"/>
      <c r="B8" s="245"/>
      <c r="C8" s="245"/>
      <c r="D8" s="323" t="s">
        <v>1750</v>
      </c>
      <c r="E8" s="246" t="s">
        <v>2340</v>
      </c>
      <c r="F8" s="246" t="s">
        <v>376</v>
      </c>
      <c r="G8" s="279">
        <v>0</v>
      </c>
      <c r="H8" s="279">
        <v>0</v>
      </c>
      <c r="I8" s="132">
        <v>0</v>
      </c>
      <c r="J8" s="132">
        <v>0</v>
      </c>
      <c r="K8" s="132">
        <v>0</v>
      </c>
      <c r="L8" s="144">
        <f>CATEGORIAS[[#This Row],[ADICIONALES]]+CATEGORIAS[[#This Row],[POM]]+CATEGORIAS[[#This Row],[REAJUSTE 
PAGADO]]+CATEGORIAS[[#This Row],[REAJUSTE
PROYECTADO]]</f>
        <v>0</v>
      </c>
      <c r="M8" s="133">
        <v>0</v>
      </c>
      <c r="N8" s="325">
        <v>0</v>
      </c>
      <c r="O8" s="142">
        <f>+CATEGORIAS[[#This Row],[PRODUCCION
PARTIDAS
ORIGINALES
ACTUAL]]+CATEGORIAS[[#This Row],[PRODUCCION
ADICIONALES
ACTUAL]]</f>
        <v>0</v>
      </c>
      <c r="P8" s="134">
        <v>0</v>
      </c>
      <c r="Q8" s="134">
        <v>0</v>
      </c>
      <c r="R8" s="141">
        <f>+CATEGORIAS[[#This Row],[PRODUCCION
ANTERIOR]]+CATEGORIAS[[#This Row],[PRODUCCION
ADICIONALES
ANTERIOR]]</f>
        <v>0</v>
      </c>
      <c r="S8" s="135">
        <v>0</v>
      </c>
      <c r="T8" s="135"/>
      <c r="U8" s="135">
        <v>0</v>
      </c>
      <c r="V8" s="142">
        <f>SUM(CATEGORIAS[[#This Row],[COSTO
ACUMULADO  AX]:[PROVISIONES]])</f>
        <v>0</v>
      </c>
      <c r="W8" s="135">
        <v>0</v>
      </c>
      <c r="X8" s="134"/>
      <c r="Y8" s="134">
        <v>0</v>
      </c>
      <c r="Z8" s="141">
        <f>SUM(CATEGORIAS[[#This Row],[COSTO ACUMULADO
ANTERIOR]:[PROVISIONES
ANTERIOR]])</f>
        <v>0</v>
      </c>
      <c r="AA8" s="338">
        <f>ABS(+CATEGORIAS[[#This Row],[PRESUPUESTO
FINAL
PROYECTADO]]-CATEGORIAS[[#This Row],[TOTAL PRODUCCION
ACTUAL]])</f>
        <v>0</v>
      </c>
      <c r="AB8" s="134"/>
      <c r="AC8" s="134"/>
      <c r="AD8" s="134">
        <v>0</v>
      </c>
      <c r="AE8" s="139">
        <f>SUM(CATEGORIAS[[#This Row],[INVENTARIO]:[PROYECCION
DE COSTO
DEL SALDO]])</f>
        <v>0</v>
      </c>
      <c r="AF8" s="134"/>
      <c r="AG8" s="134">
        <f>+CATEGORIAS[[#This Row],[PRESUPUESTO
FINAL
PROYECTADO]]-CATEGORIAS[[#This Row],[COSTO REAL]]-CATEGORIAS[[#This Row],[PROYECCION
TOTAL DE COSTO]]</f>
        <v>0</v>
      </c>
    </row>
    <row r="9" spans="1:33" x14ac:dyDescent="0.25">
      <c r="A9" s="245" t="s">
        <v>26</v>
      </c>
      <c r="B9" s="245" t="s">
        <v>26</v>
      </c>
      <c r="C9" s="245" t="s">
        <v>186</v>
      </c>
      <c r="D9" s="323" t="s">
        <v>1751</v>
      </c>
      <c r="E9" s="246" t="s">
        <v>381</v>
      </c>
      <c r="F9" s="246" t="s">
        <v>376</v>
      </c>
      <c r="G9" s="279">
        <v>249347566.42085752</v>
      </c>
      <c r="H9" s="279">
        <v>148362768.55103472</v>
      </c>
      <c r="I9" s="132">
        <v>45209536.988993883</v>
      </c>
      <c r="J9" s="132">
        <v>5231027.1365180677</v>
      </c>
      <c r="K9" s="132">
        <v>0</v>
      </c>
      <c r="L9" s="144">
        <f>CATEGORIAS[[#This Row],[ADICIONALES]]+CATEGORIAS[[#This Row],[POM]]+CATEGORIAS[[#This Row],[REAJUSTE 
PAGADO]]+CATEGORIAS[[#This Row],[REAJUSTE
PROYECTADO]]</f>
        <v>198803332.67654666</v>
      </c>
      <c r="M9" s="133">
        <v>153564671.98540756</v>
      </c>
      <c r="N9" s="325">
        <v>45238660.691139102</v>
      </c>
      <c r="O9" s="142">
        <f>+CATEGORIAS[[#This Row],[PRODUCCION
PARTIDAS
ORIGINALES
ACTUAL]]+CATEGORIAS[[#This Row],[PRODUCCION
ADICIONALES
ACTUAL]]</f>
        <v>198803332.67654666</v>
      </c>
      <c r="P9" s="222">
        <v>153564671.98540756</v>
      </c>
      <c r="Q9" s="222">
        <v>45209536.988993883</v>
      </c>
      <c r="R9" s="141">
        <f>+CATEGORIAS[[#This Row],[PRODUCCION
ANTERIOR]]+CATEGORIAS[[#This Row],[PRODUCCION
ADICIONALES
ANTERIOR]]</f>
        <v>198774208.97440144</v>
      </c>
      <c r="S9" s="135">
        <v>242028406</v>
      </c>
      <c r="T9" s="135">
        <v>-15605465</v>
      </c>
      <c r="U9" s="135">
        <v>0</v>
      </c>
      <c r="V9" s="262">
        <f>SUM(CATEGORIAS[[#This Row],[COSTO
ACUMULADO  AX]:[PROVISIONES]])</f>
        <v>226422941</v>
      </c>
      <c r="W9" s="264">
        <v>242028406</v>
      </c>
      <c r="X9" s="222">
        <v>-15605465</v>
      </c>
      <c r="Y9" s="222">
        <v>0</v>
      </c>
      <c r="Z9" s="263">
        <f>SUM(CATEGORIAS[[#This Row],[COSTO ACUMULADO
ANTERIOR]:[PROVISIONES
ANTERIOR]])</f>
        <v>226422941</v>
      </c>
      <c r="AA9" s="338">
        <f>ABS(+CATEGORIAS[[#This Row],[PRESUPUESTO
FINAL
PROYECTADO]]-CATEGORIAS[[#This Row],[TOTAL PRODUCCION
ACTUAL]])</f>
        <v>0</v>
      </c>
      <c r="AB9" s="222"/>
      <c r="AC9" s="134"/>
      <c r="AD9" s="134">
        <v>0</v>
      </c>
      <c r="AE9" s="221">
        <f>SUM(CATEGORIAS[[#This Row],[INVENTARIO]:[PROYECCION
DE COSTO
DEL SALDO]])</f>
        <v>0</v>
      </c>
      <c r="AF9" s="134"/>
      <c r="AG9" s="134">
        <f>+CATEGORIAS[[#This Row],[PRESUPUESTO
FINAL
PROYECTADO]]-CATEGORIAS[[#This Row],[COSTO REAL]]-CATEGORIAS[[#This Row],[PROYECCION
TOTAL DE COSTO]]</f>
        <v>-27619608.323453337</v>
      </c>
    </row>
    <row r="10" spans="1:33" x14ac:dyDescent="0.25">
      <c r="A10" s="245"/>
      <c r="B10" s="245"/>
      <c r="C10" s="245"/>
      <c r="D10" s="323" t="s">
        <v>1752</v>
      </c>
      <c r="E10" s="244" t="s">
        <v>383</v>
      </c>
      <c r="F10" s="246" t="s">
        <v>376</v>
      </c>
      <c r="G10" s="279">
        <v>0</v>
      </c>
      <c r="H10" s="279">
        <v>0</v>
      </c>
      <c r="I10" s="132">
        <v>0</v>
      </c>
      <c r="J10" s="132">
        <v>0</v>
      </c>
      <c r="K10" s="132">
        <v>0</v>
      </c>
      <c r="L10" s="144">
        <f>CATEGORIAS[[#This Row],[ADICIONALES]]+CATEGORIAS[[#This Row],[POM]]+CATEGORIAS[[#This Row],[REAJUSTE 
PAGADO]]+CATEGORIAS[[#This Row],[REAJUSTE
PROYECTADO]]</f>
        <v>0</v>
      </c>
      <c r="M10" s="133">
        <v>0</v>
      </c>
      <c r="N10" s="325">
        <v>0</v>
      </c>
      <c r="O10" s="142">
        <f>+CATEGORIAS[[#This Row],[PRODUCCION
PARTIDAS
ORIGINALES
ACTUAL]]+CATEGORIAS[[#This Row],[PRODUCCION
ADICIONALES
ACTUAL]]</f>
        <v>0</v>
      </c>
      <c r="P10" s="222">
        <v>0</v>
      </c>
      <c r="Q10" s="222">
        <v>0</v>
      </c>
      <c r="R10" s="141">
        <f>+CATEGORIAS[[#This Row],[PRODUCCION
ANTERIOR]]+CATEGORIAS[[#This Row],[PRODUCCION
ADICIONALES
ANTERIOR]]</f>
        <v>0</v>
      </c>
      <c r="S10" s="135">
        <v>0</v>
      </c>
      <c r="T10" s="135"/>
      <c r="U10" s="135">
        <v>0</v>
      </c>
      <c r="V10" s="262">
        <f>SUM(CATEGORIAS[[#This Row],[COSTO
ACUMULADO  AX]:[PROVISIONES]])</f>
        <v>0</v>
      </c>
      <c r="W10" s="264">
        <v>0</v>
      </c>
      <c r="X10" s="222"/>
      <c r="Y10" s="222">
        <v>0</v>
      </c>
      <c r="Z10" s="263">
        <f>SUM(CATEGORIAS[[#This Row],[COSTO ACUMULADO
ANTERIOR]:[PROVISIONES
ANTERIOR]])</f>
        <v>0</v>
      </c>
      <c r="AA10" s="338">
        <f>ABS(+CATEGORIAS[[#This Row],[PRESUPUESTO
FINAL
PROYECTADO]]-CATEGORIAS[[#This Row],[TOTAL PRODUCCION
ACTUAL]])</f>
        <v>0</v>
      </c>
      <c r="AB10" s="222"/>
      <c r="AC10" s="134"/>
      <c r="AD10" s="134">
        <v>0</v>
      </c>
      <c r="AE10" s="221">
        <f>SUM(CATEGORIAS[[#This Row],[INVENTARIO]:[PROYECCION
DE COSTO
DEL SALDO]])</f>
        <v>0</v>
      </c>
      <c r="AF10" s="134"/>
      <c r="AG10" s="134">
        <f>+CATEGORIAS[[#This Row],[PRESUPUESTO
FINAL
PROYECTADO]]-CATEGORIAS[[#This Row],[COSTO REAL]]-CATEGORIAS[[#This Row],[PROYECCION
TOTAL DE COSTO]]</f>
        <v>0</v>
      </c>
    </row>
    <row r="11" spans="1:33" x14ac:dyDescent="0.25">
      <c r="A11" s="245"/>
      <c r="B11" s="245"/>
      <c r="C11" s="245"/>
      <c r="D11" s="323" t="s">
        <v>1753</v>
      </c>
      <c r="E11" s="246" t="s">
        <v>385</v>
      </c>
      <c r="F11" s="246" t="s">
        <v>376</v>
      </c>
      <c r="G11" s="279">
        <v>0</v>
      </c>
      <c r="H11" s="279">
        <v>0</v>
      </c>
      <c r="I11" s="132">
        <v>0</v>
      </c>
      <c r="J11" s="132">
        <v>0</v>
      </c>
      <c r="K11" s="132">
        <v>0</v>
      </c>
      <c r="L11" s="144">
        <f>CATEGORIAS[[#This Row],[ADICIONALES]]+CATEGORIAS[[#This Row],[POM]]+CATEGORIAS[[#This Row],[REAJUSTE 
PAGADO]]+CATEGORIAS[[#This Row],[REAJUSTE
PROYECTADO]]</f>
        <v>0</v>
      </c>
      <c r="M11" s="133">
        <v>0</v>
      </c>
      <c r="N11" s="325">
        <v>0</v>
      </c>
      <c r="O11" s="142">
        <f>+CATEGORIAS[[#This Row],[PRODUCCION
PARTIDAS
ORIGINALES
ACTUAL]]+CATEGORIAS[[#This Row],[PRODUCCION
ADICIONALES
ACTUAL]]</f>
        <v>0</v>
      </c>
      <c r="P11" s="222">
        <v>0</v>
      </c>
      <c r="Q11" s="222">
        <v>0</v>
      </c>
      <c r="R11" s="141">
        <f>+CATEGORIAS[[#This Row],[PRODUCCION
ANTERIOR]]+CATEGORIAS[[#This Row],[PRODUCCION
ADICIONALES
ANTERIOR]]</f>
        <v>0</v>
      </c>
      <c r="S11" s="135">
        <v>0</v>
      </c>
      <c r="T11" s="326"/>
      <c r="U11" s="135">
        <v>0</v>
      </c>
      <c r="V11" s="262">
        <f>SUM(CATEGORIAS[[#This Row],[COSTO
ACUMULADO  AX]:[PROVISIONES]])</f>
        <v>0</v>
      </c>
      <c r="W11" s="264">
        <v>0</v>
      </c>
      <c r="X11" s="222"/>
      <c r="Y11" s="222">
        <v>0</v>
      </c>
      <c r="Z11" s="263">
        <f>SUM(CATEGORIAS[[#This Row],[COSTO ACUMULADO
ANTERIOR]:[PROVISIONES
ANTERIOR]])</f>
        <v>0</v>
      </c>
      <c r="AA11" s="338">
        <f>ABS(+CATEGORIAS[[#This Row],[PRESUPUESTO
FINAL
PROYECTADO]]-CATEGORIAS[[#This Row],[TOTAL PRODUCCION
ACTUAL]])</f>
        <v>0</v>
      </c>
      <c r="AB11" s="222"/>
      <c r="AC11" s="134"/>
      <c r="AD11" s="134">
        <v>0</v>
      </c>
      <c r="AE11" s="221">
        <f>SUM(CATEGORIAS[[#This Row],[INVENTARIO]:[PROYECCION
DE COSTO
DEL SALDO]])</f>
        <v>0</v>
      </c>
      <c r="AF11" s="134"/>
      <c r="AG11" s="134">
        <f>+CATEGORIAS[[#This Row],[PRESUPUESTO
FINAL
PROYECTADO]]-CATEGORIAS[[#This Row],[COSTO REAL]]-CATEGORIAS[[#This Row],[PROYECCION
TOTAL DE COSTO]]</f>
        <v>0</v>
      </c>
    </row>
    <row r="12" spans="1:33" x14ac:dyDescent="0.25">
      <c r="A12" s="245"/>
      <c r="B12" s="245"/>
      <c r="C12" s="245"/>
      <c r="D12" s="323" t="s">
        <v>1754</v>
      </c>
      <c r="E12" s="244" t="s">
        <v>387</v>
      </c>
      <c r="F12" s="246" t="s">
        <v>376</v>
      </c>
      <c r="G12" s="279">
        <v>0</v>
      </c>
      <c r="H12" s="279">
        <v>0</v>
      </c>
      <c r="I12" s="132">
        <v>0</v>
      </c>
      <c r="J12" s="132">
        <v>0</v>
      </c>
      <c r="K12" s="132">
        <v>0</v>
      </c>
      <c r="L12" s="144">
        <f>CATEGORIAS[[#This Row],[ADICIONALES]]+CATEGORIAS[[#This Row],[POM]]+CATEGORIAS[[#This Row],[REAJUSTE 
PAGADO]]+CATEGORIAS[[#This Row],[REAJUSTE
PROYECTADO]]</f>
        <v>0</v>
      </c>
      <c r="M12" s="133">
        <v>0</v>
      </c>
      <c r="N12" s="325">
        <v>0</v>
      </c>
      <c r="O12" s="142">
        <f>+CATEGORIAS[[#This Row],[PRODUCCION
PARTIDAS
ORIGINALES
ACTUAL]]+CATEGORIAS[[#This Row],[PRODUCCION
ADICIONALES
ACTUAL]]</f>
        <v>0</v>
      </c>
      <c r="P12" s="222">
        <v>0</v>
      </c>
      <c r="Q12" s="222">
        <v>0</v>
      </c>
      <c r="R12" s="141">
        <f>+CATEGORIAS[[#This Row],[PRODUCCION
ANTERIOR]]+CATEGORIAS[[#This Row],[PRODUCCION
ADICIONALES
ANTERIOR]]</f>
        <v>0</v>
      </c>
      <c r="S12" s="135">
        <v>0</v>
      </c>
      <c r="T12" s="135"/>
      <c r="U12" s="135">
        <v>0</v>
      </c>
      <c r="V12" s="262">
        <f>SUM(CATEGORIAS[[#This Row],[COSTO
ACUMULADO  AX]:[PROVISIONES]])</f>
        <v>0</v>
      </c>
      <c r="W12" s="264">
        <v>0</v>
      </c>
      <c r="X12" s="222"/>
      <c r="Y12" s="222">
        <v>0</v>
      </c>
      <c r="Z12" s="263">
        <f>SUM(CATEGORIAS[[#This Row],[COSTO ACUMULADO
ANTERIOR]:[PROVISIONES
ANTERIOR]])</f>
        <v>0</v>
      </c>
      <c r="AA12" s="338">
        <f>ABS(+CATEGORIAS[[#This Row],[PRESUPUESTO
FINAL
PROYECTADO]]-CATEGORIAS[[#This Row],[TOTAL PRODUCCION
ACTUAL]])</f>
        <v>0</v>
      </c>
      <c r="AB12" s="222"/>
      <c r="AC12" s="134"/>
      <c r="AD12" s="134">
        <v>0</v>
      </c>
      <c r="AE12" s="221">
        <f>SUM(CATEGORIAS[[#This Row],[INVENTARIO]:[PROYECCION
DE COSTO
DEL SALDO]])</f>
        <v>0</v>
      </c>
      <c r="AF12" s="134"/>
      <c r="AG12" s="134">
        <f>+CATEGORIAS[[#This Row],[PRESUPUESTO
FINAL
PROYECTADO]]-CATEGORIAS[[#This Row],[COSTO REAL]]-CATEGORIAS[[#This Row],[PROYECCION
TOTAL DE COSTO]]</f>
        <v>0</v>
      </c>
    </row>
    <row r="13" spans="1:33" x14ac:dyDescent="0.25">
      <c r="A13" s="245"/>
      <c r="B13" s="245"/>
      <c r="C13" s="245"/>
      <c r="D13" s="323" t="s">
        <v>1755</v>
      </c>
      <c r="E13" s="244" t="s">
        <v>389</v>
      </c>
      <c r="F13" s="246" t="s">
        <v>379</v>
      </c>
      <c r="G13" s="279">
        <v>0</v>
      </c>
      <c r="H13" s="279">
        <v>0</v>
      </c>
      <c r="I13" s="132">
        <v>0</v>
      </c>
      <c r="J13" s="132">
        <v>0</v>
      </c>
      <c r="K13" s="132">
        <v>0</v>
      </c>
      <c r="L13" s="144">
        <f>CATEGORIAS[[#This Row],[ADICIONALES]]+CATEGORIAS[[#This Row],[POM]]+CATEGORIAS[[#This Row],[REAJUSTE 
PAGADO]]+CATEGORIAS[[#This Row],[REAJUSTE
PROYECTADO]]</f>
        <v>0</v>
      </c>
      <c r="M13" s="133">
        <v>0</v>
      </c>
      <c r="N13" s="222">
        <v>0</v>
      </c>
      <c r="O13" s="142">
        <f>+CATEGORIAS[[#This Row],[PRODUCCION
PARTIDAS
ORIGINALES
ACTUAL]]+CATEGORIAS[[#This Row],[PRODUCCION
ADICIONALES
ACTUAL]]</f>
        <v>0</v>
      </c>
      <c r="P13" s="222">
        <v>0</v>
      </c>
      <c r="Q13" s="222">
        <v>0</v>
      </c>
      <c r="R13" s="141">
        <f>+CATEGORIAS[[#This Row],[PRODUCCION
ANTERIOR]]+CATEGORIAS[[#This Row],[PRODUCCION
ADICIONALES
ANTERIOR]]</f>
        <v>0</v>
      </c>
      <c r="S13" s="135">
        <v>0</v>
      </c>
      <c r="T13" s="135"/>
      <c r="U13" s="135">
        <v>0</v>
      </c>
      <c r="V13" s="262">
        <f>SUM(CATEGORIAS[[#This Row],[COSTO
ACUMULADO  AX]:[PROVISIONES]])</f>
        <v>0</v>
      </c>
      <c r="W13" s="264">
        <v>0</v>
      </c>
      <c r="X13" s="222"/>
      <c r="Y13" s="222">
        <v>0</v>
      </c>
      <c r="Z13" s="263">
        <f>SUM(CATEGORIAS[[#This Row],[COSTO ACUMULADO
ANTERIOR]:[PROVISIONES
ANTERIOR]])</f>
        <v>0</v>
      </c>
      <c r="AA13" s="338">
        <f>ABS(+CATEGORIAS[[#This Row],[PRESUPUESTO
FINAL
PROYECTADO]]-CATEGORIAS[[#This Row],[TOTAL PRODUCCION
ACTUAL]])</f>
        <v>0</v>
      </c>
      <c r="AB13" s="222"/>
      <c r="AC13" s="134"/>
      <c r="AD13" s="134">
        <v>0</v>
      </c>
      <c r="AE13" s="221">
        <f>SUM(CATEGORIAS[[#This Row],[INVENTARIO]:[PROYECCION
DE COSTO
DEL SALDO]])</f>
        <v>0</v>
      </c>
      <c r="AF13" s="134"/>
      <c r="AG13" s="134">
        <f>+CATEGORIAS[[#This Row],[PRESUPUESTO
FINAL
PROYECTADO]]-CATEGORIAS[[#This Row],[COSTO REAL]]-CATEGORIAS[[#This Row],[PROYECCION
TOTAL DE COSTO]]</f>
        <v>0</v>
      </c>
    </row>
    <row r="14" spans="1:33" x14ac:dyDescent="0.25">
      <c r="A14" s="245"/>
      <c r="B14" s="245"/>
      <c r="C14" s="245"/>
      <c r="D14" s="323" t="s">
        <v>1756</v>
      </c>
      <c r="E14" s="246" t="s">
        <v>391</v>
      </c>
      <c r="F14" s="246" t="s">
        <v>376</v>
      </c>
      <c r="G14" s="279">
        <v>0</v>
      </c>
      <c r="H14" s="279">
        <v>0</v>
      </c>
      <c r="I14" s="132">
        <v>0</v>
      </c>
      <c r="J14" s="132">
        <v>0</v>
      </c>
      <c r="K14" s="132">
        <v>0</v>
      </c>
      <c r="L14" s="144">
        <f>CATEGORIAS[[#This Row],[ADICIONALES]]+CATEGORIAS[[#This Row],[POM]]+CATEGORIAS[[#This Row],[REAJUSTE 
PAGADO]]+CATEGORIAS[[#This Row],[REAJUSTE
PROYECTADO]]</f>
        <v>0</v>
      </c>
      <c r="M14" s="133">
        <v>0</v>
      </c>
      <c r="N14" s="222">
        <v>0</v>
      </c>
      <c r="O14" s="142">
        <f>+CATEGORIAS[[#This Row],[PRODUCCION
PARTIDAS
ORIGINALES
ACTUAL]]+CATEGORIAS[[#This Row],[PRODUCCION
ADICIONALES
ACTUAL]]</f>
        <v>0</v>
      </c>
      <c r="P14" s="222">
        <v>0</v>
      </c>
      <c r="Q14" s="222">
        <v>0</v>
      </c>
      <c r="R14" s="141">
        <f>+CATEGORIAS[[#This Row],[PRODUCCION
ANTERIOR]]+CATEGORIAS[[#This Row],[PRODUCCION
ADICIONALES
ANTERIOR]]</f>
        <v>0</v>
      </c>
      <c r="S14" s="135">
        <v>0</v>
      </c>
      <c r="T14" s="135"/>
      <c r="U14" s="135">
        <v>0</v>
      </c>
      <c r="V14" s="262">
        <f>SUM(CATEGORIAS[[#This Row],[COSTO
ACUMULADO  AX]:[PROVISIONES]])</f>
        <v>0</v>
      </c>
      <c r="W14" s="264">
        <v>0</v>
      </c>
      <c r="X14" s="222"/>
      <c r="Y14" s="222">
        <v>0</v>
      </c>
      <c r="Z14" s="263">
        <f>SUM(CATEGORIAS[[#This Row],[COSTO ACUMULADO
ANTERIOR]:[PROVISIONES
ANTERIOR]])</f>
        <v>0</v>
      </c>
      <c r="AA14" s="338">
        <f>ABS(+CATEGORIAS[[#This Row],[PRESUPUESTO
FINAL
PROYECTADO]]-CATEGORIAS[[#This Row],[TOTAL PRODUCCION
ACTUAL]])</f>
        <v>0</v>
      </c>
      <c r="AB14" s="222"/>
      <c r="AC14" s="134"/>
      <c r="AD14" s="134">
        <v>0</v>
      </c>
      <c r="AE14" s="221">
        <f>SUM(CATEGORIAS[[#This Row],[INVENTARIO]:[PROYECCION
DE COSTO
DEL SALDO]])</f>
        <v>0</v>
      </c>
      <c r="AF14" s="134"/>
      <c r="AG14" s="134">
        <f>+CATEGORIAS[[#This Row],[PRESUPUESTO
FINAL
PROYECTADO]]-CATEGORIAS[[#This Row],[COSTO REAL]]-CATEGORIAS[[#This Row],[PROYECCION
TOTAL DE COSTO]]</f>
        <v>0</v>
      </c>
    </row>
    <row r="15" spans="1:33" x14ac:dyDescent="0.25">
      <c r="A15" s="245" t="s">
        <v>32</v>
      </c>
      <c r="B15" s="245" t="s">
        <v>28</v>
      </c>
      <c r="C15" s="245" t="s">
        <v>187</v>
      </c>
      <c r="D15" s="323" t="s">
        <v>1757</v>
      </c>
      <c r="E15" s="244" t="s">
        <v>393</v>
      </c>
      <c r="F15" s="246" t="s">
        <v>379</v>
      </c>
      <c r="G15" s="279">
        <v>9107425.3160245083</v>
      </c>
      <c r="H15" s="279">
        <v>5994572.3527331837</v>
      </c>
      <c r="I15" s="132">
        <v>0</v>
      </c>
      <c r="J15" s="132">
        <v>211358.75904190616</v>
      </c>
      <c r="K15" s="132">
        <v>0</v>
      </c>
      <c r="L15" s="144">
        <f>CATEGORIAS[[#This Row],[ADICIONALES]]+CATEGORIAS[[#This Row],[POM]]+CATEGORIAS[[#This Row],[REAJUSTE 
PAGADO]]+CATEGORIAS[[#This Row],[REAJUSTE
PROYECTADO]]</f>
        <v>6205931.11177509</v>
      </c>
      <c r="M15" s="133">
        <v>6204754.3735583927</v>
      </c>
      <c r="N15" s="222">
        <v>1176.7382166972384</v>
      </c>
      <c r="O15" s="142">
        <f>+CATEGORIAS[[#This Row],[PRODUCCION
PARTIDAS
ORIGINALES
ACTUAL]]+CATEGORIAS[[#This Row],[PRODUCCION
ADICIONALES
ACTUAL]]</f>
        <v>6205931.11177509</v>
      </c>
      <c r="P15" s="222">
        <v>6204754.3735583927</v>
      </c>
      <c r="Q15" s="222">
        <v>0</v>
      </c>
      <c r="R15" s="141">
        <f>+CATEGORIAS[[#This Row],[PRODUCCION
ANTERIOR]]+CATEGORIAS[[#This Row],[PRODUCCION
ADICIONALES
ANTERIOR]]</f>
        <v>6204754.3735583927</v>
      </c>
      <c r="S15" s="135">
        <v>0</v>
      </c>
      <c r="T15" s="135"/>
      <c r="U15" s="135">
        <v>0</v>
      </c>
      <c r="V15" s="262">
        <f>SUM(CATEGORIAS[[#This Row],[COSTO
ACUMULADO  AX]:[PROVISIONES]])</f>
        <v>0</v>
      </c>
      <c r="W15" s="264">
        <v>0</v>
      </c>
      <c r="X15" s="222"/>
      <c r="Y15" s="222">
        <v>0</v>
      </c>
      <c r="Z15" s="263">
        <f>SUM(CATEGORIAS[[#This Row],[COSTO ACUMULADO
ANTERIOR]:[PROVISIONES
ANTERIOR]])</f>
        <v>0</v>
      </c>
      <c r="AA15" s="338">
        <f>ABS(+CATEGORIAS[[#This Row],[PRESUPUESTO
FINAL
PROYECTADO]]-CATEGORIAS[[#This Row],[TOTAL PRODUCCION
ACTUAL]])</f>
        <v>0</v>
      </c>
      <c r="AB15" s="222"/>
      <c r="AC15" s="134"/>
      <c r="AD15" s="134">
        <v>0</v>
      </c>
      <c r="AE15" s="221">
        <f>SUM(CATEGORIAS[[#This Row],[INVENTARIO]:[PROYECCION
DE COSTO
DEL SALDO]])</f>
        <v>0</v>
      </c>
      <c r="AF15" s="134"/>
      <c r="AG15" s="134">
        <f>+CATEGORIAS[[#This Row],[PRESUPUESTO
FINAL
PROYECTADO]]-CATEGORIAS[[#This Row],[COSTO REAL]]-CATEGORIAS[[#This Row],[PROYECCION
TOTAL DE COSTO]]</f>
        <v>6205931.11177509</v>
      </c>
    </row>
    <row r="16" spans="1:33" x14ac:dyDescent="0.25">
      <c r="A16" s="245"/>
      <c r="B16" s="245"/>
      <c r="C16" s="245"/>
      <c r="D16" s="323" t="s">
        <v>2341</v>
      </c>
      <c r="E16" s="244" t="s">
        <v>2342</v>
      </c>
      <c r="F16" s="246" t="s">
        <v>376</v>
      </c>
      <c r="G16" s="279">
        <v>0</v>
      </c>
      <c r="H16" s="279">
        <v>0</v>
      </c>
      <c r="I16" s="132">
        <v>0</v>
      </c>
      <c r="J16" s="132">
        <v>0</v>
      </c>
      <c r="K16" s="132">
        <v>0</v>
      </c>
      <c r="L16" s="144">
        <f>CATEGORIAS[[#This Row],[ADICIONALES]]+CATEGORIAS[[#This Row],[POM]]+CATEGORIAS[[#This Row],[REAJUSTE 
PAGADO]]+CATEGORIAS[[#This Row],[REAJUSTE
PROYECTADO]]</f>
        <v>0</v>
      </c>
      <c r="M16" s="133">
        <v>0</v>
      </c>
      <c r="N16" s="222">
        <v>0</v>
      </c>
      <c r="O16" s="142">
        <f>+CATEGORIAS[[#This Row],[PRODUCCION
PARTIDAS
ORIGINALES
ACTUAL]]+CATEGORIAS[[#This Row],[PRODUCCION
ADICIONALES
ACTUAL]]</f>
        <v>0</v>
      </c>
      <c r="P16" s="222">
        <v>0</v>
      </c>
      <c r="Q16" s="222">
        <v>0</v>
      </c>
      <c r="R16" s="141">
        <f>+CATEGORIAS[[#This Row],[PRODUCCION
ANTERIOR]]+CATEGORIAS[[#This Row],[PRODUCCION
ADICIONALES
ANTERIOR]]</f>
        <v>0</v>
      </c>
      <c r="S16" s="135">
        <v>0</v>
      </c>
      <c r="T16" s="135"/>
      <c r="U16" s="135">
        <v>0</v>
      </c>
      <c r="V16" s="262">
        <f>SUM(CATEGORIAS[[#This Row],[COSTO
ACUMULADO  AX]:[PROVISIONES]])</f>
        <v>0</v>
      </c>
      <c r="W16" s="264">
        <v>0</v>
      </c>
      <c r="X16" s="222"/>
      <c r="Y16" s="222">
        <v>0</v>
      </c>
      <c r="Z16" s="263">
        <f>SUM(CATEGORIAS[[#This Row],[COSTO ACUMULADO
ANTERIOR]:[PROVISIONES
ANTERIOR]])</f>
        <v>0</v>
      </c>
      <c r="AA16" s="338">
        <f>ABS(+CATEGORIAS[[#This Row],[PRESUPUESTO
FINAL
PROYECTADO]]-CATEGORIAS[[#This Row],[TOTAL PRODUCCION
ACTUAL]])</f>
        <v>0</v>
      </c>
      <c r="AB16" s="222"/>
      <c r="AC16" s="134"/>
      <c r="AD16" s="134">
        <v>0</v>
      </c>
      <c r="AE16" s="221">
        <f>SUM(CATEGORIAS[[#This Row],[INVENTARIO]:[PROYECCION
DE COSTO
DEL SALDO]])</f>
        <v>0</v>
      </c>
      <c r="AF16" s="134"/>
      <c r="AG16" s="134">
        <f>+CATEGORIAS[[#This Row],[PRESUPUESTO
FINAL
PROYECTADO]]-CATEGORIAS[[#This Row],[COSTO REAL]]-CATEGORIAS[[#This Row],[PROYECCION
TOTAL DE COSTO]]</f>
        <v>0</v>
      </c>
    </row>
    <row r="17" spans="1:33" x14ac:dyDescent="0.25">
      <c r="A17" s="14"/>
      <c r="B17" s="14"/>
      <c r="C17" s="14"/>
      <c r="D17" s="323" t="s">
        <v>1758</v>
      </c>
      <c r="E17" s="246" t="s">
        <v>395</v>
      </c>
      <c r="F17" s="246" t="s">
        <v>376</v>
      </c>
      <c r="G17" s="279">
        <v>0</v>
      </c>
      <c r="H17" s="279">
        <v>0</v>
      </c>
      <c r="I17" s="132">
        <v>0</v>
      </c>
      <c r="J17" s="132">
        <v>0</v>
      </c>
      <c r="K17" s="132">
        <v>0</v>
      </c>
      <c r="L17" s="144">
        <f>CATEGORIAS[[#This Row],[ADICIONALES]]+CATEGORIAS[[#This Row],[POM]]+CATEGORIAS[[#This Row],[REAJUSTE 
PAGADO]]+CATEGORIAS[[#This Row],[REAJUSTE
PROYECTADO]]</f>
        <v>0</v>
      </c>
      <c r="M17" s="133">
        <v>0</v>
      </c>
      <c r="N17" s="222">
        <v>0</v>
      </c>
      <c r="O17" s="142">
        <f>+CATEGORIAS[[#This Row],[PRODUCCION
PARTIDAS
ORIGINALES
ACTUAL]]+CATEGORIAS[[#This Row],[PRODUCCION
ADICIONALES
ACTUAL]]</f>
        <v>0</v>
      </c>
      <c r="P17" s="222">
        <v>0</v>
      </c>
      <c r="Q17" s="134">
        <v>0</v>
      </c>
      <c r="R17" s="141">
        <f>+CATEGORIAS[[#This Row],[PRODUCCION
ANTERIOR]]+CATEGORIAS[[#This Row],[PRODUCCION
ADICIONALES
ANTERIOR]]</f>
        <v>0</v>
      </c>
      <c r="S17" s="135">
        <v>0</v>
      </c>
      <c r="T17" s="135"/>
      <c r="U17" s="135">
        <v>0</v>
      </c>
      <c r="V17" s="262">
        <f>SUM(CATEGORIAS[[#This Row],[COSTO
ACUMULADO  AX]:[PROVISIONES]])</f>
        <v>0</v>
      </c>
      <c r="W17" s="264">
        <v>0</v>
      </c>
      <c r="X17" s="222"/>
      <c r="Y17" s="222">
        <v>0</v>
      </c>
      <c r="Z17" s="263">
        <f>SUM(CATEGORIAS[[#This Row],[COSTO ACUMULADO
ANTERIOR]:[PROVISIONES
ANTERIOR]])</f>
        <v>0</v>
      </c>
      <c r="AA17" s="338">
        <f>ABS(+CATEGORIAS[[#This Row],[PRESUPUESTO
FINAL
PROYECTADO]]-CATEGORIAS[[#This Row],[TOTAL PRODUCCION
ACTUAL]])</f>
        <v>0</v>
      </c>
      <c r="AB17" s="222"/>
      <c r="AC17" s="134"/>
      <c r="AD17" s="134">
        <v>0</v>
      </c>
      <c r="AE17" s="221">
        <f>SUM(CATEGORIAS[[#This Row],[INVENTARIO]:[PROYECCION
DE COSTO
DEL SALDO]])</f>
        <v>0</v>
      </c>
      <c r="AF17" s="134"/>
      <c r="AG17" s="134">
        <f>+CATEGORIAS[[#This Row],[PRESUPUESTO
FINAL
PROYECTADO]]-CATEGORIAS[[#This Row],[COSTO REAL]]-CATEGORIAS[[#This Row],[PROYECCION
TOTAL DE COSTO]]</f>
        <v>0</v>
      </c>
    </row>
    <row r="18" spans="1:33" x14ac:dyDescent="0.25">
      <c r="A18" s="14" t="s">
        <v>37</v>
      </c>
      <c r="B18" s="14" t="s">
        <v>188</v>
      </c>
      <c r="C18" s="14" t="s">
        <v>396</v>
      </c>
      <c r="D18" s="323" t="s">
        <v>1759</v>
      </c>
      <c r="E18" s="244" t="s">
        <v>398</v>
      </c>
      <c r="F18" s="246" t="s">
        <v>379</v>
      </c>
      <c r="G18" s="279">
        <v>648232300.96841526</v>
      </c>
      <c r="H18" s="279">
        <v>663645833.14404178</v>
      </c>
      <c r="I18" s="132">
        <v>154756225.73975599</v>
      </c>
      <c r="J18" s="132">
        <v>23399060.263690479</v>
      </c>
      <c r="K18" s="132">
        <v>0</v>
      </c>
      <c r="L18" s="144">
        <f>CATEGORIAS[[#This Row],[ADICIONALES]]+CATEGORIAS[[#This Row],[POM]]+CATEGORIAS[[#This Row],[REAJUSTE 
PAGADO]]+CATEGORIAS[[#This Row],[REAJUSTE
PROYECTADO]]</f>
        <v>841801119.14748824</v>
      </c>
      <c r="M18" s="133">
        <v>686914619.32506871</v>
      </c>
      <c r="N18" s="222">
        <v>154886499.82242</v>
      </c>
      <c r="O18" s="142">
        <f>+CATEGORIAS[[#This Row],[PRODUCCION
PARTIDAS
ORIGINALES
ACTUAL]]+CATEGORIAS[[#This Row],[PRODUCCION
ADICIONALES
ACTUAL]]</f>
        <v>841801119.14748871</v>
      </c>
      <c r="P18" s="222">
        <v>686914619.32506871</v>
      </c>
      <c r="Q18" s="222">
        <v>156872506.73975614</v>
      </c>
      <c r="R18" s="141">
        <f>+CATEGORIAS[[#This Row],[PRODUCCION
ANTERIOR]]+CATEGORIAS[[#This Row],[PRODUCCION
ADICIONALES
ANTERIOR]]</f>
        <v>843787126.06482482</v>
      </c>
      <c r="S18" s="135">
        <v>590365191</v>
      </c>
      <c r="T18" s="135">
        <v>-3903956</v>
      </c>
      <c r="U18" s="135">
        <v>0</v>
      </c>
      <c r="V18" s="262">
        <f>SUM(CATEGORIAS[[#This Row],[COSTO
ACUMULADO  AX]:[PROVISIONES]])</f>
        <v>586461235</v>
      </c>
      <c r="W18" s="264">
        <v>590365191</v>
      </c>
      <c r="X18" s="222">
        <v>-3903956</v>
      </c>
      <c r="Y18" s="222">
        <v>0</v>
      </c>
      <c r="Z18" s="263">
        <f>SUM(CATEGORIAS[[#This Row],[COSTO ACUMULADO
ANTERIOR]:[PROVISIONES
ANTERIOR]])</f>
        <v>586461235</v>
      </c>
      <c r="AA18" s="338">
        <f>ABS(+CATEGORIAS[[#This Row],[PRESUPUESTO
FINAL
PROYECTADO]]-CATEGORIAS[[#This Row],[TOTAL PRODUCCION
ACTUAL]])</f>
        <v>4.76837158203125E-7</v>
      </c>
      <c r="AB18" s="222"/>
      <c r="AC18" s="134"/>
      <c r="AD18" s="134">
        <v>0</v>
      </c>
      <c r="AE18" s="221">
        <f>SUM(CATEGORIAS[[#This Row],[INVENTARIO]:[PROYECCION
DE COSTO
DEL SALDO]])</f>
        <v>0</v>
      </c>
      <c r="AF18" s="134"/>
      <c r="AG18" s="134">
        <f>+CATEGORIAS[[#This Row],[PRESUPUESTO
FINAL
PROYECTADO]]-CATEGORIAS[[#This Row],[COSTO REAL]]-CATEGORIAS[[#This Row],[PROYECCION
TOTAL DE COSTO]]</f>
        <v>255339884.14748824</v>
      </c>
    </row>
    <row r="19" spans="1:33" x14ac:dyDescent="0.25">
      <c r="A19" s="245"/>
      <c r="B19" s="245"/>
      <c r="C19" s="245"/>
      <c r="D19" s="323" t="s">
        <v>2343</v>
      </c>
      <c r="E19" s="244" t="s">
        <v>2344</v>
      </c>
      <c r="F19" s="246" t="s">
        <v>376</v>
      </c>
      <c r="G19" s="279">
        <v>0</v>
      </c>
      <c r="H19" s="279">
        <v>0</v>
      </c>
      <c r="I19" s="132">
        <v>0</v>
      </c>
      <c r="J19" s="132">
        <v>0</v>
      </c>
      <c r="K19" s="132">
        <v>0</v>
      </c>
      <c r="L19" s="144">
        <f>CATEGORIAS[[#This Row],[ADICIONALES]]+CATEGORIAS[[#This Row],[POM]]+CATEGORIAS[[#This Row],[REAJUSTE 
PAGADO]]+CATEGORIAS[[#This Row],[REAJUSTE
PROYECTADO]]</f>
        <v>0</v>
      </c>
      <c r="M19" s="133">
        <v>0</v>
      </c>
      <c r="N19" s="222">
        <v>0</v>
      </c>
      <c r="O19" s="142">
        <f>+CATEGORIAS[[#This Row],[PRODUCCION
PARTIDAS
ORIGINALES
ACTUAL]]+CATEGORIAS[[#This Row],[PRODUCCION
ADICIONALES
ACTUAL]]</f>
        <v>0</v>
      </c>
      <c r="P19" s="222">
        <v>0</v>
      </c>
      <c r="Q19" s="222">
        <v>0</v>
      </c>
      <c r="R19" s="141">
        <f>+CATEGORIAS[[#This Row],[PRODUCCION
ANTERIOR]]+CATEGORIAS[[#This Row],[PRODUCCION
ADICIONALES
ANTERIOR]]</f>
        <v>0</v>
      </c>
      <c r="S19" s="135">
        <v>0</v>
      </c>
      <c r="T19" s="135"/>
      <c r="U19" s="135">
        <v>0</v>
      </c>
      <c r="V19" s="262">
        <f>SUM(CATEGORIAS[[#This Row],[COSTO
ACUMULADO  AX]:[PROVISIONES]])</f>
        <v>0</v>
      </c>
      <c r="W19" s="264">
        <v>0</v>
      </c>
      <c r="X19" s="222"/>
      <c r="Y19" s="222">
        <v>0</v>
      </c>
      <c r="Z19" s="263">
        <f>SUM(CATEGORIAS[[#This Row],[COSTO ACUMULADO
ANTERIOR]:[PROVISIONES
ANTERIOR]])</f>
        <v>0</v>
      </c>
      <c r="AA19" s="338">
        <f>ABS(+CATEGORIAS[[#This Row],[PRESUPUESTO
FINAL
PROYECTADO]]-CATEGORIAS[[#This Row],[TOTAL PRODUCCION
ACTUAL]])</f>
        <v>0</v>
      </c>
      <c r="AB19" s="222"/>
      <c r="AC19" s="134"/>
      <c r="AD19" s="134">
        <v>0</v>
      </c>
      <c r="AE19" s="221">
        <f>SUM(CATEGORIAS[[#This Row],[INVENTARIO]:[PROYECCION
DE COSTO
DEL SALDO]])</f>
        <v>0</v>
      </c>
      <c r="AF19" s="134"/>
      <c r="AG19" s="134">
        <f>+CATEGORIAS[[#This Row],[PRESUPUESTO
FINAL
PROYECTADO]]-CATEGORIAS[[#This Row],[COSTO REAL]]-CATEGORIAS[[#This Row],[PROYECCION
TOTAL DE COSTO]]</f>
        <v>0</v>
      </c>
    </row>
    <row r="20" spans="1:33" x14ac:dyDescent="0.25">
      <c r="A20" s="245"/>
      <c r="B20" s="245"/>
      <c r="C20" s="245"/>
      <c r="D20" s="323" t="s">
        <v>2345</v>
      </c>
      <c r="E20" s="244" t="s">
        <v>2344</v>
      </c>
      <c r="F20" s="246" t="s">
        <v>376</v>
      </c>
      <c r="G20" s="279">
        <v>0</v>
      </c>
      <c r="H20" s="279">
        <v>0</v>
      </c>
      <c r="I20" s="132">
        <v>0</v>
      </c>
      <c r="J20" s="132">
        <v>0</v>
      </c>
      <c r="K20" s="132">
        <v>0</v>
      </c>
      <c r="L20" s="144">
        <f>CATEGORIAS[[#This Row],[ADICIONALES]]+CATEGORIAS[[#This Row],[POM]]+CATEGORIAS[[#This Row],[REAJUSTE 
PAGADO]]+CATEGORIAS[[#This Row],[REAJUSTE
PROYECTADO]]</f>
        <v>0</v>
      </c>
      <c r="M20" s="133">
        <v>0</v>
      </c>
      <c r="N20" s="222">
        <v>0</v>
      </c>
      <c r="O20" s="142">
        <f>+CATEGORIAS[[#This Row],[PRODUCCION
PARTIDAS
ORIGINALES
ACTUAL]]+CATEGORIAS[[#This Row],[PRODUCCION
ADICIONALES
ACTUAL]]</f>
        <v>0</v>
      </c>
      <c r="P20" s="222">
        <v>0</v>
      </c>
      <c r="Q20" s="222">
        <v>0</v>
      </c>
      <c r="R20" s="141">
        <f>+CATEGORIAS[[#This Row],[PRODUCCION
ANTERIOR]]+CATEGORIAS[[#This Row],[PRODUCCION
ADICIONALES
ANTERIOR]]</f>
        <v>0</v>
      </c>
      <c r="S20" s="135">
        <v>0</v>
      </c>
      <c r="T20" s="135"/>
      <c r="U20" s="135">
        <v>0</v>
      </c>
      <c r="V20" s="262">
        <f>SUM(CATEGORIAS[[#This Row],[COSTO
ACUMULADO  AX]:[PROVISIONES]])</f>
        <v>0</v>
      </c>
      <c r="W20" s="264">
        <v>0</v>
      </c>
      <c r="X20" s="222"/>
      <c r="Y20" s="222">
        <v>0</v>
      </c>
      <c r="Z20" s="263">
        <f>SUM(CATEGORIAS[[#This Row],[COSTO ACUMULADO
ANTERIOR]:[PROVISIONES
ANTERIOR]])</f>
        <v>0</v>
      </c>
      <c r="AA20" s="338">
        <f>ABS(+CATEGORIAS[[#This Row],[PRESUPUESTO
FINAL
PROYECTADO]]-CATEGORIAS[[#This Row],[TOTAL PRODUCCION
ACTUAL]])</f>
        <v>0</v>
      </c>
      <c r="AB20" s="222"/>
      <c r="AC20" s="134"/>
      <c r="AD20" s="134">
        <v>0</v>
      </c>
      <c r="AE20" s="221">
        <f>SUM(CATEGORIAS[[#This Row],[INVENTARIO]:[PROYECCION
DE COSTO
DEL SALDO]])</f>
        <v>0</v>
      </c>
      <c r="AF20" s="134"/>
      <c r="AG20" s="134">
        <f>+CATEGORIAS[[#This Row],[PRESUPUESTO
FINAL
PROYECTADO]]-CATEGORIAS[[#This Row],[COSTO REAL]]-CATEGORIAS[[#This Row],[PROYECCION
TOTAL DE COSTO]]</f>
        <v>0</v>
      </c>
    </row>
    <row r="21" spans="1:33" x14ac:dyDescent="0.25">
      <c r="A21" s="245"/>
      <c r="B21" s="245"/>
      <c r="C21" s="245"/>
      <c r="D21" s="323" t="s">
        <v>2346</v>
      </c>
      <c r="E21" s="244" t="s">
        <v>2347</v>
      </c>
      <c r="F21" s="246" t="s">
        <v>376</v>
      </c>
      <c r="G21" s="279">
        <v>0</v>
      </c>
      <c r="H21" s="279">
        <v>0</v>
      </c>
      <c r="I21" s="132">
        <v>0</v>
      </c>
      <c r="J21" s="132">
        <v>0</v>
      </c>
      <c r="K21" s="132">
        <v>0</v>
      </c>
      <c r="L21" s="144">
        <f>CATEGORIAS[[#This Row],[ADICIONALES]]+CATEGORIAS[[#This Row],[POM]]+CATEGORIAS[[#This Row],[REAJUSTE 
PAGADO]]+CATEGORIAS[[#This Row],[REAJUSTE
PROYECTADO]]</f>
        <v>0</v>
      </c>
      <c r="M21" s="133">
        <v>0</v>
      </c>
      <c r="N21" s="222">
        <v>0</v>
      </c>
      <c r="O21" s="142">
        <f>+CATEGORIAS[[#This Row],[PRODUCCION
PARTIDAS
ORIGINALES
ACTUAL]]+CATEGORIAS[[#This Row],[PRODUCCION
ADICIONALES
ACTUAL]]</f>
        <v>0</v>
      </c>
      <c r="P21" s="222">
        <v>0</v>
      </c>
      <c r="Q21" s="134">
        <v>0</v>
      </c>
      <c r="R21" s="141">
        <f>+CATEGORIAS[[#This Row],[PRODUCCION
ANTERIOR]]+CATEGORIAS[[#This Row],[PRODUCCION
ADICIONALES
ANTERIOR]]</f>
        <v>0</v>
      </c>
      <c r="S21" s="135">
        <v>0</v>
      </c>
      <c r="T21" s="135"/>
      <c r="U21" s="135">
        <v>0</v>
      </c>
      <c r="V21" s="262">
        <f>SUM(CATEGORIAS[[#This Row],[COSTO
ACUMULADO  AX]:[PROVISIONES]])</f>
        <v>0</v>
      </c>
      <c r="W21" s="264">
        <v>0</v>
      </c>
      <c r="X21" s="222"/>
      <c r="Y21" s="222">
        <v>0</v>
      </c>
      <c r="Z21" s="263">
        <f>SUM(CATEGORIAS[[#This Row],[COSTO ACUMULADO
ANTERIOR]:[PROVISIONES
ANTERIOR]])</f>
        <v>0</v>
      </c>
      <c r="AA21" s="338">
        <f>ABS(+CATEGORIAS[[#This Row],[PRESUPUESTO
FINAL
PROYECTADO]]-CATEGORIAS[[#This Row],[TOTAL PRODUCCION
ACTUAL]])</f>
        <v>0</v>
      </c>
      <c r="AB21" s="222"/>
      <c r="AC21" s="134"/>
      <c r="AD21" s="134">
        <v>0</v>
      </c>
      <c r="AE21" s="221">
        <f>SUM(CATEGORIAS[[#This Row],[INVENTARIO]:[PROYECCION
DE COSTO
DEL SALDO]])</f>
        <v>0</v>
      </c>
      <c r="AF21" s="134"/>
      <c r="AG21" s="134">
        <f>+CATEGORIAS[[#This Row],[PRESUPUESTO
FINAL
PROYECTADO]]-CATEGORIAS[[#This Row],[COSTO REAL]]-CATEGORIAS[[#This Row],[PROYECCION
TOTAL DE COSTO]]</f>
        <v>0</v>
      </c>
    </row>
    <row r="22" spans="1:33" x14ac:dyDescent="0.25">
      <c r="A22" s="245"/>
      <c r="B22" s="245"/>
      <c r="C22" s="245"/>
      <c r="D22" s="323" t="s">
        <v>1760</v>
      </c>
      <c r="E22" s="246" t="s">
        <v>400</v>
      </c>
      <c r="F22" s="246" t="s">
        <v>376</v>
      </c>
      <c r="G22" s="279">
        <v>0</v>
      </c>
      <c r="H22" s="279">
        <v>0</v>
      </c>
      <c r="I22" s="132">
        <v>0</v>
      </c>
      <c r="J22" s="132">
        <v>0</v>
      </c>
      <c r="K22" s="132">
        <v>0</v>
      </c>
      <c r="L22" s="144">
        <f>CATEGORIAS[[#This Row],[ADICIONALES]]+CATEGORIAS[[#This Row],[POM]]+CATEGORIAS[[#This Row],[REAJUSTE 
PAGADO]]+CATEGORIAS[[#This Row],[REAJUSTE
PROYECTADO]]</f>
        <v>0</v>
      </c>
      <c r="M22" s="133">
        <v>0</v>
      </c>
      <c r="N22" s="222">
        <v>0</v>
      </c>
      <c r="O22" s="142">
        <f>+CATEGORIAS[[#This Row],[PRODUCCION
PARTIDAS
ORIGINALES
ACTUAL]]+CATEGORIAS[[#This Row],[PRODUCCION
ADICIONALES
ACTUAL]]</f>
        <v>0</v>
      </c>
      <c r="P22" s="222">
        <v>0</v>
      </c>
      <c r="Q22" s="222">
        <v>0</v>
      </c>
      <c r="R22" s="141">
        <f>+CATEGORIAS[[#This Row],[PRODUCCION
ANTERIOR]]+CATEGORIAS[[#This Row],[PRODUCCION
ADICIONALES
ANTERIOR]]</f>
        <v>0</v>
      </c>
      <c r="S22" s="135">
        <v>0</v>
      </c>
      <c r="T22" s="135"/>
      <c r="U22" s="135">
        <v>0</v>
      </c>
      <c r="V22" s="262">
        <f>SUM(CATEGORIAS[[#This Row],[COSTO
ACUMULADO  AX]:[PROVISIONES]])</f>
        <v>0</v>
      </c>
      <c r="W22" s="264">
        <v>0</v>
      </c>
      <c r="X22" s="222"/>
      <c r="Y22" s="222">
        <v>0</v>
      </c>
      <c r="Z22" s="263">
        <f>SUM(CATEGORIAS[[#This Row],[COSTO ACUMULADO
ANTERIOR]:[PROVISIONES
ANTERIOR]])</f>
        <v>0</v>
      </c>
      <c r="AA22" s="338">
        <f>ABS(+CATEGORIAS[[#This Row],[PRESUPUESTO
FINAL
PROYECTADO]]-CATEGORIAS[[#This Row],[TOTAL PRODUCCION
ACTUAL]])</f>
        <v>0</v>
      </c>
      <c r="AB22" s="222"/>
      <c r="AC22" s="134"/>
      <c r="AD22" s="134">
        <v>0</v>
      </c>
      <c r="AE22" s="221">
        <f>SUM(CATEGORIAS[[#This Row],[INVENTARIO]:[PROYECCION
DE COSTO
DEL SALDO]])</f>
        <v>0</v>
      </c>
      <c r="AF22" s="134"/>
      <c r="AG22" s="134">
        <f>+CATEGORIAS[[#This Row],[PRESUPUESTO
FINAL
PROYECTADO]]-CATEGORIAS[[#This Row],[COSTO REAL]]-CATEGORIAS[[#This Row],[PROYECCION
TOTAL DE COSTO]]</f>
        <v>0</v>
      </c>
    </row>
    <row r="23" spans="1:33" x14ac:dyDescent="0.25">
      <c r="A23" s="245" t="s">
        <v>42</v>
      </c>
      <c r="B23" s="245" t="s">
        <v>189</v>
      </c>
      <c r="C23" s="245" t="s">
        <v>2381</v>
      </c>
      <c r="D23" s="323" t="s">
        <v>1761</v>
      </c>
      <c r="E23" s="246" t="s">
        <v>402</v>
      </c>
      <c r="F23" s="246" t="s">
        <v>379</v>
      </c>
      <c r="G23" s="279">
        <v>37872374.345846228</v>
      </c>
      <c r="H23" s="279">
        <v>9336138.6029721871</v>
      </c>
      <c r="I23" s="132">
        <v>9160674.7122824807</v>
      </c>
      <c r="J23" s="132">
        <v>329176.88756692311</v>
      </c>
      <c r="K23" s="132">
        <v>0</v>
      </c>
      <c r="L23" s="144">
        <f>CATEGORIAS[[#This Row],[ADICIONALES]]+CATEGORIAS[[#This Row],[POM]]+CATEGORIAS[[#This Row],[REAJUSTE 
PAGADO]]+CATEGORIAS[[#This Row],[REAJUSTE
PROYECTADO]]</f>
        <v>18825990.20282159</v>
      </c>
      <c r="M23" s="133">
        <v>9663482.8008251414</v>
      </c>
      <c r="N23" s="222">
        <v>9162507.4019964505</v>
      </c>
      <c r="O23" s="142">
        <f>+CATEGORIAS[[#This Row],[PRODUCCION
PARTIDAS
ORIGINALES
ACTUAL]]+CATEGORIAS[[#This Row],[PRODUCCION
ADICIONALES
ACTUAL]]</f>
        <v>18825990.20282159</v>
      </c>
      <c r="P23" s="222">
        <v>9663482.8008251414</v>
      </c>
      <c r="Q23" s="222">
        <v>9160674.7122824807</v>
      </c>
      <c r="R23" s="141">
        <f>+CATEGORIAS[[#This Row],[PRODUCCION
ANTERIOR]]+CATEGORIAS[[#This Row],[PRODUCCION
ADICIONALES
ANTERIOR]]</f>
        <v>18824157.51310762</v>
      </c>
      <c r="S23" s="135">
        <v>0</v>
      </c>
      <c r="T23" s="135"/>
      <c r="U23" s="135">
        <v>0</v>
      </c>
      <c r="V23" s="262">
        <f>SUM(CATEGORIAS[[#This Row],[COSTO
ACUMULADO  AX]:[PROVISIONES]])</f>
        <v>0</v>
      </c>
      <c r="W23" s="264">
        <v>0</v>
      </c>
      <c r="X23" s="222"/>
      <c r="Y23" s="222">
        <v>0</v>
      </c>
      <c r="Z23" s="263">
        <f>SUM(CATEGORIAS[[#This Row],[COSTO ACUMULADO
ANTERIOR]:[PROVISIONES
ANTERIOR]])</f>
        <v>0</v>
      </c>
      <c r="AA23" s="338">
        <f>ABS(+CATEGORIAS[[#This Row],[PRESUPUESTO
FINAL
PROYECTADO]]-CATEGORIAS[[#This Row],[TOTAL PRODUCCION
ACTUAL]])</f>
        <v>0</v>
      </c>
      <c r="AB23" s="222"/>
      <c r="AC23" s="134"/>
      <c r="AD23" s="134"/>
      <c r="AE23" s="221">
        <f>SUM(CATEGORIAS[[#This Row],[INVENTARIO]:[PROYECCION
DE COSTO
DEL SALDO]])</f>
        <v>0</v>
      </c>
      <c r="AF23" s="134"/>
      <c r="AG23" s="134">
        <f>+CATEGORIAS[[#This Row],[PRESUPUESTO
FINAL
PROYECTADO]]-CATEGORIAS[[#This Row],[COSTO REAL]]-CATEGORIAS[[#This Row],[PROYECCION
TOTAL DE COSTO]]</f>
        <v>18825990.20282159</v>
      </c>
    </row>
    <row r="24" spans="1:33" x14ac:dyDescent="0.25">
      <c r="A24" s="245"/>
      <c r="B24" s="245"/>
      <c r="C24" s="245"/>
      <c r="D24" s="323" t="s">
        <v>1762</v>
      </c>
      <c r="E24" s="246" t="s">
        <v>404</v>
      </c>
      <c r="F24" s="246" t="s">
        <v>376</v>
      </c>
      <c r="G24" s="279">
        <v>0</v>
      </c>
      <c r="H24" s="279">
        <v>0</v>
      </c>
      <c r="I24" s="132">
        <v>0</v>
      </c>
      <c r="J24" s="132">
        <v>0</v>
      </c>
      <c r="K24" s="132">
        <v>0</v>
      </c>
      <c r="L24" s="144">
        <f>CATEGORIAS[[#This Row],[ADICIONALES]]+CATEGORIAS[[#This Row],[POM]]+CATEGORIAS[[#This Row],[REAJUSTE 
PAGADO]]+CATEGORIAS[[#This Row],[REAJUSTE
PROYECTADO]]</f>
        <v>0</v>
      </c>
      <c r="M24" s="133">
        <v>0</v>
      </c>
      <c r="N24" s="222">
        <v>0</v>
      </c>
      <c r="O24" s="142">
        <f>+CATEGORIAS[[#This Row],[PRODUCCION
PARTIDAS
ORIGINALES
ACTUAL]]+CATEGORIAS[[#This Row],[PRODUCCION
ADICIONALES
ACTUAL]]</f>
        <v>0</v>
      </c>
      <c r="P24" s="222">
        <v>0</v>
      </c>
      <c r="Q24" s="222">
        <v>0</v>
      </c>
      <c r="R24" s="141">
        <f>+CATEGORIAS[[#This Row],[PRODUCCION
ANTERIOR]]+CATEGORIAS[[#This Row],[PRODUCCION
ADICIONALES
ANTERIOR]]</f>
        <v>0</v>
      </c>
      <c r="S24" s="135">
        <v>0</v>
      </c>
      <c r="T24" s="135"/>
      <c r="U24" s="135">
        <v>0</v>
      </c>
      <c r="V24" s="262">
        <f>SUM(CATEGORIAS[[#This Row],[COSTO
ACUMULADO  AX]:[PROVISIONES]])</f>
        <v>0</v>
      </c>
      <c r="W24" s="264">
        <v>0</v>
      </c>
      <c r="X24" s="222"/>
      <c r="Y24" s="222">
        <v>0</v>
      </c>
      <c r="Z24" s="263">
        <f>SUM(CATEGORIAS[[#This Row],[COSTO ACUMULADO
ANTERIOR]:[PROVISIONES
ANTERIOR]])</f>
        <v>0</v>
      </c>
      <c r="AA24" s="338">
        <f>ABS(+CATEGORIAS[[#This Row],[PRESUPUESTO
FINAL
PROYECTADO]]-CATEGORIAS[[#This Row],[TOTAL PRODUCCION
ACTUAL]])</f>
        <v>0</v>
      </c>
      <c r="AB24" s="222"/>
      <c r="AC24" s="134"/>
      <c r="AD24" s="134">
        <v>0</v>
      </c>
      <c r="AE24" s="221">
        <f>SUM(CATEGORIAS[[#This Row],[INVENTARIO]:[PROYECCION
DE COSTO
DEL SALDO]])</f>
        <v>0</v>
      </c>
      <c r="AF24" s="134"/>
      <c r="AG24" s="134">
        <f>+CATEGORIAS[[#This Row],[PRESUPUESTO
FINAL
PROYECTADO]]-CATEGORIAS[[#This Row],[COSTO REAL]]-CATEGORIAS[[#This Row],[PROYECCION
TOTAL DE COSTO]]</f>
        <v>0</v>
      </c>
    </row>
    <row r="25" spans="1:33" x14ac:dyDescent="0.25">
      <c r="A25" s="245" t="s">
        <v>47</v>
      </c>
      <c r="B25" s="245" t="s">
        <v>191</v>
      </c>
      <c r="C25" s="245" t="s">
        <v>192</v>
      </c>
      <c r="D25" s="323" t="s">
        <v>1763</v>
      </c>
      <c r="E25" s="244" t="s">
        <v>406</v>
      </c>
      <c r="F25" s="246" t="s">
        <v>379</v>
      </c>
      <c r="G25" s="279">
        <v>4909779.3548685564</v>
      </c>
      <c r="H25" s="279">
        <v>3800857.2152275443</v>
      </c>
      <c r="I25" s="132">
        <v>115680323.2087931</v>
      </c>
      <c r="J25" s="132">
        <v>134011.97233689067</v>
      </c>
      <c r="K25" s="132">
        <v>0</v>
      </c>
      <c r="L25" s="144">
        <f>CATEGORIAS[[#This Row],[ADICIONALES]]+CATEGORIAS[[#This Row],[POM]]+CATEGORIAS[[#This Row],[REAJUSTE 
PAGADO]]+CATEGORIAS[[#This Row],[REAJUSTE
PROYECTADO]]</f>
        <v>119615192.39635754</v>
      </c>
      <c r="M25" s="133">
        <v>3934123.0769700189</v>
      </c>
      <c r="N25" s="222">
        <v>115681069.31938751</v>
      </c>
      <c r="O25" s="142">
        <f>+CATEGORIAS[[#This Row],[PRODUCCION
PARTIDAS
ORIGINALES
ACTUAL]]+CATEGORIAS[[#This Row],[PRODUCCION
ADICIONALES
ACTUAL]]</f>
        <v>119615192.39635754</v>
      </c>
      <c r="P25" s="222">
        <v>3934123.0769700189</v>
      </c>
      <c r="Q25" s="222">
        <v>115680323.2087931</v>
      </c>
      <c r="R25" s="141">
        <f>+CATEGORIAS[[#This Row],[PRODUCCION
ANTERIOR]]+CATEGORIAS[[#This Row],[PRODUCCION
ADICIONALES
ANTERIOR]]</f>
        <v>119614446.28576313</v>
      </c>
      <c r="S25" s="135">
        <v>41920101</v>
      </c>
      <c r="T25" s="135"/>
      <c r="U25" s="135">
        <v>0</v>
      </c>
      <c r="V25" s="262">
        <f>SUM(CATEGORIAS[[#This Row],[COSTO
ACUMULADO  AX]:[PROVISIONES]])</f>
        <v>41920101</v>
      </c>
      <c r="W25" s="264">
        <v>41920101</v>
      </c>
      <c r="X25" s="222"/>
      <c r="Y25" s="222">
        <v>0</v>
      </c>
      <c r="Z25" s="263">
        <f>SUM(CATEGORIAS[[#This Row],[COSTO ACUMULADO
ANTERIOR]:[PROVISIONES
ANTERIOR]])</f>
        <v>41920101</v>
      </c>
      <c r="AA25" s="338">
        <f>ABS(+CATEGORIAS[[#This Row],[PRESUPUESTO
FINAL
PROYECTADO]]-CATEGORIAS[[#This Row],[TOTAL PRODUCCION
ACTUAL]])</f>
        <v>0</v>
      </c>
      <c r="AB25" s="222"/>
      <c r="AC25" s="134"/>
      <c r="AD25" s="134">
        <v>0</v>
      </c>
      <c r="AE25" s="221">
        <f>SUM(CATEGORIAS[[#This Row],[INVENTARIO]:[PROYECCION
DE COSTO
DEL SALDO]])</f>
        <v>0</v>
      </c>
      <c r="AF25" s="134"/>
      <c r="AG25" s="134">
        <f>+CATEGORIAS[[#This Row],[PRESUPUESTO
FINAL
PROYECTADO]]-CATEGORIAS[[#This Row],[COSTO REAL]]-CATEGORIAS[[#This Row],[PROYECCION
TOTAL DE COSTO]]</f>
        <v>77695091.396357536</v>
      </c>
    </row>
    <row r="26" spans="1:33" x14ac:dyDescent="0.25">
      <c r="A26" s="245"/>
      <c r="B26" s="245"/>
      <c r="C26" s="245"/>
      <c r="D26" s="323" t="s">
        <v>1764</v>
      </c>
      <c r="E26" s="246" t="s">
        <v>408</v>
      </c>
      <c r="F26" s="246" t="s">
        <v>376</v>
      </c>
      <c r="G26" s="279">
        <v>0</v>
      </c>
      <c r="H26" s="279">
        <v>0</v>
      </c>
      <c r="I26" s="132">
        <v>0</v>
      </c>
      <c r="J26" s="132">
        <v>0</v>
      </c>
      <c r="K26" s="132">
        <v>0</v>
      </c>
      <c r="L26" s="144">
        <f>CATEGORIAS[[#This Row],[ADICIONALES]]+CATEGORIAS[[#This Row],[POM]]+CATEGORIAS[[#This Row],[REAJUSTE 
PAGADO]]+CATEGORIAS[[#This Row],[REAJUSTE
PROYECTADO]]</f>
        <v>0</v>
      </c>
      <c r="M26" s="133">
        <v>0</v>
      </c>
      <c r="N26" s="222">
        <v>0</v>
      </c>
      <c r="O26" s="142">
        <f>+CATEGORIAS[[#This Row],[PRODUCCION
PARTIDAS
ORIGINALES
ACTUAL]]+CATEGORIAS[[#This Row],[PRODUCCION
ADICIONALES
ACTUAL]]</f>
        <v>0</v>
      </c>
      <c r="P26" s="222">
        <v>0</v>
      </c>
      <c r="Q26" s="222">
        <v>0</v>
      </c>
      <c r="R26" s="141">
        <f>+CATEGORIAS[[#This Row],[PRODUCCION
ANTERIOR]]+CATEGORIAS[[#This Row],[PRODUCCION
ADICIONALES
ANTERIOR]]</f>
        <v>0</v>
      </c>
      <c r="S26" s="135">
        <v>0</v>
      </c>
      <c r="T26" s="135"/>
      <c r="U26" s="135">
        <v>0</v>
      </c>
      <c r="V26" s="262">
        <f>SUM(CATEGORIAS[[#This Row],[COSTO
ACUMULADO  AX]:[PROVISIONES]])</f>
        <v>0</v>
      </c>
      <c r="W26" s="264">
        <v>0</v>
      </c>
      <c r="X26" s="222"/>
      <c r="Y26" s="222">
        <v>0</v>
      </c>
      <c r="Z26" s="263">
        <f>SUM(CATEGORIAS[[#This Row],[COSTO ACUMULADO
ANTERIOR]:[PROVISIONES
ANTERIOR]])</f>
        <v>0</v>
      </c>
      <c r="AA26" s="338">
        <f>ABS(+CATEGORIAS[[#This Row],[PRESUPUESTO
FINAL
PROYECTADO]]-CATEGORIAS[[#This Row],[TOTAL PRODUCCION
ACTUAL]])</f>
        <v>0</v>
      </c>
      <c r="AB26" s="222"/>
      <c r="AC26" s="134"/>
      <c r="AD26" s="134">
        <v>0</v>
      </c>
      <c r="AE26" s="221">
        <f>SUM(CATEGORIAS[[#This Row],[INVENTARIO]:[PROYECCION
DE COSTO
DEL SALDO]])</f>
        <v>0</v>
      </c>
      <c r="AF26" s="134"/>
      <c r="AG26" s="134">
        <f>+CATEGORIAS[[#This Row],[PRESUPUESTO
FINAL
PROYECTADO]]-CATEGORIAS[[#This Row],[COSTO REAL]]-CATEGORIAS[[#This Row],[PROYECCION
TOTAL DE COSTO]]</f>
        <v>0</v>
      </c>
    </row>
    <row r="27" spans="1:33" x14ac:dyDescent="0.25">
      <c r="A27" s="245"/>
      <c r="B27" s="245"/>
      <c r="C27" s="245"/>
      <c r="D27" s="323" t="s">
        <v>1765</v>
      </c>
      <c r="E27" s="244" t="s">
        <v>410</v>
      </c>
      <c r="F27" s="246" t="s">
        <v>376</v>
      </c>
      <c r="G27" s="279">
        <v>0</v>
      </c>
      <c r="H27" s="279">
        <v>0</v>
      </c>
      <c r="I27" s="132">
        <v>0</v>
      </c>
      <c r="J27" s="132">
        <v>0</v>
      </c>
      <c r="K27" s="132">
        <v>0</v>
      </c>
      <c r="L27" s="144">
        <f>CATEGORIAS[[#This Row],[ADICIONALES]]+CATEGORIAS[[#This Row],[POM]]+CATEGORIAS[[#This Row],[REAJUSTE 
PAGADO]]+CATEGORIAS[[#This Row],[REAJUSTE
PROYECTADO]]</f>
        <v>0</v>
      </c>
      <c r="M27" s="133">
        <v>0</v>
      </c>
      <c r="N27" s="222">
        <v>0</v>
      </c>
      <c r="O27" s="142">
        <f>+CATEGORIAS[[#This Row],[PRODUCCION
PARTIDAS
ORIGINALES
ACTUAL]]+CATEGORIAS[[#This Row],[PRODUCCION
ADICIONALES
ACTUAL]]</f>
        <v>0</v>
      </c>
      <c r="P27" s="222">
        <v>0</v>
      </c>
      <c r="Q27" s="222">
        <v>0</v>
      </c>
      <c r="R27" s="141">
        <f>+CATEGORIAS[[#This Row],[PRODUCCION
ANTERIOR]]+CATEGORIAS[[#This Row],[PRODUCCION
ADICIONALES
ANTERIOR]]</f>
        <v>0</v>
      </c>
      <c r="S27" s="135">
        <v>0</v>
      </c>
      <c r="T27" s="135"/>
      <c r="U27" s="135">
        <v>0</v>
      </c>
      <c r="V27" s="262">
        <f>SUM(CATEGORIAS[[#This Row],[COSTO
ACUMULADO  AX]:[PROVISIONES]])</f>
        <v>0</v>
      </c>
      <c r="W27" s="264">
        <v>0</v>
      </c>
      <c r="X27" s="222"/>
      <c r="Y27" s="222">
        <v>0</v>
      </c>
      <c r="Z27" s="263">
        <f>SUM(CATEGORIAS[[#This Row],[COSTO ACUMULADO
ANTERIOR]:[PROVISIONES
ANTERIOR]])</f>
        <v>0</v>
      </c>
      <c r="AA27" s="338">
        <f>ABS(+CATEGORIAS[[#This Row],[PRESUPUESTO
FINAL
PROYECTADO]]-CATEGORIAS[[#This Row],[TOTAL PRODUCCION
ACTUAL]])</f>
        <v>0</v>
      </c>
      <c r="AB27" s="222"/>
      <c r="AC27" s="134"/>
      <c r="AD27" s="134">
        <v>0</v>
      </c>
      <c r="AE27" s="221">
        <f>SUM(CATEGORIAS[[#This Row],[INVENTARIO]:[PROYECCION
DE COSTO
DEL SALDO]])</f>
        <v>0</v>
      </c>
      <c r="AF27" s="134"/>
      <c r="AG27" s="134">
        <f>+CATEGORIAS[[#This Row],[PRESUPUESTO
FINAL
PROYECTADO]]-CATEGORIAS[[#This Row],[COSTO REAL]]-CATEGORIAS[[#This Row],[PROYECCION
TOTAL DE COSTO]]</f>
        <v>0</v>
      </c>
    </row>
    <row r="28" spans="1:33" x14ac:dyDescent="0.25">
      <c r="A28" s="245"/>
      <c r="B28" s="245"/>
      <c r="C28" s="245"/>
      <c r="D28" s="323" t="s">
        <v>1766</v>
      </c>
      <c r="E28" s="246" t="s">
        <v>412</v>
      </c>
      <c r="F28" s="246" t="s">
        <v>379</v>
      </c>
      <c r="G28" s="279">
        <v>0</v>
      </c>
      <c r="H28" s="279">
        <v>0</v>
      </c>
      <c r="I28" s="132">
        <v>0</v>
      </c>
      <c r="J28" s="132">
        <v>0</v>
      </c>
      <c r="K28" s="132">
        <v>0</v>
      </c>
      <c r="L28" s="144">
        <f>CATEGORIAS[[#This Row],[ADICIONALES]]+CATEGORIAS[[#This Row],[POM]]+CATEGORIAS[[#This Row],[REAJUSTE 
PAGADO]]+CATEGORIAS[[#This Row],[REAJUSTE
PROYECTADO]]</f>
        <v>0</v>
      </c>
      <c r="M28" s="133">
        <v>0</v>
      </c>
      <c r="N28" s="222">
        <v>0</v>
      </c>
      <c r="O28" s="142">
        <f>+CATEGORIAS[[#This Row],[PRODUCCION
PARTIDAS
ORIGINALES
ACTUAL]]+CATEGORIAS[[#This Row],[PRODUCCION
ADICIONALES
ACTUAL]]</f>
        <v>0</v>
      </c>
      <c r="P28" s="222">
        <v>0</v>
      </c>
      <c r="Q28" s="134">
        <v>0</v>
      </c>
      <c r="R28" s="141">
        <f>+CATEGORIAS[[#This Row],[PRODUCCION
ANTERIOR]]+CATEGORIAS[[#This Row],[PRODUCCION
ADICIONALES
ANTERIOR]]</f>
        <v>0</v>
      </c>
      <c r="S28" s="135">
        <v>0</v>
      </c>
      <c r="T28" s="135"/>
      <c r="U28" s="135">
        <v>0</v>
      </c>
      <c r="V28" s="262">
        <f>SUM(CATEGORIAS[[#This Row],[COSTO
ACUMULADO  AX]:[PROVISIONES]])</f>
        <v>0</v>
      </c>
      <c r="W28" s="264">
        <v>0</v>
      </c>
      <c r="X28" s="222"/>
      <c r="Y28" s="222">
        <v>0</v>
      </c>
      <c r="Z28" s="263">
        <f>SUM(CATEGORIAS[[#This Row],[COSTO ACUMULADO
ANTERIOR]:[PROVISIONES
ANTERIOR]])</f>
        <v>0</v>
      </c>
      <c r="AA28" s="338">
        <f>ABS(+CATEGORIAS[[#This Row],[PRESUPUESTO
FINAL
PROYECTADO]]-CATEGORIAS[[#This Row],[TOTAL PRODUCCION
ACTUAL]])</f>
        <v>0</v>
      </c>
      <c r="AB28" s="222"/>
      <c r="AC28" s="134"/>
      <c r="AD28" s="134">
        <v>0</v>
      </c>
      <c r="AE28" s="221">
        <f>SUM(CATEGORIAS[[#This Row],[INVENTARIO]:[PROYECCION
DE COSTO
DEL SALDO]])</f>
        <v>0</v>
      </c>
      <c r="AF28" s="134"/>
      <c r="AG28" s="134">
        <f>+CATEGORIAS[[#This Row],[PRESUPUESTO
FINAL
PROYECTADO]]-CATEGORIAS[[#This Row],[COSTO REAL]]-CATEGORIAS[[#This Row],[PROYECCION
TOTAL DE COSTO]]</f>
        <v>0</v>
      </c>
    </row>
    <row r="29" spans="1:33" x14ac:dyDescent="0.25">
      <c r="A29" s="245"/>
      <c r="B29" s="245"/>
      <c r="C29" s="245"/>
      <c r="D29" s="323" t="s">
        <v>1767</v>
      </c>
      <c r="E29" s="244" t="s">
        <v>414</v>
      </c>
      <c r="F29" s="246" t="s">
        <v>376</v>
      </c>
      <c r="G29" s="279">
        <v>0</v>
      </c>
      <c r="H29" s="279">
        <v>0</v>
      </c>
      <c r="I29" s="132">
        <v>0</v>
      </c>
      <c r="J29" s="132">
        <v>0</v>
      </c>
      <c r="K29" s="132">
        <v>0</v>
      </c>
      <c r="L29" s="144">
        <f>CATEGORIAS[[#This Row],[ADICIONALES]]+CATEGORIAS[[#This Row],[POM]]+CATEGORIAS[[#This Row],[REAJUSTE 
PAGADO]]+CATEGORIAS[[#This Row],[REAJUSTE
PROYECTADO]]</f>
        <v>0</v>
      </c>
      <c r="M29" s="133">
        <v>0</v>
      </c>
      <c r="N29" s="222">
        <v>0</v>
      </c>
      <c r="O29" s="142">
        <f>+CATEGORIAS[[#This Row],[PRODUCCION
PARTIDAS
ORIGINALES
ACTUAL]]+CATEGORIAS[[#This Row],[PRODUCCION
ADICIONALES
ACTUAL]]</f>
        <v>0</v>
      </c>
      <c r="P29" s="222">
        <v>0</v>
      </c>
      <c r="Q29" s="134">
        <v>0</v>
      </c>
      <c r="R29" s="141">
        <f>+CATEGORIAS[[#This Row],[PRODUCCION
ANTERIOR]]+CATEGORIAS[[#This Row],[PRODUCCION
ADICIONALES
ANTERIOR]]</f>
        <v>0</v>
      </c>
      <c r="S29" s="135">
        <v>0</v>
      </c>
      <c r="T29" s="135"/>
      <c r="U29" s="135">
        <v>0</v>
      </c>
      <c r="V29" s="262">
        <f>SUM(CATEGORIAS[[#This Row],[COSTO
ACUMULADO  AX]:[PROVISIONES]])</f>
        <v>0</v>
      </c>
      <c r="W29" s="264">
        <v>0</v>
      </c>
      <c r="X29" s="222"/>
      <c r="Y29" s="222">
        <v>0</v>
      </c>
      <c r="Z29" s="263">
        <f>SUM(CATEGORIAS[[#This Row],[COSTO ACUMULADO
ANTERIOR]:[PROVISIONES
ANTERIOR]])</f>
        <v>0</v>
      </c>
      <c r="AA29" s="338">
        <f>ABS(+CATEGORIAS[[#This Row],[PRESUPUESTO
FINAL
PROYECTADO]]-CATEGORIAS[[#This Row],[TOTAL PRODUCCION
ACTUAL]])</f>
        <v>0</v>
      </c>
      <c r="AB29" s="222"/>
      <c r="AC29" s="134"/>
      <c r="AD29" s="134">
        <v>0</v>
      </c>
      <c r="AE29" s="221">
        <f>SUM(CATEGORIAS[[#This Row],[INVENTARIO]:[PROYECCION
DE COSTO
DEL SALDO]])</f>
        <v>0</v>
      </c>
      <c r="AF29" s="134"/>
      <c r="AG29" s="134">
        <f>+CATEGORIAS[[#This Row],[PRESUPUESTO
FINAL
PROYECTADO]]-CATEGORIAS[[#This Row],[COSTO REAL]]-CATEGORIAS[[#This Row],[PROYECCION
TOTAL DE COSTO]]</f>
        <v>0</v>
      </c>
    </row>
    <row r="30" spans="1:33" x14ac:dyDescent="0.25">
      <c r="A30" s="245"/>
      <c r="B30" s="245"/>
      <c r="C30" s="245"/>
      <c r="D30" s="323" t="s">
        <v>1768</v>
      </c>
      <c r="E30" s="244" t="s">
        <v>416</v>
      </c>
      <c r="F30" s="246" t="s">
        <v>376</v>
      </c>
      <c r="G30" s="279">
        <v>0</v>
      </c>
      <c r="H30" s="279">
        <v>0</v>
      </c>
      <c r="I30" s="132">
        <v>0</v>
      </c>
      <c r="J30" s="132">
        <v>0</v>
      </c>
      <c r="K30" s="132">
        <v>0</v>
      </c>
      <c r="L30" s="144">
        <f>CATEGORIAS[[#This Row],[ADICIONALES]]+CATEGORIAS[[#This Row],[POM]]+CATEGORIAS[[#This Row],[REAJUSTE 
PAGADO]]+CATEGORIAS[[#This Row],[REAJUSTE
PROYECTADO]]</f>
        <v>0</v>
      </c>
      <c r="M30" s="133">
        <v>0</v>
      </c>
      <c r="N30" s="222">
        <v>0</v>
      </c>
      <c r="O30" s="142">
        <f>+CATEGORIAS[[#This Row],[PRODUCCION
PARTIDAS
ORIGINALES
ACTUAL]]+CATEGORIAS[[#This Row],[PRODUCCION
ADICIONALES
ACTUAL]]</f>
        <v>0</v>
      </c>
      <c r="P30" s="222">
        <v>0</v>
      </c>
      <c r="Q30" s="222">
        <v>0</v>
      </c>
      <c r="R30" s="141">
        <f>+CATEGORIAS[[#This Row],[PRODUCCION
ANTERIOR]]+CATEGORIAS[[#This Row],[PRODUCCION
ADICIONALES
ANTERIOR]]</f>
        <v>0</v>
      </c>
      <c r="S30" s="135">
        <v>0</v>
      </c>
      <c r="T30" s="135"/>
      <c r="U30" s="135">
        <v>0</v>
      </c>
      <c r="V30" s="262">
        <f>SUM(CATEGORIAS[[#This Row],[COSTO
ACUMULADO  AX]:[PROVISIONES]])</f>
        <v>0</v>
      </c>
      <c r="W30" s="264">
        <v>0</v>
      </c>
      <c r="X30" s="222"/>
      <c r="Y30" s="222">
        <v>0</v>
      </c>
      <c r="Z30" s="263">
        <f>SUM(CATEGORIAS[[#This Row],[COSTO ACUMULADO
ANTERIOR]:[PROVISIONES
ANTERIOR]])</f>
        <v>0</v>
      </c>
      <c r="AA30" s="338">
        <f>ABS(+CATEGORIAS[[#This Row],[PRESUPUESTO
FINAL
PROYECTADO]]-CATEGORIAS[[#This Row],[TOTAL PRODUCCION
ACTUAL]])</f>
        <v>0</v>
      </c>
      <c r="AB30" s="222"/>
      <c r="AC30" s="134"/>
      <c r="AD30" s="134">
        <v>0</v>
      </c>
      <c r="AE30" s="221">
        <f>SUM(CATEGORIAS[[#This Row],[INVENTARIO]:[PROYECCION
DE COSTO
DEL SALDO]])</f>
        <v>0</v>
      </c>
      <c r="AF30" s="134"/>
      <c r="AG30" s="134">
        <f>+CATEGORIAS[[#This Row],[PRESUPUESTO
FINAL
PROYECTADO]]-CATEGORIAS[[#This Row],[COSTO REAL]]-CATEGORIAS[[#This Row],[PROYECCION
TOTAL DE COSTO]]</f>
        <v>0</v>
      </c>
    </row>
    <row r="31" spans="1:33" x14ac:dyDescent="0.25">
      <c r="A31" s="245"/>
      <c r="B31" s="245"/>
      <c r="C31" s="245"/>
      <c r="D31" s="323" t="s">
        <v>1769</v>
      </c>
      <c r="E31" s="244" t="s">
        <v>418</v>
      </c>
      <c r="F31" s="246" t="s">
        <v>376</v>
      </c>
      <c r="G31" s="279">
        <v>0</v>
      </c>
      <c r="H31" s="279">
        <v>0</v>
      </c>
      <c r="I31" s="132">
        <v>0</v>
      </c>
      <c r="J31" s="132">
        <v>0</v>
      </c>
      <c r="K31" s="132">
        <v>0</v>
      </c>
      <c r="L31" s="144">
        <f>CATEGORIAS[[#This Row],[ADICIONALES]]+CATEGORIAS[[#This Row],[POM]]+CATEGORIAS[[#This Row],[REAJUSTE 
PAGADO]]+CATEGORIAS[[#This Row],[REAJUSTE
PROYECTADO]]</f>
        <v>0</v>
      </c>
      <c r="M31" s="133">
        <v>0</v>
      </c>
      <c r="N31" s="222">
        <v>0</v>
      </c>
      <c r="O31" s="142">
        <f>+CATEGORIAS[[#This Row],[PRODUCCION
PARTIDAS
ORIGINALES
ACTUAL]]+CATEGORIAS[[#This Row],[PRODUCCION
ADICIONALES
ACTUAL]]</f>
        <v>0</v>
      </c>
      <c r="P31" s="222">
        <v>0</v>
      </c>
      <c r="Q31" s="222">
        <v>0</v>
      </c>
      <c r="R31" s="141">
        <f>+CATEGORIAS[[#This Row],[PRODUCCION
ANTERIOR]]+CATEGORIAS[[#This Row],[PRODUCCION
ADICIONALES
ANTERIOR]]</f>
        <v>0</v>
      </c>
      <c r="S31" s="135">
        <v>0</v>
      </c>
      <c r="T31" s="135"/>
      <c r="U31" s="135">
        <v>0</v>
      </c>
      <c r="V31" s="262">
        <f>SUM(CATEGORIAS[[#This Row],[COSTO
ACUMULADO  AX]:[PROVISIONES]])</f>
        <v>0</v>
      </c>
      <c r="W31" s="264">
        <v>0</v>
      </c>
      <c r="X31" s="222"/>
      <c r="Y31" s="222">
        <v>0</v>
      </c>
      <c r="Z31" s="263">
        <f>SUM(CATEGORIAS[[#This Row],[COSTO ACUMULADO
ANTERIOR]:[PROVISIONES
ANTERIOR]])</f>
        <v>0</v>
      </c>
      <c r="AA31" s="338">
        <f>ABS(+CATEGORIAS[[#This Row],[PRESUPUESTO
FINAL
PROYECTADO]]-CATEGORIAS[[#This Row],[TOTAL PRODUCCION
ACTUAL]])</f>
        <v>0</v>
      </c>
      <c r="AB31" s="222"/>
      <c r="AC31" s="134"/>
      <c r="AD31" s="134">
        <v>0</v>
      </c>
      <c r="AE31" s="221">
        <f>SUM(CATEGORIAS[[#This Row],[INVENTARIO]:[PROYECCION
DE COSTO
DEL SALDO]])</f>
        <v>0</v>
      </c>
      <c r="AF31" s="134"/>
      <c r="AG31" s="134">
        <f>+CATEGORIAS[[#This Row],[PRESUPUESTO
FINAL
PROYECTADO]]-CATEGORIAS[[#This Row],[COSTO REAL]]-CATEGORIAS[[#This Row],[PROYECCION
TOTAL DE COSTO]]</f>
        <v>0</v>
      </c>
    </row>
    <row r="32" spans="1:33" x14ac:dyDescent="0.25">
      <c r="A32" s="245"/>
      <c r="B32" s="245"/>
      <c r="C32" s="245"/>
      <c r="D32" s="323" t="s">
        <v>1770</v>
      </c>
      <c r="E32" s="244" t="s">
        <v>420</v>
      </c>
      <c r="F32" s="246" t="s">
        <v>376</v>
      </c>
      <c r="G32" s="279">
        <v>0</v>
      </c>
      <c r="H32" s="279">
        <v>0</v>
      </c>
      <c r="I32" s="132">
        <v>0</v>
      </c>
      <c r="J32" s="132">
        <v>0</v>
      </c>
      <c r="K32" s="132">
        <v>0</v>
      </c>
      <c r="L32" s="144">
        <f>CATEGORIAS[[#This Row],[ADICIONALES]]+CATEGORIAS[[#This Row],[POM]]+CATEGORIAS[[#This Row],[REAJUSTE 
PAGADO]]+CATEGORIAS[[#This Row],[REAJUSTE
PROYECTADO]]</f>
        <v>0</v>
      </c>
      <c r="M32" s="133">
        <v>0</v>
      </c>
      <c r="N32" s="222">
        <v>0</v>
      </c>
      <c r="O32" s="142">
        <f>+CATEGORIAS[[#This Row],[PRODUCCION
PARTIDAS
ORIGINALES
ACTUAL]]+CATEGORIAS[[#This Row],[PRODUCCION
ADICIONALES
ACTUAL]]</f>
        <v>0</v>
      </c>
      <c r="P32" s="222">
        <v>0</v>
      </c>
      <c r="Q32" s="134">
        <v>0</v>
      </c>
      <c r="R32" s="141">
        <f>+CATEGORIAS[[#This Row],[PRODUCCION
ANTERIOR]]+CATEGORIAS[[#This Row],[PRODUCCION
ADICIONALES
ANTERIOR]]</f>
        <v>0</v>
      </c>
      <c r="S32" s="135">
        <v>0</v>
      </c>
      <c r="T32" s="135"/>
      <c r="U32" s="135">
        <v>0</v>
      </c>
      <c r="V32" s="262">
        <f>SUM(CATEGORIAS[[#This Row],[COSTO
ACUMULADO  AX]:[PROVISIONES]])</f>
        <v>0</v>
      </c>
      <c r="W32" s="264">
        <v>0</v>
      </c>
      <c r="X32" s="222"/>
      <c r="Y32" s="222">
        <v>0</v>
      </c>
      <c r="Z32" s="263">
        <f>SUM(CATEGORIAS[[#This Row],[COSTO ACUMULADO
ANTERIOR]:[PROVISIONES
ANTERIOR]])</f>
        <v>0</v>
      </c>
      <c r="AA32" s="338">
        <f>ABS(+CATEGORIAS[[#This Row],[PRESUPUESTO
FINAL
PROYECTADO]]-CATEGORIAS[[#This Row],[TOTAL PRODUCCION
ACTUAL]])</f>
        <v>0</v>
      </c>
      <c r="AB32" s="222"/>
      <c r="AC32" s="134"/>
      <c r="AD32" s="134">
        <v>0</v>
      </c>
      <c r="AE32" s="221">
        <f>SUM(CATEGORIAS[[#This Row],[INVENTARIO]:[PROYECCION
DE COSTO
DEL SALDO]])</f>
        <v>0</v>
      </c>
      <c r="AF32" s="134"/>
      <c r="AG32" s="134">
        <f>+CATEGORIAS[[#This Row],[PRESUPUESTO
FINAL
PROYECTADO]]-CATEGORIAS[[#This Row],[COSTO REAL]]-CATEGORIAS[[#This Row],[PROYECCION
TOTAL DE COSTO]]</f>
        <v>0</v>
      </c>
    </row>
    <row r="33" spans="1:33" x14ac:dyDescent="0.25">
      <c r="A33" s="245"/>
      <c r="B33" s="245"/>
      <c r="C33" s="245"/>
      <c r="D33" s="323" t="s">
        <v>1771</v>
      </c>
      <c r="E33" s="246" t="s">
        <v>422</v>
      </c>
      <c r="F33" s="246" t="s">
        <v>376</v>
      </c>
      <c r="G33" s="279">
        <v>0</v>
      </c>
      <c r="H33" s="279">
        <v>0</v>
      </c>
      <c r="I33" s="132">
        <v>0</v>
      </c>
      <c r="J33" s="132">
        <v>0</v>
      </c>
      <c r="K33" s="132">
        <v>0</v>
      </c>
      <c r="L33" s="144">
        <f>CATEGORIAS[[#This Row],[ADICIONALES]]+CATEGORIAS[[#This Row],[POM]]+CATEGORIAS[[#This Row],[REAJUSTE 
PAGADO]]+CATEGORIAS[[#This Row],[REAJUSTE
PROYECTADO]]</f>
        <v>0</v>
      </c>
      <c r="M33" s="133">
        <v>0</v>
      </c>
      <c r="N33" s="222">
        <v>0</v>
      </c>
      <c r="O33" s="142">
        <f>+CATEGORIAS[[#This Row],[PRODUCCION
PARTIDAS
ORIGINALES
ACTUAL]]+CATEGORIAS[[#This Row],[PRODUCCION
ADICIONALES
ACTUAL]]</f>
        <v>0</v>
      </c>
      <c r="P33" s="222">
        <v>0</v>
      </c>
      <c r="Q33" s="222">
        <v>0</v>
      </c>
      <c r="R33" s="141">
        <f>+CATEGORIAS[[#This Row],[PRODUCCION
ANTERIOR]]+CATEGORIAS[[#This Row],[PRODUCCION
ADICIONALES
ANTERIOR]]</f>
        <v>0</v>
      </c>
      <c r="S33" s="135">
        <v>0</v>
      </c>
      <c r="T33" s="135"/>
      <c r="U33" s="135">
        <v>0</v>
      </c>
      <c r="V33" s="262">
        <f>SUM(CATEGORIAS[[#This Row],[COSTO
ACUMULADO  AX]:[PROVISIONES]])</f>
        <v>0</v>
      </c>
      <c r="W33" s="264">
        <v>0</v>
      </c>
      <c r="X33" s="222"/>
      <c r="Y33" s="222">
        <v>0</v>
      </c>
      <c r="Z33" s="263">
        <f>SUM(CATEGORIAS[[#This Row],[COSTO ACUMULADO
ANTERIOR]:[PROVISIONES
ANTERIOR]])</f>
        <v>0</v>
      </c>
      <c r="AA33" s="338">
        <f>ABS(+CATEGORIAS[[#This Row],[PRESUPUESTO
FINAL
PROYECTADO]]-CATEGORIAS[[#This Row],[TOTAL PRODUCCION
ACTUAL]])</f>
        <v>0</v>
      </c>
      <c r="AB33" s="222"/>
      <c r="AC33" s="134"/>
      <c r="AD33" s="134">
        <v>0</v>
      </c>
      <c r="AE33" s="221">
        <f>SUM(CATEGORIAS[[#This Row],[INVENTARIO]:[PROYECCION
DE COSTO
DEL SALDO]])</f>
        <v>0</v>
      </c>
      <c r="AF33" s="134"/>
      <c r="AG33" s="134">
        <f>+CATEGORIAS[[#This Row],[PRESUPUESTO
FINAL
PROYECTADO]]-CATEGORIAS[[#This Row],[COSTO REAL]]-CATEGORIAS[[#This Row],[PROYECCION
TOTAL DE COSTO]]</f>
        <v>0</v>
      </c>
    </row>
    <row r="34" spans="1:33" x14ac:dyDescent="0.25">
      <c r="A34" s="245" t="s">
        <v>52</v>
      </c>
      <c r="B34" s="245" t="s">
        <v>2383</v>
      </c>
      <c r="C34" s="245" t="s">
        <v>423</v>
      </c>
      <c r="D34" s="323" t="s">
        <v>1772</v>
      </c>
      <c r="E34" s="246" t="s">
        <v>425</v>
      </c>
      <c r="F34" s="246" t="s">
        <v>379</v>
      </c>
      <c r="G34" s="279">
        <v>40034534.039657995</v>
      </c>
      <c r="H34" s="279">
        <v>36291828.890411802</v>
      </c>
      <c r="I34" s="132">
        <v>17061590.627388962</v>
      </c>
      <c r="J34" s="132">
        <v>1279590.1802972287</v>
      </c>
      <c r="K34" s="132">
        <v>0</v>
      </c>
      <c r="L34" s="144">
        <f>CATEGORIAS[[#This Row],[ADICIONALES]]+CATEGORIAS[[#This Row],[POM]]+CATEGORIAS[[#This Row],[REAJUSTE 
PAGADO]]+CATEGORIAS[[#This Row],[REAJUSTE
PROYECTADO]]</f>
        <v>54633009.698097989</v>
      </c>
      <c r="M34" s="133">
        <v>37564294.962516442</v>
      </c>
      <c r="N34" s="222">
        <v>17068714.735581547</v>
      </c>
      <c r="O34" s="142">
        <f>+CATEGORIAS[[#This Row],[PRODUCCION
PARTIDAS
ORIGINALES
ACTUAL]]+CATEGORIAS[[#This Row],[PRODUCCION
ADICIONALES
ACTUAL]]</f>
        <v>54633009.698097989</v>
      </c>
      <c r="P34" s="222">
        <v>37564294.962516442</v>
      </c>
      <c r="Q34" s="222">
        <v>17061590.627388962</v>
      </c>
      <c r="R34" s="141">
        <f>+CATEGORIAS[[#This Row],[PRODUCCION
ANTERIOR]]+CATEGORIAS[[#This Row],[PRODUCCION
ADICIONALES
ANTERIOR]]</f>
        <v>54625885.589905404</v>
      </c>
      <c r="S34" s="135">
        <v>166683412</v>
      </c>
      <c r="T34" s="135"/>
      <c r="U34" s="135">
        <v>0</v>
      </c>
      <c r="V34" s="262">
        <f>SUM(CATEGORIAS[[#This Row],[COSTO
ACUMULADO  AX]:[PROVISIONES]])</f>
        <v>166683412</v>
      </c>
      <c r="W34" s="264">
        <v>166683412</v>
      </c>
      <c r="X34" s="222"/>
      <c r="Y34" s="222">
        <v>0</v>
      </c>
      <c r="Z34" s="263">
        <f>SUM(CATEGORIAS[[#This Row],[COSTO ACUMULADO
ANTERIOR]:[PROVISIONES
ANTERIOR]])</f>
        <v>166683412</v>
      </c>
      <c r="AA34" s="338">
        <f>ABS(+CATEGORIAS[[#This Row],[PRESUPUESTO
FINAL
PROYECTADO]]-CATEGORIAS[[#This Row],[TOTAL PRODUCCION
ACTUAL]])</f>
        <v>0</v>
      </c>
      <c r="AB34" s="222"/>
      <c r="AC34" s="134"/>
      <c r="AD34" s="134">
        <v>0</v>
      </c>
      <c r="AE34" s="221">
        <f>SUM(CATEGORIAS[[#This Row],[INVENTARIO]:[PROYECCION
DE COSTO
DEL SALDO]])</f>
        <v>0</v>
      </c>
      <c r="AF34" s="134"/>
      <c r="AG34" s="134">
        <f>+CATEGORIAS[[#This Row],[PRESUPUESTO
FINAL
PROYECTADO]]-CATEGORIAS[[#This Row],[COSTO REAL]]-CATEGORIAS[[#This Row],[PROYECCION
TOTAL DE COSTO]]</f>
        <v>-112050402.30190201</v>
      </c>
    </row>
    <row r="35" spans="1:33" x14ac:dyDescent="0.25">
      <c r="A35" s="245"/>
      <c r="B35" s="245"/>
      <c r="C35" s="245"/>
      <c r="D35" s="323" t="s">
        <v>1773</v>
      </c>
      <c r="E35" s="244" t="s">
        <v>427</v>
      </c>
      <c r="F35" s="246" t="s">
        <v>376</v>
      </c>
      <c r="G35" s="279">
        <v>0</v>
      </c>
      <c r="H35" s="279">
        <v>0</v>
      </c>
      <c r="I35" s="132">
        <v>0</v>
      </c>
      <c r="J35" s="132">
        <v>0</v>
      </c>
      <c r="K35" s="132">
        <v>0</v>
      </c>
      <c r="L35" s="144">
        <f>CATEGORIAS[[#This Row],[ADICIONALES]]+CATEGORIAS[[#This Row],[POM]]+CATEGORIAS[[#This Row],[REAJUSTE 
PAGADO]]+CATEGORIAS[[#This Row],[REAJUSTE
PROYECTADO]]</f>
        <v>0</v>
      </c>
      <c r="M35" s="133">
        <v>0</v>
      </c>
      <c r="N35" s="222">
        <v>0</v>
      </c>
      <c r="O35" s="142">
        <f>+CATEGORIAS[[#This Row],[PRODUCCION
PARTIDAS
ORIGINALES
ACTUAL]]+CATEGORIAS[[#This Row],[PRODUCCION
ADICIONALES
ACTUAL]]</f>
        <v>0</v>
      </c>
      <c r="P35" s="222">
        <v>0</v>
      </c>
      <c r="Q35" s="222">
        <v>0</v>
      </c>
      <c r="R35" s="141">
        <f>+CATEGORIAS[[#This Row],[PRODUCCION
ANTERIOR]]+CATEGORIAS[[#This Row],[PRODUCCION
ADICIONALES
ANTERIOR]]</f>
        <v>0</v>
      </c>
      <c r="S35" s="135">
        <v>0</v>
      </c>
      <c r="T35" s="135"/>
      <c r="U35" s="135">
        <v>0</v>
      </c>
      <c r="V35" s="262">
        <f>SUM(CATEGORIAS[[#This Row],[COSTO
ACUMULADO  AX]:[PROVISIONES]])</f>
        <v>0</v>
      </c>
      <c r="W35" s="264">
        <v>0</v>
      </c>
      <c r="X35" s="222"/>
      <c r="Y35" s="222">
        <v>0</v>
      </c>
      <c r="Z35" s="263">
        <f>SUM(CATEGORIAS[[#This Row],[COSTO ACUMULADO
ANTERIOR]:[PROVISIONES
ANTERIOR]])</f>
        <v>0</v>
      </c>
      <c r="AA35" s="338">
        <f>ABS(+CATEGORIAS[[#This Row],[PRESUPUESTO
FINAL
PROYECTADO]]-CATEGORIAS[[#This Row],[TOTAL PRODUCCION
ACTUAL]])</f>
        <v>0</v>
      </c>
      <c r="AB35" s="222"/>
      <c r="AC35" s="134"/>
      <c r="AD35" s="134">
        <v>0</v>
      </c>
      <c r="AE35" s="221">
        <f>SUM(CATEGORIAS[[#This Row],[INVENTARIO]:[PROYECCION
DE COSTO
DEL SALDO]])</f>
        <v>0</v>
      </c>
      <c r="AF35" s="134"/>
      <c r="AG35" s="134">
        <f>+CATEGORIAS[[#This Row],[PRESUPUESTO
FINAL
PROYECTADO]]-CATEGORIAS[[#This Row],[COSTO REAL]]-CATEGORIAS[[#This Row],[PROYECCION
TOTAL DE COSTO]]</f>
        <v>0</v>
      </c>
    </row>
    <row r="36" spans="1:33" x14ac:dyDescent="0.25">
      <c r="A36" s="245" t="s">
        <v>100</v>
      </c>
      <c r="B36" s="245" t="s">
        <v>2431</v>
      </c>
      <c r="C36" s="245" t="s">
        <v>2426</v>
      </c>
      <c r="D36" s="323" t="s">
        <v>1774</v>
      </c>
      <c r="E36" s="244" t="s">
        <v>318</v>
      </c>
      <c r="F36" s="246" t="s">
        <v>379</v>
      </c>
      <c r="G36" s="279">
        <v>109544629.7149321</v>
      </c>
      <c r="H36" s="279">
        <v>109544629.7149321</v>
      </c>
      <c r="I36" s="132">
        <v>31540254.416112088</v>
      </c>
      <c r="J36" s="132">
        <v>3862363.4237555945</v>
      </c>
      <c r="K36" s="132">
        <v>0</v>
      </c>
      <c r="L36" s="144">
        <f>CATEGORIAS[[#This Row],[ADICIONALES]]+CATEGORIAS[[#This Row],[POM]]+CATEGORIAS[[#This Row],[REAJUSTE 
PAGADO]]+CATEGORIAS[[#This Row],[REAJUSTE
PROYECTADO]]</f>
        <v>144947247.55479977</v>
      </c>
      <c r="M36" s="133">
        <v>113385489.46092148</v>
      </c>
      <c r="N36" s="222">
        <v>31561758.093878292</v>
      </c>
      <c r="O36" s="142">
        <f>+CATEGORIAS[[#This Row],[PRODUCCION
PARTIDAS
ORIGINALES
ACTUAL]]+CATEGORIAS[[#This Row],[PRODUCCION
ADICIONALES
ACTUAL]]</f>
        <v>144947247.55479977</v>
      </c>
      <c r="P36" s="222">
        <v>113385489.46092148</v>
      </c>
      <c r="Q36" s="222">
        <v>31540254.416112088</v>
      </c>
      <c r="R36" s="141">
        <f>+CATEGORIAS[[#This Row],[PRODUCCION
ANTERIOR]]+CATEGORIAS[[#This Row],[PRODUCCION
ADICIONALES
ANTERIOR]]</f>
        <v>144925743.87703356</v>
      </c>
      <c r="S36" s="135">
        <v>78474322</v>
      </c>
      <c r="T36" s="135"/>
      <c r="U36" s="135">
        <v>0</v>
      </c>
      <c r="V36" s="262">
        <f>SUM(CATEGORIAS[[#This Row],[COSTO
ACUMULADO  AX]:[PROVISIONES]])</f>
        <v>78474322</v>
      </c>
      <c r="W36" s="264">
        <v>78474322</v>
      </c>
      <c r="X36" s="222"/>
      <c r="Y36" s="222">
        <v>0</v>
      </c>
      <c r="Z36" s="263">
        <f>SUM(CATEGORIAS[[#This Row],[COSTO ACUMULADO
ANTERIOR]:[PROVISIONES
ANTERIOR]])</f>
        <v>78474322</v>
      </c>
      <c r="AA36" s="338">
        <f>ABS(+CATEGORIAS[[#This Row],[PRESUPUESTO
FINAL
PROYECTADO]]-CATEGORIAS[[#This Row],[TOTAL PRODUCCION
ACTUAL]])</f>
        <v>0</v>
      </c>
      <c r="AB36" s="222"/>
      <c r="AC36" s="134"/>
      <c r="AD36" s="134">
        <v>0</v>
      </c>
      <c r="AE36" s="221">
        <f>SUM(CATEGORIAS[[#This Row],[INVENTARIO]:[PROYECCION
DE COSTO
DEL SALDO]])</f>
        <v>0</v>
      </c>
      <c r="AF36" s="134"/>
      <c r="AG36" s="134">
        <f>+CATEGORIAS[[#This Row],[PRESUPUESTO
FINAL
PROYECTADO]]-CATEGORIAS[[#This Row],[COSTO REAL]]-CATEGORIAS[[#This Row],[PROYECCION
TOTAL DE COSTO]]</f>
        <v>66472925.554799765</v>
      </c>
    </row>
    <row r="37" spans="1:33" x14ac:dyDescent="0.25">
      <c r="A37" s="245" t="s">
        <v>100</v>
      </c>
      <c r="B37" s="245" t="s">
        <v>2432</v>
      </c>
      <c r="C37" s="245" t="s">
        <v>2427</v>
      </c>
      <c r="D37" s="323" t="s">
        <v>1775</v>
      </c>
      <c r="E37" s="244" t="s">
        <v>429</v>
      </c>
      <c r="F37" s="246" t="s">
        <v>379</v>
      </c>
      <c r="G37" s="279">
        <v>69826848.009499088</v>
      </c>
      <c r="H37" s="279">
        <v>69826848.009499088</v>
      </c>
      <c r="I37" s="132">
        <v>20104651.017817874</v>
      </c>
      <c r="J37" s="132">
        <v>2461979.7834897228</v>
      </c>
      <c r="K37" s="132">
        <v>0</v>
      </c>
      <c r="L37" s="144">
        <f>CATEGORIAS[[#This Row],[ADICIONALES]]+CATEGORIAS[[#This Row],[POM]]+CATEGORIAS[[#This Row],[REAJUSTE 
PAGADO]]+CATEGORIAS[[#This Row],[REAJUSTE
PROYECTADO]]</f>
        <v>92393478.810806677</v>
      </c>
      <c r="M37" s="133">
        <v>72275120.740046695</v>
      </c>
      <c r="N37" s="222">
        <v>20118358.070759986</v>
      </c>
      <c r="O37" s="142">
        <f>+CATEGORIAS[[#This Row],[PRODUCCION
PARTIDAS
ORIGINALES
ACTUAL]]+CATEGORIAS[[#This Row],[PRODUCCION
ADICIONALES
ACTUAL]]</f>
        <v>92393478.810806677</v>
      </c>
      <c r="P37" s="222">
        <v>72275120.740046695</v>
      </c>
      <c r="Q37" s="134">
        <v>20104651.017817874</v>
      </c>
      <c r="R37" s="141">
        <f>+CATEGORIAS[[#This Row],[PRODUCCION
ANTERIOR]]+CATEGORIAS[[#This Row],[PRODUCCION
ADICIONALES
ANTERIOR]]</f>
        <v>92379771.757864565</v>
      </c>
      <c r="S37" s="135">
        <v>40245262</v>
      </c>
      <c r="T37" s="135"/>
      <c r="U37" s="135">
        <v>0</v>
      </c>
      <c r="V37" s="262">
        <f>SUM(CATEGORIAS[[#This Row],[COSTO
ACUMULADO  AX]:[PROVISIONES]])</f>
        <v>40245262</v>
      </c>
      <c r="W37" s="264">
        <v>40245262</v>
      </c>
      <c r="X37" s="222"/>
      <c r="Y37" s="222">
        <v>0</v>
      </c>
      <c r="Z37" s="263">
        <f>SUM(CATEGORIAS[[#This Row],[COSTO ACUMULADO
ANTERIOR]:[PROVISIONES
ANTERIOR]])</f>
        <v>40245262</v>
      </c>
      <c r="AA37" s="338">
        <f>ABS(+CATEGORIAS[[#This Row],[PRESUPUESTO
FINAL
PROYECTADO]]-CATEGORIAS[[#This Row],[TOTAL PRODUCCION
ACTUAL]])</f>
        <v>0</v>
      </c>
      <c r="AB37" s="222"/>
      <c r="AC37" s="134"/>
      <c r="AD37" s="134">
        <v>0</v>
      </c>
      <c r="AE37" s="221">
        <f>SUM(CATEGORIAS[[#This Row],[INVENTARIO]:[PROYECCION
DE COSTO
DEL SALDO]])</f>
        <v>0</v>
      </c>
      <c r="AF37" s="134"/>
      <c r="AG37" s="134">
        <f>+CATEGORIAS[[#This Row],[PRESUPUESTO
FINAL
PROYECTADO]]-CATEGORIAS[[#This Row],[COSTO REAL]]-CATEGORIAS[[#This Row],[PROYECCION
TOTAL DE COSTO]]</f>
        <v>52148216.810806677</v>
      </c>
    </row>
    <row r="38" spans="1:33" x14ac:dyDescent="0.25">
      <c r="A38" s="245"/>
      <c r="B38" s="245"/>
      <c r="C38" s="245"/>
      <c r="D38" s="323" t="s">
        <v>1776</v>
      </c>
      <c r="E38" s="244" t="s">
        <v>431</v>
      </c>
      <c r="F38" s="246" t="s">
        <v>376</v>
      </c>
      <c r="G38" s="279">
        <v>0</v>
      </c>
      <c r="H38" s="279">
        <v>0</v>
      </c>
      <c r="I38" s="132">
        <v>0</v>
      </c>
      <c r="J38" s="132">
        <v>0</v>
      </c>
      <c r="K38" s="132">
        <v>0</v>
      </c>
      <c r="L38" s="144">
        <f>CATEGORIAS[[#This Row],[ADICIONALES]]+CATEGORIAS[[#This Row],[POM]]+CATEGORIAS[[#This Row],[REAJUSTE 
PAGADO]]+CATEGORIAS[[#This Row],[REAJUSTE
PROYECTADO]]</f>
        <v>0</v>
      </c>
      <c r="M38" s="133">
        <v>0</v>
      </c>
      <c r="N38" s="222">
        <v>0</v>
      </c>
      <c r="O38" s="142">
        <f>+CATEGORIAS[[#This Row],[PRODUCCION
PARTIDAS
ORIGINALES
ACTUAL]]+CATEGORIAS[[#This Row],[PRODUCCION
ADICIONALES
ACTUAL]]</f>
        <v>0</v>
      </c>
      <c r="P38" s="222">
        <v>0</v>
      </c>
      <c r="Q38" s="222">
        <v>0</v>
      </c>
      <c r="R38" s="141">
        <f>+CATEGORIAS[[#This Row],[PRODUCCION
ANTERIOR]]+CATEGORIAS[[#This Row],[PRODUCCION
ADICIONALES
ANTERIOR]]</f>
        <v>0</v>
      </c>
      <c r="S38" s="135">
        <v>0</v>
      </c>
      <c r="T38" s="135"/>
      <c r="U38" s="135">
        <v>0</v>
      </c>
      <c r="V38" s="262">
        <f>SUM(CATEGORIAS[[#This Row],[COSTO
ACUMULADO  AX]:[PROVISIONES]])</f>
        <v>0</v>
      </c>
      <c r="W38" s="264">
        <v>0</v>
      </c>
      <c r="X38" s="222"/>
      <c r="Y38" s="222">
        <v>0</v>
      </c>
      <c r="Z38" s="263">
        <f>SUM(CATEGORIAS[[#This Row],[COSTO ACUMULADO
ANTERIOR]:[PROVISIONES
ANTERIOR]])</f>
        <v>0</v>
      </c>
      <c r="AA38" s="338">
        <f>ABS(+CATEGORIAS[[#This Row],[PRESUPUESTO
FINAL
PROYECTADO]]-CATEGORIAS[[#This Row],[TOTAL PRODUCCION
ACTUAL]])</f>
        <v>0</v>
      </c>
      <c r="AB38" s="222"/>
      <c r="AC38" s="134"/>
      <c r="AD38" s="134">
        <v>0</v>
      </c>
      <c r="AE38" s="221">
        <f>SUM(CATEGORIAS[[#This Row],[INVENTARIO]:[PROYECCION
DE COSTO
DEL SALDO]])</f>
        <v>0</v>
      </c>
      <c r="AF38" s="134"/>
      <c r="AG38" s="134">
        <f>+CATEGORIAS[[#This Row],[PRESUPUESTO
FINAL
PROYECTADO]]-CATEGORIAS[[#This Row],[COSTO REAL]]-CATEGORIAS[[#This Row],[PROYECCION
TOTAL DE COSTO]]</f>
        <v>0</v>
      </c>
    </row>
    <row r="39" spans="1:33" x14ac:dyDescent="0.25">
      <c r="A39" s="245"/>
      <c r="B39" s="245"/>
      <c r="C39" s="245"/>
      <c r="D39" s="323" t="s">
        <v>1777</v>
      </c>
      <c r="E39" s="244" t="s">
        <v>433</v>
      </c>
      <c r="F39" s="246" t="s">
        <v>376</v>
      </c>
      <c r="G39" s="279">
        <v>0</v>
      </c>
      <c r="H39" s="279">
        <v>0</v>
      </c>
      <c r="I39" s="132">
        <v>0</v>
      </c>
      <c r="J39" s="132">
        <v>0</v>
      </c>
      <c r="K39" s="132">
        <v>0</v>
      </c>
      <c r="L39" s="144">
        <f>CATEGORIAS[[#This Row],[ADICIONALES]]+CATEGORIAS[[#This Row],[POM]]+CATEGORIAS[[#This Row],[REAJUSTE 
PAGADO]]+CATEGORIAS[[#This Row],[REAJUSTE
PROYECTADO]]</f>
        <v>0</v>
      </c>
      <c r="M39" s="133">
        <v>0</v>
      </c>
      <c r="N39" s="222">
        <v>0</v>
      </c>
      <c r="O39" s="142">
        <f>+CATEGORIAS[[#This Row],[PRODUCCION
PARTIDAS
ORIGINALES
ACTUAL]]+CATEGORIAS[[#This Row],[PRODUCCION
ADICIONALES
ACTUAL]]</f>
        <v>0</v>
      </c>
      <c r="P39" s="222">
        <v>0</v>
      </c>
      <c r="Q39" s="134">
        <v>0</v>
      </c>
      <c r="R39" s="141">
        <f>+CATEGORIAS[[#This Row],[PRODUCCION
ANTERIOR]]+CATEGORIAS[[#This Row],[PRODUCCION
ADICIONALES
ANTERIOR]]</f>
        <v>0</v>
      </c>
      <c r="S39" s="135">
        <v>0</v>
      </c>
      <c r="T39" s="135"/>
      <c r="U39" s="135">
        <v>0</v>
      </c>
      <c r="V39" s="262">
        <f>SUM(CATEGORIAS[[#This Row],[COSTO
ACUMULADO  AX]:[PROVISIONES]])</f>
        <v>0</v>
      </c>
      <c r="W39" s="264">
        <v>0</v>
      </c>
      <c r="X39" s="222"/>
      <c r="Y39" s="222">
        <v>0</v>
      </c>
      <c r="Z39" s="263">
        <f>SUM(CATEGORIAS[[#This Row],[COSTO ACUMULADO
ANTERIOR]:[PROVISIONES
ANTERIOR]])</f>
        <v>0</v>
      </c>
      <c r="AA39" s="338">
        <f>ABS(+CATEGORIAS[[#This Row],[PRESUPUESTO
FINAL
PROYECTADO]]-CATEGORIAS[[#This Row],[TOTAL PRODUCCION
ACTUAL]])</f>
        <v>0</v>
      </c>
      <c r="AB39" s="222"/>
      <c r="AC39" s="134"/>
      <c r="AD39" s="134">
        <v>0</v>
      </c>
      <c r="AE39" s="221">
        <f>SUM(CATEGORIAS[[#This Row],[INVENTARIO]:[PROYECCION
DE COSTO
DEL SALDO]])</f>
        <v>0</v>
      </c>
      <c r="AF39" s="134"/>
      <c r="AG39" s="134">
        <f>+CATEGORIAS[[#This Row],[PRESUPUESTO
FINAL
PROYECTADO]]-CATEGORIAS[[#This Row],[COSTO REAL]]-CATEGORIAS[[#This Row],[PROYECCION
TOTAL DE COSTO]]</f>
        <v>0</v>
      </c>
    </row>
    <row r="40" spans="1:33" x14ac:dyDescent="0.25">
      <c r="A40" s="245"/>
      <c r="B40" s="245"/>
      <c r="C40" s="245"/>
      <c r="D40" s="323" t="s">
        <v>1778</v>
      </c>
      <c r="E40" s="244" t="s">
        <v>435</v>
      </c>
      <c r="F40" s="246" t="s">
        <v>376</v>
      </c>
      <c r="G40" s="279">
        <v>0</v>
      </c>
      <c r="H40" s="279">
        <v>0</v>
      </c>
      <c r="I40" s="132">
        <v>0</v>
      </c>
      <c r="J40" s="132">
        <v>0</v>
      </c>
      <c r="K40" s="132">
        <v>0</v>
      </c>
      <c r="L40" s="144">
        <f>CATEGORIAS[[#This Row],[ADICIONALES]]+CATEGORIAS[[#This Row],[POM]]+CATEGORIAS[[#This Row],[REAJUSTE 
PAGADO]]+CATEGORIAS[[#This Row],[REAJUSTE
PROYECTADO]]</f>
        <v>0</v>
      </c>
      <c r="M40" s="133">
        <v>0</v>
      </c>
      <c r="N40" s="222">
        <v>0</v>
      </c>
      <c r="O40" s="142">
        <f>+CATEGORIAS[[#This Row],[PRODUCCION
PARTIDAS
ORIGINALES
ACTUAL]]+CATEGORIAS[[#This Row],[PRODUCCION
ADICIONALES
ACTUAL]]</f>
        <v>0</v>
      </c>
      <c r="P40" s="222">
        <v>0</v>
      </c>
      <c r="Q40" s="134">
        <v>0</v>
      </c>
      <c r="R40" s="141">
        <f>+CATEGORIAS[[#This Row],[PRODUCCION
ANTERIOR]]+CATEGORIAS[[#This Row],[PRODUCCION
ADICIONALES
ANTERIOR]]</f>
        <v>0</v>
      </c>
      <c r="S40" s="135">
        <v>0</v>
      </c>
      <c r="T40" s="135"/>
      <c r="U40" s="135">
        <v>0</v>
      </c>
      <c r="V40" s="262">
        <f>SUM(CATEGORIAS[[#This Row],[COSTO
ACUMULADO  AX]:[PROVISIONES]])</f>
        <v>0</v>
      </c>
      <c r="W40" s="264">
        <v>0</v>
      </c>
      <c r="X40" s="222"/>
      <c r="Y40" s="222">
        <v>0</v>
      </c>
      <c r="Z40" s="263">
        <f>SUM(CATEGORIAS[[#This Row],[COSTO ACUMULADO
ANTERIOR]:[PROVISIONES
ANTERIOR]])</f>
        <v>0</v>
      </c>
      <c r="AA40" s="338">
        <f>ABS(+CATEGORIAS[[#This Row],[PRESUPUESTO
FINAL
PROYECTADO]]-CATEGORIAS[[#This Row],[TOTAL PRODUCCION
ACTUAL]])</f>
        <v>0</v>
      </c>
      <c r="AB40" s="222"/>
      <c r="AC40" s="134"/>
      <c r="AD40" s="134">
        <v>0</v>
      </c>
      <c r="AE40" s="221">
        <f>SUM(CATEGORIAS[[#This Row],[INVENTARIO]:[PROYECCION
DE COSTO
DEL SALDO]])</f>
        <v>0</v>
      </c>
      <c r="AF40" s="134"/>
      <c r="AG40" s="134">
        <f>+CATEGORIAS[[#This Row],[PRESUPUESTO
FINAL
PROYECTADO]]-CATEGORIAS[[#This Row],[COSTO REAL]]-CATEGORIAS[[#This Row],[PROYECCION
TOTAL DE COSTO]]</f>
        <v>0</v>
      </c>
    </row>
    <row r="41" spans="1:33" x14ac:dyDescent="0.25">
      <c r="A41" s="245"/>
      <c r="B41" s="245"/>
      <c r="C41" s="245"/>
      <c r="D41" s="323" t="s">
        <v>1779</v>
      </c>
      <c r="E41" s="244" t="s">
        <v>437</v>
      </c>
      <c r="F41" s="246" t="s">
        <v>376</v>
      </c>
      <c r="G41" s="279">
        <v>0</v>
      </c>
      <c r="H41" s="279">
        <v>0</v>
      </c>
      <c r="I41" s="132">
        <v>0</v>
      </c>
      <c r="J41" s="132">
        <v>0</v>
      </c>
      <c r="K41" s="132">
        <v>0</v>
      </c>
      <c r="L41" s="144">
        <f>CATEGORIAS[[#This Row],[ADICIONALES]]+CATEGORIAS[[#This Row],[POM]]+CATEGORIAS[[#This Row],[REAJUSTE 
PAGADO]]+CATEGORIAS[[#This Row],[REAJUSTE
PROYECTADO]]</f>
        <v>0</v>
      </c>
      <c r="M41" s="133">
        <v>0</v>
      </c>
      <c r="N41" s="222">
        <v>0</v>
      </c>
      <c r="O41" s="142">
        <f>+CATEGORIAS[[#This Row],[PRODUCCION
PARTIDAS
ORIGINALES
ACTUAL]]+CATEGORIAS[[#This Row],[PRODUCCION
ADICIONALES
ACTUAL]]</f>
        <v>0</v>
      </c>
      <c r="P41" s="222">
        <v>0</v>
      </c>
      <c r="Q41" s="222">
        <v>0</v>
      </c>
      <c r="R41" s="141">
        <f>+CATEGORIAS[[#This Row],[PRODUCCION
ANTERIOR]]+CATEGORIAS[[#This Row],[PRODUCCION
ADICIONALES
ANTERIOR]]</f>
        <v>0</v>
      </c>
      <c r="S41" s="135">
        <v>0</v>
      </c>
      <c r="T41" s="135"/>
      <c r="U41" s="135">
        <v>0</v>
      </c>
      <c r="V41" s="262">
        <f>SUM(CATEGORIAS[[#This Row],[COSTO
ACUMULADO  AX]:[PROVISIONES]])</f>
        <v>0</v>
      </c>
      <c r="W41" s="264">
        <v>0</v>
      </c>
      <c r="X41" s="222"/>
      <c r="Y41" s="222">
        <v>0</v>
      </c>
      <c r="Z41" s="263">
        <f>SUM(CATEGORIAS[[#This Row],[COSTO ACUMULADO
ANTERIOR]:[PROVISIONES
ANTERIOR]])</f>
        <v>0</v>
      </c>
      <c r="AA41" s="338">
        <f>ABS(+CATEGORIAS[[#This Row],[PRESUPUESTO
FINAL
PROYECTADO]]-CATEGORIAS[[#This Row],[TOTAL PRODUCCION
ACTUAL]])</f>
        <v>0</v>
      </c>
      <c r="AB41" s="222"/>
      <c r="AC41" s="134"/>
      <c r="AD41" s="134">
        <v>0</v>
      </c>
      <c r="AE41" s="221">
        <f>SUM(CATEGORIAS[[#This Row],[INVENTARIO]:[PROYECCION
DE COSTO
DEL SALDO]])</f>
        <v>0</v>
      </c>
      <c r="AF41" s="134"/>
      <c r="AG41" s="134">
        <f>+CATEGORIAS[[#This Row],[PRESUPUESTO
FINAL
PROYECTADO]]-CATEGORIAS[[#This Row],[COSTO REAL]]-CATEGORIAS[[#This Row],[PROYECCION
TOTAL DE COSTO]]</f>
        <v>0</v>
      </c>
    </row>
    <row r="42" spans="1:33" x14ac:dyDescent="0.25">
      <c r="A42" s="245"/>
      <c r="B42" s="245"/>
      <c r="C42" s="245"/>
      <c r="D42" s="323" t="s">
        <v>2299</v>
      </c>
      <c r="E42" s="244" t="s">
        <v>2300</v>
      </c>
      <c r="F42" s="246" t="s">
        <v>376</v>
      </c>
      <c r="G42" s="279">
        <v>0</v>
      </c>
      <c r="H42" s="279">
        <v>0</v>
      </c>
      <c r="I42" s="132">
        <v>0</v>
      </c>
      <c r="J42" s="132">
        <v>0</v>
      </c>
      <c r="K42" s="132">
        <v>0</v>
      </c>
      <c r="L42" s="144">
        <f>CATEGORIAS[[#This Row],[ADICIONALES]]+CATEGORIAS[[#This Row],[POM]]+CATEGORIAS[[#This Row],[REAJUSTE 
PAGADO]]+CATEGORIAS[[#This Row],[REAJUSTE
PROYECTADO]]</f>
        <v>0</v>
      </c>
      <c r="M42" s="133">
        <v>0</v>
      </c>
      <c r="N42" s="222">
        <v>0</v>
      </c>
      <c r="O42" s="142">
        <f>+CATEGORIAS[[#This Row],[PRODUCCION
PARTIDAS
ORIGINALES
ACTUAL]]+CATEGORIAS[[#This Row],[PRODUCCION
ADICIONALES
ACTUAL]]</f>
        <v>0</v>
      </c>
      <c r="P42" s="222">
        <v>0</v>
      </c>
      <c r="Q42" s="222">
        <v>0</v>
      </c>
      <c r="R42" s="141">
        <f>+CATEGORIAS[[#This Row],[PRODUCCION
ANTERIOR]]+CATEGORIAS[[#This Row],[PRODUCCION
ADICIONALES
ANTERIOR]]</f>
        <v>0</v>
      </c>
      <c r="S42" s="135">
        <v>0</v>
      </c>
      <c r="T42" s="135"/>
      <c r="U42" s="135">
        <v>0</v>
      </c>
      <c r="V42" s="262">
        <f>SUM(CATEGORIAS[[#This Row],[COSTO
ACUMULADO  AX]:[PROVISIONES]])</f>
        <v>0</v>
      </c>
      <c r="W42" s="264">
        <v>0</v>
      </c>
      <c r="X42" s="222"/>
      <c r="Y42" s="222">
        <v>0</v>
      </c>
      <c r="Z42" s="263">
        <f>SUM(CATEGORIAS[[#This Row],[COSTO ACUMULADO
ANTERIOR]:[PROVISIONES
ANTERIOR]])</f>
        <v>0</v>
      </c>
      <c r="AA42" s="338">
        <f>ABS(+CATEGORIAS[[#This Row],[PRESUPUESTO
FINAL
PROYECTADO]]-CATEGORIAS[[#This Row],[TOTAL PRODUCCION
ACTUAL]])</f>
        <v>0</v>
      </c>
      <c r="AB42" s="222"/>
      <c r="AC42" s="134"/>
      <c r="AD42" s="134">
        <v>0</v>
      </c>
      <c r="AE42" s="221">
        <f>SUM(CATEGORIAS[[#This Row],[INVENTARIO]:[PROYECCION
DE COSTO
DEL SALDO]])</f>
        <v>0</v>
      </c>
      <c r="AF42" s="134"/>
      <c r="AG42" s="134">
        <f>+CATEGORIAS[[#This Row],[PRESUPUESTO
FINAL
PROYECTADO]]-CATEGORIAS[[#This Row],[COSTO REAL]]-CATEGORIAS[[#This Row],[PROYECCION
TOTAL DE COSTO]]</f>
        <v>0</v>
      </c>
    </row>
    <row r="43" spans="1:33" x14ac:dyDescent="0.25">
      <c r="A43" s="245" t="s">
        <v>115</v>
      </c>
      <c r="B43" s="245" t="s">
        <v>115</v>
      </c>
      <c r="C43" s="245" t="s">
        <v>116</v>
      </c>
      <c r="D43" s="323" t="s">
        <v>1780</v>
      </c>
      <c r="E43" s="246" t="s">
        <v>441</v>
      </c>
      <c r="F43" s="246" t="s">
        <v>379</v>
      </c>
      <c r="G43" s="279">
        <v>263311370.33350706</v>
      </c>
      <c r="H43" s="279">
        <v>263311370.33350706</v>
      </c>
      <c r="I43" s="132">
        <v>117227018.23868737</v>
      </c>
      <c r="J43" s="132">
        <v>9283925.7248999849</v>
      </c>
      <c r="K43" s="132">
        <v>0</v>
      </c>
      <c r="L43" s="144">
        <f>CATEGORIAS[[#This Row],[ADICIONALES]]+CATEGORIAS[[#This Row],[POM]]+CATEGORIAS[[#This Row],[REAJUSTE 
PAGADO]]+CATEGORIAS[[#This Row],[REAJUSTE
PROYECTADO]]</f>
        <v>389822314.29709446</v>
      </c>
      <c r="M43" s="133">
        <v>272543607.87547588</v>
      </c>
      <c r="N43" s="222">
        <v>117278706.42161855</v>
      </c>
      <c r="O43" s="142">
        <f>+CATEGORIAS[[#This Row],[PRODUCCION
PARTIDAS
ORIGINALES
ACTUAL]]+CATEGORIAS[[#This Row],[PRODUCCION
ADICIONALES
ACTUAL]]</f>
        <v>389822314.29709446</v>
      </c>
      <c r="P43" s="222">
        <v>272543607.87547588</v>
      </c>
      <c r="Q43" s="222">
        <v>117227018.23868737</v>
      </c>
      <c r="R43" s="141">
        <f>+CATEGORIAS[[#This Row],[PRODUCCION
ANTERIOR]]+CATEGORIAS[[#This Row],[PRODUCCION
ADICIONALES
ANTERIOR]]</f>
        <v>389770626.11416328</v>
      </c>
      <c r="S43" s="135">
        <v>354096373.81104273</v>
      </c>
      <c r="T43" s="135"/>
      <c r="U43" s="135">
        <v>0</v>
      </c>
      <c r="V43" s="262">
        <f>SUM(CATEGORIAS[[#This Row],[COSTO
ACUMULADO  AX]:[PROVISIONES]])</f>
        <v>354096373.81104273</v>
      </c>
      <c r="W43" s="264">
        <v>329098916.81104273</v>
      </c>
      <c r="X43" s="222"/>
      <c r="Y43" s="222">
        <v>0</v>
      </c>
      <c r="Z43" s="263">
        <f>SUM(CATEGORIAS[[#This Row],[COSTO ACUMULADO
ANTERIOR]:[PROVISIONES
ANTERIOR]])</f>
        <v>329098916.81104273</v>
      </c>
      <c r="AA43" s="338">
        <f>ABS(+CATEGORIAS[[#This Row],[PRESUPUESTO
FINAL
PROYECTADO]]-CATEGORIAS[[#This Row],[TOTAL PRODUCCION
ACTUAL]])</f>
        <v>0</v>
      </c>
      <c r="AB43" s="222"/>
      <c r="AC43" s="134"/>
      <c r="AD43" s="134">
        <v>1652803.5</v>
      </c>
      <c r="AE43" s="221">
        <f>SUM(CATEGORIAS[[#This Row],[INVENTARIO]:[PROYECCION
DE COSTO
DEL SALDO]])</f>
        <v>1652803.5</v>
      </c>
      <c r="AF43" s="134"/>
      <c r="AG43" s="134">
        <f>+CATEGORIAS[[#This Row],[PRESUPUESTO
FINAL
PROYECTADO]]-CATEGORIAS[[#This Row],[COSTO REAL]]-CATEGORIAS[[#This Row],[PROYECCION
TOTAL DE COSTO]]</f>
        <v>34073136.986051738</v>
      </c>
    </row>
    <row r="44" spans="1:33" x14ac:dyDescent="0.25">
      <c r="A44" s="245" t="s">
        <v>117</v>
      </c>
      <c r="B44" s="245" t="s">
        <v>117</v>
      </c>
      <c r="C44" s="245" t="s">
        <v>118</v>
      </c>
      <c r="D44" s="323" t="s">
        <v>1781</v>
      </c>
      <c r="E44" s="246" t="s">
        <v>443</v>
      </c>
      <c r="F44" s="246" t="s">
        <v>379</v>
      </c>
      <c r="G44" s="279">
        <v>80469294.782991737</v>
      </c>
      <c r="H44" s="279">
        <v>80469294.782991737</v>
      </c>
      <c r="I44" s="132">
        <v>40759474.921774141</v>
      </c>
      <c r="J44" s="132">
        <v>2837214.9480447653</v>
      </c>
      <c r="K44" s="132">
        <v>0</v>
      </c>
      <c r="L44" s="144">
        <f>CATEGORIAS[[#This Row],[ADICIONALES]]+CATEGORIAS[[#This Row],[POM]]+CATEGORIAS[[#This Row],[REAJUSTE 
PAGADO]]+CATEGORIAS[[#This Row],[REAJUSTE
PROYECTADO]]</f>
        <v>124065984.65281065</v>
      </c>
      <c r="M44" s="133">
        <v>83290713.559288129</v>
      </c>
      <c r="N44" s="222">
        <v>40775271.093522526</v>
      </c>
      <c r="O44" s="142">
        <f>+CATEGORIAS[[#This Row],[PRODUCCION
PARTIDAS
ORIGINALES
ACTUAL]]+CATEGORIAS[[#This Row],[PRODUCCION
ADICIONALES
ACTUAL]]</f>
        <v>124065984.65281066</v>
      </c>
      <c r="P44" s="222">
        <v>83290713.559288129</v>
      </c>
      <c r="Q44" s="222">
        <v>40759474.921774141</v>
      </c>
      <c r="R44" s="141">
        <f>+CATEGORIAS[[#This Row],[PRODUCCION
ANTERIOR]]+CATEGORIAS[[#This Row],[PRODUCCION
ADICIONALES
ANTERIOR]]</f>
        <v>124050188.48106226</v>
      </c>
      <c r="S44" s="135">
        <v>122778866.53333333</v>
      </c>
      <c r="T44" s="135"/>
      <c r="U44" s="135">
        <v>0</v>
      </c>
      <c r="V44" s="262">
        <f>SUM(CATEGORIAS[[#This Row],[COSTO
ACUMULADO  AX]:[PROVISIONES]])</f>
        <v>122778866.53333333</v>
      </c>
      <c r="W44" s="264">
        <v>122778866.53333333</v>
      </c>
      <c r="X44" s="222"/>
      <c r="Y44" s="222">
        <v>0</v>
      </c>
      <c r="Z44" s="263">
        <f>SUM(CATEGORIAS[[#This Row],[COSTO ACUMULADO
ANTERIOR]:[PROVISIONES
ANTERIOR]])</f>
        <v>122778866.53333333</v>
      </c>
      <c r="AA44" s="338">
        <f>ABS(+CATEGORIAS[[#This Row],[PRESUPUESTO
FINAL
PROYECTADO]]-CATEGORIAS[[#This Row],[TOTAL PRODUCCION
ACTUAL]])</f>
        <v>1.4901161193847656E-8</v>
      </c>
      <c r="AB44" s="222"/>
      <c r="AC44" s="134"/>
      <c r="AD44" s="134">
        <v>0</v>
      </c>
      <c r="AE44" s="221">
        <f>SUM(CATEGORIAS[[#This Row],[INVENTARIO]:[PROYECCION
DE COSTO
DEL SALDO]])</f>
        <v>0</v>
      </c>
      <c r="AF44" s="134"/>
      <c r="AG44" s="134">
        <f>+CATEGORIAS[[#This Row],[PRESUPUESTO
FINAL
PROYECTADO]]-CATEGORIAS[[#This Row],[COSTO REAL]]-CATEGORIAS[[#This Row],[PROYECCION
TOTAL DE COSTO]]</f>
        <v>1287118.1194773167</v>
      </c>
    </row>
    <row r="45" spans="1:33" x14ac:dyDescent="0.25">
      <c r="A45" s="245" t="s">
        <v>119</v>
      </c>
      <c r="B45" s="245" t="s">
        <v>119</v>
      </c>
      <c r="C45" s="245" t="s">
        <v>120</v>
      </c>
      <c r="D45" s="323" t="s">
        <v>1782</v>
      </c>
      <c r="E45" s="246" t="s">
        <v>445</v>
      </c>
      <c r="F45" s="246" t="s">
        <v>379</v>
      </c>
      <c r="G45" s="279">
        <v>97274459.021890849</v>
      </c>
      <c r="H45" s="279">
        <v>97274459.021890849</v>
      </c>
      <c r="I45" s="132">
        <v>70947696.350852758</v>
      </c>
      <c r="J45" s="132">
        <v>3429737.3916865815</v>
      </c>
      <c r="K45" s="132">
        <v>0</v>
      </c>
      <c r="L45" s="144">
        <f>CATEGORIAS[[#This Row],[ADICIONALES]]+CATEGORIAS[[#This Row],[POM]]+CATEGORIAS[[#This Row],[REAJUSTE 
PAGADO]]+CATEGORIAS[[#This Row],[REAJUSTE
PROYECTADO]]</f>
        <v>171651892.7644302</v>
      </c>
      <c r="M45" s="133">
        <v>100685101.37781774</v>
      </c>
      <c r="N45" s="222">
        <v>70966791.386612475</v>
      </c>
      <c r="O45" s="142">
        <f>+CATEGORIAS[[#This Row],[PRODUCCION
PARTIDAS
ORIGINALES
ACTUAL]]+CATEGORIAS[[#This Row],[PRODUCCION
ADICIONALES
ACTUAL]]</f>
        <v>171651892.76443022</v>
      </c>
      <c r="P45" s="222">
        <v>100685101.37781774</v>
      </c>
      <c r="Q45" s="222">
        <v>70947696.350852758</v>
      </c>
      <c r="R45" s="141">
        <f>+CATEGORIAS[[#This Row],[PRODUCCION
ANTERIOR]]+CATEGORIAS[[#This Row],[PRODUCCION
ADICIONALES
ANTERIOR]]</f>
        <v>171632797.72867048</v>
      </c>
      <c r="S45" s="135">
        <v>121259605</v>
      </c>
      <c r="T45" s="135"/>
      <c r="U45" s="135">
        <v>0</v>
      </c>
      <c r="V45" s="262">
        <f>SUM(CATEGORIAS[[#This Row],[COSTO
ACUMULADO  AX]:[PROVISIONES]])</f>
        <v>121259605</v>
      </c>
      <c r="W45" s="264">
        <v>121259605</v>
      </c>
      <c r="X45" s="222"/>
      <c r="Y45" s="222">
        <v>0</v>
      </c>
      <c r="Z45" s="263">
        <f>SUM(CATEGORIAS[[#This Row],[COSTO ACUMULADO
ANTERIOR]:[PROVISIONES
ANTERIOR]])</f>
        <v>121259605</v>
      </c>
      <c r="AA45" s="338">
        <f>ABS(+CATEGORIAS[[#This Row],[PRESUPUESTO
FINAL
PROYECTADO]]-CATEGORIAS[[#This Row],[TOTAL PRODUCCION
ACTUAL]])</f>
        <v>2.9802322387695313E-8</v>
      </c>
      <c r="AB45" s="222"/>
      <c r="AC45" s="134"/>
      <c r="AD45" s="134">
        <v>0</v>
      </c>
      <c r="AE45" s="221">
        <f>SUM(CATEGORIAS[[#This Row],[INVENTARIO]:[PROYECCION
DE COSTO
DEL SALDO]])</f>
        <v>0</v>
      </c>
      <c r="AF45" s="134"/>
      <c r="AG45" s="134">
        <f>+CATEGORIAS[[#This Row],[PRESUPUESTO
FINAL
PROYECTADO]]-CATEGORIAS[[#This Row],[COSTO REAL]]-CATEGORIAS[[#This Row],[PROYECCION
TOTAL DE COSTO]]</f>
        <v>50392287.764430195</v>
      </c>
    </row>
    <row r="46" spans="1:33" x14ac:dyDescent="0.25">
      <c r="A46" s="245" t="s">
        <v>125</v>
      </c>
      <c r="B46" s="245" t="s">
        <v>125</v>
      </c>
      <c r="C46" s="245" t="s">
        <v>126</v>
      </c>
      <c r="D46" s="323" t="s">
        <v>1783</v>
      </c>
      <c r="E46" s="244" t="s">
        <v>447</v>
      </c>
      <c r="F46" s="246" t="s">
        <v>379</v>
      </c>
      <c r="G46" s="279">
        <v>55188181.120416395</v>
      </c>
      <c r="H46" s="279">
        <v>55188181.120416395</v>
      </c>
      <c r="I46" s="132">
        <v>34340825.043929614</v>
      </c>
      <c r="J46" s="132">
        <v>1945844.4721370016</v>
      </c>
      <c r="K46" s="132">
        <v>0</v>
      </c>
      <c r="L46" s="144">
        <f>CATEGORIAS[[#This Row],[ADICIONALES]]+CATEGORIAS[[#This Row],[POM]]+CATEGORIAS[[#This Row],[REAJUSTE 
PAGADO]]+CATEGORIAS[[#This Row],[REAJUSTE
PROYECTADO]]</f>
        <v>91474850.636483014</v>
      </c>
      <c r="M46" s="133">
        <v>57123192.118868694</v>
      </c>
      <c r="N46" s="222">
        <v>34351658.517614312</v>
      </c>
      <c r="O46" s="142">
        <f>+CATEGORIAS[[#This Row],[PRODUCCION
PARTIDAS
ORIGINALES
ACTUAL]]+CATEGORIAS[[#This Row],[PRODUCCION
ADICIONALES
ACTUAL]]</f>
        <v>91474850.636483014</v>
      </c>
      <c r="P46" s="222">
        <v>57123192.118868694</v>
      </c>
      <c r="Q46" s="222">
        <v>34340825.043929614</v>
      </c>
      <c r="R46" s="141">
        <f>+CATEGORIAS[[#This Row],[PRODUCCION
ANTERIOR]]+CATEGORIAS[[#This Row],[PRODUCCION
ADICIONALES
ANTERIOR]]</f>
        <v>91464017.162798315</v>
      </c>
      <c r="S46" s="135">
        <v>89355743</v>
      </c>
      <c r="T46" s="135"/>
      <c r="U46" s="135">
        <v>0</v>
      </c>
      <c r="V46" s="262">
        <f>SUM(CATEGORIAS[[#This Row],[COSTO
ACUMULADO  AX]:[PROVISIONES]])</f>
        <v>89355743</v>
      </c>
      <c r="W46" s="264">
        <v>89355743</v>
      </c>
      <c r="X46" s="222"/>
      <c r="Y46" s="222">
        <v>0</v>
      </c>
      <c r="Z46" s="263">
        <f>SUM(CATEGORIAS[[#This Row],[COSTO ACUMULADO
ANTERIOR]:[PROVISIONES
ANTERIOR]])</f>
        <v>89355743</v>
      </c>
      <c r="AA46" s="338">
        <f>ABS(+CATEGORIAS[[#This Row],[PRESUPUESTO
FINAL
PROYECTADO]]-CATEGORIAS[[#This Row],[TOTAL PRODUCCION
ACTUAL]])</f>
        <v>0</v>
      </c>
      <c r="AB46" s="222"/>
      <c r="AC46" s="134"/>
      <c r="AD46" s="134">
        <v>0</v>
      </c>
      <c r="AE46" s="221">
        <f>SUM(CATEGORIAS[[#This Row],[INVENTARIO]:[PROYECCION
DE COSTO
DEL SALDO]])</f>
        <v>0</v>
      </c>
      <c r="AF46" s="134"/>
      <c r="AG46" s="134">
        <f>+CATEGORIAS[[#This Row],[PRESUPUESTO
FINAL
PROYECTADO]]-CATEGORIAS[[#This Row],[COSTO REAL]]-CATEGORIAS[[#This Row],[PROYECCION
TOTAL DE COSTO]]</f>
        <v>2119107.6364830136</v>
      </c>
    </row>
    <row r="47" spans="1:33" x14ac:dyDescent="0.25">
      <c r="A47" s="245" t="s">
        <v>121</v>
      </c>
      <c r="B47" s="245" t="s">
        <v>121</v>
      </c>
      <c r="C47" s="245" t="s">
        <v>2384</v>
      </c>
      <c r="D47" s="323" t="s">
        <v>1784</v>
      </c>
      <c r="E47" s="246" t="s">
        <v>449</v>
      </c>
      <c r="F47" s="246" t="s">
        <v>379</v>
      </c>
      <c r="G47" s="279">
        <v>97189486.687312499</v>
      </c>
      <c r="H47" s="279">
        <v>97189486.687312499</v>
      </c>
      <c r="I47" s="132">
        <v>46236102.132609487</v>
      </c>
      <c r="J47" s="132">
        <v>3426741.4069636371</v>
      </c>
      <c r="K47" s="132">
        <v>0</v>
      </c>
      <c r="L47" s="144">
        <f>CATEGORIAS[[#This Row],[ADICIONALES]]+CATEGORIAS[[#This Row],[POM]]+CATEGORIAS[[#This Row],[REAJUSTE 
PAGADO]]+CATEGORIAS[[#This Row],[REAJUSTE
PROYECTADO]]</f>
        <v>146852330.22688562</v>
      </c>
      <c r="M47" s="133">
        <v>100597149.73863764</v>
      </c>
      <c r="N47" s="222">
        <v>46255180.488247991</v>
      </c>
      <c r="O47" s="142">
        <f>+CATEGORIAS[[#This Row],[PRODUCCION
PARTIDAS
ORIGINALES
ACTUAL]]+CATEGORIAS[[#This Row],[PRODUCCION
ADICIONALES
ACTUAL]]</f>
        <v>146852330.22688562</v>
      </c>
      <c r="P47" s="222">
        <v>100597149.73863764</v>
      </c>
      <c r="Q47" s="222">
        <v>46236102.132609487</v>
      </c>
      <c r="R47" s="141">
        <f>+CATEGORIAS[[#This Row],[PRODUCCION
ANTERIOR]]+CATEGORIAS[[#This Row],[PRODUCCION
ADICIONALES
ANTERIOR]]</f>
        <v>146833251.87124711</v>
      </c>
      <c r="S47" s="135">
        <v>84690890</v>
      </c>
      <c r="T47" s="135"/>
      <c r="U47" s="135">
        <v>0</v>
      </c>
      <c r="V47" s="262">
        <f>SUM(CATEGORIAS[[#This Row],[COSTO
ACUMULADO  AX]:[PROVISIONES]])</f>
        <v>84690890</v>
      </c>
      <c r="W47" s="264">
        <v>84690890</v>
      </c>
      <c r="X47" s="222"/>
      <c r="Y47" s="222">
        <v>0</v>
      </c>
      <c r="Z47" s="263">
        <f>SUM(CATEGORIAS[[#This Row],[COSTO ACUMULADO
ANTERIOR]:[PROVISIONES
ANTERIOR]])</f>
        <v>84690890</v>
      </c>
      <c r="AA47" s="338">
        <f>ABS(+CATEGORIAS[[#This Row],[PRESUPUESTO
FINAL
PROYECTADO]]-CATEGORIAS[[#This Row],[TOTAL PRODUCCION
ACTUAL]])</f>
        <v>0</v>
      </c>
      <c r="AB47" s="222"/>
      <c r="AC47" s="134"/>
      <c r="AD47" s="134">
        <v>0</v>
      </c>
      <c r="AE47" s="221">
        <f>SUM(CATEGORIAS[[#This Row],[INVENTARIO]:[PROYECCION
DE COSTO
DEL SALDO]])</f>
        <v>0</v>
      </c>
      <c r="AF47" s="134"/>
      <c r="AG47" s="134">
        <f>+CATEGORIAS[[#This Row],[PRESUPUESTO
FINAL
PROYECTADO]]-CATEGORIAS[[#This Row],[COSTO REAL]]-CATEGORIAS[[#This Row],[PROYECCION
TOTAL DE COSTO]]</f>
        <v>62161440.226885617</v>
      </c>
    </row>
    <row r="48" spans="1:33" x14ac:dyDescent="0.25">
      <c r="A48" s="245" t="s">
        <v>123</v>
      </c>
      <c r="B48" s="245" t="s">
        <v>123</v>
      </c>
      <c r="C48" s="245" t="s">
        <v>2385</v>
      </c>
      <c r="D48" s="323" t="s">
        <v>1785</v>
      </c>
      <c r="E48" s="244" t="s">
        <v>451</v>
      </c>
      <c r="F48" s="246" t="s">
        <v>379</v>
      </c>
      <c r="G48" s="279">
        <v>39901819.760774568</v>
      </c>
      <c r="H48" s="279">
        <v>39901819.760774568</v>
      </c>
      <c r="I48" s="132">
        <v>19964508.826078769</v>
      </c>
      <c r="J48" s="132">
        <v>1406872.5193225637</v>
      </c>
      <c r="K48" s="132">
        <v>0</v>
      </c>
      <c r="L48" s="144">
        <f>CATEGORIAS[[#This Row],[ADICIONALES]]+CATEGORIAS[[#This Row],[POM]]+CATEGORIAS[[#This Row],[REAJUSTE 
PAGADO]]+CATEGORIAS[[#This Row],[REAJUSTE
PROYECTADO]]</f>
        <v>61273201.106175907</v>
      </c>
      <c r="M48" s="133">
        <v>41300859.528490283</v>
      </c>
      <c r="N48" s="222">
        <v>19972341.577685628</v>
      </c>
      <c r="O48" s="142">
        <f>+CATEGORIAS[[#This Row],[PRODUCCION
PARTIDAS
ORIGINALES
ACTUAL]]+CATEGORIAS[[#This Row],[PRODUCCION
ADICIONALES
ACTUAL]]</f>
        <v>61273201.106175914</v>
      </c>
      <c r="P48" s="222">
        <v>41300859.528490283</v>
      </c>
      <c r="Q48" s="222">
        <v>19964508.826078769</v>
      </c>
      <c r="R48" s="141">
        <f>+CATEGORIAS[[#This Row],[PRODUCCION
ANTERIOR]]+CATEGORIAS[[#This Row],[PRODUCCION
ADICIONALES
ANTERIOR]]</f>
        <v>61265368.354569048</v>
      </c>
      <c r="S48" s="135">
        <v>44849347</v>
      </c>
      <c r="T48" s="135"/>
      <c r="U48" s="135">
        <v>0</v>
      </c>
      <c r="V48" s="262">
        <f>SUM(CATEGORIAS[[#This Row],[COSTO
ACUMULADO  AX]:[PROVISIONES]])</f>
        <v>44849347</v>
      </c>
      <c r="W48" s="264">
        <v>44849347</v>
      </c>
      <c r="X48" s="222"/>
      <c r="Y48" s="222">
        <v>0</v>
      </c>
      <c r="Z48" s="263">
        <f>SUM(CATEGORIAS[[#This Row],[COSTO ACUMULADO
ANTERIOR]:[PROVISIONES
ANTERIOR]])</f>
        <v>44849347</v>
      </c>
      <c r="AA48" s="338">
        <f>ABS(+CATEGORIAS[[#This Row],[PRESUPUESTO
FINAL
PROYECTADO]]-CATEGORIAS[[#This Row],[TOTAL PRODUCCION
ACTUAL]])</f>
        <v>7.4505805969238281E-9</v>
      </c>
      <c r="AB48" s="222"/>
      <c r="AC48" s="134"/>
      <c r="AD48" s="134">
        <v>0</v>
      </c>
      <c r="AE48" s="221">
        <f>SUM(CATEGORIAS[[#This Row],[INVENTARIO]:[PROYECCION
DE COSTO
DEL SALDO]])</f>
        <v>0</v>
      </c>
      <c r="AF48" s="134"/>
      <c r="AG48" s="134">
        <f>+CATEGORIAS[[#This Row],[PRESUPUESTO
FINAL
PROYECTADO]]-CATEGORIAS[[#This Row],[COSTO REAL]]-CATEGORIAS[[#This Row],[PROYECCION
TOTAL DE COSTO]]</f>
        <v>16423854.106175907</v>
      </c>
    </row>
    <row r="49" spans="1:33" x14ac:dyDescent="0.25">
      <c r="A49" s="245" t="s">
        <v>127</v>
      </c>
      <c r="B49" s="245" t="s">
        <v>127</v>
      </c>
      <c r="C49" s="245" t="s">
        <v>128</v>
      </c>
      <c r="D49" s="323" t="s">
        <v>1786</v>
      </c>
      <c r="E49" s="246" t="s">
        <v>453</v>
      </c>
      <c r="F49" s="246" t="s">
        <v>379</v>
      </c>
      <c r="G49" s="279">
        <v>67752174.763487533</v>
      </c>
      <c r="H49" s="279">
        <v>67752174.763487533</v>
      </c>
      <c r="I49" s="132">
        <v>29545181.73303571</v>
      </c>
      <c r="J49" s="132">
        <v>2388830.2180341464</v>
      </c>
      <c r="K49" s="132">
        <v>0</v>
      </c>
      <c r="L49" s="144">
        <f>CATEGORIAS[[#This Row],[ADICIONALES]]+CATEGORIAS[[#This Row],[POM]]+CATEGORIAS[[#This Row],[REAJUSTE 
PAGADO]]+CATEGORIAS[[#This Row],[REAJUSTE
PROYECTADO]]</f>
        <v>99686186.714557394</v>
      </c>
      <c r="M49" s="133">
        <v>70127705.188205793</v>
      </c>
      <c r="N49" s="222">
        <v>29558481.526351597</v>
      </c>
      <c r="O49" s="142">
        <f>+CATEGORIAS[[#This Row],[PRODUCCION
PARTIDAS
ORIGINALES
ACTUAL]]+CATEGORIAS[[#This Row],[PRODUCCION
ADICIONALES
ACTUAL]]</f>
        <v>99686186.714557394</v>
      </c>
      <c r="P49" s="222">
        <v>70127705.188205793</v>
      </c>
      <c r="Q49" s="222">
        <v>29545181.73303571</v>
      </c>
      <c r="R49" s="141">
        <f>+CATEGORIAS[[#This Row],[PRODUCCION
ANTERIOR]]+CATEGORIAS[[#This Row],[PRODUCCION
ADICIONALES
ANTERIOR]]</f>
        <v>99672886.921241507</v>
      </c>
      <c r="S49" s="135">
        <v>145760303</v>
      </c>
      <c r="T49" s="135"/>
      <c r="U49" s="135">
        <v>0</v>
      </c>
      <c r="V49" s="262">
        <f>SUM(CATEGORIAS[[#This Row],[COSTO
ACUMULADO  AX]:[PROVISIONES]])</f>
        <v>145760303</v>
      </c>
      <c r="W49" s="264">
        <v>136346467</v>
      </c>
      <c r="X49" s="222"/>
      <c r="Y49" s="222">
        <v>2473412</v>
      </c>
      <c r="Z49" s="263">
        <f>SUM(CATEGORIAS[[#This Row],[COSTO ACUMULADO
ANTERIOR]:[PROVISIONES
ANTERIOR]])</f>
        <v>138819879</v>
      </c>
      <c r="AA49" s="338">
        <f>ABS(+CATEGORIAS[[#This Row],[PRESUPUESTO
FINAL
PROYECTADO]]-CATEGORIAS[[#This Row],[TOTAL PRODUCCION
ACTUAL]])</f>
        <v>0</v>
      </c>
      <c r="AB49" s="222"/>
      <c r="AC49" s="134"/>
      <c r="AD49" s="134">
        <v>0</v>
      </c>
      <c r="AE49" s="221">
        <f>SUM(CATEGORIAS[[#This Row],[INVENTARIO]:[PROYECCION
DE COSTO
DEL SALDO]])</f>
        <v>0</v>
      </c>
      <c r="AF49" s="134"/>
      <c r="AG49" s="134">
        <f>+CATEGORIAS[[#This Row],[PRESUPUESTO
FINAL
PROYECTADO]]-CATEGORIAS[[#This Row],[COSTO REAL]]-CATEGORIAS[[#This Row],[PROYECCION
TOTAL DE COSTO]]</f>
        <v>-46074116.285442606</v>
      </c>
    </row>
    <row r="50" spans="1:33" x14ac:dyDescent="0.25">
      <c r="A50" s="245" t="s">
        <v>129</v>
      </c>
      <c r="B50" s="245" t="s">
        <v>129</v>
      </c>
      <c r="C50" s="245" t="s">
        <v>130</v>
      </c>
      <c r="D50" s="323" t="s">
        <v>1787</v>
      </c>
      <c r="E50" s="246" t="s">
        <v>475</v>
      </c>
      <c r="F50" s="246" t="s">
        <v>379</v>
      </c>
      <c r="G50" s="279">
        <v>44741710.359320536</v>
      </c>
      <c r="H50" s="279">
        <v>44741710.359320536</v>
      </c>
      <c r="I50" s="132">
        <v>18619728.993816964</v>
      </c>
      <c r="J50" s="132">
        <v>1577519.0993644004</v>
      </c>
      <c r="K50" s="132">
        <v>0</v>
      </c>
      <c r="L50" s="144">
        <f>CATEGORIAS[[#This Row],[ADICIONALES]]+CATEGORIAS[[#This Row],[POM]]+CATEGORIAS[[#This Row],[REAJUSTE 
PAGADO]]+CATEGORIAS[[#This Row],[REAJUSTE
PROYECTADO]]</f>
        <v>64938958.4525019</v>
      </c>
      <c r="M50" s="133">
        <v>46310446.633595474</v>
      </c>
      <c r="N50" s="222">
        <v>18628511.818906426</v>
      </c>
      <c r="O50" s="142">
        <f>+CATEGORIAS[[#This Row],[PRODUCCION
PARTIDAS
ORIGINALES
ACTUAL]]+CATEGORIAS[[#This Row],[PRODUCCION
ADICIONALES
ACTUAL]]</f>
        <v>64938958.4525019</v>
      </c>
      <c r="P50" s="222">
        <v>46310446.633595474</v>
      </c>
      <c r="Q50" s="222">
        <v>18619728.993816964</v>
      </c>
      <c r="R50" s="141">
        <f>+CATEGORIAS[[#This Row],[PRODUCCION
ANTERIOR]]+CATEGORIAS[[#This Row],[PRODUCCION
ADICIONALES
ANTERIOR]]</f>
        <v>64930175.627412438</v>
      </c>
      <c r="S50" s="135">
        <v>80582133</v>
      </c>
      <c r="T50" s="135"/>
      <c r="U50" s="135">
        <v>0</v>
      </c>
      <c r="V50" s="262">
        <f>SUM(CATEGORIAS[[#This Row],[COSTO
ACUMULADO  AX]:[PROVISIONES]])</f>
        <v>80582133</v>
      </c>
      <c r="W50" s="264">
        <v>80582133</v>
      </c>
      <c r="X50" s="222"/>
      <c r="Y50" s="222">
        <v>0</v>
      </c>
      <c r="Z50" s="263">
        <f>SUM(CATEGORIAS[[#This Row],[COSTO ACUMULADO
ANTERIOR]:[PROVISIONES
ANTERIOR]])</f>
        <v>80582133</v>
      </c>
      <c r="AA50" s="338">
        <f>ABS(+CATEGORIAS[[#This Row],[PRESUPUESTO
FINAL
PROYECTADO]]-CATEGORIAS[[#This Row],[TOTAL PRODUCCION
ACTUAL]])</f>
        <v>0</v>
      </c>
      <c r="AB50" s="222"/>
      <c r="AC50" s="134"/>
      <c r="AD50" s="134">
        <v>0</v>
      </c>
      <c r="AE50" s="221">
        <f>SUM(CATEGORIAS[[#This Row],[INVENTARIO]:[PROYECCION
DE COSTO
DEL SALDO]])</f>
        <v>0</v>
      </c>
      <c r="AF50" s="134"/>
      <c r="AG50" s="134">
        <f>+CATEGORIAS[[#This Row],[PRESUPUESTO
FINAL
PROYECTADO]]-CATEGORIAS[[#This Row],[COSTO REAL]]-CATEGORIAS[[#This Row],[PROYECCION
TOTAL DE COSTO]]</f>
        <v>-15643174.5474981</v>
      </c>
    </row>
    <row r="51" spans="1:33" x14ac:dyDescent="0.25">
      <c r="A51" s="245"/>
      <c r="B51" s="245"/>
      <c r="C51" s="245"/>
      <c r="D51" s="323" t="s">
        <v>1788</v>
      </c>
      <c r="E51" s="244" t="s">
        <v>477</v>
      </c>
      <c r="F51" s="246" t="s">
        <v>376</v>
      </c>
      <c r="G51" s="279">
        <v>0</v>
      </c>
      <c r="H51" s="279">
        <v>0</v>
      </c>
      <c r="I51" s="132">
        <v>0</v>
      </c>
      <c r="J51" s="132">
        <v>0</v>
      </c>
      <c r="K51" s="132">
        <v>0</v>
      </c>
      <c r="L51" s="144">
        <f>CATEGORIAS[[#This Row],[ADICIONALES]]+CATEGORIAS[[#This Row],[POM]]+CATEGORIAS[[#This Row],[REAJUSTE 
PAGADO]]+CATEGORIAS[[#This Row],[REAJUSTE
PROYECTADO]]</f>
        <v>0</v>
      </c>
      <c r="M51" s="133">
        <v>0</v>
      </c>
      <c r="N51" s="222">
        <v>0</v>
      </c>
      <c r="O51" s="142">
        <f>+CATEGORIAS[[#This Row],[PRODUCCION
PARTIDAS
ORIGINALES
ACTUAL]]+CATEGORIAS[[#This Row],[PRODUCCION
ADICIONALES
ACTUAL]]</f>
        <v>0</v>
      </c>
      <c r="P51" s="222">
        <v>0</v>
      </c>
      <c r="Q51" s="222">
        <v>0</v>
      </c>
      <c r="R51" s="141">
        <f>+CATEGORIAS[[#This Row],[PRODUCCION
ANTERIOR]]+CATEGORIAS[[#This Row],[PRODUCCION
ADICIONALES
ANTERIOR]]</f>
        <v>0</v>
      </c>
      <c r="S51" s="135">
        <v>0</v>
      </c>
      <c r="T51" s="135"/>
      <c r="U51" s="135">
        <v>0</v>
      </c>
      <c r="V51" s="262">
        <f>SUM(CATEGORIAS[[#This Row],[COSTO
ACUMULADO  AX]:[PROVISIONES]])</f>
        <v>0</v>
      </c>
      <c r="W51" s="264">
        <v>0</v>
      </c>
      <c r="X51" s="222"/>
      <c r="Y51" s="222">
        <v>0</v>
      </c>
      <c r="Z51" s="263">
        <f>SUM(CATEGORIAS[[#This Row],[COSTO ACUMULADO
ANTERIOR]:[PROVISIONES
ANTERIOR]])</f>
        <v>0</v>
      </c>
      <c r="AA51" s="338">
        <f>ABS(+CATEGORIAS[[#This Row],[PRESUPUESTO
FINAL
PROYECTADO]]-CATEGORIAS[[#This Row],[TOTAL PRODUCCION
ACTUAL]])</f>
        <v>0</v>
      </c>
      <c r="AB51" s="222"/>
      <c r="AC51" s="134"/>
      <c r="AD51" s="134">
        <v>0</v>
      </c>
      <c r="AE51" s="221">
        <f>SUM(CATEGORIAS[[#This Row],[INVENTARIO]:[PROYECCION
DE COSTO
DEL SALDO]])</f>
        <v>0</v>
      </c>
      <c r="AF51" s="134"/>
      <c r="AG51" s="134">
        <f>+CATEGORIAS[[#This Row],[PRESUPUESTO
FINAL
PROYECTADO]]-CATEGORIAS[[#This Row],[COSTO REAL]]-CATEGORIAS[[#This Row],[PROYECCION
TOTAL DE COSTO]]</f>
        <v>0</v>
      </c>
    </row>
    <row r="52" spans="1:33" x14ac:dyDescent="0.25">
      <c r="A52" s="245"/>
      <c r="B52" s="245"/>
      <c r="C52" s="245"/>
      <c r="D52" s="323" t="s">
        <v>1789</v>
      </c>
      <c r="E52" s="244" t="s">
        <v>479</v>
      </c>
      <c r="F52" s="246" t="s">
        <v>376</v>
      </c>
      <c r="G52" s="279">
        <v>0</v>
      </c>
      <c r="H52" s="279">
        <v>0</v>
      </c>
      <c r="I52" s="132">
        <v>0</v>
      </c>
      <c r="J52" s="132">
        <v>0</v>
      </c>
      <c r="K52" s="132">
        <v>0</v>
      </c>
      <c r="L52" s="144">
        <f>CATEGORIAS[[#This Row],[ADICIONALES]]+CATEGORIAS[[#This Row],[POM]]+CATEGORIAS[[#This Row],[REAJUSTE 
PAGADO]]+CATEGORIAS[[#This Row],[REAJUSTE
PROYECTADO]]</f>
        <v>0</v>
      </c>
      <c r="M52" s="133">
        <v>0</v>
      </c>
      <c r="N52" s="222">
        <v>0</v>
      </c>
      <c r="O52" s="142">
        <f>+CATEGORIAS[[#This Row],[PRODUCCION
PARTIDAS
ORIGINALES
ACTUAL]]+CATEGORIAS[[#This Row],[PRODUCCION
ADICIONALES
ACTUAL]]</f>
        <v>0</v>
      </c>
      <c r="P52" s="222">
        <v>0</v>
      </c>
      <c r="Q52" s="134">
        <v>0</v>
      </c>
      <c r="R52" s="141">
        <f>+CATEGORIAS[[#This Row],[PRODUCCION
ANTERIOR]]+CATEGORIAS[[#This Row],[PRODUCCION
ADICIONALES
ANTERIOR]]</f>
        <v>0</v>
      </c>
      <c r="S52" s="135">
        <v>0</v>
      </c>
      <c r="T52" s="135"/>
      <c r="U52" s="135">
        <v>0</v>
      </c>
      <c r="V52" s="262">
        <f>SUM(CATEGORIAS[[#This Row],[COSTO
ACUMULADO  AX]:[PROVISIONES]])</f>
        <v>0</v>
      </c>
      <c r="W52" s="264">
        <v>0</v>
      </c>
      <c r="X52" s="222"/>
      <c r="Y52" s="222">
        <v>0</v>
      </c>
      <c r="Z52" s="263">
        <f>SUM(CATEGORIAS[[#This Row],[COSTO ACUMULADO
ANTERIOR]:[PROVISIONES
ANTERIOR]])</f>
        <v>0</v>
      </c>
      <c r="AA52" s="338">
        <f>ABS(+CATEGORIAS[[#This Row],[PRESUPUESTO
FINAL
PROYECTADO]]-CATEGORIAS[[#This Row],[TOTAL PRODUCCION
ACTUAL]])</f>
        <v>0</v>
      </c>
      <c r="AB52" s="222"/>
      <c r="AC52" s="134"/>
      <c r="AD52" s="134">
        <v>0</v>
      </c>
      <c r="AE52" s="221">
        <f>SUM(CATEGORIAS[[#This Row],[INVENTARIO]:[PROYECCION
DE COSTO
DEL SALDO]])</f>
        <v>0</v>
      </c>
      <c r="AF52" s="134"/>
      <c r="AG52" s="134">
        <f>+CATEGORIAS[[#This Row],[PRESUPUESTO
FINAL
PROYECTADO]]-CATEGORIAS[[#This Row],[COSTO REAL]]-CATEGORIAS[[#This Row],[PROYECCION
TOTAL DE COSTO]]</f>
        <v>0</v>
      </c>
    </row>
    <row r="53" spans="1:33" x14ac:dyDescent="0.25">
      <c r="A53" s="245"/>
      <c r="B53" s="245"/>
      <c r="C53" s="245"/>
      <c r="D53" s="323" t="s">
        <v>2301</v>
      </c>
      <c r="E53" s="244" t="s">
        <v>2302</v>
      </c>
      <c r="F53" s="246" t="s">
        <v>376</v>
      </c>
      <c r="G53" s="279">
        <v>0</v>
      </c>
      <c r="H53" s="279">
        <v>0</v>
      </c>
      <c r="I53" s="132">
        <v>0</v>
      </c>
      <c r="J53" s="132">
        <v>0</v>
      </c>
      <c r="K53" s="132">
        <v>0</v>
      </c>
      <c r="L53" s="144">
        <f>CATEGORIAS[[#This Row],[ADICIONALES]]+CATEGORIAS[[#This Row],[POM]]+CATEGORIAS[[#This Row],[REAJUSTE 
PAGADO]]+CATEGORIAS[[#This Row],[REAJUSTE
PROYECTADO]]</f>
        <v>0</v>
      </c>
      <c r="M53" s="133">
        <v>0</v>
      </c>
      <c r="N53" s="222">
        <v>0</v>
      </c>
      <c r="O53" s="142">
        <f>+CATEGORIAS[[#This Row],[PRODUCCION
PARTIDAS
ORIGINALES
ACTUAL]]+CATEGORIAS[[#This Row],[PRODUCCION
ADICIONALES
ACTUAL]]</f>
        <v>0</v>
      </c>
      <c r="P53" s="222">
        <v>0</v>
      </c>
      <c r="Q53" s="222">
        <v>0</v>
      </c>
      <c r="R53" s="141">
        <f>+CATEGORIAS[[#This Row],[PRODUCCION
ANTERIOR]]+CATEGORIAS[[#This Row],[PRODUCCION
ADICIONALES
ANTERIOR]]</f>
        <v>0</v>
      </c>
      <c r="S53" s="135">
        <v>0</v>
      </c>
      <c r="T53" s="135"/>
      <c r="U53" s="135">
        <v>0</v>
      </c>
      <c r="V53" s="262">
        <f>SUM(CATEGORIAS[[#This Row],[COSTO
ACUMULADO  AX]:[PROVISIONES]])</f>
        <v>0</v>
      </c>
      <c r="W53" s="264">
        <v>0</v>
      </c>
      <c r="X53" s="222"/>
      <c r="Y53" s="222">
        <v>0</v>
      </c>
      <c r="Z53" s="263">
        <f>SUM(CATEGORIAS[[#This Row],[COSTO ACUMULADO
ANTERIOR]:[PROVISIONES
ANTERIOR]])</f>
        <v>0</v>
      </c>
      <c r="AA53" s="338">
        <f>ABS(+CATEGORIAS[[#This Row],[PRESUPUESTO
FINAL
PROYECTADO]]-CATEGORIAS[[#This Row],[TOTAL PRODUCCION
ACTUAL]])</f>
        <v>0</v>
      </c>
      <c r="AB53" s="222"/>
      <c r="AC53" s="134"/>
      <c r="AD53" s="134">
        <v>0</v>
      </c>
      <c r="AE53" s="221">
        <f>SUM(CATEGORIAS[[#This Row],[INVENTARIO]:[PROYECCION
DE COSTO
DEL SALDO]])</f>
        <v>0</v>
      </c>
      <c r="AF53" s="134"/>
      <c r="AG53" s="134">
        <f>+CATEGORIAS[[#This Row],[PRESUPUESTO
FINAL
PROYECTADO]]-CATEGORIAS[[#This Row],[COSTO REAL]]-CATEGORIAS[[#This Row],[PROYECCION
TOTAL DE COSTO]]</f>
        <v>0</v>
      </c>
    </row>
    <row r="54" spans="1:33" x14ac:dyDescent="0.25">
      <c r="A54" s="245"/>
      <c r="B54" s="245"/>
      <c r="C54" s="245"/>
      <c r="D54" s="323" t="s">
        <v>1790</v>
      </c>
      <c r="E54" s="244" t="s">
        <v>1791</v>
      </c>
      <c r="F54" s="246" t="s">
        <v>376</v>
      </c>
      <c r="G54" s="279">
        <v>0</v>
      </c>
      <c r="H54" s="279">
        <v>0</v>
      </c>
      <c r="I54" s="132">
        <v>0</v>
      </c>
      <c r="J54" s="132">
        <v>0</v>
      </c>
      <c r="K54" s="132">
        <v>0</v>
      </c>
      <c r="L54" s="144">
        <f>CATEGORIAS[[#This Row],[ADICIONALES]]+CATEGORIAS[[#This Row],[POM]]+CATEGORIAS[[#This Row],[REAJUSTE 
PAGADO]]+CATEGORIAS[[#This Row],[REAJUSTE
PROYECTADO]]</f>
        <v>0</v>
      </c>
      <c r="M54" s="133">
        <v>0</v>
      </c>
      <c r="N54" s="222">
        <v>0</v>
      </c>
      <c r="O54" s="142">
        <f>+CATEGORIAS[[#This Row],[PRODUCCION
PARTIDAS
ORIGINALES
ACTUAL]]+CATEGORIAS[[#This Row],[PRODUCCION
ADICIONALES
ACTUAL]]</f>
        <v>0</v>
      </c>
      <c r="P54" s="222">
        <v>0</v>
      </c>
      <c r="Q54" s="222">
        <v>0</v>
      </c>
      <c r="R54" s="141">
        <f>+CATEGORIAS[[#This Row],[PRODUCCION
ANTERIOR]]+CATEGORIAS[[#This Row],[PRODUCCION
ADICIONALES
ANTERIOR]]</f>
        <v>0</v>
      </c>
      <c r="S54" s="135">
        <v>0</v>
      </c>
      <c r="T54" s="135"/>
      <c r="U54" s="135">
        <v>0</v>
      </c>
      <c r="V54" s="262">
        <f>SUM(CATEGORIAS[[#This Row],[COSTO
ACUMULADO  AX]:[PROVISIONES]])</f>
        <v>0</v>
      </c>
      <c r="W54" s="264">
        <v>0</v>
      </c>
      <c r="X54" s="222"/>
      <c r="Y54" s="222">
        <v>0</v>
      </c>
      <c r="Z54" s="263">
        <f>SUM(CATEGORIAS[[#This Row],[COSTO ACUMULADO
ANTERIOR]:[PROVISIONES
ANTERIOR]])</f>
        <v>0</v>
      </c>
      <c r="AA54" s="338">
        <f>ABS(+CATEGORIAS[[#This Row],[PRESUPUESTO
FINAL
PROYECTADO]]-CATEGORIAS[[#This Row],[TOTAL PRODUCCION
ACTUAL]])</f>
        <v>0</v>
      </c>
      <c r="AB54" s="134"/>
      <c r="AC54" s="134"/>
      <c r="AD54" s="134">
        <v>0</v>
      </c>
      <c r="AE54" s="221">
        <f>SUM(CATEGORIAS[[#This Row],[INVENTARIO]:[PROYECCION
DE COSTO
DEL SALDO]])</f>
        <v>0</v>
      </c>
      <c r="AF54" s="134"/>
      <c r="AG54" s="134">
        <f>+CATEGORIAS[[#This Row],[PRESUPUESTO
FINAL
PROYECTADO]]-CATEGORIAS[[#This Row],[COSTO REAL]]-CATEGORIAS[[#This Row],[PROYECCION
TOTAL DE COSTO]]</f>
        <v>0</v>
      </c>
    </row>
    <row r="55" spans="1:33" x14ac:dyDescent="0.25">
      <c r="A55" s="245" t="s">
        <v>28</v>
      </c>
      <c r="B55" s="245" t="s">
        <v>32</v>
      </c>
      <c r="C55" s="245" t="s">
        <v>2420</v>
      </c>
      <c r="D55" s="323" t="s">
        <v>1792</v>
      </c>
      <c r="E55" s="244" t="s">
        <v>286</v>
      </c>
      <c r="F55" s="246" t="s">
        <v>379</v>
      </c>
      <c r="G55" s="279">
        <v>229870481.54260001</v>
      </c>
      <c r="H55" s="279">
        <v>205135537.0746879</v>
      </c>
      <c r="I55" s="132">
        <v>0</v>
      </c>
      <c r="J55" s="132">
        <v>7232741.5535709662</v>
      </c>
      <c r="K55" s="132">
        <v>0</v>
      </c>
      <c r="L55" s="144">
        <f>CATEGORIAS[[#This Row],[ADICIONALES]]+CATEGORIAS[[#This Row],[POM]]+CATEGORIAS[[#This Row],[REAJUSTE 
PAGADO]]+CATEGORIAS[[#This Row],[REAJUSTE
PROYECTADO]]</f>
        <v>212368278.62825885</v>
      </c>
      <c r="M55" s="133">
        <v>212328010.3969532</v>
      </c>
      <c r="N55" s="222">
        <v>40268.231305658817</v>
      </c>
      <c r="O55" s="142">
        <f>+CATEGORIAS[[#This Row],[PRODUCCION
PARTIDAS
ORIGINALES
ACTUAL]]+CATEGORIAS[[#This Row],[PRODUCCION
ADICIONALES
ACTUAL]]</f>
        <v>212368278.62825885</v>
      </c>
      <c r="P55" s="222">
        <v>212328010.3969532</v>
      </c>
      <c r="Q55" s="134">
        <v>0</v>
      </c>
      <c r="R55" s="141">
        <f>+CATEGORIAS[[#This Row],[PRODUCCION
ANTERIOR]]+CATEGORIAS[[#This Row],[PRODUCCION
ADICIONALES
ANTERIOR]]</f>
        <v>212328010.3969532</v>
      </c>
      <c r="S55" s="135">
        <v>237696926</v>
      </c>
      <c r="T55" s="135"/>
      <c r="U55" s="135">
        <v>0</v>
      </c>
      <c r="V55" s="262">
        <f>SUM(CATEGORIAS[[#This Row],[COSTO
ACUMULADO  AX]:[PROVISIONES]])</f>
        <v>237696926</v>
      </c>
      <c r="W55" s="264">
        <v>231456519</v>
      </c>
      <c r="X55" s="222"/>
      <c r="Y55" s="222">
        <v>0</v>
      </c>
      <c r="Z55" s="263">
        <f>SUM(CATEGORIAS[[#This Row],[COSTO ACUMULADO
ANTERIOR]:[PROVISIONES
ANTERIOR]])</f>
        <v>231456519</v>
      </c>
      <c r="AA55" s="338">
        <f>ABS(+CATEGORIAS[[#This Row],[PRESUPUESTO
FINAL
PROYECTADO]]-CATEGORIAS[[#This Row],[TOTAL PRODUCCION
ACTUAL]])</f>
        <v>0</v>
      </c>
      <c r="AB55" s="222"/>
      <c r="AC55" s="134"/>
      <c r="AD55" s="134">
        <v>0</v>
      </c>
      <c r="AE55" s="221">
        <f>SUM(CATEGORIAS[[#This Row],[INVENTARIO]:[PROYECCION
DE COSTO
DEL SALDO]])</f>
        <v>0</v>
      </c>
      <c r="AF55" s="134"/>
      <c r="AG55" s="134">
        <f>+CATEGORIAS[[#This Row],[PRESUPUESTO
FINAL
PROYECTADO]]-CATEGORIAS[[#This Row],[COSTO REAL]]-CATEGORIAS[[#This Row],[PROYECCION
TOTAL DE COSTO]]</f>
        <v>-25328647.371741146</v>
      </c>
    </row>
    <row r="56" spans="1:33" x14ac:dyDescent="0.25">
      <c r="A56" s="245"/>
      <c r="B56" s="245"/>
      <c r="C56" s="245"/>
      <c r="D56" s="323" t="s">
        <v>1793</v>
      </c>
      <c r="E56" s="244" t="s">
        <v>482</v>
      </c>
      <c r="F56" s="246" t="s">
        <v>376</v>
      </c>
      <c r="G56" s="279">
        <v>0</v>
      </c>
      <c r="H56" s="279">
        <v>0</v>
      </c>
      <c r="I56" s="132">
        <v>0</v>
      </c>
      <c r="J56" s="132">
        <v>0</v>
      </c>
      <c r="K56" s="132">
        <v>0</v>
      </c>
      <c r="L56" s="144">
        <f>CATEGORIAS[[#This Row],[ADICIONALES]]+CATEGORIAS[[#This Row],[POM]]+CATEGORIAS[[#This Row],[REAJUSTE 
PAGADO]]+CATEGORIAS[[#This Row],[REAJUSTE
PROYECTADO]]</f>
        <v>0</v>
      </c>
      <c r="M56" s="133">
        <v>0</v>
      </c>
      <c r="N56" s="222">
        <v>0</v>
      </c>
      <c r="O56" s="142">
        <f>+CATEGORIAS[[#This Row],[PRODUCCION
PARTIDAS
ORIGINALES
ACTUAL]]+CATEGORIAS[[#This Row],[PRODUCCION
ADICIONALES
ACTUAL]]</f>
        <v>0</v>
      </c>
      <c r="P56" s="222">
        <v>0</v>
      </c>
      <c r="Q56" s="222">
        <v>0</v>
      </c>
      <c r="R56" s="141">
        <f>+CATEGORIAS[[#This Row],[PRODUCCION
ANTERIOR]]+CATEGORIAS[[#This Row],[PRODUCCION
ADICIONALES
ANTERIOR]]</f>
        <v>0</v>
      </c>
      <c r="S56" s="135">
        <v>0</v>
      </c>
      <c r="T56" s="135"/>
      <c r="U56" s="135">
        <v>0</v>
      </c>
      <c r="V56" s="262">
        <f>SUM(CATEGORIAS[[#This Row],[COSTO
ACUMULADO  AX]:[PROVISIONES]])</f>
        <v>0</v>
      </c>
      <c r="W56" s="264">
        <v>0</v>
      </c>
      <c r="X56" s="222"/>
      <c r="Y56" s="222">
        <v>0</v>
      </c>
      <c r="Z56" s="263">
        <f>SUM(CATEGORIAS[[#This Row],[COSTO ACUMULADO
ANTERIOR]:[PROVISIONES
ANTERIOR]])</f>
        <v>0</v>
      </c>
      <c r="AA56" s="338">
        <f>ABS(+CATEGORIAS[[#This Row],[PRESUPUESTO
FINAL
PROYECTADO]]-CATEGORIAS[[#This Row],[TOTAL PRODUCCION
ACTUAL]])</f>
        <v>0</v>
      </c>
      <c r="AB56" s="222"/>
      <c r="AC56" s="134"/>
      <c r="AD56" s="134">
        <v>0</v>
      </c>
      <c r="AE56" s="221">
        <f>SUM(CATEGORIAS[[#This Row],[INVENTARIO]:[PROYECCION
DE COSTO
DEL SALDO]])</f>
        <v>0</v>
      </c>
      <c r="AF56" s="134"/>
      <c r="AG56" s="134">
        <f>+CATEGORIAS[[#This Row],[PRESUPUESTO
FINAL
PROYECTADO]]-CATEGORIAS[[#This Row],[COSTO REAL]]-CATEGORIAS[[#This Row],[PROYECCION
TOTAL DE COSTO]]</f>
        <v>0</v>
      </c>
    </row>
    <row r="57" spans="1:33" x14ac:dyDescent="0.25">
      <c r="A57" s="245"/>
      <c r="B57" s="245"/>
      <c r="C57" s="245"/>
      <c r="D57" s="323" t="s">
        <v>1794</v>
      </c>
      <c r="E57" s="244" t="s">
        <v>484</v>
      </c>
      <c r="F57" s="246" t="s">
        <v>376</v>
      </c>
      <c r="G57" s="279">
        <v>0</v>
      </c>
      <c r="H57" s="279">
        <v>0</v>
      </c>
      <c r="I57" s="132">
        <v>0</v>
      </c>
      <c r="J57" s="132">
        <v>0</v>
      </c>
      <c r="K57" s="132">
        <v>0</v>
      </c>
      <c r="L57" s="144">
        <f>CATEGORIAS[[#This Row],[ADICIONALES]]+CATEGORIAS[[#This Row],[POM]]+CATEGORIAS[[#This Row],[REAJUSTE 
PAGADO]]+CATEGORIAS[[#This Row],[REAJUSTE
PROYECTADO]]</f>
        <v>0</v>
      </c>
      <c r="M57" s="133">
        <v>0</v>
      </c>
      <c r="N57" s="222">
        <v>0</v>
      </c>
      <c r="O57" s="142">
        <f>+CATEGORIAS[[#This Row],[PRODUCCION
PARTIDAS
ORIGINALES
ACTUAL]]+CATEGORIAS[[#This Row],[PRODUCCION
ADICIONALES
ACTUAL]]</f>
        <v>0</v>
      </c>
      <c r="P57" s="222">
        <v>0</v>
      </c>
      <c r="Q57" s="134">
        <v>0</v>
      </c>
      <c r="R57" s="141">
        <f>+CATEGORIAS[[#This Row],[PRODUCCION
ANTERIOR]]+CATEGORIAS[[#This Row],[PRODUCCION
ADICIONALES
ANTERIOR]]</f>
        <v>0</v>
      </c>
      <c r="S57" s="135">
        <v>0</v>
      </c>
      <c r="T57" s="135"/>
      <c r="U57" s="135">
        <v>0</v>
      </c>
      <c r="V57" s="262">
        <f>SUM(CATEGORIAS[[#This Row],[COSTO
ACUMULADO  AX]:[PROVISIONES]])</f>
        <v>0</v>
      </c>
      <c r="W57" s="264">
        <v>0</v>
      </c>
      <c r="X57" s="222"/>
      <c r="Y57" s="222">
        <v>0</v>
      </c>
      <c r="Z57" s="263">
        <f>SUM(CATEGORIAS[[#This Row],[COSTO ACUMULADO
ANTERIOR]:[PROVISIONES
ANTERIOR]])</f>
        <v>0</v>
      </c>
      <c r="AA57" s="338">
        <f>ABS(+CATEGORIAS[[#This Row],[PRESUPUESTO
FINAL
PROYECTADO]]-CATEGORIAS[[#This Row],[TOTAL PRODUCCION
ACTUAL]])</f>
        <v>0</v>
      </c>
      <c r="AB57" s="222"/>
      <c r="AC57" s="134"/>
      <c r="AD57" s="134">
        <v>0</v>
      </c>
      <c r="AE57" s="221">
        <f>SUM(CATEGORIAS[[#This Row],[INVENTARIO]:[PROYECCION
DE COSTO
DEL SALDO]])</f>
        <v>0</v>
      </c>
      <c r="AF57" s="134"/>
      <c r="AG57" s="134">
        <f>+CATEGORIAS[[#This Row],[PRESUPUESTO
FINAL
PROYECTADO]]-CATEGORIAS[[#This Row],[COSTO REAL]]-CATEGORIAS[[#This Row],[PROYECCION
TOTAL DE COSTO]]</f>
        <v>0</v>
      </c>
    </row>
    <row r="58" spans="1:33" x14ac:dyDescent="0.25">
      <c r="A58" s="245"/>
      <c r="B58" s="245"/>
      <c r="C58" s="245"/>
      <c r="D58" s="323" t="s">
        <v>1795</v>
      </c>
      <c r="E58" s="244" t="s">
        <v>486</v>
      </c>
      <c r="F58" s="246" t="s">
        <v>376</v>
      </c>
      <c r="G58" s="279">
        <v>0</v>
      </c>
      <c r="H58" s="279">
        <v>0</v>
      </c>
      <c r="I58" s="132">
        <v>0</v>
      </c>
      <c r="J58" s="132">
        <v>0</v>
      </c>
      <c r="K58" s="132">
        <v>0</v>
      </c>
      <c r="L58" s="144">
        <f>CATEGORIAS[[#This Row],[ADICIONALES]]+CATEGORIAS[[#This Row],[POM]]+CATEGORIAS[[#This Row],[REAJUSTE 
PAGADO]]+CATEGORIAS[[#This Row],[REAJUSTE
PROYECTADO]]</f>
        <v>0</v>
      </c>
      <c r="M58" s="133">
        <v>0</v>
      </c>
      <c r="N58" s="222">
        <v>0</v>
      </c>
      <c r="O58" s="142">
        <f>+CATEGORIAS[[#This Row],[PRODUCCION
PARTIDAS
ORIGINALES
ACTUAL]]+CATEGORIAS[[#This Row],[PRODUCCION
ADICIONALES
ACTUAL]]</f>
        <v>0</v>
      </c>
      <c r="P58" s="222">
        <v>0</v>
      </c>
      <c r="Q58" s="222">
        <v>0</v>
      </c>
      <c r="R58" s="141">
        <f>+CATEGORIAS[[#This Row],[PRODUCCION
ANTERIOR]]+CATEGORIAS[[#This Row],[PRODUCCION
ADICIONALES
ANTERIOR]]</f>
        <v>0</v>
      </c>
      <c r="S58" s="135">
        <v>0</v>
      </c>
      <c r="T58" s="135"/>
      <c r="U58" s="135">
        <v>0</v>
      </c>
      <c r="V58" s="262">
        <f>SUM(CATEGORIAS[[#This Row],[COSTO
ACUMULADO  AX]:[PROVISIONES]])</f>
        <v>0</v>
      </c>
      <c r="W58" s="264">
        <v>0</v>
      </c>
      <c r="X58" s="222"/>
      <c r="Y58" s="222">
        <v>0</v>
      </c>
      <c r="Z58" s="263">
        <f>SUM(CATEGORIAS[[#This Row],[COSTO ACUMULADO
ANTERIOR]:[PROVISIONES
ANTERIOR]])</f>
        <v>0</v>
      </c>
      <c r="AA58" s="338">
        <f>ABS(+CATEGORIAS[[#This Row],[PRESUPUESTO
FINAL
PROYECTADO]]-CATEGORIAS[[#This Row],[TOTAL PRODUCCION
ACTUAL]])</f>
        <v>0</v>
      </c>
      <c r="AB58" s="222"/>
      <c r="AC58" s="134"/>
      <c r="AD58" s="134">
        <v>0</v>
      </c>
      <c r="AE58" s="221">
        <f>SUM(CATEGORIAS[[#This Row],[INVENTARIO]:[PROYECCION
DE COSTO
DEL SALDO]])</f>
        <v>0</v>
      </c>
      <c r="AF58" s="134"/>
      <c r="AG58" s="134">
        <f>+CATEGORIAS[[#This Row],[PRESUPUESTO
FINAL
PROYECTADO]]-CATEGORIAS[[#This Row],[COSTO REAL]]-CATEGORIAS[[#This Row],[PROYECCION
TOTAL DE COSTO]]</f>
        <v>0</v>
      </c>
    </row>
    <row r="59" spans="1:33" x14ac:dyDescent="0.25">
      <c r="A59" s="245"/>
      <c r="B59" s="245"/>
      <c r="C59" s="245"/>
      <c r="D59" s="323" t="s">
        <v>1796</v>
      </c>
      <c r="E59" s="244" t="s">
        <v>488</v>
      </c>
      <c r="F59" s="246" t="s">
        <v>376</v>
      </c>
      <c r="G59" s="279">
        <v>0</v>
      </c>
      <c r="H59" s="279">
        <v>0</v>
      </c>
      <c r="I59" s="132">
        <v>0</v>
      </c>
      <c r="J59" s="132">
        <v>0</v>
      </c>
      <c r="K59" s="132">
        <v>0</v>
      </c>
      <c r="L59" s="144">
        <f>CATEGORIAS[[#This Row],[ADICIONALES]]+CATEGORIAS[[#This Row],[POM]]+CATEGORIAS[[#This Row],[REAJUSTE 
PAGADO]]+CATEGORIAS[[#This Row],[REAJUSTE
PROYECTADO]]</f>
        <v>0</v>
      </c>
      <c r="M59" s="133">
        <v>0</v>
      </c>
      <c r="N59" s="222">
        <v>0</v>
      </c>
      <c r="O59" s="142">
        <f>+CATEGORIAS[[#This Row],[PRODUCCION
PARTIDAS
ORIGINALES
ACTUAL]]+CATEGORIAS[[#This Row],[PRODUCCION
ADICIONALES
ACTUAL]]</f>
        <v>0</v>
      </c>
      <c r="P59" s="222">
        <v>0</v>
      </c>
      <c r="Q59" s="134">
        <v>0</v>
      </c>
      <c r="R59" s="141">
        <f>+CATEGORIAS[[#This Row],[PRODUCCION
ANTERIOR]]+CATEGORIAS[[#This Row],[PRODUCCION
ADICIONALES
ANTERIOR]]</f>
        <v>0</v>
      </c>
      <c r="S59" s="135">
        <v>0</v>
      </c>
      <c r="T59" s="135"/>
      <c r="U59" s="135">
        <v>0</v>
      </c>
      <c r="V59" s="262">
        <f>SUM(CATEGORIAS[[#This Row],[COSTO
ACUMULADO  AX]:[PROVISIONES]])</f>
        <v>0</v>
      </c>
      <c r="W59" s="264">
        <v>0</v>
      </c>
      <c r="X59" s="222"/>
      <c r="Y59" s="222">
        <v>0</v>
      </c>
      <c r="Z59" s="263">
        <f>SUM(CATEGORIAS[[#This Row],[COSTO ACUMULADO
ANTERIOR]:[PROVISIONES
ANTERIOR]])</f>
        <v>0</v>
      </c>
      <c r="AA59" s="338">
        <f>ABS(+CATEGORIAS[[#This Row],[PRESUPUESTO
FINAL
PROYECTADO]]-CATEGORIAS[[#This Row],[TOTAL PRODUCCION
ACTUAL]])</f>
        <v>0</v>
      </c>
      <c r="AB59" s="222"/>
      <c r="AC59" s="134"/>
      <c r="AD59" s="134">
        <v>0</v>
      </c>
      <c r="AE59" s="221">
        <f>SUM(CATEGORIAS[[#This Row],[INVENTARIO]:[PROYECCION
DE COSTO
DEL SALDO]])</f>
        <v>0</v>
      </c>
      <c r="AF59" s="134"/>
      <c r="AG59" s="134">
        <f>+CATEGORIAS[[#This Row],[PRESUPUESTO
FINAL
PROYECTADO]]-CATEGORIAS[[#This Row],[COSTO REAL]]-CATEGORIAS[[#This Row],[PROYECCION
TOTAL DE COSTO]]</f>
        <v>0</v>
      </c>
    </row>
    <row r="60" spans="1:33" x14ac:dyDescent="0.25">
      <c r="A60" s="245"/>
      <c r="B60" s="245"/>
      <c r="C60" s="245"/>
      <c r="D60" s="323" t="s">
        <v>1797</v>
      </c>
      <c r="E60" s="244" t="s">
        <v>490</v>
      </c>
      <c r="F60" s="246" t="s">
        <v>376</v>
      </c>
      <c r="G60" s="279">
        <v>0</v>
      </c>
      <c r="H60" s="279">
        <v>0</v>
      </c>
      <c r="I60" s="132">
        <v>0</v>
      </c>
      <c r="J60" s="132">
        <v>0</v>
      </c>
      <c r="K60" s="132">
        <v>0</v>
      </c>
      <c r="L60" s="144">
        <f>CATEGORIAS[[#This Row],[ADICIONALES]]+CATEGORIAS[[#This Row],[POM]]+CATEGORIAS[[#This Row],[REAJUSTE 
PAGADO]]+CATEGORIAS[[#This Row],[REAJUSTE
PROYECTADO]]</f>
        <v>0</v>
      </c>
      <c r="M60" s="133">
        <v>0</v>
      </c>
      <c r="N60" s="222">
        <v>0</v>
      </c>
      <c r="O60" s="142">
        <f>+CATEGORIAS[[#This Row],[PRODUCCION
PARTIDAS
ORIGINALES
ACTUAL]]+CATEGORIAS[[#This Row],[PRODUCCION
ADICIONALES
ACTUAL]]</f>
        <v>0</v>
      </c>
      <c r="P60" s="222">
        <v>0</v>
      </c>
      <c r="Q60" s="222">
        <v>0</v>
      </c>
      <c r="R60" s="141">
        <f>+CATEGORIAS[[#This Row],[PRODUCCION
ANTERIOR]]+CATEGORIAS[[#This Row],[PRODUCCION
ADICIONALES
ANTERIOR]]</f>
        <v>0</v>
      </c>
      <c r="S60" s="135">
        <v>0</v>
      </c>
      <c r="T60" s="135"/>
      <c r="U60" s="135">
        <v>0</v>
      </c>
      <c r="V60" s="262">
        <f>SUM(CATEGORIAS[[#This Row],[COSTO
ACUMULADO  AX]:[PROVISIONES]])</f>
        <v>0</v>
      </c>
      <c r="W60" s="264">
        <v>0</v>
      </c>
      <c r="X60" s="222"/>
      <c r="Y60" s="222">
        <v>0</v>
      </c>
      <c r="Z60" s="263">
        <f>SUM(CATEGORIAS[[#This Row],[COSTO ACUMULADO
ANTERIOR]:[PROVISIONES
ANTERIOR]])</f>
        <v>0</v>
      </c>
      <c r="AA60" s="338">
        <f>ABS(+CATEGORIAS[[#This Row],[PRESUPUESTO
FINAL
PROYECTADO]]-CATEGORIAS[[#This Row],[TOTAL PRODUCCION
ACTUAL]])</f>
        <v>0</v>
      </c>
      <c r="AB60" s="222"/>
      <c r="AC60" s="134"/>
      <c r="AD60" s="134">
        <v>0</v>
      </c>
      <c r="AE60" s="221">
        <f>SUM(CATEGORIAS[[#This Row],[INVENTARIO]:[PROYECCION
DE COSTO
DEL SALDO]])</f>
        <v>0</v>
      </c>
      <c r="AF60" s="134"/>
      <c r="AG60" s="134">
        <f>+CATEGORIAS[[#This Row],[PRESUPUESTO
FINAL
PROYECTADO]]-CATEGORIAS[[#This Row],[COSTO REAL]]-CATEGORIAS[[#This Row],[PROYECCION
TOTAL DE COSTO]]</f>
        <v>0</v>
      </c>
    </row>
    <row r="61" spans="1:33" x14ac:dyDescent="0.25">
      <c r="A61" s="245"/>
      <c r="B61" s="245"/>
      <c r="C61" s="245"/>
      <c r="D61" s="323" t="s">
        <v>1798</v>
      </c>
      <c r="E61" s="244" t="s">
        <v>492</v>
      </c>
      <c r="F61" s="246" t="s">
        <v>376</v>
      </c>
      <c r="G61" s="279">
        <v>0</v>
      </c>
      <c r="H61" s="279">
        <v>0</v>
      </c>
      <c r="I61" s="132">
        <v>0</v>
      </c>
      <c r="J61" s="132">
        <v>0</v>
      </c>
      <c r="K61" s="132">
        <v>0</v>
      </c>
      <c r="L61" s="144">
        <f>CATEGORIAS[[#This Row],[ADICIONALES]]+CATEGORIAS[[#This Row],[POM]]+CATEGORIAS[[#This Row],[REAJUSTE 
PAGADO]]+CATEGORIAS[[#This Row],[REAJUSTE
PROYECTADO]]</f>
        <v>0</v>
      </c>
      <c r="M61" s="133">
        <v>0</v>
      </c>
      <c r="N61" s="222">
        <v>0</v>
      </c>
      <c r="O61" s="142">
        <f>+CATEGORIAS[[#This Row],[PRODUCCION
PARTIDAS
ORIGINALES
ACTUAL]]+CATEGORIAS[[#This Row],[PRODUCCION
ADICIONALES
ACTUAL]]</f>
        <v>0</v>
      </c>
      <c r="P61" s="222">
        <v>0</v>
      </c>
      <c r="Q61" s="222">
        <v>0</v>
      </c>
      <c r="R61" s="141">
        <f>+CATEGORIAS[[#This Row],[PRODUCCION
ANTERIOR]]+CATEGORIAS[[#This Row],[PRODUCCION
ADICIONALES
ANTERIOR]]</f>
        <v>0</v>
      </c>
      <c r="S61" s="135">
        <v>0</v>
      </c>
      <c r="T61" s="135"/>
      <c r="U61" s="135">
        <v>0</v>
      </c>
      <c r="V61" s="262">
        <f>SUM(CATEGORIAS[[#This Row],[COSTO
ACUMULADO  AX]:[PROVISIONES]])</f>
        <v>0</v>
      </c>
      <c r="W61" s="264">
        <v>0</v>
      </c>
      <c r="X61" s="222"/>
      <c r="Y61" s="222">
        <v>0</v>
      </c>
      <c r="Z61" s="263">
        <f>SUM(CATEGORIAS[[#This Row],[COSTO ACUMULADO
ANTERIOR]:[PROVISIONES
ANTERIOR]])</f>
        <v>0</v>
      </c>
      <c r="AA61" s="338">
        <f>ABS(+CATEGORIAS[[#This Row],[PRESUPUESTO
FINAL
PROYECTADO]]-CATEGORIAS[[#This Row],[TOTAL PRODUCCION
ACTUAL]])</f>
        <v>0</v>
      </c>
      <c r="AB61" s="222"/>
      <c r="AC61" s="134"/>
      <c r="AD61" s="134">
        <v>0</v>
      </c>
      <c r="AE61" s="221">
        <f>SUM(CATEGORIAS[[#This Row],[INVENTARIO]:[PROYECCION
DE COSTO
DEL SALDO]])</f>
        <v>0</v>
      </c>
      <c r="AF61" s="134"/>
      <c r="AG61" s="134">
        <f>+CATEGORIAS[[#This Row],[PRESUPUESTO
FINAL
PROYECTADO]]-CATEGORIAS[[#This Row],[COSTO REAL]]-CATEGORIAS[[#This Row],[PROYECCION
TOTAL DE COSTO]]</f>
        <v>0</v>
      </c>
    </row>
    <row r="62" spans="1:33" x14ac:dyDescent="0.25">
      <c r="A62" s="245"/>
      <c r="B62" s="245"/>
      <c r="C62" s="245"/>
      <c r="D62" s="323" t="s">
        <v>1799</v>
      </c>
      <c r="E62" s="244" t="s">
        <v>494</v>
      </c>
      <c r="F62" s="246" t="s">
        <v>376</v>
      </c>
      <c r="G62" s="279">
        <v>0</v>
      </c>
      <c r="H62" s="279">
        <v>0</v>
      </c>
      <c r="I62" s="132">
        <v>0</v>
      </c>
      <c r="J62" s="132">
        <v>0</v>
      </c>
      <c r="K62" s="132">
        <v>0</v>
      </c>
      <c r="L62" s="144">
        <f>CATEGORIAS[[#This Row],[ADICIONALES]]+CATEGORIAS[[#This Row],[POM]]+CATEGORIAS[[#This Row],[REAJUSTE 
PAGADO]]+CATEGORIAS[[#This Row],[REAJUSTE
PROYECTADO]]</f>
        <v>0</v>
      </c>
      <c r="M62" s="133">
        <v>0</v>
      </c>
      <c r="N62" s="222">
        <v>0</v>
      </c>
      <c r="O62" s="142">
        <f>+CATEGORIAS[[#This Row],[PRODUCCION
PARTIDAS
ORIGINALES
ACTUAL]]+CATEGORIAS[[#This Row],[PRODUCCION
ADICIONALES
ACTUAL]]</f>
        <v>0</v>
      </c>
      <c r="P62" s="222">
        <v>0</v>
      </c>
      <c r="Q62" s="134">
        <v>0</v>
      </c>
      <c r="R62" s="141">
        <f>+CATEGORIAS[[#This Row],[PRODUCCION
ANTERIOR]]+CATEGORIAS[[#This Row],[PRODUCCION
ADICIONALES
ANTERIOR]]</f>
        <v>0</v>
      </c>
      <c r="S62" s="135">
        <v>0</v>
      </c>
      <c r="T62" s="135"/>
      <c r="U62" s="135">
        <v>0</v>
      </c>
      <c r="V62" s="262">
        <f>SUM(CATEGORIAS[[#This Row],[COSTO
ACUMULADO  AX]:[PROVISIONES]])</f>
        <v>0</v>
      </c>
      <c r="W62" s="264">
        <v>0</v>
      </c>
      <c r="X62" s="222"/>
      <c r="Y62" s="222">
        <v>0</v>
      </c>
      <c r="Z62" s="263">
        <f>SUM(CATEGORIAS[[#This Row],[COSTO ACUMULADO
ANTERIOR]:[PROVISIONES
ANTERIOR]])</f>
        <v>0</v>
      </c>
      <c r="AA62" s="338">
        <f>ABS(+CATEGORIAS[[#This Row],[PRESUPUESTO
FINAL
PROYECTADO]]-CATEGORIAS[[#This Row],[TOTAL PRODUCCION
ACTUAL]])</f>
        <v>0</v>
      </c>
      <c r="AB62" s="222"/>
      <c r="AC62" s="134"/>
      <c r="AD62" s="134">
        <v>0</v>
      </c>
      <c r="AE62" s="221">
        <f>SUM(CATEGORIAS[[#This Row],[INVENTARIO]:[PROYECCION
DE COSTO
DEL SALDO]])</f>
        <v>0</v>
      </c>
      <c r="AF62" s="134"/>
      <c r="AG62" s="134">
        <f>+CATEGORIAS[[#This Row],[PRESUPUESTO
FINAL
PROYECTADO]]-CATEGORIAS[[#This Row],[COSTO REAL]]-CATEGORIAS[[#This Row],[PROYECCION
TOTAL DE COSTO]]</f>
        <v>0</v>
      </c>
    </row>
    <row r="63" spans="1:33" x14ac:dyDescent="0.25">
      <c r="A63" s="245" t="s">
        <v>28</v>
      </c>
      <c r="B63" s="245" t="s">
        <v>32</v>
      </c>
      <c r="C63" s="245" t="s">
        <v>2420</v>
      </c>
      <c r="D63" s="323" t="s">
        <v>1800</v>
      </c>
      <c r="E63" s="244" t="s">
        <v>299</v>
      </c>
      <c r="F63" s="246" t="s">
        <v>379</v>
      </c>
      <c r="G63" s="279">
        <v>190055117.79899999</v>
      </c>
      <c r="H63" s="279">
        <v>125897575.374</v>
      </c>
      <c r="I63" s="132">
        <v>0</v>
      </c>
      <c r="J63" s="132">
        <v>4438941.3842508784</v>
      </c>
      <c r="K63" s="132">
        <v>0</v>
      </c>
      <c r="L63" s="144">
        <f>CATEGORIAS[[#This Row],[ADICIONALES]]+CATEGORIAS[[#This Row],[POM]]+CATEGORIAS[[#This Row],[REAJUSTE 
PAGADO]]+CATEGORIAS[[#This Row],[REAJUSTE
PROYECTADO]]</f>
        <v>130336516.75825088</v>
      </c>
      <c r="M63" s="133">
        <v>130311802.98725694</v>
      </c>
      <c r="N63" s="222">
        <v>24713.770993933082</v>
      </c>
      <c r="O63" s="142">
        <f>+CATEGORIAS[[#This Row],[PRODUCCION
PARTIDAS
ORIGINALES
ACTUAL]]+CATEGORIAS[[#This Row],[PRODUCCION
ADICIONALES
ACTUAL]]</f>
        <v>130336516.75825088</v>
      </c>
      <c r="P63" s="222">
        <v>130311802.98725694</v>
      </c>
      <c r="Q63" s="222">
        <v>0</v>
      </c>
      <c r="R63" s="141">
        <f>+CATEGORIAS[[#This Row],[PRODUCCION
ANTERIOR]]+CATEGORIAS[[#This Row],[PRODUCCION
ADICIONALES
ANTERIOR]]</f>
        <v>130311802.98725694</v>
      </c>
      <c r="S63" s="135">
        <v>137402684</v>
      </c>
      <c r="T63" s="264"/>
      <c r="U63" s="135">
        <v>0</v>
      </c>
      <c r="V63" s="262">
        <f>SUM(CATEGORIAS[[#This Row],[COSTO
ACUMULADO  AX]:[PROVISIONES]])</f>
        <v>137402684</v>
      </c>
      <c r="W63" s="264">
        <v>137338244</v>
      </c>
      <c r="X63" s="222"/>
      <c r="Y63" s="222">
        <v>0</v>
      </c>
      <c r="Z63" s="263">
        <f>SUM(CATEGORIAS[[#This Row],[COSTO ACUMULADO
ANTERIOR]:[PROVISIONES
ANTERIOR]])</f>
        <v>137338244</v>
      </c>
      <c r="AA63" s="338">
        <f>ABS(+CATEGORIAS[[#This Row],[PRESUPUESTO
FINAL
PROYECTADO]]-CATEGORIAS[[#This Row],[TOTAL PRODUCCION
ACTUAL]])</f>
        <v>0</v>
      </c>
      <c r="AB63" s="222"/>
      <c r="AC63" s="134"/>
      <c r="AD63" s="134">
        <v>0</v>
      </c>
      <c r="AE63" s="221">
        <f>SUM(CATEGORIAS[[#This Row],[INVENTARIO]:[PROYECCION
DE COSTO
DEL SALDO]])</f>
        <v>0</v>
      </c>
      <c r="AF63" s="134"/>
      <c r="AG63" s="134">
        <f>+CATEGORIAS[[#This Row],[PRESUPUESTO
FINAL
PROYECTADO]]-CATEGORIAS[[#This Row],[COSTO REAL]]-CATEGORIAS[[#This Row],[PROYECCION
TOTAL DE COSTO]]</f>
        <v>-7066167.2417491227</v>
      </c>
    </row>
    <row r="64" spans="1:33" x14ac:dyDescent="0.25">
      <c r="A64" s="245"/>
      <c r="B64" s="245"/>
      <c r="C64" s="245"/>
      <c r="D64" s="323" t="s">
        <v>1801</v>
      </c>
      <c r="E64" s="244" t="s">
        <v>496</v>
      </c>
      <c r="F64" s="246" t="s">
        <v>376</v>
      </c>
      <c r="G64" s="279">
        <v>0</v>
      </c>
      <c r="H64" s="279">
        <v>0</v>
      </c>
      <c r="I64" s="132">
        <v>0</v>
      </c>
      <c r="J64" s="132">
        <v>0</v>
      </c>
      <c r="K64" s="132">
        <v>0</v>
      </c>
      <c r="L64" s="144">
        <f>CATEGORIAS[[#This Row],[ADICIONALES]]+CATEGORIAS[[#This Row],[POM]]+CATEGORIAS[[#This Row],[REAJUSTE 
PAGADO]]+CATEGORIAS[[#This Row],[REAJUSTE
PROYECTADO]]</f>
        <v>0</v>
      </c>
      <c r="M64" s="133">
        <v>0</v>
      </c>
      <c r="N64" s="222">
        <v>0</v>
      </c>
      <c r="O64" s="142">
        <f>+CATEGORIAS[[#This Row],[PRODUCCION
PARTIDAS
ORIGINALES
ACTUAL]]+CATEGORIAS[[#This Row],[PRODUCCION
ADICIONALES
ACTUAL]]</f>
        <v>0</v>
      </c>
      <c r="P64" s="222">
        <v>0</v>
      </c>
      <c r="Q64" s="222">
        <v>0</v>
      </c>
      <c r="R64" s="141">
        <f>+CATEGORIAS[[#This Row],[PRODUCCION
ANTERIOR]]+CATEGORIAS[[#This Row],[PRODUCCION
ADICIONALES
ANTERIOR]]</f>
        <v>0</v>
      </c>
      <c r="S64" s="135">
        <v>0</v>
      </c>
      <c r="T64" s="135"/>
      <c r="U64" s="135">
        <v>0</v>
      </c>
      <c r="V64" s="262">
        <f>SUM(CATEGORIAS[[#This Row],[COSTO
ACUMULADO  AX]:[PROVISIONES]])</f>
        <v>0</v>
      </c>
      <c r="W64" s="264">
        <v>0</v>
      </c>
      <c r="X64" s="222"/>
      <c r="Y64" s="222">
        <v>0</v>
      </c>
      <c r="Z64" s="263">
        <f>SUM(CATEGORIAS[[#This Row],[COSTO ACUMULADO
ANTERIOR]:[PROVISIONES
ANTERIOR]])</f>
        <v>0</v>
      </c>
      <c r="AA64" s="338">
        <f>ABS(+CATEGORIAS[[#This Row],[PRESUPUESTO
FINAL
PROYECTADO]]-CATEGORIAS[[#This Row],[TOTAL PRODUCCION
ACTUAL]])</f>
        <v>0</v>
      </c>
      <c r="AB64" s="222"/>
      <c r="AC64" s="134"/>
      <c r="AD64" s="134">
        <v>0</v>
      </c>
      <c r="AE64" s="221">
        <f>SUM(CATEGORIAS[[#This Row],[INVENTARIO]:[PROYECCION
DE COSTO
DEL SALDO]])</f>
        <v>0</v>
      </c>
      <c r="AF64" s="134"/>
      <c r="AG64" s="134">
        <f>+CATEGORIAS[[#This Row],[PRESUPUESTO
FINAL
PROYECTADO]]-CATEGORIAS[[#This Row],[COSTO REAL]]-CATEGORIAS[[#This Row],[PROYECCION
TOTAL DE COSTO]]</f>
        <v>0</v>
      </c>
    </row>
    <row r="65" spans="1:33" x14ac:dyDescent="0.25">
      <c r="A65" s="245"/>
      <c r="B65" s="245"/>
      <c r="C65" s="245"/>
      <c r="D65" s="323" t="s">
        <v>1802</v>
      </c>
      <c r="E65" s="244" t="s">
        <v>498</v>
      </c>
      <c r="F65" s="246" t="s">
        <v>376</v>
      </c>
      <c r="G65" s="279">
        <v>0</v>
      </c>
      <c r="H65" s="279">
        <v>0</v>
      </c>
      <c r="I65" s="132">
        <v>0</v>
      </c>
      <c r="J65" s="132">
        <v>0</v>
      </c>
      <c r="K65" s="132">
        <v>0</v>
      </c>
      <c r="L65" s="144">
        <f>CATEGORIAS[[#This Row],[ADICIONALES]]+CATEGORIAS[[#This Row],[POM]]+CATEGORIAS[[#This Row],[REAJUSTE 
PAGADO]]+CATEGORIAS[[#This Row],[REAJUSTE
PROYECTADO]]</f>
        <v>0</v>
      </c>
      <c r="M65" s="133">
        <v>0</v>
      </c>
      <c r="N65" s="222">
        <v>0</v>
      </c>
      <c r="O65" s="142">
        <f>+CATEGORIAS[[#This Row],[PRODUCCION
PARTIDAS
ORIGINALES
ACTUAL]]+CATEGORIAS[[#This Row],[PRODUCCION
ADICIONALES
ACTUAL]]</f>
        <v>0</v>
      </c>
      <c r="P65" s="222">
        <v>0</v>
      </c>
      <c r="Q65" s="222">
        <v>0</v>
      </c>
      <c r="R65" s="141">
        <f>+CATEGORIAS[[#This Row],[PRODUCCION
ANTERIOR]]+CATEGORIAS[[#This Row],[PRODUCCION
ADICIONALES
ANTERIOR]]</f>
        <v>0</v>
      </c>
      <c r="S65" s="135">
        <v>0</v>
      </c>
      <c r="T65" s="135"/>
      <c r="U65" s="135">
        <v>0</v>
      </c>
      <c r="V65" s="262">
        <f>SUM(CATEGORIAS[[#This Row],[COSTO
ACUMULADO  AX]:[PROVISIONES]])</f>
        <v>0</v>
      </c>
      <c r="W65" s="264">
        <v>0</v>
      </c>
      <c r="X65" s="222"/>
      <c r="Y65" s="222">
        <v>0</v>
      </c>
      <c r="Z65" s="263">
        <f>SUM(CATEGORIAS[[#This Row],[COSTO ACUMULADO
ANTERIOR]:[PROVISIONES
ANTERIOR]])</f>
        <v>0</v>
      </c>
      <c r="AA65" s="338">
        <f>ABS(+CATEGORIAS[[#This Row],[PRESUPUESTO
FINAL
PROYECTADO]]-CATEGORIAS[[#This Row],[TOTAL PRODUCCION
ACTUAL]])</f>
        <v>0</v>
      </c>
      <c r="AB65" s="222"/>
      <c r="AC65" s="134"/>
      <c r="AD65" s="134">
        <v>0</v>
      </c>
      <c r="AE65" s="221">
        <f>SUM(CATEGORIAS[[#This Row],[INVENTARIO]:[PROYECCION
DE COSTO
DEL SALDO]])</f>
        <v>0</v>
      </c>
      <c r="AF65" s="134"/>
      <c r="AG65" s="134">
        <f>+CATEGORIAS[[#This Row],[PRESUPUESTO
FINAL
PROYECTADO]]-CATEGORIAS[[#This Row],[COSTO REAL]]-CATEGORIAS[[#This Row],[PROYECCION
TOTAL DE COSTO]]</f>
        <v>0</v>
      </c>
    </row>
    <row r="66" spans="1:33" x14ac:dyDescent="0.25">
      <c r="A66" s="245"/>
      <c r="B66" s="245"/>
      <c r="C66" s="245"/>
      <c r="D66" s="323" t="s">
        <v>1803</v>
      </c>
      <c r="E66" s="244" t="s">
        <v>500</v>
      </c>
      <c r="F66" s="246" t="s">
        <v>376</v>
      </c>
      <c r="G66" s="279">
        <v>0</v>
      </c>
      <c r="H66" s="279">
        <v>0</v>
      </c>
      <c r="I66" s="132">
        <v>0</v>
      </c>
      <c r="J66" s="132">
        <v>0</v>
      </c>
      <c r="K66" s="132">
        <v>0</v>
      </c>
      <c r="L66" s="144">
        <f>CATEGORIAS[[#This Row],[ADICIONALES]]+CATEGORIAS[[#This Row],[POM]]+CATEGORIAS[[#This Row],[REAJUSTE 
PAGADO]]+CATEGORIAS[[#This Row],[REAJUSTE
PROYECTADO]]</f>
        <v>0</v>
      </c>
      <c r="M66" s="133">
        <v>0</v>
      </c>
      <c r="N66" s="222">
        <v>0</v>
      </c>
      <c r="O66" s="142">
        <f>+CATEGORIAS[[#This Row],[PRODUCCION
PARTIDAS
ORIGINALES
ACTUAL]]+CATEGORIAS[[#This Row],[PRODUCCION
ADICIONALES
ACTUAL]]</f>
        <v>0</v>
      </c>
      <c r="P66" s="222">
        <v>0</v>
      </c>
      <c r="Q66" s="134">
        <v>0</v>
      </c>
      <c r="R66" s="141">
        <f>+CATEGORIAS[[#This Row],[PRODUCCION
ANTERIOR]]+CATEGORIAS[[#This Row],[PRODUCCION
ADICIONALES
ANTERIOR]]</f>
        <v>0</v>
      </c>
      <c r="S66" s="135">
        <v>0</v>
      </c>
      <c r="T66" s="135"/>
      <c r="U66" s="135">
        <v>0</v>
      </c>
      <c r="V66" s="262">
        <f>SUM(CATEGORIAS[[#This Row],[COSTO
ACUMULADO  AX]:[PROVISIONES]])</f>
        <v>0</v>
      </c>
      <c r="W66" s="264">
        <v>0</v>
      </c>
      <c r="X66" s="222"/>
      <c r="Y66" s="222">
        <v>0</v>
      </c>
      <c r="Z66" s="263">
        <f>SUM(CATEGORIAS[[#This Row],[COSTO ACUMULADO
ANTERIOR]:[PROVISIONES
ANTERIOR]])</f>
        <v>0</v>
      </c>
      <c r="AA66" s="338">
        <f>ABS(+CATEGORIAS[[#This Row],[PRESUPUESTO
FINAL
PROYECTADO]]-CATEGORIAS[[#This Row],[TOTAL PRODUCCION
ACTUAL]])</f>
        <v>0</v>
      </c>
      <c r="AB66" s="222"/>
      <c r="AC66" s="134"/>
      <c r="AD66" s="134">
        <v>0</v>
      </c>
      <c r="AE66" s="221">
        <f>SUM(CATEGORIAS[[#This Row],[INVENTARIO]:[PROYECCION
DE COSTO
DEL SALDO]])</f>
        <v>0</v>
      </c>
      <c r="AF66" s="134"/>
      <c r="AG66" s="134">
        <f>+CATEGORIAS[[#This Row],[PRESUPUESTO
FINAL
PROYECTADO]]-CATEGORIAS[[#This Row],[COSTO REAL]]-CATEGORIAS[[#This Row],[PROYECCION
TOTAL DE COSTO]]</f>
        <v>0</v>
      </c>
    </row>
    <row r="67" spans="1:33" x14ac:dyDescent="0.25">
      <c r="A67" s="245"/>
      <c r="B67" s="245"/>
      <c r="C67" s="245"/>
      <c r="D67" s="323" t="s">
        <v>1804</v>
      </c>
      <c r="E67" s="244" t="s">
        <v>502</v>
      </c>
      <c r="F67" s="246" t="s">
        <v>376</v>
      </c>
      <c r="G67" s="279">
        <v>0</v>
      </c>
      <c r="H67" s="279">
        <v>0</v>
      </c>
      <c r="I67" s="132">
        <v>0</v>
      </c>
      <c r="J67" s="132">
        <v>0</v>
      </c>
      <c r="K67" s="132">
        <v>0</v>
      </c>
      <c r="L67" s="144">
        <f>CATEGORIAS[[#This Row],[ADICIONALES]]+CATEGORIAS[[#This Row],[POM]]+CATEGORIAS[[#This Row],[REAJUSTE 
PAGADO]]+CATEGORIAS[[#This Row],[REAJUSTE
PROYECTADO]]</f>
        <v>0</v>
      </c>
      <c r="M67" s="133">
        <v>0</v>
      </c>
      <c r="N67" s="222">
        <v>0</v>
      </c>
      <c r="O67" s="142">
        <f>+CATEGORIAS[[#This Row],[PRODUCCION
PARTIDAS
ORIGINALES
ACTUAL]]+CATEGORIAS[[#This Row],[PRODUCCION
ADICIONALES
ACTUAL]]</f>
        <v>0</v>
      </c>
      <c r="P67" s="222">
        <v>0</v>
      </c>
      <c r="Q67" s="134">
        <v>0</v>
      </c>
      <c r="R67" s="141">
        <f>+CATEGORIAS[[#This Row],[PRODUCCION
ANTERIOR]]+CATEGORIAS[[#This Row],[PRODUCCION
ADICIONALES
ANTERIOR]]</f>
        <v>0</v>
      </c>
      <c r="S67" s="135">
        <v>0</v>
      </c>
      <c r="T67" s="135"/>
      <c r="U67" s="135">
        <v>0</v>
      </c>
      <c r="V67" s="262">
        <f>SUM(CATEGORIAS[[#This Row],[COSTO
ACUMULADO  AX]:[PROVISIONES]])</f>
        <v>0</v>
      </c>
      <c r="W67" s="264">
        <v>0</v>
      </c>
      <c r="X67" s="222"/>
      <c r="Y67" s="222">
        <v>0</v>
      </c>
      <c r="Z67" s="263">
        <f>SUM(CATEGORIAS[[#This Row],[COSTO ACUMULADO
ANTERIOR]:[PROVISIONES
ANTERIOR]])</f>
        <v>0</v>
      </c>
      <c r="AA67" s="338">
        <f>ABS(+CATEGORIAS[[#This Row],[PRESUPUESTO
FINAL
PROYECTADO]]-CATEGORIAS[[#This Row],[TOTAL PRODUCCION
ACTUAL]])</f>
        <v>0</v>
      </c>
      <c r="AB67" s="222"/>
      <c r="AC67" s="134"/>
      <c r="AD67" s="134">
        <v>0</v>
      </c>
      <c r="AE67" s="221">
        <f>SUM(CATEGORIAS[[#This Row],[INVENTARIO]:[PROYECCION
DE COSTO
DEL SALDO]])</f>
        <v>0</v>
      </c>
      <c r="AF67" s="134"/>
      <c r="AG67" s="134">
        <f>+CATEGORIAS[[#This Row],[PRESUPUESTO
FINAL
PROYECTADO]]-CATEGORIAS[[#This Row],[COSTO REAL]]-CATEGORIAS[[#This Row],[PROYECCION
TOTAL DE COSTO]]</f>
        <v>0</v>
      </c>
    </row>
    <row r="68" spans="1:33" x14ac:dyDescent="0.25">
      <c r="A68" s="245"/>
      <c r="B68" s="245"/>
      <c r="C68" s="245"/>
      <c r="D68" s="323" t="s">
        <v>1805</v>
      </c>
      <c r="E68" s="244" t="s">
        <v>504</v>
      </c>
      <c r="F68" s="246" t="s">
        <v>376</v>
      </c>
      <c r="G68" s="279">
        <v>0</v>
      </c>
      <c r="H68" s="279">
        <v>0</v>
      </c>
      <c r="I68" s="132">
        <v>0</v>
      </c>
      <c r="J68" s="132">
        <v>0</v>
      </c>
      <c r="K68" s="132">
        <v>0</v>
      </c>
      <c r="L68" s="144">
        <f>CATEGORIAS[[#This Row],[ADICIONALES]]+CATEGORIAS[[#This Row],[POM]]+CATEGORIAS[[#This Row],[REAJUSTE 
PAGADO]]+CATEGORIAS[[#This Row],[REAJUSTE
PROYECTADO]]</f>
        <v>0</v>
      </c>
      <c r="M68" s="133">
        <v>0</v>
      </c>
      <c r="N68" s="222">
        <v>0</v>
      </c>
      <c r="O68" s="142">
        <f>+CATEGORIAS[[#This Row],[PRODUCCION
PARTIDAS
ORIGINALES
ACTUAL]]+CATEGORIAS[[#This Row],[PRODUCCION
ADICIONALES
ACTUAL]]</f>
        <v>0</v>
      </c>
      <c r="P68" s="222">
        <v>0</v>
      </c>
      <c r="Q68" s="222">
        <v>0</v>
      </c>
      <c r="R68" s="141">
        <f>+CATEGORIAS[[#This Row],[PRODUCCION
ANTERIOR]]+CATEGORIAS[[#This Row],[PRODUCCION
ADICIONALES
ANTERIOR]]</f>
        <v>0</v>
      </c>
      <c r="S68" s="135">
        <v>0</v>
      </c>
      <c r="T68" s="135"/>
      <c r="U68" s="135">
        <v>0</v>
      </c>
      <c r="V68" s="262">
        <f>SUM(CATEGORIAS[[#This Row],[COSTO
ACUMULADO  AX]:[PROVISIONES]])</f>
        <v>0</v>
      </c>
      <c r="W68" s="264">
        <v>0</v>
      </c>
      <c r="X68" s="222"/>
      <c r="Y68" s="222">
        <v>0</v>
      </c>
      <c r="Z68" s="263">
        <f>SUM(CATEGORIAS[[#This Row],[COSTO ACUMULADO
ANTERIOR]:[PROVISIONES
ANTERIOR]])</f>
        <v>0</v>
      </c>
      <c r="AA68" s="338">
        <f>ABS(+CATEGORIAS[[#This Row],[PRESUPUESTO
FINAL
PROYECTADO]]-CATEGORIAS[[#This Row],[TOTAL PRODUCCION
ACTUAL]])</f>
        <v>0</v>
      </c>
      <c r="AB68" s="222"/>
      <c r="AC68" s="134"/>
      <c r="AD68" s="134">
        <v>0</v>
      </c>
      <c r="AE68" s="221">
        <f>SUM(CATEGORIAS[[#This Row],[INVENTARIO]:[PROYECCION
DE COSTO
DEL SALDO]])</f>
        <v>0</v>
      </c>
      <c r="AF68" s="134"/>
      <c r="AG68" s="134">
        <f>+CATEGORIAS[[#This Row],[PRESUPUESTO
FINAL
PROYECTADO]]-CATEGORIAS[[#This Row],[COSTO REAL]]-CATEGORIAS[[#This Row],[PROYECCION
TOTAL DE COSTO]]</f>
        <v>0</v>
      </c>
    </row>
    <row r="69" spans="1:33" x14ac:dyDescent="0.25">
      <c r="A69" s="245" t="s">
        <v>28</v>
      </c>
      <c r="B69" s="245" t="s">
        <v>32</v>
      </c>
      <c r="C69" s="245" t="s">
        <v>2420</v>
      </c>
      <c r="D69" s="323" t="s">
        <v>1806</v>
      </c>
      <c r="E69" s="244" t="s">
        <v>506</v>
      </c>
      <c r="F69" s="246" t="s">
        <v>379</v>
      </c>
      <c r="G69" s="279">
        <v>16081600</v>
      </c>
      <c r="H69" s="279">
        <v>44540332</v>
      </c>
      <c r="I69" s="132">
        <v>0</v>
      </c>
      <c r="J69" s="132">
        <v>1570418.8297172291</v>
      </c>
      <c r="K69" s="132">
        <v>0</v>
      </c>
      <c r="L69" s="144">
        <f>CATEGORIAS[[#This Row],[ADICIONALES]]+CATEGORIAS[[#This Row],[POM]]+CATEGORIAS[[#This Row],[REAJUSTE 
PAGADO]]+CATEGORIAS[[#This Row],[REAJUSTE
PROYECTADO]]</f>
        <v>46110750.829717226</v>
      </c>
      <c r="M69" s="133">
        <v>46102007.535322778</v>
      </c>
      <c r="N69" s="222">
        <v>8743.2943944483995</v>
      </c>
      <c r="O69" s="142">
        <f>+CATEGORIAS[[#This Row],[PRODUCCION
PARTIDAS
ORIGINALES
ACTUAL]]+CATEGORIAS[[#This Row],[PRODUCCION
ADICIONALES
ACTUAL]]</f>
        <v>46110750.829717226</v>
      </c>
      <c r="P69" s="222">
        <v>46102007.535322778</v>
      </c>
      <c r="Q69" s="222">
        <v>0</v>
      </c>
      <c r="R69" s="141">
        <f>+CATEGORIAS[[#This Row],[PRODUCCION
ANTERIOR]]+CATEGORIAS[[#This Row],[PRODUCCION
ADICIONALES
ANTERIOR]]</f>
        <v>46102007.535322778</v>
      </c>
      <c r="S69" s="135">
        <v>122477342</v>
      </c>
      <c r="T69" s="135"/>
      <c r="U69" s="135">
        <v>0</v>
      </c>
      <c r="V69" s="262">
        <f>SUM(CATEGORIAS[[#This Row],[COSTO
ACUMULADO  AX]:[PROVISIONES]])</f>
        <v>122477342</v>
      </c>
      <c r="W69" s="264">
        <v>122477342</v>
      </c>
      <c r="X69" s="222"/>
      <c r="Y69" s="222">
        <v>0</v>
      </c>
      <c r="Z69" s="263">
        <f>SUM(CATEGORIAS[[#This Row],[COSTO ACUMULADO
ANTERIOR]:[PROVISIONES
ANTERIOR]])</f>
        <v>122477342</v>
      </c>
      <c r="AA69" s="338">
        <f>ABS(+CATEGORIAS[[#This Row],[PRESUPUESTO
FINAL
PROYECTADO]]-CATEGORIAS[[#This Row],[TOTAL PRODUCCION
ACTUAL]])</f>
        <v>0</v>
      </c>
      <c r="AB69" s="222"/>
      <c r="AC69" s="134"/>
      <c r="AD69" s="134">
        <v>0</v>
      </c>
      <c r="AE69" s="221">
        <f>SUM(CATEGORIAS[[#This Row],[INVENTARIO]:[PROYECCION
DE COSTO
DEL SALDO]])</f>
        <v>0</v>
      </c>
      <c r="AF69" s="134"/>
      <c r="AG69" s="134">
        <f>+CATEGORIAS[[#This Row],[PRESUPUESTO
FINAL
PROYECTADO]]-CATEGORIAS[[#This Row],[COSTO REAL]]-CATEGORIAS[[#This Row],[PROYECCION
TOTAL DE COSTO]]</f>
        <v>-76366591.170282781</v>
      </c>
    </row>
    <row r="70" spans="1:33" x14ac:dyDescent="0.25">
      <c r="A70" s="245"/>
      <c r="B70" s="245"/>
      <c r="C70" s="245"/>
      <c r="D70" s="323" t="s">
        <v>1807</v>
      </c>
      <c r="E70" s="244" t="s">
        <v>508</v>
      </c>
      <c r="F70" s="246" t="s">
        <v>376</v>
      </c>
      <c r="G70" s="279">
        <v>0</v>
      </c>
      <c r="H70" s="279">
        <v>0</v>
      </c>
      <c r="I70" s="132">
        <v>0</v>
      </c>
      <c r="J70" s="132">
        <v>0</v>
      </c>
      <c r="K70" s="132">
        <v>0</v>
      </c>
      <c r="L70" s="144">
        <f>CATEGORIAS[[#This Row],[ADICIONALES]]+CATEGORIAS[[#This Row],[POM]]+CATEGORIAS[[#This Row],[REAJUSTE 
PAGADO]]+CATEGORIAS[[#This Row],[REAJUSTE
PROYECTADO]]</f>
        <v>0</v>
      </c>
      <c r="M70" s="133">
        <v>0</v>
      </c>
      <c r="N70" s="222">
        <v>0</v>
      </c>
      <c r="O70" s="142">
        <f>+CATEGORIAS[[#This Row],[PRODUCCION
PARTIDAS
ORIGINALES
ACTUAL]]+CATEGORIAS[[#This Row],[PRODUCCION
ADICIONALES
ACTUAL]]</f>
        <v>0</v>
      </c>
      <c r="P70" s="222">
        <v>0</v>
      </c>
      <c r="Q70" s="222">
        <v>0</v>
      </c>
      <c r="R70" s="141">
        <f>+CATEGORIAS[[#This Row],[PRODUCCION
ANTERIOR]]+CATEGORIAS[[#This Row],[PRODUCCION
ADICIONALES
ANTERIOR]]</f>
        <v>0</v>
      </c>
      <c r="S70" s="135">
        <v>0</v>
      </c>
      <c r="T70" s="135"/>
      <c r="U70" s="135">
        <v>0</v>
      </c>
      <c r="V70" s="262">
        <f>SUM(CATEGORIAS[[#This Row],[COSTO
ACUMULADO  AX]:[PROVISIONES]])</f>
        <v>0</v>
      </c>
      <c r="W70" s="264">
        <v>0</v>
      </c>
      <c r="X70" s="222"/>
      <c r="Y70" s="222">
        <v>0</v>
      </c>
      <c r="Z70" s="263">
        <f>SUM(CATEGORIAS[[#This Row],[COSTO ACUMULADO
ANTERIOR]:[PROVISIONES
ANTERIOR]])</f>
        <v>0</v>
      </c>
      <c r="AA70" s="338">
        <f>ABS(+CATEGORIAS[[#This Row],[PRESUPUESTO
FINAL
PROYECTADO]]-CATEGORIAS[[#This Row],[TOTAL PRODUCCION
ACTUAL]])</f>
        <v>0</v>
      </c>
      <c r="AB70" s="222"/>
      <c r="AC70" s="134"/>
      <c r="AD70" s="134">
        <v>0</v>
      </c>
      <c r="AE70" s="221">
        <f>SUM(CATEGORIAS[[#This Row],[INVENTARIO]:[PROYECCION
DE COSTO
DEL SALDO]])</f>
        <v>0</v>
      </c>
      <c r="AF70" s="134"/>
      <c r="AG70" s="134">
        <f>+CATEGORIAS[[#This Row],[PRESUPUESTO
FINAL
PROYECTADO]]-CATEGORIAS[[#This Row],[COSTO REAL]]-CATEGORIAS[[#This Row],[PROYECCION
TOTAL DE COSTO]]</f>
        <v>0</v>
      </c>
    </row>
    <row r="71" spans="1:33" x14ac:dyDescent="0.25">
      <c r="A71" s="245" t="s">
        <v>28</v>
      </c>
      <c r="B71" s="245" t="s">
        <v>32</v>
      </c>
      <c r="C71" s="245" t="s">
        <v>2420</v>
      </c>
      <c r="D71" s="323" t="s">
        <v>1808</v>
      </c>
      <c r="E71" s="244" t="s">
        <v>509</v>
      </c>
      <c r="F71" s="246" t="s">
        <v>379</v>
      </c>
      <c r="G71" s="279">
        <v>68946512.875499994</v>
      </c>
      <c r="H71" s="279">
        <v>46314997.281535991</v>
      </c>
      <c r="I71" s="132">
        <v>15689297.022159101</v>
      </c>
      <c r="J71" s="132">
        <v>1632990.6079107446</v>
      </c>
      <c r="K71" s="132">
        <v>0</v>
      </c>
      <c r="L71" s="144">
        <f>CATEGORIAS[[#This Row],[ADICIONALES]]+CATEGORIAS[[#This Row],[POM]]+CATEGORIAS[[#This Row],[REAJUSTE 
PAGADO]]+CATEGORIAS[[#This Row],[REAJUSTE
PROYECTADO]]</f>
        <v>63637284.911605835</v>
      </c>
      <c r="M71" s="133">
        <v>47938896.227172852</v>
      </c>
      <c r="N71" s="134">
        <v>15698388.684432985</v>
      </c>
      <c r="O71" s="142">
        <f>+CATEGORIAS[[#This Row],[PRODUCCION
PARTIDAS
ORIGINALES
ACTUAL]]+CATEGORIAS[[#This Row],[PRODUCCION
ADICIONALES
ACTUAL]]</f>
        <v>63637284.911605835</v>
      </c>
      <c r="P71" s="222">
        <v>47938896.227172852</v>
      </c>
      <c r="Q71" s="222">
        <v>15689297.022159101</v>
      </c>
      <c r="R71" s="141">
        <f>+CATEGORIAS[[#This Row],[PRODUCCION
ANTERIOR]]+CATEGORIAS[[#This Row],[PRODUCCION
ADICIONALES
ANTERIOR]]</f>
        <v>63628193.249331951</v>
      </c>
      <c r="S71" s="135">
        <v>50878886</v>
      </c>
      <c r="T71" s="135"/>
      <c r="U71" s="135">
        <v>0</v>
      </c>
      <c r="V71" s="262">
        <f>SUM(CATEGORIAS[[#This Row],[COSTO
ACUMULADO  AX]:[PROVISIONES]])</f>
        <v>50878886</v>
      </c>
      <c r="W71" s="264">
        <v>49286337</v>
      </c>
      <c r="X71" s="222"/>
      <c r="Y71" s="222">
        <v>843955</v>
      </c>
      <c r="Z71" s="263">
        <f>SUM(CATEGORIAS[[#This Row],[COSTO ACUMULADO
ANTERIOR]:[PROVISIONES
ANTERIOR]])</f>
        <v>50130292</v>
      </c>
      <c r="AA71" s="338">
        <f>ABS(+CATEGORIAS[[#This Row],[PRESUPUESTO
FINAL
PROYECTADO]]-CATEGORIAS[[#This Row],[TOTAL PRODUCCION
ACTUAL]])</f>
        <v>0</v>
      </c>
      <c r="AB71" s="222"/>
      <c r="AC71" s="134"/>
      <c r="AD71" s="134">
        <v>0</v>
      </c>
      <c r="AE71" s="221">
        <f>SUM(CATEGORIAS[[#This Row],[INVENTARIO]:[PROYECCION
DE COSTO
DEL SALDO]])</f>
        <v>0</v>
      </c>
      <c r="AF71" s="134"/>
      <c r="AG71" s="134">
        <f>+CATEGORIAS[[#This Row],[PRESUPUESTO
FINAL
PROYECTADO]]-CATEGORIAS[[#This Row],[COSTO REAL]]-CATEGORIAS[[#This Row],[PROYECCION
TOTAL DE COSTO]]</f>
        <v>12758398.911605835</v>
      </c>
    </row>
    <row r="72" spans="1:33" x14ac:dyDescent="0.25">
      <c r="A72" s="245"/>
      <c r="B72" s="245"/>
      <c r="C72" s="245"/>
      <c r="D72" s="323" t="s">
        <v>1809</v>
      </c>
      <c r="E72" s="244" t="s">
        <v>511</v>
      </c>
      <c r="F72" s="246" t="s">
        <v>376</v>
      </c>
      <c r="G72" s="279">
        <v>0</v>
      </c>
      <c r="H72" s="279">
        <v>0</v>
      </c>
      <c r="I72" s="132">
        <v>0</v>
      </c>
      <c r="J72" s="132">
        <v>0</v>
      </c>
      <c r="K72" s="132">
        <v>0</v>
      </c>
      <c r="L72" s="144">
        <f>CATEGORIAS[[#This Row],[ADICIONALES]]+CATEGORIAS[[#This Row],[POM]]+CATEGORIAS[[#This Row],[REAJUSTE 
PAGADO]]+CATEGORIAS[[#This Row],[REAJUSTE
PROYECTADO]]</f>
        <v>0</v>
      </c>
      <c r="M72" s="133">
        <v>0</v>
      </c>
      <c r="N72" s="222">
        <v>0</v>
      </c>
      <c r="O72" s="142">
        <f>+CATEGORIAS[[#This Row],[PRODUCCION
PARTIDAS
ORIGINALES
ACTUAL]]+CATEGORIAS[[#This Row],[PRODUCCION
ADICIONALES
ACTUAL]]</f>
        <v>0</v>
      </c>
      <c r="P72" s="222">
        <v>0</v>
      </c>
      <c r="Q72" s="222">
        <v>0</v>
      </c>
      <c r="R72" s="141">
        <f>+CATEGORIAS[[#This Row],[PRODUCCION
ANTERIOR]]+CATEGORIAS[[#This Row],[PRODUCCION
ADICIONALES
ANTERIOR]]</f>
        <v>0</v>
      </c>
      <c r="S72" s="135">
        <v>0</v>
      </c>
      <c r="T72" s="135"/>
      <c r="U72" s="135">
        <v>0</v>
      </c>
      <c r="V72" s="262">
        <f>SUM(CATEGORIAS[[#This Row],[COSTO
ACUMULADO  AX]:[PROVISIONES]])</f>
        <v>0</v>
      </c>
      <c r="W72" s="264">
        <v>0</v>
      </c>
      <c r="X72" s="222"/>
      <c r="Y72" s="222">
        <v>0</v>
      </c>
      <c r="Z72" s="263">
        <f>SUM(CATEGORIAS[[#This Row],[COSTO ACUMULADO
ANTERIOR]:[PROVISIONES
ANTERIOR]])</f>
        <v>0</v>
      </c>
      <c r="AA72" s="338">
        <f>ABS(+CATEGORIAS[[#This Row],[PRESUPUESTO
FINAL
PROYECTADO]]-CATEGORIAS[[#This Row],[TOTAL PRODUCCION
ACTUAL]])</f>
        <v>0</v>
      </c>
      <c r="AB72" s="222"/>
      <c r="AC72" s="134"/>
      <c r="AD72" s="134">
        <v>0</v>
      </c>
      <c r="AE72" s="221">
        <f>SUM(CATEGORIAS[[#This Row],[INVENTARIO]:[PROYECCION
DE COSTO
DEL SALDO]])</f>
        <v>0</v>
      </c>
      <c r="AF72" s="134"/>
      <c r="AG72" s="134">
        <f>+CATEGORIAS[[#This Row],[PRESUPUESTO
FINAL
PROYECTADO]]-CATEGORIAS[[#This Row],[COSTO REAL]]-CATEGORIAS[[#This Row],[PROYECCION
TOTAL DE COSTO]]</f>
        <v>0</v>
      </c>
    </row>
    <row r="73" spans="1:33" x14ac:dyDescent="0.25">
      <c r="A73" s="245"/>
      <c r="B73" s="245"/>
      <c r="C73" s="245"/>
      <c r="D73" s="323" t="s">
        <v>1810</v>
      </c>
      <c r="E73" s="244" t="s">
        <v>514</v>
      </c>
      <c r="F73" s="246" t="s">
        <v>376</v>
      </c>
      <c r="G73" s="279">
        <v>0</v>
      </c>
      <c r="H73" s="279">
        <v>0</v>
      </c>
      <c r="I73" s="132">
        <v>0</v>
      </c>
      <c r="J73" s="132">
        <v>0</v>
      </c>
      <c r="K73" s="132">
        <v>0</v>
      </c>
      <c r="L73" s="144">
        <f>CATEGORIAS[[#This Row],[ADICIONALES]]+CATEGORIAS[[#This Row],[POM]]+CATEGORIAS[[#This Row],[REAJUSTE 
PAGADO]]+CATEGORIAS[[#This Row],[REAJUSTE
PROYECTADO]]</f>
        <v>0</v>
      </c>
      <c r="M73" s="133">
        <v>0</v>
      </c>
      <c r="N73" s="222">
        <v>0</v>
      </c>
      <c r="O73" s="142">
        <f>+CATEGORIAS[[#This Row],[PRODUCCION
PARTIDAS
ORIGINALES
ACTUAL]]+CATEGORIAS[[#This Row],[PRODUCCION
ADICIONALES
ACTUAL]]</f>
        <v>0</v>
      </c>
      <c r="P73" s="222">
        <v>0</v>
      </c>
      <c r="Q73" s="222">
        <v>0</v>
      </c>
      <c r="R73" s="141">
        <f>+CATEGORIAS[[#This Row],[PRODUCCION
ANTERIOR]]+CATEGORIAS[[#This Row],[PRODUCCION
ADICIONALES
ANTERIOR]]</f>
        <v>0</v>
      </c>
      <c r="S73" s="135">
        <v>0</v>
      </c>
      <c r="T73" s="135"/>
      <c r="U73" s="135">
        <v>0</v>
      </c>
      <c r="V73" s="262">
        <f>SUM(CATEGORIAS[[#This Row],[COSTO
ACUMULADO  AX]:[PROVISIONES]])</f>
        <v>0</v>
      </c>
      <c r="W73" s="264">
        <v>0</v>
      </c>
      <c r="X73" s="222"/>
      <c r="Y73" s="222">
        <v>0</v>
      </c>
      <c r="Z73" s="263">
        <f>SUM(CATEGORIAS[[#This Row],[COSTO ACUMULADO
ANTERIOR]:[PROVISIONES
ANTERIOR]])</f>
        <v>0</v>
      </c>
      <c r="AA73" s="338">
        <f>ABS(+CATEGORIAS[[#This Row],[PRESUPUESTO
FINAL
PROYECTADO]]-CATEGORIAS[[#This Row],[TOTAL PRODUCCION
ACTUAL]])</f>
        <v>0</v>
      </c>
      <c r="AB73" s="222"/>
      <c r="AC73" s="134"/>
      <c r="AD73" s="134">
        <v>0</v>
      </c>
      <c r="AE73" s="221">
        <f>SUM(CATEGORIAS[[#This Row],[INVENTARIO]:[PROYECCION
DE COSTO
DEL SALDO]])</f>
        <v>0</v>
      </c>
      <c r="AF73" s="134"/>
      <c r="AG73" s="134">
        <f>+CATEGORIAS[[#This Row],[PRESUPUESTO
FINAL
PROYECTADO]]-CATEGORIAS[[#This Row],[COSTO REAL]]-CATEGORIAS[[#This Row],[PROYECCION
TOTAL DE COSTO]]</f>
        <v>0</v>
      </c>
    </row>
    <row r="74" spans="1:33" x14ac:dyDescent="0.25">
      <c r="A74" s="245"/>
      <c r="B74" s="245"/>
      <c r="C74" s="245"/>
      <c r="D74" s="323" t="s">
        <v>1811</v>
      </c>
      <c r="E74" s="244" t="s">
        <v>516</v>
      </c>
      <c r="F74" s="246" t="s">
        <v>376</v>
      </c>
      <c r="G74" s="279">
        <v>0</v>
      </c>
      <c r="H74" s="279">
        <v>0</v>
      </c>
      <c r="I74" s="132">
        <v>0</v>
      </c>
      <c r="J74" s="132">
        <v>0</v>
      </c>
      <c r="K74" s="132">
        <v>0</v>
      </c>
      <c r="L74" s="144">
        <f>CATEGORIAS[[#This Row],[ADICIONALES]]+CATEGORIAS[[#This Row],[POM]]+CATEGORIAS[[#This Row],[REAJUSTE 
PAGADO]]+CATEGORIAS[[#This Row],[REAJUSTE
PROYECTADO]]</f>
        <v>0</v>
      </c>
      <c r="M74" s="133">
        <v>0</v>
      </c>
      <c r="N74" s="222">
        <v>0</v>
      </c>
      <c r="O74" s="142">
        <f>+CATEGORIAS[[#This Row],[PRODUCCION
PARTIDAS
ORIGINALES
ACTUAL]]+CATEGORIAS[[#This Row],[PRODUCCION
ADICIONALES
ACTUAL]]</f>
        <v>0</v>
      </c>
      <c r="P74" s="222">
        <v>0</v>
      </c>
      <c r="Q74" s="222">
        <v>0</v>
      </c>
      <c r="R74" s="141">
        <f>+CATEGORIAS[[#This Row],[PRODUCCION
ANTERIOR]]+CATEGORIAS[[#This Row],[PRODUCCION
ADICIONALES
ANTERIOR]]</f>
        <v>0</v>
      </c>
      <c r="S74" s="135">
        <v>0</v>
      </c>
      <c r="T74" s="135"/>
      <c r="U74" s="135">
        <v>0</v>
      </c>
      <c r="V74" s="262">
        <f>SUM(CATEGORIAS[[#This Row],[COSTO
ACUMULADO  AX]:[PROVISIONES]])</f>
        <v>0</v>
      </c>
      <c r="W74" s="264">
        <v>0</v>
      </c>
      <c r="X74" s="222"/>
      <c r="Y74" s="222">
        <v>0</v>
      </c>
      <c r="Z74" s="263">
        <f>SUM(CATEGORIAS[[#This Row],[COSTO ACUMULADO
ANTERIOR]:[PROVISIONES
ANTERIOR]])</f>
        <v>0</v>
      </c>
      <c r="AA74" s="338">
        <f>ABS(+CATEGORIAS[[#This Row],[PRESUPUESTO
FINAL
PROYECTADO]]-CATEGORIAS[[#This Row],[TOTAL PRODUCCION
ACTUAL]])</f>
        <v>0</v>
      </c>
      <c r="AB74" s="222"/>
      <c r="AC74" s="134"/>
      <c r="AD74" s="134">
        <v>0</v>
      </c>
      <c r="AE74" s="221">
        <f>SUM(CATEGORIAS[[#This Row],[INVENTARIO]:[PROYECCION
DE COSTO
DEL SALDO]])</f>
        <v>0</v>
      </c>
      <c r="AF74" s="134"/>
      <c r="AG74" s="134">
        <f>+CATEGORIAS[[#This Row],[PRESUPUESTO
FINAL
PROYECTADO]]-CATEGORIAS[[#This Row],[COSTO REAL]]-CATEGORIAS[[#This Row],[PROYECCION
TOTAL DE COSTO]]</f>
        <v>0</v>
      </c>
    </row>
    <row r="75" spans="1:33" x14ac:dyDescent="0.25">
      <c r="A75" s="245"/>
      <c r="B75" s="245"/>
      <c r="C75" s="245"/>
      <c r="D75" s="323" t="s">
        <v>1812</v>
      </c>
      <c r="E75" s="244" t="s">
        <v>518</v>
      </c>
      <c r="F75" s="246" t="s">
        <v>379</v>
      </c>
      <c r="G75" s="279">
        <v>0</v>
      </c>
      <c r="H75" s="279">
        <v>0</v>
      </c>
      <c r="I75" s="132">
        <v>0</v>
      </c>
      <c r="J75" s="132">
        <v>0</v>
      </c>
      <c r="K75" s="132">
        <v>0</v>
      </c>
      <c r="L75" s="144">
        <f>CATEGORIAS[[#This Row],[ADICIONALES]]+CATEGORIAS[[#This Row],[POM]]+CATEGORIAS[[#This Row],[REAJUSTE 
PAGADO]]+CATEGORIAS[[#This Row],[REAJUSTE
PROYECTADO]]</f>
        <v>0</v>
      </c>
      <c r="M75" s="133">
        <v>0</v>
      </c>
      <c r="N75" s="222">
        <v>0</v>
      </c>
      <c r="O75" s="142">
        <f>+CATEGORIAS[[#This Row],[PRODUCCION
PARTIDAS
ORIGINALES
ACTUAL]]+CATEGORIAS[[#This Row],[PRODUCCION
ADICIONALES
ACTUAL]]</f>
        <v>0</v>
      </c>
      <c r="P75" s="222">
        <v>0</v>
      </c>
      <c r="Q75" s="222">
        <v>0</v>
      </c>
      <c r="R75" s="141">
        <f>+CATEGORIAS[[#This Row],[PRODUCCION
ANTERIOR]]+CATEGORIAS[[#This Row],[PRODUCCION
ADICIONALES
ANTERIOR]]</f>
        <v>0</v>
      </c>
      <c r="S75" s="135">
        <v>0</v>
      </c>
      <c r="T75" s="135"/>
      <c r="U75" s="135">
        <v>0</v>
      </c>
      <c r="V75" s="262">
        <f>SUM(CATEGORIAS[[#This Row],[COSTO
ACUMULADO  AX]:[PROVISIONES]])</f>
        <v>0</v>
      </c>
      <c r="W75" s="264">
        <v>0</v>
      </c>
      <c r="X75" s="222"/>
      <c r="Y75" s="222">
        <v>0</v>
      </c>
      <c r="Z75" s="263">
        <f>SUM(CATEGORIAS[[#This Row],[COSTO ACUMULADO
ANTERIOR]:[PROVISIONES
ANTERIOR]])</f>
        <v>0</v>
      </c>
      <c r="AA75" s="338">
        <f>ABS(+CATEGORIAS[[#This Row],[PRESUPUESTO
FINAL
PROYECTADO]]-CATEGORIAS[[#This Row],[TOTAL PRODUCCION
ACTUAL]])</f>
        <v>0</v>
      </c>
      <c r="AB75" s="222"/>
      <c r="AC75" s="134"/>
      <c r="AD75" s="134">
        <v>0</v>
      </c>
      <c r="AE75" s="221">
        <f>SUM(CATEGORIAS[[#This Row],[INVENTARIO]:[PROYECCION
DE COSTO
DEL SALDO]])</f>
        <v>0</v>
      </c>
      <c r="AF75" s="134"/>
      <c r="AG75" s="134">
        <f>+CATEGORIAS[[#This Row],[PRESUPUESTO
FINAL
PROYECTADO]]-CATEGORIAS[[#This Row],[COSTO REAL]]-CATEGORIAS[[#This Row],[PROYECCION
TOTAL DE COSTO]]</f>
        <v>0</v>
      </c>
    </row>
    <row r="76" spans="1:33" x14ac:dyDescent="0.25">
      <c r="A76" s="245"/>
      <c r="B76" s="245"/>
      <c r="C76" s="245"/>
      <c r="D76" s="323" t="s">
        <v>1813</v>
      </c>
      <c r="E76" s="244" t="s">
        <v>520</v>
      </c>
      <c r="F76" s="246" t="s">
        <v>376</v>
      </c>
      <c r="G76" s="279">
        <v>0</v>
      </c>
      <c r="H76" s="279">
        <v>0</v>
      </c>
      <c r="I76" s="132">
        <v>0</v>
      </c>
      <c r="J76" s="132">
        <v>0</v>
      </c>
      <c r="K76" s="132">
        <v>0</v>
      </c>
      <c r="L76" s="144">
        <f>CATEGORIAS[[#This Row],[ADICIONALES]]+CATEGORIAS[[#This Row],[POM]]+CATEGORIAS[[#This Row],[REAJUSTE 
PAGADO]]+CATEGORIAS[[#This Row],[REAJUSTE
PROYECTADO]]</f>
        <v>0</v>
      </c>
      <c r="M76" s="133">
        <v>0</v>
      </c>
      <c r="N76" s="222">
        <v>0</v>
      </c>
      <c r="O76" s="142">
        <f>+CATEGORIAS[[#This Row],[PRODUCCION
PARTIDAS
ORIGINALES
ACTUAL]]+CATEGORIAS[[#This Row],[PRODUCCION
ADICIONALES
ACTUAL]]</f>
        <v>0</v>
      </c>
      <c r="P76" s="222">
        <v>0</v>
      </c>
      <c r="Q76" s="222">
        <v>0</v>
      </c>
      <c r="R76" s="141">
        <f>+CATEGORIAS[[#This Row],[PRODUCCION
ANTERIOR]]+CATEGORIAS[[#This Row],[PRODUCCION
ADICIONALES
ANTERIOR]]</f>
        <v>0</v>
      </c>
      <c r="S76" s="135">
        <v>0</v>
      </c>
      <c r="T76" s="135"/>
      <c r="U76" s="135">
        <v>0</v>
      </c>
      <c r="V76" s="262">
        <f>SUM(CATEGORIAS[[#This Row],[COSTO
ACUMULADO  AX]:[PROVISIONES]])</f>
        <v>0</v>
      </c>
      <c r="W76" s="264">
        <v>0</v>
      </c>
      <c r="X76" s="222"/>
      <c r="Y76" s="222">
        <v>0</v>
      </c>
      <c r="Z76" s="263">
        <f>SUM(CATEGORIAS[[#This Row],[COSTO ACUMULADO
ANTERIOR]:[PROVISIONES
ANTERIOR]])</f>
        <v>0</v>
      </c>
      <c r="AA76" s="338">
        <f>ABS(+CATEGORIAS[[#This Row],[PRESUPUESTO
FINAL
PROYECTADO]]-CATEGORIAS[[#This Row],[TOTAL PRODUCCION
ACTUAL]])</f>
        <v>0</v>
      </c>
      <c r="AB76" s="222"/>
      <c r="AC76" s="134"/>
      <c r="AD76" s="134">
        <v>0</v>
      </c>
      <c r="AE76" s="221">
        <f>SUM(CATEGORIAS[[#This Row],[INVENTARIO]:[PROYECCION
DE COSTO
DEL SALDO]])</f>
        <v>0</v>
      </c>
      <c r="AF76" s="134"/>
      <c r="AG76" s="134">
        <f>+CATEGORIAS[[#This Row],[PRESUPUESTO
FINAL
PROYECTADO]]-CATEGORIAS[[#This Row],[COSTO REAL]]-CATEGORIAS[[#This Row],[PROYECCION
TOTAL DE COSTO]]</f>
        <v>0</v>
      </c>
    </row>
    <row r="77" spans="1:33" x14ac:dyDescent="0.25">
      <c r="A77" s="245"/>
      <c r="B77" s="245"/>
      <c r="C77" s="245"/>
      <c r="D77" s="323" t="s">
        <v>1814</v>
      </c>
      <c r="E77" s="244" t="s">
        <v>522</v>
      </c>
      <c r="F77" s="246" t="s">
        <v>376</v>
      </c>
      <c r="G77" s="279">
        <v>0</v>
      </c>
      <c r="H77" s="279">
        <v>0</v>
      </c>
      <c r="I77" s="132">
        <v>0</v>
      </c>
      <c r="J77" s="132">
        <v>0</v>
      </c>
      <c r="K77" s="132">
        <v>0</v>
      </c>
      <c r="L77" s="144">
        <f>CATEGORIAS[[#This Row],[ADICIONALES]]+CATEGORIAS[[#This Row],[POM]]+CATEGORIAS[[#This Row],[REAJUSTE 
PAGADO]]+CATEGORIAS[[#This Row],[REAJUSTE
PROYECTADO]]</f>
        <v>0</v>
      </c>
      <c r="M77" s="133">
        <v>0</v>
      </c>
      <c r="N77" s="222">
        <v>0</v>
      </c>
      <c r="O77" s="142">
        <f>+CATEGORIAS[[#This Row],[PRODUCCION
PARTIDAS
ORIGINALES
ACTUAL]]+CATEGORIAS[[#This Row],[PRODUCCION
ADICIONALES
ACTUAL]]</f>
        <v>0</v>
      </c>
      <c r="P77" s="222">
        <v>0</v>
      </c>
      <c r="Q77" s="134">
        <v>0</v>
      </c>
      <c r="R77" s="141">
        <f>+CATEGORIAS[[#This Row],[PRODUCCION
ANTERIOR]]+CATEGORIAS[[#This Row],[PRODUCCION
ADICIONALES
ANTERIOR]]</f>
        <v>0</v>
      </c>
      <c r="S77" s="135">
        <v>0</v>
      </c>
      <c r="T77" s="135"/>
      <c r="U77" s="135">
        <v>0</v>
      </c>
      <c r="V77" s="262">
        <f>SUM(CATEGORIAS[[#This Row],[COSTO
ACUMULADO  AX]:[PROVISIONES]])</f>
        <v>0</v>
      </c>
      <c r="W77" s="264">
        <v>0</v>
      </c>
      <c r="X77" s="222"/>
      <c r="Y77" s="222">
        <v>0</v>
      </c>
      <c r="Z77" s="263">
        <f>SUM(CATEGORIAS[[#This Row],[COSTO ACUMULADO
ANTERIOR]:[PROVISIONES
ANTERIOR]])</f>
        <v>0</v>
      </c>
      <c r="AA77" s="338">
        <f>ABS(+CATEGORIAS[[#This Row],[PRESUPUESTO
FINAL
PROYECTADO]]-CATEGORIAS[[#This Row],[TOTAL PRODUCCION
ACTUAL]])</f>
        <v>0</v>
      </c>
      <c r="AB77" s="222"/>
      <c r="AC77" s="134"/>
      <c r="AD77" s="134">
        <v>0</v>
      </c>
      <c r="AE77" s="221">
        <f>SUM(CATEGORIAS[[#This Row],[INVENTARIO]:[PROYECCION
DE COSTO
DEL SALDO]])</f>
        <v>0</v>
      </c>
      <c r="AF77" s="134"/>
      <c r="AG77" s="134">
        <f>+CATEGORIAS[[#This Row],[PRESUPUESTO
FINAL
PROYECTADO]]-CATEGORIAS[[#This Row],[COSTO REAL]]-CATEGORIAS[[#This Row],[PROYECCION
TOTAL DE COSTO]]</f>
        <v>0</v>
      </c>
    </row>
    <row r="78" spans="1:33" x14ac:dyDescent="0.25">
      <c r="A78" s="245"/>
      <c r="B78" s="245"/>
      <c r="C78" s="245"/>
      <c r="D78" s="323" t="s">
        <v>1815</v>
      </c>
      <c r="E78" s="244" t="s">
        <v>524</v>
      </c>
      <c r="F78" s="246" t="s">
        <v>376</v>
      </c>
      <c r="G78" s="279">
        <v>0</v>
      </c>
      <c r="H78" s="279">
        <v>0</v>
      </c>
      <c r="I78" s="132">
        <v>0</v>
      </c>
      <c r="J78" s="132">
        <v>0</v>
      </c>
      <c r="K78" s="132">
        <v>0</v>
      </c>
      <c r="L78" s="144">
        <f>CATEGORIAS[[#This Row],[ADICIONALES]]+CATEGORIAS[[#This Row],[POM]]+CATEGORIAS[[#This Row],[REAJUSTE 
PAGADO]]+CATEGORIAS[[#This Row],[REAJUSTE
PROYECTADO]]</f>
        <v>0</v>
      </c>
      <c r="M78" s="133">
        <v>0</v>
      </c>
      <c r="N78" s="222">
        <v>0</v>
      </c>
      <c r="O78" s="142">
        <f>+CATEGORIAS[[#This Row],[PRODUCCION
PARTIDAS
ORIGINALES
ACTUAL]]+CATEGORIAS[[#This Row],[PRODUCCION
ADICIONALES
ACTUAL]]</f>
        <v>0</v>
      </c>
      <c r="P78" s="222">
        <v>0</v>
      </c>
      <c r="Q78" s="222">
        <v>0</v>
      </c>
      <c r="R78" s="141">
        <f>+CATEGORIAS[[#This Row],[PRODUCCION
ANTERIOR]]+CATEGORIAS[[#This Row],[PRODUCCION
ADICIONALES
ANTERIOR]]</f>
        <v>0</v>
      </c>
      <c r="S78" s="135">
        <v>0</v>
      </c>
      <c r="T78" s="135"/>
      <c r="U78" s="135">
        <v>0</v>
      </c>
      <c r="V78" s="262">
        <f>SUM(CATEGORIAS[[#This Row],[COSTO
ACUMULADO  AX]:[PROVISIONES]])</f>
        <v>0</v>
      </c>
      <c r="W78" s="264">
        <v>0</v>
      </c>
      <c r="X78" s="222"/>
      <c r="Y78" s="222">
        <v>0</v>
      </c>
      <c r="Z78" s="263">
        <f>SUM(CATEGORIAS[[#This Row],[COSTO ACUMULADO
ANTERIOR]:[PROVISIONES
ANTERIOR]])</f>
        <v>0</v>
      </c>
      <c r="AA78" s="338">
        <f>ABS(+CATEGORIAS[[#This Row],[PRESUPUESTO
FINAL
PROYECTADO]]-CATEGORIAS[[#This Row],[TOTAL PRODUCCION
ACTUAL]])</f>
        <v>0</v>
      </c>
      <c r="AB78" s="222"/>
      <c r="AC78" s="134"/>
      <c r="AD78" s="134">
        <v>0</v>
      </c>
      <c r="AE78" s="221">
        <f>SUM(CATEGORIAS[[#This Row],[INVENTARIO]:[PROYECCION
DE COSTO
DEL SALDO]])</f>
        <v>0</v>
      </c>
      <c r="AF78" s="134"/>
      <c r="AG78" s="134">
        <f>+CATEGORIAS[[#This Row],[PRESUPUESTO
FINAL
PROYECTADO]]-CATEGORIAS[[#This Row],[COSTO REAL]]-CATEGORIAS[[#This Row],[PROYECCION
TOTAL DE COSTO]]</f>
        <v>0</v>
      </c>
    </row>
    <row r="79" spans="1:33" x14ac:dyDescent="0.25">
      <c r="A79" s="245"/>
      <c r="B79" s="245"/>
      <c r="C79" s="245"/>
      <c r="D79" s="323" t="s">
        <v>1816</v>
      </c>
      <c r="E79" s="244" t="s">
        <v>526</v>
      </c>
      <c r="F79" s="246" t="s">
        <v>376</v>
      </c>
      <c r="G79" s="279">
        <v>0</v>
      </c>
      <c r="H79" s="279">
        <v>0</v>
      </c>
      <c r="I79" s="132">
        <v>0</v>
      </c>
      <c r="J79" s="132">
        <v>0</v>
      </c>
      <c r="K79" s="132">
        <v>0</v>
      </c>
      <c r="L79" s="144">
        <f>CATEGORIAS[[#This Row],[ADICIONALES]]+CATEGORIAS[[#This Row],[POM]]+CATEGORIAS[[#This Row],[REAJUSTE 
PAGADO]]+CATEGORIAS[[#This Row],[REAJUSTE
PROYECTADO]]</f>
        <v>0</v>
      </c>
      <c r="M79" s="133">
        <v>0</v>
      </c>
      <c r="N79" s="222">
        <v>0</v>
      </c>
      <c r="O79" s="142">
        <f>+CATEGORIAS[[#This Row],[PRODUCCION
PARTIDAS
ORIGINALES
ACTUAL]]+CATEGORIAS[[#This Row],[PRODUCCION
ADICIONALES
ACTUAL]]</f>
        <v>0</v>
      </c>
      <c r="P79" s="222">
        <v>0</v>
      </c>
      <c r="Q79" s="222">
        <v>0</v>
      </c>
      <c r="R79" s="141">
        <f>+CATEGORIAS[[#This Row],[PRODUCCION
ANTERIOR]]+CATEGORIAS[[#This Row],[PRODUCCION
ADICIONALES
ANTERIOR]]</f>
        <v>0</v>
      </c>
      <c r="S79" s="135">
        <v>0</v>
      </c>
      <c r="T79" s="135"/>
      <c r="U79" s="135">
        <v>0</v>
      </c>
      <c r="V79" s="262">
        <f>SUM(CATEGORIAS[[#This Row],[COSTO
ACUMULADO  AX]:[PROVISIONES]])</f>
        <v>0</v>
      </c>
      <c r="W79" s="264">
        <v>0</v>
      </c>
      <c r="X79" s="222"/>
      <c r="Y79" s="222">
        <v>0</v>
      </c>
      <c r="Z79" s="263">
        <f>SUM(CATEGORIAS[[#This Row],[COSTO ACUMULADO
ANTERIOR]:[PROVISIONES
ANTERIOR]])</f>
        <v>0</v>
      </c>
      <c r="AA79" s="338">
        <f>ABS(+CATEGORIAS[[#This Row],[PRESUPUESTO
FINAL
PROYECTADO]]-CATEGORIAS[[#This Row],[TOTAL PRODUCCION
ACTUAL]])</f>
        <v>0</v>
      </c>
      <c r="AB79" s="222"/>
      <c r="AC79" s="134"/>
      <c r="AD79" s="134">
        <v>0</v>
      </c>
      <c r="AE79" s="221">
        <f>SUM(CATEGORIAS[[#This Row],[INVENTARIO]:[PROYECCION
DE COSTO
DEL SALDO]])</f>
        <v>0</v>
      </c>
      <c r="AF79" s="134"/>
      <c r="AG79" s="134">
        <f>+CATEGORIAS[[#This Row],[PRESUPUESTO
FINAL
PROYECTADO]]-CATEGORIAS[[#This Row],[COSTO REAL]]-CATEGORIAS[[#This Row],[PROYECCION
TOTAL DE COSTO]]</f>
        <v>0</v>
      </c>
    </row>
    <row r="80" spans="1:33" x14ac:dyDescent="0.25">
      <c r="A80" s="245"/>
      <c r="B80" s="245"/>
      <c r="C80" s="245"/>
      <c r="D80" s="323" t="s">
        <v>1817</v>
      </c>
      <c r="E80" s="244" t="s">
        <v>528</v>
      </c>
      <c r="F80" s="246" t="s">
        <v>376</v>
      </c>
      <c r="G80" s="279">
        <v>0</v>
      </c>
      <c r="H80" s="279">
        <v>0</v>
      </c>
      <c r="I80" s="132">
        <v>0</v>
      </c>
      <c r="J80" s="132">
        <v>0</v>
      </c>
      <c r="K80" s="132">
        <v>0</v>
      </c>
      <c r="L80" s="144">
        <f>CATEGORIAS[[#This Row],[ADICIONALES]]+CATEGORIAS[[#This Row],[POM]]+CATEGORIAS[[#This Row],[REAJUSTE 
PAGADO]]+CATEGORIAS[[#This Row],[REAJUSTE
PROYECTADO]]</f>
        <v>0</v>
      </c>
      <c r="M80" s="133">
        <v>0</v>
      </c>
      <c r="N80" s="222">
        <v>0</v>
      </c>
      <c r="O80" s="142">
        <f>+CATEGORIAS[[#This Row],[PRODUCCION
PARTIDAS
ORIGINALES
ACTUAL]]+CATEGORIAS[[#This Row],[PRODUCCION
ADICIONALES
ACTUAL]]</f>
        <v>0</v>
      </c>
      <c r="P80" s="222">
        <v>0</v>
      </c>
      <c r="Q80" s="222">
        <v>0</v>
      </c>
      <c r="R80" s="141">
        <f>+CATEGORIAS[[#This Row],[PRODUCCION
ANTERIOR]]+CATEGORIAS[[#This Row],[PRODUCCION
ADICIONALES
ANTERIOR]]</f>
        <v>0</v>
      </c>
      <c r="S80" s="135">
        <v>0</v>
      </c>
      <c r="T80" s="135"/>
      <c r="U80" s="135">
        <v>0</v>
      </c>
      <c r="V80" s="262">
        <f>SUM(CATEGORIAS[[#This Row],[COSTO
ACUMULADO  AX]:[PROVISIONES]])</f>
        <v>0</v>
      </c>
      <c r="W80" s="264">
        <v>0</v>
      </c>
      <c r="X80" s="222"/>
      <c r="Y80" s="222">
        <v>0</v>
      </c>
      <c r="Z80" s="263">
        <f>SUM(CATEGORIAS[[#This Row],[COSTO ACUMULADO
ANTERIOR]:[PROVISIONES
ANTERIOR]])</f>
        <v>0</v>
      </c>
      <c r="AA80" s="338">
        <f>ABS(+CATEGORIAS[[#This Row],[PRESUPUESTO
FINAL
PROYECTADO]]-CATEGORIAS[[#This Row],[TOTAL PRODUCCION
ACTUAL]])</f>
        <v>0</v>
      </c>
      <c r="AB80" s="222"/>
      <c r="AC80" s="134"/>
      <c r="AD80" s="134">
        <v>0</v>
      </c>
      <c r="AE80" s="221">
        <f>SUM(CATEGORIAS[[#This Row],[INVENTARIO]:[PROYECCION
DE COSTO
DEL SALDO]])</f>
        <v>0</v>
      </c>
      <c r="AF80" s="134"/>
      <c r="AG80" s="134">
        <f>+CATEGORIAS[[#This Row],[PRESUPUESTO
FINAL
PROYECTADO]]-CATEGORIAS[[#This Row],[COSTO REAL]]-CATEGORIAS[[#This Row],[PROYECCION
TOTAL DE COSTO]]</f>
        <v>0</v>
      </c>
    </row>
    <row r="81" spans="1:33" x14ac:dyDescent="0.25">
      <c r="A81" s="245"/>
      <c r="B81" s="245"/>
      <c r="C81" s="245"/>
      <c r="D81" s="323" t="s">
        <v>1818</v>
      </c>
      <c r="E81" s="244" t="s">
        <v>530</v>
      </c>
      <c r="F81" s="246" t="s">
        <v>379</v>
      </c>
      <c r="G81" s="279">
        <v>0</v>
      </c>
      <c r="H81" s="279">
        <v>0</v>
      </c>
      <c r="I81" s="132">
        <v>0</v>
      </c>
      <c r="J81" s="132">
        <v>0</v>
      </c>
      <c r="K81" s="132">
        <v>0</v>
      </c>
      <c r="L81" s="144">
        <f>CATEGORIAS[[#This Row],[ADICIONALES]]+CATEGORIAS[[#This Row],[POM]]+CATEGORIAS[[#This Row],[REAJUSTE 
PAGADO]]+CATEGORIAS[[#This Row],[REAJUSTE
PROYECTADO]]</f>
        <v>0</v>
      </c>
      <c r="M81" s="133">
        <v>0</v>
      </c>
      <c r="N81" s="222">
        <v>0</v>
      </c>
      <c r="O81" s="142">
        <f>+CATEGORIAS[[#This Row],[PRODUCCION
PARTIDAS
ORIGINALES
ACTUAL]]+CATEGORIAS[[#This Row],[PRODUCCION
ADICIONALES
ACTUAL]]</f>
        <v>0</v>
      </c>
      <c r="P81" s="222">
        <v>0</v>
      </c>
      <c r="Q81" s="222">
        <v>0</v>
      </c>
      <c r="R81" s="141">
        <f>+CATEGORIAS[[#This Row],[PRODUCCION
ANTERIOR]]+CATEGORIAS[[#This Row],[PRODUCCION
ADICIONALES
ANTERIOR]]</f>
        <v>0</v>
      </c>
      <c r="S81" s="135">
        <v>0</v>
      </c>
      <c r="T81" s="135"/>
      <c r="U81" s="135">
        <v>0</v>
      </c>
      <c r="V81" s="262">
        <f>SUM(CATEGORIAS[[#This Row],[COSTO
ACUMULADO  AX]:[PROVISIONES]])</f>
        <v>0</v>
      </c>
      <c r="W81" s="264">
        <v>0</v>
      </c>
      <c r="X81" s="222"/>
      <c r="Y81" s="222">
        <v>0</v>
      </c>
      <c r="Z81" s="263">
        <f>SUM(CATEGORIAS[[#This Row],[COSTO ACUMULADO
ANTERIOR]:[PROVISIONES
ANTERIOR]])</f>
        <v>0</v>
      </c>
      <c r="AA81" s="338">
        <f>ABS(+CATEGORIAS[[#This Row],[PRESUPUESTO
FINAL
PROYECTADO]]-CATEGORIAS[[#This Row],[TOTAL PRODUCCION
ACTUAL]])</f>
        <v>0</v>
      </c>
      <c r="AB81" s="222"/>
      <c r="AC81" s="134"/>
      <c r="AD81" s="134">
        <v>0</v>
      </c>
      <c r="AE81" s="221">
        <f>SUM(CATEGORIAS[[#This Row],[INVENTARIO]:[PROYECCION
DE COSTO
DEL SALDO]])</f>
        <v>0</v>
      </c>
      <c r="AF81" s="134"/>
      <c r="AG81" s="134">
        <f>+CATEGORIAS[[#This Row],[PRESUPUESTO
FINAL
PROYECTADO]]-CATEGORIAS[[#This Row],[COSTO REAL]]-CATEGORIAS[[#This Row],[PROYECCION
TOTAL DE COSTO]]</f>
        <v>0</v>
      </c>
    </row>
    <row r="82" spans="1:33" x14ac:dyDescent="0.25">
      <c r="A82" s="245"/>
      <c r="B82" s="245"/>
      <c r="C82" s="245"/>
      <c r="D82" s="323" t="s">
        <v>1819</v>
      </c>
      <c r="E82" s="244" t="s">
        <v>532</v>
      </c>
      <c r="F82" s="246" t="s">
        <v>376</v>
      </c>
      <c r="G82" s="279">
        <v>0</v>
      </c>
      <c r="H82" s="279">
        <v>0</v>
      </c>
      <c r="I82" s="132">
        <v>0</v>
      </c>
      <c r="J82" s="132">
        <v>0</v>
      </c>
      <c r="K82" s="132">
        <v>0</v>
      </c>
      <c r="L82" s="144">
        <f>CATEGORIAS[[#This Row],[ADICIONALES]]+CATEGORIAS[[#This Row],[POM]]+CATEGORIAS[[#This Row],[REAJUSTE 
PAGADO]]+CATEGORIAS[[#This Row],[REAJUSTE
PROYECTADO]]</f>
        <v>0</v>
      </c>
      <c r="M82" s="133">
        <v>0</v>
      </c>
      <c r="N82" s="222">
        <v>0</v>
      </c>
      <c r="O82" s="142">
        <f>+CATEGORIAS[[#This Row],[PRODUCCION
PARTIDAS
ORIGINALES
ACTUAL]]+CATEGORIAS[[#This Row],[PRODUCCION
ADICIONALES
ACTUAL]]</f>
        <v>0</v>
      </c>
      <c r="P82" s="222">
        <v>0</v>
      </c>
      <c r="Q82" s="134">
        <v>0</v>
      </c>
      <c r="R82" s="141">
        <f>+CATEGORIAS[[#This Row],[PRODUCCION
ANTERIOR]]+CATEGORIAS[[#This Row],[PRODUCCION
ADICIONALES
ANTERIOR]]</f>
        <v>0</v>
      </c>
      <c r="S82" s="135">
        <v>0</v>
      </c>
      <c r="T82" s="135"/>
      <c r="U82" s="135">
        <v>0</v>
      </c>
      <c r="V82" s="262">
        <f>SUM(CATEGORIAS[[#This Row],[COSTO
ACUMULADO  AX]:[PROVISIONES]])</f>
        <v>0</v>
      </c>
      <c r="W82" s="264">
        <v>0</v>
      </c>
      <c r="X82" s="222"/>
      <c r="Y82" s="222">
        <v>0</v>
      </c>
      <c r="Z82" s="263">
        <f>SUM(CATEGORIAS[[#This Row],[COSTO ACUMULADO
ANTERIOR]:[PROVISIONES
ANTERIOR]])</f>
        <v>0</v>
      </c>
      <c r="AA82" s="338">
        <f>ABS(+CATEGORIAS[[#This Row],[PRESUPUESTO
FINAL
PROYECTADO]]-CATEGORIAS[[#This Row],[TOTAL PRODUCCION
ACTUAL]])</f>
        <v>0</v>
      </c>
      <c r="AB82" s="222"/>
      <c r="AC82" s="134"/>
      <c r="AD82" s="134">
        <v>0</v>
      </c>
      <c r="AE82" s="221">
        <f>SUM(CATEGORIAS[[#This Row],[INVENTARIO]:[PROYECCION
DE COSTO
DEL SALDO]])</f>
        <v>0</v>
      </c>
      <c r="AF82" s="134"/>
      <c r="AG82" s="134">
        <f>+CATEGORIAS[[#This Row],[PRESUPUESTO
FINAL
PROYECTADO]]-CATEGORIAS[[#This Row],[COSTO REAL]]-CATEGORIAS[[#This Row],[PROYECCION
TOTAL DE COSTO]]</f>
        <v>0</v>
      </c>
    </row>
    <row r="83" spans="1:33" x14ac:dyDescent="0.25">
      <c r="A83" s="245" t="s">
        <v>38</v>
      </c>
      <c r="B83" s="245" t="s">
        <v>198</v>
      </c>
      <c r="C83" s="245" t="s">
        <v>2409</v>
      </c>
      <c r="D83" s="323" t="s">
        <v>1820</v>
      </c>
      <c r="E83" s="244" t="s">
        <v>534</v>
      </c>
      <c r="F83" s="246" t="s">
        <v>379</v>
      </c>
      <c r="G83" s="279">
        <v>56641076.848200001</v>
      </c>
      <c r="H83" s="279">
        <v>56342402.716499999</v>
      </c>
      <c r="I83" s="132">
        <v>0</v>
      </c>
      <c r="J83" s="132">
        <v>1986540.4267193777</v>
      </c>
      <c r="K83" s="132">
        <v>0</v>
      </c>
      <c r="L83" s="144">
        <f>CATEGORIAS[[#This Row],[ADICIONALES]]+CATEGORIAS[[#This Row],[POM]]+CATEGORIAS[[#This Row],[REAJUSTE 
PAGADO]]+CATEGORIAS[[#This Row],[REAJUSTE
PROYECTADO]]</f>
        <v>58328943.143219374</v>
      </c>
      <c r="M83" s="133">
        <v>58317883.095129907</v>
      </c>
      <c r="N83" s="222">
        <v>11060.048089466989</v>
      </c>
      <c r="O83" s="142">
        <f>+CATEGORIAS[[#This Row],[PRODUCCION
PARTIDAS
ORIGINALES
ACTUAL]]+CATEGORIAS[[#This Row],[PRODUCCION
ADICIONALES
ACTUAL]]</f>
        <v>58328943.143219374</v>
      </c>
      <c r="P83" s="222">
        <v>58317883.095129907</v>
      </c>
      <c r="Q83" s="222">
        <v>0</v>
      </c>
      <c r="R83" s="141">
        <f>+CATEGORIAS[[#This Row],[PRODUCCION
ANTERIOR]]+CATEGORIAS[[#This Row],[PRODUCCION
ADICIONALES
ANTERIOR]]</f>
        <v>58317883.095129907</v>
      </c>
      <c r="S83" s="135">
        <v>206746466</v>
      </c>
      <c r="T83" s="135"/>
      <c r="U83" s="135">
        <v>1073940</v>
      </c>
      <c r="V83" s="262">
        <f>SUM(CATEGORIAS[[#This Row],[COSTO
ACUMULADO  AX]:[PROVISIONES]])</f>
        <v>207820406</v>
      </c>
      <c r="W83" s="264">
        <v>199595878</v>
      </c>
      <c r="X83" s="222"/>
      <c r="Y83" s="222">
        <v>1073940</v>
      </c>
      <c r="Z83" s="263">
        <f>SUM(CATEGORIAS[[#This Row],[COSTO ACUMULADO
ANTERIOR]:[PROVISIONES
ANTERIOR]])</f>
        <v>200669818</v>
      </c>
      <c r="AA83" s="338">
        <f>ABS(+CATEGORIAS[[#This Row],[PRESUPUESTO
FINAL
PROYECTADO]]-CATEGORIAS[[#This Row],[TOTAL PRODUCCION
ACTUAL]])</f>
        <v>0</v>
      </c>
      <c r="AB83" s="222"/>
      <c r="AC83" s="134"/>
      <c r="AD83" s="134">
        <v>0</v>
      </c>
      <c r="AE83" s="221">
        <f>SUM(CATEGORIAS[[#This Row],[INVENTARIO]:[PROYECCION
DE COSTO
DEL SALDO]])</f>
        <v>0</v>
      </c>
      <c r="AF83" s="134"/>
      <c r="AG83" s="134">
        <f>+CATEGORIAS[[#This Row],[PRESUPUESTO
FINAL
PROYECTADO]]-CATEGORIAS[[#This Row],[COSTO REAL]]-CATEGORIAS[[#This Row],[PROYECCION
TOTAL DE COSTO]]</f>
        <v>-149491462.85678062</v>
      </c>
    </row>
    <row r="84" spans="1:33" x14ac:dyDescent="0.25">
      <c r="A84" s="245"/>
      <c r="B84" s="245"/>
      <c r="C84" s="245"/>
      <c r="D84" s="323" t="s">
        <v>1821</v>
      </c>
      <c r="E84" s="244" t="s">
        <v>536</v>
      </c>
      <c r="F84" s="246" t="s">
        <v>376</v>
      </c>
      <c r="G84" s="279">
        <v>0</v>
      </c>
      <c r="H84" s="279">
        <v>0</v>
      </c>
      <c r="I84" s="132">
        <v>0</v>
      </c>
      <c r="J84" s="132">
        <v>0</v>
      </c>
      <c r="K84" s="132">
        <v>0</v>
      </c>
      <c r="L84" s="144">
        <f>CATEGORIAS[[#This Row],[ADICIONALES]]+CATEGORIAS[[#This Row],[POM]]+CATEGORIAS[[#This Row],[REAJUSTE 
PAGADO]]+CATEGORIAS[[#This Row],[REAJUSTE
PROYECTADO]]</f>
        <v>0</v>
      </c>
      <c r="M84" s="133">
        <v>0</v>
      </c>
      <c r="N84" s="222">
        <v>0</v>
      </c>
      <c r="O84" s="142">
        <f>+CATEGORIAS[[#This Row],[PRODUCCION
PARTIDAS
ORIGINALES
ACTUAL]]+CATEGORIAS[[#This Row],[PRODUCCION
ADICIONALES
ACTUAL]]</f>
        <v>0</v>
      </c>
      <c r="P84" s="222">
        <v>0</v>
      </c>
      <c r="Q84" s="134">
        <v>0</v>
      </c>
      <c r="R84" s="141">
        <f>+CATEGORIAS[[#This Row],[PRODUCCION
ANTERIOR]]+CATEGORIAS[[#This Row],[PRODUCCION
ADICIONALES
ANTERIOR]]</f>
        <v>0</v>
      </c>
      <c r="S84" s="135">
        <v>0</v>
      </c>
      <c r="T84" s="135"/>
      <c r="U84" s="135">
        <v>0</v>
      </c>
      <c r="V84" s="262">
        <f>SUM(CATEGORIAS[[#This Row],[COSTO
ACUMULADO  AX]:[PROVISIONES]])</f>
        <v>0</v>
      </c>
      <c r="W84" s="264">
        <v>0</v>
      </c>
      <c r="X84" s="222"/>
      <c r="Y84" s="222">
        <v>0</v>
      </c>
      <c r="Z84" s="263">
        <f>SUM(CATEGORIAS[[#This Row],[COSTO ACUMULADO
ANTERIOR]:[PROVISIONES
ANTERIOR]])</f>
        <v>0</v>
      </c>
      <c r="AA84" s="338">
        <f>ABS(+CATEGORIAS[[#This Row],[PRESUPUESTO
FINAL
PROYECTADO]]-CATEGORIAS[[#This Row],[TOTAL PRODUCCION
ACTUAL]])</f>
        <v>0</v>
      </c>
      <c r="AB84" s="222"/>
      <c r="AC84" s="134"/>
      <c r="AD84" s="134">
        <v>0</v>
      </c>
      <c r="AE84" s="221">
        <f>SUM(CATEGORIAS[[#This Row],[INVENTARIO]:[PROYECCION
DE COSTO
DEL SALDO]])</f>
        <v>0</v>
      </c>
      <c r="AF84" s="134"/>
      <c r="AG84" s="134">
        <f>+CATEGORIAS[[#This Row],[PRESUPUESTO
FINAL
PROYECTADO]]-CATEGORIAS[[#This Row],[COSTO REAL]]-CATEGORIAS[[#This Row],[PROYECCION
TOTAL DE COSTO]]</f>
        <v>0</v>
      </c>
    </row>
    <row r="85" spans="1:33" x14ac:dyDescent="0.25">
      <c r="A85" s="245"/>
      <c r="B85" s="245"/>
      <c r="C85" s="245"/>
      <c r="D85" s="323" t="s">
        <v>1822</v>
      </c>
      <c r="E85" s="244" t="s">
        <v>538</v>
      </c>
      <c r="F85" s="246" t="s">
        <v>376</v>
      </c>
      <c r="G85" s="279">
        <v>0</v>
      </c>
      <c r="H85" s="279">
        <v>0</v>
      </c>
      <c r="I85" s="132">
        <v>0</v>
      </c>
      <c r="J85" s="132">
        <v>0</v>
      </c>
      <c r="K85" s="132">
        <v>0</v>
      </c>
      <c r="L85" s="144">
        <f>CATEGORIAS[[#This Row],[ADICIONALES]]+CATEGORIAS[[#This Row],[POM]]+CATEGORIAS[[#This Row],[REAJUSTE 
PAGADO]]+CATEGORIAS[[#This Row],[REAJUSTE
PROYECTADO]]</f>
        <v>0</v>
      </c>
      <c r="M85" s="133">
        <v>0</v>
      </c>
      <c r="N85" s="222">
        <v>0</v>
      </c>
      <c r="O85" s="142">
        <f>+CATEGORIAS[[#This Row],[PRODUCCION
PARTIDAS
ORIGINALES
ACTUAL]]+CATEGORIAS[[#This Row],[PRODUCCION
ADICIONALES
ACTUAL]]</f>
        <v>0</v>
      </c>
      <c r="P85" s="222">
        <v>0</v>
      </c>
      <c r="Q85" s="222">
        <v>0</v>
      </c>
      <c r="R85" s="141">
        <f>+CATEGORIAS[[#This Row],[PRODUCCION
ANTERIOR]]+CATEGORIAS[[#This Row],[PRODUCCION
ADICIONALES
ANTERIOR]]</f>
        <v>0</v>
      </c>
      <c r="S85" s="135">
        <v>0</v>
      </c>
      <c r="T85" s="135"/>
      <c r="U85" s="135">
        <v>0</v>
      </c>
      <c r="V85" s="262">
        <f>SUM(CATEGORIAS[[#This Row],[COSTO
ACUMULADO  AX]:[PROVISIONES]])</f>
        <v>0</v>
      </c>
      <c r="W85" s="264">
        <v>0</v>
      </c>
      <c r="X85" s="222"/>
      <c r="Y85" s="222">
        <v>0</v>
      </c>
      <c r="Z85" s="263">
        <f>SUM(CATEGORIAS[[#This Row],[COSTO ACUMULADO
ANTERIOR]:[PROVISIONES
ANTERIOR]])</f>
        <v>0</v>
      </c>
      <c r="AA85" s="338">
        <f>ABS(+CATEGORIAS[[#This Row],[PRESUPUESTO
FINAL
PROYECTADO]]-CATEGORIAS[[#This Row],[TOTAL PRODUCCION
ACTUAL]])</f>
        <v>0</v>
      </c>
      <c r="AB85" s="222"/>
      <c r="AC85" s="134"/>
      <c r="AD85" s="134">
        <v>0</v>
      </c>
      <c r="AE85" s="221">
        <f>SUM(CATEGORIAS[[#This Row],[INVENTARIO]:[PROYECCION
DE COSTO
DEL SALDO]])</f>
        <v>0</v>
      </c>
      <c r="AF85" s="134"/>
      <c r="AG85" s="134">
        <f>+CATEGORIAS[[#This Row],[PRESUPUESTO
FINAL
PROYECTADO]]-CATEGORIAS[[#This Row],[COSTO REAL]]-CATEGORIAS[[#This Row],[PROYECCION
TOTAL DE COSTO]]</f>
        <v>0</v>
      </c>
    </row>
    <row r="86" spans="1:33" x14ac:dyDescent="0.25">
      <c r="A86" s="245"/>
      <c r="B86" s="245"/>
      <c r="C86" s="245"/>
      <c r="D86" s="323" t="s">
        <v>1823</v>
      </c>
      <c r="E86" s="244" t="s">
        <v>540</v>
      </c>
      <c r="F86" s="246" t="s">
        <v>376</v>
      </c>
      <c r="G86" s="279">
        <v>0</v>
      </c>
      <c r="H86" s="279">
        <v>0</v>
      </c>
      <c r="I86" s="132">
        <v>0</v>
      </c>
      <c r="J86" s="132">
        <v>0</v>
      </c>
      <c r="K86" s="132">
        <v>0</v>
      </c>
      <c r="L86" s="144">
        <f>CATEGORIAS[[#This Row],[ADICIONALES]]+CATEGORIAS[[#This Row],[POM]]+CATEGORIAS[[#This Row],[REAJUSTE 
PAGADO]]+CATEGORIAS[[#This Row],[REAJUSTE
PROYECTADO]]</f>
        <v>0</v>
      </c>
      <c r="M86" s="133">
        <v>0</v>
      </c>
      <c r="N86" s="222">
        <v>0</v>
      </c>
      <c r="O86" s="142">
        <f>+CATEGORIAS[[#This Row],[PRODUCCION
PARTIDAS
ORIGINALES
ACTUAL]]+CATEGORIAS[[#This Row],[PRODUCCION
ADICIONALES
ACTUAL]]</f>
        <v>0</v>
      </c>
      <c r="P86" s="222">
        <v>0</v>
      </c>
      <c r="Q86" s="222">
        <v>0</v>
      </c>
      <c r="R86" s="141">
        <f>+CATEGORIAS[[#This Row],[PRODUCCION
ANTERIOR]]+CATEGORIAS[[#This Row],[PRODUCCION
ADICIONALES
ANTERIOR]]</f>
        <v>0</v>
      </c>
      <c r="S86" s="135">
        <v>0</v>
      </c>
      <c r="T86" s="135"/>
      <c r="U86" s="135">
        <v>0</v>
      </c>
      <c r="V86" s="262">
        <f>SUM(CATEGORIAS[[#This Row],[COSTO
ACUMULADO  AX]:[PROVISIONES]])</f>
        <v>0</v>
      </c>
      <c r="W86" s="264">
        <v>0</v>
      </c>
      <c r="X86" s="222"/>
      <c r="Y86" s="222">
        <v>0</v>
      </c>
      <c r="Z86" s="263">
        <f>SUM(CATEGORIAS[[#This Row],[COSTO ACUMULADO
ANTERIOR]:[PROVISIONES
ANTERIOR]])</f>
        <v>0</v>
      </c>
      <c r="AA86" s="338">
        <f>ABS(+CATEGORIAS[[#This Row],[PRESUPUESTO
FINAL
PROYECTADO]]-CATEGORIAS[[#This Row],[TOTAL PRODUCCION
ACTUAL]])</f>
        <v>0</v>
      </c>
      <c r="AB86" s="222"/>
      <c r="AC86" s="134"/>
      <c r="AD86" s="134">
        <v>0</v>
      </c>
      <c r="AE86" s="221">
        <f>SUM(CATEGORIAS[[#This Row],[INVENTARIO]:[PROYECCION
DE COSTO
DEL SALDO]])</f>
        <v>0</v>
      </c>
      <c r="AF86" s="134"/>
      <c r="AG86" s="134">
        <f>+CATEGORIAS[[#This Row],[PRESUPUESTO
FINAL
PROYECTADO]]-CATEGORIAS[[#This Row],[COSTO REAL]]-CATEGORIAS[[#This Row],[PROYECCION
TOTAL DE COSTO]]</f>
        <v>0</v>
      </c>
    </row>
    <row r="87" spans="1:33" x14ac:dyDescent="0.25">
      <c r="A87" s="245"/>
      <c r="B87" s="245"/>
      <c r="C87" s="245"/>
      <c r="D87" s="323" t="s">
        <v>1824</v>
      </c>
      <c r="E87" s="244" t="s">
        <v>542</v>
      </c>
      <c r="F87" s="246" t="s">
        <v>376</v>
      </c>
      <c r="G87" s="279">
        <v>0</v>
      </c>
      <c r="H87" s="279">
        <v>0</v>
      </c>
      <c r="I87" s="132">
        <v>0</v>
      </c>
      <c r="J87" s="132">
        <v>0</v>
      </c>
      <c r="K87" s="132">
        <v>0</v>
      </c>
      <c r="L87" s="144">
        <f>CATEGORIAS[[#This Row],[ADICIONALES]]+CATEGORIAS[[#This Row],[POM]]+CATEGORIAS[[#This Row],[REAJUSTE 
PAGADO]]+CATEGORIAS[[#This Row],[REAJUSTE
PROYECTADO]]</f>
        <v>0</v>
      </c>
      <c r="M87" s="133">
        <v>0</v>
      </c>
      <c r="N87" s="222">
        <v>0</v>
      </c>
      <c r="O87" s="142">
        <f>+CATEGORIAS[[#This Row],[PRODUCCION
PARTIDAS
ORIGINALES
ACTUAL]]+CATEGORIAS[[#This Row],[PRODUCCION
ADICIONALES
ACTUAL]]</f>
        <v>0</v>
      </c>
      <c r="P87" s="222">
        <v>0</v>
      </c>
      <c r="Q87" s="222">
        <v>0</v>
      </c>
      <c r="R87" s="141">
        <f>+CATEGORIAS[[#This Row],[PRODUCCION
ANTERIOR]]+CATEGORIAS[[#This Row],[PRODUCCION
ADICIONALES
ANTERIOR]]</f>
        <v>0</v>
      </c>
      <c r="S87" s="135">
        <v>0</v>
      </c>
      <c r="T87" s="135"/>
      <c r="U87" s="135">
        <v>0</v>
      </c>
      <c r="V87" s="262">
        <f>SUM(CATEGORIAS[[#This Row],[COSTO
ACUMULADO  AX]:[PROVISIONES]])</f>
        <v>0</v>
      </c>
      <c r="W87" s="264">
        <v>0</v>
      </c>
      <c r="X87" s="222"/>
      <c r="Y87" s="222">
        <v>0</v>
      </c>
      <c r="Z87" s="263">
        <f>SUM(CATEGORIAS[[#This Row],[COSTO ACUMULADO
ANTERIOR]:[PROVISIONES
ANTERIOR]])</f>
        <v>0</v>
      </c>
      <c r="AA87" s="338">
        <f>ABS(+CATEGORIAS[[#This Row],[PRESUPUESTO
FINAL
PROYECTADO]]-CATEGORIAS[[#This Row],[TOTAL PRODUCCION
ACTUAL]])</f>
        <v>0</v>
      </c>
      <c r="AB87" s="222"/>
      <c r="AC87" s="134"/>
      <c r="AD87" s="134">
        <v>0</v>
      </c>
      <c r="AE87" s="221">
        <f>SUM(CATEGORIAS[[#This Row],[INVENTARIO]:[PROYECCION
DE COSTO
DEL SALDO]])</f>
        <v>0</v>
      </c>
      <c r="AF87" s="134"/>
      <c r="AG87" s="134">
        <f>+CATEGORIAS[[#This Row],[PRESUPUESTO
FINAL
PROYECTADO]]-CATEGORIAS[[#This Row],[COSTO REAL]]-CATEGORIAS[[#This Row],[PROYECCION
TOTAL DE COSTO]]</f>
        <v>0</v>
      </c>
    </row>
    <row r="88" spans="1:33" x14ac:dyDescent="0.25">
      <c r="A88" s="245"/>
      <c r="B88" s="245"/>
      <c r="C88" s="245"/>
      <c r="D88" s="323" t="s">
        <v>1825</v>
      </c>
      <c r="E88" s="244" t="s">
        <v>544</v>
      </c>
      <c r="F88" s="246" t="s">
        <v>376</v>
      </c>
      <c r="G88" s="279">
        <v>0</v>
      </c>
      <c r="H88" s="279">
        <v>0</v>
      </c>
      <c r="I88" s="132">
        <v>0</v>
      </c>
      <c r="J88" s="132">
        <v>0</v>
      </c>
      <c r="K88" s="132">
        <v>0</v>
      </c>
      <c r="L88" s="144">
        <f>CATEGORIAS[[#This Row],[ADICIONALES]]+CATEGORIAS[[#This Row],[POM]]+CATEGORIAS[[#This Row],[REAJUSTE 
PAGADO]]+CATEGORIAS[[#This Row],[REAJUSTE
PROYECTADO]]</f>
        <v>0</v>
      </c>
      <c r="M88" s="133">
        <v>0</v>
      </c>
      <c r="N88" s="222">
        <v>0</v>
      </c>
      <c r="O88" s="142">
        <f>+CATEGORIAS[[#This Row],[PRODUCCION
PARTIDAS
ORIGINALES
ACTUAL]]+CATEGORIAS[[#This Row],[PRODUCCION
ADICIONALES
ACTUAL]]</f>
        <v>0</v>
      </c>
      <c r="P88" s="222">
        <v>0</v>
      </c>
      <c r="Q88" s="134">
        <v>0</v>
      </c>
      <c r="R88" s="141">
        <f>+CATEGORIAS[[#This Row],[PRODUCCION
ANTERIOR]]+CATEGORIAS[[#This Row],[PRODUCCION
ADICIONALES
ANTERIOR]]</f>
        <v>0</v>
      </c>
      <c r="S88" s="135">
        <v>0</v>
      </c>
      <c r="T88" s="135"/>
      <c r="U88" s="135">
        <v>0</v>
      </c>
      <c r="V88" s="262">
        <f>SUM(CATEGORIAS[[#This Row],[COSTO
ACUMULADO  AX]:[PROVISIONES]])</f>
        <v>0</v>
      </c>
      <c r="W88" s="264">
        <v>0</v>
      </c>
      <c r="X88" s="222"/>
      <c r="Y88" s="222">
        <v>0</v>
      </c>
      <c r="Z88" s="263">
        <f>SUM(CATEGORIAS[[#This Row],[COSTO ACUMULADO
ANTERIOR]:[PROVISIONES
ANTERIOR]])</f>
        <v>0</v>
      </c>
      <c r="AA88" s="338">
        <f>ABS(+CATEGORIAS[[#This Row],[PRESUPUESTO
FINAL
PROYECTADO]]-CATEGORIAS[[#This Row],[TOTAL PRODUCCION
ACTUAL]])</f>
        <v>0</v>
      </c>
      <c r="AB88" s="222"/>
      <c r="AC88" s="134"/>
      <c r="AD88" s="134">
        <v>0</v>
      </c>
      <c r="AE88" s="221">
        <f>SUM(CATEGORIAS[[#This Row],[INVENTARIO]:[PROYECCION
DE COSTO
DEL SALDO]])</f>
        <v>0</v>
      </c>
      <c r="AF88" s="134"/>
      <c r="AG88" s="134">
        <f>+CATEGORIAS[[#This Row],[PRESUPUESTO
FINAL
PROYECTADO]]-CATEGORIAS[[#This Row],[COSTO REAL]]-CATEGORIAS[[#This Row],[PROYECCION
TOTAL DE COSTO]]</f>
        <v>0</v>
      </c>
    </row>
    <row r="89" spans="1:33" x14ac:dyDescent="0.25">
      <c r="A89" s="245"/>
      <c r="B89" s="245"/>
      <c r="C89" s="245"/>
      <c r="D89" s="323" t="s">
        <v>1826</v>
      </c>
      <c r="E89" s="244" t="s">
        <v>546</v>
      </c>
      <c r="F89" s="246" t="s">
        <v>379</v>
      </c>
      <c r="G89" s="279">
        <v>0</v>
      </c>
      <c r="H89" s="279">
        <v>0</v>
      </c>
      <c r="I89" s="132">
        <v>0</v>
      </c>
      <c r="J89" s="132">
        <v>0</v>
      </c>
      <c r="K89" s="132">
        <v>0</v>
      </c>
      <c r="L89" s="144">
        <f>CATEGORIAS[[#This Row],[ADICIONALES]]+CATEGORIAS[[#This Row],[POM]]+CATEGORIAS[[#This Row],[REAJUSTE 
PAGADO]]+CATEGORIAS[[#This Row],[REAJUSTE
PROYECTADO]]</f>
        <v>0</v>
      </c>
      <c r="M89" s="133">
        <v>0</v>
      </c>
      <c r="N89" s="222">
        <v>0</v>
      </c>
      <c r="O89" s="142">
        <f>+CATEGORIAS[[#This Row],[PRODUCCION
PARTIDAS
ORIGINALES
ACTUAL]]+CATEGORIAS[[#This Row],[PRODUCCION
ADICIONALES
ACTUAL]]</f>
        <v>0</v>
      </c>
      <c r="P89" s="222">
        <v>0</v>
      </c>
      <c r="Q89" s="222">
        <v>0</v>
      </c>
      <c r="R89" s="141">
        <f>+CATEGORIAS[[#This Row],[PRODUCCION
ANTERIOR]]+CATEGORIAS[[#This Row],[PRODUCCION
ADICIONALES
ANTERIOR]]</f>
        <v>0</v>
      </c>
      <c r="S89" s="135">
        <v>0</v>
      </c>
      <c r="T89" s="135"/>
      <c r="U89" s="135">
        <v>0</v>
      </c>
      <c r="V89" s="262">
        <f>SUM(CATEGORIAS[[#This Row],[COSTO
ACUMULADO  AX]:[PROVISIONES]])</f>
        <v>0</v>
      </c>
      <c r="W89" s="264">
        <v>0</v>
      </c>
      <c r="X89" s="222"/>
      <c r="Y89" s="222">
        <v>0</v>
      </c>
      <c r="Z89" s="263">
        <f>SUM(CATEGORIAS[[#This Row],[COSTO ACUMULADO
ANTERIOR]:[PROVISIONES
ANTERIOR]])</f>
        <v>0</v>
      </c>
      <c r="AA89" s="338">
        <f>ABS(+CATEGORIAS[[#This Row],[PRESUPUESTO
FINAL
PROYECTADO]]-CATEGORIAS[[#This Row],[TOTAL PRODUCCION
ACTUAL]])</f>
        <v>0</v>
      </c>
      <c r="AB89" s="222"/>
      <c r="AC89" s="134"/>
      <c r="AD89" s="134">
        <v>0</v>
      </c>
      <c r="AE89" s="221">
        <f>SUM(CATEGORIAS[[#This Row],[INVENTARIO]:[PROYECCION
DE COSTO
DEL SALDO]])</f>
        <v>0</v>
      </c>
      <c r="AF89" s="134"/>
      <c r="AG89" s="134">
        <f>+CATEGORIAS[[#This Row],[PRESUPUESTO
FINAL
PROYECTADO]]-CATEGORIAS[[#This Row],[COSTO REAL]]-CATEGORIAS[[#This Row],[PROYECCION
TOTAL DE COSTO]]</f>
        <v>0</v>
      </c>
    </row>
    <row r="90" spans="1:33" x14ac:dyDescent="0.25">
      <c r="A90" s="245"/>
      <c r="B90" s="245"/>
      <c r="C90" s="245"/>
      <c r="D90" s="323" t="s">
        <v>1827</v>
      </c>
      <c r="E90" s="244" t="s">
        <v>548</v>
      </c>
      <c r="F90" s="246" t="s">
        <v>376</v>
      </c>
      <c r="G90" s="279">
        <v>0</v>
      </c>
      <c r="H90" s="279">
        <v>0</v>
      </c>
      <c r="I90" s="132">
        <v>0</v>
      </c>
      <c r="J90" s="132">
        <v>0</v>
      </c>
      <c r="K90" s="132">
        <v>0</v>
      </c>
      <c r="L90" s="144">
        <f>CATEGORIAS[[#This Row],[ADICIONALES]]+CATEGORIAS[[#This Row],[POM]]+CATEGORIAS[[#This Row],[REAJUSTE 
PAGADO]]+CATEGORIAS[[#This Row],[REAJUSTE
PROYECTADO]]</f>
        <v>0</v>
      </c>
      <c r="M90" s="133">
        <v>0</v>
      </c>
      <c r="N90" s="222">
        <v>0</v>
      </c>
      <c r="O90" s="142">
        <f>+CATEGORIAS[[#This Row],[PRODUCCION
PARTIDAS
ORIGINALES
ACTUAL]]+CATEGORIAS[[#This Row],[PRODUCCION
ADICIONALES
ACTUAL]]</f>
        <v>0</v>
      </c>
      <c r="P90" s="222">
        <v>0</v>
      </c>
      <c r="Q90" s="134">
        <v>0</v>
      </c>
      <c r="R90" s="141">
        <f>+CATEGORIAS[[#This Row],[PRODUCCION
ANTERIOR]]+CATEGORIAS[[#This Row],[PRODUCCION
ADICIONALES
ANTERIOR]]</f>
        <v>0</v>
      </c>
      <c r="S90" s="135">
        <v>0</v>
      </c>
      <c r="T90" s="135"/>
      <c r="U90" s="135">
        <v>0</v>
      </c>
      <c r="V90" s="262">
        <f>SUM(CATEGORIAS[[#This Row],[COSTO
ACUMULADO  AX]:[PROVISIONES]])</f>
        <v>0</v>
      </c>
      <c r="W90" s="264">
        <v>0</v>
      </c>
      <c r="X90" s="222"/>
      <c r="Y90" s="222">
        <v>0</v>
      </c>
      <c r="Z90" s="263">
        <f>SUM(CATEGORIAS[[#This Row],[COSTO ACUMULADO
ANTERIOR]:[PROVISIONES
ANTERIOR]])</f>
        <v>0</v>
      </c>
      <c r="AA90" s="338">
        <f>ABS(+CATEGORIAS[[#This Row],[PRESUPUESTO
FINAL
PROYECTADO]]-CATEGORIAS[[#This Row],[TOTAL PRODUCCION
ACTUAL]])</f>
        <v>0</v>
      </c>
      <c r="AB90" s="222"/>
      <c r="AC90" s="134"/>
      <c r="AD90" s="134">
        <v>0</v>
      </c>
      <c r="AE90" s="221">
        <f>SUM(CATEGORIAS[[#This Row],[INVENTARIO]:[PROYECCION
DE COSTO
DEL SALDO]])</f>
        <v>0</v>
      </c>
      <c r="AF90" s="134"/>
      <c r="AG90" s="134">
        <f>+CATEGORIAS[[#This Row],[PRESUPUESTO
FINAL
PROYECTADO]]-CATEGORIAS[[#This Row],[COSTO REAL]]-CATEGORIAS[[#This Row],[PROYECCION
TOTAL DE COSTO]]</f>
        <v>0</v>
      </c>
    </row>
    <row r="91" spans="1:33" x14ac:dyDescent="0.25">
      <c r="A91" s="245" t="s">
        <v>38</v>
      </c>
      <c r="B91" s="245" t="s">
        <v>198</v>
      </c>
      <c r="C91" s="245" t="s">
        <v>2409</v>
      </c>
      <c r="D91" s="323" t="s">
        <v>1828</v>
      </c>
      <c r="E91" s="244" t="s">
        <v>323</v>
      </c>
      <c r="F91" s="246" t="s">
        <v>379</v>
      </c>
      <c r="G91" s="279">
        <v>87689706.304599985</v>
      </c>
      <c r="H91" s="279">
        <v>82306843.014600009</v>
      </c>
      <c r="I91" s="132">
        <v>81157037.365689069</v>
      </c>
      <c r="J91" s="132">
        <v>2902003.875604426</v>
      </c>
      <c r="K91" s="132">
        <v>0</v>
      </c>
      <c r="L91" s="144">
        <f>CATEGORIAS[[#This Row],[ADICIONALES]]+CATEGORIAS[[#This Row],[POM]]+CATEGORIAS[[#This Row],[REAJUSTE 
PAGADO]]+CATEGORIAS[[#This Row],[REAJUSTE
PROYECTADO]]</f>
        <v>166365884.2558935</v>
      </c>
      <c r="M91" s="133">
        <v>85192690.006615102</v>
      </c>
      <c r="N91" s="222">
        <v>81173194.249278396</v>
      </c>
      <c r="O91" s="142">
        <f>+CATEGORIAS[[#This Row],[PRODUCCION
PARTIDAS
ORIGINALES
ACTUAL]]+CATEGORIAS[[#This Row],[PRODUCCION
ADICIONALES
ACTUAL]]</f>
        <v>166365884.2558935</v>
      </c>
      <c r="P91" s="222">
        <v>85192690.006615102</v>
      </c>
      <c r="Q91" s="222">
        <v>81157037.365689069</v>
      </c>
      <c r="R91" s="141">
        <f>+CATEGORIAS[[#This Row],[PRODUCCION
ANTERIOR]]+CATEGORIAS[[#This Row],[PRODUCCION
ADICIONALES
ANTERIOR]]</f>
        <v>166349727.37230417</v>
      </c>
      <c r="S91" s="135">
        <v>131689572</v>
      </c>
      <c r="T91" s="135"/>
      <c r="U91" s="135">
        <v>0</v>
      </c>
      <c r="V91" s="262">
        <f>SUM(CATEGORIAS[[#This Row],[COSTO
ACUMULADO  AX]:[PROVISIONES]])</f>
        <v>131689572</v>
      </c>
      <c r="W91" s="264">
        <v>116259634</v>
      </c>
      <c r="X91" s="222"/>
      <c r="Y91" s="222">
        <v>4541208</v>
      </c>
      <c r="Z91" s="263">
        <f>SUM(CATEGORIAS[[#This Row],[COSTO ACUMULADO
ANTERIOR]:[PROVISIONES
ANTERIOR]])</f>
        <v>120800842</v>
      </c>
      <c r="AA91" s="338">
        <f>ABS(+CATEGORIAS[[#This Row],[PRESUPUESTO
FINAL
PROYECTADO]]-CATEGORIAS[[#This Row],[TOTAL PRODUCCION
ACTUAL]])</f>
        <v>0</v>
      </c>
      <c r="AB91" s="222"/>
      <c r="AC91" s="134"/>
      <c r="AD91" s="134">
        <v>0</v>
      </c>
      <c r="AE91" s="221">
        <f>SUM(CATEGORIAS[[#This Row],[INVENTARIO]:[PROYECCION
DE COSTO
DEL SALDO]])</f>
        <v>0</v>
      </c>
      <c r="AF91" s="134"/>
      <c r="AG91" s="134">
        <f>+CATEGORIAS[[#This Row],[PRESUPUESTO
FINAL
PROYECTADO]]-CATEGORIAS[[#This Row],[COSTO REAL]]-CATEGORIAS[[#This Row],[PROYECCION
TOTAL DE COSTO]]</f>
        <v>34676312.255893499</v>
      </c>
    </row>
    <row r="92" spans="1:33" x14ac:dyDescent="0.25">
      <c r="A92" s="245"/>
      <c r="B92" s="245"/>
      <c r="C92" s="245"/>
      <c r="D92" s="323" t="s">
        <v>1829</v>
      </c>
      <c r="E92" s="244" t="s">
        <v>550</v>
      </c>
      <c r="F92" s="246" t="s">
        <v>376</v>
      </c>
      <c r="G92" s="279">
        <v>0</v>
      </c>
      <c r="H92" s="279">
        <v>0</v>
      </c>
      <c r="I92" s="132">
        <v>0</v>
      </c>
      <c r="J92" s="132">
        <v>0</v>
      </c>
      <c r="K92" s="132">
        <v>0</v>
      </c>
      <c r="L92" s="144">
        <f>CATEGORIAS[[#This Row],[ADICIONALES]]+CATEGORIAS[[#This Row],[POM]]+CATEGORIAS[[#This Row],[REAJUSTE 
PAGADO]]+CATEGORIAS[[#This Row],[REAJUSTE
PROYECTADO]]</f>
        <v>0</v>
      </c>
      <c r="M92" s="133">
        <v>0</v>
      </c>
      <c r="N92" s="222">
        <v>0</v>
      </c>
      <c r="O92" s="142">
        <f>+CATEGORIAS[[#This Row],[PRODUCCION
PARTIDAS
ORIGINALES
ACTUAL]]+CATEGORIAS[[#This Row],[PRODUCCION
ADICIONALES
ACTUAL]]</f>
        <v>0</v>
      </c>
      <c r="P92" s="222">
        <v>0</v>
      </c>
      <c r="Q92" s="222">
        <v>0</v>
      </c>
      <c r="R92" s="141">
        <f>+CATEGORIAS[[#This Row],[PRODUCCION
ANTERIOR]]+CATEGORIAS[[#This Row],[PRODUCCION
ADICIONALES
ANTERIOR]]</f>
        <v>0</v>
      </c>
      <c r="S92" s="135">
        <v>0</v>
      </c>
      <c r="T92" s="135"/>
      <c r="U92" s="135">
        <v>0</v>
      </c>
      <c r="V92" s="262">
        <f>SUM(CATEGORIAS[[#This Row],[COSTO
ACUMULADO  AX]:[PROVISIONES]])</f>
        <v>0</v>
      </c>
      <c r="W92" s="264">
        <v>0</v>
      </c>
      <c r="X92" s="222"/>
      <c r="Y92" s="222">
        <v>0</v>
      </c>
      <c r="Z92" s="263">
        <f>SUM(CATEGORIAS[[#This Row],[COSTO ACUMULADO
ANTERIOR]:[PROVISIONES
ANTERIOR]])</f>
        <v>0</v>
      </c>
      <c r="AA92" s="338">
        <f>ABS(+CATEGORIAS[[#This Row],[PRESUPUESTO
FINAL
PROYECTADO]]-CATEGORIAS[[#This Row],[TOTAL PRODUCCION
ACTUAL]])</f>
        <v>0</v>
      </c>
      <c r="AB92" s="222"/>
      <c r="AC92" s="134"/>
      <c r="AD92" s="134">
        <v>0</v>
      </c>
      <c r="AE92" s="221">
        <f>SUM(CATEGORIAS[[#This Row],[INVENTARIO]:[PROYECCION
DE COSTO
DEL SALDO]])</f>
        <v>0</v>
      </c>
      <c r="AF92" s="134"/>
      <c r="AG92" s="134">
        <f>+CATEGORIAS[[#This Row],[PRESUPUESTO
FINAL
PROYECTADO]]-CATEGORIAS[[#This Row],[COSTO REAL]]-CATEGORIAS[[#This Row],[PROYECCION
TOTAL DE COSTO]]</f>
        <v>0</v>
      </c>
    </row>
    <row r="93" spans="1:33" x14ac:dyDescent="0.25">
      <c r="A93" s="245"/>
      <c r="B93" s="245"/>
      <c r="C93" s="245"/>
      <c r="D93" s="323" t="s">
        <v>1830</v>
      </c>
      <c r="E93" s="244" t="s">
        <v>552</v>
      </c>
      <c r="F93" s="246" t="s">
        <v>379</v>
      </c>
      <c r="G93" s="279">
        <v>0</v>
      </c>
      <c r="H93" s="279">
        <v>0</v>
      </c>
      <c r="I93" s="132">
        <v>0</v>
      </c>
      <c r="J93" s="132">
        <v>0</v>
      </c>
      <c r="K93" s="132">
        <v>0</v>
      </c>
      <c r="L93" s="144">
        <f>CATEGORIAS[[#This Row],[ADICIONALES]]+CATEGORIAS[[#This Row],[POM]]+CATEGORIAS[[#This Row],[REAJUSTE 
PAGADO]]+CATEGORIAS[[#This Row],[REAJUSTE
PROYECTADO]]</f>
        <v>0</v>
      </c>
      <c r="M93" s="133">
        <v>0</v>
      </c>
      <c r="N93" s="222">
        <v>0</v>
      </c>
      <c r="O93" s="142">
        <f>+CATEGORIAS[[#This Row],[PRODUCCION
PARTIDAS
ORIGINALES
ACTUAL]]+CATEGORIAS[[#This Row],[PRODUCCION
ADICIONALES
ACTUAL]]</f>
        <v>0</v>
      </c>
      <c r="P93" s="222">
        <v>0</v>
      </c>
      <c r="Q93" s="222">
        <v>0</v>
      </c>
      <c r="R93" s="141">
        <f>+CATEGORIAS[[#This Row],[PRODUCCION
ANTERIOR]]+CATEGORIAS[[#This Row],[PRODUCCION
ADICIONALES
ANTERIOR]]</f>
        <v>0</v>
      </c>
      <c r="S93" s="135">
        <v>0</v>
      </c>
      <c r="T93" s="135"/>
      <c r="U93" s="135">
        <v>0</v>
      </c>
      <c r="V93" s="262">
        <f>SUM(CATEGORIAS[[#This Row],[COSTO
ACUMULADO  AX]:[PROVISIONES]])</f>
        <v>0</v>
      </c>
      <c r="W93" s="264">
        <v>0</v>
      </c>
      <c r="X93" s="222"/>
      <c r="Y93" s="222">
        <v>0</v>
      </c>
      <c r="Z93" s="263">
        <f>SUM(CATEGORIAS[[#This Row],[COSTO ACUMULADO
ANTERIOR]:[PROVISIONES
ANTERIOR]])</f>
        <v>0</v>
      </c>
      <c r="AA93" s="338">
        <f>ABS(+CATEGORIAS[[#This Row],[PRESUPUESTO
FINAL
PROYECTADO]]-CATEGORIAS[[#This Row],[TOTAL PRODUCCION
ACTUAL]])</f>
        <v>0</v>
      </c>
      <c r="AB93" s="222"/>
      <c r="AC93" s="134"/>
      <c r="AD93" s="134">
        <v>0</v>
      </c>
      <c r="AE93" s="221">
        <f>SUM(CATEGORIAS[[#This Row],[INVENTARIO]:[PROYECCION
DE COSTO
DEL SALDO]])</f>
        <v>0</v>
      </c>
      <c r="AF93" s="134"/>
      <c r="AG93" s="134">
        <f>+CATEGORIAS[[#This Row],[PRESUPUESTO
FINAL
PROYECTADO]]-CATEGORIAS[[#This Row],[COSTO REAL]]-CATEGORIAS[[#This Row],[PROYECCION
TOTAL DE COSTO]]</f>
        <v>0</v>
      </c>
    </row>
    <row r="94" spans="1:33" x14ac:dyDescent="0.25">
      <c r="A94" s="245"/>
      <c r="B94" s="245"/>
      <c r="C94" s="245"/>
      <c r="D94" s="323" t="s">
        <v>1831</v>
      </c>
      <c r="E94" s="244" t="s">
        <v>554</v>
      </c>
      <c r="F94" s="246" t="s">
        <v>376</v>
      </c>
      <c r="G94" s="279">
        <v>0</v>
      </c>
      <c r="H94" s="279">
        <v>0</v>
      </c>
      <c r="I94" s="132">
        <v>0</v>
      </c>
      <c r="J94" s="132">
        <v>0</v>
      </c>
      <c r="K94" s="132">
        <v>0</v>
      </c>
      <c r="L94" s="144">
        <f>CATEGORIAS[[#This Row],[ADICIONALES]]+CATEGORIAS[[#This Row],[POM]]+CATEGORIAS[[#This Row],[REAJUSTE 
PAGADO]]+CATEGORIAS[[#This Row],[REAJUSTE
PROYECTADO]]</f>
        <v>0</v>
      </c>
      <c r="M94" s="133">
        <v>0</v>
      </c>
      <c r="N94" s="222">
        <v>0</v>
      </c>
      <c r="O94" s="142">
        <f>+CATEGORIAS[[#This Row],[PRODUCCION
PARTIDAS
ORIGINALES
ACTUAL]]+CATEGORIAS[[#This Row],[PRODUCCION
ADICIONALES
ACTUAL]]</f>
        <v>0</v>
      </c>
      <c r="P94" s="222">
        <v>0</v>
      </c>
      <c r="Q94" s="134">
        <v>0</v>
      </c>
      <c r="R94" s="141">
        <f>+CATEGORIAS[[#This Row],[PRODUCCION
ANTERIOR]]+CATEGORIAS[[#This Row],[PRODUCCION
ADICIONALES
ANTERIOR]]</f>
        <v>0</v>
      </c>
      <c r="S94" s="135">
        <v>0</v>
      </c>
      <c r="T94" s="135"/>
      <c r="U94" s="135">
        <v>0</v>
      </c>
      <c r="V94" s="262">
        <f>SUM(CATEGORIAS[[#This Row],[COSTO
ACUMULADO  AX]:[PROVISIONES]])</f>
        <v>0</v>
      </c>
      <c r="W94" s="264">
        <v>0</v>
      </c>
      <c r="X94" s="222"/>
      <c r="Y94" s="222">
        <v>0</v>
      </c>
      <c r="Z94" s="263">
        <f>SUM(CATEGORIAS[[#This Row],[COSTO ACUMULADO
ANTERIOR]:[PROVISIONES
ANTERIOR]])</f>
        <v>0</v>
      </c>
      <c r="AA94" s="338">
        <f>ABS(+CATEGORIAS[[#This Row],[PRESUPUESTO
FINAL
PROYECTADO]]-CATEGORIAS[[#This Row],[TOTAL PRODUCCION
ACTUAL]])</f>
        <v>0</v>
      </c>
      <c r="AB94" s="222"/>
      <c r="AC94" s="134"/>
      <c r="AD94" s="134">
        <v>0</v>
      </c>
      <c r="AE94" s="221">
        <f>SUM(CATEGORIAS[[#This Row],[INVENTARIO]:[PROYECCION
DE COSTO
DEL SALDO]])</f>
        <v>0</v>
      </c>
      <c r="AF94" s="134"/>
      <c r="AG94" s="134">
        <f>+CATEGORIAS[[#This Row],[PRESUPUESTO
FINAL
PROYECTADO]]-CATEGORIAS[[#This Row],[COSTO REAL]]-CATEGORIAS[[#This Row],[PROYECCION
TOTAL DE COSTO]]</f>
        <v>0</v>
      </c>
    </row>
    <row r="95" spans="1:33" x14ac:dyDescent="0.25">
      <c r="A95" s="245"/>
      <c r="B95" s="245"/>
      <c r="C95" s="245"/>
      <c r="D95" s="323" t="s">
        <v>1832</v>
      </c>
      <c r="E95" s="244" t="s">
        <v>556</v>
      </c>
      <c r="F95" s="246" t="s">
        <v>379</v>
      </c>
      <c r="G95" s="279">
        <v>0</v>
      </c>
      <c r="H95" s="279">
        <v>0</v>
      </c>
      <c r="I95" s="132">
        <v>0</v>
      </c>
      <c r="J95" s="132">
        <v>0</v>
      </c>
      <c r="K95" s="132">
        <v>0</v>
      </c>
      <c r="L95" s="144">
        <f>CATEGORIAS[[#This Row],[ADICIONALES]]+CATEGORIAS[[#This Row],[POM]]+CATEGORIAS[[#This Row],[REAJUSTE 
PAGADO]]+CATEGORIAS[[#This Row],[REAJUSTE
PROYECTADO]]</f>
        <v>0</v>
      </c>
      <c r="M95" s="133">
        <v>0</v>
      </c>
      <c r="N95" s="222">
        <v>0</v>
      </c>
      <c r="O95" s="142">
        <f>+CATEGORIAS[[#This Row],[PRODUCCION
PARTIDAS
ORIGINALES
ACTUAL]]+CATEGORIAS[[#This Row],[PRODUCCION
ADICIONALES
ACTUAL]]</f>
        <v>0</v>
      </c>
      <c r="P95" s="222">
        <v>0</v>
      </c>
      <c r="Q95" s="222">
        <v>0</v>
      </c>
      <c r="R95" s="141">
        <f>+CATEGORIAS[[#This Row],[PRODUCCION
ANTERIOR]]+CATEGORIAS[[#This Row],[PRODUCCION
ADICIONALES
ANTERIOR]]</f>
        <v>0</v>
      </c>
      <c r="S95" s="135">
        <v>0</v>
      </c>
      <c r="T95" s="135"/>
      <c r="U95" s="135">
        <v>0</v>
      </c>
      <c r="V95" s="262">
        <f>SUM(CATEGORIAS[[#This Row],[COSTO
ACUMULADO  AX]:[PROVISIONES]])</f>
        <v>0</v>
      </c>
      <c r="W95" s="264">
        <v>0</v>
      </c>
      <c r="X95" s="222"/>
      <c r="Y95" s="222">
        <v>0</v>
      </c>
      <c r="Z95" s="263">
        <f>SUM(CATEGORIAS[[#This Row],[COSTO ACUMULADO
ANTERIOR]:[PROVISIONES
ANTERIOR]])</f>
        <v>0</v>
      </c>
      <c r="AA95" s="338">
        <f>ABS(+CATEGORIAS[[#This Row],[PRESUPUESTO
FINAL
PROYECTADO]]-CATEGORIAS[[#This Row],[TOTAL PRODUCCION
ACTUAL]])</f>
        <v>0</v>
      </c>
      <c r="AB95" s="222"/>
      <c r="AC95" s="134"/>
      <c r="AD95" s="134">
        <v>0</v>
      </c>
      <c r="AE95" s="221">
        <f>SUM(CATEGORIAS[[#This Row],[INVENTARIO]:[PROYECCION
DE COSTO
DEL SALDO]])</f>
        <v>0</v>
      </c>
      <c r="AF95" s="134"/>
      <c r="AG95" s="134">
        <f>+CATEGORIAS[[#This Row],[PRESUPUESTO
FINAL
PROYECTADO]]-CATEGORIAS[[#This Row],[COSTO REAL]]-CATEGORIAS[[#This Row],[PROYECCION
TOTAL DE COSTO]]</f>
        <v>0</v>
      </c>
    </row>
    <row r="96" spans="1:33" x14ac:dyDescent="0.25">
      <c r="A96" s="245"/>
      <c r="B96" s="245"/>
      <c r="C96" s="245"/>
      <c r="D96" s="323" t="s">
        <v>1833</v>
      </c>
      <c r="E96" s="244" t="s">
        <v>558</v>
      </c>
      <c r="F96" s="246" t="s">
        <v>376</v>
      </c>
      <c r="G96" s="279">
        <v>0</v>
      </c>
      <c r="H96" s="279">
        <v>0</v>
      </c>
      <c r="I96" s="132">
        <v>0</v>
      </c>
      <c r="J96" s="132">
        <v>0</v>
      </c>
      <c r="K96" s="132">
        <v>0</v>
      </c>
      <c r="L96" s="144">
        <f>CATEGORIAS[[#This Row],[ADICIONALES]]+CATEGORIAS[[#This Row],[POM]]+CATEGORIAS[[#This Row],[REAJUSTE 
PAGADO]]+CATEGORIAS[[#This Row],[REAJUSTE
PROYECTADO]]</f>
        <v>0</v>
      </c>
      <c r="M96" s="133">
        <v>0</v>
      </c>
      <c r="N96" s="222">
        <v>0</v>
      </c>
      <c r="O96" s="142">
        <f>+CATEGORIAS[[#This Row],[PRODUCCION
PARTIDAS
ORIGINALES
ACTUAL]]+CATEGORIAS[[#This Row],[PRODUCCION
ADICIONALES
ACTUAL]]</f>
        <v>0</v>
      </c>
      <c r="P96" s="222">
        <v>0</v>
      </c>
      <c r="Q96" s="134">
        <v>0</v>
      </c>
      <c r="R96" s="141">
        <f>+CATEGORIAS[[#This Row],[PRODUCCION
ANTERIOR]]+CATEGORIAS[[#This Row],[PRODUCCION
ADICIONALES
ANTERIOR]]</f>
        <v>0</v>
      </c>
      <c r="S96" s="135">
        <v>0</v>
      </c>
      <c r="T96" s="135"/>
      <c r="U96" s="135">
        <v>0</v>
      </c>
      <c r="V96" s="262">
        <f>SUM(CATEGORIAS[[#This Row],[COSTO
ACUMULADO  AX]:[PROVISIONES]])</f>
        <v>0</v>
      </c>
      <c r="W96" s="264">
        <v>0</v>
      </c>
      <c r="X96" s="222"/>
      <c r="Y96" s="222">
        <v>0</v>
      </c>
      <c r="Z96" s="263">
        <f>SUM(CATEGORIAS[[#This Row],[COSTO ACUMULADO
ANTERIOR]:[PROVISIONES
ANTERIOR]])</f>
        <v>0</v>
      </c>
      <c r="AA96" s="338">
        <f>ABS(+CATEGORIAS[[#This Row],[PRESUPUESTO
FINAL
PROYECTADO]]-CATEGORIAS[[#This Row],[TOTAL PRODUCCION
ACTUAL]])</f>
        <v>0</v>
      </c>
      <c r="AB96" s="222"/>
      <c r="AC96" s="134"/>
      <c r="AD96" s="134">
        <v>0</v>
      </c>
      <c r="AE96" s="221">
        <f>SUM(CATEGORIAS[[#This Row],[INVENTARIO]:[PROYECCION
DE COSTO
DEL SALDO]])</f>
        <v>0</v>
      </c>
      <c r="AF96" s="134"/>
      <c r="AG96" s="134">
        <f>+CATEGORIAS[[#This Row],[PRESUPUESTO
FINAL
PROYECTADO]]-CATEGORIAS[[#This Row],[COSTO REAL]]-CATEGORIAS[[#This Row],[PROYECCION
TOTAL DE COSTO]]</f>
        <v>0</v>
      </c>
    </row>
    <row r="97" spans="1:33" x14ac:dyDescent="0.25">
      <c r="A97" s="245"/>
      <c r="B97" s="245"/>
      <c r="C97" s="245"/>
      <c r="D97" s="323" t="s">
        <v>1834</v>
      </c>
      <c r="E97" s="244" t="s">
        <v>560</v>
      </c>
      <c r="F97" s="246" t="s">
        <v>379</v>
      </c>
      <c r="G97" s="279">
        <v>0</v>
      </c>
      <c r="H97" s="279">
        <v>0</v>
      </c>
      <c r="I97" s="132">
        <v>0</v>
      </c>
      <c r="J97" s="132">
        <v>0</v>
      </c>
      <c r="K97" s="132">
        <v>0</v>
      </c>
      <c r="L97" s="144">
        <f>CATEGORIAS[[#This Row],[ADICIONALES]]+CATEGORIAS[[#This Row],[POM]]+CATEGORIAS[[#This Row],[REAJUSTE 
PAGADO]]+CATEGORIAS[[#This Row],[REAJUSTE
PROYECTADO]]</f>
        <v>0</v>
      </c>
      <c r="M97" s="133">
        <v>0</v>
      </c>
      <c r="N97" s="222">
        <v>0</v>
      </c>
      <c r="O97" s="142">
        <f>+CATEGORIAS[[#This Row],[PRODUCCION
PARTIDAS
ORIGINALES
ACTUAL]]+CATEGORIAS[[#This Row],[PRODUCCION
ADICIONALES
ACTUAL]]</f>
        <v>0</v>
      </c>
      <c r="P97" s="222">
        <v>0</v>
      </c>
      <c r="Q97" s="222">
        <v>0</v>
      </c>
      <c r="R97" s="141">
        <f>+CATEGORIAS[[#This Row],[PRODUCCION
ANTERIOR]]+CATEGORIAS[[#This Row],[PRODUCCION
ADICIONALES
ANTERIOR]]</f>
        <v>0</v>
      </c>
      <c r="S97" s="135">
        <v>0</v>
      </c>
      <c r="T97" s="135"/>
      <c r="U97" s="135">
        <v>0</v>
      </c>
      <c r="V97" s="262">
        <f>SUM(CATEGORIAS[[#This Row],[COSTO
ACUMULADO  AX]:[PROVISIONES]])</f>
        <v>0</v>
      </c>
      <c r="W97" s="264">
        <v>0</v>
      </c>
      <c r="X97" s="222"/>
      <c r="Y97" s="222">
        <v>0</v>
      </c>
      <c r="Z97" s="263">
        <f>SUM(CATEGORIAS[[#This Row],[COSTO ACUMULADO
ANTERIOR]:[PROVISIONES
ANTERIOR]])</f>
        <v>0</v>
      </c>
      <c r="AA97" s="338">
        <f>ABS(+CATEGORIAS[[#This Row],[PRESUPUESTO
FINAL
PROYECTADO]]-CATEGORIAS[[#This Row],[TOTAL PRODUCCION
ACTUAL]])</f>
        <v>0</v>
      </c>
      <c r="AB97" s="222"/>
      <c r="AC97" s="134"/>
      <c r="AD97" s="134">
        <v>0</v>
      </c>
      <c r="AE97" s="221">
        <f>SUM(CATEGORIAS[[#This Row],[INVENTARIO]:[PROYECCION
DE COSTO
DEL SALDO]])</f>
        <v>0</v>
      </c>
      <c r="AF97" s="134"/>
      <c r="AG97" s="134">
        <f>+CATEGORIAS[[#This Row],[PRESUPUESTO
FINAL
PROYECTADO]]-CATEGORIAS[[#This Row],[COSTO REAL]]-CATEGORIAS[[#This Row],[PROYECCION
TOTAL DE COSTO]]</f>
        <v>0</v>
      </c>
    </row>
    <row r="98" spans="1:33" x14ac:dyDescent="0.25">
      <c r="A98" s="245"/>
      <c r="B98" s="245"/>
      <c r="C98" s="245"/>
      <c r="D98" s="323" t="s">
        <v>1835</v>
      </c>
      <c r="E98" s="244" t="s">
        <v>562</v>
      </c>
      <c r="F98" s="246" t="s">
        <v>376</v>
      </c>
      <c r="G98" s="279">
        <v>0</v>
      </c>
      <c r="H98" s="279">
        <v>0</v>
      </c>
      <c r="I98" s="132">
        <v>0</v>
      </c>
      <c r="J98" s="132">
        <v>0</v>
      </c>
      <c r="K98" s="132">
        <v>0</v>
      </c>
      <c r="L98" s="144">
        <f>CATEGORIAS[[#This Row],[ADICIONALES]]+CATEGORIAS[[#This Row],[POM]]+CATEGORIAS[[#This Row],[REAJUSTE 
PAGADO]]+CATEGORIAS[[#This Row],[REAJUSTE
PROYECTADO]]</f>
        <v>0</v>
      </c>
      <c r="M98" s="133">
        <v>0</v>
      </c>
      <c r="N98" s="222">
        <v>0</v>
      </c>
      <c r="O98" s="142">
        <f>+CATEGORIAS[[#This Row],[PRODUCCION
PARTIDAS
ORIGINALES
ACTUAL]]+CATEGORIAS[[#This Row],[PRODUCCION
ADICIONALES
ACTUAL]]</f>
        <v>0</v>
      </c>
      <c r="P98" s="222">
        <v>0</v>
      </c>
      <c r="Q98" s="134">
        <v>0</v>
      </c>
      <c r="R98" s="141">
        <f>+CATEGORIAS[[#This Row],[PRODUCCION
ANTERIOR]]+CATEGORIAS[[#This Row],[PRODUCCION
ADICIONALES
ANTERIOR]]</f>
        <v>0</v>
      </c>
      <c r="S98" s="135">
        <v>0</v>
      </c>
      <c r="T98" s="135"/>
      <c r="U98" s="135">
        <v>0</v>
      </c>
      <c r="V98" s="262">
        <f>SUM(CATEGORIAS[[#This Row],[COSTO
ACUMULADO  AX]:[PROVISIONES]])</f>
        <v>0</v>
      </c>
      <c r="W98" s="264">
        <v>0</v>
      </c>
      <c r="X98" s="222"/>
      <c r="Y98" s="222">
        <v>0</v>
      </c>
      <c r="Z98" s="263">
        <f>SUM(CATEGORIAS[[#This Row],[COSTO ACUMULADO
ANTERIOR]:[PROVISIONES
ANTERIOR]])</f>
        <v>0</v>
      </c>
      <c r="AA98" s="338">
        <f>ABS(+CATEGORIAS[[#This Row],[PRESUPUESTO
FINAL
PROYECTADO]]-CATEGORIAS[[#This Row],[TOTAL PRODUCCION
ACTUAL]])</f>
        <v>0</v>
      </c>
      <c r="AB98" s="222"/>
      <c r="AC98" s="134"/>
      <c r="AD98" s="134">
        <v>0</v>
      </c>
      <c r="AE98" s="221">
        <f>SUM(CATEGORIAS[[#This Row],[INVENTARIO]:[PROYECCION
DE COSTO
DEL SALDO]])</f>
        <v>0</v>
      </c>
      <c r="AF98" s="134"/>
      <c r="AG98" s="134">
        <f>+CATEGORIAS[[#This Row],[PRESUPUESTO
FINAL
PROYECTADO]]-CATEGORIAS[[#This Row],[COSTO REAL]]-CATEGORIAS[[#This Row],[PROYECCION
TOTAL DE COSTO]]</f>
        <v>0</v>
      </c>
    </row>
    <row r="99" spans="1:33" x14ac:dyDescent="0.25">
      <c r="A99" s="245"/>
      <c r="B99" s="245"/>
      <c r="C99" s="245"/>
      <c r="D99" s="323" t="s">
        <v>1836</v>
      </c>
      <c r="E99" s="244" t="s">
        <v>564</v>
      </c>
      <c r="F99" s="246" t="s">
        <v>379</v>
      </c>
      <c r="G99" s="279">
        <v>0</v>
      </c>
      <c r="H99" s="279">
        <v>0</v>
      </c>
      <c r="I99" s="132">
        <v>0</v>
      </c>
      <c r="J99" s="132">
        <v>0</v>
      </c>
      <c r="K99" s="132">
        <v>0</v>
      </c>
      <c r="L99" s="144">
        <f>CATEGORIAS[[#This Row],[ADICIONALES]]+CATEGORIAS[[#This Row],[POM]]+CATEGORIAS[[#This Row],[REAJUSTE 
PAGADO]]+CATEGORIAS[[#This Row],[REAJUSTE
PROYECTADO]]</f>
        <v>0</v>
      </c>
      <c r="M99" s="133">
        <v>0</v>
      </c>
      <c r="N99" s="222">
        <v>0</v>
      </c>
      <c r="O99" s="142">
        <f>+CATEGORIAS[[#This Row],[PRODUCCION
PARTIDAS
ORIGINALES
ACTUAL]]+CATEGORIAS[[#This Row],[PRODUCCION
ADICIONALES
ACTUAL]]</f>
        <v>0</v>
      </c>
      <c r="P99" s="222">
        <v>0</v>
      </c>
      <c r="Q99" s="222">
        <v>0</v>
      </c>
      <c r="R99" s="141">
        <f>+CATEGORIAS[[#This Row],[PRODUCCION
ANTERIOR]]+CATEGORIAS[[#This Row],[PRODUCCION
ADICIONALES
ANTERIOR]]</f>
        <v>0</v>
      </c>
      <c r="S99" s="135">
        <v>0</v>
      </c>
      <c r="T99" s="135"/>
      <c r="U99" s="135">
        <v>0</v>
      </c>
      <c r="V99" s="262">
        <f>SUM(CATEGORIAS[[#This Row],[COSTO
ACUMULADO  AX]:[PROVISIONES]])</f>
        <v>0</v>
      </c>
      <c r="W99" s="264">
        <v>0</v>
      </c>
      <c r="X99" s="222"/>
      <c r="Y99" s="222">
        <v>0</v>
      </c>
      <c r="Z99" s="263">
        <f>SUM(CATEGORIAS[[#This Row],[COSTO ACUMULADO
ANTERIOR]:[PROVISIONES
ANTERIOR]])</f>
        <v>0</v>
      </c>
      <c r="AA99" s="338">
        <f>ABS(+CATEGORIAS[[#This Row],[PRESUPUESTO
FINAL
PROYECTADO]]-CATEGORIAS[[#This Row],[TOTAL PRODUCCION
ACTUAL]])</f>
        <v>0</v>
      </c>
      <c r="AB99" s="222"/>
      <c r="AC99" s="134"/>
      <c r="AD99" s="134">
        <v>0</v>
      </c>
      <c r="AE99" s="221">
        <f>SUM(CATEGORIAS[[#This Row],[INVENTARIO]:[PROYECCION
DE COSTO
DEL SALDO]])</f>
        <v>0</v>
      </c>
      <c r="AF99" s="134"/>
      <c r="AG99" s="134">
        <f>+CATEGORIAS[[#This Row],[PRESUPUESTO
FINAL
PROYECTADO]]-CATEGORIAS[[#This Row],[COSTO REAL]]-CATEGORIAS[[#This Row],[PROYECCION
TOTAL DE COSTO]]</f>
        <v>0</v>
      </c>
    </row>
    <row r="100" spans="1:33" x14ac:dyDescent="0.25">
      <c r="A100" s="245"/>
      <c r="B100" s="245"/>
      <c r="C100" s="245"/>
      <c r="D100" s="323" t="s">
        <v>1837</v>
      </c>
      <c r="E100" s="244" t="s">
        <v>566</v>
      </c>
      <c r="F100" s="246" t="s">
        <v>376</v>
      </c>
      <c r="G100" s="279">
        <v>0</v>
      </c>
      <c r="H100" s="279">
        <v>0</v>
      </c>
      <c r="I100" s="132">
        <v>0</v>
      </c>
      <c r="J100" s="132">
        <v>0</v>
      </c>
      <c r="K100" s="132">
        <v>0</v>
      </c>
      <c r="L100" s="144">
        <f>CATEGORIAS[[#This Row],[ADICIONALES]]+CATEGORIAS[[#This Row],[POM]]+CATEGORIAS[[#This Row],[REAJUSTE 
PAGADO]]+CATEGORIAS[[#This Row],[REAJUSTE
PROYECTADO]]</f>
        <v>0</v>
      </c>
      <c r="M100" s="133">
        <v>0</v>
      </c>
      <c r="N100" s="222">
        <v>0</v>
      </c>
      <c r="O100" s="142">
        <f>+CATEGORIAS[[#This Row],[PRODUCCION
PARTIDAS
ORIGINALES
ACTUAL]]+CATEGORIAS[[#This Row],[PRODUCCION
ADICIONALES
ACTUAL]]</f>
        <v>0</v>
      </c>
      <c r="P100" s="222">
        <v>0</v>
      </c>
      <c r="Q100" s="134">
        <v>0</v>
      </c>
      <c r="R100" s="141">
        <f>+CATEGORIAS[[#This Row],[PRODUCCION
ANTERIOR]]+CATEGORIAS[[#This Row],[PRODUCCION
ADICIONALES
ANTERIOR]]</f>
        <v>0</v>
      </c>
      <c r="S100" s="135">
        <v>0</v>
      </c>
      <c r="T100" s="135"/>
      <c r="U100" s="135">
        <v>0</v>
      </c>
      <c r="V100" s="262">
        <f>SUM(CATEGORIAS[[#This Row],[COSTO
ACUMULADO  AX]:[PROVISIONES]])</f>
        <v>0</v>
      </c>
      <c r="W100" s="264">
        <v>0</v>
      </c>
      <c r="X100" s="222"/>
      <c r="Y100" s="222">
        <v>0</v>
      </c>
      <c r="Z100" s="263">
        <f>SUM(CATEGORIAS[[#This Row],[COSTO ACUMULADO
ANTERIOR]:[PROVISIONES
ANTERIOR]])</f>
        <v>0</v>
      </c>
      <c r="AA100" s="338">
        <f>ABS(+CATEGORIAS[[#This Row],[PRESUPUESTO
FINAL
PROYECTADO]]-CATEGORIAS[[#This Row],[TOTAL PRODUCCION
ACTUAL]])</f>
        <v>0</v>
      </c>
      <c r="AB100" s="222"/>
      <c r="AC100" s="134"/>
      <c r="AD100" s="134">
        <v>0</v>
      </c>
      <c r="AE100" s="221">
        <f>SUM(CATEGORIAS[[#This Row],[INVENTARIO]:[PROYECCION
DE COSTO
DEL SALDO]])</f>
        <v>0</v>
      </c>
      <c r="AF100" s="134"/>
      <c r="AG100" s="134">
        <f>+CATEGORIAS[[#This Row],[PRESUPUESTO
FINAL
PROYECTADO]]-CATEGORIAS[[#This Row],[COSTO REAL]]-CATEGORIAS[[#This Row],[PROYECCION
TOTAL DE COSTO]]</f>
        <v>0</v>
      </c>
    </row>
    <row r="101" spans="1:33" x14ac:dyDescent="0.25">
      <c r="A101" s="245" t="s">
        <v>43</v>
      </c>
      <c r="B101" s="245" t="s">
        <v>199</v>
      </c>
      <c r="C101" s="245" t="s">
        <v>2381</v>
      </c>
      <c r="D101" s="323" t="s">
        <v>1838</v>
      </c>
      <c r="E101" s="244" t="s">
        <v>568</v>
      </c>
      <c r="F101" s="246" t="s">
        <v>379</v>
      </c>
      <c r="G101" s="279">
        <v>3653812.5723999999</v>
      </c>
      <c r="H101" s="279">
        <v>873470.7648</v>
      </c>
      <c r="I101" s="132">
        <v>165494.39771053952</v>
      </c>
      <c r="J101" s="132">
        <v>30797.142155326303</v>
      </c>
      <c r="K101" s="132">
        <v>0</v>
      </c>
      <c r="L101" s="144">
        <f>CATEGORIAS[[#This Row],[ADICIONALES]]+CATEGORIAS[[#This Row],[POM]]+CATEGORIAS[[#This Row],[REAJUSTE 
PAGADO]]+CATEGORIAS[[#This Row],[REAJUSTE
PROYECTADO]]</f>
        <v>1069762.3046658658</v>
      </c>
      <c r="M101" s="133">
        <v>904096.44411033473</v>
      </c>
      <c r="N101" s="222">
        <v>165665.86055553111</v>
      </c>
      <c r="O101" s="142">
        <f>+CATEGORIAS[[#This Row],[PRODUCCION
PARTIDAS
ORIGINALES
ACTUAL]]+CATEGORIAS[[#This Row],[PRODUCCION
ADICIONALES
ACTUAL]]</f>
        <v>1069762.3046658658</v>
      </c>
      <c r="P101" s="222">
        <v>904096.44411033473</v>
      </c>
      <c r="Q101" s="222">
        <v>165494.39771053952</v>
      </c>
      <c r="R101" s="141">
        <f>+CATEGORIAS[[#This Row],[PRODUCCION
ANTERIOR]]+CATEGORIAS[[#This Row],[PRODUCCION
ADICIONALES
ANTERIOR]]</f>
        <v>1069590.8418208743</v>
      </c>
      <c r="S101" s="135">
        <v>0</v>
      </c>
      <c r="T101" s="135"/>
      <c r="U101" s="135">
        <v>0</v>
      </c>
      <c r="V101" s="262">
        <f>SUM(CATEGORIAS[[#This Row],[COSTO
ACUMULADO  AX]:[PROVISIONES]])</f>
        <v>0</v>
      </c>
      <c r="W101" s="264">
        <v>0</v>
      </c>
      <c r="X101" s="222"/>
      <c r="Y101" s="222">
        <v>0</v>
      </c>
      <c r="Z101" s="263">
        <f>SUM(CATEGORIAS[[#This Row],[COSTO ACUMULADO
ANTERIOR]:[PROVISIONES
ANTERIOR]])</f>
        <v>0</v>
      </c>
      <c r="AA101" s="338">
        <f>ABS(+CATEGORIAS[[#This Row],[PRESUPUESTO
FINAL
PROYECTADO]]-CATEGORIAS[[#This Row],[TOTAL PRODUCCION
ACTUAL]])</f>
        <v>0</v>
      </c>
      <c r="AB101" s="222"/>
      <c r="AC101" s="134"/>
      <c r="AD101" s="134">
        <v>0</v>
      </c>
      <c r="AE101" s="221">
        <f>SUM(CATEGORIAS[[#This Row],[INVENTARIO]:[PROYECCION
DE COSTO
DEL SALDO]])</f>
        <v>0</v>
      </c>
      <c r="AF101" s="134"/>
      <c r="AG101" s="134">
        <f>+CATEGORIAS[[#This Row],[PRESUPUESTO
FINAL
PROYECTADO]]-CATEGORIAS[[#This Row],[COSTO REAL]]-CATEGORIAS[[#This Row],[PROYECCION
TOTAL DE COSTO]]</f>
        <v>1069762.3046658658</v>
      </c>
    </row>
    <row r="102" spans="1:33" x14ac:dyDescent="0.25">
      <c r="A102" s="245"/>
      <c r="B102" s="245"/>
      <c r="C102" s="245"/>
      <c r="D102" s="323" t="s">
        <v>1839</v>
      </c>
      <c r="E102" s="244" t="s">
        <v>570</v>
      </c>
      <c r="F102" s="246" t="s">
        <v>376</v>
      </c>
      <c r="G102" s="279">
        <v>0</v>
      </c>
      <c r="H102" s="279">
        <v>0</v>
      </c>
      <c r="I102" s="132">
        <v>0</v>
      </c>
      <c r="J102" s="132">
        <v>0</v>
      </c>
      <c r="K102" s="132">
        <v>0</v>
      </c>
      <c r="L102" s="144">
        <f>CATEGORIAS[[#This Row],[ADICIONALES]]+CATEGORIAS[[#This Row],[POM]]+CATEGORIAS[[#This Row],[REAJUSTE 
PAGADO]]+CATEGORIAS[[#This Row],[REAJUSTE
PROYECTADO]]</f>
        <v>0</v>
      </c>
      <c r="M102" s="133">
        <v>0</v>
      </c>
      <c r="N102" s="222">
        <v>0</v>
      </c>
      <c r="O102" s="142">
        <f>+CATEGORIAS[[#This Row],[PRODUCCION
PARTIDAS
ORIGINALES
ACTUAL]]+CATEGORIAS[[#This Row],[PRODUCCION
ADICIONALES
ACTUAL]]</f>
        <v>0</v>
      </c>
      <c r="P102" s="222">
        <v>0</v>
      </c>
      <c r="Q102" s="222">
        <v>0</v>
      </c>
      <c r="R102" s="141">
        <f>+CATEGORIAS[[#This Row],[PRODUCCION
ANTERIOR]]+CATEGORIAS[[#This Row],[PRODUCCION
ADICIONALES
ANTERIOR]]</f>
        <v>0</v>
      </c>
      <c r="S102" s="135">
        <v>0</v>
      </c>
      <c r="T102" s="135"/>
      <c r="U102" s="135">
        <v>0</v>
      </c>
      <c r="V102" s="262">
        <f>SUM(CATEGORIAS[[#This Row],[COSTO
ACUMULADO  AX]:[PROVISIONES]])</f>
        <v>0</v>
      </c>
      <c r="W102" s="264">
        <v>0</v>
      </c>
      <c r="X102" s="222"/>
      <c r="Y102" s="222">
        <v>0</v>
      </c>
      <c r="Z102" s="263">
        <f>SUM(CATEGORIAS[[#This Row],[COSTO ACUMULADO
ANTERIOR]:[PROVISIONES
ANTERIOR]])</f>
        <v>0</v>
      </c>
      <c r="AA102" s="338">
        <f>ABS(+CATEGORIAS[[#This Row],[PRESUPUESTO
FINAL
PROYECTADO]]-CATEGORIAS[[#This Row],[TOTAL PRODUCCION
ACTUAL]])</f>
        <v>0</v>
      </c>
      <c r="AB102" s="222"/>
      <c r="AC102" s="134"/>
      <c r="AD102" s="134">
        <v>0</v>
      </c>
      <c r="AE102" s="221">
        <f>SUM(CATEGORIAS[[#This Row],[INVENTARIO]:[PROYECCION
DE COSTO
DEL SALDO]])</f>
        <v>0</v>
      </c>
      <c r="AF102" s="134"/>
      <c r="AG102" s="134">
        <f>+CATEGORIAS[[#This Row],[PRESUPUESTO
FINAL
PROYECTADO]]-CATEGORIAS[[#This Row],[COSTO REAL]]-CATEGORIAS[[#This Row],[PROYECCION
TOTAL DE COSTO]]</f>
        <v>0</v>
      </c>
    </row>
    <row r="103" spans="1:33" x14ac:dyDescent="0.25">
      <c r="A103" s="245"/>
      <c r="B103" s="245"/>
      <c r="C103" s="245"/>
      <c r="D103" s="323" t="s">
        <v>1840</v>
      </c>
      <c r="E103" s="244" t="s">
        <v>572</v>
      </c>
      <c r="F103" s="246" t="s">
        <v>376</v>
      </c>
      <c r="G103" s="279">
        <v>0</v>
      </c>
      <c r="H103" s="279">
        <v>0</v>
      </c>
      <c r="I103" s="132">
        <v>0</v>
      </c>
      <c r="J103" s="132">
        <v>0</v>
      </c>
      <c r="K103" s="132">
        <v>0</v>
      </c>
      <c r="L103" s="144">
        <f>CATEGORIAS[[#This Row],[ADICIONALES]]+CATEGORIAS[[#This Row],[POM]]+CATEGORIAS[[#This Row],[REAJUSTE 
PAGADO]]+CATEGORIAS[[#This Row],[REAJUSTE
PROYECTADO]]</f>
        <v>0</v>
      </c>
      <c r="M103" s="133">
        <v>0</v>
      </c>
      <c r="N103" s="222">
        <v>0</v>
      </c>
      <c r="O103" s="142">
        <f>+CATEGORIAS[[#This Row],[PRODUCCION
PARTIDAS
ORIGINALES
ACTUAL]]+CATEGORIAS[[#This Row],[PRODUCCION
ADICIONALES
ACTUAL]]</f>
        <v>0</v>
      </c>
      <c r="P103" s="222">
        <v>0</v>
      </c>
      <c r="Q103" s="222">
        <v>0</v>
      </c>
      <c r="R103" s="141">
        <f>+CATEGORIAS[[#This Row],[PRODUCCION
ANTERIOR]]+CATEGORIAS[[#This Row],[PRODUCCION
ADICIONALES
ANTERIOR]]</f>
        <v>0</v>
      </c>
      <c r="S103" s="135">
        <v>0</v>
      </c>
      <c r="T103" s="135"/>
      <c r="U103" s="135">
        <v>0</v>
      </c>
      <c r="V103" s="262">
        <f>SUM(CATEGORIAS[[#This Row],[COSTO
ACUMULADO  AX]:[PROVISIONES]])</f>
        <v>0</v>
      </c>
      <c r="W103" s="264">
        <v>0</v>
      </c>
      <c r="X103" s="222"/>
      <c r="Y103" s="222">
        <v>0</v>
      </c>
      <c r="Z103" s="263">
        <f>SUM(CATEGORIAS[[#This Row],[COSTO ACUMULADO
ANTERIOR]:[PROVISIONES
ANTERIOR]])</f>
        <v>0</v>
      </c>
      <c r="AA103" s="338">
        <f>ABS(+CATEGORIAS[[#This Row],[PRESUPUESTO
FINAL
PROYECTADO]]-CATEGORIAS[[#This Row],[TOTAL PRODUCCION
ACTUAL]])</f>
        <v>0</v>
      </c>
      <c r="AB103" s="222"/>
      <c r="AC103" s="134"/>
      <c r="AD103" s="134">
        <v>0</v>
      </c>
      <c r="AE103" s="221">
        <f>SUM(CATEGORIAS[[#This Row],[INVENTARIO]:[PROYECCION
DE COSTO
DEL SALDO]])</f>
        <v>0</v>
      </c>
      <c r="AF103" s="134"/>
      <c r="AG103" s="134">
        <f>+CATEGORIAS[[#This Row],[PRESUPUESTO
FINAL
PROYECTADO]]-CATEGORIAS[[#This Row],[COSTO REAL]]-CATEGORIAS[[#This Row],[PROYECCION
TOTAL DE COSTO]]</f>
        <v>0</v>
      </c>
    </row>
    <row r="104" spans="1:33" x14ac:dyDescent="0.25">
      <c r="A104" s="245"/>
      <c r="B104" s="245"/>
      <c r="C104" s="245"/>
      <c r="D104" s="323" t="s">
        <v>1841</v>
      </c>
      <c r="E104" s="244" t="s">
        <v>574</v>
      </c>
      <c r="F104" s="246" t="s">
        <v>376</v>
      </c>
      <c r="G104" s="279">
        <v>0</v>
      </c>
      <c r="H104" s="279">
        <v>0</v>
      </c>
      <c r="I104" s="132">
        <v>0</v>
      </c>
      <c r="J104" s="132">
        <v>0</v>
      </c>
      <c r="K104" s="132">
        <v>0</v>
      </c>
      <c r="L104" s="144">
        <f>CATEGORIAS[[#This Row],[ADICIONALES]]+CATEGORIAS[[#This Row],[POM]]+CATEGORIAS[[#This Row],[REAJUSTE 
PAGADO]]+CATEGORIAS[[#This Row],[REAJUSTE
PROYECTADO]]</f>
        <v>0</v>
      </c>
      <c r="M104" s="133">
        <v>0</v>
      </c>
      <c r="N104" s="222">
        <v>0</v>
      </c>
      <c r="O104" s="142">
        <f>+CATEGORIAS[[#This Row],[PRODUCCION
PARTIDAS
ORIGINALES
ACTUAL]]+CATEGORIAS[[#This Row],[PRODUCCION
ADICIONALES
ACTUAL]]</f>
        <v>0</v>
      </c>
      <c r="P104" s="222">
        <v>0</v>
      </c>
      <c r="Q104" s="134">
        <v>0</v>
      </c>
      <c r="R104" s="141">
        <f>+CATEGORIAS[[#This Row],[PRODUCCION
ANTERIOR]]+CATEGORIAS[[#This Row],[PRODUCCION
ADICIONALES
ANTERIOR]]</f>
        <v>0</v>
      </c>
      <c r="S104" s="135">
        <v>0</v>
      </c>
      <c r="T104" s="135"/>
      <c r="U104" s="135">
        <v>0</v>
      </c>
      <c r="V104" s="262">
        <f>SUM(CATEGORIAS[[#This Row],[COSTO
ACUMULADO  AX]:[PROVISIONES]])</f>
        <v>0</v>
      </c>
      <c r="W104" s="264">
        <v>0</v>
      </c>
      <c r="X104" s="222"/>
      <c r="Y104" s="222">
        <v>0</v>
      </c>
      <c r="Z104" s="263">
        <f>SUM(CATEGORIAS[[#This Row],[COSTO ACUMULADO
ANTERIOR]:[PROVISIONES
ANTERIOR]])</f>
        <v>0</v>
      </c>
      <c r="AA104" s="338">
        <f>ABS(+CATEGORIAS[[#This Row],[PRESUPUESTO
FINAL
PROYECTADO]]-CATEGORIAS[[#This Row],[TOTAL PRODUCCION
ACTUAL]])</f>
        <v>0</v>
      </c>
      <c r="AB104" s="222"/>
      <c r="AC104" s="134"/>
      <c r="AD104" s="134">
        <v>0</v>
      </c>
      <c r="AE104" s="221">
        <f>SUM(CATEGORIAS[[#This Row],[INVENTARIO]:[PROYECCION
DE COSTO
DEL SALDO]])</f>
        <v>0</v>
      </c>
      <c r="AF104" s="134"/>
      <c r="AG104" s="134">
        <f>+CATEGORIAS[[#This Row],[PRESUPUESTO
FINAL
PROYECTADO]]-CATEGORIAS[[#This Row],[COSTO REAL]]-CATEGORIAS[[#This Row],[PROYECCION
TOTAL DE COSTO]]</f>
        <v>0</v>
      </c>
    </row>
    <row r="105" spans="1:33" x14ac:dyDescent="0.25">
      <c r="A105" s="245"/>
      <c r="B105" s="245"/>
      <c r="C105" s="245"/>
      <c r="D105" s="323" t="s">
        <v>1842</v>
      </c>
      <c r="E105" s="244" t="s">
        <v>576</v>
      </c>
      <c r="F105" s="246" t="s">
        <v>376</v>
      </c>
      <c r="G105" s="279">
        <v>0</v>
      </c>
      <c r="H105" s="279">
        <v>0</v>
      </c>
      <c r="I105" s="132">
        <v>0</v>
      </c>
      <c r="J105" s="132">
        <v>0</v>
      </c>
      <c r="K105" s="132">
        <v>0</v>
      </c>
      <c r="L105" s="144">
        <f>CATEGORIAS[[#This Row],[ADICIONALES]]+CATEGORIAS[[#This Row],[POM]]+CATEGORIAS[[#This Row],[REAJUSTE 
PAGADO]]+CATEGORIAS[[#This Row],[REAJUSTE
PROYECTADO]]</f>
        <v>0</v>
      </c>
      <c r="M105" s="133">
        <v>0</v>
      </c>
      <c r="N105" s="222">
        <v>0</v>
      </c>
      <c r="O105" s="142">
        <f>+CATEGORIAS[[#This Row],[PRODUCCION
PARTIDAS
ORIGINALES
ACTUAL]]+CATEGORIAS[[#This Row],[PRODUCCION
ADICIONALES
ACTUAL]]</f>
        <v>0</v>
      </c>
      <c r="P105" s="222">
        <v>0</v>
      </c>
      <c r="Q105" s="222">
        <v>0</v>
      </c>
      <c r="R105" s="141">
        <f>+CATEGORIAS[[#This Row],[PRODUCCION
ANTERIOR]]+CATEGORIAS[[#This Row],[PRODUCCION
ADICIONALES
ANTERIOR]]</f>
        <v>0</v>
      </c>
      <c r="S105" s="135">
        <v>0</v>
      </c>
      <c r="T105" s="135"/>
      <c r="U105" s="135">
        <v>0</v>
      </c>
      <c r="V105" s="262">
        <f>SUM(CATEGORIAS[[#This Row],[COSTO
ACUMULADO  AX]:[PROVISIONES]])</f>
        <v>0</v>
      </c>
      <c r="W105" s="264">
        <v>0</v>
      </c>
      <c r="X105" s="222"/>
      <c r="Y105" s="222">
        <v>0</v>
      </c>
      <c r="Z105" s="263">
        <f>SUM(CATEGORIAS[[#This Row],[COSTO ACUMULADO
ANTERIOR]:[PROVISIONES
ANTERIOR]])</f>
        <v>0</v>
      </c>
      <c r="AA105" s="338">
        <f>ABS(+CATEGORIAS[[#This Row],[PRESUPUESTO
FINAL
PROYECTADO]]-CATEGORIAS[[#This Row],[TOTAL PRODUCCION
ACTUAL]])</f>
        <v>0</v>
      </c>
      <c r="AB105" s="222"/>
      <c r="AC105" s="134"/>
      <c r="AD105" s="134">
        <v>0</v>
      </c>
      <c r="AE105" s="221">
        <f>SUM(CATEGORIAS[[#This Row],[INVENTARIO]:[PROYECCION
DE COSTO
DEL SALDO]])</f>
        <v>0</v>
      </c>
      <c r="AF105" s="134"/>
      <c r="AG105" s="134">
        <f>+CATEGORIAS[[#This Row],[PRESUPUESTO
FINAL
PROYECTADO]]-CATEGORIAS[[#This Row],[COSTO REAL]]-CATEGORIAS[[#This Row],[PROYECCION
TOTAL DE COSTO]]</f>
        <v>0</v>
      </c>
    </row>
    <row r="106" spans="1:33" x14ac:dyDescent="0.25">
      <c r="A106" s="245"/>
      <c r="B106" s="245"/>
      <c r="C106" s="245"/>
      <c r="D106" s="323" t="s">
        <v>1843</v>
      </c>
      <c r="E106" s="244" t="s">
        <v>578</v>
      </c>
      <c r="F106" s="246" t="s">
        <v>376</v>
      </c>
      <c r="G106" s="279">
        <v>0</v>
      </c>
      <c r="H106" s="279">
        <v>0</v>
      </c>
      <c r="I106" s="132">
        <v>0</v>
      </c>
      <c r="J106" s="132">
        <v>0</v>
      </c>
      <c r="K106" s="132">
        <v>0</v>
      </c>
      <c r="L106" s="144">
        <f>CATEGORIAS[[#This Row],[ADICIONALES]]+CATEGORIAS[[#This Row],[POM]]+CATEGORIAS[[#This Row],[REAJUSTE 
PAGADO]]+CATEGORIAS[[#This Row],[REAJUSTE
PROYECTADO]]</f>
        <v>0</v>
      </c>
      <c r="M106" s="133">
        <v>0</v>
      </c>
      <c r="N106" s="222">
        <v>0</v>
      </c>
      <c r="O106" s="142">
        <f>+CATEGORIAS[[#This Row],[PRODUCCION
PARTIDAS
ORIGINALES
ACTUAL]]+CATEGORIAS[[#This Row],[PRODUCCION
ADICIONALES
ACTUAL]]</f>
        <v>0</v>
      </c>
      <c r="P106" s="222">
        <v>0</v>
      </c>
      <c r="Q106" s="222">
        <v>0</v>
      </c>
      <c r="R106" s="141">
        <f>+CATEGORIAS[[#This Row],[PRODUCCION
ANTERIOR]]+CATEGORIAS[[#This Row],[PRODUCCION
ADICIONALES
ANTERIOR]]</f>
        <v>0</v>
      </c>
      <c r="S106" s="135">
        <v>0</v>
      </c>
      <c r="T106" s="135"/>
      <c r="U106" s="135">
        <v>0</v>
      </c>
      <c r="V106" s="262">
        <f>SUM(CATEGORIAS[[#This Row],[COSTO
ACUMULADO  AX]:[PROVISIONES]])</f>
        <v>0</v>
      </c>
      <c r="W106" s="264">
        <v>0</v>
      </c>
      <c r="X106" s="222"/>
      <c r="Y106" s="222">
        <v>0</v>
      </c>
      <c r="Z106" s="263">
        <f>SUM(CATEGORIAS[[#This Row],[COSTO ACUMULADO
ANTERIOR]:[PROVISIONES
ANTERIOR]])</f>
        <v>0</v>
      </c>
      <c r="AA106" s="338">
        <f>ABS(+CATEGORIAS[[#This Row],[PRESUPUESTO
FINAL
PROYECTADO]]-CATEGORIAS[[#This Row],[TOTAL PRODUCCION
ACTUAL]])</f>
        <v>0</v>
      </c>
      <c r="AB106" s="222"/>
      <c r="AC106" s="134"/>
      <c r="AD106" s="134">
        <v>0</v>
      </c>
      <c r="AE106" s="221">
        <f>SUM(CATEGORIAS[[#This Row],[INVENTARIO]:[PROYECCION
DE COSTO
DEL SALDO]])</f>
        <v>0</v>
      </c>
      <c r="AF106" s="134"/>
      <c r="AG106" s="134">
        <f>+CATEGORIAS[[#This Row],[PRESUPUESTO
FINAL
PROYECTADO]]-CATEGORIAS[[#This Row],[COSTO REAL]]-CATEGORIAS[[#This Row],[PROYECCION
TOTAL DE COSTO]]</f>
        <v>0</v>
      </c>
    </row>
    <row r="107" spans="1:33" x14ac:dyDescent="0.25">
      <c r="A107" s="245"/>
      <c r="B107" s="245"/>
      <c r="C107" s="245"/>
      <c r="D107" s="323" t="s">
        <v>1844</v>
      </c>
      <c r="E107" s="244" t="s">
        <v>580</v>
      </c>
      <c r="F107" s="246" t="s">
        <v>379</v>
      </c>
      <c r="G107" s="279">
        <v>0</v>
      </c>
      <c r="H107" s="279">
        <v>0</v>
      </c>
      <c r="I107" s="132">
        <v>0</v>
      </c>
      <c r="J107" s="132">
        <v>0</v>
      </c>
      <c r="K107" s="132">
        <v>0</v>
      </c>
      <c r="L107" s="144">
        <f>CATEGORIAS[[#This Row],[ADICIONALES]]+CATEGORIAS[[#This Row],[POM]]+CATEGORIAS[[#This Row],[REAJUSTE 
PAGADO]]+CATEGORIAS[[#This Row],[REAJUSTE
PROYECTADO]]</f>
        <v>0</v>
      </c>
      <c r="M107" s="133">
        <v>0</v>
      </c>
      <c r="N107" s="222">
        <v>0</v>
      </c>
      <c r="O107" s="142">
        <f>+CATEGORIAS[[#This Row],[PRODUCCION
PARTIDAS
ORIGINALES
ACTUAL]]+CATEGORIAS[[#This Row],[PRODUCCION
ADICIONALES
ACTUAL]]</f>
        <v>0</v>
      </c>
      <c r="P107" s="222">
        <v>0</v>
      </c>
      <c r="Q107" s="222">
        <v>0</v>
      </c>
      <c r="R107" s="141">
        <f>+CATEGORIAS[[#This Row],[PRODUCCION
ANTERIOR]]+CATEGORIAS[[#This Row],[PRODUCCION
ADICIONALES
ANTERIOR]]</f>
        <v>0</v>
      </c>
      <c r="S107" s="135">
        <v>0</v>
      </c>
      <c r="T107" s="135"/>
      <c r="U107" s="135">
        <v>0</v>
      </c>
      <c r="V107" s="262">
        <f>SUM(CATEGORIAS[[#This Row],[COSTO
ACUMULADO  AX]:[PROVISIONES]])</f>
        <v>0</v>
      </c>
      <c r="W107" s="264">
        <v>0</v>
      </c>
      <c r="X107" s="222"/>
      <c r="Y107" s="222">
        <v>0</v>
      </c>
      <c r="Z107" s="263">
        <f>SUM(CATEGORIAS[[#This Row],[COSTO ACUMULADO
ANTERIOR]:[PROVISIONES
ANTERIOR]])</f>
        <v>0</v>
      </c>
      <c r="AA107" s="338">
        <f>ABS(+CATEGORIAS[[#This Row],[PRESUPUESTO
FINAL
PROYECTADO]]-CATEGORIAS[[#This Row],[TOTAL PRODUCCION
ACTUAL]])</f>
        <v>0</v>
      </c>
      <c r="AB107" s="222"/>
      <c r="AC107" s="134"/>
      <c r="AD107" s="134">
        <v>0</v>
      </c>
      <c r="AE107" s="221">
        <f>SUM(CATEGORIAS[[#This Row],[INVENTARIO]:[PROYECCION
DE COSTO
DEL SALDO]])</f>
        <v>0</v>
      </c>
      <c r="AF107" s="134"/>
      <c r="AG107" s="134">
        <f>+CATEGORIAS[[#This Row],[PRESUPUESTO
FINAL
PROYECTADO]]-CATEGORIAS[[#This Row],[COSTO REAL]]-CATEGORIAS[[#This Row],[PROYECCION
TOTAL DE COSTO]]</f>
        <v>0</v>
      </c>
    </row>
    <row r="108" spans="1:33" x14ac:dyDescent="0.25">
      <c r="A108" s="245"/>
      <c r="B108" s="245"/>
      <c r="C108" s="245"/>
      <c r="D108" s="323" t="s">
        <v>1845</v>
      </c>
      <c r="E108" s="244" t="s">
        <v>582</v>
      </c>
      <c r="F108" s="246" t="s">
        <v>376</v>
      </c>
      <c r="G108" s="279">
        <v>0</v>
      </c>
      <c r="H108" s="279">
        <v>0</v>
      </c>
      <c r="I108" s="132">
        <v>0</v>
      </c>
      <c r="J108" s="132">
        <v>0</v>
      </c>
      <c r="K108" s="132">
        <v>0</v>
      </c>
      <c r="L108" s="144">
        <f>CATEGORIAS[[#This Row],[ADICIONALES]]+CATEGORIAS[[#This Row],[POM]]+CATEGORIAS[[#This Row],[REAJUSTE 
PAGADO]]+CATEGORIAS[[#This Row],[REAJUSTE
PROYECTADO]]</f>
        <v>0</v>
      </c>
      <c r="M108" s="133">
        <v>0</v>
      </c>
      <c r="N108" s="222">
        <v>0</v>
      </c>
      <c r="O108" s="142">
        <f>+CATEGORIAS[[#This Row],[PRODUCCION
PARTIDAS
ORIGINALES
ACTUAL]]+CATEGORIAS[[#This Row],[PRODUCCION
ADICIONALES
ACTUAL]]</f>
        <v>0</v>
      </c>
      <c r="P108" s="222">
        <v>0</v>
      </c>
      <c r="Q108" s="222">
        <v>0</v>
      </c>
      <c r="R108" s="141">
        <f>+CATEGORIAS[[#This Row],[PRODUCCION
ANTERIOR]]+CATEGORIAS[[#This Row],[PRODUCCION
ADICIONALES
ANTERIOR]]</f>
        <v>0</v>
      </c>
      <c r="S108" s="135">
        <v>0</v>
      </c>
      <c r="T108" s="135"/>
      <c r="U108" s="135">
        <v>0</v>
      </c>
      <c r="V108" s="262">
        <f>SUM(CATEGORIAS[[#This Row],[COSTO
ACUMULADO  AX]:[PROVISIONES]])</f>
        <v>0</v>
      </c>
      <c r="W108" s="264">
        <v>0</v>
      </c>
      <c r="X108" s="222"/>
      <c r="Y108" s="222">
        <v>0</v>
      </c>
      <c r="Z108" s="263">
        <f>SUM(CATEGORIAS[[#This Row],[COSTO ACUMULADO
ANTERIOR]:[PROVISIONES
ANTERIOR]])</f>
        <v>0</v>
      </c>
      <c r="AA108" s="338">
        <f>ABS(+CATEGORIAS[[#This Row],[PRESUPUESTO
FINAL
PROYECTADO]]-CATEGORIAS[[#This Row],[TOTAL PRODUCCION
ACTUAL]])</f>
        <v>0</v>
      </c>
      <c r="AB108" s="222"/>
      <c r="AC108" s="134"/>
      <c r="AD108" s="134">
        <v>0</v>
      </c>
      <c r="AE108" s="221">
        <f>SUM(CATEGORIAS[[#This Row],[INVENTARIO]:[PROYECCION
DE COSTO
DEL SALDO]])</f>
        <v>0</v>
      </c>
      <c r="AF108" s="134"/>
      <c r="AG108" s="134">
        <f>+CATEGORIAS[[#This Row],[PRESUPUESTO
FINAL
PROYECTADO]]-CATEGORIAS[[#This Row],[COSTO REAL]]-CATEGORIAS[[#This Row],[PROYECCION
TOTAL DE COSTO]]</f>
        <v>0</v>
      </c>
    </row>
    <row r="109" spans="1:33" x14ac:dyDescent="0.25">
      <c r="A109" s="245"/>
      <c r="B109" s="245"/>
      <c r="C109" s="245"/>
      <c r="D109" s="323" t="s">
        <v>1846</v>
      </c>
      <c r="E109" s="244" t="s">
        <v>584</v>
      </c>
      <c r="F109" s="246" t="s">
        <v>379</v>
      </c>
      <c r="G109" s="279">
        <v>0</v>
      </c>
      <c r="H109" s="279">
        <v>0</v>
      </c>
      <c r="I109" s="132">
        <v>0</v>
      </c>
      <c r="J109" s="132">
        <v>0</v>
      </c>
      <c r="K109" s="132">
        <v>0</v>
      </c>
      <c r="L109" s="144">
        <f>CATEGORIAS[[#This Row],[ADICIONALES]]+CATEGORIAS[[#This Row],[POM]]+CATEGORIAS[[#This Row],[REAJUSTE 
PAGADO]]+CATEGORIAS[[#This Row],[REAJUSTE
PROYECTADO]]</f>
        <v>0</v>
      </c>
      <c r="M109" s="133">
        <v>0</v>
      </c>
      <c r="N109" s="222">
        <v>0</v>
      </c>
      <c r="O109" s="142">
        <f>+CATEGORIAS[[#This Row],[PRODUCCION
PARTIDAS
ORIGINALES
ACTUAL]]+CATEGORIAS[[#This Row],[PRODUCCION
ADICIONALES
ACTUAL]]</f>
        <v>0</v>
      </c>
      <c r="P109" s="222">
        <v>0</v>
      </c>
      <c r="Q109" s="222">
        <v>0</v>
      </c>
      <c r="R109" s="141">
        <f>+CATEGORIAS[[#This Row],[PRODUCCION
ANTERIOR]]+CATEGORIAS[[#This Row],[PRODUCCION
ADICIONALES
ANTERIOR]]</f>
        <v>0</v>
      </c>
      <c r="S109" s="135">
        <v>0</v>
      </c>
      <c r="T109" s="135"/>
      <c r="U109" s="135">
        <v>0</v>
      </c>
      <c r="V109" s="262">
        <f>SUM(CATEGORIAS[[#This Row],[COSTO
ACUMULADO  AX]:[PROVISIONES]])</f>
        <v>0</v>
      </c>
      <c r="W109" s="264">
        <v>0</v>
      </c>
      <c r="X109" s="222"/>
      <c r="Y109" s="222">
        <v>0</v>
      </c>
      <c r="Z109" s="263">
        <f>SUM(CATEGORIAS[[#This Row],[COSTO ACUMULADO
ANTERIOR]:[PROVISIONES
ANTERIOR]])</f>
        <v>0</v>
      </c>
      <c r="AA109" s="338">
        <f>ABS(+CATEGORIAS[[#This Row],[PRESUPUESTO
FINAL
PROYECTADO]]-CATEGORIAS[[#This Row],[TOTAL PRODUCCION
ACTUAL]])</f>
        <v>0</v>
      </c>
      <c r="AB109" s="222"/>
      <c r="AC109" s="134"/>
      <c r="AD109" s="134">
        <v>0</v>
      </c>
      <c r="AE109" s="221">
        <f>SUM(CATEGORIAS[[#This Row],[INVENTARIO]:[PROYECCION
DE COSTO
DEL SALDO]])</f>
        <v>0</v>
      </c>
      <c r="AF109" s="134"/>
      <c r="AG109" s="134">
        <f>+CATEGORIAS[[#This Row],[PRESUPUESTO
FINAL
PROYECTADO]]-CATEGORIAS[[#This Row],[COSTO REAL]]-CATEGORIAS[[#This Row],[PROYECCION
TOTAL DE COSTO]]</f>
        <v>0</v>
      </c>
    </row>
    <row r="110" spans="1:33" x14ac:dyDescent="0.25">
      <c r="A110" s="245"/>
      <c r="B110" s="245"/>
      <c r="C110" s="245"/>
      <c r="D110" s="323" t="s">
        <v>1847</v>
      </c>
      <c r="E110" s="244" t="s">
        <v>586</v>
      </c>
      <c r="F110" s="246" t="s">
        <v>376</v>
      </c>
      <c r="G110" s="279">
        <v>0</v>
      </c>
      <c r="H110" s="279">
        <v>0</v>
      </c>
      <c r="I110" s="132">
        <v>0</v>
      </c>
      <c r="J110" s="132">
        <v>0</v>
      </c>
      <c r="K110" s="132">
        <v>0</v>
      </c>
      <c r="L110" s="144">
        <f>CATEGORIAS[[#This Row],[ADICIONALES]]+CATEGORIAS[[#This Row],[POM]]+CATEGORIAS[[#This Row],[REAJUSTE 
PAGADO]]+CATEGORIAS[[#This Row],[REAJUSTE
PROYECTADO]]</f>
        <v>0</v>
      </c>
      <c r="M110" s="133">
        <v>0</v>
      </c>
      <c r="N110" s="222">
        <v>0</v>
      </c>
      <c r="O110" s="142">
        <f>+CATEGORIAS[[#This Row],[PRODUCCION
PARTIDAS
ORIGINALES
ACTUAL]]+CATEGORIAS[[#This Row],[PRODUCCION
ADICIONALES
ACTUAL]]</f>
        <v>0</v>
      </c>
      <c r="P110" s="222">
        <v>0</v>
      </c>
      <c r="Q110" s="222">
        <v>0</v>
      </c>
      <c r="R110" s="141">
        <f>+CATEGORIAS[[#This Row],[PRODUCCION
ANTERIOR]]+CATEGORIAS[[#This Row],[PRODUCCION
ADICIONALES
ANTERIOR]]</f>
        <v>0</v>
      </c>
      <c r="S110" s="135">
        <v>0</v>
      </c>
      <c r="T110" s="135"/>
      <c r="U110" s="135">
        <v>0</v>
      </c>
      <c r="V110" s="262">
        <f>SUM(CATEGORIAS[[#This Row],[COSTO
ACUMULADO  AX]:[PROVISIONES]])</f>
        <v>0</v>
      </c>
      <c r="W110" s="264">
        <v>0</v>
      </c>
      <c r="X110" s="222"/>
      <c r="Y110" s="222">
        <v>0</v>
      </c>
      <c r="Z110" s="263">
        <f>SUM(CATEGORIAS[[#This Row],[COSTO ACUMULADO
ANTERIOR]:[PROVISIONES
ANTERIOR]])</f>
        <v>0</v>
      </c>
      <c r="AA110" s="338">
        <f>ABS(+CATEGORIAS[[#This Row],[PRESUPUESTO
FINAL
PROYECTADO]]-CATEGORIAS[[#This Row],[TOTAL PRODUCCION
ACTUAL]])</f>
        <v>0</v>
      </c>
      <c r="AB110" s="222"/>
      <c r="AC110" s="134"/>
      <c r="AD110" s="134">
        <v>0</v>
      </c>
      <c r="AE110" s="221">
        <f>SUM(CATEGORIAS[[#This Row],[INVENTARIO]:[PROYECCION
DE COSTO
DEL SALDO]])</f>
        <v>0</v>
      </c>
      <c r="AF110" s="134"/>
      <c r="AG110" s="134">
        <f>+CATEGORIAS[[#This Row],[PRESUPUESTO
FINAL
PROYECTADO]]-CATEGORIAS[[#This Row],[COSTO REAL]]-CATEGORIAS[[#This Row],[PROYECCION
TOTAL DE COSTO]]</f>
        <v>0</v>
      </c>
    </row>
    <row r="111" spans="1:33" x14ac:dyDescent="0.25">
      <c r="A111" s="245"/>
      <c r="B111" s="245"/>
      <c r="C111" s="245"/>
      <c r="D111" s="323" t="s">
        <v>1848</v>
      </c>
      <c r="E111" s="244" t="s">
        <v>588</v>
      </c>
      <c r="F111" s="246" t="s">
        <v>379</v>
      </c>
      <c r="G111" s="279">
        <v>0</v>
      </c>
      <c r="H111" s="279">
        <v>0</v>
      </c>
      <c r="I111" s="132">
        <v>0</v>
      </c>
      <c r="J111" s="132">
        <v>0</v>
      </c>
      <c r="K111" s="132">
        <v>0</v>
      </c>
      <c r="L111" s="144">
        <f>CATEGORIAS[[#This Row],[ADICIONALES]]+CATEGORIAS[[#This Row],[POM]]+CATEGORIAS[[#This Row],[REAJUSTE 
PAGADO]]+CATEGORIAS[[#This Row],[REAJUSTE
PROYECTADO]]</f>
        <v>0</v>
      </c>
      <c r="M111" s="133">
        <v>0</v>
      </c>
      <c r="N111" s="222">
        <v>0</v>
      </c>
      <c r="O111" s="142">
        <f>+CATEGORIAS[[#This Row],[PRODUCCION
PARTIDAS
ORIGINALES
ACTUAL]]+CATEGORIAS[[#This Row],[PRODUCCION
ADICIONALES
ACTUAL]]</f>
        <v>0</v>
      </c>
      <c r="P111" s="222">
        <v>0</v>
      </c>
      <c r="Q111" s="222">
        <v>0</v>
      </c>
      <c r="R111" s="141">
        <f>+CATEGORIAS[[#This Row],[PRODUCCION
ANTERIOR]]+CATEGORIAS[[#This Row],[PRODUCCION
ADICIONALES
ANTERIOR]]</f>
        <v>0</v>
      </c>
      <c r="S111" s="135">
        <v>0</v>
      </c>
      <c r="T111" s="135"/>
      <c r="U111" s="135">
        <v>0</v>
      </c>
      <c r="V111" s="262">
        <f>SUM(CATEGORIAS[[#This Row],[COSTO
ACUMULADO  AX]:[PROVISIONES]])</f>
        <v>0</v>
      </c>
      <c r="W111" s="264">
        <v>0</v>
      </c>
      <c r="X111" s="222"/>
      <c r="Y111" s="222">
        <v>0</v>
      </c>
      <c r="Z111" s="263">
        <f>SUM(CATEGORIAS[[#This Row],[COSTO ACUMULADO
ANTERIOR]:[PROVISIONES
ANTERIOR]])</f>
        <v>0</v>
      </c>
      <c r="AA111" s="338">
        <f>ABS(+CATEGORIAS[[#This Row],[PRESUPUESTO
FINAL
PROYECTADO]]-CATEGORIAS[[#This Row],[TOTAL PRODUCCION
ACTUAL]])</f>
        <v>0</v>
      </c>
      <c r="AB111" s="222"/>
      <c r="AC111" s="134"/>
      <c r="AD111" s="134">
        <v>0</v>
      </c>
      <c r="AE111" s="221">
        <f>SUM(CATEGORIAS[[#This Row],[INVENTARIO]:[PROYECCION
DE COSTO
DEL SALDO]])</f>
        <v>0</v>
      </c>
      <c r="AF111" s="134"/>
      <c r="AG111" s="134">
        <f>+CATEGORIAS[[#This Row],[PRESUPUESTO
FINAL
PROYECTADO]]-CATEGORIAS[[#This Row],[COSTO REAL]]-CATEGORIAS[[#This Row],[PROYECCION
TOTAL DE COSTO]]</f>
        <v>0</v>
      </c>
    </row>
    <row r="112" spans="1:33" x14ac:dyDescent="0.25">
      <c r="A112" s="245"/>
      <c r="B112" s="245"/>
      <c r="C112" s="245"/>
      <c r="D112" s="323" t="s">
        <v>1849</v>
      </c>
      <c r="E112" s="244" t="s">
        <v>590</v>
      </c>
      <c r="F112" s="246" t="s">
        <v>376</v>
      </c>
      <c r="G112" s="279">
        <v>0</v>
      </c>
      <c r="H112" s="279">
        <v>0</v>
      </c>
      <c r="I112" s="132">
        <v>0</v>
      </c>
      <c r="J112" s="132">
        <v>0</v>
      </c>
      <c r="K112" s="132">
        <v>0</v>
      </c>
      <c r="L112" s="144">
        <f>CATEGORIAS[[#This Row],[ADICIONALES]]+CATEGORIAS[[#This Row],[POM]]+CATEGORIAS[[#This Row],[REAJUSTE 
PAGADO]]+CATEGORIAS[[#This Row],[REAJUSTE
PROYECTADO]]</f>
        <v>0</v>
      </c>
      <c r="M112" s="133">
        <v>0</v>
      </c>
      <c r="N112" s="222">
        <v>0</v>
      </c>
      <c r="O112" s="142">
        <f>+CATEGORIAS[[#This Row],[PRODUCCION
PARTIDAS
ORIGINALES
ACTUAL]]+CATEGORIAS[[#This Row],[PRODUCCION
ADICIONALES
ACTUAL]]</f>
        <v>0</v>
      </c>
      <c r="P112" s="222">
        <v>0</v>
      </c>
      <c r="Q112" s="222">
        <v>0</v>
      </c>
      <c r="R112" s="141">
        <f>+CATEGORIAS[[#This Row],[PRODUCCION
ANTERIOR]]+CATEGORIAS[[#This Row],[PRODUCCION
ADICIONALES
ANTERIOR]]</f>
        <v>0</v>
      </c>
      <c r="S112" s="135">
        <v>0</v>
      </c>
      <c r="T112" s="135"/>
      <c r="U112" s="135">
        <v>0</v>
      </c>
      <c r="V112" s="262">
        <f>SUM(CATEGORIAS[[#This Row],[COSTO
ACUMULADO  AX]:[PROVISIONES]])</f>
        <v>0</v>
      </c>
      <c r="W112" s="264">
        <v>0</v>
      </c>
      <c r="X112" s="222"/>
      <c r="Y112" s="222">
        <v>0</v>
      </c>
      <c r="Z112" s="263">
        <f>SUM(CATEGORIAS[[#This Row],[COSTO ACUMULADO
ANTERIOR]:[PROVISIONES
ANTERIOR]])</f>
        <v>0</v>
      </c>
      <c r="AA112" s="338">
        <f>ABS(+CATEGORIAS[[#This Row],[PRESUPUESTO
FINAL
PROYECTADO]]-CATEGORIAS[[#This Row],[TOTAL PRODUCCION
ACTUAL]])</f>
        <v>0</v>
      </c>
      <c r="AB112" s="222"/>
      <c r="AC112" s="134"/>
      <c r="AD112" s="134">
        <v>0</v>
      </c>
      <c r="AE112" s="221">
        <f>SUM(CATEGORIAS[[#This Row],[INVENTARIO]:[PROYECCION
DE COSTO
DEL SALDO]])</f>
        <v>0</v>
      </c>
      <c r="AF112" s="134"/>
      <c r="AG112" s="134">
        <f>+CATEGORIAS[[#This Row],[PRESUPUESTO
FINAL
PROYECTADO]]-CATEGORIAS[[#This Row],[COSTO REAL]]-CATEGORIAS[[#This Row],[PROYECCION
TOTAL DE COSTO]]</f>
        <v>0</v>
      </c>
    </row>
    <row r="113" spans="1:33" x14ac:dyDescent="0.25">
      <c r="A113" s="245"/>
      <c r="B113" s="245"/>
      <c r="C113" s="245"/>
      <c r="D113" s="323" t="s">
        <v>1850</v>
      </c>
      <c r="E113" s="244" t="s">
        <v>592</v>
      </c>
      <c r="F113" s="246" t="s">
        <v>376</v>
      </c>
      <c r="G113" s="279">
        <v>0</v>
      </c>
      <c r="H113" s="279">
        <v>0</v>
      </c>
      <c r="I113" s="132">
        <v>0</v>
      </c>
      <c r="J113" s="132">
        <v>0</v>
      </c>
      <c r="K113" s="132">
        <v>0</v>
      </c>
      <c r="L113" s="144">
        <f>CATEGORIAS[[#This Row],[ADICIONALES]]+CATEGORIAS[[#This Row],[POM]]+CATEGORIAS[[#This Row],[REAJUSTE 
PAGADO]]+CATEGORIAS[[#This Row],[REAJUSTE
PROYECTADO]]</f>
        <v>0</v>
      </c>
      <c r="M113" s="133">
        <v>0</v>
      </c>
      <c r="N113" s="222">
        <v>0</v>
      </c>
      <c r="O113" s="142">
        <f>+CATEGORIAS[[#This Row],[PRODUCCION
PARTIDAS
ORIGINALES
ACTUAL]]+CATEGORIAS[[#This Row],[PRODUCCION
ADICIONALES
ACTUAL]]</f>
        <v>0</v>
      </c>
      <c r="P113" s="222">
        <v>0</v>
      </c>
      <c r="Q113" s="134">
        <v>0</v>
      </c>
      <c r="R113" s="141">
        <f>+CATEGORIAS[[#This Row],[PRODUCCION
ANTERIOR]]+CATEGORIAS[[#This Row],[PRODUCCION
ADICIONALES
ANTERIOR]]</f>
        <v>0</v>
      </c>
      <c r="S113" s="135">
        <v>0</v>
      </c>
      <c r="T113" s="135"/>
      <c r="U113" s="135">
        <v>0</v>
      </c>
      <c r="V113" s="262">
        <f>SUM(CATEGORIAS[[#This Row],[COSTO
ACUMULADO  AX]:[PROVISIONES]])</f>
        <v>0</v>
      </c>
      <c r="W113" s="264">
        <v>0</v>
      </c>
      <c r="X113" s="222"/>
      <c r="Y113" s="222">
        <v>0</v>
      </c>
      <c r="Z113" s="263">
        <f>SUM(CATEGORIAS[[#This Row],[COSTO ACUMULADO
ANTERIOR]:[PROVISIONES
ANTERIOR]])</f>
        <v>0</v>
      </c>
      <c r="AA113" s="338">
        <f>ABS(+CATEGORIAS[[#This Row],[PRESUPUESTO
FINAL
PROYECTADO]]-CATEGORIAS[[#This Row],[TOTAL PRODUCCION
ACTUAL]])</f>
        <v>0</v>
      </c>
      <c r="AB113" s="222"/>
      <c r="AC113" s="134"/>
      <c r="AD113" s="134">
        <v>0</v>
      </c>
      <c r="AE113" s="221">
        <f>SUM(CATEGORIAS[[#This Row],[INVENTARIO]:[PROYECCION
DE COSTO
DEL SALDO]])</f>
        <v>0</v>
      </c>
      <c r="AF113" s="134"/>
      <c r="AG113" s="134">
        <f>+CATEGORIAS[[#This Row],[PRESUPUESTO
FINAL
PROYECTADO]]-CATEGORIAS[[#This Row],[COSTO REAL]]-CATEGORIAS[[#This Row],[PROYECCION
TOTAL DE COSTO]]</f>
        <v>0</v>
      </c>
    </row>
    <row r="114" spans="1:33" x14ac:dyDescent="0.25">
      <c r="A114" s="245"/>
      <c r="B114" s="245"/>
      <c r="C114" s="245"/>
      <c r="D114" s="323" t="s">
        <v>1851</v>
      </c>
      <c r="E114" s="244" t="s">
        <v>594</v>
      </c>
      <c r="F114" s="246" t="s">
        <v>376</v>
      </c>
      <c r="G114" s="279">
        <v>0</v>
      </c>
      <c r="H114" s="279">
        <v>0</v>
      </c>
      <c r="I114" s="132">
        <v>0</v>
      </c>
      <c r="J114" s="132">
        <v>0</v>
      </c>
      <c r="K114" s="132">
        <v>0</v>
      </c>
      <c r="L114" s="144">
        <f>CATEGORIAS[[#This Row],[ADICIONALES]]+CATEGORIAS[[#This Row],[POM]]+CATEGORIAS[[#This Row],[REAJUSTE 
PAGADO]]+CATEGORIAS[[#This Row],[REAJUSTE
PROYECTADO]]</f>
        <v>0</v>
      </c>
      <c r="M114" s="133">
        <v>0</v>
      </c>
      <c r="N114" s="222">
        <v>0</v>
      </c>
      <c r="O114" s="142">
        <f>+CATEGORIAS[[#This Row],[PRODUCCION
PARTIDAS
ORIGINALES
ACTUAL]]+CATEGORIAS[[#This Row],[PRODUCCION
ADICIONALES
ACTUAL]]</f>
        <v>0</v>
      </c>
      <c r="P114" s="222">
        <v>0</v>
      </c>
      <c r="Q114" s="222">
        <v>0</v>
      </c>
      <c r="R114" s="141">
        <f>+CATEGORIAS[[#This Row],[PRODUCCION
ANTERIOR]]+CATEGORIAS[[#This Row],[PRODUCCION
ADICIONALES
ANTERIOR]]</f>
        <v>0</v>
      </c>
      <c r="S114" s="135">
        <v>0</v>
      </c>
      <c r="T114" s="135"/>
      <c r="U114" s="135">
        <v>0</v>
      </c>
      <c r="V114" s="262">
        <f>SUM(CATEGORIAS[[#This Row],[COSTO
ACUMULADO  AX]:[PROVISIONES]])</f>
        <v>0</v>
      </c>
      <c r="W114" s="264">
        <v>0</v>
      </c>
      <c r="X114" s="222"/>
      <c r="Y114" s="222">
        <v>0</v>
      </c>
      <c r="Z114" s="263">
        <f>SUM(CATEGORIAS[[#This Row],[COSTO ACUMULADO
ANTERIOR]:[PROVISIONES
ANTERIOR]])</f>
        <v>0</v>
      </c>
      <c r="AA114" s="338">
        <f>ABS(+CATEGORIAS[[#This Row],[PRESUPUESTO
FINAL
PROYECTADO]]-CATEGORIAS[[#This Row],[TOTAL PRODUCCION
ACTUAL]])</f>
        <v>0</v>
      </c>
      <c r="AB114" s="222"/>
      <c r="AC114" s="134"/>
      <c r="AD114" s="134">
        <v>0</v>
      </c>
      <c r="AE114" s="221">
        <f>SUM(CATEGORIAS[[#This Row],[INVENTARIO]:[PROYECCION
DE COSTO
DEL SALDO]])</f>
        <v>0</v>
      </c>
      <c r="AF114" s="134"/>
      <c r="AG114" s="134">
        <f>+CATEGORIAS[[#This Row],[PRESUPUESTO
FINAL
PROYECTADO]]-CATEGORIAS[[#This Row],[COSTO REAL]]-CATEGORIAS[[#This Row],[PROYECCION
TOTAL DE COSTO]]</f>
        <v>0</v>
      </c>
    </row>
    <row r="115" spans="1:33" x14ac:dyDescent="0.25">
      <c r="A115" s="245" t="s">
        <v>48</v>
      </c>
      <c r="B115" s="245" t="s">
        <v>2421</v>
      </c>
      <c r="C115" s="245" t="s">
        <v>2410</v>
      </c>
      <c r="D115" s="323" t="s">
        <v>1852</v>
      </c>
      <c r="E115" s="244" t="s">
        <v>596</v>
      </c>
      <c r="F115" s="246" t="s">
        <v>379</v>
      </c>
      <c r="G115" s="279">
        <v>1198500</v>
      </c>
      <c r="H115" s="279">
        <v>932875</v>
      </c>
      <c r="I115" s="132">
        <v>0</v>
      </c>
      <c r="J115" s="132">
        <v>32891.637758166238</v>
      </c>
      <c r="K115" s="132">
        <v>0</v>
      </c>
      <c r="L115" s="144">
        <f>CATEGORIAS[[#This Row],[ADICIONALES]]+CATEGORIAS[[#This Row],[POM]]+CATEGORIAS[[#This Row],[REAJUSTE 
PAGADO]]+CATEGORIAS[[#This Row],[REAJUSTE
PROYECTADO]]</f>
        <v>965766.6377581663</v>
      </c>
      <c r="M115" s="133">
        <v>965583.51382549736</v>
      </c>
      <c r="N115" s="222">
        <v>183.12393266893923</v>
      </c>
      <c r="O115" s="142">
        <f>+CATEGORIAS[[#This Row],[PRODUCCION
PARTIDAS
ORIGINALES
ACTUAL]]+CATEGORIAS[[#This Row],[PRODUCCION
ADICIONALES
ACTUAL]]</f>
        <v>965766.6377581663</v>
      </c>
      <c r="P115" s="222">
        <v>965583.51382549736</v>
      </c>
      <c r="Q115" s="134">
        <v>0</v>
      </c>
      <c r="R115" s="141">
        <f>+CATEGORIAS[[#This Row],[PRODUCCION
ANTERIOR]]+CATEGORIAS[[#This Row],[PRODUCCION
ADICIONALES
ANTERIOR]]</f>
        <v>965583.51382549736</v>
      </c>
      <c r="S115" s="135">
        <v>3189423</v>
      </c>
      <c r="T115" s="135"/>
      <c r="U115" s="135">
        <v>0</v>
      </c>
      <c r="V115" s="262">
        <f>SUM(CATEGORIAS[[#This Row],[COSTO
ACUMULADO  AX]:[PROVISIONES]])</f>
        <v>3189423</v>
      </c>
      <c r="W115" s="264">
        <v>3045313</v>
      </c>
      <c r="X115" s="222"/>
      <c r="Y115" s="222">
        <v>515072</v>
      </c>
      <c r="Z115" s="263">
        <f>SUM(CATEGORIAS[[#This Row],[COSTO ACUMULADO
ANTERIOR]:[PROVISIONES
ANTERIOR]])</f>
        <v>3560385</v>
      </c>
      <c r="AA115" s="338">
        <f>ABS(+CATEGORIAS[[#This Row],[PRESUPUESTO
FINAL
PROYECTADO]]-CATEGORIAS[[#This Row],[TOTAL PRODUCCION
ACTUAL]])</f>
        <v>0</v>
      </c>
      <c r="AB115" s="222"/>
      <c r="AC115" s="134"/>
      <c r="AD115" s="134">
        <v>0</v>
      </c>
      <c r="AE115" s="221">
        <f>SUM(CATEGORIAS[[#This Row],[INVENTARIO]:[PROYECCION
DE COSTO
DEL SALDO]])</f>
        <v>0</v>
      </c>
      <c r="AF115" s="134"/>
      <c r="AG115" s="134">
        <f>+CATEGORIAS[[#This Row],[PRESUPUESTO
FINAL
PROYECTADO]]-CATEGORIAS[[#This Row],[COSTO REAL]]-CATEGORIAS[[#This Row],[PROYECCION
TOTAL DE COSTO]]</f>
        <v>-2223656.3622418335</v>
      </c>
    </row>
    <row r="116" spans="1:33" x14ac:dyDescent="0.25">
      <c r="A116" s="245"/>
      <c r="B116" s="245"/>
      <c r="C116" s="245"/>
      <c r="D116" s="323" t="s">
        <v>1853</v>
      </c>
      <c r="E116" s="244" t="s">
        <v>598</v>
      </c>
      <c r="F116" s="246" t="s">
        <v>376</v>
      </c>
      <c r="G116" s="279">
        <v>0</v>
      </c>
      <c r="H116" s="279">
        <v>0</v>
      </c>
      <c r="I116" s="132">
        <v>0</v>
      </c>
      <c r="J116" s="132">
        <v>0</v>
      </c>
      <c r="K116" s="132">
        <v>0</v>
      </c>
      <c r="L116" s="144">
        <f>CATEGORIAS[[#This Row],[ADICIONALES]]+CATEGORIAS[[#This Row],[POM]]+CATEGORIAS[[#This Row],[REAJUSTE 
PAGADO]]+CATEGORIAS[[#This Row],[REAJUSTE
PROYECTADO]]</f>
        <v>0</v>
      </c>
      <c r="M116" s="133">
        <v>0</v>
      </c>
      <c r="N116" s="222">
        <v>0</v>
      </c>
      <c r="O116" s="142">
        <f>+CATEGORIAS[[#This Row],[PRODUCCION
PARTIDAS
ORIGINALES
ACTUAL]]+CATEGORIAS[[#This Row],[PRODUCCION
ADICIONALES
ACTUAL]]</f>
        <v>0</v>
      </c>
      <c r="P116" s="222">
        <v>0</v>
      </c>
      <c r="Q116" s="134">
        <v>0</v>
      </c>
      <c r="R116" s="141">
        <f>+CATEGORIAS[[#This Row],[PRODUCCION
ANTERIOR]]+CATEGORIAS[[#This Row],[PRODUCCION
ADICIONALES
ANTERIOR]]</f>
        <v>0</v>
      </c>
      <c r="S116" s="135">
        <v>0</v>
      </c>
      <c r="T116" s="135"/>
      <c r="U116" s="135">
        <v>0</v>
      </c>
      <c r="V116" s="262">
        <f>SUM(CATEGORIAS[[#This Row],[COSTO
ACUMULADO  AX]:[PROVISIONES]])</f>
        <v>0</v>
      </c>
      <c r="W116" s="264">
        <v>0</v>
      </c>
      <c r="X116" s="222"/>
      <c r="Y116" s="222">
        <v>0</v>
      </c>
      <c r="Z116" s="263">
        <f>SUM(CATEGORIAS[[#This Row],[COSTO ACUMULADO
ANTERIOR]:[PROVISIONES
ANTERIOR]])</f>
        <v>0</v>
      </c>
      <c r="AA116" s="338">
        <f>ABS(+CATEGORIAS[[#This Row],[PRESUPUESTO
FINAL
PROYECTADO]]-CATEGORIAS[[#This Row],[TOTAL PRODUCCION
ACTUAL]])</f>
        <v>0</v>
      </c>
      <c r="AB116" s="222"/>
      <c r="AC116" s="134"/>
      <c r="AD116" s="134">
        <v>0</v>
      </c>
      <c r="AE116" s="221">
        <f>SUM(CATEGORIAS[[#This Row],[INVENTARIO]:[PROYECCION
DE COSTO
DEL SALDO]])</f>
        <v>0</v>
      </c>
      <c r="AF116" s="134"/>
      <c r="AG116" s="134">
        <f>+CATEGORIAS[[#This Row],[PRESUPUESTO
FINAL
PROYECTADO]]-CATEGORIAS[[#This Row],[COSTO REAL]]-CATEGORIAS[[#This Row],[PROYECCION
TOTAL DE COSTO]]</f>
        <v>0</v>
      </c>
    </row>
    <row r="117" spans="1:33" x14ac:dyDescent="0.25">
      <c r="A117" s="245"/>
      <c r="B117" s="245"/>
      <c r="C117" s="245"/>
      <c r="D117" s="323" t="s">
        <v>1854</v>
      </c>
      <c r="E117" s="244" t="s">
        <v>600</v>
      </c>
      <c r="F117" s="246" t="s">
        <v>376</v>
      </c>
      <c r="G117" s="279">
        <v>0</v>
      </c>
      <c r="H117" s="279">
        <v>0</v>
      </c>
      <c r="I117" s="132">
        <v>0</v>
      </c>
      <c r="J117" s="132">
        <v>0</v>
      </c>
      <c r="K117" s="132">
        <v>0</v>
      </c>
      <c r="L117" s="144">
        <f>CATEGORIAS[[#This Row],[ADICIONALES]]+CATEGORIAS[[#This Row],[POM]]+CATEGORIAS[[#This Row],[REAJUSTE 
PAGADO]]+CATEGORIAS[[#This Row],[REAJUSTE
PROYECTADO]]</f>
        <v>0</v>
      </c>
      <c r="M117" s="133">
        <v>0</v>
      </c>
      <c r="N117" s="222">
        <v>0</v>
      </c>
      <c r="O117" s="142">
        <f>+CATEGORIAS[[#This Row],[PRODUCCION
PARTIDAS
ORIGINALES
ACTUAL]]+CATEGORIAS[[#This Row],[PRODUCCION
ADICIONALES
ACTUAL]]</f>
        <v>0</v>
      </c>
      <c r="P117" s="222">
        <v>0</v>
      </c>
      <c r="Q117" s="222">
        <v>0</v>
      </c>
      <c r="R117" s="141">
        <f>+CATEGORIAS[[#This Row],[PRODUCCION
ANTERIOR]]+CATEGORIAS[[#This Row],[PRODUCCION
ADICIONALES
ANTERIOR]]</f>
        <v>0</v>
      </c>
      <c r="S117" s="135">
        <v>0</v>
      </c>
      <c r="T117" s="135"/>
      <c r="U117" s="135">
        <v>0</v>
      </c>
      <c r="V117" s="262">
        <f>SUM(CATEGORIAS[[#This Row],[COSTO
ACUMULADO  AX]:[PROVISIONES]])</f>
        <v>0</v>
      </c>
      <c r="W117" s="264">
        <v>0</v>
      </c>
      <c r="X117" s="222"/>
      <c r="Y117" s="222">
        <v>0</v>
      </c>
      <c r="Z117" s="263">
        <f>SUM(CATEGORIAS[[#This Row],[COSTO ACUMULADO
ANTERIOR]:[PROVISIONES
ANTERIOR]])</f>
        <v>0</v>
      </c>
      <c r="AA117" s="338">
        <f>ABS(+CATEGORIAS[[#This Row],[PRESUPUESTO
FINAL
PROYECTADO]]-CATEGORIAS[[#This Row],[TOTAL PRODUCCION
ACTUAL]])</f>
        <v>0</v>
      </c>
      <c r="AB117" s="222"/>
      <c r="AC117" s="134"/>
      <c r="AD117" s="134">
        <v>0</v>
      </c>
      <c r="AE117" s="221">
        <f>SUM(CATEGORIAS[[#This Row],[INVENTARIO]:[PROYECCION
DE COSTO
DEL SALDO]])</f>
        <v>0</v>
      </c>
      <c r="AF117" s="134"/>
      <c r="AG117" s="134">
        <f>+CATEGORIAS[[#This Row],[PRESUPUESTO
FINAL
PROYECTADO]]-CATEGORIAS[[#This Row],[COSTO REAL]]-CATEGORIAS[[#This Row],[PROYECCION
TOTAL DE COSTO]]</f>
        <v>0</v>
      </c>
    </row>
    <row r="118" spans="1:33" x14ac:dyDescent="0.25">
      <c r="A118" s="245"/>
      <c r="B118" s="245"/>
      <c r="C118" s="245"/>
      <c r="D118" s="323" t="s">
        <v>1855</v>
      </c>
      <c r="E118" s="244" t="s">
        <v>602</v>
      </c>
      <c r="F118" s="246" t="s">
        <v>376</v>
      </c>
      <c r="G118" s="279">
        <v>0</v>
      </c>
      <c r="H118" s="279">
        <v>0</v>
      </c>
      <c r="I118" s="132">
        <v>0</v>
      </c>
      <c r="J118" s="132">
        <v>0</v>
      </c>
      <c r="K118" s="132">
        <v>0</v>
      </c>
      <c r="L118" s="144">
        <f>CATEGORIAS[[#This Row],[ADICIONALES]]+CATEGORIAS[[#This Row],[POM]]+CATEGORIAS[[#This Row],[REAJUSTE 
PAGADO]]+CATEGORIAS[[#This Row],[REAJUSTE
PROYECTADO]]</f>
        <v>0</v>
      </c>
      <c r="M118" s="133">
        <v>0</v>
      </c>
      <c r="N118" s="222">
        <v>0</v>
      </c>
      <c r="O118" s="142">
        <f>+CATEGORIAS[[#This Row],[PRODUCCION
PARTIDAS
ORIGINALES
ACTUAL]]+CATEGORIAS[[#This Row],[PRODUCCION
ADICIONALES
ACTUAL]]</f>
        <v>0</v>
      </c>
      <c r="P118" s="222">
        <v>0</v>
      </c>
      <c r="Q118" s="134">
        <v>0</v>
      </c>
      <c r="R118" s="141">
        <f>+CATEGORIAS[[#This Row],[PRODUCCION
ANTERIOR]]+CATEGORIAS[[#This Row],[PRODUCCION
ADICIONALES
ANTERIOR]]</f>
        <v>0</v>
      </c>
      <c r="S118" s="135">
        <v>0</v>
      </c>
      <c r="T118" s="135"/>
      <c r="U118" s="135">
        <v>0</v>
      </c>
      <c r="V118" s="262">
        <f>SUM(CATEGORIAS[[#This Row],[COSTO
ACUMULADO  AX]:[PROVISIONES]])</f>
        <v>0</v>
      </c>
      <c r="W118" s="264">
        <v>0</v>
      </c>
      <c r="X118" s="222"/>
      <c r="Y118" s="222">
        <v>0</v>
      </c>
      <c r="Z118" s="263">
        <f>SUM(CATEGORIAS[[#This Row],[COSTO ACUMULADO
ANTERIOR]:[PROVISIONES
ANTERIOR]])</f>
        <v>0</v>
      </c>
      <c r="AA118" s="338">
        <f>ABS(+CATEGORIAS[[#This Row],[PRESUPUESTO
FINAL
PROYECTADO]]-CATEGORIAS[[#This Row],[TOTAL PRODUCCION
ACTUAL]])</f>
        <v>0</v>
      </c>
      <c r="AB118" s="222"/>
      <c r="AC118" s="134"/>
      <c r="AD118" s="134">
        <v>0</v>
      </c>
      <c r="AE118" s="221">
        <f>SUM(CATEGORIAS[[#This Row],[INVENTARIO]:[PROYECCION
DE COSTO
DEL SALDO]])</f>
        <v>0</v>
      </c>
      <c r="AF118" s="134"/>
      <c r="AG118" s="134">
        <f>+CATEGORIAS[[#This Row],[PRESUPUESTO
FINAL
PROYECTADO]]-CATEGORIAS[[#This Row],[COSTO REAL]]-CATEGORIAS[[#This Row],[PROYECCION
TOTAL DE COSTO]]</f>
        <v>0</v>
      </c>
    </row>
    <row r="119" spans="1:33" x14ac:dyDescent="0.25">
      <c r="A119" s="245"/>
      <c r="B119" s="245"/>
      <c r="C119" s="245"/>
      <c r="D119" s="323" t="s">
        <v>1856</v>
      </c>
      <c r="E119" s="244" t="s">
        <v>604</v>
      </c>
      <c r="F119" s="246" t="s">
        <v>376</v>
      </c>
      <c r="G119" s="279">
        <v>0</v>
      </c>
      <c r="H119" s="279">
        <v>0</v>
      </c>
      <c r="I119" s="132">
        <v>0</v>
      </c>
      <c r="J119" s="132">
        <v>0</v>
      </c>
      <c r="K119" s="132">
        <v>0</v>
      </c>
      <c r="L119" s="144">
        <f>CATEGORIAS[[#This Row],[ADICIONALES]]+CATEGORIAS[[#This Row],[POM]]+CATEGORIAS[[#This Row],[REAJUSTE 
PAGADO]]+CATEGORIAS[[#This Row],[REAJUSTE
PROYECTADO]]</f>
        <v>0</v>
      </c>
      <c r="M119" s="133">
        <v>0</v>
      </c>
      <c r="N119" s="222">
        <v>0</v>
      </c>
      <c r="O119" s="142">
        <f>+CATEGORIAS[[#This Row],[PRODUCCION
PARTIDAS
ORIGINALES
ACTUAL]]+CATEGORIAS[[#This Row],[PRODUCCION
ADICIONALES
ACTUAL]]</f>
        <v>0</v>
      </c>
      <c r="P119" s="222">
        <v>0</v>
      </c>
      <c r="Q119" s="222">
        <v>0</v>
      </c>
      <c r="R119" s="141">
        <f>+CATEGORIAS[[#This Row],[PRODUCCION
ANTERIOR]]+CATEGORIAS[[#This Row],[PRODUCCION
ADICIONALES
ANTERIOR]]</f>
        <v>0</v>
      </c>
      <c r="S119" s="135">
        <v>0</v>
      </c>
      <c r="T119" s="135"/>
      <c r="U119" s="135">
        <v>0</v>
      </c>
      <c r="V119" s="262">
        <f>SUM(CATEGORIAS[[#This Row],[COSTO
ACUMULADO  AX]:[PROVISIONES]])</f>
        <v>0</v>
      </c>
      <c r="W119" s="264">
        <v>0</v>
      </c>
      <c r="X119" s="222"/>
      <c r="Y119" s="222">
        <v>0</v>
      </c>
      <c r="Z119" s="263">
        <f>SUM(CATEGORIAS[[#This Row],[COSTO ACUMULADO
ANTERIOR]:[PROVISIONES
ANTERIOR]])</f>
        <v>0</v>
      </c>
      <c r="AA119" s="338">
        <f>ABS(+CATEGORIAS[[#This Row],[PRESUPUESTO
FINAL
PROYECTADO]]-CATEGORIAS[[#This Row],[TOTAL PRODUCCION
ACTUAL]])</f>
        <v>0</v>
      </c>
      <c r="AB119" s="222"/>
      <c r="AC119" s="134"/>
      <c r="AD119" s="134">
        <v>0</v>
      </c>
      <c r="AE119" s="221">
        <f>SUM(CATEGORIAS[[#This Row],[INVENTARIO]:[PROYECCION
DE COSTO
DEL SALDO]])</f>
        <v>0</v>
      </c>
      <c r="AF119" s="134"/>
      <c r="AG119" s="134">
        <f>+CATEGORIAS[[#This Row],[PRESUPUESTO
FINAL
PROYECTADO]]-CATEGORIAS[[#This Row],[COSTO REAL]]-CATEGORIAS[[#This Row],[PROYECCION
TOTAL DE COSTO]]</f>
        <v>0</v>
      </c>
    </row>
    <row r="120" spans="1:33" x14ac:dyDescent="0.25">
      <c r="A120" s="245"/>
      <c r="B120" s="245"/>
      <c r="C120" s="245"/>
      <c r="D120" s="323" t="s">
        <v>1857</v>
      </c>
      <c r="E120" s="244" t="s">
        <v>606</v>
      </c>
      <c r="F120" s="246" t="s">
        <v>376</v>
      </c>
      <c r="G120" s="279">
        <v>0</v>
      </c>
      <c r="H120" s="279">
        <v>0</v>
      </c>
      <c r="I120" s="132">
        <v>0</v>
      </c>
      <c r="J120" s="132">
        <v>0</v>
      </c>
      <c r="K120" s="132">
        <v>0</v>
      </c>
      <c r="L120" s="144">
        <f>CATEGORIAS[[#This Row],[ADICIONALES]]+CATEGORIAS[[#This Row],[POM]]+CATEGORIAS[[#This Row],[REAJUSTE 
PAGADO]]+CATEGORIAS[[#This Row],[REAJUSTE
PROYECTADO]]</f>
        <v>0</v>
      </c>
      <c r="M120" s="133">
        <v>0</v>
      </c>
      <c r="N120" s="222">
        <v>0</v>
      </c>
      <c r="O120" s="142">
        <f>+CATEGORIAS[[#This Row],[PRODUCCION
PARTIDAS
ORIGINALES
ACTUAL]]+CATEGORIAS[[#This Row],[PRODUCCION
ADICIONALES
ACTUAL]]</f>
        <v>0</v>
      </c>
      <c r="P120" s="222">
        <v>0</v>
      </c>
      <c r="Q120" s="134">
        <v>0</v>
      </c>
      <c r="R120" s="141">
        <f>+CATEGORIAS[[#This Row],[PRODUCCION
ANTERIOR]]+CATEGORIAS[[#This Row],[PRODUCCION
ADICIONALES
ANTERIOR]]</f>
        <v>0</v>
      </c>
      <c r="S120" s="135">
        <v>0</v>
      </c>
      <c r="T120" s="135"/>
      <c r="U120" s="135">
        <v>0</v>
      </c>
      <c r="V120" s="262">
        <f>SUM(CATEGORIAS[[#This Row],[COSTO
ACUMULADO  AX]:[PROVISIONES]])</f>
        <v>0</v>
      </c>
      <c r="W120" s="264">
        <v>0</v>
      </c>
      <c r="X120" s="222"/>
      <c r="Y120" s="222">
        <v>0</v>
      </c>
      <c r="Z120" s="263">
        <f>SUM(CATEGORIAS[[#This Row],[COSTO ACUMULADO
ANTERIOR]:[PROVISIONES
ANTERIOR]])</f>
        <v>0</v>
      </c>
      <c r="AA120" s="338">
        <f>ABS(+CATEGORIAS[[#This Row],[PRESUPUESTO
FINAL
PROYECTADO]]-CATEGORIAS[[#This Row],[TOTAL PRODUCCION
ACTUAL]])</f>
        <v>0</v>
      </c>
      <c r="AB120" s="222"/>
      <c r="AC120" s="134"/>
      <c r="AD120" s="134">
        <v>0</v>
      </c>
      <c r="AE120" s="221">
        <f>SUM(CATEGORIAS[[#This Row],[INVENTARIO]:[PROYECCION
DE COSTO
DEL SALDO]])</f>
        <v>0</v>
      </c>
      <c r="AF120" s="134"/>
      <c r="AG120" s="134">
        <f>+CATEGORIAS[[#This Row],[PRESUPUESTO
FINAL
PROYECTADO]]-CATEGORIAS[[#This Row],[COSTO REAL]]-CATEGORIAS[[#This Row],[PROYECCION
TOTAL DE COSTO]]</f>
        <v>0</v>
      </c>
    </row>
    <row r="121" spans="1:33" x14ac:dyDescent="0.25">
      <c r="A121" s="245"/>
      <c r="B121" s="245"/>
      <c r="C121" s="245"/>
      <c r="D121" s="323" t="s">
        <v>1858</v>
      </c>
      <c r="E121" s="244" t="s">
        <v>608</v>
      </c>
      <c r="F121" s="246" t="s">
        <v>376</v>
      </c>
      <c r="G121" s="279">
        <v>0</v>
      </c>
      <c r="H121" s="279">
        <v>0</v>
      </c>
      <c r="I121" s="132">
        <v>0</v>
      </c>
      <c r="J121" s="132">
        <v>0</v>
      </c>
      <c r="K121" s="132">
        <v>0</v>
      </c>
      <c r="L121" s="144">
        <f>CATEGORIAS[[#This Row],[ADICIONALES]]+CATEGORIAS[[#This Row],[POM]]+CATEGORIAS[[#This Row],[REAJUSTE 
PAGADO]]+CATEGORIAS[[#This Row],[REAJUSTE
PROYECTADO]]</f>
        <v>0</v>
      </c>
      <c r="M121" s="133">
        <v>0</v>
      </c>
      <c r="N121" s="222">
        <v>0</v>
      </c>
      <c r="O121" s="142">
        <f>+CATEGORIAS[[#This Row],[PRODUCCION
PARTIDAS
ORIGINALES
ACTUAL]]+CATEGORIAS[[#This Row],[PRODUCCION
ADICIONALES
ACTUAL]]</f>
        <v>0</v>
      </c>
      <c r="P121" s="222">
        <v>0</v>
      </c>
      <c r="Q121" s="222">
        <v>0</v>
      </c>
      <c r="R121" s="141">
        <f>+CATEGORIAS[[#This Row],[PRODUCCION
ANTERIOR]]+CATEGORIAS[[#This Row],[PRODUCCION
ADICIONALES
ANTERIOR]]</f>
        <v>0</v>
      </c>
      <c r="S121" s="135">
        <v>0</v>
      </c>
      <c r="T121" s="135"/>
      <c r="U121" s="135">
        <v>0</v>
      </c>
      <c r="V121" s="262">
        <f>SUM(CATEGORIAS[[#This Row],[COSTO
ACUMULADO  AX]:[PROVISIONES]])</f>
        <v>0</v>
      </c>
      <c r="W121" s="264">
        <v>0</v>
      </c>
      <c r="X121" s="222"/>
      <c r="Y121" s="222">
        <v>0</v>
      </c>
      <c r="Z121" s="263">
        <f>SUM(CATEGORIAS[[#This Row],[COSTO ACUMULADO
ANTERIOR]:[PROVISIONES
ANTERIOR]])</f>
        <v>0</v>
      </c>
      <c r="AA121" s="338">
        <f>ABS(+CATEGORIAS[[#This Row],[PRESUPUESTO
FINAL
PROYECTADO]]-CATEGORIAS[[#This Row],[TOTAL PRODUCCION
ACTUAL]])</f>
        <v>0</v>
      </c>
      <c r="AB121" s="222"/>
      <c r="AC121" s="134"/>
      <c r="AD121" s="134">
        <v>0</v>
      </c>
      <c r="AE121" s="221">
        <f>SUM(CATEGORIAS[[#This Row],[INVENTARIO]:[PROYECCION
DE COSTO
DEL SALDO]])</f>
        <v>0</v>
      </c>
      <c r="AF121" s="134"/>
      <c r="AG121" s="134">
        <f>+CATEGORIAS[[#This Row],[PRESUPUESTO
FINAL
PROYECTADO]]-CATEGORIAS[[#This Row],[COSTO REAL]]-CATEGORIAS[[#This Row],[PROYECCION
TOTAL DE COSTO]]</f>
        <v>0</v>
      </c>
    </row>
    <row r="122" spans="1:33" x14ac:dyDescent="0.25">
      <c r="A122" s="245"/>
      <c r="B122" s="245"/>
      <c r="C122" s="245"/>
      <c r="D122" s="323" t="s">
        <v>1859</v>
      </c>
      <c r="E122" s="244" t="s">
        <v>610</v>
      </c>
      <c r="F122" s="246" t="s">
        <v>376</v>
      </c>
      <c r="G122" s="279">
        <v>0</v>
      </c>
      <c r="H122" s="279">
        <v>0</v>
      </c>
      <c r="I122" s="132">
        <v>0</v>
      </c>
      <c r="J122" s="132">
        <v>0</v>
      </c>
      <c r="K122" s="132">
        <v>0</v>
      </c>
      <c r="L122" s="144">
        <f>CATEGORIAS[[#This Row],[ADICIONALES]]+CATEGORIAS[[#This Row],[POM]]+CATEGORIAS[[#This Row],[REAJUSTE 
PAGADO]]+CATEGORIAS[[#This Row],[REAJUSTE
PROYECTADO]]</f>
        <v>0</v>
      </c>
      <c r="M122" s="133">
        <v>0</v>
      </c>
      <c r="N122" s="222">
        <v>0</v>
      </c>
      <c r="O122" s="142">
        <f>+CATEGORIAS[[#This Row],[PRODUCCION
PARTIDAS
ORIGINALES
ACTUAL]]+CATEGORIAS[[#This Row],[PRODUCCION
ADICIONALES
ACTUAL]]</f>
        <v>0</v>
      </c>
      <c r="P122" s="222">
        <v>0</v>
      </c>
      <c r="Q122" s="222">
        <v>0</v>
      </c>
      <c r="R122" s="141">
        <f>+CATEGORIAS[[#This Row],[PRODUCCION
ANTERIOR]]+CATEGORIAS[[#This Row],[PRODUCCION
ADICIONALES
ANTERIOR]]</f>
        <v>0</v>
      </c>
      <c r="S122" s="135">
        <v>0</v>
      </c>
      <c r="T122" s="135"/>
      <c r="U122" s="135">
        <v>0</v>
      </c>
      <c r="V122" s="262">
        <f>SUM(CATEGORIAS[[#This Row],[COSTO
ACUMULADO  AX]:[PROVISIONES]])</f>
        <v>0</v>
      </c>
      <c r="W122" s="264">
        <v>0</v>
      </c>
      <c r="X122" s="222"/>
      <c r="Y122" s="222">
        <v>0</v>
      </c>
      <c r="Z122" s="263">
        <f>SUM(CATEGORIAS[[#This Row],[COSTO ACUMULADO
ANTERIOR]:[PROVISIONES
ANTERIOR]])</f>
        <v>0</v>
      </c>
      <c r="AA122" s="338">
        <f>ABS(+CATEGORIAS[[#This Row],[PRESUPUESTO
FINAL
PROYECTADO]]-CATEGORIAS[[#This Row],[TOTAL PRODUCCION
ACTUAL]])</f>
        <v>0</v>
      </c>
      <c r="AB122" s="222"/>
      <c r="AC122" s="134"/>
      <c r="AD122" s="134">
        <v>0</v>
      </c>
      <c r="AE122" s="221">
        <f>SUM(CATEGORIAS[[#This Row],[INVENTARIO]:[PROYECCION
DE COSTO
DEL SALDO]])</f>
        <v>0</v>
      </c>
      <c r="AF122" s="134"/>
      <c r="AG122" s="134">
        <f>+CATEGORIAS[[#This Row],[PRESUPUESTO
FINAL
PROYECTADO]]-CATEGORIAS[[#This Row],[COSTO REAL]]-CATEGORIAS[[#This Row],[PROYECCION
TOTAL DE COSTO]]</f>
        <v>0</v>
      </c>
    </row>
    <row r="123" spans="1:33" x14ac:dyDescent="0.25">
      <c r="A123" s="245"/>
      <c r="B123" s="245"/>
      <c r="C123" s="245"/>
      <c r="D123" s="323" t="s">
        <v>1860</v>
      </c>
      <c r="E123" s="244" t="s">
        <v>612</v>
      </c>
      <c r="F123" s="246" t="s">
        <v>376</v>
      </c>
      <c r="G123" s="279">
        <v>0</v>
      </c>
      <c r="H123" s="279">
        <v>0</v>
      </c>
      <c r="I123" s="132">
        <v>0</v>
      </c>
      <c r="J123" s="132">
        <v>0</v>
      </c>
      <c r="K123" s="132">
        <v>0</v>
      </c>
      <c r="L123" s="144">
        <f>CATEGORIAS[[#This Row],[ADICIONALES]]+CATEGORIAS[[#This Row],[POM]]+CATEGORIAS[[#This Row],[REAJUSTE 
PAGADO]]+CATEGORIAS[[#This Row],[REAJUSTE
PROYECTADO]]</f>
        <v>0</v>
      </c>
      <c r="M123" s="133">
        <v>0</v>
      </c>
      <c r="N123" s="222">
        <v>0</v>
      </c>
      <c r="O123" s="142">
        <f>+CATEGORIAS[[#This Row],[PRODUCCION
PARTIDAS
ORIGINALES
ACTUAL]]+CATEGORIAS[[#This Row],[PRODUCCION
ADICIONALES
ACTUAL]]</f>
        <v>0</v>
      </c>
      <c r="P123" s="222">
        <v>0</v>
      </c>
      <c r="Q123" s="222">
        <v>0</v>
      </c>
      <c r="R123" s="141">
        <f>+CATEGORIAS[[#This Row],[PRODUCCION
ANTERIOR]]+CATEGORIAS[[#This Row],[PRODUCCION
ADICIONALES
ANTERIOR]]</f>
        <v>0</v>
      </c>
      <c r="S123" s="135">
        <v>0</v>
      </c>
      <c r="T123" s="135"/>
      <c r="U123" s="135">
        <v>0</v>
      </c>
      <c r="V123" s="262">
        <f>SUM(CATEGORIAS[[#This Row],[COSTO
ACUMULADO  AX]:[PROVISIONES]])</f>
        <v>0</v>
      </c>
      <c r="W123" s="264">
        <v>0</v>
      </c>
      <c r="X123" s="222"/>
      <c r="Y123" s="222">
        <v>0</v>
      </c>
      <c r="Z123" s="263">
        <f>SUM(CATEGORIAS[[#This Row],[COSTO ACUMULADO
ANTERIOR]:[PROVISIONES
ANTERIOR]])</f>
        <v>0</v>
      </c>
      <c r="AA123" s="338">
        <f>ABS(+CATEGORIAS[[#This Row],[PRESUPUESTO
FINAL
PROYECTADO]]-CATEGORIAS[[#This Row],[TOTAL PRODUCCION
ACTUAL]])</f>
        <v>0</v>
      </c>
      <c r="AB123" s="222"/>
      <c r="AC123" s="134"/>
      <c r="AD123" s="134">
        <v>0</v>
      </c>
      <c r="AE123" s="221">
        <f>SUM(CATEGORIAS[[#This Row],[INVENTARIO]:[PROYECCION
DE COSTO
DEL SALDO]])</f>
        <v>0</v>
      </c>
      <c r="AF123" s="134"/>
      <c r="AG123" s="134">
        <f>+CATEGORIAS[[#This Row],[PRESUPUESTO
FINAL
PROYECTADO]]-CATEGORIAS[[#This Row],[COSTO REAL]]-CATEGORIAS[[#This Row],[PROYECCION
TOTAL DE COSTO]]</f>
        <v>0</v>
      </c>
    </row>
    <row r="124" spans="1:33" x14ac:dyDescent="0.25">
      <c r="A124" s="245"/>
      <c r="B124" s="245"/>
      <c r="C124" s="245"/>
      <c r="D124" s="323" t="s">
        <v>1861</v>
      </c>
      <c r="E124" s="244" t="s">
        <v>614</v>
      </c>
      <c r="F124" s="246" t="s">
        <v>376</v>
      </c>
      <c r="G124" s="279">
        <v>0</v>
      </c>
      <c r="H124" s="279">
        <v>0</v>
      </c>
      <c r="I124" s="132">
        <v>0</v>
      </c>
      <c r="J124" s="132">
        <v>0</v>
      </c>
      <c r="K124" s="132">
        <v>0</v>
      </c>
      <c r="L124" s="144">
        <f>CATEGORIAS[[#This Row],[ADICIONALES]]+CATEGORIAS[[#This Row],[POM]]+CATEGORIAS[[#This Row],[REAJUSTE 
PAGADO]]+CATEGORIAS[[#This Row],[REAJUSTE
PROYECTADO]]</f>
        <v>0</v>
      </c>
      <c r="M124" s="133">
        <v>0</v>
      </c>
      <c r="N124" s="222">
        <v>0</v>
      </c>
      <c r="O124" s="142">
        <f>+CATEGORIAS[[#This Row],[PRODUCCION
PARTIDAS
ORIGINALES
ACTUAL]]+CATEGORIAS[[#This Row],[PRODUCCION
ADICIONALES
ACTUAL]]</f>
        <v>0</v>
      </c>
      <c r="P124" s="222">
        <v>0</v>
      </c>
      <c r="Q124" s="134">
        <v>0</v>
      </c>
      <c r="R124" s="141">
        <f>+CATEGORIAS[[#This Row],[PRODUCCION
ANTERIOR]]+CATEGORIAS[[#This Row],[PRODUCCION
ADICIONALES
ANTERIOR]]</f>
        <v>0</v>
      </c>
      <c r="S124" s="135">
        <v>0</v>
      </c>
      <c r="T124" s="135"/>
      <c r="U124" s="135">
        <v>0</v>
      </c>
      <c r="V124" s="262">
        <f>SUM(CATEGORIAS[[#This Row],[COSTO
ACUMULADO  AX]:[PROVISIONES]])</f>
        <v>0</v>
      </c>
      <c r="W124" s="264">
        <v>0</v>
      </c>
      <c r="X124" s="222"/>
      <c r="Y124" s="222">
        <v>0</v>
      </c>
      <c r="Z124" s="263">
        <f>SUM(CATEGORIAS[[#This Row],[COSTO ACUMULADO
ANTERIOR]:[PROVISIONES
ANTERIOR]])</f>
        <v>0</v>
      </c>
      <c r="AA124" s="338">
        <f>ABS(+CATEGORIAS[[#This Row],[PRESUPUESTO
FINAL
PROYECTADO]]-CATEGORIAS[[#This Row],[TOTAL PRODUCCION
ACTUAL]])</f>
        <v>0</v>
      </c>
      <c r="AB124" s="222"/>
      <c r="AC124" s="134"/>
      <c r="AD124" s="134">
        <v>0</v>
      </c>
      <c r="AE124" s="221">
        <f>SUM(CATEGORIAS[[#This Row],[INVENTARIO]:[PROYECCION
DE COSTO
DEL SALDO]])</f>
        <v>0</v>
      </c>
      <c r="AF124" s="134"/>
      <c r="AG124" s="134">
        <f>+CATEGORIAS[[#This Row],[PRESUPUESTO
FINAL
PROYECTADO]]-CATEGORIAS[[#This Row],[COSTO REAL]]-CATEGORIAS[[#This Row],[PROYECCION
TOTAL DE COSTO]]</f>
        <v>0</v>
      </c>
    </row>
    <row r="125" spans="1:33" x14ac:dyDescent="0.25">
      <c r="A125" s="245"/>
      <c r="B125" s="245"/>
      <c r="C125" s="245"/>
      <c r="D125" s="323" t="s">
        <v>1862</v>
      </c>
      <c r="E125" s="244" t="s">
        <v>616</v>
      </c>
      <c r="F125" s="246" t="s">
        <v>376</v>
      </c>
      <c r="G125" s="279">
        <v>0</v>
      </c>
      <c r="H125" s="279">
        <v>0</v>
      </c>
      <c r="I125" s="132">
        <v>0</v>
      </c>
      <c r="J125" s="132">
        <v>0</v>
      </c>
      <c r="K125" s="132">
        <v>0</v>
      </c>
      <c r="L125" s="144">
        <f>CATEGORIAS[[#This Row],[ADICIONALES]]+CATEGORIAS[[#This Row],[POM]]+CATEGORIAS[[#This Row],[REAJUSTE 
PAGADO]]+CATEGORIAS[[#This Row],[REAJUSTE
PROYECTADO]]</f>
        <v>0</v>
      </c>
      <c r="M125" s="133">
        <v>0</v>
      </c>
      <c r="N125" s="222">
        <v>0</v>
      </c>
      <c r="O125" s="142">
        <f>+CATEGORIAS[[#This Row],[PRODUCCION
PARTIDAS
ORIGINALES
ACTUAL]]+CATEGORIAS[[#This Row],[PRODUCCION
ADICIONALES
ACTUAL]]</f>
        <v>0</v>
      </c>
      <c r="P125" s="222">
        <v>0</v>
      </c>
      <c r="Q125" s="222">
        <v>0</v>
      </c>
      <c r="R125" s="141">
        <f>+CATEGORIAS[[#This Row],[PRODUCCION
ANTERIOR]]+CATEGORIAS[[#This Row],[PRODUCCION
ADICIONALES
ANTERIOR]]</f>
        <v>0</v>
      </c>
      <c r="S125" s="135">
        <v>0</v>
      </c>
      <c r="T125" s="135"/>
      <c r="U125" s="135">
        <v>0</v>
      </c>
      <c r="V125" s="262">
        <f>SUM(CATEGORIAS[[#This Row],[COSTO
ACUMULADO  AX]:[PROVISIONES]])</f>
        <v>0</v>
      </c>
      <c r="W125" s="264">
        <v>0</v>
      </c>
      <c r="X125" s="222"/>
      <c r="Y125" s="222">
        <v>0</v>
      </c>
      <c r="Z125" s="263">
        <f>SUM(CATEGORIAS[[#This Row],[COSTO ACUMULADO
ANTERIOR]:[PROVISIONES
ANTERIOR]])</f>
        <v>0</v>
      </c>
      <c r="AA125" s="338">
        <f>ABS(+CATEGORIAS[[#This Row],[PRESUPUESTO
FINAL
PROYECTADO]]-CATEGORIAS[[#This Row],[TOTAL PRODUCCION
ACTUAL]])</f>
        <v>0</v>
      </c>
      <c r="AB125" s="222"/>
      <c r="AC125" s="134"/>
      <c r="AD125" s="134">
        <v>0</v>
      </c>
      <c r="AE125" s="221">
        <f>SUM(CATEGORIAS[[#This Row],[INVENTARIO]:[PROYECCION
DE COSTO
DEL SALDO]])</f>
        <v>0</v>
      </c>
      <c r="AF125" s="134"/>
      <c r="AG125" s="134">
        <f>+CATEGORIAS[[#This Row],[PRESUPUESTO
FINAL
PROYECTADO]]-CATEGORIAS[[#This Row],[COSTO REAL]]-CATEGORIAS[[#This Row],[PROYECCION
TOTAL DE COSTO]]</f>
        <v>0</v>
      </c>
    </row>
    <row r="126" spans="1:33" x14ac:dyDescent="0.25">
      <c r="A126" s="245"/>
      <c r="B126" s="245"/>
      <c r="C126" s="245"/>
      <c r="D126" s="323" t="s">
        <v>1863</v>
      </c>
      <c r="E126" s="244" t="s">
        <v>618</v>
      </c>
      <c r="F126" s="246" t="s">
        <v>376</v>
      </c>
      <c r="G126" s="279">
        <v>0</v>
      </c>
      <c r="H126" s="279">
        <v>0</v>
      </c>
      <c r="I126" s="132">
        <v>0</v>
      </c>
      <c r="J126" s="132">
        <v>0</v>
      </c>
      <c r="K126" s="132">
        <v>0</v>
      </c>
      <c r="L126" s="144">
        <f>CATEGORIAS[[#This Row],[ADICIONALES]]+CATEGORIAS[[#This Row],[POM]]+CATEGORIAS[[#This Row],[REAJUSTE 
PAGADO]]+CATEGORIAS[[#This Row],[REAJUSTE
PROYECTADO]]</f>
        <v>0</v>
      </c>
      <c r="M126" s="133">
        <v>0</v>
      </c>
      <c r="N126" s="222">
        <v>0</v>
      </c>
      <c r="O126" s="142">
        <f>+CATEGORIAS[[#This Row],[PRODUCCION
PARTIDAS
ORIGINALES
ACTUAL]]+CATEGORIAS[[#This Row],[PRODUCCION
ADICIONALES
ACTUAL]]</f>
        <v>0</v>
      </c>
      <c r="P126" s="222">
        <v>0</v>
      </c>
      <c r="Q126" s="222">
        <v>0</v>
      </c>
      <c r="R126" s="141">
        <f>+CATEGORIAS[[#This Row],[PRODUCCION
ANTERIOR]]+CATEGORIAS[[#This Row],[PRODUCCION
ADICIONALES
ANTERIOR]]</f>
        <v>0</v>
      </c>
      <c r="S126" s="135">
        <v>0</v>
      </c>
      <c r="T126" s="135"/>
      <c r="U126" s="135">
        <v>0</v>
      </c>
      <c r="V126" s="262">
        <f>SUM(CATEGORIAS[[#This Row],[COSTO
ACUMULADO  AX]:[PROVISIONES]])</f>
        <v>0</v>
      </c>
      <c r="W126" s="264">
        <v>0</v>
      </c>
      <c r="X126" s="222"/>
      <c r="Y126" s="222">
        <v>0</v>
      </c>
      <c r="Z126" s="263">
        <f>SUM(CATEGORIAS[[#This Row],[COSTO ACUMULADO
ANTERIOR]:[PROVISIONES
ANTERIOR]])</f>
        <v>0</v>
      </c>
      <c r="AA126" s="338">
        <f>ABS(+CATEGORIAS[[#This Row],[PRESUPUESTO
FINAL
PROYECTADO]]-CATEGORIAS[[#This Row],[TOTAL PRODUCCION
ACTUAL]])</f>
        <v>0</v>
      </c>
      <c r="AB126" s="222"/>
      <c r="AC126" s="134"/>
      <c r="AD126" s="134">
        <v>0</v>
      </c>
      <c r="AE126" s="221">
        <f>SUM(CATEGORIAS[[#This Row],[INVENTARIO]:[PROYECCION
DE COSTO
DEL SALDO]])</f>
        <v>0</v>
      </c>
      <c r="AF126" s="134"/>
      <c r="AG126" s="134">
        <f>+CATEGORIAS[[#This Row],[PRESUPUESTO
FINAL
PROYECTADO]]-CATEGORIAS[[#This Row],[COSTO REAL]]-CATEGORIAS[[#This Row],[PROYECCION
TOTAL DE COSTO]]</f>
        <v>0</v>
      </c>
    </row>
    <row r="127" spans="1:33" x14ac:dyDescent="0.25">
      <c r="A127" s="245"/>
      <c r="B127" s="245"/>
      <c r="C127" s="245"/>
      <c r="D127" s="323" t="s">
        <v>1864</v>
      </c>
      <c r="E127" s="244" t="s">
        <v>620</v>
      </c>
      <c r="F127" s="246" t="s">
        <v>376</v>
      </c>
      <c r="G127" s="279">
        <v>0</v>
      </c>
      <c r="H127" s="279">
        <v>0</v>
      </c>
      <c r="I127" s="132">
        <v>0</v>
      </c>
      <c r="J127" s="132">
        <v>0</v>
      </c>
      <c r="K127" s="132">
        <v>0</v>
      </c>
      <c r="L127" s="144">
        <f>CATEGORIAS[[#This Row],[ADICIONALES]]+CATEGORIAS[[#This Row],[POM]]+CATEGORIAS[[#This Row],[REAJUSTE 
PAGADO]]+CATEGORIAS[[#This Row],[REAJUSTE
PROYECTADO]]</f>
        <v>0</v>
      </c>
      <c r="M127" s="133">
        <v>0</v>
      </c>
      <c r="N127" s="222">
        <v>0</v>
      </c>
      <c r="O127" s="142">
        <f>+CATEGORIAS[[#This Row],[PRODUCCION
PARTIDAS
ORIGINALES
ACTUAL]]+CATEGORIAS[[#This Row],[PRODUCCION
ADICIONALES
ACTUAL]]</f>
        <v>0</v>
      </c>
      <c r="P127" s="222">
        <v>0</v>
      </c>
      <c r="Q127" s="134">
        <v>0</v>
      </c>
      <c r="R127" s="141">
        <f>+CATEGORIAS[[#This Row],[PRODUCCION
ANTERIOR]]+CATEGORIAS[[#This Row],[PRODUCCION
ADICIONALES
ANTERIOR]]</f>
        <v>0</v>
      </c>
      <c r="S127" s="135">
        <v>0</v>
      </c>
      <c r="T127" s="135"/>
      <c r="U127" s="135">
        <v>0</v>
      </c>
      <c r="V127" s="262">
        <f>SUM(CATEGORIAS[[#This Row],[COSTO
ACUMULADO  AX]:[PROVISIONES]])</f>
        <v>0</v>
      </c>
      <c r="W127" s="264">
        <v>0</v>
      </c>
      <c r="X127" s="222"/>
      <c r="Y127" s="222">
        <v>0</v>
      </c>
      <c r="Z127" s="263">
        <f>SUM(CATEGORIAS[[#This Row],[COSTO ACUMULADO
ANTERIOR]:[PROVISIONES
ANTERIOR]])</f>
        <v>0</v>
      </c>
      <c r="AA127" s="338">
        <f>ABS(+CATEGORIAS[[#This Row],[PRESUPUESTO
FINAL
PROYECTADO]]-CATEGORIAS[[#This Row],[TOTAL PRODUCCION
ACTUAL]])</f>
        <v>0</v>
      </c>
      <c r="AB127" s="222"/>
      <c r="AC127" s="134"/>
      <c r="AD127" s="134">
        <v>0</v>
      </c>
      <c r="AE127" s="221">
        <f>SUM(CATEGORIAS[[#This Row],[INVENTARIO]:[PROYECCION
DE COSTO
DEL SALDO]])</f>
        <v>0</v>
      </c>
      <c r="AF127" s="134"/>
      <c r="AG127" s="134">
        <f>+CATEGORIAS[[#This Row],[PRESUPUESTO
FINAL
PROYECTADO]]-CATEGORIAS[[#This Row],[COSTO REAL]]-CATEGORIAS[[#This Row],[PROYECCION
TOTAL DE COSTO]]</f>
        <v>0</v>
      </c>
    </row>
    <row r="128" spans="1:33" x14ac:dyDescent="0.25">
      <c r="A128" s="245"/>
      <c r="B128" s="245"/>
      <c r="C128" s="245"/>
      <c r="D128" s="323" t="s">
        <v>1865</v>
      </c>
      <c r="E128" s="244" t="s">
        <v>622</v>
      </c>
      <c r="F128" s="246" t="s">
        <v>376</v>
      </c>
      <c r="G128" s="279">
        <v>0</v>
      </c>
      <c r="H128" s="279">
        <v>0</v>
      </c>
      <c r="I128" s="132">
        <v>0</v>
      </c>
      <c r="J128" s="132">
        <v>0</v>
      </c>
      <c r="K128" s="132">
        <v>0</v>
      </c>
      <c r="L128" s="144">
        <f>CATEGORIAS[[#This Row],[ADICIONALES]]+CATEGORIAS[[#This Row],[POM]]+CATEGORIAS[[#This Row],[REAJUSTE 
PAGADO]]+CATEGORIAS[[#This Row],[REAJUSTE
PROYECTADO]]</f>
        <v>0</v>
      </c>
      <c r="M128" s="133">
        <v>0</v>
      </c>
      <c r="N128" s="222">
        <v>0</v>
      </c>
      <c r="O128" s="142">
        <f>+CATEGORIAS[[#This Row],[PRODUCCION
PARTIDAS
ORIGINALES
ACTUAL]]+CATEGORIAS[[#This Row],[PRODUCCION
ADICIONALES
ACTUAL]]</f>
        <v>0</v>
      </c>
      <c r="P128" s="222">
        <v>0</v>
      </c>
      <c r="Q128" s="222">
        <v>0</v>
      </c>
      <c r="R128" s="141">
        <f>+CATEGORIAS[[#This Row],[PRODUCCION
ANTERIOR]]+CATEGORIAS[[#This Row],[PRODUCCION
ADICIONALES
ANTERIOR]]</f>
        <v>0</v>
      </c>
      <c r="S128" s="135">
        <v>0</v>
      </c>
      <c r="T128" s="135"/>
      <c r="U128" s="135">
        <v>0</v>
      </c>
      <c r="V128" s="262">
        <f>SUM(CATEGORIAS[[#This Row],[COSTO
ACUMULADO  AX]:[PROVISIONES]])</f>
        <v>0</v>
      </c>
      <c r="W128" s="264">
        <v>0</v>
      </c>
      <c r="X128" s="222"/>
      <c r="Y128" s="222">
        <v>0</v>
      </c>
      <c r="Z128" s="263">
        <f>SUM(CATEGORIAS[[#This Row],[COSTO ACUMULADO
ANTERIOR]:[PROVISIONES
ANTERIOR]])</f>
        <v>0</v>
      </c>
      <c r="AA128" s="338">
        <f>ABS(+CATEGORIAS[[#This Row],[PRESUPUESTO
FINAL
PROYECTADO]]-CATEGORIAS[[#This Row],[TOTAL PRODUCCION
ACTUAL]])</f>
        <v>0</v>
      </c>
      <c r="AB128" s="222"/>
      <c r="AC128" s="134"/>
      <c r="AD128" s="134">
        <v>0</v>
      </c>
      <c r="AE128" s="221">
        <f>SUM(CATEGORIAS[[#This Row],[INVENTARIO]:[PROYECCION
DE COSTO
DEL SALDO]])</f>
        <v>0</v>
      </c>
      <c r="AF128" s="134"/>
      <c r="AG128" s="134">
        <f>+CATEGORIAS[[#This Row],[PRESUPUESTO
FINAL
PROYECTADO]]-CATEGORIAS[[#This Row],[COSTO REAL]]-CATEGORIAS[[#This Row],[PROYECCION
TOTAL DE COSTO]]</f>
        <v>0</v>
      </c>
    </row>
    <row r="129" spans="1:33" x14ac:dyDescent="0.25">
      <c r="A129" s="245"/>
      <c r="B129" s="245"/>
      <c r="C129" s="245"/>
      <c r="D129" s="323" t="s">
        <v>1866</v>
      </c>
      <c r="E129" s="244" t="s">
        <v>624</v>
      </c>
      <c r="F129" s="246" t="s">
        <v>376</v>
      </c>
      <c r="G129" s="279">
        <v>0</v>
      </c>
      <c r="H129" s="279">
        <v>0</v>
      </c>
      <c r="I129" s="132">
        <v>0</v>
      </c>
      <c r="J129" s="132">
        <v>0</v>
      </c>
      <c r="K129" s="132">
        <v>0</v>
      </c>
      <c r="L129" s="144">
        <f>CATEGORIAS[[#This Row],[ADICIONALES]]+CATEGORIAS[[#This Row],[POM]]+CATEGORIAS[[#This Row],[REAJUSTE 
PAGADO]]+CATEGORIAS[[#This Row],[REAJUSTE
PROYECTADO]]</f>
        <v>0</v>
      </c>
      <c r="M129" s="133">
        <v>0</v>
      </c>
      <c r="N129" s="222">
        <v>0</v>
      </c>
      <c r="O129" s="142">
        <f>+CATEGORIAS[[#This Row],[PRODUCCION
PARTIDAS
ORIGINALES
ACTUAL]]+CATEGORIAS[[#This Row],[PRODUCCION
ADICIONALES
ACTUAL]]</f>
        <v>0</v>
      </c>
      <c r="P129" s="222">
        <v>0</v>
      </c>
      <c r="Q129" s="134">
        <v>0</v>
      </c>
      <c r="R129" s="141">
        <f>+CATEGORIAS[[#This Row],[PRODUCCION
ANTERIOR]]+CATEGORIAS[[#This Row],[PRODUCCION
ADICIONALES
ANTERIOR]]</f>
        <v>0</v>
      </c>
      <c r="S129" s="135">
        <v>0</v>
      </c>
      <c r="T129" s="135"/>
      <c r="U129" s="135">
        <v>0</v>
      </c>
      <c r="V129" s="262">
        <f>SUM(CATEGORIAS[[#This Row],[COSTO
ACUMULADO  AX]:[PROVISIONES]])</f>
        <v>0</v>
      </c>
      <c r="W129" s="264">
        <v>0</v>
      </c>
      <c r="X129" s="222"/>
      <c r="Y129" s="222">
        <v>0</v>
      </c>
      <c r="Z129" s="263">
        <f>SUM(CATEGORIAS[[#This Row],[COSTO ACUMULADO
ANTERIOR]:[PROVISIONES
ANTERIOR]])</f>
        <v>0</v>
      </c>
      <c r="AA129" s="338">
        <f>ABS(+CATEGORIAS[[#This Row],[PRESUPUESTO
FINAL
PROYECTADO]]-CATEGORIAS[[#This Row],[TOTAL PRODUCCION
ACTUAL]])</f>
        <v>0</v>
      </c>
      <c r="AB129" s="222"/>
      <c r="AC129" s="134"/>
      <c r="AD129" s="134">
        <v>0</v>
      </c>
      <c r="AE129" s="221">
        <f>SUM(CATEGORIAS[[#This Row],[INVENTARIO]:[PROYECCION
DE COSTO
DEL SALDO]])</f>
        <v>0</v>
      </c>
      <c r="AF129" s="134"/>
      <c r="AG129" s="134">
        <f>+CATEGORIAS[[#This Row],[PRESUPUESTO
FINAL
PROYECTADO]]-CATEGORIAS[[#This Row],[COSTO REAL]]-CATEGORIAS[[#This Row],[PROYECCION
TOTAL DE COSTO]]</f>
        <v>0</v>
      </c>
    </row>
    <row r="130" spans="1:33" x14ac:dyDescent="0.25">
      <c r="A130" s="245"/>
      <c r="B130" s="245"/>
      <c r="C130" s="245"/>
      <c r="D130" s="323" t="s">
        <v>1867</v>
      </c>
      <c r="E130" s="244" t="s">
        <v>626</v>
      </c>
      <c r="F130" s="246" t="s">
        <v>376</v>
      </c>
      <c r="G130" s="279">
        <v>0</v>
      </c>
      <c r="H130" s="279">
        <v>0</v>
      </c>
      <c r="I130" s="132">
        <v>0</v>
      </c>
      <c r="J130" s="132">
        <v>0</v>
      </c>
      <c r="K130" s="132">
        <v>0</v>
      </c>
      <c r="L130" s="144">
        <f>CATEGORIAS[[#This Row],[ADICIONALES]]+CATEGORIAS[[#This Row],[POM]]+CATEGORIAS[[#This Row],[REAJUSTE 
PAGADO]]+CATEGORIAS[[#This Row],[REAJUSTE
PROYECTADO]]</f>
        <v>0</v>
      </c>
      <c r="M130" s="133">
        <v>0</v>
      </c>
      <c r="N130" s="222">
        <v>0</v>
      </c>
      <c r="O130" s="142">
        <f>+CATEGORIAS[[#This Row],[PRODUCCION
PARTIDAS
ORIGINALES
ACTUAL]]+CATEGORIAS[[#This Row],[PRODUCCION
ADICIONALES
ACTUAL]]</f>
        <v>0</v>
      </c>
      <c r="P130" s="222">
        <v>0</v>
      </c>
      <c r="Q130" s="222">
        <v>0</v>
      </c>
      <c r="R130" s="141">
        <f>+CATEGORIAS[[#This Row],[PRODUCCION
ANTERIOR]]+CATEGORIAS[[#This Row],[PRODUCCION
ADICIONALES
ANTERIOR]]</f>
        <v>0</v>
      </c>
      <c r="S130" s="135">
        <v>0</v>
      </c>
      <c r="T130" s="135"/>
      <c r="U130" s="135">
        <v>0</v>
      </c>
      <c r="V130" s="262">
        <f>SUM(CATEGORIAS[[#This Row],[COSTO
ACUMULADO  AX]:[PROVISIONES]])</f>
        <v>0</v>
      </c>
      <c r="W130" s="264">
        <v>0</v>
      </c>
      <c r="X130" s="222"/>
      <c r="Y130" s="222">
        <v>0</v>
      </c>
      <c r="Z130" s="263">
        <f>SUM(CATEGORIAS[[#This Row],[COSTO ACUMULADO
ANTERIOR]:[PROVISIONES
ANTERIOR]])</f>
        <v>0</v>
      </c>
      <c r="AA130" s="338">
        <f>ABS(+CATEGORIAS[[#This Row],[PRESUPUESTO
FINAL
PROYECTADO]]-CATEGORIAS[[#This Row],[TOTAL PRODUCCION
ACTUAL]])</f>
        <v>0</v>
      </c>
      <c r="AB130" s="222"/>
      <c r="AC130" s="134"/>
      <c r="AD130" s="134">
        <v>0</v>
      </c>
      <c r="AE130" s="221">
        <f>SUM(CATEGORIAS[[#This Row],[INVENTARIO]:[PROYECCION
DE COSTO
DEL SALDO]])</f>
        <v>0</v>
      </c>
      <c r="AF130" s="134"/>
      <c r="AG130" s="134">
        <f>+CATEGORIAS[[#This Row],[PRESUPUESTO
FINAL
PROYECTADO]]-CATEGORIAS[[#This Row],[COSTO REAL]]-CATEGORIAS[[#This Row],[PROYECCION
TOTAL DE COSTO]]</f>
        <v>0</v>
      </c>
    </row>
    <row r="131" spans="1:33" x14ac:dyDescent="0.25">
      <c r="A131" s="245"/>
      <c r="B131" s="245"/>
      <c r="C131" s="245"/>
      <c r="D131" s="323" t="s">
        <v>1868</v>
      </c>
      <c r="E131" s="244" t="s">
        <v>628</v>
      </c>
      <c r="F131" s="246" t="s">
        <v>376</v>
      </c>
      <c r="G131" s="279">
        <v>0</v>
      </c>
      <c r="H131" s="279">
        <v>0</v>
      </c>
      <c r="I131" s="132">
        <v>0</v>
      </c>
      <c r="J131" s="132">
        <v>0</v>
      </c>
      <c r="K131" s="132">
        <v>0</v>
      </c>
      <c r="L131" s="144">
        <f>CATEGORIAS[[#This Row],[ADICIONALES]]+CATEGORIAS[[#This Row],[POM]]+CATEGORIAS[[#This Row],[REAJUSTE 
PAGADO]]+CATEGORIAS[[#This Row],[REAJUSTE
PROYECTADO]]</f>
        <v>0</v>
      </c>
      <c r="M131" s="133">
        <v>0</v>
      </c>
      <c r="N131" s="222">
        <v>0</v>
      </c>
      <c r="O131" s="142">
        <f>+CATEGORIAS[[#This Row],[PRODUCCION
PARTIDAS
ORIGINALES
ACTUAL]]+CATEGORIAS[[#This Row],[PRODUCCION
ADICIONALES
ACTUAL]]</f>
        <v>0</v>
      </c>
      <c r="P131" s="222">
        <v>0</v>
      </c>
      <c r="Q131" s="134">
        <v>0</v>
      </c>
      <c r="R131" s="141">
        <f>+CATEGORIAS[[#This Row],[PRODUCCION
ANTERIOR]]+CATEGORIAS[[#This Row],[PRODUCCION
ADICIONALES
ANTERIOR]]</f>
        <v>0</v>
      </c>
      <c r="S131" s="135">
        <v>0</v>
      </c>
      <c r="T131" s="135"/>
      <c r="U131" s="135">
        <v>0</v>
      </c>
      <c r="V131" s="262">
        <f>SUM(CATEGORIAS[[#This Row],[COSTO
ACUMULADO  AX]:[PROVISIONES]])</f>
        <v>0</v>
      </c>
      <c r="W131" s="264">
        <v>0</v>
      </c>
      <c r="X131" s="222"/>
      <c r="Y131" s="222">
        <v>0</v>
      </c>
      <c r="Z131" s="263">
        <f>SUM(CATEGORIAS[[#This Row],[COSTO ACUMULADO
ANTERIOR]:[PROVISIONES
ANTERIOR]])</f>
        <v>0</v>
      </c>
      <c r="AA131" s="338">
        <f>ABS(+CATEGORIAS[[#This Row],[PRESUPUESTO
FINAL
PROYECTADO]]-CATEGORIAS[[#This Row],[TOTAL PRODUCCION
ACTUAL]])</f>
        <v>0</v>
      </c>
      <c r="AB131" s="222"/>
      <c r="AC131" s="134"/>
      <c r="AD131" s="134">
        <v>0</v>
      </c>
      <c r="AE131" s="221">
        <f>SUM(CATEGORIAS[[#This Row],[INVENTARIO]:[PROYECCION
DE COSTO
DEL SALDO]])</f>
        <v>0</v>
      </c>
      <c r="AF131" s="134"/>
      <c r="AG131" s="134">
        <f>+CATEGORIAS[[#This Row],[PRESUPUESTO
FINAL
PROYECTADO]]-CATEGORIAS[[#This Row],[COSTO REAL]]-CATEGORIAS[[#This Row],[PROYECCION
TOTAL DE COSTO]]</f>
        <v>0</v>
      </c>
    </row>
    <row r="132" spans="1:33" x14ac:dyDescent="0.25">
      <c r="A132" s="245"/>
      <c r="B132" s="245"/>
      <c r="C132" s="245"/>
      <c r="D132" s="323" t="s">
        <v>1869</v>
      </c>
      <c r="E132" s="244" t="s">
        <v>630</v>
      </c>
      <c r="F132" s="246" t="s">
        <v>376</v>
      </c>
      <c r="G132" s="279">
        <v>0</v>
      </c>
      <c r="H132" s="279">
        <v>0</v>
      </c>
      <c r="I132" s="132">
        <v>0</v>
      </c>
      <c r="J132" s="132">
        <v>0</v>
      </c>
      <c r="K132" s="132">
        <v>0</v>
      </c>
      <c r="L132" s="144">
        <f>CATEGORIAS[[#This Row],[ADICIONALES]]+CATEGORIAS[[#This Row],[POM]]+CATEGORIAS[[#This Row],[REAJUSTE 
PAGADO]]+CATEGORIAS[[#This Row],[REAJUSTE
PROYECTADO]]</f>
        <v>0</v>
      </c>
      <c r="M132" s="133">
        <v>0</v>
      </c>
      <c r="N132" s="222">
        <v>0</v>
      </c>
      <c r="O132" s="142">
        <f>+CATEGORIAS[[#This Row],[PRODUCCION
PARTIDAS
ORIGINALES
ACTUAL]]+CATEGORIAS[[#This Row],[PRODUCCION
ADICIONALES
ACTUAL]]</f>
        <v>0</v>
      </c>
      <c r="P132" s="222">
        <v>0</v>
      </c>
      <c r="Q132" s="222">
        <v>0</v>
      </c>
      <c r="R132" s="141">
        <f>+CATEGORIAS[[#This Row],[PRODUCCION
ANTERIOR]]+CATEGORIAS[[#This Row],[PRODUCCION
ADICIONALES
ANTERIOR]]</f>
        <v>0</v>
      </c>
      <c r="S132" s="135">
        <v>0</v>
      </c>
      <c r="T132" s="135"/>
      <c r="U132" s="135">
        <v>0</v>
      </c>
      <c r="V132" s="262">
        <f>SUM(CATEGORIAS[[#This Row],[COSTO
ACUMULADO  AX]:[PROVISIONES]])</f>
        <v>0</v>
      </c>
      <c r="W132" s="264">
        <v>0</v>
      </c>
      <c r="X132" s="222"/>
      <c r="Y132" s="222">
        <v>0</v>
      </c>
      <c r="Z132" s="263">
        <f>SUM(CATEGORIAS[[#This Row],[COSTO ACUMULADO
ANTERIOR]:[PROVISIONES
ANTERIOR]])</f>
        <v>0</v>
      </c>
      <c r="AA132" s="338">
        <f>ABS(+CATEGORIAS[[#This Row],[PRESUPUESTO
FINAL
PROYECTADO]]-CATEGORIAS[[#This Row],[TOTAL PRODUCCION
ACTUAL]])</f>
        <v>0</v>
      </c>
      <c r="AB132" s="222"/>
      <c r="AC132" s="134"/>
      <c r="AD132" s="134">
        <v>0</v>
      </c>
      <c r="AE132" s="221">
        <f>SUM(CATEGORIAS[[#This Row],[INVENTARIO]:[PROYECCION
DE COSTO
DEL SALDO]])</f>
        <v>0</v>
      </c>
      <c r="AF132" s="134"/>
      <c r="AG132" s="134">
        <f>+CATEGORIAS[[#This Row],[PRESUPUESTO
FINAL
PROYECTADO]]-CATEGORIAS[[#This Row],[COSTO REAL]]-CATEGORIAS[[#This Row],[PROYECCION
TOTAL DE COSTO]]</f>
        <v>0</v>
      </c>
    </row>
    <row r="133" spans="1:33" x14ac:dyDescent="0.25">
      <c r="A133" s="245"/>
      <c r="B133" s="245"/>
      <c r="C133" s="245"/>
      <c r="D133" s="323" t="s">
        <v>2348</v>
      </c>
      <c r="E133" s="244" t="s">
        <v>2349</v>
      </c>
      <c r="F133" s="246" t="s">
        <v>376</v>
      </c>
      <c r="G133" s="279">
        <v>0</v>
      </c>
      <c r="H133" s="279">
        <v>0</v>
      </c>
      <c r="I133" s="132">
        <v>0</v>
      </c>
      <c r="J133" s="132">
        <v>0</v>
      </c>
      <c r="K133" s="132">
        <v>0</v>
      </c>
      <c r="L133" s="144">
        <f>CATEGORIAS[[#This Row],[ADICIONALES]]+CATEGORIAS[[#This Row],[POM]]+CATEGORIAS[[#This Row],[REAJUSTE 
PAGADO]]+CATEGORIAS[[#This Row],[REAJUSTE
PROYECTADO]]</f>
        <v>0</v>
      </c>
      <c r="M133" s="133">
        <v>0</v>
      </c>
      <c r="N133" s="222">
        <v>0</v>
      </c>
      <c r="O133" s="142">
        <f>+CATEGORIAS[[#This Row],[PRODUCCION
PARTIDAS
ORIGINALES
ACTUAL]]+CATEGORIAS[[#This Row],[PRODUCCION
ADICIONALES
ACTUAL]]</f>
        <v>0</v>
      </c>
      <c r="P133" s="222">
        <v>0</v>
      </c>
      <c r="Q133" s="134">
        <v>0</v>
      </c>
      <c r="R133" s="141">
        <f>+CATEGORIAS[[#This Row],[PRODUCCION
ANTERIOR]]+CATEGORIAS[[#This Row],[PRODUCCION
ADICIONALES
ANTERIOR]]</f>
        <v>0</v>
      </c>
      <c r="S133" s="135">
        <v>0</v>
      </c>
      <c r="T133" s="135"/>
      <c r="U133" s="135">
        <v>0</v>
      </c>
      <c r="V133" s="262">
        <f>SUM(CATEGORIAS[[#This Row],[COSTO
ACUMULADO  AX]:[PROVISIONES]])</f>
        <v>0</v>
      </c>
      <c r="W133" s="264">
        <v>0</v>
      </c>
      <c r="X133" s="222"/>
      <c r="Y133" s="222">
        <v>0</v>
      </c>
      <c r="Z133" s="263">
        <f>SUM(CATEGORIAS[[#This Row],[COSTO ACUMULADO
ANTERIOR]:[PROVISIONES
ANTERIOR]])</f>
        <v>0</v>
      </c>
      <c r="AA133" s="338">
        <f>ABS(+CATEGORIAS[[#This Row],[PRESUPUESTO
FINAL
PROYECTADO]]-CATEGORIAS[[#This Row],[TOTAL PRODUCCION
ACTUAL]])</f>
        <v>0</v>
      </c>
      <c r="AB133" s="222"/>
      <c r="AC133" s="134"/>
      <c r="AD133" s="134">
        <v>0</v>
      </c>
      <c r="AE133" s="221">
        <f>SUM(CATEGORIAS[[#This Row],[INVENTARIO]:[PROYECCION
DE COSTO
DEL SALDO]])</f>
        <v>0</v>
      </c>
      <c r="AF133" s="134"/>
      <c r="AG133" s="134">
        <f>+CATEGORIAS[[#This Row],[PRESUPUESTO
FINAL
PROYECTADO]]-CATEGORIAS[[#This Row],[COSTO REAL]]-CATEGORIAS[[#This Row],[PROYECCION
TOTAL DE COSTO]]</f>
        <v>0</v>
      </c>
    </row>
    <row r="134" spans="1:33" x14ac:dyDescent="0.25">
      <c r="A134" s="245"/>
      <c r="B134" s="245"/>
      <c r="C134" s="245"/>
      <c r="D134" s="323" t="s">
        <v>1870</v>
      </c>
      <c r="E134" s="244" t="s">
        <v>632</v>
      </c>
      <c r="F134" s="246" t="s">
        <v>379</v>
      </c>
      <c r="G134" s="279">
        <v>0</v>
      </c>
      <c r="H134" s="279">
        <v>0</v>
      </c>
      <c r="I134" s="132">
        <v>0</v>
      </c>
      <c r="J134" s="132">
        <v>0</v>
      </c>
      <c r="K134" s="132">
        <v>0</v>
      </c>
      <c r="L134" s="144">
        <f>CATEGORIAS[[#This Row],[ADICIONALES]]+CATEGORIAS[[#This Row],[POM]]+CATEGORIAS[[#This Row],[REAJUSTE 
PAGADO]]+CATEGORIAS[[#This Row],[REAJUSTE
PROYECTADO]]</f>
        <v>0</v>
      </c>
      <c r="M134" s="133">
        <v>0</v>
      </c>
      <c r="N134" s="222">
        <v>0</v>
      </c>
      <c r="O134" s="142">
        <f>+CATEGORIAS[[#This Row],[PRODUCCION
PARTIDAS
ORIGINALES
ACTUAL]]+CATEGORIAS[[#This Row],[PRODUCCION
ADICIONALES
ACTUAL]]</f>
        <v>0</v>
      </c>
      <c r="P134" s="222">
        <v>0</v>
      </c>
      <c r="Q134" s="134">
        <v>0</v>
      </c>
      <c r="R134" s="141">
        <f>+CATEGORIAS[[#This Row],[PRODUCCION
ANTERIOR]]+CATEGORIAS[[#This Row],[PRODUCCION
ADICIONALES
ANTERIOR]]</f>
        <v>0</v>
      </c>
      <c r="S134" s="135">
        <v>0</v>
      </c>
      <c r="T134" s="135"/>
      <c r="U134" s="135">
        <v>0</v>
      </c>
      <c r="V134" s="262">
        <f>SUM(CATEGORIAS[[#This Row],[COSTO
ACUMULADO  AX]:[PROVISIONES]])</f>
        <v>0</v>
      </c>
      <c r="W134" s="264">
        <v>0</v>
      </c>
      <c r="X134" s="222"/>
      <c r="Y134" s="222">
        <v>0</v>
      </c>
      <c r="Z134" s="263">
        <f>SUM(CATEGORIAS[[#This Row],[COSTO ACUMULADO
ANTERIOR]:[PROVISIONES
ANTERIOR]])</f>
        <v>0</v>
      </c>
      <c r="AA134" s="338">
        <f>ABS(+CATEGORIAS[[#This Row],[PRESUPUESTO
FINAL
PROYECTADO]]-CATEGORIAS[[#This Row],[TOTAL PRODUCCION
ACTUAL]])</f>
        <v>0</v>
      </c>
      <c r="AB134" s="222"/>
      <c r="AC134" s="134"/>
      <c r="AD134" s="134">
        <v>0</v>
      </c>
      <c r="AE134" s="221">
        <f>SUM(CATEGORIAS[[#This Row],[INVENTARIO]:[PROYECCION
DE COSTO
DEL SALDO]])</f>
        <v>0</v>
      </c>
      <c r="AF134" s="134"/>
      <c r="AG134" s="134">
        <f>+CATEGORIAS[[#This Row],[PRESUPUESTO
FINAL
PROYECTADO]]-CATEGORIAS[[#This Row],[COSTO REAL]]-CATEGORIAS[[#This Row],[PROYECCION
TOTAL DE COSTO]]</f>
        <v>0</v>
      </c>
    </row>
    <row r="135" spans="1:33" x14ac:dyDescent="0.25">
      <c r="A135" s="245"/>
      <c r="B135" s="245"/>
      <c r="C135" s="245"/>
      <c r="D135" s="323" t="s">
        <v>1871</v>
      </c>
      <c r="E135" s="244" t="s">
        <v>634</v>
      </c>
      <c r="F135" s="246" t="s">
        <v>376</v>
      </c>
      <c r="G135" s="279">
        <v>0</v>
      </c>
      <c r="H135" s="279">
        <v>0</v>
      </c>
      <c r="I135" s="132">
        <v>0</v>
      </c>
      <c r="J135" s="132">
        <v>0</v>
      </c>
      <c r="K135" s="132">
        <v>0</v>
      </c>
      <c r="L135" s="144">
        <f>CATEGORIAS[[#This Row],[ADICIONALES]]+CATEGORIAS[[#This Row],[POM]]+CATEGORIAS[[#This Row],[REAJUSTE 
PAGADO]]+CATEGORIAS[[#This Row],[REAJUSTE
PROYECTADO]]</f>
        <v>0</v>
      </c>
      <c r="M135" s="133">
        <v>0</v>
      </c>
      <c r="N135" s="222">
        <v>0</v>
      </c>
      <c r="O135" s="142">
        <f>+CATEGORIAS[[#This Row],[PRODUCCION
PARTIDAS
ORIGINALES
ACTUAL]]+CATEGORIAS[[#This Row],[PRODUCCION
ADICIONALES
ACTUAL]]</f>
        <v>0</v>
      </c>
      <c r="P135" s="222">
        <v>0</v>
      </c>
      <c r="Q135" s="222">
        <v>0</v>
      </c>
      <c r="R135" s="141">
        <f>+CATEGORIAS[[#This Row],[PRODUCCION
ANTERIOR]]+CATEGORIAS[[#This Row],[PRODUCCION
ADICIONALES
ANTERIOR]]</f>
        <v>0</v>
      </c>
      <c r="S135" s="135">
        <v>0</v>
      </c>
      <c r="T135" s="135"/>
      <c r="U135" s="135">
        <v>0</v>
      </c>
      <c r="V135" s="262">
        <f>SUM(CATEGORIAS[[#This Row],[COSTO
ACUMULADO  AX]:[PROVISIONES]])</f>
        <v>0</v>
      </c>
      <c r="W135" s="264">
        <v>0</v>
      </c>
      <c r="X135" s="222"/>
      <c r="Y135" s="222">
        <v>0</v>
      </c>
      <c r="Z135" s="263">
        <f>SUM(CATEGORIAS[[#This Row],[COSTO ACUMULADO
ANTERIOR]:[PROVISIONES
ANTERIOR]])</f>
        <v>0</v>
      </c>
      <c r="AA135" s="338">
        <f>ABS(+CATEGORIAS[[#This Row],[PRESUPUESTO
FINAL
PROYECTADO]]-CATEGORIAS[[#This Row],[TOTAL PRODUCCION
ACTUAL]])</f>
        <v>0</v>
      </c>
      <c r="AB135" s="222"/>
      <c r="AC135" s="134"/>
      <c r="AD135" s="134">
        <v>0</v>
      </c>
      <c r="AE135" s="221">
        <f>SUM(CATEGORIAS[[#This Row],[INVENTARIO]:[PROYECCION
DE COSTO
DEL SALDO]])</f>
        <v>0</v>
      </c>
      <c r="AF135" s="134"/>
      <c r="AG135" s="134">
        <f>+CATEGORIAS[[#This Row],[PRESUPUESTO
FINAL
PROYECTADO]]-CATEGORIAS[[#This Row],[COSTO REAL]]-CATEGORIAS[[#This Row],[PROYECCION
TOTAL DE COSTO]]</f>
        <v>0</v>
      </c>
    </row>
    <row r="136" spans="1:33" x14ac:dyDescent="0.25">
      <c r="A136" s="245"/>
      <c r="B136" s="245"/>
      <c r="C136" s="245"/>
      <c r="D136" s="323" t="s">
        <v>1872</v>
      </c>
      <c r="E136" s="244" t="s">
        <v>636</v>
      </c>
      <c r="F136" s="246" t="s">
        <v>376</v>
      </c>
      <c r="G136" s="279">
        <v>0</v>
      </c>
      <c r="H136" s="279">
        <v>0</v>
      </c>
      <c r="I136" s="132">
        <v>0</v>
      </c>
      <c r="J136" s="132">
        <v>0</v>
      </c>
      <c r="K136" s="132">
        <v>0</v>
      </c>
      <c r="L136" s="144">
        <f>CATEGORIAS[[#This Row],[ADICIONALES]]+CATEGORIAS[[#This Row],[POM]]+CATEGORIAS[[#This Row],[REAJUSTE 
PAGADO]]+CATEGORIAS[[#This Row],[REAJUSTE
PROYECTADO]]</f>
        <v>0</v>
      </c>
      <c r="M136" s="133">
        <v>0</v>
      </c>
      <c r="N136" s="222">
        <v>0</v>
      </c>
      <c r="O136" s="142">
        <f>+CATEGORIAS[[#This Row],[PRODUCCION
PARTIDAS
ORIGINALES
ACTUAL]]+CATEGORIAS[[#This Row],[PRODUCCION
ADICIONALES
ACTUAL]]</f>
        <v>0</v>
      </c>
      <c r="P136" s="222">
        <v>0</v>
      </c>
      <c r="Q136" s="222">
        <v>0</v>
      </c>
      <c r="R136" s="141">
        <f>+CATEGORIAS[[#This Row],[PRODUCCION
ANTERIOR]]+CATEGORIAS[[#This Row],[PRODUCCION
ADICIONALES
ANTERIOR]]</f>
        <v>0</v>
      </c>
      <c r="S136" s="135">
        <v>0</v>
      </c>
      <c r="T136" s="135"/>
      <c r="U136" s="135">
        <v>0</v>
      </c>
      <c r="V136" s="262">
        <f>SUM(CATEGORIAS[[#This Row],[COSTO
ACUMULADO  AX]:[PROVISIONES]])</f>
        <v>0</v>
      </c>
      <c r="W136" s="264">
        <v>0</v>
      </c>
      <c r="X136" s="222"/>
      <c r="Y136" s="222">
        <v>0</v>
      </c>
      <c r="Z136" s="263">
        <f>SUM(CATEGORIAS[[#This Row],[COSTO ACUMULADO
ANTERIOR]:[PROVISIONES
ANTERIOR]])</f>
        <v>0</v>
      </c>
      <c r="AA136" s="338">
        <f>ABS(+CATEGORIAS[[#This Row],[PRESUPUESTO
FINAL
PROYECTADO]]-CATEGORIAS[[#This Row],[TOTAL PRODUCCION
ACTUAL]])</f>
        <v>0</v>
      </c>
      <c r="AB136" s="222"/>
      <c r="AC136" s="134"/>
      <c r="AD136" s="134">
        <v>0</v>
      </c>
      <c r="AE136" s="221">
        <f>SUM(CATEGORIAS[[#This Row],[INVENTARIO]:[PROYECCION
DE COSTO
DEL SALDO]])</f>
        <v>0</v>
      </c>
      <c r="AF136" s="134"/>
      <c r="AG136" s="134">
        <f>+CATEGORIAS[[#This Row],[PRESUPUESTO
FINAL
PROYECTADO]]-CATEGORIAS[[#This Row],[COSTO REAL]]-CATEGORIAS[[#This Row],[PROYECCION
TOTAL DE COSTO]]</f>
        <v>0</v>
      </c>
    </row>
    <row r="137" spans="1:33" x14ac:dyDescent="0.25">
      <c r="A137" s="245"/>
      <c r="B137" s="245"/>
      <c r="C137" s="245"/>
      <c r="D137" s="323" t="s">
        <v>1873</v>
      </c>
      <c r="E137" s="244" t="s">
        <v>638</v>
      </c>
      <c r="F137" s="246" t="s">
        <v>376</v>
      </c>
      <c r="G137" s="279">
        <v>0</v>
      </c>
      <c r="H137" s="279">
        <v>0</v>
      </c>
      <c r="I137" s="132">
        <v>0</v>
      </c>
      <c r="J137" s="132">
        <v>0</v>
      </c>
      <c r="K137" s="132">
        <v>0</v>
      </c>
      <c r="L137" s="144">
        <f>CATEGORIAS[[#This Row],[ADICIONALES]]+CATEGORIAS[[#This Row],[POM]]+CATEGORIAS[[#This Row],[REAJUSTE 
PAGADO]]+CATEGORIAS[[#This Row],[REAJUSTE
PROYECTADO]]</f>
        <v>0</v>
      </c>
      <c r="M137" s="133">
        <v>0</v>
      </c>
      <c r="N137" s="222">
        <v>0</v>
      </c>
      <c r="O137" s="142">
        <f>+CATEGORIAS[[#This Row],[PRODUCCION
PARTIDAS
ORIGINALES
ACTUAL]]+CATEGORIAS[[#This Row],[PRODUCCION
ADICIONALES
ACTUAL]]</f>
        <v>0</v>
      </c>
      <c r="P137" s="222">
        <v>0</v>
      </c>
      <c r="Q137" s="134">
        <v>0</v>
      </c>
      <c r="R137" s="141">
        <f>+CATEGORIAS[[#This Row],[PRODUCCION
ANTERIOR]]+CATEGORIAS[[#This Row],[PRODUCCION
ADICIONALES
ANTERIOR]]</f>
        <v>0</v>
      </c>
      <c r="S137" s="135">
        <v>0</v>
      </c>
      <c r="T137" s="135"/>
      <c r="U137" s="135">
        <v>0</v>
      </c>
      <c r="V137" s="262">
        <f>SUM(CATEGORIAS[[#This Row],[COSTO
ACUMULADO  AX]:[PROVISIONES]])</f>
        <v>0</v>
      </c>
      <c r="W137" s="264">
        <v>0</v>
      </c>
      <c r="X137" s="222"/>
      <c r="Y137" s="222">
        <v>0</v>
      </c>
      <c r="Z137" s="263">
        <f>SUM(CATEGORIAS[[#This Row],[COSTO ACUMULADO
ANTERIOR]:[PROVISIONES
ANTERIOR]])</f>
        <v>0</v>
      </c>
      <c r="AA137" s="338">
        <f>ABS(+CATEGORIAS[[#This Row],[PRESUPUESTO
FINAL
PROYECTADO]]-CATEGORIAS[[#This Row],[TOTAL PRODUCCION
ACTUAL]])</f>
        <v>0</v>
      </c>
      <c r="AB137" s="222"/>
      <c r="AC137" s="134"/>
      <c r="AD137" s="134">
        <v>0</v>
      </c>
      <c r="AE137" s="221">
        <f>SUM(CATEGORIAS[[#This Row],[INVENTARIO]:[PROYECCION
DE COSTO
DEL SALDO]])</f>
        <v>0</v>
      </c>
      <c r="AF137" s="134"/>
      <c r="AG137" s="134">
        <f>+CATEGORIAS[[#This Row],[PRESUPUESTO
FINAL
PROYECTADO]]-CATEGORIAS[[#This Row],[COSTO REAL]]-CATEGORIAS[[#This Row],[PROYECCION
TOTAL DE COSTO]]</f>
        <v>0</v>
      </c>
    </row>
    <row r="138" spans="1:33" x14ac:dyDescent="0.25">
      <c r="A138" s="245"/>
      <c r="B138" s="245"/>
      <c r="C138" s="245"/>
      <c r="D138" s="323" t="s">
        <v>1874</v>
      </c>
      <c r="E138" s="244" t="s">
        <v>640</v>
      </c>
      <c r="F138" s="246" t="s">
        <v>379</v>
      </c>
      <c r="G138" s="279">
        <v>0</v>
      </c>
      <c r="H138" s="279">
        <v>0</v>
      </c>
      <c r="I138" s="132">
        <v>0</v>
      </c>
      <c r="J138" s="132">
        <v>0</v>
      </c>
      <c r="K138" s="132">
        <v>0</v>
      </c>
      <c r="L138" s="144">
        <f>CATEGORIAS[[#This Row],[ADICIONALES]]+CATEGORIAS[[#This Row],[POM]]+CATEGORIAS[[#This Row],[REAJUSTE 
PAGADO]]+CATEGORIAS[[#This Row],[REAJUSTE
PROYECTADO]]</f>
        <v>0</v>
      </c>
      <c r="M138" s="133">
        <v>0</v>
      </c>
      <c r="N138" s="222">
        <v>0</v>
      </c>
      <c r="O138" s="142">
        <f>+CATEGORIAS[[#This Row],[PRODUCCION
PARTIDAS
ORIGINALES
ACTUAL]]+CATEGORIAS[[#This Row],[PRODUCCION
ADICIONALES
ACTUAL]]</f>
        <v>0</v>
      </c>
      <c r="P138" s="222">
        <v>0</v>
      </c>
      <c r="Q138" s="222">
        <v>0</v>
      </c>
      <c r="R138" s="141">
        <f>+CATEGORIAS[[#This Row],[PRODUCCION
ANTERIOR]]+CATEGORIAS[[#This Row],[PRODUCCION
ADICIONALES
ANTERIOR]]</f>
        <v>0</v>
      </c>
      <c r="S138" s="135">
        <v>0</v>
      </c>
      <c r="T138" s="135"/>
      <c r="U138" s="135">
        <v>0</v>
      </c>
      <c r="V138" s="262">
        <f>SUM(CATEGORIAS[[#This Row],[COSTO
ACUMULADO  AX]:[PROVISIONES]])</f>
        <v>0</v>
      </c>
      <c r="W138" s="264">
        <v>0</v>
      </c>
      <c r="X138" s="222"/>
      <c r="Y138" s="222">
        <v>0</v>
      </c>
      <c r="Z138" s="263">
        <f>SUM(CATEGORIAS[[#This Row],[COSTO ACUMULADO
ANTERIOR]:[PROVISIONES
ANTERIOR]])</f>
        <v>0</v>
      </c>
      <c r="AA138" s="338">
        <f>ABS(+CATEGORIAS[[#This Row],[PRESUPUESTO
FINAL
PROYECTADO]]-CATEGORIAS[[#This Row],[TOTAL PRODUCCION
ACTUAL]])</f>
        <v>0</v>
      </c>
      <c r="AB138" s="222"/>
      <c r="AC138" s="134"/>
      <c r="AD138" s="134">
        <v>0</v>
      </c>
      <c r="AE138" s="221">
        <f>SUM(CATEGORIAS[[#This Row],[INVENTARIO]:[PROYECCION
DE COSTO
DEL SALDO]])</f>
        <v>0</v>
      </c>
      <c r="AF138" s="134"/>
      <c r="AG138" s="134">
        <f>+CATEGORIAS[[#This Row],[PRESUPUESTO
FINAL
PROYECTADO]]-CATEGORIAS[[#This Row],[COSTO REAL]]-CATEGORIAS[[#This Row],[PROYECCION
TOTAL DE COSTO]]</f>
        <v>0</v>
      </c>
    </row>
    <row r="139" spans="1:33" x14ac:dyDescent="0.25">
      <c r="A139" s="245"/>
      <c r="B139" s="245"/>
      <c r="C139" s="245"/>
      <c r="D139" s="323" t="s">
        <v>1875</v>
      </c>
      <c r="E139" s="244" t="s">
        <v>642</v>
      </c>
      <c r="F139" s="246" t="s">
        <v>376</v>
      </c>
      <c r="G139" s="279">
        <v>0</v>
      </c>
      <c r="H139" s="279">
        <v>0</v>
      </c>
      <c r="I139" s="132">
        <v>0</v>
      </c>
      <c r="J139" s="132">
        <v>0</v>
      </c>
      <c r="K139" s="132">
        <v>0</v>
      </c>
      <c r="L139" s="144">
        <f>CATEGORIAS[[#This Row],[ADICIONALES]]+CATEGORIAS[[#This Row],[POM]]+CATEGORIAS[[#This Row],[REAJUSTE 
PAGADO]]+CATEGORIAS[[#This Row],[REAJUSTE
PROYECTADO]]</f>
        <v>0</v>
      </c>
      <c r="M139" s="133">
        <v>0</v>
      </c>
      <c r="N139" s="222">
        <v>0</v>
      </c>
      <c r="O139" s="142">
        <f>+CATEGORIAS[[#This Row],[PRODUCCION
PARTIDAS
ORIGINALES
ACTUAL]]+CATEGORIAS[[#This Row],[PRODUCCION
ADICIONALES
ACTUAL]]</f>
        <v>0</v>
      </c>
      <c r="P139" s="222">
        <v>0</v>
      </c>
      <c r="Q139" s="134">
        <v>0</v>
      </c>
      <c r="R139" s="141">
        <f>+CATEGORIAS[[#This Row],[PRODUCCION
ANTERIOR]]+CATEGORIAS[[#This Row],[PRODUCCION
ADICIONALES
ANTERIOR]]</f>
        <v>0</v>
      </c>
      <c r="S139" s="135">
        <v>0</v>
      </c>
      <c r="T139" s="135"/>
      <c r="U139" s="135">
        <v>0</v>
      </c>
      <c r="V139" s="262">
        <f>SUM(CATEGORIAS[[#This Row],[COSTO
ACUMULADO  AX]:[PROVISIONES]])</f>
        <v>0</v>
      </c>
      <c r="W139" s="264">
        <v>0</v>
      </c>
      <c r="X139" s="222"/>
      <c r="Y139" s="222">
        <v>0</v>
      </c>
      <c r="Z139" s="263">
        <f>SUM(CATEGORIAS[[#This Row],[COSTO ACUMULADO
ANTERIOR]:[PROVISIONES
ANTERIOR]])</f>
        <v>0</v>
      </c>
      <c r="AA139" s="338">
        <f>ABS(+CATEGORIAS[[#This Row],[PRESUPUESTO
FINAL
PROYECTADO]]-CATEGORIAS[[#This Row],[TOTAL PRODUCCION
ACTUAL]])</f>
        <v>0</v>
      </c>
      <c r="AB139" s="222"/>
      <c r="AC139" s="134"/>
      <c r="AD139" s="134">
        <v>0</v>
      </c>
      <c r="AE139" s="221">
        <f>SUM(CATEGORIAS[[#This Row],[INVENTARIO]:[PROYECCION
DE COSTO
DEL SALDO]])</f>
        <v>0</v>
      </c>
      <c r="AF139" s="134"/>
      <c r="AG139" s="134">
        <f>+CATEGORIAS[[#This Row],[PRESUPUESTO
FINAL
PROYECTADO]]-CATEGORIAS[[#This Row],[COSTO REAL]]-CATEGORIAS[[#This Row],[PROYECCION
TOTAL DE COSTO]]</f>
        <v>0</v>
      </c>
    </row>
    <row r="140" spans="1:33" x14ac:dyDescent="0.25">
      <c r="A140" s="245"/>
      <c r="B140" s="245"/>
      <c r="C140" s="245"/>
      <c r="D140" s="323" t="s">
        <v>1876</v>
      </c>
      <c r="E140" s="244" t="s">
        <v>644</v>
      </c>
      <c r="F140" s="246" t="s">
        <v>376</v>
      </c>
      <c r="G140" s="279">
        <v>0</v>
      </c>
      <c r="H140" s="279">
        <v>0</v>
      </c>
      <c r="I140" s="132">
        <v>0</v>
      </c>
      <c r="J140" s="132">
        <v>0</v>
      </c>
      <c r="K140" s="132">
        <v>0</v>
      </c>
      <c r="L140" s="144">
        <f>CATEGORIAS[[#This Row],[ADICIONALES]]+CATEGORIAS[[#This Row],[POM]]+CATEGORIAS[[#This Row],[REAJUSTE 
PAGADO]]+CATEGORIAS[[#This Row],[REAJUSTE
PROYECTADO]]</f>
        <v>0</v>
      </c>
      <c r="M140" s="133">
        <v>0</v>
      </c>
      <c r="N140" s="222">
        <v>0</v>
      </c>
      <c r="O140" s="142">
        <f>+CATEGORIAS[[#This Row],[PRODUCCION
PARTIDAS
ORIGINALES
ACTUAL]]+CATEGORIAS[[#This Row],[PRODUCCION
ADICIONALES
ACTUAL]]</f>
        <v>0</v>
      </c>
      <c r="P140" s="222">
        <v>0</v>
      </c>
      <c r="Q140" s="222">
        <v>0</v>
      </c>
      <c r="R140" s="141">
        <f>+CATEGORIAS[[#This Row],[PRODUCCION
ANTERIOR]]+CATEGORIAS[[#This Row],[PRODUCCION
ADICIONALES
ANTERIOR]]</f>
        <v>0</v>
      </c>
      <c r="S140" s="135">
        <v>0</v>
      </c>
      <c r="T140" s="135"/>
      <c r="U140" s="135">
        <v>0</v>
      </c>
      <c r="V140" s="262">
        <f>SUM(CATEGORIAS[[#This Row],[COSTO
ACUMULADO  AX]:[PROVISIONES]])</f>
        <v>0</v>
      </c>
      <c r="W140" s="264">
        <v>0</v>
      </c>
      <c r="X140" s="222"/>
      <c r="Y140" s="222">
        <v>0</v>
      </c>
      <c r="Z140" s="263">
        <f>SUM(CATEGORIAS[[#This Row],[COSTO ACUMULADO
ANTERIOR]:[PROVISIONES
ANTERIOR]])</f>
        <v>0</v>
      </c>
      <c r="AA140" s="338">
        <f>ABS(+CATEGORIAS[[#This Row],[PRESUPUESTO
FINAL
PROYECTADO]]-CATEGORIAS[[#This Row],[TOTAL PRODUCCION
ACTUAL]])</f>
        <v>0</v>
      </c>
      <c r="AB140" s="222"/>
      <c r="AC140" s="134"/>
      <c r="AD140" s="134">
        <v>0</v>
      </c>
      <c r="AE140" s="221">
        <f>SUM(CATEGORIAS[[#This Row],[INVENTARIO]:[PROYECCION
DE COSTO
DEL SALDO]])</f>
        <v>0</v>
      </c>
      <c r="AF140" s="134"/>
      <c r="AG140" s="134">
        <f>+CATEGORIAS[[#This Row],[PRESUPUESTO
FINAL
PROYECTADO]]-CATEGORIAS[[#This Row],[COSTO REAL]]-CATEGORIAS[[#This Row],[PROYECCION
TOTAL DE COSTO]]</f>
        <v>0</v>
      </c>
    </row>
    <row r="141" spans="1:33" x14ac:dyDescent="0.25">
      <c r="A141" s="245"/>
      <c r="B141" s="245"/>
      <c r="C141" s="245"/>
      <c r="D141" s="323" t="s">
        <v>1877</v>
      </c>
      <c r="E141" s="244" t="s">
        <v>646</v>
      </c>
      <c r="F141" s="246" t="s">
        <v>376</v>
      </c>
      <c r="G141" s="279">
        <v>0</v>
      </c>
      <c r="H141" s="279">
        <v>0</v>
      </c>
      <c r="I141" s="132">
        <v>0</v>
      </c>
      <c r="J141" s="132">
        <v>0</v>
      </c>
      <c r="K141" s="132">
        <v>0</v>
      </c>
      <c r="L141" s="144">
        <f>CATEGORIAS[[#This Row],[ADICIONALES]]+CATEGORIAS[[#This Row],[POM]]+CATEGORIAS[[#This Row],[REAJUSTE 
PAGADO]]+CATEGORIAS[[#This Row],[REAJUSTE
PROYECTADO]]</f>
        <v>0</v>
      </c>
      <c r="M141" s="133">
        <v>0</v>
      </c>
      <c r="N141" s="222">
        <v>0</v>
      </c>
      <c r="O141" s="142">
        <f>+CATEGORIAS[[#This Row],[PRODUCCION
PARTIDAS
ORIGINALES
ACTUAL]]+CATEGORIAS[[#This Row],[PRODUCCION
ADICIONALES
ACTUAL]]</f>
        <v>0</v>
      </c>
      <c r="P141" s="222">
        <v>0</v>
      </c>
      <c r="Q141" s="222">
        <v>0</v>
      </c>
      <c r="R141" s="141">
        <f>+CATEGORIAS[[#This Row],[PRODUCCION
ANTERIOR]]+CATEGORIAS[[#This Row],[PRODUCCION
ADICIONALES
ANTERIOR]]</f>
        <v>0</v>
      </c>
      <c r="S141" s="135">
        <v>0</v>
      </c>
      <c r="T141" s="135"/>
      <c r="U141" s="135">
        <v>0</v>
      </c>
      <c r="V141" s="262">
        <f>SUM(CATEGORIAS[[#This Row],[COSTO
ACUMULADO  AX]:[PROVISIONES]])</f>
        <v>0</v>
      </c>
      <c r="W141" s="264">
        <v>0</v>
      </c>
      <c r="X141" s="222"/>
      <c r="Y141" s="222">
        <v>0</v>
      </c>
      <c r="Z141" s="263">
        <f>SUM(CATEGORIAS[[#This Row],[COSTO ACUMULADO
ANTERIOR]:[PROVISIONES
ANTERIOR]])</f>
        <v>0</v>
      </c>
      <c r="AA141" s="338">
        <f>ABS(+CATEGORIAS[[#This Row],[PRESUPUESTO
FINAL
PROYECTADO]]-CATEGORIAS[[#This Row],[TOTAL PRODUCCION
ACTUAL]])</f>
        <v>0</v>
      </c>
      <c r="AB141" s="222"/>
      <c r="AC141" s="134"/>
      <c r="AD141" s="134">
        <v>0</v>
      </c>
      <c r="AE141" s="221">
        <f>SUM(CATEGORIAS[[#This Row],[INVENTARIO]:[PROYECCION
DE COSTO
DEL SALDO]])</f>
        <v>0</v>
      </c>
      <c r="AF141" s="134"/>
      <c r="AG141" s="134">
        <f>+CATEGORIAS[[#This Row],[PRESUPUESTO
FINAL
PROYECTADO]]-CATEGORIAS[[#This Row],[COSTO REAL]]-CATEGORIAS[[#This Row],[PROYECCION
TOTAL DE COSTO]]</f>
        <v>0</v>
      </c>
    </row>
    <row r="142" spans="1:33" x14ac:dyDescent="0.25">
      <c r="A142" s="245"/>
      <c r="B142" s="245"/>
      <c r="C142" s="245"/>
      <c r="D142" s="323" t="s">
        <v>1878</v>
      </c>
      <c r="E142" s="244" t="s">
        <v>648</v>
      </c>
      <c r="F142" s="246" t="s">
        <v>376</v>
      </c>
      <c r="G142" s="279">
        <v>0</v>
      </c>
      <c r="H142" s="279">
        <v>0</v>
      </c>
      <c r="I142" s="132">
        <v>0</v>
      </c>
      <c r="J142" s="132">
        <v>0</v>
      </c>
      <c r="K142" s="132">
        <v>0</v>
      </c>
      <c r="L142" s="144">
        <f>CATEGORIAS[[#This Row],[ADICIONALES]]+CATEGORIAS[[#This Row],[POM]]+CATEGORIAS[[#This Row],[REAJUSTE 
PAGADO]]+CATEGORIAS[[#This Row],[REAJUSTE
PROYECTADO]]</f>
        <v>0</v>
      </c>
      <c r="M142" s="133">
        <v>0</v>
      </c>
      <c r="N142" s="222">
        <v>0</v>
      </c>
      <c r="O142" s="142">
        <f>+CATEGORIAS[[#This Row],[PRODUCCION
PARTIDAS
ORIGINALES
ACTUAL]]+CATEGORIAS[[#This Row],[PRODUCCION
ADICIONALES
ACTUAL]]</f>
        <v>0</v>
      </c>
      <c r="P142" s="222">
        <v>0</v>
      </c>
      <c r="Q142" s="134">
        <v>0</v>
      </c>
      <c r="R142" s="141">
        <f>+CATEGORIAS[[#This Row],[PRODUCCION
ANTERIOR]]+CATEGORIAS[[#This Row],[PRODUCCION
ADICIONALES
ANTERIOR]]</f>
        <v>0</v>
      </c>
      <c r="S142" s="135">
        <v>0</v>
      </c>
      <c r="T142" s="135"/>
      <c r="U142" s="135">
        <v>0</v>
      </c>
      <c r="V142" s="262">
        <f>SUM(CATEGORIAS[[#This Row],[COSTO
ACUMULADO  AX]:[PROVISIONES]])</f>
        <v>0</v>
      </c>
      <c r="W142" s="264">
        <v>0</v>
      </c>
      <c r="X142" s="222"/>
      <c r="Y142" s="222">
        <v>0</v>
      </c>
      <c r="Z142" s="263">
        <f>SUM(CATEGORIAS[[#This Row],[COSTO ACUMULADO
ANTERIOR]:[PROVISIONES
ANTERIOR]])</f>
        <v>0</v>
      </c>
      <c r="AA142" s="338">
        <f>ABS(+CATEGORIAS[[#This Row],[PRESUPUESTO
FINAL
PROYECTADO]]-CATEGORIAS[[#This Row],[TOTAL PRODUCCION
ACTUAL]])</f>
        <v>0</v>
      </c>
      <c r="AB142" s="222"/>
      <c r="AC142" s="134"/>
      <c r="AD142" s="134">
        <v>0</v>
      </c>
      <c r="AE142" s="221">
        <f>SUM(CATEGORIAS[[#This Row],[INVENTARIO]:[PROYECCION
DE COSTO
DEL SALDO]])</f>
        <v>0</v>
      </c>
      <c r="AF142" s="134"/>
      <c r="AG142" s="134">
        <f>+CATEGORIAS[[#This Row],[PRESUPUESTO
FINAL
PROYECTADO]]-CATEGORIAS[[#This Row],[COSTO REAL]]-CATEGORIAS[[#This Row],[PROYECCION
TOTAL DE COSTO]]</f>
        <v>0</v>
      </c>
    </row>
    <row r="143" spans="1:33" x14ac:dyDescent="0.25">
      <c r="A143" s="245"/>
      <c r="B143" s="245"/>
      <c r="C143" s="245"/>
      <c r="D143" s="323" t="s">
        <v>1879</v>
      </c>
      <c r="E143" s="244" t="s">
        <v>650</v>
      </c>
      <c r="F143" s="246" t="s">
        <v>376</v>
      </c>
      <c r="G143" s="279">
        <v>0</v>
      </c>
      <c r="H143" s="279">
        <v>0</v>
      </c>
      <c r="I143" s="132">
        <v>0</v>
      </c>
      <c r="J143" s="132">
        <v>0</v>
      </c>
      <c r="K143" s="132">
        <v>0</v>
      </c>
      <c r="L143" s="144">
        <f>CATEGORIAS[[#This Row],[ADICIONALES]]+CATEGORIAS[[#This Row],[POM]]+CATEGORIAS[[#This Row],[REAJUSTE 
PAGADO]]+CATEGORIAS[[#This Row],[REAJUSTE
PROYECTADO]]</f>
        <v>0</v>
      </c>
      <c r="M143" s="133">
        <v>0</v>
      </c>
      <c r="N143" s="222">
        <v>0</v>
      </c>
      <c r="O143" s="142">
        <f>+CATEGORIAS[[#This Row],[PRODUCCION
PARTIDAS
ORIGINALES
ACTUAL]]+CATEGORIAS[[#This Row],[PRODUCCION
ADICIONALES
ACTUAL]]</f>
        <v>0</v>
      </c>
      <c r="P143" s="222">
        <v>0</v>
      </c>
      <c r="Q143" s="222">
        <v>0</v>
      </c>
      <c r="R143" s="141">
        <f>+CATEGORIAS[[#This Row],[PRODUCCION
ANTERIOR]]+CATEGORIAS[[#This Row],[PRODUCCION
ADICIONALES
ANTERIOR]]</f>
        <v>0</v>
      </c>
      <c r="S143" s="135">
        <v>0</v>
      </c>
      <c r="T143" s="135"/>
      <c r="U143" s="135">
        <v>0</v>
      </c>
      <c r="V143" s="262">
        <f>SUM(CATEGORIAS[[#This Row],[COSTO
ACUMULADO  AX]:[PROVISIONES]])</f>
        <v>0</v>
      </c>
      <c r="W143" s="264">
        <v>0</v>
      </c>
      <c r="X143" s="222"/>
      <c r="Y143" s="222">
        <v>0</v>
      </c>
      <c r="Z143" s="263">
        <f>SUM(CATEGORIAS[[#This Row],[COSTO ACUMULADO
ANTERIOR]:[PROVISIONES
ANTERIOR]])</f>
        <v>0</v>
      </c>
      <c r="AA143" s="338">
        <f>ABS(+CATEGORIAS[[#This Row],[PRESUPUESTO
FINAL
PROYECTADO]]-CATEGORIAS[[#This Row],[TOTAL PRODUCCION
ACTUAL]])</f>
        <v>0</v>
      </c>
      <c r="AB143" s="222"/>
      <c r="AC143" s="134"/>
      <c r="AD143" s="134">
        <v>0</v>
      </c>
      <c r="AE143" s="221">
        <f>SUM(CATEGORIAS[[#This Row],[INVENTARIO]:[PROYECCION
DE COSTO
DEL SALDO]])</f>
        <v>0</v>
      </c>
      <c r="AF143" s="134"/>
      <c r="AG143" s="134">
        <f>+CATEGORIAS[[#This Row],[PRESUPUESTO
FINAL
PROYECTADO]]-CATEGORIAS[[#This Row],[COSTO REAL]]-CATEGORIAS[[#This Row],[PROYECCION
TOTAL DE COSTO]]</f>
        <v>0</v>
      </c>
    </row>
    <row r="144" spans="1:33" x14ac:dyDescent="0.25">
      <c r="A144" s="245"/>
      <c r="B144" s="245"/>
      <c r="C144" s="245"/>
      <c r="D144" s="323" t="s">
        <v>1880</v>
      </c>
      <c r="E144" s="244" t="s">
        <v>652</v>
      </c>
      <c r="F144" s="246" t="s">
        <v>376</v>
      </c>
      <c r="G144" s="279">
        <v>0</v>
      </c>
      <c r="H144" s="279">
        <v>0</v>
      </c>
      <c r="I144" s="132">
        <v>0</v>
      </c>
      <c r="J144" s="132">
        <v>0</v>
      </c>
      <c r="K144" s="132">
        <v>0</v>
      </c>
      <c r="L144" s="144">
        <f>CATEGORIAS[[#This Row],[ADICIONALES]]+CATEGORIAS[[#This Row],[POM]]+CATEGORIAS[[#This Row],[REAJUSTE 
PAGADO]]+CATEGORIAS[[#This Row],[REAJUSTE
PROYECTADO]]</f>
        <v>0</v>
      </c>
      <c r="M144" s="133">
        <v>0</v>
      </c>
      <c r="N144" s="222">
        <v>0</v>
      </c>
      <c r="O144" s="142">
        <f>+CATEGORIAS[[#This Row],[PRODUCCION
PARTIDAS
ORIGINALES
ACTUAL]]+CATEGORIAS[[#This Row],[PRODUCCION
ADICIONALES
ACTUAL]]</f>
        <v>0</v>
      </c>
      <c r="P144" s="222">
        <v>0</v>
      </c>
      <c r="Q144" s="222">
        <v>0</v>
      </c>
      <c r="R144" s="141">
        <f>+CATEGORIAS[[#This Row],[PRODUCCION
ANTERIOR]]+CATEGORIAS[[#This Row],[PRODUCCION
ADICIONALES
ANTERIOR]]</f>
        <v>0</v>
      </c>
      <c r="S144" s="135">
        <v>0</v>
      </c>
      <c r="T144" s="135"/>
      <c r="U144" s="135">
        <v>0</v>
      </c>
      <c r="V144" s="262">
        <f>SUM(CATEGORIAS[[#This Row],[COSTO
ACUMULADO  AX]:[PROVISIONES]])</f>
        <v>0</v>
      </c>
      <c r="W144" s="264">
        <v>0</v>
      </c>
      <c r="X144" s="222"/>
      <c r="Y144" s="222">
        <v>0</v>
      </c>
      <c r="Z144" s="263">
        <f>SUM(CATEGORIAS[[#This Row],[COSTO ACUMULADO
ANTERIOR]:[PROVISIONES
ANTERIOR]])</f>
        <v>0</v>
      </c>
      <c r="AA144" s="338">
        <f>ABS(+CATEGORIAS[[#This Row],[PRESUPUESTO
FINAL
PROYECTADO]]-CATEGORIAS[[#This Row],[TOTAL PRODUCCION
ACTUAL]])</f>
        <v>0</v>
      </c>
      <c r="AB144" s="222"/>
      <c r="AC144" s="134"/>
      <c r="AD144" s="134">
        <v>0</v>
      </c>
      <c r="AE144" s="221">
        <f>SUM(CATEGORIAS[[#This Row],[INVENTARIO]:[PROYECCION
DE COSTO
DEL SALDO]])</f>
        <v>0</v>
      </c>
      <c r="AF144" s="134"/>
      <c r="AG144" s="134">
        <f>+CATEGORIAS[[#This Row],[PRESUPUESTO
FINAL
PROYECTADO]]-CATEGORIAS[[#This Row],[COSTO REAL]]-CATEGORIAS[[#This Row],[PROYECCION
TOTAL DE COSTO]]</f>
        <v>0</v>
      </c>
    </row>
    <row r="145" spans="1:33" x14ac:dyDescent="0.25">
      <c r="A145" s="245"/>
      <c r="B145" s="245"/>
      <c r="C145" s="245"/>
      <c r="D145" s="323" t="s">
        <v>1881</v>
      </c>
      <c r="E145" s="244" t="s">
        <v>654</v>
      </c>
      <c r="F145" s="246" t="s">
        <v>376</v>
      </c>
      <c r="G145" s="279">
        <v>0</v>
      </c>
      <c r="H145" s="279">
        <v>0</v>
      </c>
      <c r="I145" s="132">
        <v>0</v>
      </c>
      <c r="J145" s="132">
        <v>0</v>
      </c>
      <c r="K145" s="132">
        <v>0</v>
      </c>
      <c r="L145" s="144">
        <f>CATEGORIAS[[#This Row],[ADICIONALES]]+CATEGORIAS[[#This Row],[POM]]+CATEGORIAS[[#This Row],[REAJUSTE 
PAGADO]]+CATEGORIAS[[#This Row],[REAJUSTE
PROYECTADO]]</f>
        <v>0</v>
      </c>
      <c r="M145" s="133">
        <v>0</v>
      </c>
      <c r="N145" s="222">
        <v>0</v>
      </c>
      <c r="O145" s="142">
        <f>+CATEGORIAS[[#This Row],[PRODUCCION
PARTIDAS
ORIGINALES
ACTUAL]]+CATEGORIAS[[#This Row],[PRODUCCION
ADICIONALES
ACTUAL]]</f>
        <v>0</v>
      </c>
      <c r="P145" s="222">
        <v>0</v>
      </c>
      <c r="Q145" s="134">
        <v>0</v>
      </c>
      <c r="R145" s="141">
        <f>+CATEGORIAS[[#This Row],[PRODUCCION
ANTERIOR]]+CATEGORIAS[[#This Row],[PRODUCCION
ADICIONALES
ANTERIOR]]</f>
        <v>0</v>
      </c>
      <c r="S145" s="135">
        <v>0</v>
      </c>
      <c r="T145" s="135"/>
      <c r="U145" s="135">
        <v>0</v>
      </c>
      <c r="V145" s="262">
        <f>SUM(CATEGORIAS[[#This Row],[COSTO
ACUMULADO  AX]:[PROVISIONES]])</f>
        <v>0</v>
      </c>
      <c r="W145" s="264">
        <v>0</v>
      </c>
      <c r="X145" s="222"/>
      <c r="Y145" s="222">
        <v>0</v>
      </c>
      <c r="Z145" s="263">
        <f>SUM(CATEGORIAS[[#This Row],[COSTO ACUMULADO
ANTERIOR]:[PROVISIONES
ANTERIOR]])</f>
        <v>0</v>
      </c>
      <c r="AA145" s="338">
        <f>ABS(+CATEGORIAS[[#This Row],[PRESUPUESTO
FINAL
PROYECTADO]]-CATEGORIAS[[#This Row],[TOTAL PRODUCCION
ACTUAL]])</f>
        <v>0</v>
      </c>
      <c r="AB145" s="222"/>
      <c r="AC145" s="134"/>
      <c r="AD145" s="134">
        <v>0</v>
      </c>
      <c r="AE145" s="221">
        <f>SUM(CATEGORIAS[[#This Row],[INVENTARIO]:[PROYECCION
DE COSTO
DEL SALDO]])</f>
        <v>0</v>
      </c>
      <c r="AF145" s="134"/>
      <c r="AG145" s="134">
        <f>+CATEGORIAS[[#This Row],[PRESUPUESTO
FINAL
PROYECTADO]]-CATEGORIAS[[#This Row],[COSTO REAL]]-CATEGORIAS[[#This Row],[PROYECCION
TOTAL DE COSTO]]</f>
        <v>0</v>
      </c>
    </row>
    <row r="146" spans="1:33" x14ac:dyDescent="0.25">
      <c r="A146" s="245"/>
      <c r="B146" s="245"/>
      <c r="C146" s="245"/>
      <c r="D146" s="323" t="s">
        <v>1882</v>
      </c>
      <c r="E146" s="244" t="s">
        <v>656</v>
      </c>
      <c r="F146" s="246" t="s">
        <v>376</v>
      </c>
      <c r="G146" s="279">
        <v>0</v>
      </c>
      <c r="H146" s="279">
        <v>0</v>
      </c>
      <c r="I146" s="132">
        <v>0</v>
      </c>
      <c r="J146" s="132">
        <v>0</v>
      </c>
      <c r="K146" s="132">
        <v>0</v>
      </c>
      <c r="L146" s="144">
        <f>CATEGORIAS[[#This Row],[ADICIONALES]]+CATEGORIAS[[#This Row],[POM]]+CATEGORIAS[[#This Row],[REAJUSTE 
PAGADO]]+CATEGORIAS[[#This Row],[REAJUSTE
PROYECTADO]]</f>
        <v>0</v>
      </c>
      <c r="M146" s="133">
        <v>0</v>
      </c>
      <c r="N146" s="222">
        <v>0</v>
      </c>
      <c r="O146" s="142">
        <f>+CATEGORIAS[[#This Row],[PRODUCCION
PARTIDAS
ORIGINALES
ACTUAL]]+CATEGORIAS[[#This Row],[PRODUCCION
ADICIONALES
ACTUAL]]</f>
        <v>0</v>
      </c>
      <c r="P146" s="222">
        <v>0</v>
      </c>
      <c r="Q146" s="222">
        <v>0</v>
      </c>
      <c r="R146" s="141">
        <f>+CATEGORIAS[[#This Row],[PRODUCCION
ANTERIOR]]+CATEGORIAS[[#This Row],[PRODUCCION
ADICIONALES
ANTERIOR]]</f>
        <v>0</v>
      </c>
      <c r="S146" s="135">
        <v>0</v>
      </c>
      <c r="T146" s="135"/>
      <c r="U146" s="135">
        <v>0</v>
      </c>
      <c r="V146" s="262">
        <f>SUM(CATEGORIAS[[#This Row],[COSTO
ACUMULADO  AX]:[PROVISIONES]])</f>
        <v>0</v>
      </c>
      <c r="W146" s="264">
        <v>0</v>
      </c>
      <c r="X146" s="222"/>
      <c r="Y146" s="222">
        <v>0</v>
      </c>
      <c r="Z146" s="263">
        <f>SUM(CATEGORIAS[[#This Row],[COSTO ACUMULADO
ANTERIOR]:[PROVISIONES
ANTERIOR]])</f>
        <v>0</v>
      </c>
      <c r="AA146" s="338">
        <f>ABS(+CATEGORIAS[[#This Row],[PRESUPUESTO
FINAL
PROYECTADO]]-CATEGORIAS[[#This Row],[TOTAL PRODUCCION
ACTUAL]])</f>
        <v>0</v>
      </c>
      <c r="AB146" s="222"/>
      <c r="AC146" s="134"/>
      <c r="AD146" s="134">
        <v>0</v>
      </c>
      <c r="AE146" s="221">
        <f>SUM(CATEGORIAS[[#This Row],[INVENTARIO]:[PROYECCION
DE COSTO
DEL SALDO]])</f>
        <v>0</v>
      </c>
      <c r="AF146" s="134"/>
      <c r="AG146" s="134">
        <f>+CATEGORIAS[[#This Row],[PRESUPUESTO
FINAL
PROYECTADO]]-CATEGORIAS[[#This Row],[COSTO REAL]]-CATEGORIAS[[#This Row],[PROYECCION
TOTAL DE COSTO]]</f>
        <v>0</v>
      </c>
    </row>
    <row r="147" spans="1:33" x14ac:dyDescent="0.25">
      <c r="A147" s="245"/>
      <c r="B147" s="245"/>
      <c r="C147" s="245"/>
      <c r="D147" s="323" t="s">
        <v>1883</v>
      </c>
      <c r="E147" s="244" t="s">
        <v>658</v>
      </c>
      <c r="F147" s="246" t="s">
        <v>376</v>
      </c>
      <c r="G147" s="279">
        <v>0</v>
      </c>
      <c r="H147" s="279">
        <v>0</v>
      </c>
      <c r="I147" s="132">
        <v>0</v>
      </c>
      <c r="J147" s="132">
        <v>0</v>
      </c>
      <c r="K147" s="132">
        <v>0</v>
      </c>
      <c r="L147" s="144">
        <f>CATEGORIAS[[#This Row],[ADICIONALES]]+CATEGORIAS[[#This Row],[POM]]+CATEGORIAS[[#This Row],[REAJUSTE 
PAGADO]]+CATEGORIAS[[#This Row],[REAJUSTE
PROYECTADO]]</f>
        <v>0</v>
      </c>
      <c r="M147" s="133">
        <v>0</v>
      </c>
      <c r="N147" s="222">
        <v>0</v>
      </c>
      <c r="O147" s="142">
        <f>+CATEGORIAS[[#This Row],[PRODUCCION
PARTIDAS
ORIGINALES
ACTUAL]]+CATEGORIAS[[#This Row],[PRODUCCION
ADICIONALES
ACTUAL]]</f>
        <v>0</v>
      </c>
      <c r="P147" s="222">
        <v>0</v>
      </c>
      <c r="Q147" s="222">
        <v>0</v>
      </c>
      <c r="R147" s="141">
        <f>+CATEGORIAS[[#This Row],[PRODUCCION
ANTERIOR]]+CATEGORIAS[[#This Row],[PRODUCCION
ADICIONALES
ANTERIOR]]</f>
        <v>0</v>
      </c>
      <c r="S147" s="135">
        <v>0</v>
      </c>
      <c r="T147" s="135"/>
      <c r="U147" s="135">
        <v>0</v>
      </c>
      <c r="V147" s="262">
        <f>SUM(CATEGORIAS[[#This Row],[COSTO
ACUMULADO  AX]:[PROVISIONES]])</f>
        <v>0</v>
      </c>
      <c r="W147" s="264">
        <v>0</v>
      </c>
      <c r="X147" s="222"/>
      <c r="Y147" s="222">
        <v>0</v>
      </c>
      <c r="Z147" s="263">
        <f>SUM(CATEGORIAS[[#This Row],[COSTO ACUMULADO
ANTERIOR]:[PROVISIONES
ANTERIOR]])</f>
        <v>0</v>
      </c>
      <c r="AA147" s="338">
        <f>ABS(+CATEGORIAS[[#This Row],[PRESUPUESTO
FINAL
PROYECTADO]]-CATEGORIAS[[#This Row],[TOTAL PRODUCCION
ACTUAL]])</f>
        <v>0</v>
      </c>
      <c r="AB147" s="222"/>
      <c r="AC147" s="134"/>
      <c r="AD147" s="134">
        <v>0</v>
      </c>
      <c r="AE147" s="221">
        <f>SUM(CATEGORIAS[[#This Row],[INVENTARIO]:[PROYECCION
DE COSTO
DEL SALDO]])</f>
        <v>0</v>
      </c>
      <c r="AF147" s="134"/>
      <c r="AG147" s="134">
        <f>+CATEGORIAS[[#This Row],[PRESUPUESTO
FINAL
PROYECTADO]]-CATEGORIAS[[#This Row],[COSTO REAL]]-CATEGORIAS[[#This Row],[PROYECCION
TOTAL DE COSTO]]</f>
        <v>0</v>
      </c>
    </row>
    <row r="148" spans="1:33" x14ac:dyDescent="0.25">
      <c r="A148" s="245"/>
      <c r="B148" s="245"/>
      <c r="C148" s="245"/>
      <c r="D148" s="323" t="s">
        <v>1884</v>
      </c>
      <c r="E148" s="244" t="s">
        <v>660</v>
      </c>
      <c r="F148" s="246" t="s">
        <v>376</v>
      </c>
      <c r="G148" s="279">
        <v>0</v>
      </c>
      <c r="H148" s="279">
        <v>0</v>
      </c>
      <c r="I148" s="132">
        <v>0</v>
      </c>
      <c r="J148" s="132">
        <v>0</v>
      </c>
      <c r="K148" s="132">
        <v>0</v>
      </c>
      <c r="L148" s="144">
        <f>CATEGORIAS[[#This Row],[ADICIONALES]]+CATEGORIAS[[#This Row],[POM]]+CATEGORIAS[[#This Row],[REAJUSTE 
PAGADO]]+CATEGORIAS[[#This Row],[REAJUSTE
PROYECTADO]]</f>
        <v>0</v>
      </c>
      <c r="M148" s="133">
        <v>0</v>
      </c>
      <c r="N148" s="222">
        <v>0</v>
      </c>
      <c r="O148" s="142">
        <f>+CATEGORIAS[[#This Row],[PRODUCCION
PARTIDAS
ORIGINALES
ACTUAL]]+CATEGORIAS[[#This Row],[PRODUCCION
ADICIONALES
ACTUAL]]</f>
        <v>0</v>
      </c>
      <c r="P148" s="222">
        <v>0</v>
      </c>
      <c r="Q148" s="222">
        <v>0</v>
      </c>
      <c r="R148" s="141">
        <f>+CATEGORIAS[[#This Row],[PRODUCCION
ANTERIOR]]+CATEGORIAS[[#This Row],[PRODUCCION
ADICIONALES
ANTERIOR]]</f>
        <v>0</v>
      </c>
      <c r="S148" s="135">
        <v>0</v>
      </c>
      <c r="T148" s="135"/>
      <c r="U148" s="135">
        <v>0</v>
      </c>
      <c r="V148" s="262">
        <f>SUM(CATEGORIAS[[#This Row],[COSTO
ACUMULADO  AX]:[PROVISIONES]])</f>
        <v>0</v>
      </c>
      <c r="W148" s="264">
        <v>0</v>
      </c>
      <c r="X148" s="222"/>
      <c r="Y148" s="222">
        <v>0</v>
      </c>
      <c r="Z148" s="263">
        <f>SUM(CATEGORIAS[[#This Row],[COSTO ACUMULADO
ANTERIOR]:[PROVISIONES
ANTERIOR]])</f>
        <v>0</v>
      </c>
      <c r="AA148" s="338">
        <f>ABS(+CATEGORIAS[[#This Row],[PRESUPUESTO
FINAL
PROYECTADO]]-CATEGORIAS[[#This Row],[TOTAL PRODUCCION
ACTUAL]])</f>
        <v>0</v>
      </c>
      <c r="AB148" s="222"/>
      <c r="AC148" s="134"/>
      <c r="AD148" s="134">
        <v>0</v>
      </c>
      <c r="AE148" s="221">
        <f>SUM(CATEGORIAS[[#This Row],[INVENTARIO]:[PROYECCION
DE COSTO
DEL SALDO]])</f>
        <v>0</v>
      </c>
      <c r="AF148" s="134"/>
      <c r="AG148" s="134">
        <f>+CATEGORIAS[[#This Row],[PRESUPUESTO
FINAL
PROYECTADO]]-CATEGORIAS[[#This Row],[COSTO REAL]]-CATEGORIAS[[#This Row],[PROYECCION
TOTAL DE COSTO]]</f>
        <v>0</v>
      </c>
    </row>
    <row r="149" spans="1:33" x14ac:dyDescent="0.25">
      <c r="A149" s="245"/>
      <c r="B149" s="245"/>
      <c r="C149" s="245"/>
      <c r="D149" s="323" t="s">
        <v>1885</v>
      </c>
      <c r="E149" s="244" t="s">
        <v>662</v>
      </c>
      <c r="F149" s="246" t="s">
        <v>376</v>
      </c>
      <c r="G149" s="279">
        <v>0</v>
      </c>
      <c r="H149" s="279">
        <v>0</v>
      </c>
      <c r="I149" s="132">
        <v>0</v>
      </c>
      <c r="J149" s="132">
        <v>0</v>
      </c>
      <c r="K149" s="132">
        <v>0</v>
      </c>
      <c r="L149" s="144">
        <f>CATEGORIAS[[#This Row],[ADICIONALES]]+CATEGORIAS[[#This Row],[POM]]+CATEGORIAS[[#This Row],[REAJUSTE 
PAGADO]]+CATEGORIAS[[#This Row],[REAJUSTE
PROYECTADO]]</f>
        <v>0</v>
      </c>
      <c r="M149" s="133">
        <v>0</v>
      </c>
      <c r="N149" s="222">
        <v>0</v>
      </c>
      <c r="O149" s="142">
        <f>+CATEGORIAS[[#This Row],[PRODUCCION
PARTIDAS
ORIGINALES
ACTUAL]]+CATEGORIAS[[#This Row],[PRODUCCION
ADICIONALES
ACTUAL]]</f>
        <v>0</v>
      </c>
      <c r="P149" s="222">
        <v>0</v>
      </c>
      <c r="Q149" s="134">
        <v>0</v>
      </c>
      <c r="R149" s="141">
        <f>+CATEGORIAS[[#This Row],[PRODUCCION
ANTERIOR]]+CATEGORIAS[[#This Row],[PRODUCCION
ADICIONALES
ANTERIOR]]</f>
        <v>0</v>
      </c>
      <c r="S149" s="135">
        <v>0</v>
      </c>
      <c r="T149" s="135"/>
      <c r="U149" s="135">
        <v>0</v>
      </c>
      <c r="V149" s="262">
        <f>SUM(CATEGORIAS[[#This Row],[COSTO
ACUMULADO  AX]:[PROVISIONES]])</f>
        <v>0</v>
      </c>
      <c r="W149" s="264">
        <v>0</v>
      </c>
      <c r="X149" s="222"/>
      <c r="Y149" s="222">
        <v>0</v>
      </c>
      <c r="Z149" s="263">
        <f>SUM(CATEGORIAS[[#This Row],[COSTO ACUMULADO
ANTERIOR]:[PROVISIONES
ANTERIOR]])</f>
        <v>0</v>
      </c>
      <c r="AA149" s="338">
        <f>ABS(+CATEGORIAS[[#This Row],[PRESUPUESTO
FINAL
PROYECTADO]]-CATEGORIAS[[#This Row],[TOTAL PRODUCCION
ACTUAL]])</f>
        <v>0</v>
      </c>
      <c r="AB149" s="222"/>
      <c r="AC149" s="134"/>
      <c r="AD149" s="134">
        <v>0</v>
      </c>
      <c r="AE149" s="221">
        <f>SUM(CATEGORIAS[[#This Row],[INVENTARIO]:[PROYECCION
DE COSTO
DEL SALDO]])</f>
        <v>0</v>
      </c>
      <c r="AF149" s="134"/>
      <c r="AG149" s="134">
        <f>+CATEGORIAS[[#This Row],[PRESUPUESTO
FINAL
PROYECTADO]]-CATEGORIAS[[#This Row],[COSTO REAL]]-CATEGORIAS[[#This Row],[PROYECCION
TOTAL DE COSTO]]</f>
        <v>0</v>
      </c>
    </row>
    <row r="150" spans="1:33" x14ac:dyDescent="0.25">
      <c r="A150" s="245"/>
      <c r="B150" s="245"/>
      <c r="C150" s="245"/>
      <c r="D150" s="323" t="s">
        <v>1886</v>
      </c>
      <c r="E150" s="244" t="s">
        <v>664</v>
      </c>
      <c r="F150" s="246" t="s">
        <v>376</v>
      </c>
      <c r="G150" s="279">
        <v>0</v>
      </c>
      <c r="H150" s="279">
        <v>0</v>
      </c>
      <c r="I150" s="132">
        <v>0</v>
      </c>
      <c r="J150" s="132">
        <v>0</v>
      </c>
      <c r="K150" s="132">
        <v>0</v>
      </c>
      <c r="L150" s="144">
        <f>CATEGORIAS[[#This Row],[ADICIONALES]]+CATEGORIAS[[#This Row],[POM]]+CATEGORIAS[[#This Row],[REAJUSTE 
PAGADO]]+CATEGORIAS[[#This Row],[REAJUSTE
PROYECTADO]]</f>
        <v>0</v>
      </c>
      <c r="M150" s="133">
        <v>0</v>
      </c>
      <c r="N150" s="222">
        <v>0</v>
      </c>
      <c r="O150" s="142">
        <f>+CATEGORIAS[[#This Row],[PRODUCCION
PARTIDAS
ORIGINALES
ACTUAL]]+CATEGORIAS[[#This Row],[PRODUCCION
ADICIONALES
ACTUAL]]</f>
        <v>0</v>
      </c>
      <c r="P150" s="222">
        <v>0</v>
      </c>
      <c r="Q150" s="222">
        <v>0</v>
      </c>
      <c r="R150" s="141">
        <f>+CATEGORIAS[[#This Row],[PRODUCCION
ANTERIOR]]+CATEGORIAS[[#This Row],[PRODUCCION
ADICIONALES
ANTERIOR]]</f>
        <v>0</v>
      </c>
      <c r="S150" s="135">
        <v>0</v>
      </c>
      <c r="T150" s="135"/>
      <c r="U150" s="135">
        <v>0</v>
      </c>
      <c r="V150" s="262">
        <f>SUM(CATEGORIAS[[#This Row],[COSTO
ACUMULADO  AX]:[PROVISIONES]])</f>
        <v>0</v>
      </c>
      <c r="W150" s="264">
        <v>0</v>
      </c>
      <c r="X150" s="222"/>
      <c r="Y150" s="222">
        <v>0</v>
      </c>
      <c r="Z150" s="263">
        <f>SUM(CATEGORIAS[[#This Row],[COSTO ACUMULADO
ANTERIOR]:[PROVISIONES
ANTERIOR]])</f>
        <v>0</v>
      </c>
      <c r="AA150" s="338">
        <f>ABS(+CATEGORIAS[[#This Row],[PRESUPUESTO
FINAL
PROYECTADO]]-CATEGORIAS[[#This Row],[TOTAL PRODUCCION
ACTUAL]])</f>
        <v>0</v>
      </c>
      <c r="AB150" s="222"/>
      <c r="AC150" s="134"/>
      <c r="AD150" s="134">
        <v>0</v>
      </c>
      <c r="AE150" s="221">
        <f>SUM(CATEGORIAS[[#This Row],[INVENTARIO]:[PROYECCION
DE COSTO
DEL SALDO]])</f>
        <v>0</v>
      </c>
      <c r="AF150" s="134"/>
      <c r="AG150" s="134">
        <f>+CATEGORIAS[[#This Row],[PRESUPUESTO
FINAL
PROYECTADO]]-CATEGORIAS[[#This Row],[COSTO REAL]]-CATEGORIAS[[#This Row],[PROYECCION
TOTAL DE COSTO]]</f>
        <v>0</v>
      </c>
    </row>
    <row r="151" spans="1:33" x14ac:dyDescent="0.25">
      <c r="A151" s="245"/>
      <c r="B151" s="245"/>
      <c r="C151" s="245"/>
      <c r="D151" s="323" t="s">
        <v>1887</v>
      </c>
      <c r="E151" s="244" t="s">
        <v>666</v>
      </c>
      <c r="F151" s="246" t="s">
        <v>376</v>
      </c>
      <c r="G151" s="279">
        <v>0</v>
      </c>
      <c r="H151" s="279">
        <v>0</v>
      </c>
      <c r="I151" s="132">
        <v>0</v>
      </c>
      <c r="J151" s="132">
        <v>0</v>
      </c>
      <c r="K151" s="132">
        <v>0</v>
      </c>
      <c r="L151" s="144">
        <f>CATEGORIAS[[#This Row],[ADICIONALES]]+CATEGORIAS[[#This Row],[POM]]+CATEGORIAS[[#This Row],[REAJUSTE 
PAGADO]]+CATEGORIAS[[#This Row],[REAJUSTE
PROYECTADO]]</f>
        <v>0</v>
      </c>
      <c r="M151" s="133">
        <v>0</v>
      </c>
      <c r="N151" s="222">
        <v>0</v>
      </c>
      <c r="O151" s="142">
        <f>+CATEGORIAS[[#This Row],[PRODUCCION
PARTIDAS
ORIGINALES
ACTUAL]]+CATEGORIAS[[#This Row],[PRODUCCION
ADICIONALES
ACTUAL]]</f>
        <v>0</v>
      </c>
      <c r="P151" s="222">
        <v>0</v>
      </c>
      <c r="Q151" s="134">
        <v>0</v>
      </c>
      <c r="R151" s="141">
        <f>+CATEGORIAS[[#This Row],[PRODUCCION
ANTERIOR]]+CATEGORIAS[[#This Row],[PRODUCCION
ADICIONALES
ANTERIOR]]</f>
        <v>0</v>
      </c>
      <c r="S151" s="135">
        <v>0</v>
      </c>
      <c r="T151" s="135"/>
      <c r="U151" s="135">
        <v>0</v>
      </c>
      <c r="V151" s="262">
        <f>SUM(CATEGORIAS[[#This Row],[COSTO
ACUMULADO  AX]:[PROVISIONES]])</f>
        <v>0</v>
      </c>
      <c r="W151" s="264">
        <v>0</v>
      </c>
      <c r="X151" s="222"/>
      <c r="Y151" s="222">
        <v>0</v>
      </c>
      <c r="Z151" s="263">
        <f>SUM(CATEGORIAS[[#This Row],[COSTO ACUMULADO
ANTERIOR]:[PROVISIONES
ANTERIOR]])</f>
        <v>0</v>
      </c>
      <c r="AA151" s="338">
        <f>ABS(+CATEGORIAS[[#This Row],[PRESUPUESTO
FINAL
PROYECTADO]]-CATEGORIAS[[#This Row],[TOTAL PRODUCCION
ACTUAL]])</f>
        <v>0</v>
      </c>
      <c r="AB151" s="222"/>
      <c r="AC151" s="134"/>
      <c r="AD151" s="134">
        <v>0</v>
      </c>
      <c r="AE151" s="221">
        <f>SUM(CATEGORIAS[[#This Row],[INVENTARIO]:[PROYECCION
DE COSTO
DEL SALDO]])</f>
        <v>0</v>
      </c>
      <c r="AF151" s="134"/>
      <c r="AG151" s="134">
        <f>+CATEGORIAS[[#This Row],[PRESUPUESTO
FINAL
PROYECTADO]]-CATEGORIAS[[#This Row],[COSTO REAL]]-CATEGORIAS[[#This Row],[PROYECCION
TOTAL DE COSTO]]</f>
        <v>0</v>
      </c>
    </row>
    <row r="152" spans="1:33" x14ac:dyDescent="0.25">
      <c r="A152" s="245"/>
      <c r="B152" s="245"/>
      <c r="C152" s="245"/>
      <c r="D152" s="323" t="s">
        <v>1888</v>
      </c>
      <c r="E152" s="244" t="s">
        <v>668</v>
      </c>
      <c r="F152" s="246" t="s">
        <v>376</v>
      </c>
      <c r="G152" s="279">
        <v>0</v>
      </c>
      <c r="H152" s="279">
        <v>0</v>
      </c>
      <c r="I152" s="132">
        <v>0</v>
      </c>
      <c r="J152" s="132">
        <v>0</v>
      </c>
      <c r="K152" s="132">
        <v>0</v>
      </c>
      <c r="L152" s="144">
        <f>CATEGORIAS[[#This Row],[ADICIONALES]]+CATEGORIAS[[#This Row],[POM]]+CATEGORIAS[[#This Row],[REAJUSTE 
PAGADO]]+CATEGORIAS[[#This Row],[REAJUSTE
PROYECTADO]]</f>
        <v>0</v>
      </c>
      <c r="M152" s="133">
        <v>0</v>
      </c>
      <c r="N152" s="222">
        <v>0</v>
      </c>
      <c r="O152" s="142">
        <f>+CATEGORIAS[[#This Row],[PRODUCCION
PARTIDAS
ORIGINALES
ACTUAL]]+CATEGORIAS[[#This Row],[PRODUCCION
ADICIONALES
ACTUAL]]</f>
        <v>0</v>
      </c>
      <c r="P152" s="222">
        <v>0</v>
      </c>
      <c r="Q152" s="222">
        <v>0</v>
      </c>
      <c r="R152" s="141">
        <f>+CATEGORIAS[[#This Row],[PRODUCCION
ANTERIOR]]+CATEGORIAS[[#This Row],[PRODUCCION
ADICIONALES
ANTERIOR]]</f>
        <v>0</v>
      </c>
      <c r="S152" s="135">
        <v>0</v>
      </c>
      <c r="T152" s="135"/>
      <c r="U152" s="135">
        <v>0</v>
      </c>
      <c r="V152" s="262">
        <f>SUM(CATEGORIAS[[#This Row],[COSTO
ACUMULADO  AX]:[PROVISIONES]])</f>
        <v>0</v>
      </c>
      <c r="W152" s="264">
        <v>0</v>
      </c>
      <c r="X152" s="222"/>
      <c r="Y152" s="222">
        <v>0</v>
      </c>
      <c r="Z152" s="263">
        <f>SUM(CATEGORIAS[[#This Row],[COSTO ACUMULADO
ANTERIOR]:[PROVISIONES
ANTERIOR]])</f>
        <v>0</v>
      </c>
      <c r="AA152" s="338">
        <f>ABS(+CATEGORIAS[[#This Row],[PRESUPUESTO
FINAL
PROYECTADO]]-CATEGORIAS[[#This Row],[TOTAL PRODUCCION
ACTUAL]])</f>
        <v>0</v>
      </c>
      <c r="AB152" s="222"/>
      <c r="AC152" s="134"/>
      <c r="AD152" s="134">
        <v>0</v>
      </c>
      <c r="AE152" s="221">
        <f>SUM(CATEGORIAS[[#This Row],[INVENTARIO]:[PROYECCION
DE COSTO
DEL SALDO]])</f>
        <v>0</v>
      </c>
      <c r="AF152" s="134"/>
      <c r="AG152" s="134">
        <f>+CATEGORIAS[[#This Row],[PRESUPUESTO
FINAL
PROYECTADO]]-CATEGORIAS[[#This Row],[COSTO REAL]]-CATEGORIAS[[#This Row],[PROYECCION
TOTAL DE COSTO]]</f>
        <v>0</v>
      </c>
    </row>
    <row r="153" spans="1:33" x14ac:dyDescent="0.25">
      <c r="A153" s="245"/>
      <c r="B153" s="245"/>
      <c r="C153" s="245"/>
      <c r="D153" s="323" t="s">
        <v>1889</v>
      </c>
      <c r="E153" s="244" t="s">
        <v>670</v>
      </c>
      <c r="F153" s="246" t="s">
        <v>376</v>
      </c>
      <c r="G153" s="279">
        <v>0</v>
      </c>
      <c r="H153" s="279">
        <v>0</v>
      </c>
      <c r="I153" s="132">
        <v>0</v>
      </c>
      <c r="J153" s="132">
        <v>0</v>
      </c>
      <c r="K153" s="132">
        <v>0</v>
      </c>
      <c r="L153" s="144">
        <f>CATEGORIAS[[#This Row],[ADICIONALES]]+CATEGORIAS[[#This Row],[POM]]+CATEGORIAS[[#This Row],[REAJUSTE 
PAGADO]]+CATEGORIAS[[#This Row],[REAJUSTE
PROYECTADO]]</f>
        <v>0</v>
      </c>
      <c r="M153" s="133">
        <v>0</v>
      </c>
      <c r="N153" s="222">
        <v>0</v>
      </c>
      <c r="O153" s="142">
        <f>+CATEGORIAS[[#This Row],[PRODUCCION
PARTIDAS
ORIGINALES
ACTUAL]]+CATEGORIAS[[#This Row],[PRODUCCION
ADICIONALES
ACTUAL]]</f>
        <v>0</v>
      </c>
      <c r="P153" s="222">
        <v>0</v>
      </c>
      <c r="Q153" s="134">
        <v>0</v>
      </c>
      <c r="R153" s="141">
        <f>+CATEGORIAS[[#This Row],[PRODUCCION
ANTERIOR]]+CATEGORIAS[[#This Row],[PRODUCCION
ADICIONALES
ANTERIOR]]</f>
        <v>0</v>
      </c>
      <c r="S153" s="135">
        <v>0</v>
      </c>
      <c r="T153" s="135"/>
      <c r="U153" s="135">
        <v>0</v>
      </c>
      <c r="V153" s="262">
        <f>SUM(CATEGORIAS[[#This Row],[COSTO
ACUMULADO  AX]:[PROVISIONES]])</f>
        <v>0</v>
      </c>
      <c r="W153" s="264">
        <v>0</v>
      </c>
      <c r="X153" s="222"/>
      <c r="Y153" s="222">
        <v>0</v>
      </c>
      <c r="Z153" s="263">
        <f>SUM(CATEGORIAS[[#This Row],[COSTO ACUMULADO
ANTERIOR]:[PROVISIONES
ANTERIOR]])</f>
        <v>0</v>
      </c>
      <c r="AA153" s="338">
        <f>ABS(+CATEGORIAS[[#This Row],[PRESUPUESTO
FINAL
PROYECTADO]]-CATEGORIAS[[#This Row],[TOTAL PRODUCCION
ACTUAL]])</f>
        <v>0</v>
      </c>
      <c r="AB153" s="222"/>
      <c r="AC153" s="134"/>
      <c r="AD153" s="134">
        <v>0</v>
      </c>
      <c r="AE153" s="221">
        <f>SUM(CATEGORIAS[[#This Row],[INVENTARIO]:[PROYECCION
DE COSTO
DEL SALDO]])</f>
        <v>0</v>
      </c>
      <c r="AF153" s="134"/>
      <c r="AG153" s="134">
        <f>+CATEGORIAS[[#This Row],[PRESUPUESTO
FINAL
PROYECTADO]]-CATEGORIAS[[#This Row],[COSTO REAL]]-CATEGORIAS[[#This Row],[PROYECCION
TOTAL DE COSTO]]</f>
        <v>0</v>
      </c>
    </row>
    <row r="154" spans="1:33" x14ac:dyDescent="0.25">
      <c r="A154" s="245"/>
      <c r="B154" s="245"/>
      <c r="C154" s="245"/>
      <c r="D154" s="323" t="s">
        <v>1890</v>
      </c>
      <c r="E154" s="244" t="s">
        <v>672</v>
      </c>
      <c r="F154" s="246" t="s">
        <v>376</v>
      </c>
      <c r="G154" s="279">
        <v>0</v>
      </c>
      <c r="H154" s="279">
        <v>0</v>
      </c>
      <c r="I154" s="132">
        <v>0</v>
      </c>
      <c r="J154" s="132">
        <v>0</v>
      </c>
      <c r="K154" s="132">
        <v>0</v>
      </c>
      <c r="L154" s="144">
        <f>CATEGORIAS[[#This Row],[ADICIONALES]]+CATEGORIAS[[#This Row],[POM]]+CATEGORIAS[[#This Row],[REAJUSTE 
PAGADO]]+CATEGORIAS[[#This Row],[REAJUSTE
PROYECTADO]]</f>
        <v>0</v>
      </c>
      <c r="M154" s="133">
        <v>0</v>
      </c>
      <c r="N154" s="222">
        <v>0</v>
      </c>
      <c r="O154" s="142">
        <f>+CATEGORIAS[[#This Row],[PRODUCCION
PARTIDAS
ORIGINALES
ACTUAL]]+CATEGORIAS[[#This Row],[PRODUCCION
ADICIONALES
ACTUAL]]</f>
        <v>0</v>
      </c>
      <c r="P154" s="222">
        <v>0</v>
      </c>
      <c r="Q154" s="222">
        <v>0</v>
      </c>
      <c r="R154" s="141">
        <f>+CATEGORIAS[[#This Row],[PRODUCCION
ANTERIOR]]+CATEGORIAS[[#This Row],[PRODUCCION
ADICIONALES
ANTERIOR]]</f>
        <v>0</v>
      </c>
      <c r="S154" s="135">
        <v>0</v>
      </c>
      <c r="T154" s="135"/>
      <c r="U154" s="135">
        <v>0</v>
      </c>
      <c r="V154" s="262">
        <f>SUM(CATEGORIAS[[#This Row],[COSTO
ACUMULADO  AX]:[PROVISIONES]])</f>
        <v>0</v>
      </c>
      <c r="W154" s="264">
        <v>0</v>
      </c>
      <c r="X154" s="222"/>
      <c r="Y154" s="222">
        <v>0</v>
      </c>
      <c r="Z154" s="263">
        <f>SUM(CATEGORIAS[[#This Row],[COSTO ACUMULADO
ANTERIOR]:[PROVISIONES
ANTERIOR]])</f>
        <v>0</v>
      </c>
      <c r="AA154" s="338">
        <f>ABS(+CATEGORIAS[[#This Row],[PRESUPUESTO
FINAL
PROYECTADO]]-CATEGORIAS[[#This Row],[TOTAL PRODUCCION
ACTUAL]])</f>
        <v>0</v>
      </c>
      <c r="AB154" s="222"/>
      <c r="AC154" s="134"/>
      <c r="AD154" s="134">
        <v>0</v>
      </c>
      <c r="AE154" s="221">
        <f>SUM(CATEGORIAS[[#This Row],[INVENTARIO]:[PROYECCION
DE COSTO
DEL SALDO]])</f>
        <v>0</v>
      </c>
      <c r="AF154" s="134"/>
      <c r="AG154" s="134">
        <f>+CATEGORIAS[[#This Row],[PRESUPUESTO
FINAL
PROYECTADO]]-CATEGORIAS[[#This Row],[COSTO REAL]]-CATEGORIAS[[#This Row],[PROYECCION
TOTAL DE COSTO]]</f>
        <v>0</v>
      </c>
    </row>
    <row r="155" spans="1:33" x14ac:dyDescent="0.25">
      <c r="A155" s="245"/>
      <c r="B155" s="245"/>
      <c r="C155" s="245"/>
      <c r="D155" s="323" t="s">
        <v>1891</v>
      </c>
      <c r="E155" s="244" t="s">
        <v>674</v>
      </c>
      <c r="F155" s="246" t="s">
        <v>376</v>
      </c>
      <c r="G155" s="279">
        <v>0</v>
      </c>
      <c r="H155" s="279">
        <v>0</v>
      </c>
      <c r="I155" s="132">
        <v>0</v>
      </c>
      <c r="J155" s="132">
        <v>0</v>
      </c>
      <c r="K155" s="132">
        <v>0</v>
      </c>
      <c r="L155" s="144">
        <f>CATEGORIAS[[#This Row],[ADICIONALES]]+CATEGORIAS[[#This Row],[POM]]+CATEGORIAS[[#This Row],[REAJUSTE 
PAGADO]]+CATEGORIAS[[#This Row],[REAJUSTE
PROYECTADO]]</f>
        <v>0</v>
      </c>
      <c r="M155" s="133">
        <v>0</v>
      </c>
      <c r="N155" s="222">
        <v>0</v>
      </c>
      <c r="O155" s="142">
        <f>+CATEGORIAS[[#This Row],[PRODUCCION
PARTIDAS
ORIGINALES
ACTUAL]]+CATEGORIAS[[#This Row],[PRODUCCION
ADICIONALES
ACTUAL]]</f>
        <v>0</v>
      </c>
      <c r="P155" s="222">
        <v>0</v>
      </c>
      <c r="Q155" s="134">
        <v>0</v>
      </c>
      <c r="R155" s="141">
        <f>+CATEGORIAS[[#This Row],[PRODUCCION
ANTERIOR]]+CATEGORIAS[[#This Row],[PRODUCCION
ADICIONALES
ANTERIOR]]</f>
        <v>0</v>
      </c>
      <c r="S155" s="135">
        <v>0</v>
      </c>
      <c r="T155" s="135"/>
      <c r="U155" s="135">
        <v>0</v>
      </c>
      <c r="V155" s="262">
        <f>SUM(CATEGORIAS[[#This Row],[COSTO
ACUMULADO  AX]:[PROVISIONES]])</f>
        <v>0</v>
      </c>
      <c r="W155" s="264">
        <v>0</v>
      </c>
      <c r="X155" s="222"/>
      <c r="Y155" s="222">
        <v>0</v>
      </c>
      <c r="Z155" s="263">
        <f>SUM(CATEGORIAS[[#This Row],[COSTO ACUMULADO
ANTERIOR]:[PROVISIONES
ANTERIOR]])</f>
        <v>0</v>
      </c>
      <c r="AA155" s="338">
        <f>ABS(+CATEGORIAS[[#This Row],[PRESUPUESTO
FINAL
PROYECTADO]]-CATEGORIAS[[#This Row],[TOTAL PRODUCCION
ACTUAL]])</f>
        <v>0</v>
      </c>
      <c r="AB155" s="222"/>
      <c r="AC155" s="134"/>
      <c r="AD155" s="134">
        <v>0</v>
      </c>
      <c r="AE155" s="221">
        <f>SUM(CATEGORIAS[[#This Row],[INVENTARIO]:[PROYECCION
DE COSTO
DEL SALDO]])</f>
        <v>0</v>
      </c>
      <c r="AF155" s="134"/>
      <c r="AG155" s="134">
        <f>+CATEGORIAS[[#This Row],[PRESUPUESTO
FINAL
PROYECTADO]]-CATEGORIAS[[#This Row],[COSTO REAL]]-CATEGORIAS[[#This Row],[PROYECCION
TOTAL DE COSTO]]</f>
        <v>0</v>
      </c>
    </row>
    <row r="156" spans="1:33" x14ac:dyDescent="0.25">
      <c r="A156" s="245"/>
      <c r="B156" s="245"/>
      <c r="C156" s="245"/>
      <c r="D156" s="323" t="s">
        <v>1892</v>
      </c>
      <c r="E156" s="244" t="s">
        <v>676</v>
      </c>
      <c r="F156" s="246" t="s">
        <v>376</v>
      </c>
      <c r="G156" s="279">
        <v>0</v>
      </c>
      <c r="H156" s="279">
        <v>0</v>
      </c>
      <c r="I156" s="132">
        <v>0</v>
      </c>
      <c r="J156" s="132">
        <v>0</v>
      </c>
      <c r="K156" s="132">
        <v>0</v>
      </c>
      <c r="L156" s="144">
        <f>CATEGORIAS[[#This Row],[ADICIONALES]]+CATEGORIAS[[#This Row],[POM]]+CATEGORIAS[[#This Row],[REAJUSTE 
PAGADO]]+CATEGORIAS[[#This Row],[REAJUSTE
PROYECTADO]]</f>
        <v>0</v>
      </c>
      <c r="M156" s="133">
        <v>0</v>
      </c>
      <c r="N156" s="222">
        <v>0</v>
      </c>
      <c r="O156" s="142">
        <f>+CATEGORIAS[[#This Row],[PRODUCCION
PARTIDAS
ORIGINALES
ACTUAL]]+CATEGORIAS[[#This Row],[PRODUCCION
ADICIONALES
ACTUAL]]</f>
        <v>0</v>
      </c>
      <c r="P156" s="222">
        <v>0</v>
      </c>
      <c r="Q156" s="222">
        <v>0</v>
      </c>
      <c r="R156" s="141">
        <f>+CATEGORIAS[[#This Row],[PRODUCCION
ANTERIOR]]+CATEGORIAS[[#This Row],[PRODUCCION
ADICIONALES
ANTERIOR]]</f>
        <v>0</v>
      </c>
      <c r="S156" s="135">
        <v>0</v>
      </c>
      <c r="T156" s="135"/>
      <c r="U156" s="135">
        <v>0</v>
      </c>
      <c r="V156" s="262">
        <f>SUM(CATEGORIAS[[#This Row],[COSTO
ACUMULADO  AX]:[PROVISIONES]])</f>
        <v>0</v>
      </c>
      <c r="W156" s="264">
        <v>0</v>
      </c>
      <c r="X156" s="222"/>
      <c r="Y156" s="222">
        <v>0</v>
      </c>
      <c r="Z156" s="263">
        <f>SUM(CATEGORIAS[[#This Row],[COSTO ACUMULADO
ANTERIOR]:[PROVISIONES
ANTERIOR]])</f>
        <v>0</v>
      </c>
      <c r="AA156" s="338">
        <f>ABS(+CATEGORIAS[[#This Row],[PRESUPUESTO
FINAL
PROYECTADO]]-CATEGORIAS[[#This Row],[TOTAL PRODUCCION
ACTUAL]])</f>
        <v>0</v>
      </c>
      <c r="AB156" s="222"/>
      <c r="AC156" s="134"/>
      <c r="AD156" s="134">
        <v>0</v>
      </c>
      <c r="AE156" s="221">
        <f>SUM(CATEGORIAS[[#This Row],[INVENTARIO]:[PROYECCION
DE COSTO
DEL SALDO]])</f>
        <v>0</v>
      </c>
      <c r="AF156" s="134"/>
      <c r="AG156" s="134">
        <f>+CATEGORIAS[[#This Row],[PRESUPUESTO
FINAL
PROYECTADO]]-CATEGORIAS[[#This Row],[COSTO REAL]]-CATEGORIAS[[#This Row],[PROYECCION
TOTAL DE COSTO]]</f>
        <v>0</v>
      </c>
    </row>
    <row r="157" spans="1:33" x14ac:dyDescent="0.25">
      <c r="A157" s="245"/>
      <c r="B157" s="245"/>
      <c r="C157" s="245"/>
      <c r="D157" s="323" t="s">
        <v>1893</v>
      </c>
      <c r="E157" s="244" t="s">
        <v>678</v>
      </c>
      <c r="F157" s="246" t="s">
        <v>376</v>
      </c>
      <c r="G157" s="279">
        <v>0</v>
      </c>
      <c r="H157" s="279">
        <v>0</v>
      </c>
      <c r="I157" s="132">
        <v>0</v>
      </c>
      <c r="J157" s="132">
        <v>0</v>
      </c>
      <c r="K157" s="132">
        <v>0</v>
      </c>
      <c r="L157" s="144">
        <f>CATEGORIAS[[#This Row],[ADICIONALES]]+CATEGORIAS[[#This Row],[POM]]+CATEGORIAS[[#This Row],[REAJUSTE 
PAGADO]]+CATEGORIAS[[#This Row],[REAJUSTE
PROYECTADO]]</f>
        <v>0</v>
      </c>
      <c r="M157" s="133">
        <v>0</v>
      </c>
      <c r="N157" s="222">
        <v>0</v>
      </c>
      <c r="O157" s="142">
        <f>+CATEGORIAS[[#This Row],[PRODUCCION
PARTIDAS
ORIGINALES
ACTUAL]]+CATEGORIAS[[#This Row],[PRODUCCION
ADICIONALES
ACTUAL]]</f>
        <v>0</v>
      </c>
      <c r="P157" s="222">
        <v>0</v>
      </c>
      <c r="Q157" s="134">
        <v>0</v>
      </c>
      <c r="R157" s="141">
        <f>+CATEGORIAS[[#This Row],[PRODUCCION
ANTERIOR]]+CATEGORIAS[[#This Row],[PRODUCCION
ADICIONALES
ANTERIOR]]</f>
        <v>0</v>
      </c>
      <c r="S157" s="135">
        <v>0</v>
      </c>
      <c r="T157" s="135"/>
      <c r="U157" s="135">
        <v>0</v>
      </c>
      <c r="V157" s="262">
        <f>SUM(CATEGORIAS[[#This Row],[COSTO
ACUMULADO  AX]:[PROVISIONES]])</f>
        <v>0</v>
      </c>
      <c r="W157" s="264">
        <v>0</v>
      </c>
      <c r="X157" s="222"/>
      <c r="Y157" s="222">
        <v>0</v>
      </c>
      <c r="Z157" s="263">
        <f>SUM(CATEGORIAS[[#This Row],[COSTO ACUMULADO
ANTERIOR]:[PROVISIONES
ANTERIOR]])</f>
        <v>0</v>
      </c>
      <c r="AA157" s="338">
        <f>ABS(+CATEGORIAS[[#This Row],[PRESUPUESTO
FINAL
PROYECTADO]]-CATEGORIAS[[#This Row],[TOTAL PRODUCCION
ACTUAL]])</f>
        <v>0</v>
      </c>
      <c r="AB157" s="222"/>
      <c r="AC157" s="134"/>
      <c r="AD157" s="134">
        <v>0</v>
      </c>
      <c r="AE157" s="221">
        <f>SUM(CATEGORIAS[[#This Row],[INVENTARIO]:[PROYECCION
DE COSTO
DEL SALDO]])</f>
        <v>0</v>
      </c>
      <c r="AF157" s="134"/>
      <c r="AG157" s="134">
        <f>+CATEGORIAS[[#This Row],[PRESUPUESTO
FINAL
PROYECTADO]]-CATEGORIAS[[#This Row],[COSTO REAL]]-CATEGORIAS[[#This Row],[PROYECCION
TOTAL DE COSTO]]</f>
        <v>0</v>
      </c>
    </row>
    <row r="158" spans="1:33" x14ac:dyDescent="0.25">
      <c r="A158" s="245"/>
      <c r="B158" s="245"/>
      <c r="C158" s="245"/>
      <c r="D158" s="323" t="s">
        <v>1894</v>
      </c>
      <c r="E158" s="244" t="s">
        <v>680</v>
      </c>
      <c r="F158" s="246" t="s">
        <v>376</v>
      </c>
      <c r="G158" s="279">
        <v>0</v>
      </c>
      <c r="H158" s="279">
        <v>0</v>
      </c>
      <c r="I158" s="132">
        <v>0</v>
      </c>
      <c r="J158" s="132">
        <v>0</v>
      </c>
      <c r="K158" s="132">
        <v>0</v>
      </c>
      <c r="L158" s="144">
        <f>CATEGORIAS[[#This Row],[ADICIONALES]]+CATEGORIAS[[#This Row],[POM]]+CATEGORIAS[[#This Row],[REAJUSTE 
PAGADO]]+CATEGORIAS[[#This Row],[REAJUSTE
PROYECTADO]]</f>
        <v>0</v>
      </c>
      <c r="M158" s="133">
        <v>0</v>
      </c>
      <c r="N158" s="222">
        <v>0</v>
      </c>
      <c r="O158" s="142">
        <f>+CATEGORIAS[[#This Row],[PRODUCCION
PARTIDAS
ORIGINALES
ACTUAL]]+CATEGORIAS[[#This Row],[PRODUCCION
ADICIONALES
ACTUAL]]</f>
        <v>0</v>
      </c>
      <c r="P158" s="222">
        <v>0</v>
      </c>
      <c r="Q158" s="222">
        <v>0</v>
      </c>
      <c r="R158" s="141">
        <f>+CATEGORIAS[[#This Row],[PRODUCCION
ANTERIOR]]+CATEGORIAS[[#This Row],[PRODUCCION
ADICIONALES
ANTERIOR]]</f>
        <v>0</v>
      </c>
      <c r="S158" s="135">
        <v>0</v>
      </c>
      <c r="T158" s="135"/>
      <c r="U158" s="135">
        <v>0</v>
      </c>
      <c r="V158" s="262">
        <f>SUM(CATEGORIAS[[#This Row],[COSTO
ACUMULADO  AX]:[PROVISIONES]])</f>
        <v>0</v>
      </c>
      <c r="W158" s="264">
        <v>0</v>
      </c>
      <c r="X158" s="222"/>
      <c r="Y158" s="222">
        <v>0</v>
      </c>
      <c r="Z158" s="263">
        <f>SUM(CATEGORIAS[[#This Row],[COSTO ACUMULADO
ANTERIOR]:[PROVISIONES
ANTERIOR]])</f>
        <v>0</v>
      </c>
      <c r="AA158" s="338">
        <f>ABS(+CATEGORIAS[[#This Row],[PRESUPUESTO
FINAL
PROYECTADO]]-CATEGORIAS[[#This Row],[TOTAL PRODUCCION
ACTUAL]])</f>
        <v>0</v>
      </c>
      <c r="AB158" s="222"/>
      <c r="AC158" s="134"/>
      <c r="AD158" s="134">
        <v>0</v>
      </c>
      <c r="AE158" s="221">
        <f>SUM(CATEGORIAS[[#This Row],[INVENTARIO]:[PROYECCION
DE COSTO
DEL SALDO]])</f>
        <v>0</v>
      </c>
      <c r="AF158" s="134"/>
      <c r="AG158" s="134">
        <f>+CATEGORIAS[[#This Row],[PRESUPUESTO
FINAL
PROYECTADO]]-CATEGORIAS[[#This Row],[COSTO REAL]]-CATEGORIAS[[#This Row],[PROYECCION
TOTAL DE COSTO]]</f>
        <v>0</v>
      </c>
    </row>
    <row r="159" spans="1:33" x14ac:dyDescent="0.25">
      <c r="A159" s="245"/>
      <c r="B159" s="245"/>
      <c r="C159" s="245"/>
      <c r="D159" s="323" t="s">
        <v>1895</v>
      </c>
      <c r="E159" s="244" t="s">
        <v>682</v>
      </c>
      <c r="F159" s="246" t="s">
        <v>376</v>
      </c>
      <c r="G159" s="279">
        <v>0</v>
      </c>
      <c r="H159" s="279">
        <v>0</v>
      </c>
      <c r="I159" s="132">
        <v>0</v>
      </c>
      <c r="J159" s="132">
        <v>0</v>
      </c>
      <c r="K159" s="132">
        <v>0</v>
      </c>
      <c r="L159" s="144">
        <f>CATEGORIAS[[#This Row],[ADICIONALES]]+CATEGORIAS[[#This Row],[POM]]+CATEGORIAS[[#This Row],[REAJUSTE 
PAGADO]]+CATEGORIAS[[#This Row],[REAJUSTE
PROYECTADO]]</f>
        <v>0</v>
      </c>
      <c r="M159" s="133">
        <v>0</v>
      </c>
      <c r="N159" s="222">
        <v>0</v>
      </c>
      <c r="O159" s="142">
        <f>+CATEGORIAS[[#This Row],[PRODUCCION
PARTIDAS
ORIGINALES
ACTUAL]]+CATEGORIAS[[#This Row],[PRODUCCION
ADICIONALES
ACTUAL]]</f>
        <v>0</v>
      </c>
      <c r="P159" s="222">
        <v>0</v>
      </c>
      <c r="Q159" s="134">
        <v>0</v>
      </c>
      <c r="R159" s="141">
        <f>+CATEGORIAS[[#This Row],[PRODUCCION
ANTERIOR]]+CATEGORIAS[[#This Row],[PRODUCCION
ADICIONALES
ANTERIOR]]</f>
        <v>0</v>
      </c>
      <c r="S159" s="135">
        <v>0</v>
      </c>
      <c r="T159" s="135"/>
      <c r="U159" s="135">
        <v>0</v>
      </c>
      <c r="V159" s="262">
        <f>SUM(CATEGORIAS[[#This Row],[COSTO
ACUMULADO  AX]:[PROVISIONES]])</f>
        <v>0</v>
      </c>
      <c r="W159" s="264">
        <v>0</v>
      </c>
      <c r="X159" s="222"/>
      <c r="Y159" s="222">
        <v>0</v>
      </c>
      <c r="Z159" s="263">
        <f>SUM(CATEGORIAS[[#This Row],[COSTO ACUMULADO
ANTERIOR]:[PROVISIONES
ANTERIOR]])</f>
        <v>0</v>
      </c>
      <c r="AA159" s="338">
        <f>ABS(+CATEGORIAS[[#This Row],[PRESUPUESTO
FINAL
PROYECTADO]]-CATEGORIAS[[#This Row],[TOTAL PRODUCCION
ACTUAL]])</f>
        <v>0</v>
      </c>
      <c r="AB159" s="222"/>
      <c r="AC159" s="134"/>
      <c r="AD159" s="134">
        <v>0</v>
      </c>
      <c r="AE159" s="221">
        <f>SUM(CATEGORIAS[[#This Row],[INVENTARIO]:[PROYECCION
DE COSTO
DEL SALDO]])</f>
        <v>0</v>
      </c>
      <c r="AF159" s="134"/>
      <c r="AG159" s="134">
        <f>+CATEGORIAS[[#This Row],[PRESUPUESTO
FINAL
PROYECTADO]]-CATEGORIAS[[#This Row],[COSTO REAL]]-CATEGORIAS[[#This Row],[PROYECCION
TOTAL DE COSTO]]</f>
        <v>0</v>
      </c>
    </row>
    <row r="160" spans="1:33" x14ac:dyDescent="0.25">
      <c r="A160" s="245"/>
      <c r="B160" s="245"/>
      <c r="C160" s="245"/>
      <c r="D160" s="323" t="s">
        <v>1896</v>
      </c>
      <c r="E160" s="244" t="s">
        <v>684</v>
      </c>
      <c r="F160" s="246" t="s">
        <v>376</v>
      </c>
      <c r="G160" s="279">
        <v>0</v>
      </c>
      <c r="H160" s="279">
        <v>0</v>
      </c>
      <c r="I160" s="132">
        <v>0</v>
      </c>
      <c r="J160" s="132">
        <v>0</v>
      </c>
      <c r="K160" s="132">
        <v>0</v>
      </c>
      <c r="L160" s="144">
        <f>CATEGORIAS[[#This Row],[ADICIONALES]]+CATEGORIAS[[#This Row],[POM]]+CATEGORIAS[[#This Row],[REAJUSTE 
PAGADO]]+CATEGORIAS[[#This Row],[REAJUSTE
PROYECTADO]]</f>
        <v>0</v>
      </c>
      <c r="M160" s="133">
        <v>0</v>
      </c>
      <c r="N160" s="222">
        <v>0</v>
      </c>
      <c r="O160" s="142">
        <f>+CATEGORIAS[[#This Row],[PRODUCCION
PARTIDAS
ORIGINALES
ACTUAL]]+CATEGORIAS[[#This Row],[PRODUCCION
ADICIONALES
ACTUAL]]</f>
        <v>0</v>
      </c>
      <c r="P160" s="222">
        <v>0</v>
      </c>
      <c r="Q160" s="222">
        <v>0</v>
      </c>
      <c r="R160" s="141">
        <f>+CATEGORIAS[[#This Row],[PRODUCCION
ANTERIOR]]+CATEGORIAS[[#This Row],[PRODUCCION
ADICIONALES
ANTERIOR]]</f>
        <v>0</v>
      </c>
      <c r="S160" s="135">
        <v>0</v>
      </c>
      <c r="T160" s="135"/>
      <c r="U160" s="135">
        <v>0</v>
      </c>
      <c r="V160" s="262">
        <f>SUM(CATEGORIAS[[#This Row],[COSTO
ACUMULADO  AX]:[PROVISIONES]])</f>
        <v>0</v>
      </c>
      <c r="W160" s="264">
        <v>0</v>
      </c>
      <c r="X160" s="222"/>
      <c r="Y160" s="222">
        <v>0</v>
      </c>
      <c r="Z160" s="263">
        <f>SUM(CATEGORIAS[[#This Row],[COSTO ACUMULADO
ANTERIOR]:[PROVISIONES
ANTERIOR]])</f>
        <v>0</v>
      </c>
      <c r="AA160" s="338">
        <f>ABS(+CATEGORIAS[[#This Row],[PRESUPUESTO
FINAL
PROYECTADO]]-CATEGORIAS[[#This Row],[TOTAL PRODUCCION
ACTUAL]])</f>
        <v>0</v>
      </c>
      <c r="AB160" s="222"/>
      <c r="AC160" s="134"/>
      <c r="AD160" s="134">
        <v>0</v>
      </c>
      <c r="AE160" s="221">
        <f>SUM(CATEGORIAS[[#This Row],[INVENTARIO]:[PROYECCION
DE COSTO
DEL SALDO]])</f>
        <v>0</v>
      </c>
      <c r="AF160" s="134"/>
      <c r="AG160" s="134">
        <f>+CATEGORIAS[[#This Row],[PRESUPUESTO
FINAL
PROYECTADO]]-CATEGORIAS[[#This Row],[COSTO REAL]]-CATEGORIAS[[#This Row],[PROYECCION
TOTAL DE COSTO]]</f>
        <v>0</v>
      </c>
    </row>
    <row r="161" spans="1:33" x14ac:dyDescent="0.25">
      <c r="A161" s="245"/>
      <c r="B161" s="245"/>
      <c r="C161" s="245"/>
      <c r="D161" s="323" t="s">
        <v>1897</v>
      </c>
      <c r="E161" s="244" t="s">
        <v>686</v>
      </c>
      <c r="F161" s="246" t="s">
        <v>376</v>
      </c>
      <c r="G161" s="279">
        <v>0</v>
      </c>
      <c r="H161" s="279">
        <v>0</v>
      </c>
      <c r="I161" s="132">
        <v>0</v>
      </c>
      <c r="J161" s="132">
        <v>0</v>
      </c>
      <c r="K161" s="132">
        <v>0</v>
      </c>
      <c r="L161" s="144">
        <f>CATEGORIAS[[#This Row],[ADICIONALES]]+CATEGORIAS[[#This Row],[POM]]+CATEGORIAS[[#This Row],[REAJUSTE 
PAGADO]]+CATEGORIAS[[#This Row],[REAJUSTE
PROYECTADO]]</f>
        <v>0</v>
      </c>
      <c r="M161" s="133">
        <v>0</v>
      </c>
      <c r="N161" s="222">
        <v>0</v>
      </c>
      <c r="O161" s="142">
        <f>+CATEGORIAS[[#This Row],[PRODUCCION
PARTIDAS
ORIGINALES
ACTUAL]]+CATEGORIAS[[#This Row],[PRODUCCION
ADICIONALES
ACTUAL]]</f>
        <v>0</v>
      </c>
      <c r="P161" s="222">
        <v>0</v>
      </c>
      <c r="Q161" s="134">
        <v>0</v>
      </c>
      <c r="R161" s="141">
        <f>+CATEGORIAS[[#This Row],[PRODUCCION
ANTERIOR]]+CATEGORIAS[[#This Row],[PRODUCCION
ADICIONALES
ANTERIOR]]</f>
        <v>0</v>
      </c>
      <c r="S161" s="135">
        <v>0</v>
      </c>
      <c r="T161" s="135"/>
      <c r="U161" s="135">
        <v>0</v>
      </c>
      <c r="V161" s="262">
        <f>SUM(CATEGORIAS[[#This Row],[COSTO
ACUMULADO  AX]:[PROVISIONES]])</f>
        <v>0</v>
      </c>
      <c r="W161" s="264">
        <v>0</v>
      </c>
      <c r="X161" s="222"/>
      <c r="Y161" s="222">
        <v>0</v>
      </c>
      <c r="Z161" s="263">
        <f>SUM(CATEGORIAS[[#This Row],[COSTO ACUMULADO
ANTERIOR]:[PROVISIONES
ANTERIOR]])</f>
        <v>0</v>
      </c>
      <c r="AA161" s="338">
        <f>ABS(+CATEGORIAS[[#This Row],[PRESUPUESTO
FINAL
PROYECTADO]]-CATEGORIAS[[#This Row],[TOTAL PRODUCCION
ACTUAL]])</f>
        <v>0</v>
      </c>
      <c r="AB161" s="222"/>
      <c r="AC161" s="134"/>
      <c r="AD161" s="134">
        <v>0</v>
      </c>
      <c r="AE161" s="221">
        <f>SUM(CATEGORIAS[[#This Row],[INVENTARIO]:[PROYECCION
DE COSTO
DEL SALDO]])</f>
        <v>0</v>
      </c>
      <c r="AF161" s="134"/>
      <c r="AG161" s="134">
        <f>+CATEGORIAS[[#This Row],[PRESUPUESTO
FINAL
PROYECTADO]]-CATEGORIAS[[#This Row],[COSTO REAL]]-CATEGORIAS[[#This Row],[PROYECCION
TOTAL DE COSTO]]</f>
        <v>0</v>
      </c>
    </row>
    <row r="162" spans="1:33" x14ac:dyDescent="0.25">
      <c r="A162" s="245"/>
      <c r="B162" s="245"/>
      <c r="C162" s="245"/>
      <c r="D162" s="323" t="s">
        <v>1898</v>
      </c>
      <c r="E162" s="244" t="s">
        <v>688</v>
      </c>
      <c r="F162" s="246" t="s">
        <v>376</v>
      </c>
      <c r="G162" s="279">
        <v>0</v>
      </c>
      <c r="H162" s="279">
        <v>0</v>
      </c>
      <c r="I162" s="132">
        <v>0</v>
      </c>
      <c r="J162" s="132">
        <v>0</v>
      </c>
      <c r="K162" s="132">
        <v>0</v>
      </c>
      <c r="L162" s="144">
        <f>CATEGORIAS[[#This Row],[ADICIONALES]]+CATEGORIAS[[#This Row],[POM]]+CATEGORIAS[[#This Row],[REAJUSTE 
PAGADO]]+CATEGORIAS[[#This Row],[REAJUSTE
PROYECTADO]]</f>
        <v>0</v>
      </c>
      <c r="M162" s="133">
        <v>0</v>
      </c>
      <c r="N162" s="222">
        <v>0</v>
      </c>
      <c r="O162" s="142">
        <f>+CATEGORIAS[[#This Row],[PRODUCCION
PARTIDAS
ORIGINALES
ACTUAL]]+CATEGORIAS[[#This Row],[PRODUCCION
ADICIONALES
ACTUAL]]</f>
        <v>0</v>
      </c>
      <c r="P162" s="222">
        <v>0</v>
      </c>
      <c r="Q162" s="222">
        <v>0</v>
      </c>
      <c r="R162" s="141">
        <f>+CATEGORIAS[[#This Row],[PRODUCCION
ANTERIOR]]+CATEGORIAS[[#This Row],[PRODUCCION
ADICIONALES
ANTERIOR]]</f>
        <v>0</v>
      </c>
      <c r="S162" s="135">
        <v>0</v>
      </c>
      <c r="T162" s="135"/>
      <c r="U162" s="135">
        <v>0</v>
      </c>
      <c r="V162" s="262">
        <f>SUM(CATEGORIAS[[#This Row],[COSTO
ACUMULADO  AX]:[PROVISIONES]])</f>
        <v>0</v>
      </c>
      <c r="W162" s="264">
        <v>0</v>
      </c>
      <c r="X162" s="222"/>
      <c r="Y162" s="222">
        <v>0</v>
      </c>
      <c r="Z162" s="263">
        <f>SUM(CATEGORIAS[[#This Row],[COSTO ACUMULADO
ANTERIOR]:[PROVISIONES
ANTERIOR]])</f>
        <v>0</v>
      </c>
      <c r="AA162" s="338">
        <f>ABS(+CATEGORIAS[[#This Row],[PRESUPUESTO
FINAL
PROYECTADO]]-CATEGORIAS[[#This Row],[TOTAL PRODUCCION
ACTUAL]])</f>
        <v>0</v>
      </c>
      <c r="AB162" s="222"/>
      <c r="AC162" s="134"/>
      <c r="AD162" s="134">
        <v>0</v>
      </c>
      <c r="AE162" s="221">
        <f>SUM(CATEGORIAS[[#This Row],[INVENTARIO]:[PROYECCION
DE COSTO
DEL SALDO]])</f>
        <v>0</v>
      </c>
      <c r="AF162" s="134"/>
      <c r="AG162" s="134">
        <f>+CATEGORIAS[[#This Row],[PRESUPUESTO
FINAL
PROYECTADO]]-CATEGORIAS[[#This Row],[COSTO REAL]]-CATEGORIAS[[#This Row],[PROYECCION
TOTAL DE COSTO]]</f>
        <v>0</v>
      </c>
    </row>
    <row r="163" spans="1:33" x14ac:dyDescent="0.25">
      <c r="A163" s="245"/>
      <c r="B163" s="245"/>
      <c r="C163" s="245"/>
      <c r="D163" s="323" t="s">
        <v>1899</v>
      </c>
      <c r="E163" s="244" t="s">
        <v>690</v>
      </c>
      <c r="F163" s="246" t="s">
        <v>376</v>
      </c>
      <c r="G163" s="279">
        <v>0</v>
      </c>
      <c r="H163" s="279">
        <v>0</v>
      </c>
      <c r="I163" s="132">
        <v>0</v>
      </c>
      <c r="J163" s="132">
        <v>0</v>
      </c>
      <c r="K163" s="132">
        <v>0</v>
      </c>
      <c r="L163" s="144">
        <f>CATEGORIAS[[#This Row],[ADICIONALES]]+CATEGORIAS[[#This Row],[POM]]+CATEGORIAS[[#This Row],[REAJUSTE 
PAGADO]]+CATEGORIAS[[#This Row],[REAJUSTE
PROYECTADO]]</f>
        <v>0</v>
      </c>
      <c r="M163" s="133">
        <v>0</v>
      </c>
      <c r="N163" s="222">
        <v>0</v>
      </c>
      <c r="O163" s="142">
        <f>+CATEGORIAS[[#This Row],[PRODUCCION
PARTIDAS
ORIGINALES
ACTUAL]]+CATEGORIAS[[#This Row],[PRODUCCION
ADICIONALES
ACTUAL]]</f>
        <v>0</v>
      </c>
      <c r="P163" s="222">
        <v>0</v>
      </c>
      <c r="Q163" s="134">
        <v>0</v>
      </c>
      <c r="R163" s="141">
        <f>+CATEGORIAS[[#This Row],[PRODUCCION
ANTERIOR]]+CATEGORIAS[[#This Row],[PRODUCCION
ADICIONALES
ANTERIOR]]</f>
        <v>0</v>
      </c>
      <c r="S163" s="135">
        <v>0</v>
      </c>
      <c r="T163" s="135"/>
      <c r="U163" s="135">
        <v>0</v>
      </c>
      <c r="V163" s="262">
        <f>SUM(CATEGORIAS[[#This Row],[COSTO
ACUMULADO  AX]:[PROVISIONES]])</f>
        <v>0</v>
      </c>
      <c r="W163" s="264">
        <v>0</v>
      </c>
      <c r="X163" s="222"/>
      <c r="Y163" s="222">
        <v>0</v>
      </c>
      <c r="Z163" s="263">
        <f>SUM(CATEGORIAS[[#This Row],[COSTO ACUMULADO
ANTERIOR]:[PROVISIONES
ANTERIOR]])</f>
        <v>0</v>
      </c>
      <c r="AA163" s="338">
        <f>ABS(+CATEGORIAS[[#This Row],[PRESUPUESTO
FINAL
PROYECTADO]]-CATEGORIAS[[#This Row],[TOTAL PRODUCCION
ACTUAL]])</f>
        <v>0</v>
      </c>
      <c r="AB163" s="222"/>
      <c r="AC163" s="134"/>
      <c r="AD163" s="134">
        <v>0</v>
      </c>
      <c r="AE163" s="221">
        <f>SUM(CATEGORIAS[[#This Row],[INVENTARIO]:[PROYECCION
DE COSTO
DEL SALDO]])</f>
        <v>0</v>
      </c>
      <c r="AF163" s="134"/>
      <c r="AG163" s="134">
        <f>+CATEGORIAS[[#This Row],[PRESUPUESTO
FINAL
PROYECTADO]]-CATEGORIAS[[#This Row],[COSTO REAL]]-CATEGORIAS[[#This Row],[PROYECCION
TOTAL DE COSTO]]</f>
        <v>0</v>
      </c>
    </row>
    <row r="164" spans="1:33" x14ac:dyDescent="0.25">
      <c r="A164" s="245"/>
      <c r="B164" s="245"/>
      <c r="C164" s="245"/>
      <c r="D164" s="323" t="s">
        <v>1900</v>
      </c>
      <c r="E164" s="244" t="s">
        <v>692</v>
      </c>
      <c r="F164" s="246" t="s">
        <v>376</v>
      </c>
      <c r="G164" s="279">
        <v>0</v>
      </c>
      <c r="H164" s="279">
        <v>0</v>
      </c>
      <c r="I164" s="132">
        <v>0</v>
      </c>
      <c r="J164" s="132">
        <v>0</v>
      </c>
      <c r="K164" s="132">
        <v>0</v>
      </c>
      <c r="L164" s="144">
        <f>CATEGORIAS[[#This Row],[ADICIONALES]]+CATEGORIAS[[#This Row],[POM]]+CATEGORIAS[[#This Row],[REAJUSTE 
PAGADO]]+CATEGORIAS[[#This Row],[REAJUSTE
PROYECTADO]]</f>
        <v>0</v>
      </c>
      <c r="M164" s="133">
        <v>0</v>
      </c>
      <c r="N164" s="222">
        <v>0</v>
      </c>
      <c r="O164" s="142">
        <f>+CATEGORIAS[[#This Row],[PRODUCCION
PARTIDAS
ORIGINALES
ACTUAL]]+CATEGORIAS[[#This Row],[PRODUCCION
ADICIONALES
ACTUAL]]</f>
        <v>0</v>
      </c>
      <c r="P164" s="222">
        <v>0</v>
      </c>
      <c r="Q164" s="222">
        <v>0</v>
      </c>
      <c r="R164" s="141">
        <f>+CATEGORIAS[[#This Row],[PRODUCCION
ANTERIOR]]+CATEGORIAS[[#This Row],[PRODUCCION
ADICIONALES
ANTERIOR]]</f>
        <v>0</v>
      </c>
      <c r="S164" s="135">
        <v>0</v>
      </c>
      <c r="T164" s="135"/>
      <c r="U164" s="135">
        <v>0</v>
      </c>
      <c r="V164" s="262">
        <f>SUM(CATEGORIAS[[#This Row],[COSTO
ACUMULADO  AX]:[PROVISIONES]])</f>
        <v>0</v>
      </c>
      <c r="W164" s="264">
        <v>0</v>
      </c>
      <c r="X164" s="222"/>
      <c r="Y164" s="222">
        <v>0</v>
      </c>
      <c r="Z164" s="263">
        <f>SUM(CATEGORIAS[[#This Row],[COSTO ACUMULADO
ANTERIOR]:[PROVISIONES
ANTERIOR]])</f>
        <v>0</v>
      </c>
      <c r="AA164" s="338">
        <f>ABS(+CATEGORIAS[[#This Row],[PRESUPUESTO
FINAL
PROYECTADO]]-CATEGORIAS[[#This Row],[TOTAL PRODUCCION
ACTUAL]])</f>
        <v>0</v>
      </c>
      <c r="AB164" s="222"/>
      <c r="AC164" s="134"/>
      <c r="AD164" s="134">
        <v>0</v>
      </c>
      <c r="AE164" s="221">
        <f>SUM(CATEGORIAS[[#This Row],[INVENTARIO]:[PROYECCION
DE COSTO
DEL SALDO]])</f>
        <v>0</v>
      </c>
      <c r="AF164" s="134"/>
      <c r="AG164" s="134">
        <f>+CATEGORIAS[[#This Row],[PRESUPUESTO
FINAL
PROYECTADO]]-CATEGORIAS[[#This Row],[COSTO REAL]]-CATEGORIAS[[#This Row],[PROYECCION
TOTAL DE COSTO]]</f>
        <v>0</v>
      </c>
    </row>
    <row r="165" spans="1:33" x14ac:dyDescent="0.25">
      <c r="A165" s="245"/>
      <c r="B165" s="245"/>
      <c r="C165" s="245"/>
      <c r="D165" s="323" t="s">
        <v>1901</v>
      </c>
      <c r="E165" s="244" t="s">
        <v>694</v>
      </c>
      <c r="F165" s="246" t="s">
        <v>376</v>
      </c>
      <c r="G165" s="279">
        <v>0</v>
      </c>
      <c r="H165" s="279">
        <v>0</v>
      </c>
      <c r="I165" s="132">
        <v>0</v>
      </c>
      <c r="J165" s="132">
        <v>0</v>
      </c>
      <c r="K165" s="132">
        <v>0</v>
      </c>
      <c r="L165" s="144">
        <f>CATEGORIAS[[#This Row],[ADICIONALES]]+CATEGORIAS[[#This Row],[POM]]+CATEGORIAS[[#This Row],[REAJUSTE 
PAGADO]]+CATEGORIAS[[#This Row],[REAJUSTE
PROYECTADO]]</f>
        <v>0</v>
      </c>
      <c r="M165" s="133">
        <v>0</v>
      </c>
      <c r="N165" s="222">
        <v>0</v>
      </c>
      <c r="O165" s="142">
        <f>+CATEGORIAS[[#This Row],[PRODUCCION
PARTIDAS
ORIGINALES
ACTUAL]]+CATEGORIAS[[#This Row],[PRODUCCION
ADICIONALES
ACTUAL]]</f>
        <v>0</v>
      </c>
      <c r="P165" s="222">
        <v>0</v>
      </c>
      <c r="Q165" s="134">
        <v>0</v>
      </c>
      <c r="R165" s="141">
        <f>+CATEGORIAS[[#This Row],[PRODUCCION
ANTERIOR]]+CATEGORIAS[[#This Row],[PRODUCCION
ADICIONALES
ANTERIOR]]</f>
        <v>0</v>
      </c>
      <c r="S165" s="135">
        <v>0</v>
      </c>
      <c r="T165" s="135"/>
      <c r="U165" s="135">
        <v>0</v>
      </c>
      <c r="V165" s="262">
        <f>SUM(CATEGORIAS[[#This Row],[COSTO
ACUMULADO  AX]:[PROVISIONES]])</f>
        <v>0</v>
      </c>
      <c r="W165" s="264">
        <v>0</v>
      </c>
      <c r="X165" s="222"/>
      <c r="Y165" s="222">
        <v>0</v>
      </c>
      <c r="Z165" s="263">
        <f>SUM(CATEGORIAS[[#This Row],[COSTO ACUMULADO
ANTERIOR]:[PROVISIONES
ANTERIOR]])</f>
        <v>0</v>
      </c>
      <c r="AA165" s="338">
        <f>ABS(+CATEGORIAS[[#This Row],[PRESUPUESTO
FINAL
PROYECTADO]]-CATEGORIAS[[#This Row],[TOTAL PRODUCCION
ACTUAL]])</f>
        <v>0</v>
      </c>
      <c r="AB165" s="222"/>
      <c r="AC165" s="134"/>
      <c r="AD165" s="134">
        <v>0</v>
      </c>
      <c r="AE165" s="221">
        <f>SUM(CATEGORIAS[[#This Row],[INVENTARIO]:[PROYECCION
DE COSTO
DEL SALDO]])</f>
        <v>0</v>
      </c>
      <c r="AF165" s="134"/>
      <c r="AG165" s="134">
        <f>+CATEGORIAS[[#This Row],[PRESUPUESTO
FINAL
PROYECTADO]]-CATEGORIAS[[#This Row],[COSTO REAL]]-CATEGORIAS[[#This Row],[PROYECCION
TOTAL DE COSTO]]</f>
        <v>0</v>
      </c>
    </row>
    <row r="166" spans="1:33" x14ac:dyDescent="0.25">
      <c r="A166" s="245"/>
      <c r="B166" s="245"/>
      <c r="C166" s="245"/>
      <c r="D166" s="323" t="s">
        <v>1902</v>
      </c>
      <c r="E166" s="244" t="s">
        <v>696</v>
      </c>
      <c r="F166" s="246" t="s">
        <v>376</v>
      </c>
      <c r="G166" s="279">
        <v>0</v>
      </c>
      <c r="H166" s="279">
        <v>0</v>
      </c>
      <c r="I166" s="132">
        <v>0</v>
      </c>
      <c r="J166" s="132">
        <v>0</v>
      </c>
      <c r="K166" s="132">
        <v>0</v>
      </c>
      <c r="L166" s="144">
        <f>CATEGORIAS[[#This Row],[ADICIONALES]]+CATEGORIAS[[#This Row],[POM]]+CATEGORIAS[[#This Row],[REAJUSTE 
PAGADO]]+CATEGORIAS[[#This Row],[REAJUSTE
PROYECTADO]]</f>
        <v>0</v>
      </c>
      <c r="M166" s="133">
        <v>0</v>
      </c>
      <c r="N166" s="222">
        <v>0</v>
      </c>
      <c r="O166" s="142">
        <f>+CATEGORIAS[[#This Row],[PRODUCCION
PARTIDAS
ORIGINALES
ACTUAL]]+CATEGORIAS[[#This Row],[PRODUCCION
ADICIONALES
ACTUAL]]</f>
        <v>0</v>
      </c>
      <c r="P166" s="222">
        <v>0</v>
      </c>
      <c r="Q166" s="222">
        <v>0</v>
      </c>
      <c r="R166" s="141">
        <f>+CATEGORIAS[[#This Row],[PRODUCCION
ANTERIOR]]+CATEGORIAS[[#This Row],[PRODUCCION
ADICIONALES
ANTERIOR]]</f>
        <v>0</v>
      </c>
      <c r="S166" s="135">
        <v>0</v>
      </c>
      <c r="T166" s="135"/>
      <c r="U166" s="135">
        <v>0</v>
      </c>
      <c r="V166" s="262">
        <f>SUM(CATEGORIAS[[#This Row],[COSTO
ACUMULADO  AX]:[PROVISIONES]])</f>
        <v>0</v>
      </c>
      <c r="W166" s="264">
        <v>0</v>
      </c>
      <c r="X166" s="222"/>
      <c r="Y166" s="222">
        <v>0</v>
      </c>
      <c r="Z166" s="263">
        <f>SUM(CATEGORIAS[[#This Row],[COSTO ACUMULADO
ANTERIOR]:[PROVISIONES
ANTERIOR]])</f>
        <v>0</v>
      </c>
      <c r="AA166" s="338">
        <f>ABS(+CATEGORIAS[[#This Row],[PRESUPUESTO
FINAL
PROYECTADO]]-CATEGORIAS[[#This Row],[TOTAL PRODUCCION
ACTUAL]])</f>
        <v>0</v>
      </c>
      <c r="AB166" s="222"/>
      <c r="AC166" s="134"/>
      <c r="AD166" s="134">
        <v>0</v>
      </c>
      <c r="AE166" s="221">
        <f>SUM(CATEGORIAS[[#This Row],[INVENTARIO]:[PROYECCION
DE COSTO
DEL SALDO]])</f>
        <v>0</v>
      </c>
      <c r="AF166" s="134"/>
      <c r="AG166" s="134">
        <f>+CATEGORIAS[[#This Row],[PRESUPUESTO
FINAL
PROYECTADO]]-CATEGORIAS[[#This Row],[COSTO REAL]]-CATEGORIAS[[#This Row],[PROYECCION
TOTAL DE COSTO]]</f>
        <v>0</v>
      </c>
    </row>
    <row r="167" spans="1:33" x14ac:dyDescent="0.25">
      <c r="A167" s="245"/>
      <c r="B167" s="245"/>
      <c r="C167" s="245"/>
      <c r="D167" s="323" t="s">
        <v>1903</v>
      </c>
      <c r="E167" s="244" t="s">
        <v>698</v>
      </c>
      <c r="F167" s="246" t="s">
        <v>376</v>
      </c>
      <c r="G167" s="279">
        <v>0</v>
      </c>
      <c r="H167" s="279">
        <v>0</v>
      </c>
      <c r="I167" s="132">
        <v>0</v>
      </c>
      <c r="J167" s="132">
        <v>0</v>
      </c>
      <c r="K167" s="132">
        <v>0</v>
      </c>
      <c r="L167" s="144">
        <f>CATEGORIAS[[#This Row],[ADICIONALES]]+CATEGORIAS[[#This Row],[POM]]+CATEGORIAS[[#This Row],[REAJUSTE 
PAGADO]]+CATEGORIAS[[#This Row],[REAJUSTE
PROYECTADO]]</f>
        <v>0</v>
      </c>
      <c r="M167" s="133">
        <v>0</v>
      </c>
      <c r="N167" s="222">
        <v>0</v>
      </c>
      <c r="O167" s="142">
        <f>+CATEGORIAS[[#This Row],[PRODUCCION
PARTIDAS
ORIGINALES
ACTUAL]]+CATEGORIAS[[#This Row],[PRODUCCION
ADICIONALES
ACTUAL]]</f>
        <v>0</v>
      </c>
      <c r="P167" s="222">
        <v>0</v>
      </c>
      <c r="Q167" s="134">
        <v>0</v>
      </c>
      <c r="R167" s="141">
        <f>+CATEGORIAS[[#This Row],[PRODUCCION
ANTERIOR]]+CATEGORIAS[[#This Row],[PRODUCCION
ADICIONALES
ANTERIOR]]</f>
        <v>0</v>
      </c>
      <c r="S167" s="135">
        <v>0</v>
      </c>
      <c r="T167" s="135"/>
      <c r="U167" s="135">
        <v>0</v>
      </c>
      <c r="V167" s="262">
        <f>SUM(CATEGORIAS[[#This Row],[COSTO
ACUMULADO  AX]:[PROVISIONES]])</f>
        <v>0</v>
      </c>
      <c r="W167" s="264">
        <v>0</v>
      </c>
      <c r="X167" s="222"/>
      <c r="Y167" s="222">
        <v>0</v>
      </c>
      <c r="Z167" s="263">
        <f>SUM(CATEGORIAS[[#This Row],[COSTO ACUMULADO
ANTERIOR]:[PROVISIONES
ANTERIOR]])</f>
        <v>0</v>
      </c>
      <c r="AA167" s="338">
        <f>ABS(+CATEGORIAS[[#This Row],[PRESUPUESTO
FINAL
PROYECTADO]]-CATEGORIAS[[#This Row],[TOTAL PRODUCCION
ACTUAL]])</f>
        <v>0</v>
      </c>
      <c r="AB167" s="222"/>
      <c r="AC167" s="134"/>
      <c r="AD167" s="134">
        <v>0</v>
      </c>
      <c r="AE167" s="221">
        <f>SUM(CATEGORIAS[[#This Row],[INVENTARIO]:[PROYECCION
DE COSTO
DEL SALDO]])</f>
        <v>0</v>
      </c>
      <c r="AF167" s="134"/>
      <c r="AG167" s="134">
        <f>+CATEGORIAS[[#This Row],[PRESUPUESTO
FINAL
PROYECTADO]]-CATEGORIAS[[#This Row],[COSTO REAL]]-CATEGORIAS[[#This Row],[PROYECCION
TOTAL DE COSTO]]</f>
        <v>0</v>
      </c>
    </row>
    <row r="168" spans="1:33" x14ac:dyDescent="0.25">
      <c r="A168" s="245"/>
      <c r="B168" s="245"/>
      <c r="C168" s="245"/>
      <c r="D168" s="323" t="s">
        <v>1904</v>
      </c>
      <c r="E168" s="244" t="s">
        <v>700</v>
      </c>
      <c r="F168" s="246" t="s">
        <v>376</v>
      </c>
      <c r="G168" s="279">
        <v>0</v>
      </c>
      <c r="H168" s="279">
        <v>0</v>
      </c>
      <c r="I168" s="132">
        <v>0</v>
      </c>
      <c r="J168" s="132">
        <v>0</v>
      </c>
      <c r="K168" s="132">
        <v>0</v>
      </c>
      <c r="L168" s="144">
        <f>CATEGORIAS[[#This Row],[ADICIONALES]]+CATEGORIAS[[#This Row],[POM]]+CATEGORIAS[[#This Row],[REAJUSTE 
PAGADO]]+CATEGORIAS[[#This Row],[REAJUSTE
PROYECTADO]]</f>
        <v>0</v>
      </c>
      <c r="M168" s="133">
        <v>0</v>
      </c>
      <c r="N168" s="222">
        <v>0</v>
      </c>
      <c r="O168" s="142">
        <f>+CATEGORIAS[[#This Row],[PRODUCCION
PARTIDAS
ORIGINALES
ACTUAL]]+CATEGORIAS[[#This Row],[PRODUCCION
ADICIONALES
ACTUAL]]</f>
        <v>0</v>
      </c>
      <c r="P168" s="222">
        <v>0</v>
      </c>
      <c r="Q168" s="222">
        <v>0</v>
      </c>
      <c r="R168" s="141">
        <f>+CATEGORIAS[[#This Row],[PRODUCCION
ANTERIOR]]+CATEGORIAS[[#This Row],[PRODUCCION
ADICIONALES
ANTERIOR]]</f>
        <v>0</v>
      </c>
      <c r="S168" s="135">
        <v>0</v>
      </c>
      <c r="T168" s="135"/>
      <c r="U168" s="135">
        <v>0</v>
      </c>
      <c r="V168" s="262">
        <f>SUM(CATEGORIAS[[#This Row],[COSTO
ACUMULADO  AX]:[PROVISIONES]])</f>
        <v>0</v>
      </c>
      <c r="W168" s="264">
        <v>0</v>
      </c>
      <c r="X168" s="222"/>
      <c r="Y168" s="222">
        <v>0</v>
      </c>
      <c r="Z168" s="263">
        <f>SUM(CATEGORIAS[[#This Row],[COSTO ACUMULADO
ANTERIOR]:[PROVISIONES
ANTERIOR]])</f>
        <v>0</v>
      </c>
      <c r="AA168" s="338">
        <f>ABS(+CATEGORIAS[[#This Row],[PRESUPUESTO
FINAL
PROYECTADO]]-CATEGORIAS[[#This Row],[TOTAL PRODUCCION
ACTUAL]])</f>
        <v>0</v>
      </c>
      <c r="AB168" s="222"/>
      <c r="AC168" s="134"/>
      <c r="AD168" s="134">
        <v>0</v>
      </c>
      <c r="AE168" s="221">
        <f>SUM(CATEGORIAS[[#This Row],[INVENTARIO]:[PROYECCION
DE COSTO
DEL SALDO]])</f>
        <v>0</v>
      </c>
      <c r="AF168" s="134"/>
      <c r="AG168" s="134">
        <f>+CATEGORIAS[[#This Row],[PRESUPUESTO
FINAL
PROYECTADO]]-CATEGORIAS[[#This Row],[COSTO REAL]]-CATEGORIAS[[#This Row],[PROYECCION
TOTAL DE COSTO]]</f>
        <v>0</v>
      </c>
    </row>
    <row r="169" spans="1:33" x14ac:dyDescent="0.25">
      <c r="A169" s="245"/>
      <c r="B169" s="245"/>
      <c r="C169" s="245"/>
      <c r="D169" s="323" t="s">
        <v>1905</v>
      </c>
      <c r="E169" s="244" t="s">
        <v>700</v>
      </c>
      <c r="F169" s="246" t="s">
        <v>376</v>
      </c>
      <c r="G169" s="279">
        <v>0</v>
      </c>
      <c r="H169" s="279">
        <v>0</v>
      </c>
      <c r="I169" s="132">
        <v>0</v>
      </c>
      <c r="J169" s="132">
        <v>0</v>
      </c>
      <c r="K169" s="132">
        <v>0</v>
      </c>
      <c r="L169" s="144">
        <f>CATEGORIAS[[#This Row],[ADICIONALES]]+CATEGORIAS[[#This Row],[POM]]+CATEGORIAS[[#This Row],[REAJUSTE 
PAGADO]]+CATEGORIAS[[#This Row],[REAJUSTE
PROYECTADO]]</f>
        <v>0</v>
      </c>
      <c r="M169" s="133">
        <v>0</v>
      </c>
      <c r="N169" s="222">
        <v>0</v>
      </c>
      <c r="O169" s="142">
        <f>+CATEGORIAS[[#This Row],[PRODUCCION
PARTIDAS
ORIGINALES
ACTUAL]]+CATEGORIAS[[#This Row],[PRODUCCION
ADICIONALES
ACTUAL]]</f>
        <v>0</v>
      </c>
      <c r="P169" s="222">
        <v>0</v>
      </c>
      <c r="Q169" s="134">
        <v>0</v>
      </c>
      <c r="R169" s="141">
        <f>+CATEGORIAS[[#This Row],[PRODUCCION
ANTERIOR]]+CATEGORIAS[[#This Row],[PRODUCCION
ADICIONALES
ANTERIOR]]</f>
        <v>0</v>
      </c>
      <c r="S169" s="135">
        <v>0</v>
      </c>
      <c r="T169" s="135"/>
      <c r="U169" s="135">
        <v>0</v>
      </c>
      <c r="V169" s="262">
        <f>SUM(CATEGORIAS[[#This Row],[COSTO
ACUMULADO  AX]:[PROVISIONES]])</f>
        <v>0</v>
      </c>
      <c r="W169" s="264">
        <v>0</v>
      </c>
      <c r="X169" s="222"/>
      <c r="Y169" s="222">
        <v>0</v>
      </c>
      <c r="Z169" s="263">
        <f>SUM(CATEGORIAS[[#This Row],[COSTO ACUMULADO
ANTERIOR]:[PROVISIONES
ANTERIOR]])</f>
        <v>0</v>
      </c>
      <c r="AA169" s="338">
        <f>ABS(+CATEGORIAS[[#This Row],[PRESUPUESTO
FINAL
PROYECTADO]]-CATEGORIAS[[#This Row],[TOTAL PRODUCCION
ACTUAL]])</f>
        <v>0</v>
      </c>
      <c r="AB169" s="222"/>
      <c r="AC169" s="134"/>
      <c r="AD169" s="134">
        <v>0</v>
      </c>
      <c r="AE169" s="221">
        <f>SUM(CATEGORIAS[[#This Row],[INVENTARIO]:[PROYECCION
DE COSTO
DEL SALDO]])</f>
        <v>0</v>
      </c>
      <c r="AF169" s="134"/>
      <c r="AG169" s="134">
        <f>+CATEGORIAS[[#This Row],[PRESUPUESTO
FINAL
PROYECTADO]]-CATEGORIAS[[#This Row],[COSTO REAL]]-CATEGORIAS[[#This Row],[PROYECCION
TOTAL DE COSTO]]</f>
        <v>0</v>
      </c>
    </row>
    <row r="170" spans="1:33" x14ac:dyDescent="0.25">
      <c r="A170" s="245"/>
      <c r="B170" s="245"/>
      <c r="C170" s="245"/>
      <c r="D170" s="323" t="s">
        <v>1906</v>
      </c>
      <c r="E170" s="244" t="s">
        <v>703</v>
      </c>
      <c r="F170" s="246" t="s">
        <v>376</v>
      </c>
      <c r="G170" s="279">
        <v>0</v>
      </c>
      <c r="H170" s="279">
        <v>0</v>
      </c>
      <c r="I170" s="132">
        <v>0</v>
      </c>
      <c r="J170" s="132">
        <v>0</v>
      </c>
      <c r="K170" s="132">
        <v>0</v>
      </c>
      <c r="L170" s="144">
        <f>CATEGORIAS[[#This Row],[ADICIONALES]]+CATEGORIAS[[#This Row],[POM]]+CATEGORIAS[[#This Row],[REAJUSTE 
PAGADO]]+CATEGORIAS[[#This Row],[REAJUSTE
PROYECTADO]]</f>
        <v>0</v>
      </c>
      <c r="M170" s="133">
        <v>0</v>
      </c>
      <c r="N170" s="222">
        <v>0</v>
      </c>
      <c r="O170" s="142">
        <f>+CATEGORIAS[[#This Row],[PRODUCCION
PARTIDAS
ORIGINALES
ACTUAL]]+CATEGORIAS[[#This Row],[PRODUCCION
ADICIONALES
ACTUAL]]</f>
        <v>0</v>
      </c>
      <c r="P170" s="222">
        <v>0</v>
      </c>
      <c r="Q170" s="222">
        <v>0</v>
      </c>
      <c r="R170" s="141">
        <f>+CATEGORIAS[[#This Row],[PRODUCCION
ANTERIOR]]+CATEGORIAS[[#This Row],[PRODUCCION
ADICIONALES
ANTERIOR]]</f>
        <v>0</v>
      </c>
      <c r="S170" s="135">
        <v>0</v>
      </c>
      <c r="T170" s="135"/>
      <c r="U170" s="135">
        <v>0</v>
      </c>
      <c r="V170" s="262">
        <f>SUM(CATEGORIAS[[#This Row],[COSTO
ACUMULADO  AX]:[PROVISIONES]])</f>
        <v>0</v>
      </c>
      <c r="W170" s="264">
        <v>0</v>
      </c>
      <c r="X170" s="222"/>
      <c r="Y170" s="222">
        <v>0</v>
      </c>
      <c r="Z170" s="263">
        <f>SUM(CATEGORIAS[[#This Row],[COSTO ACUMULADO
ANTERIOR]:[PROVISIONES
ANTERIOR]])</f>
        <v>0</v>
      </c>
      <c r="AA170" s="338">
        <f>ABS(+CATEGORIAS[[#This Row],[PRESUPUESTO
FINAL
PROYECTADO]]-CATEGORIAS[[#This Row],[TOTAL PRODUCCION
ACTUAL]])</f>
        <v>0</v>
      </c>
      <c r="AB170" s="222"/>
      <c r="AC170" s="134"/>
      <c r="AD170" s="134">
        <v>0</v>
      </c>
      <c r="AE170" s="221">
        <f>SUM(CATEGORIAS[[#This Row],[INVENTARIO]:[PROYECCION
DE COSTO
DEL SALDO]])</f>
        <v>0</v>
      </c>
      <c r="AF170" s="134"/>
      <c r="AG170" s="134">
        <f>+CATEGORIAS[[#This Row],[PRESUPUESTO
FINAL
PROYECTADO]]-CATEGORIAS[[#This Row],[COSTO REAL]]-CATEGORIAS[[#This Row],[PROYECCION
TOTAL DE COSTO]]</f>
        <v>0</v>
      </c>
    </row>
    <row r="171" spans="1:33" x14ac:dyDescent="0.25">
      <c r="A171" s="245"/>
      <c r="B171" s="245"/>
      <c r="C171" s="245"/>
      <c r="D171" s="323" t="s">
        <v>1907</v>
      </c>
      <c r="E171" s="244" t="s">
        <v>705</v>
      </c>
      <c r="F171" s="246" t="s">
        <v>376</v>
      </c>
      <c r="G171" s="279">
        <v>0</v>
      </c>
      <c r="H171" s="279">
        <v>0</v>
      </c>
      <c r="I171" s="132">
        <v>0</v>
      </c>
      <c r="J171" s="132">
        <v>0</v>
      </c>
      <c r="K171" s="132">
        <v>0</v>
      </c>
      <c r="L171" s="144">
        <f>CATEGORIAS[[#This Row],[ADICIONALES]]+CATEGORIAS[[#This Row],[POM]]+CATEGORIAS[[#This Row],[REAJUSTE 
PAGADO]]+CATEGORIAS[[#This Row],[REAJUSTE
PROYECTADO]]</f>
        <v>0</v>
      </c>
      <c r="M171" s="133">
        <v>0</v>
      </c>
      <c r="N171" s="222">
        <v>0</v>
      </c>
      <c r="O171" s="142">
        <f>+CATEGORIAS[[#This Row],[PRODUCCION
PARTIDAS
ORIGINALES
ACTUAL]]+CATEGORIAS[[#This Row],[PRODUCCION
ADICIONALES
ACTUAL]]</f>
        <v>0</v>
      </c>
      <c r="P171" s="222">
        <v>0</v>
      </c>
      <c r="Q171" s="134">
        <v>0</v>
      </c>
      <c r="R171" s="141">
        <f>+CATEGORIAS[[#This Row],[PRODUCCION
ANTERIOR]]+CATEGORIAS[[#This Row],[PRODUCCION
ADICIONALES
ANTERIOR]]</f>
        <v>0</v>
      </c>
      <c r="S171" s="135">
        <v>0</v>
      </c>
      <c r="T171" s="135"/>
      <c r="U171" s="135">
        <v>0</v>
      </c>
      <c r="V171" s="262">
        <f>SUM(CATEGORIAS[[#This Row],[COSTO
ACUMULADO  AX]:[PROVISIONES]])</f>
        <v>0</v>
      </c>
      <c r="W171" s="264">
        <v>0</v>
      </c>
      <c r="X171" s="222"/>
      <c r="Y171" s="222">
        <v>0</v>
      </c>
      <c r="Z171" s="263">
        <f>SUM(CATEGORIAS[[#This Row],[COSTO ACUMULADO
ANTERIOR]:[PROVISIONES
ANTERIOR]])</f>
        <v>0</v>
      </c>
      <c r="AA171" s="338">
        <f>ABS(+CATEGORIAS[[#This Row],[PRESUPUESTO
FINAL
PROYECTADO]]-CATEGORIAS[[#This Row],[TOTAL PRODUCCION
ACTUAL]])</f>
        <v>0</v>
      </c>
      <c r="AB171" s="222"/>
      <c r="AC171" s="134"/>
      <c r="AD171" s="134">
        <v>0</v>
      </c>
      <c r="AE171" s="221">
        <f>SUM(CATEGORIAS[[#This Row],[INVENTARIO]:[PROYECCION
DE COSTO
DEL SALDO]])</f>
        <v>0</v>
      </c>
      <c r="AF171" s="134"/>
      <c r="AG171" s="134">
        <f>+CATEGORIAS[[#This Row],[PRESUPUESTO
FINAL
PROYECTADO]]-CATEGORIAS[[#This Row],[COSTO REAL]]-CATEGORIAS[[#This Row],[PROYECCION
TOTAL DE COSTO]]</f>
        <v>0</v>
      </c>
    </row>
    <row r="172" spans="1:33" x14ac:dyDescent="0.25">
      <c r="A172" s="245"/>
      <c r="B172" s="245"/>
      <c r="C172" s="245"/>
      <c r="D172" s="323" t="s">
        <v>1908</v>
      </c>
      <c r="E172" s="244" t="s">
        <v>707</v>
      </c>
      <c r="F172" s="246" t="s">
        <v>376</v>
      </c>
      <c r="G172" s="279">
        <v>0</v>
      </c>
      <c r="H172" s="279">
        <v>0</v>
      </c>
      <c r="I172" s="132">
        <v>0</v>
      </c>
      <c r="J172" s="132">
        <v>0</v>
      </c>
      <c r="K172" s="132">
        <v>0</v>
      </c>
      <c r="L172" s="144">
        <f>CATEGORIAS[[#This Row],[ADICIONALES]]+CATEGORIAS[[#This Row],[POM]]+CATEGORIAS[[#This Row],[REAJUSTE 
PAGADO]]+CATEGORIAS[[#This Row],[REAJUSTE
PROYECTADO]]</f>
        <v>0</v>
      </c>
      <c r="M172" s="133">
        <v>0</v>
      </c>
      <c r="N172" s="222">
        <v>0</v>
      </c>
      <c r="O172" s="142">
        <f>+CATEGORIAS[[#This Row],[PRODUCCION
PARTIDAS
ORIGINALES
ACTUAL]]+CATEGORIAS[[#This Row],[PRODUCCION
ADICIONALES
ACTUAL]]</f>
        <v>0</v>
      </c>
      <c r="P172" s="222">
        <v>0</v>
      </c>
      <c r="Q172" s="222">
        <v>0</v>
      </c>
      <c r="R172" s="141">
        <f>+CATEGORIAS[[#This Row],[PRODUCCION
ANTERIOR]]+CATEGORIAS[[#This Row],[PRODUCCION
ADICIONALES
ANTERIOR]]</f>
        <v>0</v>
      </c>
      <c r="S172" s="135">
        <v>0</v>
      </c>
      <c r="T172" s="135"/>
      <c r="U172" s="135">
        <v>0</v>
      </c>
      <c r="V172" s="262">
        <f>SUM(CATEGORIAS[[#This Row],[COSTO
ACUMULADO  AX]:[PROVISIONES]])</f>
        <v>0</v>
      </c>
      <c r="W172" s="264">
        <v>0</v>
      </c>
      <c r="X172" s="222"/>
      <c r="Y172" s="222">
        <v>0</v>
      </c>
      <c r="Z172" s="263">
        <f>SUM(CATEGORIAS[[#This Row],[COSTO ACUMULADO
ANTERIOR]:[PROVISIONES
ANTERIOR]])</f>
        <v>0</v>
      </c>
      <c r="AA172" s="338">
        <f>ABS(+CATEGORIAS[[#This Row],[PRESUPUESTO
FINAL
PROYECTADO]]-CATEGORIAS[[#This Row],[TOTAL PRODUCCION
ACTUAL]])</f>
        <v>0</v>
      </c>
      <c r="AB172" s="222"/>
      <c r="AC172" s="134"/>
      <c r="AD172" s="134">
        <v>0</v>
      </c>
      <c r="AE172" s="221">
        <f>SUM(CATEGORIAS[[#This Row],[INVENTARIO]:[PROYECCION
DE COSTO
DEL SALDO]])</f>
        <v>0</v>
      </c>
      <c r="AF172" s="134"/>
      <c r="AG172" s="134">
        <f>+CATEGORIAS[[#This Row],[PRESUPUESTO
FINAL
PROYECTADO]]-CATEGORIAS[[#This Row],[COSTO REAL]]-CATEGORIAS[[#This Row],[PROYECCION
TOTAL DE COSTO]]</f>
        <v>0</v>
      </c>
    </row>
    <row r="173" spans="1:33" x14ac:dyDescent="0.25">
      <c r="A173" s="245"/>
      <c r="B173" s="245"/>
      <c r="C173" s="245"/>
      <c r="D173" s="323" t="s">
        <v>1909</v>
      </c>
      <c r="E173" s="244" t="s">
        <v>709</v>
      </c>
      <c r="F173" s="246" t="s">
        <v>376</v>
      </c>
      <c r="G173" s="279">
        <v>0</v>
      </c>
      <c r="H173" s="279">
        <v>0</v>
      </c>
      <c r="I173" s="132">
        <v>0</v>
      </c>
      <c r="J173" s="132">
        <v>0</v>
      </c>
      <c r="K173" s="132">
        <v>0</v>
      </c>
      <c r="L173" s="144">
        <f>CATEGORIAS[[#This Row],[ADICIONALES]]+CATEGORIAS[[#This Row],[POM]]+CATEGORIAS[[#This Row],[REAJUSTE 
PAGADO]]+CATEGORIAS[[#This Row],[REAJUSTE
PROYECTADO]]</f>
        <v>0</v>
      </c>
      <c r="M173" s="133">
        <v>0</v>
      </c>
      <c r="N173" s="222">
        <v>0</v>
      </c>
      <c r="O173" s="142">
        <f>+CATEGORIAS[[#This Row],[PRODUCCION
PARTIDAS
ORIGINALES
ACTUAL]]+CATEGORIAS[[#This Row],[PRODUCCION
ADICIONALES
ACTUAL]]</f>
        <v>0</v>
      </c>
      <c r="P173" s="222">
        <v>0</v>
      </c>
      <c r="Q173" s="134">
        <v>0</v>
      </c>
      <c r="R173" s="141">
        <f>+CATEGORIAS[[#This Row],[PRODUCCION
ANTERIOR]]+CATEGORIAS[[#This Row],[PRODUCCION
ADICIONALES
ANTERIOR]]</f>
        <v>0</v>
      </c>
      <c r="S173" s="135">
        <v>0</v>
      </c>
      <c r="T173" s="135"/>
      <c r="U173" s="135">
        <v>0</v>
      </c>
      <c r="V173" s="262">
        <f>SUM(CATEGORIAS[[#This Row],[COSTO
ACUMULADO  AX]:[PROVISIONES]])</f>
        <v>0</v>
      </c>
      <c r="W173" s="264">
        <v>0</v>
      </c>
      <c r="X173" s="222"/>
      <c r="Y173" s="222">
        <v>0</v>
      </c>
      <c r="Z173" s="263">
        <f>SUM(CATEGORIAS[[#This Row],[COSTO ACUMULADO
ANTERIOR]:[PROVISIONES
ANTERIOR]])</f>
        <v>0</v>
      </c>
      <c r="AA173" s="338">
        <f>ABS(+CATEGORIAS[[#This Row],[PRESUPUESTO
FINAL
PROYECTADO]]-CATEGORIAS[[#This Row],[TOTAL PRODUCCION
ACTUAL]])</f>
        <v>0</v>
      </c>
      <c r="AB173" s="222"/>
      <c r="AC173" s="134"/>
      <c r="AD173" s="134">
        <v>0</v>
      </c>
      <c r="AE173" s="221">
        <f>SUM(CATEGORIAS[[#This Row],[INVENTARIO]:[PROYECCION
DE COSTO
DEL SALDO]])</f>
        <v>0</v>
      </c>
      <c r="AF173" s="134"/>
      <c r="AG173" s="134">
        <f>+CATEGORIAS[[#This Row],[PRESUPUESTO
FINAL
PROYECTADO]]-CATEGORIAS[[#This Row],[COSTO REAL]]-CATEGORIAS[[#This Row],[PROYECCION
TOTAL DE COSTO]]</f>
        <v>0</v>
      </c>
    </row>
    <row r="174" spans="1:33" x14ac:dyDescent="0.25">
      <c r="A174" s="245" t="s">
        <v>103</v>
      </c>
      <c r="B174" s="245" t="s">
        <v>213</v>
      </c>
      <c r="C174" s="245" t="s">
        <v>2438</v>
      </c>
      <c r="D174" s="323" t="s">
        <v>1910</v>
      </c>
      <c r="E174" s="244" t="s">
        <v>711</v>
      </c>
      <c r="F174" s="246" t="s">
        <v>379</v>
      </c>
      <c r="G174" s="279">
        <v>3419673.7199999997</v>
      </c>
      <c r="H174" s="279">
        <v>1975517.9891971801</v>
      </c>
      <c r="I174" s="132">
        <v>0</v>
      </c>
      <c r="J174" s="132">
        <v>69653.514227966894</v>
      </c>
      <c r="K174" s="132">
        <v>0</v>
      </c>
      <c r="L174" s="144">
        <f>CATEGORIAS[[#This Row],[ADICIONALES]]+CATEGORIAS[[#This Row],[POM]]+CATEGORIAS[[#This Row],[REAJUSTE 
PAGADO]]+CATEGORIAS[[#This Row],[REAJUSTE
PROYECTADO]]</f>
        <v>2045171.5034251469</v>
      </c>
      <c r="M174" s="133">
        <v>2044783.7080364402</v>
      </c>
      <c r="N174" s="222">
        <v>387.79538870672695</v>
      </c>
      <c r="O174" s="142">
        <f>+CATEGORIAS[[#This Row],[PRODUCCION
PARTIDAS
ORIGINALES
ACTUAL]]+CATEGORIAS[[#This Row],[PRODUCCION
ADICIONALES
ACTUAL]]</f>
        <v>2045171.5034251469</v>
      </c>
      <c r="P174" s="222">
        <v>2044783.7080364402</v>
      </c>
      <c r="Q174" s="222">
        <v>0</v>
      </c>
      <c r="R174" s="141">
        <f>+CATEGORIAS[[#This Row],[PRODUCCION
ANTERIOR]]+CATEGORIAS[[#This Row],[PRODUCCION
ADICIONALES
ANTERIOR]]</f>
        <v>2044783.7080364402</v>
      </c>
      <c r="S174" s="135">
        <v>4526510</v>
      </c>
      <c r="T174" s="135"/>
      <c r="U174" s="135">
        <v>0</v>
      </c>
      <c r="V174" s="262">
        <f>SUM(CATEGORIAS[[#This Row],[COSTO
ACUMULADO  AX]:[PROVISIONES]])</f>
        <v>4526510</v>
      </c>
      <c r="W174" s="264">
        <v>4526510</v>
      </c>
      <c r="X174" s="222"/>
      <c r="Y174" s="222">
        <v>0</v>
      </c>
      <c r="Z174" s="263">
        <f>SUM(CATEGORIAS[[#This Row],[COSTO ACUMULADO
ANTERIOR]:[PROVISIONES
ANTERIOR]])</f>
        <v>4526510</v>
      </c>
      <c r="AA174" s="338">
        <f>ABS(+CATEGORIAS[[#This Row],[PRESUPUESTO
FINAL
PROYECTADO]]-CATEGORIAS[[#This Row],[TOTAL PRODUCCION
ACTUAL]])</f>
        <v>0</v>
      </c>
      <c r="AB174" s="222"/>
      <c r="AC174" s="134"/>
      <c r="AD174" s="134">
        <v>0</v>
      </c>
      <c r="AE174" s="221">
        <f>SUM(CATEGORIAS[[#This Row],[INVENTARIO]:[PROYECCION
DE COSTO
DEL SALDO]])</f>
        <v>0</v>
      </c>
      <c r="AF174" s="134"/>
      <c r="AG174" s="134">
        <f>+CATEGORIAS[[#This Row],[PRESUPUESTO
FINAL
PROYECTADO]]-CATEGORIAS[[#This Row],[COSTO REAL]]-CATEGORIAS[[#This Row],[PROYECCION
TOTAL DE COSTO]]</f>
        <v>-2481338.4965748531</v>
      </c>
    </row>
    <row r="175" spans="1:33" x14ac:dyDescent="0.25">
      <c r="A175" s="245"/>
      <c r="B175" s="245"/>
      <c r="C175" s="245"/>
      <c r="D175" s="323" t="s">
        <v>1911</v>
      </c>
      <c r="E175" s="244" t="s">
        <v>713</v>
      </c>
      <c r="F175" s="246" t="s">
        <v>376</v>
      </c>
      <c r="G175" s="279">
        <v>0</v>
      </c>
      <c r="H175" s="279">
        <v>0</v>
      </c>
      <c r="I175" s="132">
        <v>0</v>
      </c>
      <c r="J175" s="132">
        <v>0</v>
      </c>
      <c r="K175" s="132">
        <v>0</v>
      </c>
      <c r="L175" s="144">
        <f>CATEGORIAS[[#This Row],[ADICIONALES]]+CATEGORIAS[[#This Row],[POM]]+CATEGORIAS[[#This Row],[REAJUSTE 
PAGADO]]+CATEGORIAS[[#This Row],[REAJUSTE
PROYECTADO]]</f>
        <v>0</v>
      </c>
      <c r="M175" s="133">
        <v>0</v>
      </c>
      <c r="N175" s="222">
        <v>0</v>
      </c>
      <c r="O175" s="142">
        <f>+CATEGORIAS[[#This Row],[PRODUCCION
PARTIDAS
ORIGINALES
ACTUAL]]+CATEGORIAS[[#This Row],[PRODUCCION
ADICIONALES
ACTUAL]]</f>
        <v>0</v>
      </c>
      <c r="P175" s="222">
        <v>0</v>
      </c>
      <c r="Q175" s="134">
        <v>0</v>
      </c>
      <c r="R175" s="141">
        <f>+CATEGORIAS[[#This Row],[PRODUCCION
ANTERIOR]]+CATEGORIAS[[#This Row],[PRODUCCION
ADICIONALES
ANTERIOR]]</f>
        <v>0</v>
      </c>
      <c r="S175" s="135">
        <v>0</v>
      </c>
      <c r="T175" s="135"/>
      <c r="U175" s="135">
        <v>0</v>
      </c>
      <c r="V175" s="262">
        <f>SUM(CATEGORIAS[[#This Row],[COSTO
ACUMULADO  AX]:[PROVISIONES]])</f>
        <v>0</v>
      </c>
      <c r="W175" s="264">
        <v>0</v>
      </c>
      <c r="X175" s="222"/>
      <c r="Y175" s="222">
        <v>0</v>
      </c>
      <c r="Z175" s="263">
        <f>SUM(CATEGORIAS[[#This Row],[COSTO ACUMULADO
ANTERIOR]:[PROVISIONES
ANTERIOR]])</f>
        <v>0</v>
      </c>
      <c r="AA175" s="338">
        <f>ABS(+CATEGORIAS[[#This Row],[PRESUPUESTO
FINAL
PROYECTADO]]-CATEGORIAS[[#This Row],[TOTAL PRODUCCION
ACTUAL]])</f>
        <v>0</v>
      </c>
      <c r="AB175" s="222"/>
      <c r="AC175" s="134"/>
      <c r="AD175" s="134">
        <v>0</v>
      </c>
      <c r="AE175" s="221">
        <f>SUM(CATEGORIAS[[#This Row],[INVENTARIO]:[PROYECCION
DE COSTO
DEL SALDO]])</f>
        <v>0</v>
      </c>
      <c r="AF175" s="134"/>
      <c r="AG175" s="134">
        <f>+CATEGORIAS[[#This Row],[PRESUPUESTO
FINAL
PROYECTADO]]-CATEGORIAS[[#This Row],[COSTO REAL]]-CATEGORIAS[[#This Row],[PROYECCION
TOTAL DE COSTO]]</f>
        <v>0</v>
      </c>
    </row>
    <row r="176" spans="1:33" x14ac:dyDescent="0.25">
      <c r="A176" s="245"/>
      <c r="B176" s="245"/>
      <c r="C176" s="245"/>
      <c r="D176" s="323" t="s">
        <v>1912</v>
      </c>
      <c r="E176" s="244" t="s">
        <v>715</v>
      </c>
      <c r="F176" s="246" t="s">
        <v>376</v>
      </c>
      <c r="G176" s="279">
        <v>0</v>
      </c>
      <c r="H176" s="279">
        <v>0</v>
      </c>
      <c r="I176" s="132">
        <v>0</v>
      </c>
      <c r="J176" s="132">
        <v>0</v>
      </c>
      <c r="K176" s="132">
        <v>0</v>
      </c>
      <c r="L176" s="144">
        <f>CATEGORIAS[[#This Row],[ADICIONALES]]+CATEGORIAS[[#This Row],[POM]]+CATEGORIAS[[#This Row],[REAJUSTE 
PAGADO]]+CATEGORIAS[[#This Row],[REAJUSTE
PROYECTADO]]</f>
        <v>0</v>
      </c>
      <c r="M176" s="133">
        <v>0</v>
      </c>
      <c r="N176" s="222">
        <v>0</v>
      </c>
      <c r="O176" s="142">
        <f>+CATEGORIAS[[#This Row],[PRODUCCION
PARTIDAS
ORIGINALES
ACTUAL]]+CATEGORIAS[[#This Row],[PRODUCCION
ADICIONALES
ACTUAL]]</f>
        <v>0</v>
      </c>
      <c r="P176" s="222">
        <v>0</v>
      </c>
      <c r="Q176" s="222">
        <v>0</v>
      </c>
      <c r="R176" s="141">
        <f>+CATEGORIAS[[#This Row],[PRODUCCION
ANTERIOR]]+CATEGORIAS[[#This Row],[PRODUCCION
ADICIONALES
ANTERIOR]]</f>
        <v>0</v>
      </c>
      <c r="S176" s="135">
        <v>0</v>
      </c>
      <c r="T176" s="135"/>
      <c r="U176" s="135">
        <v>0</v>
      </c>
      <c r="V176" s="262">
        <f>SUM(CATEGORIAS[[#This Row],[COSTO
ACUMULADO  AX]:[PROVISIONES]])</f>
        <v>0</v>
      </c>
      <c r="W176" s="264">
        <v>0</v>
      </c>
      <c r="X176" s="222"/>
      <c r="Y176" s="222">
        <v>0</v>
      </c>
      <c r="Z176" s="263">
        <f>SUM(CATEGORIAS[[#This Row],[COSTO ACUMULADO
ANTERIOR]:[PROVISIONES
ANTERIOR]])</f>
        <v>0</v>
      </c>
      <c r="AA176" s="338">
        <f>ABS(+CATEGORIAS[[#This Row],[PRESUPUESTO
FINAL
PROYECTADO]]-CATEGORIAS[[#This Row],[TOTAL PRODUCCION
ACTUAL]])</f>
        <v>0</v>
      </c>
      <c r="AB176" s="222"/>
      <c r="AC176" s="134"/>
      <c r="AD176" s="134">
        <v>0</v>
      </c>
      <c r="AE176" s="221">
        <f>SUM(CATEGORIAS[[#This Row],[INVENTARIO]:[PROYECCION
DE COSTO
DEL SALDO]])</f>
        <v>0</v>
      </c>
      <c r="AF176" s="134"/>
      <c r="AG176" s="134">
        <f>+CATEGORIAS[[#This Row],[PRESUPUESTO
FINAL
PROYECTADO]]-CATEGORIAS[[#This Row],[COSTO REAL]]-CATEGORIAS[[#This Row],[PROYECCION
TOTAL DE COSTO]]</f>
        <v>0</v>
      </c>
    </row>
    <row r="177" spans="1:33" x14ac:dyDescent="0.25">
      <c r="A177" s="245"/>
      <c r="B177" s="245"/>
      <c r="C177" s="245"/>
      <c r="D177" s="323" t="s">
        <v>1913</v>
      </c>
      <c r="E177" s="244" t="s">
        <v>717</v>
      </c>
      <c r="F177" s="246" t="s">
        <v>376</v>
      </c>
      <c r="G177" s="279">
        <v>0</v>
      </c>
      <c r="H177" s="279">
        <v>0</v>
      </c>
      <c r="I177" s="132">
        <v>0</v>
      </c>
      <c r="J177" s="132">
        <v>0</v>
      </c>
      <c r="K177" s="132">
        <v>0</v>
      </c>
      <c r="L177" s="144">
        <f>CATEGORIAS[[#This Row],[ADICIONALES]]+CATEGORIAS[[#This Row],[POM]]+CATEGORIAS[[#This Row],[REAJUSTE 
PAGADO]]+CATEGORIAS[[#This Row],[REAJUSTE
PROYECTADO]]</f>
        <v>0</v>
      </c>
      <c r="M177" s="133">
        <v>0</v>
      </c>
      <c r="N177" s="222">
        <v>0</v>
      </c>
      <c r="O177" s="142">
        <f>+CATEGORIAS[[#This Row],[PRODUCCION
PARTIDAS
ORIGINALES
ACTUAL]]+CATEGORIAS[[#This Row],[PRODUCCION
ADICIONALES
ACTUAL]]</f>
        <v>0</v>
      </c>
      <c r="P177" s="222">
        <v>0</v>
      </c>
      <c r="Q177" s="134">
        <v>0</v>
      </c>
      <c r="R177" s="141">
        <f>+CATEGORIAS[[#This Row],[PRODUCCION
ANTERIOR]]+CATEGORIAS[[#This Row],[PRODUCCION
ADICIONALES
ANTERIOR]]</f>
        <v>0</v>
      </c>
      <c r="S177" s="135">
        <v>0</v>
      </c>
      <c r="T177" s="135"/>
      <c r="U177" s="135">
        <v>0</v>
      </c>
      <c r="V177" s="262">
        <f>SUM(CATEGORIAS[[#This Row],[COSTO
ACUMULADO  AX]:[PROVISIONES]])</f>
        <v>0</v>
      </c>
      <c r="W177" s="264">
        <v>0</v>
      </c>
      <c r="X177" s="222"/>
      <c r="Y177" s="222">
        <v>0</v>
      </c>
      <c r="Z177" s="263">
        <f>SUM(CATEGORIAS[[#This Row],[COSTO ACUMULADO
ANTERIOR]:[PROVISIONES
ANTERIOR]])</f>
        <v>0</v>
      </c>
      <c r="AA177" s="338">
        <f>ABS(+CATEGORIAS[[#This Row],[PRESUPUESTO
FINAL
PROYECTADO]]-CATEGORIAS[[#This Row],[TOTAL PRODUCCION
ACTUAL]])</f>
        <v>0</v>
      </c>
      <c r="AB177" s="222"/>
      <c r="AC177" s="134"/>
      <c r="AD177" s="134">
        <v>0</v>
      </c>
      <c r="AE177" s="221">
        <f>SUM(CATEGORIAS[[#This Row],[INVENTARIO]:[PROYECCION
DE COSTO
DEL SALDO]])</f>
        <v>0</v>
      </c>
      <c r="AF177" s="134"/>
      <c r="AG177" s="134">
        <f>+CATEGORIAS[[#This Row],[PRESUPUESTO
FINAL
PROYECTADO]]-CATEGORIAS[[#This Row],[COSTO REAL]]-CATEGORIAS[[#This Row],[PROYECCION
TOTAL DE COSTO]]</f>
        <v>0</v>
      </c>
    </row>
    <row r="178" spans="1:33" x14ac:dyDescent="0.25">
      <c r="A178" s="245"/>
      <c r="B178" s="245"/>
      <c r="C178" s="245"/>
      <c r="D178" s="323" t="s">
        <v>1914</v>
      </c>
      <c r="E178" s="244" t="s">
        <v>719</v>
      </c>
      <c r="F178" s="246" t="s">
        <v>376</v>
      </c>
      <c r="G178" s="279">
        <v>0</v>
      </c>
      <c r="H178" s="279">
        <v>0</v>
      </c>
      <c r="I178" s="132">
        <v>0</v>
      </c>
      <c r="J178" s="132">
        <v>0</v>
      </c>
      <c r="K178" s="132">
        <v>0</v>
      </c>
      <c r="L178" s="144">
        <f>CATEGORIAS[[#This Row],[ADICIONALES]]+CATEGORIAS[[#This Row],[POM]]+CATEGORIAS[[#This Row],[REAJUSTE 
PAGADO]]+CATEGORIAS[[#This Row],[REAJUSTE
PROYECTADO]]</f>
        <v>0</v>
      </c>
      <c r="M178" s="133">
        <v>0</v>
      </c>
      <c r="N178" s="222">
        <v>0</v>
      </c>
      <c r="O178" s="142">
        <f>+CATEGORIAS[[#This Row],[PRODUCCION
PARTIDAS
ORIGINALES
ACTUAL]]+CATEGORIAS[[#This Row],[PRODUCCION
ADICIONALES
ACTUAL]]</f>
        <v>0</v>
      </c>
      <c r="P178" s="222">
        <v>0</v>
      </c>
      <c r="Q178" s="222">
        <v>0</v>
      </c>
      <c r="R178" s="141">
        <f>+CATEGORIAS[[#This Row],[PRODUCCION
ANTERIOR]]+CATEGORIAS[[#This Row],[PRODUCCION
ADICIONALES
ANTERIOR]]</f>
        <v>0</v>
      </c>
      <c r="S178" s="135">
        <v>0</v>
      </c>
      <c r="T178" s="135"/>
      <c r="U178" s="135">
        <v>0</v>
      </c>
      <c r="V178" s="262">
        <f>SUM(CATEGORIAS[[#This Row],[COSTO
ACUMULADO  AX]:[PROVISIONES]])</f>
        <v>0</v>
      </c>
      <c r="W178" s="264">
        <v>0</v>
      </c>
      <c r="X178" s="222"/>
      <c r="Y178" s="222">
        <v>0</v>
      </c>
      <c r="Z178" s="263">
        <f>SUM(CATEGORIAS[[#This Row],[COSTO ACUMULADO
ANTERIOR]:[PROVISIONES
ANTERIOR]])</f>
        <v>0</v>
      </c>
      <c r="AA178" s="338">
        <f>ABS(+CATEGORIAS[[#This Row],[PRESUPUESTO
FINAL
PROYECTADO]]-CATEGORIAS[[#This Row],[TOTAL PRODUCCION
ACTUAL]])</f>
        <v>0</v>
      </c>
      <c r="AB178" s="222"/>
      <c r="AC178" s="134"/>
      <c r="AD178" s="134">
        <v>0</v>
      </c>
      <c r="AE178" s="221">
        <f>SUM(CATEGORIAS[[#This Row],[INVENTARIO]:[PROYECCION
DE COSTO
DEL SALDO]])</f>
        <v>0</v>
      </c>
      <c r="AF178" s="134"/>
      <c r="AG178" s="134">
        <f>+CATEGORIAS[[#This Row],[PRESUPUESTO
FINAL
PROYECTADO]]-CATEGORIAS[[#This Row],[COSTO REAL]]-CATEGORIAS[[#This Row],[PROYECCION
TOTAL DE COSTO]]</f>
        <v>0</v>
      </c>
    </row>
    <row r="179" spans="1:33" x14ac:dyDescent="0.25">
      <c r="A179" s="245"/>
      <c r="B179" s="245"/>
      <c r="C179" s="245"/>
      <c r="D179" s="323" t="s">
        <v>1915</v>
      </c>
      <c r="E179" s="244" t="s">
        <v>721</v>
      </c>
      <c r="F179" s="246" t="s">
        <v>376</v>
      </c>
      <c r="G179" s="279">
        <v>0</v>
      </c>
      <c r="H179" s="279">
        <v>0</v>
      </c>
      <c r="I179" s="132">
        <v>0</v>
      </c>
      <c r="J179" s="132">
        <v>0</v>
      </c>
      <c r="K179" s="132">
        <v>0</v>
      </c>
      <c r="L179" s="144">
        <f>CATEGORIAS[[#This Row],[ADICIONALES]]+CATEGORIAS[[#This Row],[POM]]+CATEGORIAS[[#This Row],[REAJUSTE 
PAGADO]]+CATEGORIAS[[#This Row],[REAJUSTE
PROYECTADO]]</f>
        <v>0</v>
      </c>
      <c r="M179" s="133">
        <v>0</v>
      </c>
      <c r="N179" s="222">
        <v>0</v>
      </c>
      <c r="O179" s="142">
        <f>+CATEGORIAS[[#This Row],[PRODUCCION
PARTIDAS
ORIGINALES
ACTUAL]]+CATEGORIAS[[#This Row],[PRODUCCION
ADICIONALES
ACTUAL]]</f>
        <v>0</v>
      </c>
      <c r="P179" s="222">
        <v>0</v>
      </c>
      <c r="Q179" s="134">
        <v>0</v>
      </c>
      <c r="R179" s="141">
        <f>+CATEGORIAS[[#This Row],[PRODUCCION
ANTERIOR]]+CATEGORIAS[[#This Row],[PRODUCCION
ADICIONALES
ANTERIOR]]</f>
        <v>0</v>
      </c>
      <c r="S179" s="135">
        <v>0</v>
      </c>
      <c r="T179" s="135"/>
      <c r="U179" s="135">
        <v>0</v>
      </c>
      <c r="V179" s="262">
        <f>SUM(CATEGORIAS[[#This Row],[COSTO
ACUMULADO  AX]:[PROVISIONES]])</f>
        <v>0</v>
      </c>
      <c r="W179" s="264">
        <v>0</v>
      </c>
      <c r="X179" s="222"/>
      <c r="Y179" s="222">
        <v>0</v>
      </c>
      <c r="Z179" s="263">
        <f>SUM(CATEGORIAS[[#This Row],[COSTO ACUMULADO
ANTERIOR]:[PROVISIONES
ANTERIOR]])</f>
        <v>0</v>
      </c>
      <c r="AA179" s="338">
        <f>ABS(+CATEGORIAS[[#This Row],[PRESUPUESTO
FINAL
PROYECTADO]]-CATEGORIAS[[#This Row],[TOTAL PRODUCCION
ACTUAL]])</f>
        <v>0</v>
      </c>
      <c r="AB179" s="222"/>
      <c r="AC179" s="134"/>
      <c r="AD179" s="134">
        <v>0</v>
      </c>
      <c r="AE179" s="221">
        <f>SUM(CATEGORIAS[[#This Row],[INVENTARIO]:[PROYECCION
DE COSTO
DEL SALDO]])</f>
        <v>0</v>
      </c>
      <c r="AF179" s="134"/>
      <c r="AG179" s="134">
        <f>+CATEGORIAS[[#This Row],[PRESUPUESTO
FINAL
PROYECTADO]]-CATEGORIAS[[#This Row],[COSTO REAL]]-CATEGORIAS[[#This Row],[PROYECCION
TOTAL DE COSTO]]</f>
        <v>0</v>
      </c>
    </row>
    <row r="180" spans="1:33" x14ac:dyDescent="0.25">
      <c r="A180" s="245"/>
      <c r="B180" s="245"/>
      <c r="C180" s="245"/>
      <c r="D180" s="323" t="s">
        <v>1916</v>
      </c>
      <c r="E180" s="244" t="s">
        <v>723</v>
      </c>
      <c r="F180" s="246" t="s">
        <v>379</v>
      </c>
      <c r="G180" s="279">
        <v>0</v>
      </c>
      <c r="H180" s="279">
        <v>0</v>
      </c>
      <c r="I180" s="132">
        <v>0</v>
      </c>
      <c r="J180" s="132">
        <v>0</v>
      </c>
      <c r="K180" s="132">
        <v>0</v>
      </c>
      <c r="L180" s="144">
        <f>CATEGORIAS[[#This Row],[ADICIONALES]]+CATEGORIAS[[#This Row],[POM]]+CATEGORIAS[[#This Row],[REAJUSTE 
PAGADO]]+CATEGORIAS[[#This Row],[REAJUSTE
PROYECTADO]]</f>
        <v>0</v>
      </c>
      <c r="M180" s="133">
        <v>0</v>
      </c>
      <c r="N180" s="222">
        <v>0</v>
      </c>
      <c r="O180" s="142">
        <f>+CATEGORIAS[[#This Row],[PRODUCCION
PARTIDAS
ORIGINALES
ACTUAL]]+CATEGORIAS[[#This Row],[PRODUCCION
ADICIONALES
ACTUAL]]</f>
        <v>0</v>
      </c>
      <c r="P180" s="222">
        <v>0</v>
      </c>
      <c r="Q180" s="222">
        <v>0</v>
      </c>
      <c r="R180" s="141">
        <f>+CATEGORIAS[[#This Row],[PRODUCCION
ANTERIOR]]+CATEGORIAS[[#This Row],[PRODUCCION
ADICIONALES
ANTERIOR]]</f>
        <v>0</v>
      </c>
      <c r="S180" s="135">
        <v>0</v>
      </c>
      <c r="T180" s="135"/>
      <c r="U180" s="135">
        <v>0</v>
      </c>
      <c r="V180" s="262">
        <f>SUM(CATEGORIAS[[#This Row],[COSTO
ACUMULADO  AX]:[PROVISIONES]])</f>
        <v>0</v>
      </c>
      <c r="W180" s="264">
        <v>0</v>
      </c>
      <c r="X180" s="222"/>
      <c r="Y180" s="222">
        <v>0</v>
      </c>
      <c r="Z180" s="263">
        <f>SUM(CATEGORIAS[[#This Row],[COSTO ACUMULADO
ANTERIOR]:[PROVISIONES
ANTERIOR]])</f>
        <v>0</v>
      </c>
      <c r="AA180" s="338">
        <f>ABS(+CATEGORIAS[[#This Row],[PRESUPUESTO
FINAL
PROYECTADO]]-CATEGORIAS[[#This Row],[TOTAL PRODUCCION
ACTUAL]])</f>
        <v>0</v>
      </c>
      <c r="AB180" s="222"/>
      <c r="AC180" s="134"/>
      <c r="AD180" s="134">
        <v>0</v>
      </c>
      <c r="AE180" s="221">
        <f>SUM(CATEGORIAS[[#This Row],[INVENTARIO]:[PROYECCION
DE COSTO
DEL SALDO]])</f>
        <v>0</v>
      </c>
      <c r="AF180" s="134"/>
      <c r="AG180" s="134">
        <f>+CATEGORIAS[[#This Row],[PRESUPUESTO
FINAL
PROYECTADO]]-CATEGORIAS[[#This Row],[COSTO REAL]]-CATEGORIAS[[#This Row],[PROYECCION
TOTAL DE COSTO]]</f>
        <v>0</v>
      </c>
    </row>
    <row r="181" spans="1:33" x14ac:dyDescent="0.25">
      <c r="A181" s="245"/>
      <c r="B181" s="245"/>
      <c r="C181" s="245"/>
      <c r="D181" s="323" t="s">
        <v>1917</v>
      </c>
      <c r="E181" s="244" t="s">
        <v>725</v>
      </c>
      <c r="F181" s="246" t="s">
        <v>376</v>
      </c>
      <c r="G181" s="279">
        <v>0</v>
      </c>
      <c r="H181" s="279">
        <v>0</v>
      </c>
      <c r="I181" s="132">
        <v>0</v>
      </c>
      <c r="J181" s="132">
        <v>0</v>
      </c>
      <c r="K181" s="132">
        <v>0</v>
      </c>
      <c r="L181" s="144">
        <f>CATEGORIAS[[#This Row],[ADICIONALES]]+CATEGORIAS[[#This Row],[POM]]+CATEGORIAS[[#This Row],[REAJUSTE 
PAGADO]]+CATEGORIAS[[#This Row],[REAJUSTE
PROYECTADO]]</f>
        <v>0</v>
      </c>
      <c r="M181" s="133">
        <v>0</v>
      </c>
      <c r="N181" s="222">
        <v>0</v>
      </c>
      <c r="O181" s="142">
        <f>+CATEGORIAS[[#This Row],[PRODUCCION
PARTIDAS
ORIGINALES
ACTUAL]]+CATEGORIAS[[#This Row],[PRODUCCION
ADICIONALES
ACTUAL]]</f>
        <v>0</v>
      </c>
      <c r="P181" s="222">
        <v>0</v>
      </c>
      <c r="Q181" s="134">
        <v>0</v>
      </c>
      <c r="R181" s="141">
        <f>+CATEGORIAS[[#This Row],[PRODUCCION
ANTERIOR]]+CATEGORIAS[[#This Row],[PRODUCCION
ADICIONALES
ANTERIOR]]</f>
        <v>0</v>
      </c>
      <c r="S181" s="135">
        <v>0</v>
      </c>
      <c r="T181" s="135"/>
      <c r="U181" s="135">
        <v>0</v>
      </c>
      <c r="V181" s="262">
        <f>SUM(CATEGORIAS[[#This Row],[COSTO
ACUMULADO  AX]:[PROVISIONES]])</f>
        <v>0</v>
      </c>
      <c r="W181" s="264">
        <v>0</v>
      </c>
      <c r="X181" s="222"/>
      <c r="Y181" s="222">
        <v>0</v>
      </c>
      <c r="Z181" s="263">
        <f>SUM(CATEGORIAS[[#This Row],[COSTO ACUMULADO
ANTERIOR]:[PROVISIONES
ANTERIOR]])</f>
        <v>0</v>
      </c>
      <c r="AA181" s="338">
        <f>ABS(+CATEGORIAS[[#This Row],[PRESUPUESTO
FINAL
PROYECTADO]]-CATEGORIAS[[#This Row],[TOTAL PRODUCCION
ACTUAL]])</f>
        <v>0</v>
      </c>
      <c r="AB181" s="222"/>
      <c r="AC181" s="134"/>
      <c r="AD181" s="134">
        <v>0</v>
      </c>
      <c r="AE181" s="221">
        <f>SUM(CATEGORIAS[[#This Row],[INVENTARIO]:[PROYECCION
DE COSTO
DEL SALDO]])</f>
        <v>0</v>
      </c>
      <c r="AF181" s="134"/>
      <c r="AG181" s="134">
        <f>+CATEGORIAS[[#This Row],[PRESUPUESTO
FINAL
PROYECTADO]]-CATEGORIAS[[#This Row],[COSTO REAL]]-CATEGORIAS[[#This Row],[PROYECCION
TOTAL DE COSTO]]</f>
        <v>0</v>
      </c>
    </row>
    <row r="182" spans="1:33" x14ac:dyDescent="0.25">
      <c r="A182" s="245" t="s">
        <v>103</v>
      </c>
      <c r="B182" s="245" t="s">
        <v>214</v>
      </c>
      <c r="C182" s="245" t="s">
        <v>2408</v>
      </c>
      <c r="D182" s="323" t="s">
        <v>1918</v>
      </c>
      <c r="E182" s="244" t="s">
        <v>726</v>
      </c>
      <c r="F182" s="246" t="s">
        <v>379</v>
      </c>
      <c r="G182" s="279">
        <v>22923307.425000001</v>
      </c>
      <c r="H182" s="279">
        <v>13242610.230658144</v>
      </c>
      <c r="I182" s="132">
        <v>0</v>
      </c>
      <c r="J182" s="132">
        <v>466912.65033299633</v>
      </c>
      <c r="K182" s="132">
        <v>0</v>
      </c>
      <c r="L182" s="144">
        <f>CATEGORIAS[[#This Row],[ADICIONALES]]+CATEGORIAS[[#This Row],[POM]]+CATEGORIAS[[#This Row],[REAJUSTE 
PAGADO]]+CATEGORIAS[[#This Row],[REAJUSTE
PROYECTADO]]</f>
        <v>13709522.88099114</v>
      </c>
      <c r="M182" s="133">
        <v>13706923.34850904</v>
      </c>
      <c r="N182" s="222">
        <v>2599.5324821006507</v>
      </c>
      <c r="O182" s="142">
        <f>+CATEGORIAS[[#This Row],[PRODUCCION
PARTIDAS
ORIGINALES
ACTUAL]]+CATEGORIAS[[#This Row],[PRODUCCION
ADICIONALES
ACTUAL]]</f>
        <v>13709522.88099114</v>
      </c>
      <c r="P182" s="222">
        <v>13706923.34850904</v>
      </c>
      <c r="Q182" s="222">
        <v>0</v>
      </c>
      <c r="R182" s="141">
        <f>+CATEGORIAS[[#This Row],[PRODUCCION
ANTERIOR]]+CATEGORIAS[[#This Row],[PRODUCCION
ADICIONALES
ANTERIOR]]</f>
        <v>13706923.34850904</v>
      </c>
      <c r="S182" s="135">
        <v>7754992</v>
      </c>
      <c r="T182" s="135"/>
      <c r="U182" s="135">
        <v>1912446.676</v>
      </c>
      <c r="V182" s="262">
        <f>SUM(CATEGORIAS[[#This Row],[COSTO
ACUMULADO  AX]:[PROVISIONES]])</f>
        <v>9667438.675999999</v>
      </c>
      <c r="W182" s="264">
        <v>7754992</v>
      </c>
      <c r="X182" s="222"/>
      <c r="Y182" s="222">
        <v>1912446.676</v>
      </c>
      <c r="Z182" s="263">
        <f>SUM(CATEGORIAS[[#This Row],[COSTO ACUMULADO
ANTERIOR]:[PROVISIONES
ANTERIOR]])</f>
        <v>9667438.675999999</v>
      </c>
      <c r="AA182" s="338">
        <f>ABS(+CATEGORIAS[[#This Row],[PRESUPUESTO
FINAL
PROYECTADO]]-CATEGORIAS[[#This Row],[TOTAL PRODUCCION
ACTUAL]])</f>
        <v>0</v>
      </c>
      <c r="AB182" s="222"/>
      <c r="AC182" s="134"/>
      <c r="AD182" s="134">
        <v>0</v>
      </c>
      <c r="AE182" s="221">
        <f>SUM(CATEGORIAS[[#This Row],[INVENTARIO]:[PROYECCION
DE COSTO
DEL SALDO]])</f>
        <v>0</v>
      </c>
      <c r="AF182" s="134"/>
      <c r="AG182" s="134">
        <f>+CATEGORIAS[[#This Row],[PRESUPUESTO
FINAL
PROYECTADO]]-CATEGORIAS[[#This Row],[COSTO REAL]]-CATEGORIAS[[#This Row],[PROYECCION
TOTAL DE COSTO]]</f>
        <v>4042084.2049911413</v>
      </c>
    </row>
    <row r="183" spans="1:33" x14ac:dyDescent="0.25">
      <c r="A183" s="245"/>
      <c r="B183" s="245"/>
      <c r="C183" s="245"/>
      <c r="D183" s="323" t="s">
        <v>1919</v>
      </c>
      <c r="E183" s="244" t="s">
        <v>728</v>
      </c>
      <c r="F183" s="246" t="s">
        <v>376</v>
      </c>
      <c r="G183" s="279">
        <v>0</v>
      </c>
      <c r="H183" s="279">
        <v>0</v>
      </c>
      <c r="I183" s="132">
        <v>0</v>
      </c>
      <c r="J183" s="132">
        <v>0</v>
      </c>
      <c r="K183" s="132">
        <v>0</v>
      </c>
      <c r="L183" s="144">
        <f>CATEGORIAS[[#This Row],[ADICIONALES]]+CATEGORIAS[[#This Row],[POM]]+CATEGORIAS[[#This Row],[REAJUSTE 
PAGADO]]+CATEGORIAS[[#This Row],[REAJUSTE
PROYECTADO]]</f>
        <v>0</v>
      </c>
      <c r="M183" s="133">
        <v>0</v>
      </c>
      <c r="N183" s="222">
        <v>0</v>
      </c>
      <c r="O183" s="142">
        <f>+CATEGORIAS[[#This Row],[PRODUCCION
PARTIDAS
ORIGINALES
ACTUAL]]+CATEGORIAS[[#This Row],[PRODUCCION
ADICIONALES
ACTUAL]]</f>
        <v>0</v>
      </c>
      <c r="P183" s="222">
        <v>0</v>
      </c>
      <c r="Q183" s="134">
        <v>0</v>
      </c>
      <c r="R183" s="141">
        <f>+CATEGORIAS[[#This Row],[PRODUCCION
ANTERIOR]]+CATEGORIAS[[#This Row],[PRODUCCION
ADICIONALES
ANTERIOR]]</f>
        <v>0</v>
      </c>
      <c r="S183" s="135">
        <v>0</v>
      </c>
      <c r="T183" s="135"/>
      <c r="U183" s="135">
        <v>0</v>
      </c>
      <c r="V183" s="262">
        <f>SUM(CATEGORIAS[[#This Row],[COSTO
ACUMULADO  AX]:[PROVISIONES]])</f>
        <v>0</v>
      </c>
      <c r="W183" s="264">
        <v>0</v>
      </c>
      <c r="X183" s="222"/>
      <c r="Y183" s="222">
        <v>0</v>
      </c>
      <c r="Z183" s="263">
        <f>SUM(CATEGORIAS[[#This Row],[COSTO ACUMULADO
ANTERIOR]:[PROVISIONES
ANTERIOR]])</f>
        <v>0</v>
      </c>
      <c r="AA183" s="338">
        <f>ABS(+CATEGORIAS[[#This Row],[PRESUPUESTO
FINAL
PROYECTADO]]-CATEGORIAS[[#This Row],[TOTAL PRODUCCION
ACTUAL]])</f>
        <v>0</v>
      </c>
      <c r="AB183" s="222"/>
      <c r="AC183" s="134"/>
      <c r="AD183" s="134">
        <v>0</v>
      </c>
      <c r="AE183" s="221">
        <f>SUM(CATEGORIAS[[#This Row],[INVENTARIO]:[PROYECCION
DE COSTO
DEL SALDO]])</f>
        <v>0</v>
      </c>
      <c r="AF183" s="134"/>
      <c r="AG183" s="134">
        <f>+CATEGORIAS[[#This Row],[PRESUPUESTO
FINAL
PROYECTADO]]-CATEGORIAS[[#This Row],[COSTO REAL]]-CATEGORIAS[[#This Row],[PROYECCION
TOTAL DE COSTO]]</f>
        <v>0</v>
      </c>
    </row>
    <row r="184" spans="1:33" x14ac:dyDescent="0.25">
      <c r="A184" s="245"/>
      <c r="B184" s="245"/>
      <c r="C184" s="245"/>
      <c r="D184" s="323" t="s">
        <v>1920</v>
      </c>
      <c r="E184" s="244" t="s">
        <v>730</v>
      </c>
      <c r="F184" s="246" t="s">
        <v>376</v>
      </c>
      <c r="G184" s="279">
        <v>0</v>
      </c>
      <c r="H184" s="279">
        <v>0</v>
      </c>
      <c r="I184" s="132">
        <v>0</v>
      </c>
      <c r="J184" s="132">
        <v>0</v>
      </c>
      <c r="K184" s="132">
        <v>0</v>
      </c>
      <c r="L184" s="144">
        <f>CATEGORIAS[[#This Row],[ADICIONALES]]+CATEGORIAS[[#This Row],[POM]]+CATEGORIAS[[#This Row],[REAJUSTE 
PAGADO]]+CATEGORIAS[[#This Row],[REAJUSTE
PROYECTADO]]</f>
        <v>0</v>
      </c>
      <c r="M184" s="133">
        <v>0</v>
      </c>
      <c r="N184" s="222">
        <v>0</v>
      </c>
      <c r="O184" s="142">
        <f>+CATEGORIAS[[#This Row],[PRODUCCION
PARTIDAS
ORIGINALES
ACTUAL]]+CATEGORIAS[[#This Row],[PRODUCCION
ADICIONALES
ACTUAL]]</f>
        <v>0</v>
      </c>
      <c r="P184" s="222">
        <v>0</v>
      </c>
      <c r="Q184" s="134">
        <v>0</v>
      </c>
      <c r="R184" s="141">
        <f>+CATEGORIAS[[#This Row],[PRODUCCION
ANTERIOR]]+CATEGORIAS[[#This Row],[PRODUCCION
ADICIONALES
ANTERIOR]]</f>
        <v>0</v>
      </c>
      <c r="S184" s="135">
        <v>0</v>
      </c>
      <c r="T184" s="135"/>
      <c r="U184" s="135">
        <v>0</v>
      </c>
      <c r="V184" s="262">
        <f>SUM(CATEGORIAS[[#This Row],[COSTO
ACUMULADO  AX]:[PROVISIONES]])</f>
        <v>0</v>
      </c>
      <c r="W184" s="264">
        <v>0</v>
      </c>
      <c r="X184" s="222"/>
      <c r="Y184" s="222">
        <v>0</v>
      </c>
      <c r="Z184" s="263">
        <f>SUM(CATEGORIAS[[#This Row],[COSTO ACUMULADO
ANTERIOR]:[PROVISIONES
ANTERIOR]])</f>
        <v>0</v>
      </c>
      <c r="AA184" s="338">
        <f>ABS(+CATEGORIAS[[#This Row],[PRESUPUESTO
FINAL
PROYECTADO]]-CATEGORIAS[[#This Row],[TOTAL PRODUCCION
ACTUAL]])</f>
        <v>0</v>
      </c>
      <c r="AB184" s="222"/>
      <c r="AC184" s="134"/>
      <c r="AD184" s="134">
        <v>0</v>
      </c>
      <c r="AE184" s="221">
        <f>SUM(CATEGORIAS[[#This Row],[INVENTARIO]:[PROYECCION
DE COSTO
DEL SALDO]])</f>
        <v>0</v>
      </c>
      <c r="AF184" s="134"/>
      <c r="AG184" s="134">
        <f>+CATEGORIAS[[#This Row],[PRESUPUESTO
FINAL
PROYECTADO]]-CATEGORIAS[[#This Row],[COSTO REAL]]-CATEGORIAS[[#This Row],[PROYECCION
TOTAL DE COSTO]]</f>
        <v>0</v>
      </c>
    </row>
    <row r="185" spans="1:33" x14ac:dyDescent="0.25">
      <c r="A185" s="245"/>
      <c r="B185" s="245"/>
      <c r="C185" s="245"/>
      <c r="D185" s="323" t="s">
        <v>1921</v>
      </c>
      <c r="E185" s="244" t="s">
        <v>732</v>
      </c>
      <c r="F185" s="246" t="s">
        <v>376</v>
      </c>
      <c r="G185" s="279">
        <v>0</v>
      </c>
      <c r="H185" s="279">
        <v>0</v>
      </c>
      <c r="I185" s="132">
        <v>0</v>
      </c>
      <c r="J185" s="132">
        <v>0</v>
      </c>
      <c r="K185" s="132">
        <v>0</v>
      </c>
      <c r="L185" s="144">
        <f>CATEGORIAS[[#This Row],[ADICIONALES]]+CATEGORIAS[[#This Row],[POM]]+CATEGORIAS[[#This Row],[REAJUSTE 
PAGADO]]+CATEGORIAS[[#This Row],[REAJUSTE
PROYECTADO]]</f>
        <v>0</v>
      </c>
      <c r="M185" s="133">
        <v>0</v>
      </c>
      <c r="N185" s="222">
        <v>0</v>
      </c>
      <c r="O185" s="142">
        <f>+CATEGORIAS[[#This Row],[PRODUCCION
PARTIDAS
ORIGINALES
ACTUAL]]+CATEGORIAS[[#This Row],[PRODUCCION
ADICIONALES
ACTUAL]]</f>
        <v>0</v>
      </c>
      <c r="P185" s="222">
        <v>0</v>
      </c>
      <c r="Q185" s="222">
        <v>0</v>
      </c>
      <c r="R185" s="141">
        <f>+CATEGORIAS[[#This Row],[PRODUCCION
ANTERIOR]]+CATEGORIAS[[#This Row],[PRODUCCION
ADICIONALES
ANTERIOR]]</f>
        <v>0</v>
      </c>
      <c r="S185" s="135">
        <v>0</v>
      </c>
      <c r="T185" s="135"/>
      <c r="U185" s="135">
        <v>0</v>
      </c>
      <c r="V185" s="262">
        <f>SUM(CATEGORIAS[[#This Row],[COSTO
ACUMULADO  AX]:[PROVISIONES]])</f>
        <v>0</v>
      </c>
      <c r="W185" s="264">
        <v>0</v>
      </c>
      <c r="X185" s="222"/>
      <c r="Y185" s="222">
        <v>0</v>
      </c>
      <c r="Z185" s="263">
        <f>SUM(CATEGORIAS[[#This Row],[COSTO ACUMULADO
ANTERIOR]:[PROVISIONES
ANTERIOR]])</f>
        <v>0</v>
      </c>
      <c r="AA185" s="338">
        <f>ABS(+CATEGORIAS[[#This Row],[PRESUPUESTO
FINAL
PROYECTADO]]-CATEGORIAS[[#This Row],[TOTAL PRODUCCION
ACTUAL]])</f>
        <v>0</v>
      </c>
      <c r="AB185" s="222"/>
      <c r="AC185" s="134"/>
      <c r="AD185" s="134">
        <v>0</v>
      </c>
      <c r="AE185" s="221">
        <f>SUM(CATEGORIAS[[#This Row],[INVENTARIO]:[PROYECCION
DE COSTO
DEL SALDO]])</f>
        <v>0</v>
      </c>
      <c r="AF185" s="134"/>
      <c r="AG185" s="134">
        <f>+CATEGORIAS[[#This Row],[PRESUPUESTO
FINAL
PROYECTADO]]-CATEGORIAS[[#This Row],[COSTO REAL]]-CATEGORIAS[[#This Row],[PROYECCION
TOTAL DE COSTO]]</f>
        <v>0</v>
      </c>
    </row>
    <row r="186" spans="1:33" x14ac:dyDescent="0.25">
      <c r="A186" s="245" t="s">
        <v>103</v>
      </c>
      <c r="B186" s="245" t="s">
        <v>215</v>
      </c>
      <c r="C186" s="245" t="s">
        <v>2439</v>
      </c>
      <c r="D186" s="323" t="s">
        <v>1922</v>
      </c>
      <c r="E186" s="244" t="s">
        <v>734</v>
      </c>
      <c r="F186" s="246" t="s">
        <v>379</v>
      </c>
      <c r="G186" s="279">
        <v>37704331.5</v>
      </c>
      <c r="H186" s="279">
        <v>21781488.892719246</v>
      </c>
      <c r="I186" s="132">
        <v>123151438.81950639</v>
      </c>
      <c r="J186" s="132">
        <v>767979.46401483903</v>
      </c>
      <c r="K186" s="132">
        <v>0</v>
      </c>
      <c r="L186" s="144">
        <f>CATEGORIAS[[#This Row],[ADICIONALES]]+CATEGORIAS[[#This Row],[POM]]+CATEGORIAS[[#This Row],[REAJUSTE 
PAGADO]]+CATEGORIAS[[#This Row],[REAJUSTE
PROYECTADO]]</f>
        <v>145700907.17624047</v>
      </c>
      <c r="M186" s="133">
        <v>22545192.637151696</v>
      </c>
      <c r="N186" s="222">
        <v>123155714.53908877</v>
      </c>
      <c r="O186" s="142">
        <f>+CATEGORIAS[[#This Row],[PRODUCCION
PARTIDAS
ORIGINALES
ACTUAL]]+CATEGORIAS[[#This Row],[PRODUCCION
ADICIONALES
ACTUAL]]</f>
        <v>145700907.17624047</v>
      </c>
      <c r="P186" s="222">
        <v>22545192.637151696</v>
      </c>
      <c r="Q186" s="222">
        <v>123151438.81950639</v>
      </c>
      <c r="R186" s="141">
        <f>+CATEGORIAS[[#This Row],[PRODUCCION
ANTERIOR]]+CATEGORIAS[[#This Row],[PRODUCCION
ADICIONALES
ANTERIOR]]</f>
        <v>145696631.4566581</v>
      </c>
      <c r="S186" s="135">
        <v>102207264</v>
      </c>
      <c r="T186" s="135"/>
      <c r="U186" s="135">
        <v>0</v>
      </c>
      <c r="V186" s="262">
        <f>SUM(CATEGORIAS[[#This Row],[COSTO
ACUMULADO  AX]:[PROVISIONES]])</f>
        <v>102207264</v>
      </c>
      <c r="W186" s="264">
        <v>102207264</v>
      </c>
      <c r="X186" s="222"/>
      <c r="Y186" s="222">
        <v>0</v>
      </c>
      <c r="Z186" s="263">
        <f>SUM(CATEGORIAS[[#This Row],[COSTO ACUMULADO
ANTERIOR]:[PROVISIONES
ANTERIOR]])</f>
        <v>102207264</v>
      </c>
      <c r="AA186" s="338">
        <f>ABS(+CATEGORIAS[[#This Row],[PRESUPUESTO
FINAL
PROYECTADO]]-CATEGORIAS[[#This Row],[TOTAL PRODUCCION
ACTUAL]])</f>
        <v>0</v>
      </c>
      <c r="AB186" s="222"/>
      <c r="AC186" s="134"/>
      <c r="AD186" s="134">
        <v>0</v>
      </c>
      <c r="AE186" s="221">
        <f>SUM(CATEGORIAS[[#This Row],[INVENTARIO]:[PROYECCION
DE COSTO
DEL SALDO]])</f>
        <v>0</v>
      </c>
      <c r="AF186" s="134"/>
      <c r="AG186" s="134">
        <f>+CATEGORIAS[[#This Row],[PRESUPUESTO
FINAL
PROYECTADO]]-CATEGORIAS[[#This Row],[COSTO REAL]]-CATEGORIAS[[#This Row],[PROYECCION
TOTAL DE COSTO]]</f>
        <v>43493643.176240474</v>
      </c>
    </row>
    <row r="187" spans="1:33" x14ac:dyDescent="0.25">
      <c r="A187" s="245"/>
      <c r="B187" s="245"/>
      <c r="C187" s="245"/>
      <c r="D187" s="323" t="s">
        <v>1923</v>
      </c>
      <c r="E187" s="244" t="s">
        <v>736</v>
      </c>
      <c r="F187" s="246" t="s">
        <v>376</v>
      </c>
      <c r="G187" s="279">
        <v>0</v>
      </c>
      <c r="H187" s="279">
        <v>0</v>
      </c>
      <c r="I187" s="132">
        <v>0</v>
      </c>
      <c r="J187" s="132">
        <v>0</v>
      </c>
      <c r="K187" s="132">
        <v>0</v>
      </c>
      <c r="L187" s="144">
        <f>CATEGORIAS[[#This Row],[ADICIONALES]]+CATEGORIAS[[#This Row],[POM]]+CATEGORIAS[[#This Row],[REAJUSTE 
PAGADO]]+CATEGORIAS[[#This Row],[REAJUSTE
PROYECTADO]]</f>
        <v>0</v>
      </c>
      <c r="M187" s="133">
        <v>0</v>
      </c>
      <c r="N187" s="222">
        <v>0</v>
      </c>
      <c r="O187" s="142">
        <f>+CATEGORIAS[[#This Row],[PRODUCCION
PARTIDAS
ORIGINALES
ACTUAL]]+CATEGORIAS[[#This Row],[PRODUCCION
ADICIONALES
ACTUAL]]</f>
        <v>0</v>
      </c>
      <c r="P187" s="222">
        <v>0</v>
      </c>
      <c r="Q187" s="222">
        <v>0</v>
      </c>
      <c r="R187" s="141">
        <f>+CATEGORIAS[[#This Row],[PRODUCCION
ANTERIOR]]+CATEGORIAS[[#This Row],[PRODUCCION
ADICIONALES
ANTERIOR]]</f>
        <v>0</v>
      </c>
      <c r="S187" s="135">
        <v>0</v>
      </c>
      <c r="T187" s="135"/>
      <c r="U187" s="135">
        <v>0</v>
      </c>
      <c r="V187" s="262">
        <f>SUM(CATEGORIAS[[#This Row],[COSTO
ACUMULADO  AX]:[PROVISIONES]])</f>
        <v>0</v>
      </c>
      <c r="W187" s="264">
        <v>0</v>
      </c>
      <c r="X187" s="222"/>
      <c r="Y187" s="222">
        <v>0</v>
      </c>
      <c r="Z187" s="263">
        <f>SUM(CATEGORIAS[[#This Row],[COSTO ACUMULADO
ANTERIOR]:[PROVISIONES
ANTERIOR]])</f>
        <v>0</v>
      </c>
      <c r="AA187" s="338">
        <f>ABS(+CATEGORIAS[[#This Row],[PRESUPUESTO
FINAL
PROYECTADO]]-CATEGORIAS[[#This Row],[TOTAL PRODUCCION
ACTUAL]])</f>
        <v>0</v>
      </c>
      <c r="AB187" s="222"/>
      <c r="AC187" s="134"/>
      <c r="AD187" s="134">
        <v>0</v>
      </c>
      <c r="AE187" s="221">
        <f>SUM(CATEGORIAS[[#This Row],[INVENTARIO]:[PROYECCION
DE COSTO
DEL SALDO]])</f>
        <v>0</v>
      </c>
      <c r="AF187" s="134"/>
      <c r="AG187" s="134">
        <f>+CATEGORIAS[[#This Row],[PRESUPUESTO
FINAL
PROYECTADO]]-CATEGORIAS[[#This Row],[COSTO REAL]]-CATEGORIAS[[#This Row],[PROYECCION
TOTAL DE COSTO]]</f>
        <v>0</v>
      </c>
    </row>
    <row r="188" spans="1:33" x14ac:dyDescent="0.25">
      <c r="A188" s="245"/>
      <c r="B188" s="245"/>
      <c r="C188" s="245"/>
      <c r="D188" s="323" t="s">
        <v>1924</v>
      </c>
      <c r="E188" s="244" t="s">
        <v>738</v>
      </c>
      <c r="F188" s="246" t="s">
        <v>379</v>
      </c>
      <c r="G188" s="279">
        <v>0</v>
      </c>
      <c r="H188" s="279">
        <v>0</v>
      </c>
      <c r="I188" s="132">
        <v>0</v>
      </c>
      <c r="J188" s="132">
        <v>0</v>
      </c>
      <c r="K188" s="132">
        <v>0</v>
      </c>
      <c r="L188" s="144">
        <f>CATEGORIAS[[#This Row],[ADICIONALES]]+CATEGORIAS[[#This Row],[POM]]+CATEGORIAS[[#This Row],[REAJUSTE 
PAGADO]]+CATEGORIAS[[#This Row],[REAJUSTE
PROYECTADO]]</f>
        <v>0</v>
      </c>
      <c r="M188" s="133">
        <v>0</v>
      </c>
      <c r="N188" s="222">
        <v>0</v>
      </c>
      <c r="O188" s="142">
        <f>+CATEGORIAS[[#This Row],[PRODUCCION
PARTIDAS
ORIGINALES
ACTUAL]]+CATEGORIAS[[#This Row],[PRODUCCION
ADICIONALES
ACTUAL]]</f>
        <v>0</v>
      </c>
      <c r="P188" s="222">
        <v>0</v>
      </c>
      <c r="Q188" s="134">
        <v>0</v>
      </c>
      <c r="R188" s="141">
        <f>+CATEGORIAS[[#This Row],[PRODUCCION
ANTERIOR]]+CATEGORIAS[[#This Row],[PRODUCCION
ADICIONALES
ANTERIOR]]</f>
        <v>0</v>
      </c>
      <c r="S188" s="135">
        <v>0</v>
      </c>
      <c r="T188" s="135"/>
      <c r="U188" s="222">
        <v>0</v>
      </c>
      <c r="V188" s="262">
        <f>SUM(CATEGORIAS[[#This Row],[COSTO
ACUMULADO  AX]:[PROVISIONES]])</f>
        <v>0</v>
      </c>
      <c r="W188" s="264">
        <v>0</v>
      </c>
      <c r="X188" s="222"/>
      <c r="Y188" s="222">
        <v>0</v>
      </c>
      <c r="Z188" s="263">
        <f>SUM(CATEGORIAS[[#This Row],[COSTO ACUMULADO
ANTERIOR]:[PROVISIONES
ANTERIOR]])</f>
        <v>0</v>
      </c>
      <c r="AA188" s="338">
        <f>ABS(+CATEGORIAS[[#This Row],[PRESUPUESTO
FINAL
PROYECTADO]]-CATEGORIAS[[#This Row],[TOTAL PRODUCCION
ACTUAL]])</f>
        <v>0</v>
      </c>
      <c r="AB188" s="222"/>
      <c r="AC188" s="134"/>
      <c r="AD188" s="134">
        <v>0</v>
      </c>
      <c r="AE188" s="221">
        <f>SUM(CATEGORIAS[[#This Row],[INVENTARIO]:[PROYECCION
DE COSTO
DEL SALDO]])</f>
        <v>0</v>
      </c>
      <c r="AF188" s="134"/>
      <c r="AG188" s="134">
        <f>+CATEGORIAS[[#This Row],[PRESUPUESTO
FINAL
PROYECTADO]]-CATEGORIAS[[#This Row],[COSTO REAL]]-CATEGORIAS[[#This Row],[PROYECCION
TOTAL DE COSTO]]</f>
        <v>0</v>
      </c>
    </row>
    <row r="189" spans="1:33" x14ac:dyDescent="0.25">
      <c r="A189" s="245"/>
      <c r="B189" s="245"/>
      <c r="C189" s="245"/>
      <c r="D189" s="323" t="s">
        <v>1925</v>
      </c>
      <c r="E189" s="244" t="s">
        <v>740</v>
      </c>
      <c r="F189" s="246" t="s">
        <v>376</v>
      </c>
      <c r="G189" s="279">
        <v>0</v>
      </c>
      <c r="H189" s="279">
        <v>0</v>
      </c>
      <c r="I189" s="132">
        <v>0</v>
      </c>
      <c r="J189" s="132">
        <v>0</v>
      </c>
      <c r="K189" s="132">
        <v>0</v>
      </c>
      <c r="L189" s="144">
        <f>CATEGORIAS[[#This Row],[ADICIONALES]]+CATEGORIAS[[#This Row],[POM]]+CATEGORIAS[[#This Row],[REAJUSTE 
PAGADO]]+CATEGORIAS[[#This Row],[REAJUSTE
PROYECTADO]]</f>
        <v>0</v>
      </c>
      <c r="M189" s="133">
        <v>0</v>
      </c>
      <c r="N189" s="222">
        <v>0</v>
      </c>
      <c r="O189" s="142">
        <f>+CATEGORIAS[[#This Row],[PRODUCCION
PARTIDAS
ORIGINALES
ACTUAL]]+CATEGORIAS[[#This Row],[PRODUCCION
ADICIONALES
ACTUAL]]</f>
        <v>0</v>
      </c>
      <c r="P189" s="222">
        <v>0</v>
      </c>
      <c r="Q189" s="222">
        <v>0</v>
      </c>
      <c r="R189" s="141">
        <f>+CATEGORIAS[[#This Row],[PRODUCCION
ANTERIOR]]+CATEGORIAS[[#This Row],[PRODUCCION
ADICIONALES
ANTERIOR]]</f>
        <v>0</v>
      </c>
      <c r="S189" s="135">
        <v>0</v>
      </c>
      <c r="T189" s="135"/>
      <c r="U189" s="135">
        <v>0</v>
      </c>
      <c r="V189" s="262">
        <f>SUM(CATEGORIAS[[#This Row],[COSTO
ACUMULADO  AX]:[PROVISIONES]])</f>
        <v>0</v>
      </c>
      <c r="W189" s="264">
        <v>0</v>
      </c>
      <c r="X189" s="222"/>
      <c r="Y189" s="222">
        <v>0</v>
      </c>
      <c r="Z189" s="263">
        <f>SUM(CATEGORIAS[[#This Row],[COSTO ACUMULADO
ANTERIOR]:[PROVISIONES
ANTERIOR]])</f>
        <v>0</v>
      </c>
      <c r="AA189" s="338">
        <f>ABS(+CATEGORIAS[[#This Row],[PRESUPUESTO
FINAL
PROYECTADO]]-CATEGORIAS[[#This Row],[TOTAL PRODUCCION
ACTUAL]])</f>
        <v>0</v>
      </c>
      <c r="AB189" s="222"/>
      <c r="AC189" s="134"/>
      <c r="AD189" s="134">
        <v>0</v>
      </c>
      <c r="AE189" s="221">
        <f>SUM(CATEGORIAS[[#This Row],[INVENTARIO]:[PROYECCION
DE COSTO
DEL SALDO]])</f>
        <v>0</v>
      </c>
      <c r="AF189" s="134"/>
      <c r="AG189" s="134">
        <f>+CATEGORIAS[[#This Row],[PRESUPUESTO
FINAL
PROYECTADO]]-CATEGORIAS[[#This Row],[COSTO REAL]]-CATEGORIAS[[#This Row],[PROYECCION
TOTAL DE COSTO]]</f>
        <v>0</v>
      </c>
    </row>
    <row r="190" spans="1:33" x14ac:dyDescent="0.25">
      <c r="A190" s="245"/>
      <c r="B190" s="245"/>
      <c r="C190" s="245"/>
      <c r="D190" s="323" t="s">
        <v>1926</v>
      </c>
      <c r="E190" s="244" t="s">
        <v>742</v>
      </c>
      <c r="F190" s="246" t="s">
        <v>376</v>
      </c>
      <c r="G190" s="279">
        <v>0</v>
      </c>
      <c r="H190" s="279">
        <v>0</v>
      </c>
      <c r="I190" s="132">
        <v>0</v>
      </c>
      <c r="J190" s="132">
        <v>0</v>
      </c>
      <c r="K190" s="132">
        <v>0</v>
      </c>
      <c r="L190" s="144">
        <f>CATEGORIAS[[#This Row],[ADICIONALES]]+CATEGORIAS[[#This Row],[POM]]+CATEGORIAS[[#This Row],[REAJUSTE 
PAGADO]]+CATEGORIAS[[#This Row],[REAJUSTE
PROYECTADO]]</f>
        <v>0</v>
      </c>
      <c r="M190" s="133">
        <v>0</v>
      </c>
      <c r="N190" s="222">
        <v>0</v>
      </c>
      <c r="O190" s="142">
        <f>+CATEGORIAS[[#This Row],[PRODUCCION
PARTIDAS
ORIGINALES
ACTUAL]]+CATEGORIAS[[#This Row],[PRODUCCION
ADICIONALES
ACTUAL]]</f>
        <v>0</v>
      </c>
      <c r="P190" s="222">
        <v>0</v>
      </c>
      <c r="Q190" s="222">
        <v>0</v>
      </c>
      <c r="R190" s="141">
        <f>+CATEGORIAS[[#This Row],[PRODUCCION
ANTERIOR]]+CATEGORIAS[[#This Row],[PRODUCCION
ADICIONALES
ANTERIOR]]</f>
        <v>0</v>
      </c>
      <c r="S190" s="135">
        <v>0</v>
      </c>
      <c r="T190" s="135"/>
      <c r="U190" s="135">
        <v>0</v>
      </c>
      <c r="V190" s="262">
        <f>SUM(CATEGORIAS[[#This Row],[COSTO
ACUMULADO  AX]:[PROVISIONES]])</f>
        <v>0</v>
      </c>
      <c r="W190" s="264">
        <v>0</v>
      </c>
      <c r="X190" s="222"/>
      <c r="Y190" s="222">
        <v>0</v>
      </c>
      <c r="Z190" s="263">
        <f>SUM(CATEGORIAS[[#This Row],[COSTO ACUMULADO
ANTERIOR]:[PROVISIONES
ANTERIOR]])</f>
        <v>0</v>
      </c>
      <c r="AA190" s="338">
        <f>ABS(+CATEGORIAS[[#This Row],[PRESUPUESTO
FINAL
PROYECTADO]]-CATEGORIAS[[#This Row],[TOTAL PRODUCCION
ACTUAL]])</f>
        <v>0</v>
      </c>
      <c r="AB190" s="222"/>
      <c r="AC190" s="134"/>
      <c r="AD190" s="134">
        <v>0</v>
      </c>
      <c r="AE190" s="221">
        <f>SUM(CATEGORIAS[[#This Row],[INVENTARIO]:[PROYECCION
DE COSTO
DEL SALDO]])</f>
        <v>0</v>
      </c>
      <c r="AF190" s="134"/>
      <c r="AG190" s="134">
        <f>+CATEGORIAS[[#This Row],[PRESUPUESTO
FINAL
PROYECTADO]]-CATEGORIAS[[#This Row],[COSTO REAL]]-CATEGORIAS[[#This Row],[PROYECCION
TOTAL DE COSTO]]</f>
        <v>0</v>
      </c>
    </row>
    <row r="191" spans="1:33" x14ac:dyDescent="0.25">
      <c r="A191" s="245"/>
      <c r="B191" s="245"/>
      <c r="C191" s="245"/>
      <c r="D191" s="323" t="s">
        <v>1927</v>
      </c>
      <c r="E191" s="244" t="s">
        <v>744</v>
      </c>
      <c r="F191" s="246" t="s">
        <v>376</v>
      </c>
      <c r="G191" s="279">
        <v>0</v>
      </c>
      <c r="H191" s="279">
        <v>0</v>
      </c>
      <c r="I191" s="132">
        <v>0</v>
      </c>
      <c r="J191" s="132">
        <v>0</v>
      </c>
      <c r="K191" s="132">
        <v>0</v>
      </c>
      <c r="L191" s="144">
        <f>CATEGORIAS[[#This Row],[ADICIONALES]]+CATEGORIAS[[#This Row],[POM]]+CATEGORIAS[[#This Row],[REAJUSTE 
PAGADO]]+CATEGORIAS[[#This Row],[REAJUSTE
PROYECTADO]]</f>
        <v>0</v>
      </c>
      <c r="M191" s="133">
        <v>0</v>
      </c>
      <c r="N191" s="222">
        <v>0</v>
      </c>
      <c r="O191" s="142">
        <f>+CATEGORIAS[[#This Row],[PRODUCCION
PARTIDAS
ORIGINALES
ACTUAL]]+CATEGORIAS[[#This Row],[PRODUCCION
ADICIONALES
ACTUAL]]</f>
        <v>0</v>
      </c>
      <c r="P191" s="222">
        <v>0</v>
      </c>
      <c r="Q191" s="222">
        <v>0</v>
      </c>
      <c r="R191" s="141">
        <f>+CATEGORIAS[[#This Row],[PRODUCCION
ANTERIOR]]+CATEGORIAS[[#This Row],[PRODUCCION
ADICIONALES
ANTERIOR]]</f>
        <v>0</v>
      </c>
      <c r="S191" s="135">
        <v>0</v>
      </c>
      <c r="T191" s="135"/>
      <c r="U191" s="135">
        <v>0</v>
      </c>
      <c r="V191" s="262">
        <f>SUM(CATEGORIAS[[#This Row],[COSTO
ACUMULADO  AX]:[PROVISIONES]])</f>
        <v>0</v>
      </c>
      <c r="W191" s="264">
        <v>0</v>
      </c>
      <c r="X191" s="222"/>
      <c r="Y191" s="222">
        <v>0</v>
      </c>
      <c r="Z191" s="263">
        <f>SUM(CATEGORIAS[[#This Row],[COSTO ACUMULADO
ANTERIOR]:[PROVISIONES
ANTERIOR]])</f>
        <v>0</v>
      </c>
      <c r="AA191" s="338">
        <f>ABS(+CATEGORIAS[[#This Row],[PRESUPUESTO
FINAL
PROYECTADO]]-CATEGORIAS[[#This Row],[TOTAL PRODUCCION
ACTUAL]])</f>
        <v>0</v>
      </c>
      <c r="AB191" s="222"/>
      <c r="AC191" s="134"/>
      <c r="AD191" s="134">
        <v>0</v>
      </c>
      <c r="AE191" s="221">
        <f>SUM(CATEGORIAS[[#This Row],[INVENTARIO]:[PROYECCION
DE COSTO
DEL SALDO]])</f>
        <v>0</v>
      </c>
      <c r="AF191" s="134"/>
      <c r="AG191" s="134">
        <f>+CATEGORIAS[[#This Row],[PRESUPUESTO
FINAL
PROYECTADO]]-CATEGORIAS[[#This Row],[COSTO REAL]]-CATEGORIAS[[#This Row],[PROYECCION
TOTAL DE COSTO]]</f>
        <v>0</v>
      </c>
    </row>
    <row r="192" spans="1:33" x14ac:dyDescent="0.25">
      <c r="A192" s="245"/>
      <c r="B192" s="245"/>
      <c r="C192" s="245"/>
      <c r="D192" s="323" t="s">
        <v>1928</v>
      </c>
      <c r="E192" s="244" t="s">
        <v>746</v>
      </c>
      <c r="F192" s="246" t="s">
        <v>376</v>
      </c>
      <c r="G192" s="279">
        <v>0</v>
      </c>
      <c r="H192" s="279">
        <v>0</v>
      </c>
      <c r="I192" s="132">
        <v>0</v>
      </c>
      <c r="J192" s="132">
        <v>0</v>
      </c>
      <c r="K192" s="132">
        <v>0</v>
      </c>
      <c r="L192" s="144">
        <f>CATEGORIAS[[#This Row],[ADICIONALES]]+CATEGORIAS[[#This Row],[POM]]+CATEGORIAS[[#This Row],[REAJUSTE 
PAGADO]]+CATEGORIAS[[#This Row],[REAJUSTE
PROYECTADO]]</f>
        <v>0</v>
      </c>
      <c r="M192" s="133">
        <v>0</v>
      </c>
      <c r="N192" s="222">
        <v>0</v>
      </c>
      <c r="O192" s="142">
        <f>+CATEGORIAS[[#This Row],[PRODUCCION
PARTIDAS
ORIGINALES
ACTUAL]]+CATEGORIAS[[#This Row],[PRODUCCION
ADICIONALES
ACTUAL]]</f>
        <v>0</v>
      </c>
      <c r="P192" s="222">
        <v>0</v>
      </c>
      <c r="Q192" s="222">
        <v>0</v>
      </c>
      <c r="R192" s="141">
        <f>+CATEGORIAS[[#This Row],[PRODUCCION
ANTERIOR]]+CATEGORIAS[[#This Row],[PRODUCCION
ADICIONALES
ANTERIOR]]</f>
        <v>0</v>
      </c>
      <c r="S192" s="135">
        <v>0</v>
      </c>
      <c r="T192" s="135"/>
      <c r="U192" s="135">
        <v>0</v>
      </c>
      <c r="V192" s="262">
        <f>SUM(CATEGORIAS[[#This Row],[COSTO
ACUMULADO  AX]:[PROVISIONES]])</f>
        <v>0</v>
      </c>
      <c r="W192" s="264">
        <v>0</v>
      </c>
      <c r="X192" s="222"/>
      <c r="Y192" s="222">
        <v>0</v>
      </c>
      <c r="Z192" s="263">
        <f>SUM(CATEGORIAS[[#This Row],[COSTO ACUMULADO
ANTERIOR]:[PROVISIONES
ANTERIOR]])</f>
        <v>0</v>
      </c>
      <c r="AA192" s="338">
        <f>ABS(+CATEGORIAS[[#This Row],[PRESUPUESTO
FINAL
PROYECTADO]]-CATEGORIAS[[#This Row],[TOTAL PRODUCCION
ACTUAL]])</f>
        <v>0</v>
      </c>
      <c r="AB192" s="222"/>
      <c r="AC192" s="134"/>
      <c r="AD192" s="134">
        <v>0</v>
      </c>
      <c r="AE192" s="221">
        <f>SUM(CATEGORIAS[[#This Row],[INVENTARIO]:[PROYECCION
DE COSTO
DEL SALDO]])</f>
        <v>0</v>
      </c>
      <c r="AF192" s="134"/>
      <c r="AG192" s="134">
        <f>+CATEGORIAS[[#This Row],[PRESUPUESTO
FINAL
PROYECTADO]]-CATEGORIAS[[#This Row],[COSTO REAL]]-CATEGORIAS[[#This Row],[PROYECCION
TOTAL DE COSTO]]</f>
        <v>0</v>
      </c>
    </row>
    <row r="193" spans="1:33" x14ac:dyDescent="0.25">
      <c r="A193" s="245"/>
      <c r="B193" s="245"/>
      <c r="C193" s="245"/>
      <c r="D193" s="323" t="s">
        <v>1929</v>
      </c>
      <c r="E193" s="244" t="s">
        <v>748</v>
      </c>
      <c r="F193" s="246" t="s">
        <v>376</v>
      </c>
      <c r="G193" s="279">
        <v>0</v>
      </c>
      <c r="H193" s="279">
        <v>0</v>
      </c>
      <c r="I193" s="132">
        <v>0</v>
      </c>
      <c r="J193" s="132">
        <v>0</v>
      </c>
      <c r="K193" s="132">
        <v>0</v>
      </c>
      <c r="L193" s="144">
        <f>CATEGORIAS[[#This Row],[ADICIONALES]]+CATEGORIAS[[#This Row],[POM]]+CATEGORIAS[[#This Row],[REAJUSTE 
PAGADO]]+CATEGORIAS[[#This Row],[REAJUSTE
PROYECTADO]]</f>
        <v>0</v>
      </c>
      <c r="M193" s="133">
        <v>0</v>
      </c>
      <c r="N193" s="222">
        <v>0</v>
      </c>
      <c r="O193" s="142">
        <f>+CATEGORIAS[[#This Row],[PRODUCCION
PARTIDAS
ORIGINALES
ACTUAL]]+CATEGORIAS[[#This Row],[PRODUCCION
ADICIONALES
ACTUAL]]</f>
        <v>0</v>
      </c>
      <c r="P193" s="222">
        <v>0</v>
      </c>
      <c r="Q193" s="134">
        <v>0</v>
      </c>
      <c r="R193" s="141">
        <f>+CATEGORIAS[[#This Row],[PRODUCCION
ANTERIOR]]+CATEGORIAS[[#This Row],[PRODUCCION
ADICIONALES
ANTERIOR]]</f>
        <v>0</v>
      </c>
      <c r="S193" s="135">
        <v>0</v>
      </c>
      <c r="T193" s="135"/>
      <c r="U193" s="135">
        <v>0</v>
      </c>
      <c r="V193" s="262">
        <f>SUM(CATEGORIAS[[#This Row],[COSTO
ACUMULADO  AX]:[PROVISIONES]])</f>
        <v>0</v>
      </c>
      <c r="W193" s="264">
        <v>0</v>
      </c>
      <c r="X193" s="222"/>
      <c r="Y193" s="222">
        <v>0</v>
      </c>
      <c r="Z193" s="263">
        <f>SUM(CATEGORIAS[[#This Row],[COSTO ACUMULADO
ANTERIOR]:[PROVISIONES
ANTERIOR]])</f>
        <v>0</v>
      </c>
      <c r="AA193" s="338">
        <f>ABS(+CATEGORIAS[[#This Row],[PRESUPUESTO
FINAL
PROYECTADO]]-CATEGORIAS[[#This Row],[TOTAL PRODUCCION
ACTUAL]])</f>
        <v>0</v>
      </c>
      <c r="AB193" s="222"/>
      <c r="AC193" s="134"/>
      <c r="AD193" s="134">
        <v>0</v>
      </c>
      <c r="AE193" s="221">
        <f>SUM(CATEGORIAS[[#This Row],[INVENTARIO]:[PROYECCION
DE COSTO
DEL SALDO]])</f>
        <v>0</v>
      </c>
      <c r="AF193" s="134"/>
      <c r="AG193" s="134">
        <f>+CATEGORIAS[[#This Row],[PRESUPUESTO
FINAL
PROYECTADO]]-CATEGORIAS[[#This Row],[COSTO REAL]]-CATEGORIAS[[#This Row],[PROYECCION
TOTAL DE COSTO]]</f>
        <v>0</v>
      </c>
    </row>
    <row r="194" spans="1:33" x14ac:dyDescent="0.25">
      <c r="A194" s="245"/>
      <c r="B194" s="245"/>
      <c r="C194" s="245"/>
      <c r="D194" s="323" t="s">
        <v>1930</v>
      </c>
      <c r="E194" s="244" t="s">
        <v>750</v>
      </c>
      <c r="F194" s="246" t="s">
        <v>376</v>
      </c>
      <c r="G194" s="279">
        <v>0</v>
      </c>
      <c r="H194" s="279">
        <v>0</v>
      </c>
      <c r="I194" s="132">
        <v>0</v>
      </c>
      <c r="J194" s="132">
        <v>0</v>
      </c>
      <c r="K194" s="132">
        <v>0</v>
      </c>
      <c r="L194" s="144">
        <f>CATEGORIAS[[#This Row],[ADICIONALES]]+CATEGORIAS[[#This Row],[POM]]+CATEGORIAS[[#This Row],[REAJUSTE 
PAGADO]]+CATEGORIAS[[#This Row],[REAJUSTE
PROYECTADO]]</f>
        <v>0</v>
      </c>
      <c r="M194" s="133">
        <v>0</v>
      </c>
      <c r="N194" s="222">
        <v>0</v>
      </c>
      <c r="O194" s="142">
        <f>+CATEGORIAS[[#This Row],[PRODUCCION
PARTIDAS
ORIGINALES
ACTUAL]]+CATEGORIAS[[#This Row],[PRODUCCION
ADICIONALES
ACTUAL]]</f>
        <v>0</v>
      </c>
      <c r="P194" s="222">
        <v>0</v>
      </c>
      <c r="Q194" s="134">
        <v>0</v>
      </c>
      <c r="R194" s="141">
        <f>+CATEGORIAS[[#This Row],[PRODUCCION
ANTERIOR]]+CATEGORIAS[[#This Row],[PRODUCCION
ADICIONALES
ANTERIOR]]</f>
        <v>0</v>
      </c>
      <c r="S194" s="135">
        <v>0</v>
      </c>
      <c r="T194" s="135"/>
      <c r="U194" s="135">
        <v>0</v>
      </c>
      <c r="V194" s="262">
        <f>SUM(CATEGORIAS[[#This Row],[COSTO
ACUMULADO  AX]:[PROVISIONES]])</f>
        <v>0</v>
      </c>
      <c r="W194" s="264">
        <v>0</v>
      </c>
      <c r="X194" s="222"/>
      <c r="Y194" s="222">
        <v>0</v>
      </c>
      <c r="Z194" s="263">
        <f>SUM(CATEGORIAS[[#This Row],[COSTO ACUMULADO
ANTERIOR]:[PROVISIONES
ANTERIOR]])</f>
        <v>0</v>
      </c>
      <c r="AA194" s="338">
        <f>ABS(+CATEGORIAS[[#This Row],[PRESUPUESTO
FINAL
PROYECTADO]]-CATEGORIAS[[#This Row],[TOTAL PRODUCCION
ACTUAL]])</f>
        <v>0</v>
      </c>
      <c r="AB194" s="222"/>
      <c r="AC194" s="134"/>
      <c r="AD194" s="134">
        <v>0</v>
      </c>
      <c r="AE194" s="221">
        <f>SUM(CATEGORIAS[[#This Row],[INVENTARIO]:[PROYECCION
DE COSTO
DEL SALDO]])</f>
        <v>0</v>
      </c>
      <c r="AF194" s="134"/>
      <c r="AG194" s="134">
        <f>+CATEGORIAS[[#This Row],[PRESUPUESTO
FINAL
PROYECTADO]]-CATEGORIAS[[#This Row],[COSTO REAL]]-CATEGORIAS[[#This Row],[PROYECCION
TOTAL DE COSTO]]</f>
        <v>0</v>
      </c>
    </row>
    <row r="195" spans="1:33" x14ac:dyDescent="0.25">
      <c r="A195" s="245"/>
      <c r="B195" s="245"/>
      <c r="C195" s="245"/>
      <c r="D195" s="323" t="s">
        <v>1931</v>
      </c>
      <c r="E195" s="244" t="s">
        <v>752</v>
      </c>
      <c r="F195" s="246" t="s">
        <v>376</v>
      </c>
      <c r="G195" s="279">
        <v>0</v>
      </c>
      <c r="H195" s="279">
        <v>0</v>
      </c>
      <c r="I195" s="132">
        <v>0</v>
      </c>
      <c r="J195" s="132">
        <v>0</v>
      </c>
      <c r="K195" s="132">
        <v>0</v>
      </c>
      <c r="L195" s="144">
        <f>CATEGORIAS[[#This Row],[ADICIONALES]]+CATEGORIAS[[#This Row],[POM]]+CATEGORIAS[[#This Row],[REAJUSTE 
PAGADO]]+CATEGORIAS[[#This Row],[REAJUSTE
PROYECTADO]]</f>
        <v>0</v>
      </c>
      <c r="M195" s="133">
        <v>0</v>
      </c>
      <c r="N195" s="222">
        <v>0</v>
      </c>
      <c r="O195" s="142">
        <f>+CATEGORIAS[[#This Row],[PRODUCCION
PARTIDAS
ORIGINALES
ACTUAL]]+CATEGORIAS[[#This Row],[PRODUCCION
ADICIONALES
ACTUAL]]</f>
        <v>0</v>
      </c>
      <c r="P195" s="222">
        <v>0</v>
      </c>
      <c r="Q195" s="222">
        <v>0</v>
      </c>
      <c r="R195" s="141">
        <f>+CATEGORIAS[[#This Row],[PRODUCCION
ANTERIOR]]+CATEGORIAS[[#This Row],[PRODUCCION
ADICIONALES
ANTERIOR]]</f>
        <v>0</v>
      </c>
      <c r="S195" s="135">
        <v>0</v>
      </c>
      <c r="T195" s="135"/>
      <c r="U195" s="135">
        <v>0</v>
      </c>
      <c r="V195" s="262">
        <f>SUM(CATEGORIAS[[#This Row],[COSTO
ACUMULADO  AX]:[PROVISIONES]])</f>
        <v>0</v>
      </c>
      <c r="W195" s="264">
        <v>0</v>
      </c>
      <c r="X195" s="222"/>
      <c r="Y195" s="222">
        <v>0</v>
      </c>
      <c r="Z195" s="263">
        <f>SUM(CATEGORIAS[[#This Row],[COSTO ACUMULADO
ANTERIOR]:[PROVISIONES
ANTERIOR]])</f>
        <v>0</v>
      </c>
      <c r="AA195" s="338">
        <f>ABS(+CATEGORIAS[[#This Row],[PRESUPUESTO
FINAL
PROYECTADO]]-CATEGORIAS[[#This Row],[TOTAL PRODUCCION
ACTUAL]])</f>
        <v>0</v>
      </c>
      <c r="AB195" s="222"/>
      <c r="AC195" s="134"/>
      <c r="AD195" s="134">
        <v>0</v>
      </c>
      <c r="AE195" s="221">
        <f>SUM(CATEGORIAS[[#This Row],[INVENTARIO]:[PROYECCION
DE COSTO
DEL SALDO]])</f>
        <v>0</v>
      </c>
      <c r="AF195" s="134"/>
      <c r="AG195" s="134">
        <f>+CATEGORIAS[[#This Row],[PRESUPUESTO
FINAL
PROYECTADO]]-CATEGORIAS[[#This Row],[COSTO REAL]]-CATEGORIAS[[#This Row],[PROYECCION
TOTAL DE COSTO]]</f>
        <v>0</v>
      </c>
    </row>
    <row r="196" spans="1:33" x14ac:dyDescent="0.25">
      <c r="A196" s="245"/>
      <c r="B196" s="245"/>
      <c r="C196" s="245"/>
      <c r="D196" s="323" t="s">
        <v>1932</v>
      </c>
      <c r="E196" s="244" t="s">
        <v>754</v>
      </c>
      <c r="F196" s="246" t="s">
        <v>376</v>
      </c>
      <c r="G196" s="279">
        <v>0</v>
      </c>
      <c r="H196" s="279">
        <v>0</v>
      </c>
      <c r="I196" s="132">
        <v>0</v>
      </c>
      <c r="J196" s="132">
        <v>0</v>
      </c>
      <c r="K196" s="132">
        <v>0</v>
      </c>
      <c r="L196" s="144">
        <f>CATEGORIAS[[#This Row],[ADICIONALES]]+CATEGORIAS[[#This Row],[POM]]+CATEGORIAS[[#This Row],[REAJUSTE 
PAGADO]]+CATEGORIAS[[#This Row],[REAJUSTE
PROYECTADO]]</f>
        <v>0</v>
      </c>
      <c r="M196" s="133">
        <v>0</v>
      </c>
      <c r="N196" s="222">
        <v>0</v>
      </c>
      <c r="O196" s="142">
        <f>+CATEGORIAS[[#This Row],[PRODUCCION
PARTIDAS
ORIGINALES
ACTUAL]]+CATEGORIAS[[#This Row],[PRODUCCION
ADICIONALES
ACTUAL]]</f>
        <v>0</v>
      </c>
      <c r="P196" s="222">
        <v>0</v>
      </c>
      <c r="Q196" s="222">
        <v>0</v>
      </c>
      <c r="R196" s="141">
        <f>+CATEGORIAS[[#This Row],[PRODUCCION
ANTERIOR]]+CATEGORIAS[[#This Row],[PRODUCCION
ADICIONALES
ANTERIOR]]</f>
        <v>0</v>
      </c>
      <c r="S196" s="135">
        <v>0</v>
      </c>
      <c r="T196" s="135"/>
      <c r="U196" s="135">
        <v>0</v>
      </c>
      <c r="V196" s="262">
        <f>SUM(CATEGORIAS[[#This Row],[COSTO
ACUMULADO  AX]:[PROVISIONES]])</f>
        <v>0</v>
      </c>
      <c r="W196" s="264">
        <v>0</v>
      </c>
      <c r="X196" s="222"/>
      <c r="Y196" s="222">
        <v>0</v>
      </c>
      <c r="Z196" s="263">
        <f>SUM(CATEGORIAS[[#This Row],[COSTO ACUMULADO
ANTERIOR]:[PROVISIONES
ANTERIOR]])</f>
        <v>0</v>
      </c>
      <c r="AA196" s="338">
        <f>ABS(+CATEGORIAS[[#This Row],[PRESUPUESTO
FINAL
PROYECTADO]]-CATEGORIAS[[#This Row],[TOTAL PRODUCCION
ACTUAL]])</f>
        <v>0</v>
      </c>
      <c r="AB196" s="222"/>
      <c r="AC196" s="134"/>
      <c r="AD196" s="134">
        <v>0</v>
      </c>
      <c r="AE196" s="221">
        <f>SUM(CATEGORIAS[[#This Row],[INVENTARIO]:[PROYECCION
DE COSTO
DEL SALDO]])</f>
        <v>0</v>
      </c>
      <c r="AF196" s="134"/>
      <c r="AG196" s="134">
        <f>+CATEGORIAS[[#This Row],[PRESUPUESTO
FINAL
PROYECTADO]]-CATEGORIAS[[#This Row],[COSTO REAL]]-CATEGORIAS[[#This Row],[PROYECCION
TOTAL DE COSTO]]</f>
        <v>0</v>
      </c>
    </row>
    <row r="197" spans="1:33" x14ac:dyDescent="0.25">
      <c r="A197" s="245"/>
      <c r="B197" s="245"/>
      <c r="C197" s="245"/>
      <c r="D197" s="323" t="s">
        <v>1933</v>
      </c>
      <c r="E197" s="244" t="s">
        <v>756</v>
      </c>
      <c r="F197" s="246" t="s">
        <v>376</v>
      </c>
      <c r="G197" s="279">
        <v>0</v>
      </c>
      <c r="H197" s="279">
        <v>0</v>
      </c>
      <c r="I197" s="132">
        <v>0</v>
      </c>
      <c r="J197" s="132">
        <v>0</v>
      </c>
      <c r="K197" s="132">
        <v>0</v>
      </c>
      <c r="L197" s="144">
        <f>CATEGORIAS[[#This Row],[ADICIONALES]]+CATEGORIAS[[#This Row],[POM]]+CATEGORIAS[[#This Row],[REAJUSTE 
PAGADO]]+CATEGORIAS[[#This Row],[REAJUSTE
PROYECTADO]]</f>
        <v>0</v>
      </c>
      <c r="M197" s="133">
        <v>0</v>
      </c>
      <c r="N197" s="222">
        <v>0</v>
      </c>
      <c r="O197" s="142">
        <f>+CATEGORIAS[[#This Row],[PRODUCCION
PARTIDAS
ORIGINALES
ACTUAL]]+CATEGORIAS[[#This Row],[PRODUCCION
ADICIONALES
ACTUAL]]</f>
        <v>0</v>
      </c>
      <c r="P197" s="222">
        <v>0</v>
      </c>
      <c r="Q197" s="222">
        <v>0</v>
      </c>
      <c r="R197" s="141">
        <f>+CATEGORIAS[[#This Row],[PRODUCCION
ANTERIOR]]+CATEGORIAS[[#This Row],[PRODUCCION
ADICIONALES
ANTERIOR]]</f>
        <v>0</v>
      </c>
      <c r="S197" s="135">
        <v>0</v>
      </c>
      <c r="T197" s="135"/>
      <c r="U197" s="135">
        <v>0</v>
      </c>
      <c r="V197" s="262">
        <f>SUM(CATEGORIAS[[#This Row],[COSTO
ACUMULADO  AX]:[PROVISIONES]])</f>
        <v>0</v>
      </c>
      <c r="W197" s="264">
        <v>0</v>
      </c>
      <c r="X197" s="222"/>
      <c r="Y197" s="222">
        <v>0</v>
      </c>
      <c r="Z197" s="263">
        <f>SUM(CATEGORIAS[[#This Row],[COSTO ACUMULADO
ANTERIOR]:[PROVISIONES
ANTERIOR]])</f>
        <v>0</v>
      </c>
      <c r="AA197" s="338">
        <f>ABS(+CATEGORIAS[[#This Row],[PRESUPUESTO
FINAL
PROYECTADO]]-CATEGORIAS[[#This Row],[TOTAL PRODUCCION
ACTUAL]])</f>
        <v>0</v>
      </c>
      <c r="AB197" s="222"/>
      <c r="AC197" s="134"/>
      <c r="AD197" s="134">
        <v>0</v>
      </c>
      <c r="AE197" s="221">
        <f>SUM(CATEGORIAS[[#This Row],[INVENTARIO]:[PROYECCION
DE COSTO
DEL SALDO]])</f>
        <v>0</v>
      </c>
      <c r="AF197" s="134"/>
      <c r="AG197" s="134">
        <f>+CATEGORIAS[[#This Row],[PRESUPUESTO
FINAL
PROYECTADO]]-CATEGORIAS[[#This Row],[COSTO REAL]]-CATEGORIAS[[#This Row],[PROYECCION
TOTAL DE COSTO]]</f>
        <v>0</v>
      </c>
    </row>
    <row r="198" spans="1:33" x14ac:dyDescent="0.25">
      <c r="A198" s="245"/>
      <c r="B198" s="245"/>
      <c r="C198" s="245"/>
      <c r="D198" s="323" t="s">
        <v>1934</v>
      </c>
      <c r="E198" s="244" t="s">
        <v>758</v>
      </c>
      <c r="F198" s="246" t="s">
        <v>376</v>
      </c>
      <c r="G198" s="279">
        <v>0</v>
      </c>
      <c r="H198" s="279">
        <v>0</v>
      </c>
      <c r="I198" s="132">
        <v>0</v>
      </c>
      <c r="J198" s="132">
        <v>0</v>
      </c>
      <c r="K198" s="132">
        <v>0</v>
      </c>
      <c r="L198" s="144">
        <f>CATEGORIAS[[#This Row],[ADICIONALES]]+CATEGORIAS[[#This Row],[POM]]+CATEGORIAS[[#This Row],[REAJUSTE 
PAGADO]]+CATEGORIAS[[#This Row],[REAJUSTE
PROYECTADO]]</f>
        <v>0</v>
      </c>
      <c r="M198" s="133">
        <v>0</v>
      </c>
      <c r="N198" s="222">
        <v>0</v>
      </c>
      <c r="O198" s="142">
        <f>+CATEGORIAS[[#This Row],[PRODUCCION
PARTIDAS
ORIGINALES
ACTUAL]]+CATEGORIAS[[#This Row],[PRODUCCION
ADICIONALES
ACTUAL]]</f>
        <v>0</v>
      </c>
      <c r="P198" s="222">
        <v>0</v>
      </c>
      <c r="Q198" s="222">
        <v>0</v>
      </c>
      <c r="R198" s="141">
        <f>+CATEGORIAS[[#This Row],[PRODUCCION
ANTERIOR]]+CATEGORIAS[[#This Row],[PRODUCCION
ADICIONALES
ANTERIOR]]</f>
        <v>0</v>
      </c>
      <c r="S198" s="135">
        <v>0</v>
      </c>
      <c r="T198" s="135"/>
      <c r="U198" s="135">
        <v>0</v>
      </c>
      <c r="V198" s="262">
        <f>SUM(CATEGORIAS[[#This Row],[COSTO
ACUMULADO  AX]:[PROVISIONES]])</f>
        <v>0</v>
      </c>
      <c r="W198" s="264">
        <v>0</v>
      </c>
      <c r="X198" s="222"/>
      <c r="Y198" s="222">
        <v>0</v>
      </c>
      <c r="Z198" s="263">
        <f>SUM(CATEGORIAS[[#This Row],[COSTO ACUMULADO
ANTERIOR]:[PROVISIONES
ANTERIOR]])</f>
        <v>0</v>
      </c>
      <c r="AA198" s="338">
        <f>ABS(+CATEGORIAS[[#This Row],[PRESUPUESTO
FINAL
PROYECTADO]]-CATEGORIAS[[#This Row],[TOTAL PRODUCCION
ACTUAL]])</f>
        <v>0</v>
      </c>
      <c r="AB198" s="222"/>
      <c r="AC198" s="134"/>
      <c r="AD198" s="134">
        <v>0</v>
      </c>
      <c r="AE198" s="221">
        <f>SUM(CATEGORIAS[[#This Row],[INVENTARIO]:[PROYECCION
DE COSTO
DEL SALDO]])</f>
        <v>0</v>
      </c>
      <c r="AF198" s="134"/>
      <c r="AG198" s="134">
        <f>+CATEGORIAS[[#This Row],[PRESUPUESTO
FINAL
PROYECTADO]]-CATEGORIAS[[#This Row],[COSTO REAL]]-CATEGORIAS[[#This Row],[PROYECCION
TOTAL DE COSTO]]</f>
        <v>0</v>
      </c>
    </row>
    <row r="199" spans="1:33" x14ac:dyDescent="0.25">
      <c r="A199" s="245"/>
      <c r="B199" s="245"/>
      <c r="C199" s="245"/>
      <c r="D199" s="323" t="s">
        <v>1935</v>
      </c>
      <c r="E199" s="244" t="s">
        <v>760</v>
      </c>
      <c r="F199" s="246" t="s">
        <v>376</v>
      </c>
      <c r="G199" s="279">
        <v>0</v>
      </c>
      <c r="H199" s="279">
        <v>0</v>
      </c>
      <c r="I199" s="132">
        <v>0</v>
      </c>
      <c r="J199" s="132">
        <v>0</v>
      </c>
      <c r="K199" s="132">
        <v>0</v>
      </c>
      <c r="L199" s="144">
        <f>CATEGORIAS[[#This Row],[ADICIONALES]]+CATEGORIAS[[#This Row],[POM]]+CATEGORIAS[[#This Row],[REAJUSTE 
PAGADO]]+CATEGORIAS[[#This Row],[REAJUSTE
PROYECTADO]]</f>
        <v>0</v>
      </c>
      <c r="M199" s="133">
        <v>0</v>
      </c>
      <c r="N199" s="222">
        <v>0</v>
      </c>
      <c r="O199" s="142">
        <f>+CATEGORIAS[[#This Row],[PRODUCCION
PARTIDAS
ORIGINALES
ACTUAL]]+CATEGORIAS[[#This Row],[PRODUCCION
ADICIONALES
ACTUAL]]</f>
        <v>0</v>
      </c>
      <c r="P199" s="222">
        <v>0</v>
      </c>
      <c r="Q199" s="134">
        <v>0</v>
      </c>
      <c r="R199" s="141">
        <f>+CATEGORIAS[[#This Row],[PRODUCCION
ANTERIOR]]+CATEGORIAS[[#This Row],[PRODUCCION
ADICIONALES
ANTERIOR]]</f>
        <v>0</v>
      </c>
      <c r="S199" s="135">
        <v>0</v>
      </c>
      <c r="T199" s="135"/>
      <c r="U199" s="135">
        <v>0</v>
      </c>
      <c r="V199" s="262">
        <f>SUM(CATEGORIAS[[#This Row],[COSTO
ACUMULADO  AX]:[PROVISIONES]])</f>
        <v>0</v>
      </c>
      <c r="W199" s="264">
        <v>0</v>
      </c>
      <c r="X199" s="222"/>
      <c r="Y199" s="222">
        <v>0</v>
      </c>
      <c r="Z199" s="263">
        <f>SUM(CATEGORIAS[[#This Row],[COSTO ACUMULADO
ANTERIOR]:[PROVISIONES
ANTERIOR]])</f>
        <v>0</v>
      </c>
      <c r="AA199" s="338">
        <f>ABS(+CATEGORIAS[[#This Row],[PRESUPUESTO
FINAL
PROYECTADO]]-CATEGORIAS[[#This Row],[TOTAL PRODUCCION
ACTUAL]])</f>
        <v>0</v>
      </c>
      <c r="AB199" s="222"/>
      <c r="AC199" s="134"/>
      <c r="AD199" s="134">
        <v>0</v>
      </c>
      <c r="AE199" s="221">
        <f>SUM(CATEGORIAS[[#This Row],[INVENTARIO]:[PROYECCION
DE COSTO
DEL SALDO]])</f>
        <v>0</v>
      </c>
      <c r="AF199" s="134"/>
      <c r="AG199" s="134">
        <f>+CATEGORIAS[[#This Row],[PRESUPUESTO
FINAL
PROYECTADO]]-CATEGORIAS[[#This Row],[COSTO REAL]]-CATEGORIAS[[#This Row],[PROYECCION
TOTAL DE COSTO]]</f>
        <v>0</v>
      </c>
    </row>
    <row r="200" spans="1:33" x14ac:dyDescent="0.25">
      <c r="A200" s="245"/>
      <c r="B200" s="245"/>
      <c r="C200" s="245"/>
      <c r="D200" s="323" t="s">
        <v>1936</v>
      </c>
      <c r="E200" s="244" t="s">
        <v>762</v>
      </c>
      <c r="F200" s="246" t="s">
        <v>376</v>
      </c>
      <c r="G200" s="279">
        <v>0</v>
      </c>
      <c r="H200" s="279">
        <v>0</v>
      </c>
      <c r="I200" s="132">
        <v>0</v>
      </c>
      <c r="J200" s="132">
        <v>0</v>
      </c>
      <c r="K200" s="132">
        <v>0</v>
      </c>
      <c r="L200" s="144">
        <f>CATEGORIAS[[#This Row],[ADICIONALES]]+CATEGORIAS[[#This Row],[POM]]+CATEGORIAS[[#This Row],[REAJUSTE 
PAGADO]]+CATEGORIAS[[#This Row],[REAJUSTE
PROYECTADO]]</f>
        <v>0</v>
      </c>
      <c r="M200" s="133">
        <v>0</v>
      </c>
      <c r="N200" s="222">
        <v>0</v>
      </c>
      <c r="O200" s="142">
        <f>+CATEGORIAS[[#This Row],[PRODUCCION
PARTIDAS
ORIGINALES
ACTUAL]]+CATEGORIAS[[#This Row],[PRODUCCION
ADICIONALES
ACTUAL]]</f>
        <v>0</v>
      </c>
      <c r="P200" s="222">
        <v>0</v>
      </c>
      <c r="Q200" s="222">
        <v>0</v>
      </c>
      <c r="R200" s="141">
        <f>+CATEGORIAS[[#This Row],[PRODUCCION
ANTERIOR]]+CATEGORIAS[[#This Row],[PRODUCCION
ADICIONALES
ANTERIOR]]</f>
        <v>0</v>
      </c>
      <c r="S200" s="135">
        <v>0</v>
      </c>
      <c r="T200" s="135"/>
      <c r="U200" s="135">
        <v>0</v>
      </c>
      <c r="V200" s="262">
        <f>SUM(CATEGORIAS[[#This Row],[COSTO
ACUMULADO  AX]:[PROVISIONES]])</f>
        <v>0</v>
      </c>
      <c r="W200" s="264">
        <v>0</v>
      </c>
      <c r="X200" s="222"/>
      <c r="Y200" s="222">
        <v>0</v>
      </c>
      <c r="Z200" s="263">
        <f>SUM(CATEGORIAS[[#This Row],[COSTO ACUMULADO
ANTERIOR]:[PROVISIONES
ANTERIOR]])</f>
        <v>0</v>
      </c>
      <c r="AA200" s="338">
        <f>ABS(+CATEGORIAS[[#This Row],[PRESUPUESTO
FINAL
PROYECTADO]]-CATEGORIAS[[#This Row],[TOTAL PRODUCCION
ACTUAL]])</f>
        <v>0</v>
      </c>
      <c r="AB200" s="222"/>
      <c r="AC200" s="134"/>
      <c r="AD200" s="134">
        <v>0</v>
      </c>
      <c r="AE200" s="221">
        <f>SUM(CATEGORIAS[[#This Row],[INVENTARIO]:[PROYECCION
DE COSTO
DEL SALDO]])</f>
        <v>0</v>
      </c>
      <c r="AF200" s="134"/>
      <c r="AG200" s="134">
        <f>+CATEGORIAS[[#This Row],[PRESUPUESTO
FINAL
PROYECTADO]]-CATEGORIAS[[#This Row],[COSTO REAL]]-CATEGORIAS[[#This Row],[PROYECCION
TOTAL DE COSTO]]</f>
        <v>0</v>
      </c>
    </row>
    <row r="201" spans="1:33" x14ac:dyDescent="0.25">
      <c r="A201" s="245"/>
      <c r="B201" s="245"/>
      <c r="C201" s="245"/>
      <c r="D201" s="323" t="s">
        <v>1937</v>
      </c>
      <c r="E201" s="244" t="s">
        <v>764</v>
      </c>
      <c r="F201" s="246" t="s">
        <v>376</v>
      </c>
      <c r="G201" s="279">
        <v>0</v>
      </c>
      <c r="H201" s="279">
        <v>0</v>
      </c>
      <c r="I201" s="132">
        <v>0</v>
      </c>
      <c r="J201" s="132">
        <v>0</v>
      </c>
      <c r="K201" s="132">
        <v>0</v>
      </c>
      <c r="L201" s="144">
        <f>CATEGORIAS[[#This Row],[ADICIONALES]]+CATEGORIAS[[#This Row],[POM]]+CATEGORIAS[[#This Row],[REAJUSTE 
PAGADO]]+CATEGORIAS[[#This Row],[REAJUSTE
PROYECTADO]]</f>
        <v>0</v>
      </c>
      <c r="M201" s="133">
        <v>0</v>
      </c>
      <c r="N201" s="222">
        <v>0</v>
      </c>
      <c r="O201" s="142">
        <f>+CATEGORIAS[[#This Row],[PRODUCCION
PARTIDAS
ORIGINALES
ACTUAL]]+CATEGORIAS[[#This Row],[PRODUCCION
ADICIONALES
ACTUAL]]</f>
        <v>0</v>
      </c>
      <c r="P201" s="222">
        <v>0</v>
      </c>
      <c r="Q201" s="134">
        <v>0</v>
      </c>
      <c r="R201" s="141">
        <f>+CATEGORIAS[[#This Row],[PRODUCCION
ANTERIOR]]+CATEGORIAS[[#This Row],[PRODUCCION
ADICIONALES
ANTERIOR]]</f>
        <v>0</v>
      </c>
      <c r="S201" s="135">
        <v>0</v>
      </c>
      <c r="T201" s="135"/>
      <c r="U201" s="135">
        <v>0</v>
      </c>
      <c r="V201" s="262">
        <f>SUM(CATEGORIAS[[#This Row],[COSTO
ACUMULADO  AX]:[PROVISIONES]])</f>
        <v>0</v>
      </c>
      <c r="W201" s="264">
        <v>0</v>
      </c>
      <c r="X201" s="222"/>
      <c r="Y201" s="222">
        <v>0</v>
      </c>
      <c r="Z201" s="263">
        <f>SUM(CATEGORIAS[[#This Row],[COSTO ACUMULADO
ANTERIOR]:[PROVISIONES
ANTERIOR]])</f>
        <v>0</v>
      </c>
      <c r="AA201" s="338">
        <f>ABS(+CATEGORIAS[[#This Row],[PRESUPUESTO
FINAL
PROYECTADO]]-CATEGORIAS[[#This Row],[TOTAL PRODUCCION
ACTUAL]])</f>
        <v>0</v>
      </c>
      <c r="AB201" s="222"/>
      <c r="AC201" s="134"/>
      <c r="AD201" s="134">
        <v>0</v>
      </c>
      <c r="AE201" s="221">
        <f>SUM(CATEGORIAS[[#This Row],[INVENTARIO]:[PROYECCION
DE COSTO
DEL SALDO]])</f>
        <v>0</v>
      </c>
      <c r="AF201" s="134"/>
      <c r="AG201" s="134">
        <f>+CATEGORIAS[[#This Row],[PRESUPUESTO
FINAL
PROYECTADO]]-CATEGORIAS[[#This Row],[COSTO REAL]]-CATEGORIAS[[#This Row],[PROYECCION
TOTAL DE COSTO]]</f>
        <v>0</v>
      </c>
    </row>
    <row r="202" spans="1:33" x14ac:dyDescent="0.25">
      <c r="A202" s="245"/>
      <c r="B202" s="245"/>
      <c r="C202" s="245"/>
      <c r="D202" s="323" t="s">
        <v>1938</v>
      </c>
      <c r="E202" s="244" t="s">
        <v>766</v>
      </c>
      <c r="F202" s="246" t="s">
        <v>376</v>
      </c>
      <c r="G202" s="279">
        <v>0</v>
      </c>
      <c r="H202" s="279">
        <v>0</v>
      </c>
      <c r="I202" s="132">
        <v>0</v>
      </c>
      <c r="J202" s="132">
        <v>0</v>
      </c>
      <c r="K202" s="132">
        <v>0</v>
      </c>
      <c r="L202" s="144">
        <f>CATEGORIAS[[#This Row],[ADICIONALES]]+CATEGORIAS[[#This Row],[POM]]+CATEGORIAS[[#This Row],[REAJUSTE 
PAGADO]]+CATEGORIAS[[#This Row],[REAJUSTE
PROYECTADO]]</f>
        <v>0</v>
      </c>
      <c r="M202" s="133">
        <v>0</v>
      </c>
      <c r="N202" s="222">
        <v>0</v>
      </c>
      <c r="O202" s="142">
        <f>+CATEGORIAS[[#This Row],[PRODUCCION
PARTIDAS
ORIGINALES
ACTUAL]]+CATEGORIAS[[#This Row],[PRODUCCION
ADICIONALES
ACTUAL]]</f>
        <v>0</v>
      </c>
      <c r="P202" s="222">
        <v>0</v>
      </c>
      <c r="Q202" s="222">
        <v>0</v>
      </c>
      <c r="R202" s="141">
        <f>+CATEGORIAS[[#This Row],[PRODUCCION
ANTERIOR]]+CATEGORIAS[[#This Row],[PRODUCCION
ADICIONALES
ANTERIOR]]</f>
        <v>0</v>
      </c>
      <c r="S202" s="135">
        <v>0</v>
      </c>
      <c r="T202" s="135"/>
      <c r="U202" s="135">
        <v>0</v>
      </c>
      <c r="V202" s="262">
        <f>SUM(CATEGORIAS[[#This Row],[COSTO
ACUMULADO  AX]:[PROVISIONES]])</f>
        <v>0</v>
      </c>
      <c r="W202" s="264">
        <v>0</v>
      </c>
      <c r="X202" s="222"/>
      <c r="Y202" s="222">
        <v>0</v>
      </c>
      <c r="Z202" s="263">
        <f>SUM(CATEGORIAS[[#This Row],[COSTO ACUMULADO
ANTERIOR]:[PROVISIONES
ANTERIOR]])</f>
        <v>0</v>
      </c>
      <c r="AA202" s="338">
        <f>ABS(+CATEGORIAS[[#This Row],[PRESUPUESTO
FINAL
PROYECTADO]]-CATEGORIAS[[#This Row],[TOTAL PRODUCCION
ACTUAL]])</f>
        <v>0</v>
      </c>
      <c r="AB202" s="222"/>
      <c r="AC202" s="134"/>
      <c r="AD202" s="134">
        <v>0</v>
      </c>
      <c r="AE202" s="221">
        <f>SUM(CATEGORIAS[[#This Row],[INVENTARIO]:[PROYECCION
DE COSTO
DEL SALDO]])</f>
        <v>0</v>
      </c>
      <c r="AF202" s="134"/>
      <c r="AG202" s="134">
        <f>+CATEGORIAS[[#This Row],[PRESUPUESTO
FINAL
PROYECTADO]]-CATEGORIAS[[#This Row],[COSTO REAL]]-CATEGORIAS[[#This Row],[PROYECCION
TOTAL DE COSTO]]</f>
        <v>0</v>
      </c>
    </row>
    <row r="203" spans="1:33" x14ac:dyDescent="0.25">
      <c r="A203" s="245"/>
      <c r="B203" s="245"/>
      <c r="C203" s="245"/>
      <c r="D203" s="323" t="s">
        <v>1939</v>
      </c>
      <c r="E203" s="244" t="s">
        <v>768</v>
      </c>
      <c r="F203" s="246" t="s">
        <v>376</v>
      </c>
      <c r="G203" s="279">
        <v>0</v>
      </c>
      <c r="H203" s="279">
        <v>0</v>
      </c>
      <c r="I203" s="132">
        <v>0</v>
      </c>
      <c r="J203" s="132">
        <v>0</v>
      </c>
      <c r="K203" s="132">
        <v>0</v>
      </c>
      <c r="L203" s="144">
        <f>CATEGORIAS[[#This Row],[ADICIONALES]]+CATEGORIAS[[#This Row],[POM]]+CATEGORIAS[[#This Row],[REAJUSTE 
PAGADO]]+CATEGORIAS[[#This Row],[REAJUSTE
PROYECTADO]]</f>
        <v>0</v>
      </c>
      <c r="M203" s="133">
        <v>0</v>
      </c>
      <c r="N203" s="222">
        <v>0</v>
      </c>
      <c r="O203" s="142">
        <f>+CATEGORIAS[[#This Row],[PRODUCCION
PARTIDAS
ORIGINALES
ACTUAL]]+CATEGORIAS[[#This Row],[PRODUCCION
ADICIONALES
ACTUAL]]</f>
        <v>0</v>
      </c>
      <c r="P203" s="222">
        <v>0</v>
      </c>
      <c r="Q203" s="134">
        <v>0</v>
      </c>
      <c r="R203" s="141">
        <f>+CATEGORIAS[[#This Row],[PRODUCCION
ANTERIOR]]+CATEGORIAS[[#This Row],[PRODUCCION
ADICIONALES
ANTERIOR]]</f>
        <v>0</v>
      </c>
      <c r="S203" s="135">
        <v>0</v>
      </c>
      <c r="T203" s="135"/>
      <c r="U203" s="135">
        <v>0</v>
      </c>
      <c r="V203" s="262">
        <f>SUM(CATEGORIAS[[#This Row],[COSTO
ACUMULADO  AX]:[PROVISIONES]])</f>
        <v>0</v>
      </c>
      <c r="W203" s="264">
        <v>0</v>
      </c>
      <c r="X203" s="222"/>
      <c r="Y203" s="222">
        <v>0</v>
      </c>
      <c r="Z203" s="263">
        <f>SUM(CATEGORIAS[[#This Row],[COSTO ACUMULADO
ANTERIOR]:[PROVISIONES
ANTERIOR]])</f>
        <v>0</v>
      </c>
      <c r="AA203" s="338">
        <f>ABS(+CATEGORIAS[[#This Row],[PRESUPUESTO
FINAL
PROYECTADO]]-CATEGORIAS[[#This Row],[TOTAL PRODUCCION
ACTUAL]])</f>
        <v>0</v>
      </c>
      <c r="AB203" s="222"/>
      <c r="AC203" s="134"/>
      <c r="AD203" s="134">
        <v>0</v>
      </c>
      <c r="AE203" s="221">
        <f>SUM(CATEGORIAS[[#This Row],[INVENTARIO]:[PROYECCION
DE COSTO
DEL SALDO]])</f>
        <v>0</v>
      </c>
      <c r="AF203" s="134"/>
      <c r="AG203" s="134">
        <f>+CATEGORIAS[[#This Row],[PRESUPUESTO
FINAL
PROYECTADO]]-CATEGORIAS[[#This Row],[COSTO REAL]]-CATEGORIAS[[#This Row],[PROYECCION
TOTAL DE COSTO]]</f>
        <v>0</v>
      </c>
    </row>
    <row r="204" spans="1:33" x14ac:dyDescent="0.25">
      <c r="A204" s="245"/>
      <c r="B204" s="14"/>
      <c r="C204" s="14"/>
      <c r="D204" s="323" t="s">
        <v>1940</v>
      </c>
      <c r="E204" s="244" t="s">
        <v>770</v>
      </c>
      <c r="F204" s="246" t="s">
        <v>376</v>
      </c>
      <c r="G204" s="279">
        <v>0</v>
      </c>
      <c r="H204" s="279">
        <v>0</v>
      </c>
      <c r="I204" s="132">
        <v>0</v>
      </c>
      <c r="J204" s="132">
        <v>0</v>
      </c>
      <c r="K204" s="132">
        <v>0</v>
      </c>
      <c r="L204" s="144">
        <f>CATEGORIAS[[#This Row],[ADICIONALES]]+CATEGORIAS[[#This Row],[POM]]+CATEGORIAS[[#This Row],[REAJUSTE 
PAGADO]]+CATEGORIAS[[#This Row],[REAJUSTE
PROYECTADO]]</f>
        <v>0</v>
      </c>
      <c r="M204" s="133">
        <v>0</v>
      </c>
      <c r="N204" s="222">
        <v>0</v>
      </c>
      <c r="O204" s="142">
        <f>+CATEGORIAS[[#This Row],[PRODUCCION
PARTIDAS
ORIGINALES
ACTUAL]]+CATEGORIAS[[#This Row],[PRODUCCION
ADICIONALES
ACTUAL]]</f>
        <v>0</v>
      </c>
      <c r="P204" s="222">
        <v>0</v>
      </c>
      <c r="Q204" s="222">
        <v>0</v>
      </c>
      <c r="R204" s="141">
        <f>+CATEGORIAS[[#This Row],[PRODUCCION
ANTERIOR]]+CATEGORIAS[[#This Row],[PRODUCCION
ADICIONALES
ANTERIOR]]</f>
        <v>0</v>
      </c>
      <c r="S204" s="135">
        <v>0</v>
      </c>
      <c r="T204" s="135"/>
      <c r="U204" s="135">
        <v>0</v>
      </c>
      <c r="V204" s="262">
        <f>SUM(CATEGORIAS[[#This Row],[COSTO
ACUMULADO  AX]:[PROVISIONES]])</f>
        <v>0</v>
      </c>
      <c r="W204" s="264">
        <v>0</v>
      </c>
      <c r="X204" s="222"/>
      <c r="Y204" s="222">
        <v>0</v>
      </c>
      <c r="Z204" s="263">
        <f>SUM(CATEGORIAS[[#This Row],[COSTO ACUMULADO
ANTERIOR]:[PROVISIONES
ANTERIOR]])</f>
        <v>0</v>
      </c>
      <c r="AA204" s="338">
        <f>ABS(+CATEGORIAS[[#This Row],[PRESUPUESTO
FINAL
PROYECTADO]]-CATEGORIAS[[#This Row],[TOTAL PRODUCCION
ACTUAL]])</f>
        <v>0</v>
      </c>
      <c r="AB204" s="222"/>
      <c r="AC204" s="134"/>
      <c r="AD204" s="134">
        <v>0</v>
      </c>
      <c r="AE204" s="221">
        <f>SUM(CATEGORIAS[[#This Row],[INVENTARIO]:[PROYECCION
DE COSTO
DEL SALDO]])</f>
        <v>0</v>
      </c>
      <c r="AF204" s="134"/>
      <c r="AG204" s="134">
        <f>+CATEGORIAS[[#This Row],[PRESUPUESTO
FINAL
PROYECTADO]]-CATEGORIAS[[#This Row],[COSTO REAL]]-CATEGORIAS[[#This Row],[PROYECCION
TOTAL DE COSTO]]</f>
        <v>0</v>
      </c>
    </row>
    <row r="205" spans="1:33" x14ac:dyDescent="0.25">
      <c r="A205" s="245"/>
      <c r="B205" s="245"/>
      <c r="C205" s="245"/>
      <c r="D205" s="323" t="s">
        <v>1941</v>
      </c>
      <c r="E205" s="244" t="s">
        <v>772</v>
      </c>
      <c r="F205" s="246" t="s">
        <v>376</v>
      </c>
      <c r="G205" s="279">
        <v>0</v>
      </c>
      <c r="H205" s="279">
        <v>0</v>
      </c>
      <c r="I205" s="132">
        <v>0</v>
      </c>
      <c r="J205" s="132">
        <v>0</v>
      </c>
      <c r="K205" s="132">
        <v>0</v>
      </c>
      <c r="L205" s="144">
        <f>CATEGORIAS[[#This Row],[ADICIONALES]]+CATEGORIAS[[#This Row],[POM]]+CATEGORIAS[[#This Row],[REAJUSTE 
PAGADO]]+CATEGORIAS[[#This Row],[REAJUSTE
PROYECTADO]]</f>
        <v>0</v>
      </c>
      <c r="M205" s="133">
        <v>0</v>
      </c>
      <c r="N205" s="222">
        <v>0</v>
      </c>
      <c r="O205" s="142">
        <f>+CATEGORIAS[[#This Row],[PRODUCCION
PARTIDAS
ORIGINALES
ACTUAL]]+CATEGORIAS[[#This Row],[PRODUCCION
ADICIONALES
ACTUAL]]</f>
        <v>0</v>
      </c>
      <c r="P205" s="222">
        <v>0</v>
      </c>
      <c r="Q205" s="134">
        <v>0</v>
      </c>
      <c r="R205" s="141">
        <f>+CATEGORIAS[[#This Row],[PRODUCCION
ANTERIOR]]+CATEGORIAS[[#This Row],[PRODUCCION
ADICIONALES
ANTERIOR]]</f>
        <v>0</v>
      </c>
      <c r="S205" s="135">
        <v>0</v>
      </c>
      <c r="T205" s="135"/>
      <c r="U205" s="135">
        <v>0</v>
      </c>
      <c r="V205" s="262">
        <f>SUM(CATEGORIAS[[#This Row],[COSTO
ACUMULADO  AX]:[PROVISIONES]])</f>
        <v>0</v>
      </c>
      <c r="W205" s="264">
        <v>0</v>
      </c>
      <c r="X205" s="222"/>
      <c r="Y205" s="222">
        <v>0</v>
      </c>
      <c r="Z205" s="263">
        <f>SUM(CATEGORIAS[[#This Row],[COSTO ACUMULADO
ANTERIOR]:[PROVISIONES
ANTERIOR]])</f>
        <v>0</v>
      </c>
      <c r="AA205" s="338">
        <f>ABS(+CATEGORIAS[[#This Row],[PRESUPUESTO
FINAL
PROYECTADO]]-CATEGORIAS[[#This Row],[TOTAL PRODUCCION
ACTUAL]])</f>
        <v>0</v>
      </c>
      <c r="AB205" s="222"/>
      <c r="AC205" s="134"/>
      <c r="AD205" s="134">
        <v>0</v>
      </c>
      <c r="AE205" s="221">
        <f>SUM(CATEGORIAS[[#This Row],[INVENTARIO]:[PROYECCION
DE COSTO
DEL SALDO]])</f>
        <v>0</v>
      </c>
      <c r="AF205" s="134"/>
      <c r="AG205" s="134">
        <f>+CATEGORIAS[[#This Row],[PRESUPUESTO
FINAL
PROYECTADO]]-CATEGORIAS[[#This Row],[COSTO REAL]]-CATEGORIAS[[#This Row],[PROYECCION
TOTAL DE COSTO]]</f>
        <v>0</v>
      </c>
    </row>
    <row r="206" spans="1:33" x14ac:dyDescent="0.25">
      <c r="A206" s="245"/>
      <c r="B206" s="245"/>
      <c r="C206" s="245"/>
      <c r="D206" s="323" t="s">
        <v>1942</v>
      </c>
      <c r="E206" s="244" t="s">
        <v>774</v>
      </c>
      <c r="F206" s="246" t="s">
        <v>376</v>
      </c>
      <c r="G206" s="279">
        <v>0</v>
      </c>
      <c r="H206" s="279">
        <v>0</v>
      </c>
      <c r="I206" s="132">
        <v>0</v>
      </c>
      <c r="J206" s="132">
        <v>0</v>
      </c>
      <c r="K206" s="132">
        <v>0</v>
      </c>
      <c r="L206" s="144">
        <f>CATEGORIAS[[#This Row],[ADICIONALES]]+CATEGORIAS[[#This Row],[POM]]+CATEGORIAS[[#This Row],[REAJUSTE 
PAGADO]]+CATEGORIAS[[#This Row],[REAJUSTE
PROYECTADO]]</f>
        <v>0</v>
      </c>
      <c r="M206" s="133">
        <v>0</v>
      </c>
      <c r="N206" s="222">
        <v>0</v>
      </c>
      <c r="O206" s="142">
        <f>+CATEGORIAS[[#This Row],[PRODUCCION
PARTIDAS
ORIGINALES
ACTUAL]]+CATEGORIAS[[#This Row],[PRODUCCION
ADICIONALES
ACTUAL]]</f>
        <v>0</v>
      </c>
      <c r="P206" s="222">
        <v>0</v>
      </c>
      <c r="Q206" s="222">
        <v>0</v>
      </c>
      <c r="R206" s="141">
        <f>+CATEGORIAS[[#This Row],[PRODUCCION
ANTERIOR]]+CATEGORIAS[[#This Row],[PRODUCCION
ADICIONALES
ANTERIOR]]</f>
        <v>0</v>
      </c>
      <c r="S206" s="135">
        <v>0</v>
      </c>
      <c r="T206" s="135"/>
      <c r="U206" s="135">
        <v>0</v>
      </c>
      <c r="V206" s="262">
        <f>SUM(CATEGORIAS[[#This Row],[COSTO
ACUMULADO  AX]:[PROVISIONES]])</f>
        <v>0</v>
      </c>
      <c r="W206" s="264">
        <v>0</v>
      </c>
      <c r="X206" s="222"/>
      <c r="Y206" s="222">
        <v>0</v>
      </c>
      <c r="Z206" s="263">
        <f>SUM(CATEGORIAS[[#This Row],[COSTO ACUMULADO
ANTERIOR]:[PROVISIONES
ANTERIOR]])</f>
        <v>0</v>
      </c>
      <c r="AA206" s="338">
        <f>ABS(+CATEGORIAS[[#This Row],[PRESUPUESTO
FINAL
PROYECTADO]]-CATEGORIAS[[#This Row],[TOTAL PRODUCCION
ACTUAL]])</f>
        <v>0</v>
      </c>
      <c r="AB206" s="222"/>
      <c r="AC206" s="134"/>
      <c r="AD206" s="134">
        <v>0</v>
      </c>
      <c r="AE206" s="221">
        <f>SUM(CATEGORIAS[[#This Row],[INVENTARIO]:[PROYECCION
DE COSTO
DEL SALDO]])</f>
        <v>0</v>
      </c>
      <c r="AF206" s="134"/>
      <c r="AG206" s="134">
        <f>+CATEGORIAS[[#This Row],[PRESUPUESTO
FINAL
PROYECTADO]]-CATEGORIAS[[#This Row],[COSTO REAL]]-CATEGORIAS[[#This Row],[PROYECCION
TOTAL DE COSTO]]</f>
        <v>0</v>
      </c>
    </row>
    <row r="207" spans="1:33" x14ac:dyDescent="0.25">
      <c r="A207" s="245"/>
      <c r="B207" s="245"/>
      <c r="C207" s="245"/>
      <c r="D207" s="323" t="s">
        <v>1943</v>
      </c>
      <c r="E207" s="244" t="s">
        <v>776</v>
      </c>
      <c r="F207" s="246" t="s">
        <v>376</v>
      </c>
      <c r="G207" s="279">
        <v>0</v>
      </c>
      <c r="H207" s="279">
        <v>0</v>
      </c>
      <c r="I207" s="132">
        <v>0</v>
      </c>
      <c r="J207" s="132">
        <v>0</v>
      </c>
      <c r="K207" s="132">
        <v>0</v>
      </c>
      <c r="L207" s="144">
        <f>CATEGORIAS[[#This Row],[ADICIONALES]]+CATEGORIAS[[#This Row],[POM]]+CATEGORIAS[[#This Row],[REAJUSTE 
PAGADO]]+CATEGORIAS[[#This Row],[REAJUSTE
PROYECTADO]]</f>
        <v>0</v>
      </c>
      <c r="M207" s="133">
        <v>0</v>
      </c>
      <c r="N207" s="222">
        <v>0</v>
      </c>
      <c r="O207" s="142">
        <f>+CATEGORIAS[[#This Row],[PRODUCCION
PARTIDAS
ORIGINALES
ACTUAL]]+CATEGORIAS[[#This Row],[PRODUCCION
ADICIONALES
ACTUAL]]</f>
        <v>0</v>
      </c>
      <c r="P207" s="222">
        <v>0</v>
      </c>
      <c r="Q207" s="134">
        <v>0</v>
      </c>
      <c r="R207" s="141">
        <f>+CATEGORIAS[[#This Row],[PRODUCCION
ANTERIOR]]+CATEGORIAS[[#This Row],[PRODUCCION
ADICIONALES
ANTERIOR]]</f>
        <v>0</v>
      </c>
      <c r="S207" s="135">
        <v>0</v>
      </c>
      <c r="T207" s="135"/>
      <c r="U207" s="135">
        <v>0</v>
      </c>
      <c r="V207" s="262">
        <f>SUM(CATEGORIAS[[#This Row],[COSTO
ACUMULADO  AX]:[PROVISIONES]])</f>
        <v>0</v>
      </c>
      <c r="W207" s="264">
        <v>0</v>
      </c>
      <c r="X207" s="222"/>
      <c r="Y207" s="222">
        <v>0</v>
      </c>
      <c r="Z207" s="263">
        <f>SUM(CATEGORIAS[[#This Row],[COSTO ACUMULADO
ANTERIOR]:[PROVISIONES
ANTERIOR]])</f>
        <v>0</v>
      </c>
      <c r="AA207" s="338">
        <f>ABS(+CATEGORIAS[[#This Row],[PRESUPUESTO
FINAL
PROYECTADO]]-CATEGORIAS[[#This Row],[TOTAL PRODUCCION
ACTUAL]])</f>
        <v>0</v>
      </c>
      <c r="AB207" s="222"/>
      <c r="AC207" s="134"/>
      <c r="AD207" s="134">
        <v>0</v>
      </c>
      <c r="AE207" s="221">
        <f>SUM(CATEGORIAS[[#This Row],[INVENTARIO]:[PROYECCION
DE COSTO
DEL SALDO]])</f>
        <v>0</v>
      </c>
      <c r="AF207" s="134"/>
      <c r="AG207" s="134">
        <f>+CATEGORIAS[[#This Row],[PRESUPUESTO
FINAL
PROYECTADO]]-CATEGORIAS[[#This Row],[COSTO REAL]]-CATEGORIAS[[#This Row],[PROYECCION
TOTAL DE COSTO]]</f>
        <v>0</v>
      </c>
    </row>
    <row r="208" spans="1:33" x14ac:dyDescent="0.25">
      <c r="A208" s="245"/>
      <c r="B208" s="245"/>
      <c r="C208" s="245"/>
      <c r="D208" s="323" t="s">
        <v>1944</v>
      </c>
      <c r="E208" s="244" t="s">
        <v>778</v>
      </c>
      <c r="F208" s="246" t="s">
        <v>376</v>
      </c>
      <c r="G208" s="279">
        <v>0</v>
      </c>
      <c r="H208" s="279">
        <v>0</v>
      </c>
      <c r="I208" s="132">
        <v>0</v>
      </c>
      <c r="J208" s="132">
        <v>0</v>
      </c>
      <c r="K208" s="132">
        <v>0</v>
      </c>
      <c r="L208" s="144">
        <f>CATEGORIAS[[#This Row],[ADICIONALES]]+CATEGORIAS[[#This Row],[POM]]+CATEGORIAS[[#This Row],[REAJUSTE 
PAGADO]]+CATEGORIAS[[#This Row],[REAJUSTE
PROYECTADO]]</f>
        <v>0</v>
      </c>
      <c r="M208" s="133">
        <v>0</v>
      </c>
      <c r="N208" s="222">
        <v>0</v>
      </c>
      <c r="O208" s="142">
        <f>+CATEGORIAS[[#This Row],[PRODUCCION
PARTIDAS
ORIGINALES
ACTUAL]]+CATEGORIAS[[#This Row],[PRODUCCION
ADICIONALES
ACTUAL]]</f>
        <v>0</v>
      </c>
      <c r="P208" s="222">
        <v>0</v>
      </c>
      <c r="Q208" s="222">
        <v>0</v>
      </c>
      <c r="R208" s="141">
        <f>+CATEGORIAS[[#This Row],[PRODUCCION
ANTERIOR]]+CATEGORIAS[[#This Row],[PRODUCCION
ADICIONALES
ANTERIOR]]</f>
        <v>0</v>
      </c>
      <c r="S208" s="135">
        <v>0</v>
      </c>
      <c r="T208" s="135"/>
      <c r="U208" s="135">
        <v>0</v>
      </c>
      <c r="V208" s="262">
        <f>SUM(CATEGORIAS[[#This Row],[COSTO
ACUMULADO  AX]:[PROVISIONES]])</f>
        <v>0</v>
      </c>
      <c r="W208" s="264">
        <v>0</v>
      </c>
      <c r="X208" s="222"/>
      <c r="Y208" s="222">
        <v>0</v>
      </c>
      <c r="Z208" s="263">
        <f>SUM(CATEGORIAS[[#This Row],[COSTO ACUMULADO
ANTERIOR]:[PROVISIONES
ANTERIOR]])</f>
        <v>0</v>
      </c>
      <c r="AA208" s="338">
        <f>ABS(+CATEGORIAS[[#This Row],[PRESUPUESTO
FINAL
PROYECTADO]]-CATEGORIAS[[#This Row],[TOTAL PRODUCCION
ACTUAL]])</f>
        <v>0</v>
      </c>
      <c r="AB208" s="222"/>
      <c r="AC208" s="134"/>
      <c r="AD208" s="134">
        <v>0</v>
      </c>
      <c r="AE208" s="221">
        <f>SUM(CATEGORIAS[[#This Row],[INVENTARIO]:[PROYECCION
DE COSTO
DEL SALDO]])</f>
        <v>0</v>
      </c>
      <c r="AF208" s="134"/>
      <c r="AG208" s="134">
        <f>+CATEGORIAS[[#This Row],[PRESUPUESTO
FINAL
PROYECTADO]]-CATEGORIAS[[#This Row],[COSTO REAL]]-CATEGORIAS[[#This Row],[PROYECCION
TOTAL DE COSTO]]</f>
        <v>0</v>
      </c>
    </row>
    <row r="209" spans="1:33" x14ac:dyDescent="0.25">
      <c r="A209" s="245"/>
      <c r="B209" s="245"/>
      <c r="C209" s="245"/>
      <c r="D209" s="323" t="s">
        <v>1945</v>
      </c>
      <c r="E209" s="244" t="s">
        <v>780</v>
      </c>
      <c r="F209" s="246" t="s">
        <v>376</v>
      </c>
      <c r="G209" s="279">
        <v>0</v>
      </c>
      <c r="H209" s="279">
        <v>0</v>
      </c>
      <c r="I209" s="132">
        <v>0</v>
      </c>
      <c r="J209" s="132">
        <v>0</v>
      </c>
      <c r="K209" s="132">
        <v>0</v>
      </c>
      <c r="L209" s="144">
        <f>CATEGORIAS[[#This Row],[ADICIONALES]]+CATEGORIAS[[#This Row],[POM]]+CATEGORIAS[[#This Row],[REAJUSTE 
PAGADO]]+CATEGORIAS[[#This Row],[REAJUSTE
PROYECTADO]]</f>
        <v>0</v>
      </c>
      <c r="M209" s="133">
        <v>0</v>
      </c>
      <c r="N209" s="222">
        <v>0</v>
      </c>
      <c r="O209" s="142">
        <f>+CATEGORIAS[[#This Row],[PRODUCCION
PARTIDAS
ORIGINALES
ACTUAL]]+CATEGORIAS[[#This Row],[PRODUCCION
ADICIONALES
ACTUAL]]</f>
        <v>0</v>
      </c>
      <c r="P209" s="222">
        <v>0</v>
      </c>
      <c r="Q209" s="134">
        <v>0</v>
      </c>
      <c r="R209" s="141">
        <f>+CATEGORIAS[[#This Row],[PRODUCCION
ANTERIOR]]+CATEGORIAS[[#This Row],[PRODUCCION
ADICIONALES
ANTERIOR]]</f>
        <v>0</v>
      </c>
      <c r="S209" s="135">
        <v>0</v>
      </c>
      <c r="T209" s="135"/>
      <c r="U209" s="135">
        <v>0</v>
      </c>
      <c r="V209" s="262">
        <f>SUM(CATEGORIAS[[#This Row],[COSTO
ACUMULADO  AX]:[PROVISIONES]])</f>
        <v>0</v>
      </c>
      <c r="W209" s="264">
        <v>0</v>
      </c>
      <c r="X209" s="222"/>
      <c r="Y209" s="222">
        <v>0</v>
      </c>
      <c r="Z209" s="263">
        <f>SUM(CATEGORIAS[[#This Row],[COSTO ACUMULADO
ANTERIOR]:[PROVISIONES
ANTERIOR]])</f>
        <v>0</v>
      </c>
      <c r="AA209" s="338">
        <f>ABS(+CATEGORIAS[[#This Row],[PRESUPUESTO
FINAL
PROYECTADO]]-CATEGORIAS[[#This Row],[TOTAL PRODUCCION
ACTUAL]])</f>
        <v>0</v>
      </c>
      <c r="AB209" s="222"/>
      <c r="AC209" s="134"/>
      <c r="AD209" s="134">
        <v>0</v>
      </c>
      <c r="AE209" s="221">
        <f>SUM(CATEGORIAS[[#This Row],[INVENTARIO]:[PROYECCION
DE COSTO
DEL SALDO]])</f>
        <v>0</v>
      </c>
      <c r="AF209" s="134"/>
      <c r="AG209" s="134">
        <f>+CATEGORIAS[[#This Row],[PRESUPUESTO
FINAL
PROYECTADO]]-CATEGORIAS[[#This Row],[COSTO REAL]]-CATEGORIAS[[#This Row],[PROYECCION
TOTAL DE COSTO]]</f>
        <v>0</v>
      </c>
    </row>
    <row r="210" spans="1:33" x14ac:dyDescent="0.25">
      <c r="A210" s="245"/>
      <c r="B210" s="245"/>
      <c r="C210" s="245"/>
      <c r="D210" s="323" t="s">
        <v>1946</v>
      </c>
      <c r="E210" s="244" t="s">
        <v>782</v>
      </c>
      <c r="F210" s="246" t="s">
        <v>376</v>
      </c>
      <c r="G210" s="279">
        <v>0</v>
      </c>
      <c r="H210" s="279">
        <v>0</v>
      </c>
      <c r="I210" s="132">
        <v>0</v>
      </c>
      <c r="J210" s="132">
        <v>0</v>
      </c>
      <c r="K210" s="132">
        <v>0</v>
      </c>
      <c r="L210" s="144">
        <f>CATEGORIAS[[#This Row],[ADICIONALES]]+CATEGORIAS[[#This Row],[POM]]+CATEGORIAS[[#This Row],[REAJUSTE 
PAGADO]]+CATEGORIAS[[#This Row],[REAJUSTE
PROYECTADO]]</f>
        <v>0</v>
      </c>
      <c r="M210" s="133">
        <v>0</v>
      </c>
      <c r="N210" s="222">
        <v>0</v>
      </c>
      <c r="O210" s="142">
        <f>+CATEGORIAS[[#This Row],[PRODUCCION
PARTIDAS
ORIGINALES
ACTUAL]]+CATEGORIAS[[#This Row],[PRODUCCION
ADICIONALES
ACTUAL]]</f>
        <v>0</v>
      </c>
      <c r="P210" s="222">
        <v>0</v>
      </c>
      <c r="Q210" s="222">
        <v>0</v>
      </c>
      <c r="R210" s="141">
        <f>+CATEGORIAS[[#This Row],[PRODUCCION
ANTERIOR]]+CATEGORIAS[[#This Row],[PRODUCCION
ADICIONALES
ANTERIOR]]</f>
        <v>0</v>
      </c>
      <c r="S210" s="135">
        <v>0</v>
      </c>
      <c r="T210" s="135"/>
      <c r="U210" s="135">
        <v>0</v>
      </c>
      <c r="V210" s="262">
        <f>SUM(CATEGORIAS[[#This Row],[COSTO
ACUMULADO  AX]:[PROVISIONES]])</f>
        <v>0</v>
      </c>
      <c r="W210" s="264">
        <v>0</v>
      </c>
      <c r="X210" s="222"/>
      <c r="Y210" s="222">
        <v>0</v>
      </c>
      <c r="Z210" s="263">
        <f>SUM(CATEGORIAS[[#This Row],[COSTO ACUMULADO
ANTERIOR]:[PROVISIONES
ANTERIOR]])</f>
        <v>0</v>
      </c>
      <c r="AA210" s="338">
        <f>ABS(+CATEGORIAS[[#This Row],[PRESUPUESTO
FINAL
PROYECTADO]]-CATEGORIAS[[#This Row],[TOTAL PRODUCCION
ACTUAL]])</f>
        <v>0</v>
      </c>
      <c r="AB210" s="222"/>
      <c r="AC210" s="134"/>
      <c r="AD210" s="134">
        <v>0</v>
      </c>
      <c r="AE210" s="221">
        <f>SUM(CATEGORIAS[[#This Row],[INVENTARIO]:[PROYECCION
DE COSTO
DEL SALDO]])</f>
        <v>0</v>
      </c>
      <c r="AF210" s="134"/>
      <c r="AG210" s="134">
        <f>+CATEGORIAS[[#This Row],[PRESUPUESTO
FINAL
PROYECTADO]]-CATEGORIAS[[#This Row],[COSTO REAL]]-CATEGORIAS[[#This Row],[PROYECCION
TOTAL DE COSTO]]</f>
        <v>0</v>
      </c>
    </row>
    <row r="211" spans="1:33" x14ac:dyDescent="0.25">
      <c r="A211" s="245"/>
      <c r="B211" s="245"/>
      <c r="C211" s="245"/>
      <c r="D211" s="323" t="s">
        <v>1947</v>
      </c>
      <c r="E211" s="244" t="s">
        <v>784</v>
      </c>
      <c r="F211" s="246" t="s">
        <v>376</v>
      </c>
      <c r="G211" s="279">
        <v>0</v>
      </c>
      <c r="H211" s="279">
        <v>0</v>
      </c>
      <c r="I211" s="132">
        <v>0</v>
      </c>
      <c r="J211" s="132">
        <v>0</v>
      </c>
      <c r="K211" s="132">
        <v>0</v>
      </c>
      <c r="L211" s="144">
        <f>CATEGORIAS[[#This Row],[ADICIONALES]]+CATEGORIAS[[#This Row],[POM]]+CATEGORIAS[[#This Row],[REAJUSTE 
PAGADO]]+CATEGORIAS[[#This Row],[REAJUSTE
PROYECTADO]]</f>
        <v>0</v>
      </c>
      <c r="M211" s="133">
        <v>0</v>
      </c>
      <c r="N211" s="222">
        <v>0</v>
      </c>
      <c r="O211" s="142">
        <f>+CATEGORIAS[[#This Row],[PRODUCCION
PARTIDAS
ORIGINALES
ACTUAL]]+CATEGORIAS[[#This Row],[PRODUCCION
ADICIONALES
ACTUAL]]</f>
        <v>0</v>
      </c>
      <c r="P211" s="222">
        <v>0</v>
      </c>
      <c r="Q211" s="134">
        <v>0</v>
      </c>
      <c r="R211" s="141">
        <f>+CATEGORIAS[[#This Row],[PRODUCCION
ANTERIOR]]+CATEGORIAS[[#This Row],[PRODUCCION
ADICIONALES
ANTERIOR]]</f>
        <v>0</v>
      </c>
      <c r="S211" s="135">
        <v>0</v>
      </c>
      <c r="T211" s="135"/>
      <c r="U211" s="135">
        <v>0</v>
      </c>
      <c r="V211" s="262">
        <f>SUM(CATEGORIAS[[#This Row],[COSTO
ACUMULADO  AX]:[PROVISIONES]])</f>
        <v>0</v>
      </c>
      <c r="W211" s="264">
        <v>0</v>
      </c>
      <c r="X211" s="222"/>
      <c r="Y211" s="222">
        <v>0</v>
      </c>
      <c r="Z211" s="263">
        <f>SUM(CATEGORIAS[[#This Row],[COSTO ACUMULADO
ANTERIOR]:[PROVISIONES
ANTERIOR]])</f>
        <v>0</v>
      </c>
      <c r="AA211" s="338">
        <f>ABS(+CATEGORIAS[[#This Row],[PRESUPUESTO
FINAL
PROYECTADO]]-CATEGORIAS[[#This Row],[TOTAL PRODUCCION
ACTUAL]])</f>
        <v>0</v>
      </c>
      <c r="AB211" s="222"/>
      <c r="AC211" s="134"/>
      <c r="AD211" s="134">
        <v>0</v>
      </c>
      <c r="AE211" s="221">
        <f>SUM(CATEGORIAS[[#This Row],[INVENTARIO]:[PROYECCION
DE COSTO
DEL SALDO]])</f>
        <v>0</v>
      </c>
      <c r="AF211" s="134"/>
      <c r="AG211" s="134">
        <f>+CATEGORIAS[[#This Row],[PRESUPUESTO
FINAL
PROYECTADO]]-CATEGORIAS[[#This Row],[COSTO REAL]]-CATEGORIAS[[#This Row],[PROYECCION
TOTAL DE COSTO]]</f>
        <v>0</v>
      </c>
    </row>
    <row r="212" spans="1:33" x14ac:dyDescent="0.25">
      <c r="A212" s="245"/>
      <c r="B212" s="245"/>
      <c r="C212" s="245"/>
      <c r="D212" s="323" t="s">
        <v>1948</v>
      </c>
      <c r="E212" s="244" t="s">
        <v>786</v>
      </c>
      <c r="F212" s="246" t="s">
        <v>376</v>
      </c>
      <c r="G212" s="279">
        <v>0</v>
      </c>
      <c r="H212" s="279">
        <v>0</v>
      </c>
      <c r="I212" s="132">
        <v>0</v>
      </c>
      <c r="J212" s="132">
        <v>0</v>
      </c>
      <c r="K212" s="132">
        <v>0</v>
      </c>
      <c r="L212" s="144">
        <f>CATEGORIAS[[#This Row],[ADICIONALES]]+CATEGORIAS[[#This Row],[POM]]+CATEGORIAS[[#This Row],[REAJUSTE 
PAGADO]]+CATEGORIAS[[#This Row],[REAJUSTE
PROYECTADO]]</f>
        <v>0</v>
      </c>
      <c r="M212" s="133">
        <v>0</v>
      </c>
      <c r="N212" s="222">
        <v>0</v>
      </c>
      <c r="O212" s="142">
        <f>+CATEGORIAS[[#This Row],[PRODUCCION
PARTIDAS
ORIGINALES
ACTUAL]]+CATEGORIAS[[#This Row],[PRODUCCION
ADICIONALES
ACTUAL]]</f>
        <v>0</v>
      </c>
      <c r="P212" s="222">
        <v>0</v>
      </c>
      <c r="Q212" s="134">
        <v>0</v>
      </c>
      <c r="R212" s="141">
        <f>+CATEGORIAS[[#This Row],[PRODUCCION
ANTERIOR]]+CATEGORIAS[[#This Row],[PRODUCCION
ADICIONALES
ANTERIOR]]</f>
        <v>0</v>
      </c>
      <c r="S212" s="135">
        <v>0</v>
      </c>
      <c r="T212" s="135"/>
      <c r="U212" s="135">
        <v>0</v>
      </c>
      <c r="V212" s="262">
        <f>SUM(CATEGORIAS[[#This Row],[COSTO
ACUMULADO  AX]:[PROVISIONES]])</f>
        <v>0</v>
      </c>
      <c r="W212" s="264">
        <v>0</v>
      </c>
      <c r="X212" s="222"/>
      <c r="Y212" s="222">
        <v>0</v>
      </c>
      <c r="Z212" s="263">
        <f>SUM(CATEGORIAS[[#This Row],[COSTO ACUMULADO
ANTERIOR]:[PROVISIONES
ANTERIOR]])</f>
        <v>0</v>
      </c>
      <c r="AA212" s="338">
        <f>ABS(+CATEGORIAS[[#This Row],[PRESUPUESTO
FINAL
PROYECTADO]]-CATEGORIAS[[#This Row],[TOTAL PRODUCCION
ACTUAL]])</f>
        <v>0</v>
      </c>
      <c r="AB212" s="222"/>
      <c r="AC212" s="134"/>
      <c r="AD212" s="134">
        <v>0</v>
      </c>
      <c r="AE212" s="221">
        <f>SUM(CATEGORIAS[[#This Row],[INVENTARIO]:[PROYECCION
DE COSTO
DEL SALDO]])</f>
        <v>0</v>
      </c>
      <c r="AF212" s="134"/>
      <c r="AG212" s="134">
        <f>+CATEGORIAS[[#This Row],[PRESUPUESTO
FINAL
PROYECTADO]]-CATEGORIAS[[#This Row],[COSTO REAL]]-CATEGORIAS[[#This Row],[PROYECCION
TOTAL DE COSTO]]</f>
        <v>0</v>
      </c>
    </row>
    <row r="213" spans="1:33" x14ac:dyDescent="0.25">
      <c r="A213" s="245"/>
      <c r="B213" s="245"/>
      <c r="C213" s="245"/>
      <c r="D213" s="323" t="s">
        <v>1949</v>
      </c>
      <c r="E213" s="246" t="s">
        <v>788</v>
      </c>
      <c r="F213" s="246" t="s">
        <v>376</v>
      </c>
      <c r="G213" s="279">
        <v>0</v>
      </c>
      <c r="H213" s="279">
        <v>0</v>
      </c>
      <c r="I213" s="132">
        <v>0</v>
      </c>
      <c r="J213" s="132">
        <v>0</v>
      </c>
      <c r="K213" s="132">
        <v>0</v>
      </c>
      <c r="L213" s="144">
        <f>CATEGORIAS[[#This Row],[ADICIONALES]]+CATEGORIAS[[#This Row],[POM]]+CATEGORIAS[[#This Row],[REAJUSTE 
PAGADO]]+CATEGORIAS[[#This Row],[REAJUSTE
PROYECTADO]]</f>
        <v>0</v>
      </c>
      <c r="M213" s="133">
        <v>0</v>
      </c>
      <c r="N213" s="222">
        <v>0</v>
      </c>
      <c r="O213" s="142">
        <f>+CATEGORIAS[[#This Row],[PRODUCCION
PARTIDAS
ORIGINALES
ACTUAL]]+CATEGORIAS[[#This Row],[PRODUCCION
ADICIONALES
ACTUAL]]</f>
        <v>0</v>
      </c>
      <c r="P213" s="222">
        <v>0</v>
      </c>
      <c r="Q213" s="222">
        <v>0</v>
      </c>
      <c r="R213" s="141">
        <f>+CATEGORIAS[[#This Row],[PRODUCCION
ANTERIOR]]+CATEGORIAS[[#This Row],[PRODUCCION
ADICIONALES
ANTERIOR]]</f>
        <v>0</v>
      </c>
      <c r="S213" s="135">
        <v>0</v>
      </c>
      <c r="T213" s="135"/>
      <c r="U213" s="135">
        <v>0</v>
      </c>
      <c r="V213" s="262">
        <f>SUM(CATEGORIAS[[#This Row],[COSTO
ACUMULADO  AX]:[PROVISIONES]])</f>
        <v>0</v>
      </c>
      <c r="W213" s="264">
        <v>0</v>
      </c>
      <c r="X213" s="222"/>
      <c r="Y213" s="222">
        <v>0</v>
      </c>
      <c r="Z213" s="263">
        <f>SUM(CATEGORIAS[[#This Row],[COSTO ACUMULADO
ANTERIOR]:[PROVISIONES
ANTERIOR]])</f>
        <v>0</v>
      </c>
      <c r="AA213" s="338">
        <f>ABS(+CATEGORIAS[[#This Row],[PRESUPUESTO
FINAL
PROYECTADO]]-CATEGORIAS[[#This Row],[TOTAL PRODUCCION
ACTUAL]])</f>
        <v>0</v>
      </c>
      <c r="AB213" s="222"/>
      <c r="AC213" s="134"/>
      <c r="AD213" s="134">
        <v>0</v>
      </c>
      <c r="AE213" s="221">
        <f>SUM(CATEGORIAS[[#This Row],[INVENTARIO]:[PROYECCION
DE COSTO
DEL SALDO]])</f>
        <v>0</v>
      </c>
      <c r="AF213" s="134"/>
      <c r="AG213" s="134">
        <f>+CATEGORIAS[[#This Row],[PRESUPUESTO
FINAL
PROYECTADO]]-CATEGORIAS[[#This Row],[COSTO REAL]]-CATEGORIAS[[#This Row],[PROYECCION
TOTAL DE COSTO]]</f>
        <v>0</v>
      </c>
    </row>
    <row r="214" spans="1:33" x14ac:dyDescent="0.25">
      <c r="A214" s="245"/>
      <c r="B214" s="245"/>
      <c r="C214" s="245"/>
      <c r="D214" s="323" t="s">
        <v>1950</v>
      </c>
      <c r="E214" s="244" t="s">
        <v>790</v>
      </c>
      <c r="F214" s="246" t="s">
        <v>376</v>
      </c>
      <c r="G214" s="279">
        <v>0</v>
      </c>
      <c r="H214" s="279">
        <v>0</v>
      </c>
      <c r="I214" s="132">
        <v>0</v>
      </c>
      <c r="J214" s="132">
        <v>0</v>
      </c>
      <c r="K214" s="132">
        <v>0</v>
      </c>
      <c r="L214" s="144">
        <f>CATEGORIAS[[#This Row],[ADICIONALES]]+CATEGORIAS[[#This Row],[POM]]+CATEGORIAS[[#This Row],[REAJUSTE 
PAGADO]]+CATEGORIAS[[#This Row],[REAJUSTE
PROYECTADO]]</f>
        <v>0</v>
      </c>
      <c r="M214" s="133">
        <v>0</v>
      </c>
      <c r="N214" s="222">
        <v>0</v>
      </c>
      <c r="O214" s="142">
        <f>+CATEGORIAS[[#This Row],[PRODUCCION
PARTIDAS
ORIGINALES
ACTUAL]]+CATEGORIAS[[#This Row],[PRODUCCION
ADICIONALES
ACTUAL]]</f>
        <v>0</v>
      </c>
      <c r="P214" s="222">
        <v>0</v>
      </c>
      <c r="Q214" s="222">
        <v>0</v>
      </c>
      <c r="R214" s="141">
        <f>+CATEGORIAS[[#This Row],[PRODUCCION
ANTERIOR]]+CATEGORIAS[[#This Row],[PRODUCCION
ADICIONALES
ANTERIOR]]</f>
        <v>0</v>
      </c>
      <c r="S214" s="135">
        <v>0</v>
      </c>
      <c r="T214" s="135"/>
      <c r="U214" s="135">
        <v>0</v>
      </c>
      <c r="V214" s="262">
        <f>SUM(CATEGORIAS[[#This Row],[COSTO
ACUMULADO  AX]:[PROVISIONES]])</f>
        <v>0</v>
      </c>
      <c r="W214" s="264">
        <v>0</v>
      </c>
      <c r="X214" s="222"/>
      <c r="Y214" s="222">
        <v>0</v>
      </c>
      <c r="Z214" s="263">
        <f>SUM(CATEGORIAS[[#This Row],[COSTO ACUMULADO
ANTERIOR]:[PROVISIONES
ANTERIOR]])</f>
        <v>0</v>
      </c>
      <c r="AA214" s="338">
        <f>ABS(+CATEGORIAS[[#This Row],[PRESUPUESTO
FINAL
PROYECTADO]]-CATEGORIAS[[#This Row],[TOTAL PRODUCCION
ACTUAL]])</f>
        <v>0</v>
      </c>
      <c r="AB214" s="222"/>
      <c r="AC214" s="134"/>
      <c r="AD214" s="134">
        <v>0</v>
      </c>
      <c r="AE214" s="221">
        <f>SUM(CATEGORIAS[[#This Row],[INVENTARIO]:[PROYECCION
DE COSTO
DEL SALDO]])</f>
        <v>0</v>
      </c>
      <c r="AF214" s="134"/>
      <c r="AG214" s="134">
        <f>+CATEGORIAS[[#This Row],[PRESUPUESTO
FINAL
PROYECTADO]]-CATEGORIAS[[#This Row],[COSTO REAL]]-CATEGORIAS[[#This Row],[PROYECCION
TOTAL DE COSTO]]</f>
        <v>0</v>
      </c>
    </row>
    <row r="215" spans="1:33" x14ac:dyDescent="0.25">
      <c r="A215" s="245"/>
      <c r="B215" s="245"/>
      <c r="C215" s="245"/>
      <c r="D215" s="323" t="s">
        <v>1951</v>
      </c>
      <c r="E215" s="244" t="s">
        <v>792</v>
      </c>
      <c r="F215" s="246" t="s">
        <v>376</v>
      </c>
      <c r="G215" s="279">
        <v>0</v>
      </c>
      <c r="H215" s="279">
        <v>0</v>
      </c>
      <c r="I215" s="132">
        <v>0</v>
      </c>
      <c r="J215" s="132">
        <v>0</v>
      </c>
      <c r="K215" s="132">
        <v>0</v>
      </c>
      <c r="L215" s="144">
        <f>CATEGORIAS[[#This Row],[ADICIONALES]]+CATEGORIAS[[#This Row],[POM]]+CATEGORIAS[[#This Row],[REAJUSTE 
PAGADO]]+CATEGORIAS[[#This Row],[REAJUSTE
PROYECTADO]]</f>
        <v>0</v>
      </c>
      <c r="M215" s="133">
        <v>0</v>
      </c>
      <c r="N215" s="222">
        <v>0</v>
      </c>
      <c r="O215" s="142">
        <f>+CATEGORIAS[[#This Row],[PRODUCCION
PARTIDAS
ORIGINALES
ACTUAL]]+CATEGORIAS[[#This Row],[PRODUCCION
ADICIONALES
ACTUAL]]</f>
        <v>0</v>
      </c>
      <c r="P215" s="222">
        <v>0</v>
      </c>
      <c r="Q215" s="134">
        <v>0</v>
      </c>
      <c r="R215" s="141">
        <f>+CATEGORIAS[[#This Row],[PRODUCCION
ANTERIOR]]+CATEGORIAS[[#This Row],[PRODUCCION
ADICIONALES
ANTERIOR]]</f>
        <v>0</v>
      </c>
      <c r="S215" s="135">
        <v>0</v>
      </c>
      <c r="T215" s="135"/>
      <c r="U215" s="135">
        <v>0</v>
      </c>
      <c r="V215" s="262">
        <f>SUM(CATEGORIAS[[#This Row],[COSTO
ACUMULADO  AX]:[PROVISIONES]])</f>
        <v>0</v>
      </c>
      <c r="W215" s="264">
        <v>0</v>
      </c>
      <c r="X215" s="222"/>
      <c r="Y215" s="222">
        <v>0</v>
      </c>
      <c r="Z215" s="263">
        <f>SUM(CATEGORIAS[[#This Row],[COSTO ACUMULADO
ANTERIOR]:[PROVISIONES
ANTERIOR]])</f>
        <v>0</v>
      </c>
      <c r="AA215" s="338">
        <f>ABS(+CATEGORIAS[[#This Row],[PRESUPUESTO
FINAL
PROYECTADO]]-CATEGORIAS[[#This Row],[TOTAL PRODUCCION
ACTUAL]])</f>
        <v>0</v>
      </c>
      <c r="AB215" s="222"/>
      <c r="AC215" s="134"/>
      <c r="AD215" s="134">
        <v>0</v>
      </c>
      <c r="AE215" s="221">
        <f>SUM(CATEGORIAS[[#This Row],[INVENTARIO]:[PROYECCION
DE COSTO
DEL SALDO]])</f>
        <v>0</v>
      </c>
      <c r="AF215" s="134"/>
      <c r="AG215" s="134">
        <f>+CATEGORIAS[[#This Row],[PRESUPUESTO
FINAL
PROYECTADO]]-CATEGORIAS[[#This Row],[COSTO REAL]]-CATEGORIAS[[#This Row],[PROYECCION
TOTAL DE COSTO]]</f>
        <v>0</v>
      </c>
    </row>
    <row r="216" spans="1:33" x14ac:dyDescent="0.25">
      <c r="A216" s="245"/>
      <c r="B216" s="245"/>
      <c r="C216" s="245"/>
      <c r="D216" s="323" t="s">
        <v>1952</v>
      </c>
      <c r="E216" s="244" t="s">
        <v>794</v>
      </c>
      <c r="F216" s="246" t="s">
        <v>376</v>
      </c>
      <c r="G216" s="279">
        <v>0</v>
      </c>
      <c r="H216" s="279">
        <v>0</v>
      </c>
      <c r="I216" s="132">
        <v>0</v>
      </c>
      <c r="J216" s="132">
        <v>0</v>
      </c>
      <c r="K216" s="132">
        <v>0</v>
      </c>
      <c r="L216" s="144">
        <f>CATEGORIAS[[#This Row],[ADICIONALES]]+CATEGORIAS[[#This Row],[POM]]+CATEGORIAS[[#This Row],[REAJUSTE 
PAGADO]]+CATEGORIAS[[#This Row],[REAJUSTE
PROYECTADO]]</f>
        <v>0</v>
      </c>
      <c r="M216" s="133">
        <v>0</v>
      </c>
      <c r="N216" s="222">
        <v>0</v>
      </c>
      <c r="O216" s="142">
        <f>+CATEGORIAS[[#This Row],[PRODUCCION
PARTIDAS
ORIGINALES
ACTUAL]]+CATEGORIAS[[#This Row],[PRODUCCION
ADICIONALES
ACTUAL]]</f>
        <v>0</v>
      </c>
      <c r="P216" s="222">
        <v>0</v>
      </c>
      <c r="Q216" s="222">
        <v>0</v>
      </c>
      <c r="R216" s="141">
        <f>+CATEGORIAS[[#This Row],[PRODUCCION
ANTERIOR]]+CATEGORIAS[[#This Row],[PRODUCCION
ADICIONALES
ANTERIOR]]</f>
        <v>0</v>
      </c>
      <c r="S216" s="135">
        <v>0</v>
      </c>
      <c r="T216" s="135"/>
      <c r="U216" s="135">
        <v>0</v>
      </c>
      <c r="V216" s="262">
        <f>SUM(CATEGORIAS[[#This Row],[COSTO
ACUMULADO  AX]:[PROVISIONES]])</f>
        <v>0</v>
      </c>
      <c r="W216" s="264">
        <v>0</v>
      </c>
      <c r="X216" s="222"/>
      <c r="Y216" s="222">
        <v>0</v>
      </c>
      <c r="Z216" s="263">
        <f>SUM(CATEGORIAS[[#This Row],[COSTO ACUMULADO
ANTERIOR]:[PROVISIONES
ANTERIOR]])</f>
        <v>0</v>
      </c>
      <c r="AA216" s="338">
        <f>ABS(+CATEGORIAS[[#This Row],[PRESUPUESTO
FINAL
PROYECTADO]]-CATEGORIAS[[#This Row],[TOTAL PRODUCCION
ACTUAL]])</f>
        <v>0</v>
      </c>
      <c r="AB216" s="222"/>
      <c r="AC216" s="134"/>
      <c r="AD216" s="134">
        <v>0</v>
      </c>
      <c r="AE216" s="221">
        <f>SUM(CATEGORIAS[[#This Row],[INVENTARIO]:[PROYECCION
DE COSTO
DEL SALDO]])</f>
        <v>0</v>
      </c>
      <c r="AF216" s="134"/>
      <c r="AG216" s="134">
        <f>+CATEGORIAS[[#This Row],[PRESUPUESTO
FINAL
PROYECTADO]]-CATEGORIAS[[#This Row],[COSTO REAL]]-CATEGORIAS[[#This Row],[PROYECCION
TOTAL DE COSTO]]</f>
        <v>0</v>
      </c>
    </row>
    <row r="217" spans="1:33" x14ac:dyDescent="0.25">
      <c r="A217" s="245"/>
      <c r="B217" s="245"/>
      <c r="C217" s="245"/>
      <c r="D217" s="323" t="s">
        <v>1953</v>
      </c>
      <c r="E217" s="244" t="s">
        <v>796</v>
      </c>
      <c r="F217" s="246" t="s">
        <v>376</v>
      </c>
      <c r="G217" s="279">
        <v>0</v>
      </c>
      <c r="H217" s="279">
        <v>0</v>
      </c>
      <c r="I217" s="132">
        <v>0</v>
      </c>
      <c r="J217" s="132">
        <v>0</v>
      </c>
      <c r="K217" s="132">
        <v>0</v>
      </c>
      <c r="L217" s="144">
        <f>CATEGORIAS[[#This Row],[ADICIONALES]]+CATEGORIAS[[#This Row],[POM]]+CATEGORIAS[[#This Row],[REAJUSTE 
PAGADO]]+CATEGORIAS[[#This Row],[REAJUSTE
PROYECTADO]]</f>
        <v>0</v>
      </c>
      <c r="M217" s="133">
        <v>0</v>
      </c>
      <c r="N217" s="222">
        <v>0</v>
      </c>
      <c r="O217" s="142">
        <f>+CATEGORIAS[[#This Row],[PRODUCCION
PARTIDAS
ORIGINALES
ACTUAL]]+CATEGORIAS[[#This Row],[PRODUCCION
ADICIONALES
ACTUAL]]</f>
        <v>0</v>
      </c>
      <c r="P217" s="222">
        <v>0</v>
      </c>
      <c r="Q217" s="134">
        <v>0</v>
      </c>
      <c r="R217" s="141">
        <f>+CATEGORIAS[[#This Row],[PRODUCCION
ANTERIOR]]+CATEGORIAS[[#This Row],[PRODUCCION
ADICIONALES
ANTERIOR]]</f>
        <v>0</v>
      </c>
      <c r="S217" s="135">
        <v>0</v>
      </c>
      <c r="T217" s="135"/>
      <c r="U217" s="135">
        <v>0</v>
      </c>
      <c r="V217" s="262">
        <f>SUM(CATEGORIAS[[#This Row],[COSTO
ACUMULADO  AX]:[PROVISIONES]])</f>
        <v>0</v>
      </c>
      <c r="W217" s="264">
        <v>0</v>
      </c>
      <c r="X217" s="222"/>
      <c r="Y217" s="222">
        <v>0</v>
      </c>
      <c r="Z217" s="263">
        <f>SUM(CATEGORIAS[[#This Row],[COSTO ACUMULADO
ANTERIOR]:[PROVISIONES
ANTERIOR]])</f>
        <v>0</v>
      </c>
      <c r="AA217" s="338">
        <f>ABS(+CATEGORIAS[[#This Row],[PRESUPUESTO
FINAL
PROYECTADO]]-CATEGORIAS[[#This Row],[TOTAL PRODUCCION
ACTUAL]])</f>
        <v>0</v>
      </c>
      <c r="AB217" s="222"/>
      <c r="AC217" s="134"/>
      <c r="AD217" s="134">
        <v>0</v>
      </c>
      <c r="AE217" s="221">
        <f>SUM(CATEGORIAS[[#This Row],[INVENTARIO]:[PROYECCION
DE COSTO
DEL SALDO]])</f>
        <v>0</v>
      </c>
      <c r="AF217" s="134"/>
      <c r="AG217" s="134">
        <f>+CATEGORIAS[[#This Row],[PRESUPUESTO
FINAL
PROYECTADO]]-CATEGORIAS[[#This Row],[COSTO REAL]]-CATEGORIAS[[#This Row],[PROYECCION
TOTAL DE COSTO]]</f>
        <v>0</v>
      </c>
    </row>
    <row r="218" spans="1:33" x14ac:dyDescent="0.25">
      <c r="A218" s="245"/>
      <c r="B218" s="245"/>
      <c r="C218" s="245"/>
      <c r="D218" s="323" t="s">
        <v>1954</v>
      </c>
      <c r="E218" s="244" t="s">
        <v>798</v>
      </c>
      <c r="F218" s="246" t="s">
        <v>376</v>
      </c>
      <c r="G218" s="279">
        <v>0</v>
      </c>
      <c r="H218" s="279">
        <v>0</v>
      </c>
      <c r="I218" s="132">
        <v>0</v>
      </c>
      <c r="J218" s="132">
        <v>0</v>
      </c>
      <c r="K218" s="132">
        <v>0</v>
      </c>
      <c r="L218" s="144">
        <f>CATEGORIAS[[#This Row],[ADICIONALES]]+CATEGORIAS[[#This Row],[POM]]+CATEGORIAS[[#This Row],[REAJUSTE 
PAGADO]]+CATEGORIAS[[#This Row],[REAJUSTE
PROYECTADO]]</f>
        <v>0</v>
      </c>
      <c r="M218" s="133">
        <v>0</v>
      </c>
      <c r="N218" s="222">
        <v>0</v>
      </c>
      <c r="O218" s="142">
        <f>+CATEGORIAS[[#This Row],[PRODUCCION
PARTIDAS
ORIGINALES
ACTUAL]]+CATEGORIAS[[#This Row],[PRODUCCION
ADICIONALES
ACTUAL]]</f>
        <v>0</v>
      </c>
      <c r="P218" s="222">
        <v>0</v>
      </c>
      <c r="Q218" s="222">
        <v>0</v>
      </c>
      <c r="R218" s="141">
        <f>+CATEGORIAS[[#This Row],[PRODUCCION
ANTERIOR]]+CATEGORIAS[[#This Row],[PRODUCCION
ADICIONALES
ANTERIOR]]</f>
        <v>0</v>
      </c>
      <c r="S218" s="135">
        <v>0</v>
      </c>
      <c r="T218" s="135"/>
      <c r="U218" s="135">
        <v>0</v>
      </c>
      <c r="V218" s="262">
        <f>SUM(CATEGORIAS[[#This Row],[COSTO
ACUMULADO  AX]:[PROVISIONES]])</f>
        <v>0</v>
      </c>
      <c r="W218" s="264">
        <v>0</v>
      </c>
      <c r="X218" s="222"/>
      <c r="Y218" s="222">
        <v>0</v>
      </c>
      <c r="Z218" s="263">
        <f>SUM(CATEGORIAS[[#This Row],[COSTO ACUMULADO
ANTERIOR]:[PROVISIONES
ANTERIOR]])</f>
        <v>0</v>
      </c>
      <c r="AA218" s="338">
        <f>ABS(+CATEGORIAS[[#This Row],[PRESUPUESTO
FINAL
PROYECTADO]]-CATEGORIAS[[#This Row],[TOTAL PRODUCCION
ACTUAL]])</f>
        <v>0</v>
      </c>
      <c r="AB218" s="222"/>
      <c r="AC218" s="134"/>
      <c r="AD218" s="134">
        <v>0</v>
      </c>
      <c r="AE218" s="221">
        <f>SUM(CATEGORIAS[[#This Row],[INVENTARIO]:[PROYECCION
DE COSTO
DEL SALDO]])</f>
        <v>0</v>
      </c>
      <c r="AF218" s="134"/>
      <c r="AG218" s="134">
        <f>+CATEGORIAS[[#This Row],[PRESUPUESTO
FINAL
PROYECTADO]]-CATEGORIAS[[#This Row],[COSTO REAL]]-CATEGORIAS[[#This Row],[PROYECCION
TOTAL DE COSTO]]</f>
        <v>0</v>
      </c>
    </row>
    <row r="219" spans="1:33" x14ac:dyDescent="0.25">
      <c r="A219" s="245"/>
      <c r="B219" s="245"/>
      <c r="C219" s="245"/>
      <c r="D219" s="323" t="s">
        <v>1955</v>
      </c>
      <c r="E219" s="244" t="s">
        <v>800</v>
      </c>
      <c r="F219" s="246" t="s">
        <v>376</v>
      </c>
      <c r="G219" s="279">
        <v>0</v>
      </c>
      <c r="H219" s="279">
        <v>0</v>
      </c>
      <c r="I219" s="132">
        <v>0</v>
      </c>
      <c r="J219" s="132">
        <v>0</v>
      </c>
      <c r="K219" s="132">
        <v>0</v>
      </c>
      <c r="L219" s="144">
        <f>CATEGORIAS[[#This Row],[ADICIONALES]]+CATEGORIAS[[#This Row],[POM]]+CATEGORIAS[[#This Row],[REAJUSTE 
PAGADO]]+CATEGORIAS[[#This Row],[REAJUSTE
PROYECTADO]]</f>
        <v>0</v>
      </c>
      <c r="M219" s="133">
        <v>0</v>
      </c>
      <c r="N219" s="222">
        <v>0</v>
      </c>
      <c r="O219" s="142">
        <f>+CATEGORIAS[[#This Row],[PRODUCCION
PARTIDAS
ORIGINALES
ACTUAL]]+CATEGORIAS[[#This Row],[PRODUCCION
ADICIONALES
ACTUAL]]</f>
        <v>0</v>
      </c>
      <c r="P219" s="222">
        <v>0</v>
      </c>
      <c r="Q219" s="134">
        <v>0</v>
      </c>
      <c r="R219" s="141">
        <f>+CATEGORIAS[[#This Row],[PRODUCCION
ANTERIOR]]+CATEGORIAS[[#This Row],[PRODUCCION
ADICIONALES
ANTERIOR]]</f>
        <v>0</v>
      </c>
      <c r="S219" s="135">
        <v>0</v>
      </c>
      <c r="T219" s="135"/>
      <c r="U219" s="135">
        <v>0</v>
      </c>
      <c r="V219" s="262">
        <f>SUM(CATEGORIAS[[#This Row],[COSTO
ACUMULADO  AX]:[PROVISIONES]])</f>
        <v>0</v>
      </c>
      <c r="W219" s="264">
        <v>0</v>
      </c>
      <c r="X219" s="222"/>
      <c r="Y219" s="222">
        <v>0</v>
      </c>
      <c r="Z219" s="263">
        <f>SUM(CATEGORIAS[[#This Row],[COSTO ACUMULADO
ANTERIOR]:[PROVISIONES
ANTERIOR]])</f>
        <v>0</v>
      </c>
      <c r="AA219" s="338">
        <f>ABS(+CATEGORIAS[[#This Row],[PRESUPUESTO
FINAL
PROYECTADO]]-CATEGORIAS[[#This Row],[TOTAL PRODUCCION
ACTUAL]])</f>
        <v>0</v>
      </c>
      <c r="AB219" s="222"/>
      <c r="AC219" s="134"/>
      <c r="AD219" s="134">
        <v>0</v>
      </c>
      <c r="AE219" s="221">
        <f>SUM(CATEGORIAS[[#This Row],[INVENTARIO]:[PROYECCION
DE COSTO
DEL SALDO]])</f>
        <v>0</v>
      </c>
      <c r="AF219" s="134"/>
      <c r="AG219" s="134">
        <f>+CATEGORIAS[[#This Row],[PRESUPUESTO
FINAL
PROYECTADO]]-CATEGORIAS[[#This Row],[COSTO REAL]]-CATEGORIAS[[#This Row],[PROYECCION
TOTAL DE COSTO]]</f>
        <v>0</v>
      </c>
    </row>
    <row r="220" spans="1:33" x14ac:dyDescent="0.25">
      <c r="A220" s="245"/>
      <c r="B220" s="245"/>
      <c r="C220" s="245"/>
      <c r="D220" s="323" t="s">
        <v>1956</v>
      </c>
      <c r="E220" s="244" t="s">
        <v>802</v>
      </c>
      <c r="F220" s="246" t="s">
        <v>376</v>
      </c>
      <c r="G220" s="279">
        <v>0</v>
      </c>
      <c r="H220" s="279">
        <v>0</v>
      </c>
      <c r="I220" s="132">
        <v>0</v>
      </c>
      <c r="J220" s="132">
        <v>0</v>
      </c>
      <c r="K220" s="132">
        <v>0</v>
      </c>
      <c r="L220" s="144">
        <f>CATEGORIAS[[#This Row],[ADICIONALES]]+CATEGORIAS[[#This Row],[POM]]+CATEGORIAS[[#This Row],[REAJUSTE 
PAGADO]]+CATEGORIAS[[#This Row],[REAJUSTE
PROYECTADO]]</f>
        <v>0</v>
      </c>
      <c r="M220" s="133">
        <v>0</v>
      </c>
      <c r="N220" s="222">
        <v>0</v>
      </c>
      <c r="O220" s="142">
        <f>+CATEGORIAS[[#This Row],[PRODUCCION
PARTIDAS
ORIGINALES
ACTUAL]]+CATEGORIAS[[#This Row],[PRODUCCION
ADICIONALES
ACTUAL]]</f>
        <v>0</v>
      </c>
      <c r="P220" s="222">
        <v>0</v>
      </c>
      <c r="Q220" s="134">
        <v>0</v>
      </c>
      <c r="R220" s="141">
        <f>+CATEGORIAS[[#This Row],[PRODUCCION
ANTERIOR]]+CATEGORIAS[[#This Row],[PRODUCCION
ADICIONALES
ANTERIOR]]</f>
        <v>0</v>
      </c>
      <c r="S220" s="135">
        <v>0</v>
      </c>
      <c r="T220" s="135"/>
      <c r="U220" s="135">
        <v>0</v>
      </c>
      <c r="V220" s="262">
        <f>SUM(CATEGORIAS[[#This Row],[COSTO
ACUMULADO  AX]:[PROVISIONES]])</f>
        <v>0</v>
      </c>
      <c r="W220" s="264">
        <v>0</v>
      </c>
      <c r="X220" s="222"/>
      <c r="Y220" s="222">
        <v>0</v>
      </c>
      <c r="Z220" s="263">
        <f>SUM(CATEGORIAS[[#This Row],[COSTO ACUMULADO
ANTERIOR]:[PROVISIONES
ANTERIOR]])</f>
        <v>0</v>
      </c>
      <c r="AA220" s="338">
        <f>ABS(+CATEGORIAS[[#This Row],[PRESUPUESTO
FINAL
PROYECTADO]]-CATEGORIAS[[#This Row],[TOTAL PRODUCCION
ACTUAL]])</f>
        <v>0</v>
      </c>
      <c r="AB220" s="222"/>
      <c r="AC220" s="134"/>
      <c r="AD220" s="134">
        <v>0</v>
      </c>
      <c r="AE220" s="221">
        <f>SUM(CATEGORIAS[[#This Row],[INVENTARIO]:[PROYECCION
DE COSTO
DEL SALDO]])</f>
        <v>0</v>
      </c>
      <c r="AF220" s="134"/>
      <c r="AG220" s="134">
        <f>+CATEGORIAS[[#This Row],[PRESUPUESTO
FINAL
PROYECTADO]]-CATEGORIAS[[#This Row],[COSTO REAL]]-CATEGORIAS[[#This Row],[PROYECCION
TOTAL DE COSTO]]</f>
        <v>0</v>
      </c>
    </row>
    <row r="221" spans="1:33" x14ac:dyDescent="0.25">
      <c r="A221" s="245"/>
      <c r="B221" s="245"/>
      <c r="C221" s="245"/>
      <c r="D221" s="323" t="s">
        <v>1957</v>
      </c>
      <c r="E221" s="244" t="s">
        <v>804</v>
      </c>
      <c r="F221" s="246" t="s">
        <v>376</v>
      </c>
      <c r="G221" s="279">
        <v>0</v>
      </c>
      <c r="H221" s="279">
        <v>0</v>
      </c>
      <c r="I221" s="132">
        <v>0</v>
      </c>
      <c r="J221" s="132">
        <v>0</v>
      </c>
      <c r="K221" s="132">
        <v>0</v>
      </c>
      <c r="L221" s="144">
        <f>CATEGORIAS[[#This Row],[ADICIONALES]]+CATEGORIAS[[#This Row],[POM]]+CATEGORIAS[[#This Row],[REAJUSTE 
PAGADO]]+CATEGORIAS[[#This Row],[REAJUSTE
PROYECTADO]]</f>
        <v>0</v>
      </c>
      <c r="M221" s="133">
        <v>0</v>
      </c>
      <c r="N221" s="222">
        <v>0</v>
      </c>
      <c r="O221" s="142">
        <f>+CATEGORIAS[[#This Row],[PRODUCCION
PARTIDAS
ORIGINALES
ACTUAL]]+CATEGORIAS[[#This Row],[PRODUCCION
ADICIONALES
ACTUAL]]</f>
        <v>0</v>
      </c>
      <c r="P221" s="222">
        <v>0</v>
      </c>
      <c r="Q221" s="222">
        <v>0</v>
      </c>
      <c r="R221" s="141">
        <f>+CATEGORIAS[[#This Row],[PRODUCCION
ANTERIOR]]+CATEGORIAS[[#This Row],[PRODUCCION
ADICIONALES
ANTERIOR]]</f>
        <v>0</v>
      </c>
      <c r="S221" s="135">
        <v>0</v>
      </c>
      <c r="T221" s="135"/>
      <c r="U221" s="135">
        <v>0</v>
      </c>
      <c r="V221" s="262">
        <f>SUM(CATEGORIAS[[#This Row],[COSTO
ACUMULADO  AX]:[PROVISIONES]])</f>
        <v>0</v>
      </c>
      <c r="W221" s="264">
        <v>0</v>
      </c>
      <c r="X221" s="222"/>
      <c r="Y221" s="222">
        <v>0</v>
      </c>
      <c r="Z221" s="263">
        <f>SUM(CATEGORIAS[[#This Row],[COSTO ACUMULADO
ANTERIOR]:[PROVISIONES
ANTERIOR]])</f>
        <v>0</v>
      </c>
      <c r="AA221" s="338">
        <f>ABS(+CATEGORIAS[[#This Row],[PRESUPUESTO
FINAL
PROYECTADO]]-CATEGORIAS[[#This Row],[TOTAL PRODUCCION
ACTUAL]])</f>
        <v>0</v>
      </c>
      <c r="AB221" s="222"/>
      <c r="AC221" s="134"/>
      <c r="AD221" s="134">
        <v>0</v>
      </c>
      <c r="AE221" s="221">
        <f>SUM(CATEGORIAS[[#This Row],[INVENTARIO]:[PROYECCION
DE COSTO
DEL SALDO]])</f>
        <v>0</v>
      </c>
      <c r="AF221" s="134"/>
      <c r="AG221" s="134">
        <f>+CATEGORIAS[[#This Row],[PRESUPUESTO
FINAL
PROYECTADO]]-CATEGORIAS[[#This Row],[COSTO REAL]]-CATEGORIAS[[#This Row],[PROYECCION
TOTAL DE COSTO]]</f>
        <v>0</v>
      </c>
    </row>
    <row r="222" spans="1:33" x14ac:dyDescent="0.25">
      <c r="A222" s="245" t="s">
        <v>103</v>
      </c>
      <c r="B222" s="245" t="s">
        <v>216</v>
      </c>
      <c r="C222" s="245" t="s">
        <v>2440</v>
      </c>
      <c r="D222" s="323" t="s">
        <v>1958</v>
      </c>
      <c r="E222" s="244" t="s">
        <v>806</v>
      </c>
      <c r="F222" s="246" t="s">
        <v>379</v>
      </c>
      <c r="G222" s="279">
        <v>22686901.279799998</v>
      </c>
      <c r="H222" s="279">
        <v>13106040.302986985</v>
      </c>
      <c r="I222" s="132">
        <v>10410111.125469554</v>
      </c>
      <c r="J222" s="132">
        <v>462097.4193646257</v>
      </c>
      <c r="K222" s="132">
        <v>0</v>
      </c>
      <c r="L222" s="144">
        <f>CATEGORIAS[[#This Row],[ADICIONALES]]+CATEGORIAS[[#This Row],[POM]]+CATEGORIAS[[#This Row],[REAJUSTE 
PAGADO]]+CATEGORIAS[[#This Row],[REAJUSTE
PROYECTADO]]</f>
        <v>23978248.847821165</v>
      </c>
      <c r="M222" s="133">
        <v>13565564.998629784</v>
      </c>
      <c r="N222" s="222">
        <v>10412683.849191383</v>
      </c>
      <c r="O222" s="142">
        <f>+CATEGORIAS[[#This Row],[PRODUCCION
PARTIDAS
ORIGINALES
ACTUAL]]+CATEGORIAS[[#This Row],[PRODUCCION
ADICIONALES
ACTUAL]]</f>
        <v>23978248.847821169</v>
      </c>
      <c r="P222" s="222">
        <v>13565564.998629784</v>
      </c>
      <c r="Q222" s="222">
        <v>10410111.125469554</v>
      </c>
      <c r="R222" s="141">
        <f>+CATEGORIAS[[#This Row],[PRODUCCION
ANTERIOR]]+CATEGORIAS[[#This Row],[PRODUCCION
ADICIONALES
ANTERIOR]]</f>
        <v>23975676.124099337</v>
      </c>
      <c r="S222" s="135">
        <v>10062750</v>
      </c>
      <c r="T222" s="135"/>
      <c r="U222" s="135">
        <v>5198919.666666666</v>
      </c>
      <c r="V222" s="262">
        <f>SUM(CATEGORIAS[[#This Row],[COSTO
ACUMULADO  AX]:[PROVISIONES]])</f>
        <v>15261669.666666666</v>
      </c>
      <c r="W222" s="264">
        <v>10062750</v>
      </c>
      <c r="X222" s="222"/>
      <c r="Y222" s="222">
        <v>5198919.666666666</v>
      </c>
      <c r="Z222" s="263">
        <f>SUM(CATEGORIAS[[#This Row],[COSTO ACUMULADO
ANTERIOR]:[PROVISIONES
ANTERIOR]])</f>
        <v>15261669.666666666</v>
      </c>
      <c r="AA222" s="338">
        <f>ABS(+CATEGORIAS[[#This Row],[PRESUPUESTO
FINAL
PROYECTADO]]-CATEGORIAS[[#This Row],[TOTAL PRODUCCION
ACTUAL]])</f>
        <v>3.7252902984619141E-9</v>
      </c>
      <c r="AB222" s="222"/>
      <c r="AC222" s="134"/>
      <c r="AD222" s="134">
        <v>0</v>
      </c>
      <c r="AE222" s="221">
        <f>SUM(CATEGORIAS[[#This Row],[INVENTARIO]:[PROYECCION
DE COSTO
DEL SALDO]])</f>
        <v>0</v>
      </c>
      <c r="AF222" s="134"/>
      <c r="AG222" s="134">
        <f>+CATEGORIAS[[#This Row],[PRESUPUESTO
FINAL
PROYECTADO]]-CATEGORIAS[[#This Row],[COSTO REAL]]-CATEGORIAS[[#This Row],[PROYECCION
TOTAL DE COSTO]]</f>
        <v>8716579.1811544988</v>
      </c>
    </row>
    <row r="223" spans="1:33" x14ac:dyDescent="0.25">
      <c r="A223" s="245"/>
      <c r="B223" s="245"/>
      <c r="C223" s="245"/>
      <c r="D223" s="323" t="s">
        <v>1959</v>
      </c>
      <c r="E223" s="244" t="s">
        <v>808</v>
      </c>
      <c r="F223" s="246" t="s">
        <v>376</v>
      </c>
      <c r="G223" s="279">
        <v>0</v>
      </c>
      <c r="H223" s="279">
        <v>0</v>
      </c>
      <c r="I223" s="132">
        <v>0</v>
      </c>
      <c r="J223" s="132">
        <v>0</v>
      </c>
      <c r="K223" s="132">
        <v>0</v>
      </c>
      <c r="L223" s="144">
        <f>CATEGORIAS[[#This Row],[ADICIONALES]]+CATEGORIAS[[#This Row],[POM]]+CATEGORIAS[[#This Row],[REAJUSTE 
PAGADO]]+CATEGORIAS[[#This Row],[REAJUSTE
PROYECTADO]]</f>
        <v>0</v>
      </c>
      <c r="M223" s="133">
        <v>0</v>
      </c>
      <c r="N223" s="222">
        <v>0</v>
      </c>
      <c r="O223" s="142">
        <f>+CATEGORIAS[[#This Row],[PRODUCCION
PARTIDAS
ORIGINALES
ACTUAL]]+CATEGORIAS[[#This Row],[PRODUCCION
ADICIONALES
ACTUAL]]</f>
        <v>0</v>
      </c>
      <c r="P223" s="222">
        <v>0</v>
      </c>
      <c r="Q223" s="134">
        <v>0</v>
      </c>
      <c r="R223" s="141">
        <f>+CATEGORIAS[[#This Row],[PRODUCCION
ANTERIOR]]+CATEGORIAS[[#This Row],[PRODUCCION
ADICIONALES
ANTERIOR]]</f>
        <v>0</v>
      </c>
      <c r="S223" s="135">
        <v>0</v>
      </c>
      <c r="T223" s="135"/>
      <c r="U223" s="135">
        <v>0</v>
      </c>
      <c r="V223" s="262">
        <f>SUM(CATEGORIAS[[#This Row],[COSTO
ACUMULADO  AX]:[PROVISIONES]])</f>
        <v>0</v>
      </c>
      <c r="W223" s="264">
        <v>0</v>
      </c>
      <c r="X223" s="222"/>
      <c r="Y223" s="222">
        <v>0</v>
      </c>
      <c r="Z223" s="263">
        <f>SUM(CATEGORIAS[[#This Row],[COSTO ACUMULADO
ANTERIOR]:[PROVISIONES
ANTERIOR]])</f>
        <v>0</v>
      </c>
      <c r="AA223" s="338">
        <f>ABS(+CATEGORIAS[[#This Row],[PRESUPUESTO
FINAL
PROYECTADO]]-CATEGORIAS[[#This Row],[TOTAL PRODUCCION
ACTUAL]])</f>
        <v>0</v>
      </c>
      <c r="AB223" s="222"/>
      <c r="AC223" s="134"/>
      <c r="AD223" s="134">
        <v>0</v>
      </c>
      <c r="AE223" s="221">
        <f>SUM(CATEGORIAS[[#This Row],[INVENTARIO]:[PROYECCION
DE COSTO
DEL SALDO]])</f>
        <v>0</v>
      </c>
      <c r="AF223" s="134"/>
      <c r="AG223" s="134">
        <f>+CATEGORIAS[[#This Row],[PRESUPUESTO
FINAL
PROYECTADO]]-CATEGORIAS[[#This Row],[COSTO REAL]]-CATEGORIAS[[#This Row],[PROYECCION
TOTAL DE COSTO]]</f>
        <v>0</v>
      </c>
    </row>
    <row r="224" spans="1:33" x14ac:dyDescent="0.25">
      <c r="A224" s="245"/>
      <c r="B224" s="245"/>
      <c r="C224" s="245"/>
      <c r="D224" s="323" t="s">
        <v>1960</v>
      </c>
      <c r="E224" s="244" t="s">
        <v>810</v>
      </c>
      <c r="F224" s="246" t="s">
        <v>376</v>
      </c>
      <c r="G224" s="279">
        <v>0</v>
      </c>
      <c r="H224" s="279">
        <v>0</v>
      </c>
      <c r="I224" s="132">
        <v>0</v>
      </c>
      <c r="J224" s="132">
        <v>0</v>
      </c>
      <c r="K224" s="132">
        <v>0</v>
      </c>
      <c r="L224" s="144">
        <f>CATEGORIAS[[#This Row],[ADICIONALES]]+CATEGORIAS[[#This Row],[POM]]+CATEGORIAS[[#This Row],[REAJUSTE 
PAGADO]]+CATEGORIAS[[#This Row],[REAJUSTE
PROYECTADO]]</f>
        <v>0</v>
      </c>
      <c r="M224" s="133">
        <v>0</v>
      </c>
      <c r="N224" s="222">
        <v>0</v>
      </c>
      <c r="O224" s="142">
        <f>+CATEGORIAS[[#This Row],[PRODUCCION
PARTIDAS
ORIGINALES
ACTUAL]]+CATEGORIAS[[#This Row],[PRODUCCION
ADICIONALES
ACTUAL]]</f>
        <v>0</v>
      </c>
      <c r="P224" s="222">
        <v>0</v>
      </c>
      <c r="Q224" s="222">
        <v>0</v>
      </c>
      <c r="R224" s="141">
        <f>+CATEGORIAS[[#This Row],[PRODUCCION
ANTERIOR]]+CATEGORIAS[[#This Row],[PRODUCCION
ADICIONALES
ANTERIOR]]</f>
        <v>0</v>
      </c>
      <c r="S224" s="135">
        <v>0</v>
      </c>
      <c r="T224" s="135"/>
      <c r="U224" s="135">
        <v>0</v>
      </c>
      <c r="V224" s="262">
        <f>SUM(CATEGORIAS[[#This Row],[COSTO
ACUMULADO  AX]:[PROVISIONES]])</f>
        <v>0</v>
      </c>
      <c r="W224" s="264">
        <v>0</v>
      </c>
      <c r="X224" s="222"/>
      <c r="Y224" s="222">
        <v>0</v>
      </c>
      <c r="Z224" s="263">
        <f>SUM(CATEGORIAS[[#This Row],[COSTO ACUMULADO
ANTERIOR]:[PROVISIONES
ANTERIOR]])</f>
        <v>0</v>
      </c>
      <c r="AA224" s="338">
        <f>ABS(+CATEGORIAS[[#This Row],[PRESUPUESTO
FINAL
PROYECTADO]]-CATEGORIAS[[#This Row],[TOTAL PRODUCCION
ACTUAL]])</f>
        <v>0</v>
      </c>
      <c r="AB224" s="222"/>
      <c r="AC224" s="134"/>
      <c r="AD224" s="134">
        <v>0</v>
      </c>
      <c r="AE224" s="221">
        <f>SUM(CATEGORIAS[[#This Row],[INVENTARIO]:[PROYECCION
DE COSTO
DEL SALDO]])</f>
        <v>0</v>
      </c>
      <c r="AF224" s="134"/>
      <c r="AG224" s="134">
        <f>+CATEGORIAS[[#This Row],[PRESUPUESTO
FINAL
PROYECTADO]]-CATEGORIAS[[#This Row],[COSTO REAL]]-CATEGORIAS[[#This Row],[PROYECCION
TOTAL DE COSTO]]</f>
        <v>0</v>
      </c>
    </row>
    <row r="225" spans="1:33" x14ac:dyDescent="0.25">
      <c r="A225" s="245"/>
      <c r="B225" s="245"/>
      <c r="C225" s="245"/>
      <c r="D225" s="323" t="s">
        <v>1961</v>
      </c>
      <c r="E225" s="244" t="s">
        <v>812</v>
      </c>
      <c r="F225" s="246" t="s">
        <v>376</v>
      </c>
      <c r="G225" s="279">
        <v>0</v>
      </c>
      <c r="H225" s="279">
        <v>0</v>
      </c>
      <c r="I225" s="132">
        <v>0</v>
      </c>
      <c r="J225" s="132">
        <v>0</v>
      </c>
      <c r="K225" s="132">
        <v>0</v>
      </c>
      <c r="L225" s="144">
        <f>CATEGORIAS[[#This Row],[ADICIONALES]]+CATEGORIAS[[#This Row],[POM]]+CATEGORIAS[[#This Row],[REAJUSTE 
PAGADO]]+CATEGORIAS[[#This Row],[REAJUSTE
PROYECTADO]]</f>
        <v>0</v>
      </c>
      <c r="M225" s="133">
        <v>0</v>
      </c>
      <c r="N225" s="222">
        <v>0</v>
      </c>
      <c r="O225" s="142">
        <f>+CATEGORIAS[[#This Row],[PRODUCCION
PARTIDAS
ORIGINALES
ACTUAL]]+CATEGORIAS[[#This Row],[PRODUCCION
ADICIONALES
ACTUAL]]</f>
        <v>0</v>
      </c>
      <c r="P225" s="222">
        <v>0</v>
      </c>
      <c r="Q225" s="134">
        <v>0</v>
      </c>
      <c r="R225" s="141">
        <f>+CATEGORIAS[[#This Row],[PRODUCCION
ANTERIOR]]+CATEGORIAS[[#This Row],[PRODUCCION
ADICIONALES
ANTERIOR]]</f>
        <v>0</v>
      </c>
      <c r="S225" s="135">
        <v>0</v>
      </c>
      <c r="T225" s="135"/>
      <c r="U225" s="135">
        <v>0</v>
      </c>
      <c r="V225" s="262">
        <f>SUM(CATEGORIAS[[#This Row],[COSTO
ACUMULADO  AX]:[PROVISIONES]])</f>
        <v>0</v>
      </c>
      <c r="W225" s="264">
        <v>0</v>
      </c>
      <c r="X225" s="222"/>
      <c r="Y225" s="222">
        <v>0</v>
      </c>
      <c r="Z225" s="263">
        <f>SUM(CATEGORIAS[[#This Row],[COSTO ACUMULADO
ANTERIOR]:[PROVISIONES
ANTERIOR]])</f>
        <v>0</v>
      </c>
      <c r="AA225" s="338">
        <f>ABS(+CATEGORIAS[[#This Row],[PRESUPUESTO
FINAL
PROYECTADO]]-CATEGORIAS[[#This Row],[TOTAL PRODUCCION
ACTUAL]])</f>
        <v>0</v>
      </c>
      <c r="AB225" s="222"/>
      <c r="AC225" s="134"/>
      <c r="AD225" s="134">
        <v>0</v>
      </c>
      <c r="AE225" s="221">
        <f>SUM(CATEGORIAS[[#This Row],[INVENTARIO]:[PROYECCION
DE COSTO
DEL SALDO]])</f>
        <v>0</v>
      </c>
      <c r="AF225" s="134"/>
      <c r="AG225" s="134">
        <f>+CATEGORIAS[[#This Row],[PRESUPUESTO
FINAL
PROYECTADO]]-CATEGORIAS[[#This Row],[COSTO REAL]]-CATEGORIAS[[#This Row],[PROYECCION
TOTAL DE COSTO]]</f>
        <v>0</v>
      </c>
    </row>
    <row r="226" spans="1:33" x14ac:dyDescent="0.25">
      <c r="A226" s="245"/>
      <c r="B226" s="245"/>
      <c r="C226" s="245"/>
      <c r="D226" s="323" t="s">
        <v>1962</v>
      </c>
      <c r="E226" s="244" t="s">
        <v>814</v>
      </c>
      <c r="F226" s="246" t="s">
        <v>376</v>
      </c>
      <c r="G226" s="279">
        <v>0</v>
      </c>
      <c r="H226" s="279">
        <v>0</v>
      </c>
      <c r="I226" s="132">
        <v>0</v>
      </c>
      <c r="J226" s="132">
        <v>0</v>
      </c>
      <c r="K226" s="132">
        <v>0</v>
      </c>
      <c r="L226" s="144">
        <f>CATEGORIAS[[#This Row],[ADICIONALES]]+CATEGORIAS[[#This Row],[POM]]+CATEGORIAS[[#This Row],[REAJUSTE 
PAGADO]]+CATEGORIAS[[#This Row],[REAJUSTE
PROYECTADO]]</f>
        <v>0</v>
      </c>
      <c r="M226" s="133">
        <v>0</v>
      </c>
      <c r="N226" s="222">
        <v>0</v>
      </c>
      <c r="O226" s="142">
        <f>+CATEGORIAS[[#This Row],[PRODUCCION
PARTIDAS
ORIGINALES
ACTUAL]]+CATEGORIAS[[#This Row],[PRODUCCION
ADICIONALES
ACTUAL]]</f>
        <v>0</v>
      </c>
      <c r="P226" s="222">
        <v>0</v>
      </c>
      <c r="Q226" s="222">
        <v>0</v>
      </c>
      <c r="R226" s="141">
        <f>+CATEGORIAS[[#This Row],[PRODUCCION
ANTERIOR]]+CATEGORIAS[[#This Row],[PRODUCCION
ADICIONALES
ANTERIOR]]</f>
        <v>0</v>
      </c>
      <c r="S226" s="135">
        <v>0</v>
      </c>
      <c r="T226" s="135"/>
      <c r="U226" s="135">
        <v>0</v>
      </c>
      <c r="V226" s="262">
        <f>SUM(CATEGORIAS[[#This Row],[COSTO
ACUMULADO  AX]:[PROVISIONES]])</f>
        <v>0</v>
      </c>
      <c r="W226" s="264">
        <v>0</v>
      </c>
      <c r="X226" s="222"/>
      <c r="Y226" s="222">
        <v>0</v>
      </c>
      <c r="Z226" s="263">
        <f>SUM(CATEGORIAS[[#This Row],[COSTO ACUMULADO
ANTERIOR]:[PROVISIONES
ANTERIOR]])</f>
        <v>0</v>
      </c>
      <c r="AA226" s="338">
        <f>ABS(+CATEGORIAS[[#This Row],[PRESUPUESTO
FINAL
PROYECTADO]]-CATEGORIAS[[#This Row],[TOTAL PRODUCCION
ACTUAL]])</f>
        <v>0</v>
      </c>
      <c r="AB226" s="222"/>
      <c r="AC226" s="134"/>
      <c r="AD226" s="134">
        <v>0</v>
      </c>
      <c r="AE226" s="221">
        <f>SUM(CATEGORIAS[[#This Row],[INVENTARIO]:[PROYECCION
DE COSTO
DEL SALDO]])</f>
        <v>0</v>
      </c>
      <c r="AF226" s="134"/>
      <c r="AG226" s="134">
        <f>+CATEGORIAS[[#This Row],[PRESUPUESTO
FINAL
PROYECTADO]]-CATEGORIAS[[#This Row],[COSTO REAL]]-CATEGORIAS[[#This Row],[PROYECCION
TOTAL DE COSTO]]</f>
        <v>0</v>
      </c>
    </row>
    <row r="227" spans="1:33" x14ac:dyDescent="0.25">
      <c r="A227" s="245"/>
      <c r="B227" s="245"/>
      <c r="C227" s="245"/>
      <c r="D227" s="323" t="s">
        <v>1963</v>
      </c>
      <c r="E227" s="244" t="s">
        <v>816</v>
      </c>
      <c r="F227" s="246" t="s">
        <v>376</v>
      </c>
      <c r="G227" s="279">
        <v>0</v>
      </c>
      <c r="H227" s="279">
        <v>0</v>
      </c>
      <c r="I227" s="132">
        <v>0</v>
      </c>
      <c r="J227" s="132">
        <v>0</v>
      </c>
      <c r="K227" s="132">
        <v>0</v>
      </c>
      <c r="L227" s="144">
        <f>CATEGORIAS[[#This Row],[ADICIONALES]]+CATEGORIAS[[#This Row],[POM]]+CATEGORIAS[[#This Row],[REAJUSTE 
PAGADO]]+CATEGORIAS[[#This Row],[REAJUSTE
PROYECTADO]]</f>
        <v>0</v>
      </c>
      <c r="M227" s="133">
        <v>0</v>
      </c>
      <c r="N227" s="222">
        <v>0</v>
      </c>
      <c r="O227" s="142">
        <f>+CATEGORIAS[[#This Row],[PRODUCCION
PARTIDAS
ORIGINALES
ACTUAL]]+CATEGORIAS[[#This Row],[PRODUCCION
ADICIONALES
ACTUAL]]</f>
        <v>0</v>
      </c>
      <c r="P227" s="222">
        <v>0</v>
      </c>
      <c r="Q227" s="134">
        <v>0</v>
      </c>
      <c r="R227" s="141">
        <f>+CATEGORIAS[[#This Row],[PRODUCCION
ANTERIOR]]+CATEGORIAS[[#This Row],[PRODUCCION
ADICIONALES
ANTERIOR]]</f>
        <v>0</v>
      </c>
      <c r="S227" s="135">
        <v>0</v>
      </c>
      <c r="T227" s="135"/>
      <c r="U227" s="135">
        <v>0</v>
      </c>
      <c r="V227" s="262">
        <f>SUM(CATEGORIAS[[#This Row],[COSTO
ACUMULADO  AX]:[PROVISIONES]])</f>
        <v>0</v>
      </c>
      <c r="W227" s="264">
        <v>0</v>
      </c>
      <c r="X227" s="222"/>
      <c r="Y227" s="222">
        <v>0</v>
      </c>
      <c r="Z227" s="263">
        <f>SUM(CATEGORIAS[[#This Row],[COSTO ACUMULADO
ANTERIOR]:[PROVISIONES
ANTERIOR]])</f>
        <v>0</v>
      </c>
      <c r="AA227" s="338">
        <f>ABS(+CATEGORIAS[[#This Row],[PRESUPUESTO
FINAL
PROYECTADO]]-CATEGORIAS[[#This Row],[TOTAL PRODUCCION
ACTUAL]])</f>
        <v>0</v>
      </c>
      <c r="AB227" s="222"/>
      <c r="AC227" s="134"/>
      <c r="AD227" s="134">
        <v>0</v>
      </c>
      <c r="AE227" s="221">
        <f>SUM(CATEGORIAS[[#This Row],[INVENTARIO]:[PROYECCION
DE COSTO
DEL SALDO]])</f>
        <v>0</v>
      </c>
      <c r="AF227" s="134"/>
      <c r="AG227" s="134">
        <f>+CATEGORIAS[[#This Row],[PRESUPUESTO
FINAL
PROYECTADO]]-CATEGORIAS[[#This Row],[COSTO REAL]]-CATEGORIAS[[#This Row],[PROYECCION
TOTAL DE COSTO]]</f>
        <v>0</v>
      </c>
    </row>
    <row r="228" spans="1:33" x14ac:dyDescent="0.25">
      <c r="A228" s="245"/>
      <c r="B228" s="245"/>
      <c r="C228" s="245"/>
      <c r="D228" s="323" t="s">
        <v>1964</v>
      </c>
      <c r="E228" s="244" t="s">
        <v>818</v>
      </c>
      <c r="F228" s="246" t="s">
        <v>376</v>
      </c>
      <c r="G228" s="279">
        <v>0</v>
      </c>
      <c r="H228" s="279">
        <v>0</v>
      </c>
      <c r="I228" s="132">
        <v>0</v>
      </c>
      <c r="J228" s="132">
        <v>0</v>
      </c>
      <c r="K228" s="132">
        <v>0</v>
      </c>
      <c r="L228" s="144">
        <f>CATEGORIAS[[#This Row],[ADICIONALES]]+CATEGORIAS[[#This Row],[POM]]+CATEGORIAS[[#This Row],[REAJUSTE 
PAGADO]]+CATEGORIAS[[#This Row],[REAJUSTE
PROYECTADO]]</f>
        <v>0</v>
      </c>
      <c r="M228" s="133">
        <v>0</v>
      </c>
      <c r="N228" s="222">
        <v>0</v>
      </c>
      <c r="O228" s="142">
        <f>+CATEGORIAS[[#This Row],[PRODUCCION
PARTIDAS
ORIGINALES
ACTUAL]]+CATEGORIAS[[#This Row],[PRODUCCION
ADICIONALES
ACTUAL]]</f>
        <v>0</v>
      </c>
      <c r="P228" s="222">
        <v>0</v>
      </c>
      <c r="Q228" s="222">
        <v>0</v>
      </c>
      <c r="R228" s="141">
        <f>+CATEGORIAS[[#This Row],[PRODUCCION
ANTERIOR]]+CATEGORIAS[[#This Row],[PRODUCCION
ADICIONALES
ANTERIOR]]</f>
        <v>0</v>
      </c>
      <c r="S228" s="135">
        <v>0</v>
      </c>
      <c r="T228" s="135"/>
      <c r="U228" s="135">
        <v>0</v>
      </c>
      <c r="V228" s="262">
        <f>SUM(CATEGORIAS[[#This Row],[COSTO
ACUMULADO  AX]:[PROVISIONES]])</f>
        <v>0</v>
      </c>
      <c r="W228" s="264">
        <v>0</v>
      </c>
      <c r="X228" s="222"/>
      <c r="Y228" s="222">
        <v>0</v>
      </c>
      <c r="Z228" s="263">
        <f>SUM(CATEGORIAS[[#This Row],[COSTO ACUMULADO
ANTERIOR]:[PROVISIONES
ANTERIOR]])</f>
        <v>0</v>
      </c>
      <c r="AA228" s="338">
        <f>ABS(+CATEGORIAS[[#This Row],[PRESUPUESTO
FINAL
PROYECTADO]]-CATEGORIAS[[#This Row],[TOTAL PRODUCCION
ACTUAL]])</f>
        <v>0</v>
      </c>
      <c r="AB228" s="222"/>
      <c r="AC228" s="134"/>
      <c r="AD228" s="134">
        <v>0</v>
      </c>
      <c r="AE228" s="221">
        <f>SUM(CATEGORIAS[[#This Row],[INVENTARIO]:[PROYECCION
DE COSTO
DEL SALDO]])</f>
        <v>0</v>
      </c>
      <c r="AF228" s="134"/>
      <c r="AG228" s="134">
        <f>+CATEGORIAS[[#This Row],[PRESUPUESTO
FINAL
PROYECTADO]]-CATEGORIAS[[#This Row],[COSTO REAL]]-CATEGORIAS[[#This Row],[PROYECCION
TOTAL DE COSTO]]</f>
        <v>0</v>
      </c>
    </row>
    <row r="229" spans="1:33" x14ac:dyDescent="0.25">
      <c r="A229" s="245"/>
      <c r="B229" s="245"/>
      <c r="C229" s="245"/>
      <c r="D229" s="323" t="s">
        <v>1965</v>
      </c>
      <c r="E229" s="246" t="s">
        <v>820</v>
      </c>
      <c r="F229" s="246" t="s">
        <v>376</v>
      </c>
      <c r="G229" s="279">
        <v>0</v>
      </c>
      <c r="H229" s="279">
        <v>0</v>
      </c>
      <c r="I229" s="132">
        <v>0</v>
      </c>
      <c r="J229" s="132">
        <v>0</v>
      </c>
      <c r="K229" s="132">
        <v>0</v>
      </c>
      <c r="L229" s="144">
        <f>CATEGORIAS[[#This Row],[ADICIONALES]]+CATEGORIAS[[#This Row],[POM]]+CATEGORIAS[[#This Row],[REAJUSTE 
PAGADO]]+CATEGORIAS[[#This Row],[REAJUSTE
PROYECTADO]]</f>
        <v>0</v>
      </c>
      <c r="M229" s="133">
        <v>0</v>
      </c>
      <c r="N229" s="222">
        <v>0</v>
      </c>
      <c r="O229" s="142">
        <f>+CATEGORIAS[[#This Row],[PRODUCCION
PARTIDAS
ORIGINALES
ACTUAL]]+CATEGORIAS[[#This Row],[PRODUCCION
ADICIONALES
ACTUAL]]</f>
        <v>0</v>
      </c>
      <c r="P229" s="222">
        <v>0</v>
      </c>
      <c r="Q229" s="222">
        <v>0</v>
      </c>
      <c r="R229" s="141">
        <f>+CATEGORIAS[[#This Row],[PRODUCCION
ANTERIOR]]+CATEGORIAS[[#This Row],[PRODUCCION
ADICIONALES
ANTERIOR]]</f>
        <v>0</v>
      </c>
      <c r="S229" s="135">
        <v>0</v>
      </c>
      <c r="T229" s="135"/>
      <c r="U229" s="135">
        <v>0</v>
      </c>
      <c r="V229" s="262">
        <f>SUM(CATEGORIAS[[#This Row],[COSTO
ACUMULADO  AX]:[PROVISIONES]])</f>
        <v>0</v>
      </c>
      <c r="W229" s="264">
        <v>0</v>
      </c>
      <c r="X229" s="222"/>
      <c r="Y229" s="222">
        <v>0</v>
      </c>
      <c r="Z229" s="263">
        <f>SUM(CATEGORIAS[[#This Row],[COSTO ACUMULADO
ANTERIOR]:[PROVISIONES
ANTERIOR]])</f>
        <v>0</v>
      </c>
      <c r="AA229" s="338">
        <f>ABS(+CATEGORIAS[[#This Row],[PRESUPUESTO
FINAL
PROYECTADO]]-CATEGORIAS[[#This Row],[TOTAL PRODUCCION
ACTUAL]])</f>
        <v>0</v>
      </c>
      <c r="AB229" s="222"/>
      <c r="AC229" s="134"/>
      <c r="AD229" s="134">
        <v>0</v>
      </c>
      <c r="AE229" s="221">
        <f>SUM(CATEGORIAS[[#This Row],[INVENTARIO]:[PROYECCION
DE COSTO
DEL SALDO]])</f>
        <v>0</v>
      </c>
      <c r="AF229" s="134"/>
      <c r="AG229" s="134">
        <f>+CATEGORIAS[[#This Row],[PRESUPUESTO
FINAL
PROYECTADO]]-CATEGORIAS[[#This Row],[COSTO REAL]]-CATEGORIAS[[#This Row],[PROYECCION
TOTAL DE COSTO]]</f>
        <v>0</v>
      </c>
    </row>
    <row r="230" spans="1:33" x14ac:dyDescent="0.25">
      <c r="A230" s="245"/>
      <c r="B230" s="245"/>
      <c r="C230" s="245"/>
      <c r="D230" s="323" t="s">
        <v>1966</v>
      </c>
      <c r="E230" s="244" t="s">
        <v>822</v>
      </c>
      <c r="F230" s="246" t="s">
        <v>376</v>
      </c>
      <c r="G230" s="279">
        <v>0</v>
      </c>
      <c r="H230" s="279">
        <v>0</v>
      </c>
      <c r="I230" s="132">
        <v>0</v>
      </c>
      <c r="J230" s="132">
        <v>0</v>
      </c>
      <c r="K230" s="132">
        <v>0</v>
      </c>
      <c r="L230" s="144">
        <f>CATEGORIAS[[#This Row],[ADICIONALES]]+CATEGORIAS[[#This Row],[POM]]+CATEGORIAS[[#This Row],[REAJUSTE 
PAGADO]]+CATEGORIAS[[#This Row],[REAJUSTE
PROYECTADO]]</f>
        <v>0</v>
      </c>
      <c r="M230" s="133">
        <v>0</v>
      </c>
      <c r="N230" s="222">
        <v>0</v>
      </c>
      <c r="O230" s="142">
        <f>+CATEGORIAS[[#This Row],[PRODUCCION
PARTIDAS
ORIGINALES
ACTUAL]]+CATEGORIAS[[#This Row],[PRODUCCION
ADICIONALES
ACTUAL]]</f>
        <v>0</v>
      </c>
      <c r="P230" s="222">
        <v>0</v>
      </c>
      <c r="Q230" s="222">
        <v>0</v>
      </c>
      <c r="R230" s="141">
        <f>+CATEGORIAS[[#This Row],[PRODUCCION
ANTERIOR]]+CATEGORIAS[[#This Row],[PRODUCCION
ADICIONALES
ANTERIOR]]</f>
        <v>0</v>
      </c>
      <c r="S230" s="135">
        <v>0</v>
      </c>
      <c r="T230" s="135"/>
      <c r="U230" s="135">
        <v>0</v>
      </c>
      <c r="V230" s="262">
        <f>SUM(CATEGORIAS[[#This Row],[COSTO
ACUMULADO  AX]:[PROVISIONES]])</f>
        <v>0</v>
      </c>
      <c r="W230" s="264">
        <v>0</v>
      </c>
      <c r="X230" s="222"/>
      <c r="Y230" s="222">
        <v>0</v>
      </c>
      <c r="Z230" s="263">
        <f>SUM(CATEGORIAS[[#This Row],[COSTO ACUMULADO
ANTERIOR]:[PROVISIONES
ANTERIOR]])</f>
        <v>0</v>
      </c>
      <c r="AA230" s="338">
        <f>ABS(+CATEGORIAS[[#This Row],[PRESUPUESTO
FINAL
PROYECTADO]]-CATEGORIAS[[#This Row],[TOTAL PRODUCCION
ACTUAL]])</f>
        <v>0</v>
      </c>
      <c r="AB230" s="222"/>
      <c r="AC230" s="134"/>
      <c r="AD230" s="134">
        <v>0</v>
      </c>
      <c r="AE230" s="221">
        <f>SUM(CATEGORIAS[[#This Row],[INVENTARIO]:[PROYECCION
DE COSTO
DEL SALDO]])</f>
        <v>0</v>
      </c>
      <c r="AF230" s="134"/>
      <c r="AG230" s="134">
        <f>+CATEGORIAS[[#This Row],[PRESUPUESTO
FINAL
PROYECTADO]]-CATEGORIAS[[#This Row],[COSTO REAL]]-CATEGORIAS[[#This Row],[PROYECCION
TOTAL DE COSTO]]</f>
        <v>0</v>
      </c>
    </row>
    <row r="231" spans="1:33" x14ac:dyDescent="0.25">
      <c r="A231" s="245"/>
      <c r="B231" s="245"/>
      <c r="C231" s="245"/>
      <c r="D231" s="323" t="s">
        <v>1967</v>
      </c>
      <c r="E231" s="244" t="s">
        <v>824</v>
      </c>
      <c r="F231" s="246" t="s">
        <v>376</v>
      </c>
      <c r="G231" s="279">
        <v>0</v>
      </c>
      <c r="H231" s="279">
        <v>0</v>
      </c>
      <c r="I231" s="132">
        <v>0</v>
      </c>
      <c r="J231" s="132">
        <v>0</v>
      </c>
      <c r="K231" s="132">
        <v>0</v>
      </c>
      <c r="L231" s="144">
        <f>CATEGORIAS[[#This Row],[ADICIONALES]]+CATEGORIAS[[#This Row],[POM]]+CATEGORIAS[[#This Row],[REAJUSTE 
PAGADO]]+CATEGORIAS[[#This Row],[REAJUSTE
PROYECTADO]]</f>
        <v>0</v>
      </c>
      <c r="M231" s="133">
        <v>0</v>
      </c>
      <c r="N231" s="222">
        <v>0</v>
      </c>
      <c r="O231" s="142">
        <f>+CATEGORIAS[[#This Row],[PRODUCCION
PARTIDAS
ORIGINALES
ACTUAL]]+CATEGORIAS[[#This Row],[PRODUCCION
ADICIONALES
ACTUAL]]</f>
        <v>0</v>
      </c>
      <c r="P231" s="222">
        <v>0</v>
      </c>
      <c r="Q231" s="222">
        <v>0</v>
      </c>
      <c r="R231" s="141">
        <f>+CATEGORIAS[[#This Row],[PRODUCCION
ANTERIOR]]+CATEGORIAS[[#This Row],[PRODUCCION
ADICIONALES
ANTERIOR]]</f>
        <v>0</v>
      </c>
      <c r="S231" s="135">
        <v>0</v>
      </c>
      <c r="T231" s="135"/>
      <c r="U231" s="135">
        <v>0</v>
      </c>
      <c r="V231" s="262">
        <f>SUM(CATEGORIAS[[#This Row],[COSTO
ACUMULADO  AX]:[PROVISIONES]])</f>
        <v>0</v>
      </c>
      <c r="W231" s="264">
        <v>0</v>
      </c>
      <c r="X231" s="222"/>
      <c r="Y231" s="222">
        <v>0</v>
      </c>
      <c r="Z231" s="263">
        <f>SUM(CATEGORIAS[[#This Row],[COSTO ACUMULADO
ANTERIOR]:[PROVISIONES
ANTERIOR]])</f>
        <v>0</v>
      </c>
      <c r="AA231" s="338">
        <f>ABS(+CATEGORIAS[[#This Row],[PRESUPUESTO
FINAL
PROYECTADO]]-CATEGORIAS[[#This Row],[TOTAL PRODUCCION
ACTUAL]])</f>
        <v>0</v>
      </c>
      <c r="AB231" s="222"/>
      <c r="AC231" s="134"/>
      <c r="AD231" s="134">
        <v>0</v>
      </c>
      <c r="AE231" s="221">
        <f>SUM(CATEGORIAS[[#This Row],[INVENTARIO]:[PROYECCION
DE COSTO
DEL SALDO]])</f>
        <v>0</v>
      </c>
      <c r="AF231" s="134"/>
      <c r="AG231" s="134">
        <f>+CATEGORIAS[[#This Row],[PRESUPUESTO
FINAL
PROYECTADO]]-CATEGORIAS[[#This Row],[COSTO REAL]]-CATEGORIAS[[#This Row],[PROYECCION
TOTAL DE COSTO]]</f>
        <v>0</v>
      </c>
    </row>
    <row r="232" spans="1:33" x14ac:dyDescent="0.25">
      <c r="A232" s="245" t="s">
        <v>103</v>
      </c>
      <c r="B232" s="245" t="s">
        <v>217</v>
      </c>
      <c r="C232" s="245" t="s">
        <v>2441</v>
      </c>
      <c r="D232" s="323" t="s">
        <v>1968</v>
      </c>
      <c r="E232" s="244" t="s">
        <v>826</v>
      </c>
      <c r="F232" s="246" t="s">
        <v>376</v>
      </c>
      <c r="G232" s="279">
        <v>4509885.5999999996</v>
      </c>
      <c r="H232" s="279">
        <v>2605324.6191046899</v>
      </c>
      <c r="I232" s="132">
        <v>9089584</v>
      </c>
      <c r="J232" s="132">
        <v>91859.459856919624</v>
      </c>
      <c r="K232" s="132">
        <v>0</v>
      </c>
      <c r="L232" s="144">
        <f>CATEGORIAS[[#This Row],[ADICIONALES]]+CATEGORIAS[[#This Row],[POM]]+CATEGORIAS[[#This Row],[REAJUSTE 
PAGADO]]+CATEGORIAS[[#This Row],[REAJUSTE
PROYECTADO]]</f>
        <v>11786768.078961611</v>
      </c>
      <c r="M232" s="133">
        <v>2696672.6521465168</v>
      </c>
      <c r="N232" s="222">
        <v>9090095.4268150944</v>
      </c>
      <c r="O232" s="142">
        <f>+CATEGORIAS[[#This Row],[PRODUCCION
PARTIDAS
ORIGINALES
ACTUAL]]+CATEGORIAS[[#This Row],[PRODUCCION
ADICIONALES
ACTUAL]]</f>
        <v>11786768.078961611</v>
      </c>
      <c r="P232" s="222">
        <v>2696672.6521465168</v>
      </c>
      <c r="Q232" s="222">
        <v>9089584</v>
      </c>
      <c r="R232" s="141">
        <f>+CATEGORIAS[[#This Row],[PRODUCCION
ANTERIOR]]+CATEGORIAS[[#This Row],[PRODUCCION
ADICIONALES
ANTERIOR]]</f>
        <v>11786256.652146516</v>
      </c>
      <c r="S232" s="135">
        <v>6534900</v>
      </c>
      <c r="T232" s="135"/>
      <c r="U232" s="135">
        <v>0</v>
      </c>
      <c r="V232" s="262">
        <f>SUM(CATEGORIAS[[#This Row],[COSTO
ACUMULADO  AX]:[PROVISIONES]])</f>
        <v>6534900</v>
      </c>
      <c r="W232" s="264">
        <v>6534900</v>
      </c>
      <c r="X232" s="222"/>
      <c r="Y232" s="222">
        <v>0</v>
      </c>
      <c r="Z232" s="263">
        <f>SUM(CATEGORIAS[[#This Row],[COSTO ACUMULADO
ANTERIOR]:[PROVISIONES
ANTERIOR]])</f>
        <v>6534900</v>
      </c>
      <c r="AA232" s="338">
        <f>ABS(+CATEGORIAS[[#This Row],[PRESUPUESTO
FINAL
PROYECTADO]]-CATEGORIAS[[#This Row],[TOTAL PRODUCCION
ACTUAL]])</f>
        <v>0</v>
      </c>
      <c r="AB232" s="222"/>
      <c r="AC232" s="134"/>
      <c r="AD232" s="134">
        <v>0</v>
      </c>
      <c r="AE232" s="221">
        <f>SUM(CATEGORIAS[[#This Row],[INVENTARIO]:[PROYECCION
DE COSTO
DEL SALDO]])</f>
        <v>0</v>
      </c>
      <c r="AF232" s="134"/>
      <c r="AG232" s="134">
        <f>+CATEGORIAS[[#This Row],[PRESUPUESTO
FINAL
PROYECTADO]]-CATEGORIAS[[#This Row],[COSTO REAL]]-CATEGORIAS[[#This Row],[PROYECCION
TOTAL DE COSTO]]</f>
        <v>5251868.0789616108</v>
      </c>
    </row>
    <row r="233" spans="1:33" x14ac:dyDescent="0.25">
      <c r="A233" s="245"/>
      <c r="B233" s="245"/>
      <c r="C233" s="245"/>
      <c r="D233" s="323" t="s">
        <v>1969</v>
      </c>
      <c r="E233" s="244" t="s">
        <v>828</v>
      </c>
      <c r="F233" s="246" t="s">
        <v>376</v>
      </c>
      <c r="G233" s="279">
        <v>0</v>
      </c>
      <c r="H233" s="279">
        <v>0</v>
      </c>
      <c r="I233" s="132">
        <v>0</v>
      </c>
      <c r="J233" s="132">
        <v>0</v>
      </c>
      <c r="K233" s="132">
        <v>0</v>
      </c>
      <c r="L233" s="144">
        <f>CATEGORIAS[[#This Row],[ADICIONALES]]+CATEGORIAS[[#This Row],[POM]]+CATEGORIAS[[#This Row],[REAJUSTE 
PAGADO]]+CATEGORIAS[[#This Row],[REAJUSTE
PROYECTADO]]</f>
        <v>0</v>
      </c>
      <c r="M233" s="133">
        <v>0</v>
      </c>
      <c r="N233" s="222">
        <v>0</v>
      </c>
      <c r="O233" s="142">
        <f>+CATEGORIAS[[#This Row],[PRODUCCION
PARTIDAS
ORIGINALES
ACTUAL]]+CATEGORIAS[[#This Row],[PRODUCCION
ADICIONALES
ACTUAL]]</f>
        <v>0</v>
      </c>
      <c r="P233" s="222">
        <v>0</v>
      </c>
      <c r="Q233" s="134">
        <v>0</v>
      </c>
      <c r="R233" s="141">
        <f>+CATEGORIAS[[#This Row],[PRODUCCION
ANTERIOR]]+CATEGORIAS[[#This Row],[PRODUCCION
ADICIONALES
ANTERIOR]]</f>
        <v>0</v>
      </c>
      <c r="S233" s="135">
        <v>0</v>
      </c>
      <c r="T233" s="135"/>
      <c r="U233" s="135">
        <v>0</v>
      </c>
      <c r="V233" s="262">
        <f>SUM(CATEGORIAS[[#This Row],[COSTO
ACUMULADO  AX]:[PROVISIONES]])</f>
        <v>0</v>
      </c>
      <c r="W233" s="264">
        <v>0</v>
      </c>
      <c r="X233" s="222"/>
      <c r="Y233" s="222">
        <v>0</v>
      </c>
      <c r="Z233" s="263">
        <f>SUM(CATEGORIAS[[#This Row],[COSTO ACUMULADO
ANTERIOR]:[PROVISIONES
ANTERIOR]])</f>
        <v>0</v>
      </c>
      <c r="AA233" s="338">
        <f>ABS(+CATEGORIAS[[#This Row],[PRESUPUESTO
FINAL
PROYECTADO]]-CATEGORIAS[[#This Row],[TOTAL PRODUCCION
ACTUAL]])</f>
        <v>0</v>
      </c>
      <c r="AB233" s="222"/>
      <c r="AC233" s="134"/>
      <c r="AD233" s="134">
        <v>0</v>
      </c>
      <c r="AE233" s="221">
        <f>SUM(CATEGORIAS[[#This Row],[INVENTARIO]:[PROYECCION
DE COSTO
DEL SALDO]])</f>
        <v>0</v>
      </c>
      <c r="AF233" s="134"/>
      <c r="AG233" s="134">
        <f>+CATEGORIAS[[#This Row],[PRESUPUESTO
FINAL
PROYECTADO]]-CATEGORIAS[[#This Row],[COSTO REAL]]-CATEGORIAS[[#This Row],[PROYECCION
TOTAL DE COSTO]]</f>
        <v>0</v>
      </c>
    </row>
    <row r="234" spans="1:33" x14ac:dyDescent="0.25">
      <c r="A234" s="245"/>
      <c r="B234" s="245"/>
      <c r="C234" s="245"/>
      <c r="D234" s="323" t="s">
        <v>1970</v>
      </c>
      <c r="E234" s="244" t="s">
        <v>830</v>
      </c>
      <c r="F234" s="246" t="s">
        <v>376</v>
      </c>
      <c r="G234" s="279">
        <v>0</v>
      </c>
      <c r="H234" s="279">
        <v>0</v>
      </c>
      <c r="I234" s="132">
        <v>0</v>
      </c>
      <c r="J234" s="132">
        <v>0</v>
      </c>
      <c r="K234" s="132">
        <v>0</v>
      </c>
      <c r="L234" s="144">
        <f>CATEGORIAS[[#This Row],[ADICIONALES]]+CATEGORIAS[[#This Row],[POM]]+CATEGORIAS[[#This Row],[REAJUSTE 
PAGADO]]+CATEGORIAS[[#This Row],[REAJUSTE
PROYECTADO]]</f>
        <v>0</v>
      </c>
      <c r="M234" s="133">
        <v>0</v>
      </c>
      <c r="N234" s="222">
        <v>0</v>
      </c>
      <c r="O234" s="142">
        <f>+CATEGORIAS[[#This Row],[PRODUCCION
PARTIDAS
ORIGINALES
ACTUAL]]+CATEGORIAS[[#This Row],[PRODUCCION
ADICIONALES
ACTUAL]]</f>
        <v>0</v>
      </c>
      <c r="P234" s="222">
        <v>0</v>
      </c>
      <c r="Q234" s="222">
        <v>0</v>
      </c>
      <c r="R234" s="141">
        <f>+CATEGORIAS[[#This Row],[PRODUCCION
ANTERIOR]]+CATEGORIAS[[#This Row],[PRODUCCION
ADICIONALES
ANTERIOR]]</f>
        <v>0</v>
      </c>
      <c r="S234" s="135">
        <v>0</v>
      </c>
      <c r="T234" s="135"/>
      <c r="U234" s="135">
        <v>0</v>
      </c>
      <c r="V234" s="262">
        <f>SUM(CATEGORIAS[[#This Row],[COSTO
ACUMULADO  AX]:[PROVISIONES]])</f>
        <v>0</v>
      </c>
      <c r="W234" s="264">
        <v>0</v>
      </c>
      <c r="X234" s="222"/>
      <c r="Y234" s="222">
        <v>0</v>
      </c>
      <c r="Z234" s="263">
        <f>SUM(CATEGORIAS[[#This Row],[COSTO ACUMULADO
ANTERIOR]:[PROVISIONES
ANTERIOR]])</f>
        <v>0</v>
      </c>
      <c r="AA234" s="338">
        <f>ABS(+CATEGORIAS[[#This Row],[PRESUPUESTO
FINAL
PROYECTADO]]-CATEGORIAS[[#This Row],[TOTAL PRODUCCION
ACTUAL]])</f>
        <v>0</v>
      </c>
      <c r="AB234" s="222"/>
      <c r="AC234" s="134"/>
      <c r="AD234" s="134">
        <v>0</v>
      </c>
      <c r="AE234" s="221">
        <f>SUM(CATEGORIAS[[#This Row],[INVENTARIO]:[PROYECCION
DE COSTO
DEL SALDO]])</f>
        <v>0</v>
      </c>
      <c r="AF234" s="134"/>
      <c r="AG234" s="134">
        <f>+CATEGORIAS[[#This Row],[PRESUPUESTO
FINAL
PROYECTADO]]-CATEGORIAS[[#This Row],[COSTO REAL]]-CATEGORIAS[[#This Row],[PROYECCION
TOTAL DE COSTO]]</f>
        <v>0</v>
      </c>
    </row>
    <row r="235" spans="1:33" x14ac:dyDescent="0.25">
      <c r="A235" s="245"/>
      <c r="B235" s="245"/>
      <c r="C235" s="245"/>
      <c r="D235" s="323" t="s">
        <v>1971</v>
      </c>
      <c r="E235" s="244" t="s">
        <v>832</v>
      </c>
      <c r="F235" s="246" t="s">
        <v>376</v>
      </c>
      <c r="G235" s="279">
        <v>0</v>
      </c>
      <c r="H235" s="279">
        <v>0</v>
      </c>
      <c r="I235" s="132">
        <v>0</v>
      </c>
      <c r="J235" s="132">
        <v>0</v>
      </c>
      <c r="K235" s="132">
        <v>0</v>
      </c>
      <c r="L235" s="144">
        <f>CATEGORIAS[[#This Row],[ADICIONALES]]+CATEGORIAS[[#This Row],[POM]]+CATEGORIAS[[#This Row],[REAJUSTE 
PAGADO]]+CATEGORIAS[[#This Row],[REAJUSTE
PROYECTADO]]</f>
        <v>0</v>
      </c>
      <c r="M235" s="133">
        <v>0</v>
      </c>
      <c r="N235" s="222">
        <v>0</v>
      </c>
      <c r="O235" s="142">
        <f>+CATEGORIAS[[#This Row],[PRODUCCION
PARTIDAS
ORIGINALES
ACTUAL]]+CATEGORIAS[[#This Row],[PRODUCCION
ADICIONALES
ACTUAL]]</f>
        <v>0</v>
      </c>
      <c r="P235" s="222">
        <v>0</v>
      </c>
      <c r="Q235" s="134">
        <v>0</v>
      </c>
      <c r="R235" s="141">
        <f>+CATEGORIAS[[#This Row],[PRODUCCION
ANTERIOR]]+CATEGORIAS[[#This Row],[PRODUCCION
ADICIONALES
ANTERIOR]]</f>
        <v>0</v>
      </c>
      <c r="S235" s="135">
        <v>0</v>
      </c>
      <c r="T235" s="135"/>
      <c r="U235" s="135">
        <v>0</v>
      </c>
      <c r="V235" s="262">
        <f>SUM(CATEGORIAS[[#This Row],[COSTO
ACUMULADO  AX]:[PROVISIONES]])</f>
        <v>0</v>
      </c>
      <c r="W235" s="264">
        <v>0</v>
      </c>
      <c r="X235" s="222"/>
      <c r="Y235" s="222">
        <v>0</v>
      </c>
      <c r="Z235" s="263">
        <f>SUM(CATEGORIAS[[#This Row],[COSTO ACUMULADO
ANTERIOR]:[PROVISIONES
ANTERIOR]])</f>
        <v>0</v>
      </c>
      <c r="AA235" s="338">
        <f>ABS(+CATEGORIAS[[#This Row],[PRESUPUESTO
FINAL
PROYECTADO]]-CATEGORIAS[[#This Row],[TOTAL PRODUCCION
ACTUAL]])</f>
        <v>0</v>
      </c>
      <c r="AB235" s="222"/>
      <c r="AC235" s="134"/>
      <c r="AD235" s="134">
        <v>0</v>
      </c>
      <c r="AE235" s="221">
        <f>SUM(CATEGORIAS[[#This Row],[INVENTARIO]:[PROYECCION
DE COSTO
DEL SALDO]])</f>
        <v>0</v>
      </c>
      <c r="AF235" s="134"/>
      <c r="AG235" s="134">
        <f>+CATEGORIAS[[#This Row],[PRESUPUESTO
FINAL
PROYECTADO]]-CATEGORIAS[[#This Row],[COSTO REAL]]-CATEGORIAS[[#This Row],[PROYECCION
TOTAL DE COSTO]]</f>
        <v>0</v>
      </c>
    </row>
    <row r="236" spans="1:33" x14ac:dyDescent="0.25">
      <c r="A236" s="245"/>
      <c r="B236" s="245"/>
      <c r="C236" s="245"/>
      <c r="D236" s="323" t="s">
        <v>1972</v>
      </c>
      <c r="E236" s="244" t="s">
        <v>834</v>
      </c>
      <c r="F236" s="246" t="s">
        <v>376</v>
      </c>
      <c r="G236" s="279">
        <v>0</v>
      </c>
      <c r="H236" s="279">
        <v>0</v>
      </c>
      <c r="I236" s="132">
        <v>0</v>
      </c>
      <c r="J236" s="132">
        <v>0</v>
      </c>
      <c r="K236" s="132">
        <v>0</v>
      </c>
      <c r="L236" s="144">
        <f>CATEGORIAS[[#This Row],[ADICIONALES]]+CATEGORIAS[[#This Row],[POM]]+CATEGORIAS[[#This Row],[REAJUSTE 
PAGADO]]+CATEGORIAS[[#This Row],[REAJUSTE
PROYECTADO]]</f>
        <v>0</v>
      </c>
      <c r="M236" s="133">
        <v>0</v>
      </c>
      <c r="N236" s="222">
        <v>0</v>
      </c>
      <c r="O236" s="142">
        <f>+CATEGORIAS[[#This Row],[PRODUCCION
PARTIDAS
ORIGINALES
ACTUAL]]+CATEGORIAS[[#This Row],[PRODUCCION
ADICIONALES
ACTUAL]]</f>
        <v>0</v>
      </c>
      <c r="P236" s="222">
        <v>0</v>
      </c>
      <c r="Q236" s="222">
        <v>0</v>
      </c>
      <c r="R236" s="141">
        <f>+CATEGORIAS[[#This Row],[PRODUCCION
ANTERIOR]]+CATEGORIAS[[#This Row],[PRODUCCION
ADICIONALES
ANTERIOR]]</f>
        <v>0</v>
      </c>
      <c r="S236" s="135">
        <v>0</v>
      </c>
      <c r="T236" s="135"/>
      <c r="U236" s="135">
        <v>0</v>
      </c>
      <c r="V236" s="262">
        <f>SUM(CATEGORIAS[[#This Row],[COSTO
ACUMULADO  AX]:[PROVISIONES]])</f>
        <v>0</v>
      </c>
      <c r="W236" s="264">
        <v>0</v>
      </c>
      <c r="X236" s="222"/>
      <c r="Y236" s="222">
        <v>0</v>
      </c>
      <c r="Z236" s="263">
        <f>SUM(CATEGORIAS[[#This Row],[COSTO ACUMULADO
ANTERIOR]:[PROVISIONES
ANTERIOR]])</f>
        <v>0</v>
      </c>
      <c r="AA236" s="338">
        <f>ABS(+CATEGORIAS[[#This Row],[PRESUPUESTO
FINAL
PROYECTADO]]-CATEGORIAS[[#This Row],[TOTAL PRODUCCION
ACTUAL]])</f>
        <v>0</v>
      </c>
      <c r="AB236" s="222"/>
      <c r="AC236" s="134"/>
      <c r="AD236" s="134">
        <v>0</v>
      </c>
      <c r="AE236" s="221">
        <f>SUM(CATEGORIAS[[#This Row],[INVENTARIO]:[PROYECCION
DE COSTO
DEL SALDO]])</f>
        <v>0</v>
      </c>
      <c r="AF236" s="134"/>
      <c r="AG236" s="134">
        <f>+CATEGORIAS[[#This Row],[PRESUPUESTO
FINAL
PROYECTADO]]-CATEGORIAS[[#This Row],[COSTO REAL]]-CATEGORIAS[[#This Row],[PROYECCION
TOTAL DE COSTO]]</f>
        <v>0</v>
      </c>
    </row>
    <row r="237" spans="1:33" x14ac:dyDescent="0.25">
      <c r="A237" s="245"/>
      <c r="B237" s="245"/>
      <c r="C237" s="245"/>
      <c r="D237" s="323" t="s">
        <v>1973</v>
      </c>
      <c r="E237" s="244" t="s">
        <v>836</v>
      </c>
      <c r="F237" s="246" t="s">
        <v>376</v>
      </c>
      <c r="G237" s="279">
        <v>0</v>
      </c>
      <c r="H237" s="279">
        <v>0</v>
      </c>
      <c r="I237" s="132">
        <v>0</v>
      </c>
      <c r="J237" s="132">
        <v>0</v>
      </c>
      <c r="K237" s="132">
        <v>0</v>
      </c>
      <c r="L237" s="144">
        <f>CATEGORIAS[[#This Row],[ADICIONALES]]+CATEGORIAS[[#This Row],[POM]]+CATEGORIAS[[#This Row],[REAJUSTE 
PAGADO]]+CATEGORIAS[[#This Row],[REAJUSTE
PROYECTADO]]</f>
        <v>0</v>
      </c>
      <c r="M237" s="133">
        <v>0</v>
      </c>
      <c r="N237" s="222">
        <v>0</v>
      </c>
      <c r="O237" s="142">
        <f>+CATEGORIAS[[#This Row],[PRODUCCION
PARTIDAS
ORIGINALES
ACTUAL]]+CATEGORIAS[[#This Row],[PRODUCCION
ADICIONALES
ACTUAL]]</f>
        <v>0</v>
      </c>
      <c r="P237" s="222">
        <v>0</v>
      </c>
      <c r="Q237" s="134">
        <v>0</v>
      </c>
      <c r="R237" s="141">
        <f>+CATEGORIAS[[#This Row],[PRODUCCION
ANTERIOR]]+CATEGORIAS[[#This Row],[PRODUCCION
ADICIONALES
ANTERIOR]]</f>
        <v>0</v>
      </c>
      <c r="S237" s="135">
        <v>0</v>
      </c>
      <c r="T237" s="135"/>
      <c r="U237" s="135">
        <v>0</v>
      </c>
      <c r="V237" s="262">
        <f>SUM(CATEGORIAS[[#This Row],[COSTO
ACUMULADO  AX]:[PROVISIONES]])</f>
        <v>0</v>
      </c>
      <c r="W237" s="264">
        <v>0</v>
      </c>
      <c r="X237" s="222"/>
      <c r="Y237" s="222">
        <v>0</v>
      </c>
      <c r="Z237" s="263">
        <f>SUM(CATEGORIAS[[#This Row],[COSTO ACUMULADO
ANTERIOR]:[PROVISIONES
ANTERIOR]])</f>
        <v>0</v>
      </c>
      <c r="AA237" s="338">
        <f>ABS(+CATEGORIAS[[#This Row],[PRESUPUESTO
FINAL
PROYECTADO]]-CATEGORIAS[[#This Row],[TOTAL PRODUCCION
ACTUAL]])</f>
        <v>0</v>
      </c>
      <c r="AB237" s="222"/>
      <c r="AC237" s="134"/>
      <c r="AD237" s="134">
        <v>0</v>
      </c>
      <c r="AE237" s="221">
        <f>SUM(CATEGORIAS[[#This Row],[INVENTARIO]:[PROYECCION
DE COSTO
DEL SALDO]])</f>
        <v>0</v>
      </c>
      <c r="AF237" s="134"/>
      <c r="AG237" s="134">
        <f>+CATEGORIAS[[#This Row],[PRESUPUESTO
FINAL
PROYECTADO]]-CATEGORIAS[[#This Row],[COSTO REAL]]-CATEGORIAS[[#This Row],[PROYECCION
TOTAL DE COSTO]]</f>
        <v>0</v>
      </c>
    </row>
    <row r="238" spans="1:33" x14ac:dyDescent="0.25">
      <c r="A238" s="245"/>
      <c r="B238" s="245"/>
      <c r="C238" s="245"/>
      <c r="D238" s="323" t="s">
        <v>1974</v>
      </c>
      <c r="E238" s="244" t="s">
        <v>838</v>
      </c>
      <c r="F238" s="246" t="s">
        <v>376</v>
      </c>
      <c r="G238" s="279">
        <v>0</v>
      </c>
      <c r="H238" s="279">
        <v>0</v>
      </c>
      <c r="I238" s="132">
        <v>0</v>
      </c>
      <c r="J238" s="132">
        <v>0</v>
      </c>
      <c r="K238" s="132">
        <v>0</v>
      </c>
      <c r="L238" s="144">
        <f>CATEGORIAS[[#This Row],[ADICIONALES]]+CATEGORIAS[[#This Row],[POM]]+CATEGORIAS[[#This Row],[REAJUSTE 
PAGADO]]+CATEGORIAS[[#This Row],[REAJUSTE
PROYECTADO]]</f>
        <v>0</v>
      </c>
      <c r="M238" s="133">
        <v>0</v>
      </c>
      <c r="N238" s="222">
        <v>0</v>
      </c>
      <c r="O238" s="142">
        <f>+CATEGORIAS[[#This Row],[PRODUCCION
PARTIDAS
ORIGINALES
ACTUAL]]+CATEGORIAS[[#This Row],[PRODUCCION
ADICIONALES
ACTUAL]]</f>
        <v>0</v>
      </c>
      <c r="P238" s="222">
        <v>0</v>
      </c>
      <c r="Q238" s="134">
        <v>0</v>
      </c>
      <c r="R238" s="141">
        <f>+CATEGORIAS[[#This Row],[PRODUCCION
ANTERIOR]]+CATEGORIAS[[#This Row],[PRODUCCION
ADICIONALES
ANTERIOR]]</f>
        <v>0</v>
      </c>
      <c r="S238" s="135">
        <v>0</v>
      </c>
      <c r="T238" s="135"/>
      <c r="U238" s="135">
        <v>0</v>
      </c>
      <c r="V238" s="262">
        <f>SUM(CATEGORIAS[[#This Row],[COSTO
ACUMULADO  AX]:[PROVISIONES]])</f>
        <v>0</v>
      </c>
      <c r="W238" s="264">
        <v>0</v>
      </c>
      <c r="X238" s="222"/>
      <c r="Y238" s="222">
        <v>0</v>
      </c>
      <c r="Z238" s="263">
        <f>SUM(CATEGORIAS[[#This Row],[COSTO ACUMULADO
ANTERIOR]:[PROVISIONES
ANTERIOR]])</f>
        <v>0</v>
      </c>
      <c r="AA238" s="338">
        <f>ABS(+CATEGORIAS[[#This Row],[PRESUPUESTO
FINAL
PROYECTADO]]-CATEGORIAS[[#This Row],[TOTAL PRODUCCION
ACTUAL]])</f>
        <v>0</v>
      </c>
      <c r="AB238" s="222"/>
      <c r="AC238" s="134"/>
      <c r="AD238" s="134">
        <v>0</v>
      </c>
      <c r="AE238" s="221">
        <f>SUM(CATEGORIAS[[#This Row],[INVENTARIO]:[PROYECCION
DE COSTO
DEL SALDO]])</f>
        <v>0</v>
      </c>
      <c r="AF238" s="134"/>
      <c r="AG238" s="134">
        <f>+CATEGORIAS[[#This Row],[PRESUPUESTO
FINAL
PROYECTADO]]-CATEGORIAS[[#This Row],[COSTO REAL]]-CATEGORIAS[[#This Row],[PROYECCION
TOTAL DE COSTO]]</f>
        <v>0</v>
      </c>
    </row>
    <row r="239" spans="1:33" x14ac:dyDescent="0.25">
      <c r="A239" s="245"/>
      <c r="B239" s="245"/>
      <c r="C239" s="245"/>
      <c r="D239" s="323" t="s">
        <v>1975</v>
      </c>
      <c r="E239" s="244" t="s">
        <v>840</v>
      </c>
      <c r="F239" s="246" t="s">
        <v>376</v>
      </c>
      <c r="G239" s="279">
        <v>0</v>
      </c>
      <c r="H239" s="279">
        <v>0</v>
      </c>
      <c r="I239" s="132">
        <v>0</v>
      </c>
      <c r="J239" s="132">
        <v>0</v>
      </c>
      <c r="K239" s="132">
        <v>0</v>
      </c>
      <c r="L239" s="144">
        <f>CATEGORIAS[[#This Row],[ADICIONALES]]+CATEGORIAS[[#This Row],[POM]]+CATEGORIAS[[#This Row],[REAJUSTE 
PAGADO]]+CATEGORIAS[[#This Row],[REAJUSTE
PROYECTADO]]</f>
        <v>0</v>
      </c>
      <c r="M239" s="133">
        <v>0</v>
      </c>
      <c r="N239" s="222">
        <v>0</v>
      </c>
      <c r="O239" s="142">
        <f>+CATEGORIAS[[#This Row],[PRODUCCION
PARTIDAS
ORIGINALES
ACTUAL]]+CATEGORIAS[[#This Row],[PRODUCCION
ADICIONALES
ACTUAL]]</f>
        <v>0</v>
      </c>
      <c r="P239" s="222">
        <v>0</v>
      </c>
      <c r="Q239" s="222">
        <v>0</v>
      </c>
      <c r="R239" s="141">
        <f>+CATEGORIAS[[#This Row],[PRODUCCION
ANTERIOR]]+CATEGORIAS[[#This Row],[PRODUCCION
ADICIONALES
ANTERIOR]]</f>
        <v>0</v>
      </c>
      <c r="S239" s="135">
        <v>0</v>
      </c>
      <c r="T239" s="135"/>
      <c r="U239" s="135">
        <v>0</v>
      </c>
      <c r="V239" s="262">
        <f>SUM(CATEGORIAS[[#This Row],[COSTO
ACUMULADO  AX]:[PROVISIONES]])</f>
        <v>0</v>
      </c>
      <c r="W239" s="264">
        <v>0</v>
      </c>
      <c r="X239" s="222"/>
      <c r="Y239" s="222">
        <v>0</v>
      </c>
      <c r="Z239" s="263">
        <f>SUM(CATEGORIAS[[#This Row],[COSTO ACUMULADO
ANTERIOR]:[PROVISIONES
ANTERIOR]])</f>
        <v>0</v>
      </c>
      <c r="AA239" s="338">
        <f>ABS(+CATEGORIAS[[#This Row],[PRESUPUESTO
FINAL
PROYECTADO]]-CATEGORIAS[[#This Row],[TOTAL PRODUCCION
ACTUAL]])</f>
        <v>0</v>
      </c>
      <c r="AB239" s="222"/>
      <c r="AC239" s="134"/>
      <c r="AD239" s="134">
        <v>0</v>
      </c>
      <c r="AE239" s="221">
        <f>SUM(CATEGORIAS[[#This Row],[INVENTARIO]:[PROYECCION
DE COSTO
DEL SALDO]])</f>
        <v>0</v>
      </c>
      <c r="AF239" s="134"/>
      <c r="AG239" s="134">
        <f>+CATEGORIAS[[#This Row],[PRESUPUESTO
FINAL
PROYECTADO]]-CATEGORIAS[[#This Row],[COSTO REAL]]-CATEGORIAS[[#This Row],[PROYECCION
TOTAL DE COSTO]]</f>
        <v>0</v>
      </c>
    </row>
    <row r="240" spans="1:33" x14ac:dyDescent="0.25">
      <c r="A240" s="245"/>
      <c r="B240" s="245"/>
      <c r="C240" s="245"/>
      <c r="D240" s="323" t="s">
        <v>1976</v>
      </c>
      <c r="E240" s="244" t="s">
        <v>842</v>
      </c>
      <c r="F240" s="246" t="s">
        <v>379</v>
      </c>
      <c r="G240" s="279">
        <v>0</v>
      </c>
      <c r="H240" s="279">
        <v>0</v>
      </c>
      <c r="I240" s="132">
        <v>0</v>
      </c>
      <c r="J240" s="132">
        <v>0</v>
      </c>
      <c r="K240" s="132">
        <v>0</v>
      </c>
      <c r="L240" s="144">
        <f>CATEGORIAS[[#This Row],[ADICIONALES]]+CATEGORIAS[[#This Row],[POM]]+CATEGORIAS[[#This Row],[REAJUSTE 
PAGADO]]+CATEGORIAS[[#This Row],[REAJUSTE
PROYECTADO]]</f>
        <v>0</v>
      </c>
      <c r="M240" s="133">
        <v>0</v>
      </c>
      <c r="N240" s="222">
        <v>0</v>
      </c>
      <c r="O240" s="142">
        <f>+CATEGORIAS[[#This Row],[PRODUCCION
PARTIDAS
ORIGINALES
ACTUAL]]+CATEGORIAS[[#This Row],[PRODUCCION
ADICIONALES
ACTUAL]]</f>
        <v>0</v>
      </c>
      <c r="P240" s="222">
        <v>0</v>
      </c>
      <c r="Q240" s="222">
        <v>0</v>
      </c>
      <c r="R240" s="141">
        <f>+CATEGORIAS[[#This Row],[PRODUCCION
ANTERIOR]]+CATEGORIAS[[#This Row],[PRODUCCION
ADICIONALES
ANTERIOR]]</f>
        <v>0</v>
      </c>
      <c r="S240" s="135">
        <v>0</v>
      </c>
      <c r="T240" s="135"/>
      <c r="U240" s="135">
        <v>0</v>
      </c>
      <c r="V240" s="262">
        <f>SUM(CATEGORIAS[[#This Row],[COSTO
ACUMULADO  AX]:[PROVISIONES]])</f>
        <v>0</v>
      </c>
      <c r="W240" s="264">
        <v>0</v>
      </c>
      <c r="X240" s="222"/>
      <c r="Y240" s="222">
        <v>0</v>
      </c>
      <c r="Z240" s="263">
        <f>SUM(CATEGORIAS[[#This Row],[COSTO ACUMULADO
ANTERIOR]:[PROVISIONES
ANTERIOR]])</f>
        <v>0</v>
      </c>
      <c r="AA240" s="338">
        <f>ABS(+CATEGORIAS[[#This Row],[PRESUPUESTO
FINAL
PROYECTADO]]-CATEGORIAS[[#This Row],[TOTAL PRODUCCION
ACTUAL]])</f>
        <v>0</v>
      </c>
      <c r="AB240" s="222"/>
      <c r="AC240" s="134"/>
      <c r="AD240" s="134">
        <v>0</v>
      </c>
      <c r="AE240" s="221">
        <f>SUM(CATEGORIAS[[#This Row],[INVENTARIO]:[PROYECCION
DE COSTO
DEL SALDO]])</f>
        <v>0</v>
      </c>
      <c r="AF240" s="134"/>
      <c r="AG240" s="134">
        <f>+CATEGORIAS[[#This Row],[PRESUPUESTO
FINAL
PROYECTADO]]-CATEGORIAS[[#This Row],[COSTO REAL]]-CATEGORIAS[[#This Row],[PROYECCION
TOTAL DE COSTO]]</f>
        <v>0</v>
      </c>
    </row>
    <row r="241" spans="1:33" x14ac:dyDescent="0.25">
      <c r="A241" s="245"/>
      <c r="B241" s="245"/>
      <c r="C241" s="245"/>
      <c r="D241" s="323" t="s">
        <v>1977</v>
      </c>
      <c r="E241" s="244" t="s">
        <v>844</v>
      </c>
      <c r="F241" s="246" t="s">
        <v>376</v>
      </c>
      <c r="G241" s="279">
        <v>0</v>
      </c>
      <c r="H241" s="279">
        <v>0</v>
      </c>
      <c r="I241" s="132">
        <v>0</v>
      </c>
      <c r="J241" s="132">
        <v>0</v>
      </c>
      <c r="K241" s="132">
        <v>0</v>
      </c>
      <c r="L241" s="144">
        <f>CATEGORIAS[[#This Row],[ADICIONALES]]+CATEGORIAS[[#This Row],[POM]]+CATEGORIAS[[#This Row],[REAJUSTE 
PAGADO]]+CATEGORIAS[[#This Row],[REAJUSTE
PROYECTADO]]</f>
        <v>0</v>
      </c>
      <c r="M241" s="133">
        <v>0</v>
      </c>
      <c r="N241" s="222">
        <v>0</v>
      </c>
      <c r="O241" s="142">
        <f>+CATEGORIAS[[#This Row],[PRODUCCION
PARTIDAS
ORIGINALES
ACTUAL]]+CATEGORIAS[[#This Row],[PRODUCCION
ADICIONALES
ACTUAL]]</f>
        <v>0</v>
      </c>
      <c r="P241" s="222">
        <v>0</v>
      </c>
      <c r="Q241" s="134">
        <v>0</v>
      </c>
      <c r="R241" s="141">
        <f>+CATEGORIAS[[#This Row],[PRODUCCION
ANTERIOR]]+CATEGORIAS[[#This Row],[PRODUCCION
ADICIONALES
ANTERIOR]]</f>
        <v>0</v>
      </c>
      <c r="S241" s="135">
        <v>0</v>
      </c>
      <c r="T241" s="135"/>
      <c r="U241" s="135">
        <v>0</v>
      </c>
      <c r="V241" s="262">
        <f>SUM(CATEGORIAS[[#This Row],[COSTO
ACUMULADO  AX]:[PROVISIONES]])</f>
        <v>0</v>
      </c>
      <c r="W241" s="264">
        <v>0</v>
      </c>
      <c r="X241" s="222"/>
      <c r="Y241" s="222">
        <v>0</v>
      </c>
      <c r="Z241" s="263">
        <f>SUM(CATEGORIAS[[#This Row],[COSTO ACUMULADO
ANTERIOR]:[PROVISIONES
ANTERIOR]])</f>
        <v>0</v>
      </c>
      <c r="AA241" s="338">
        <f>ABS(+CATEGORIAS[[#This Row],[PRESUPUESTO
FINAL
PROYECTADO]]-CATEGORIAS[[#This Row],[TOTAL PRODUCCION
ACTUAL]])</f>
        <v>0</v>
      </c>
      <c r="AB241" s="222"/>
      <c r="AC241" s="134"/>
      <c r="AD241" s="134">
        <v>0</v>
      </c>
      <c r="AE241" s="221">
        <f>SUM(CATEGORIAS[[#This Row],[INVENTARIO]:[PROYECCION
DE COSTO
DEL SALDO]])</f>
        <v>0</v>
      </c>
      <c r="AF241" s="134"/>
      <c r="AG241" s="134">
        <f>+CATEGORIAS[[#This Row],[PRESUPUESTO
FINAL
PROYECTADO]]-CATEGORIAS[[#This Row],[COSTO REAL]]-CATEGORIAS[[#This Row],[PROYECCION
TOTAL DE COSTO]]</f>
        <v>0</v>
      </c>
    </row>
    <row r="242" spans="1:33" x14ac:dyDescent="0.25">
      <c r="A242" s="245"/>
      <c r="B242" s="245"/>
      <c r="C242" s="245"/>
      <c r="D242" s="323" t="s">
        <v>1978</v>
      </c>
      <c r="E242" s="244" t="s">
        <v>846</v>
      </c>
      <c r="F242" s="246" t="s">
        <v>376</v>
      </c>
      <c r="G242" s="279">
        <v>0</v>
      </c>
      <c r="H242" s="279">
        <v>0</v>
      </c>
      <c r="I242" s="132">
        <v>0</v>
      </c>
      <c r="J242" s="132">
        <v>0</v>
      </c>
      <c r="K242" s="132">
        <v>0</v>
      </c>
      <c r="L242" s="144">
        <f>CATEGORIAS[[#This Row],[ADICIONALES]]+CATEGORIAS[[#This Row],[POM]]+CATEGORIAS[[#This Row],[REAJUSTE 
PAGADO]]+CATEGORIAS[[#This Row],[REAJUSTE
PROYECTADO]]</f>
        <v>0</v>
      </c>
      <c r="M242" s="133">
        <v>0</v>
      </c>
      <c r="N242" s="222">
        <v>0</v>
      </c>
      <c r="O242" s="142">
        <f>+CATEGORIAS[[#This Row],[PRODUCCION
PARTIDAS
ORIGINALES
ACTUAL]]+CATEGORIAS[[#This Row],[PRODUCCION
ADICIONALES
ACTUAL]]</f>
        <v>0</v>
      </c>
      <c r="P242" s="222">
        <v>0</v>
      </c>
      <c r="Q242" s="222">
        <v>0</v>
      </c>
      <c r="R242" s="141">
        <f>+CATEGORIAS[[#This Row],[PRODUCCION
ANTERIOR]]+CATEGORIAS[[#This Row],[PRODUCCION
ADICIONALES
ANTERIOR]]</f>
        <v>0</v>
      </c>
      <c r="S242" s="135">
        <v>0</v>
      </c>
      <c r="T242" s="135"/>
      <c r="U242" s="135">
        <v>0</v>
      </c>
      <c r="V242" s="262">
        <f>SUM(CATEGORIAS[[#This Row],[COSTO
ACUMULADO  AX]:[PROVISIONES]])</f>
        <v>0</v>
      </c>
      <c r="W242" s="264">
        <v>0</v>
      </c>
      <c r="X242" s="222"/>
      <c r="Y242" s="222">
        <v>0</v>
      </c>
      <c r="Z242" s="263">
        <f>SUM(CATEGORIAS[[#This Row],[COSTO ACUMULADO
ANTERIOR]:[PROVISIONES
ANTERIOR]])</f>
        <v>0</v>
      </c>
      <c r="AA242" s="338">
        <f>ABS(+CATEGORIAS[[#This Row],[PRESUPUESTO
FINAL
PROYECTADO]]-CATEGORIAS[[#This Row],[TOTAL PRODUCCION
ACTUAL]])</f>
        <v>0</v>
      </c>
      <c r="AB242" s="222"/>
      <c r="AC242" s="134"/>
      <c r="AD242" s="134">
        <v>0</v>
      </c>
      <c r="AE242" s="221">
        <f>SUM(CATEGORIAS[[#This Row],[INVENTARIO]:[PROYECCION
DE COSTO
DEL SALDO]])</f>
        <v>0</v>
      </c>
      <c r="AF242" s="134"/>
      <c r="AG242" s="134">
        <f>+CATEGORIAS[[#This Row],[PRESUPUESTO
FINAL
PROYECTADO]]-CATEGORIAS[[#This Row],[COSTO REAL]]-CATEGORIAS[[#This Row],[PROYECCION
TOTAL DE COSTO]]</f>
        <v>0</v>
      </c>
    </row>
    <row r="243" spans="1:33" x14ac:dyDescent="0.25">
      <c r="A243" s="245"/>
      <c r="B243" s="245"/>
      <c r="C243" s="245"/>
      <c r="D243" s="323" t="s">
        <v>1979</v>
      </c>
      <c r="E243" s="244" t="s">
        <v>848</v>
      </c>
      <c r="F243" s="246" t="s">
        <v>376</v>
      </c>
      <c r="G243" s="279">
        <v>0</v>
      </c>
      <c r="H243" s="279">
        <v>0</v>
      </c>
      <c r="I243" s="132">
        <v>0</v>
      </c>
      <c r="J243" s="132">
        <v>0</v>
      </c>
      <c r="K243" s="132">
        <v>0</v>
      </c>
      <c r="L243" s="144">
        <f>CATEGORIAS[[#This Row],[ADICIONALES]]+CATEGORIAS[[#This Row],[POM]]+CATEGORIAS[[#This Row],[REAJUSTE 
PAGADO]]+CATEGORIAS[[#This Row],[REAJUSTE
PROYECTADO]]</f>
        <v>0</v>
      </c>
      <c r="M243" s="133">
        <v>0</v>
      </c>
      <c r="N243" s="222">
        <v>0</v>
      </c>
      <c r="O243" s="142">
        <f>+CATEGORIAS[[#This Row],[PRODUCCION
PARTIDAS
ORIGINALES
ACTUAL]]+CATEGORIAS[[#This Row],[PRODUCCION
ADICIONALES
ACTUAL]]</f>
        <v>0</v>
      </c>
      <c r="P243" s="222">
        <v>0</v>
      </c>
      <c r="Q243" s="134">
        <v>0</v>
      </c>
      <c r="R243" s="141">
        <f>+CATEGORIAS[[#This Row],[PRODUCCION
ANTERIOR]]+CATEGORIAS[[#This Row],[PRODUCCION
ADICIONALES
ANTERIOR]]</f>
        <v>0</v>
      </c>
      <c r="S243" s="135">
        <v>0</v>
      </c>
      <c r="T243" s="135"/>
      <c r="U243" s="135">
        <v>0</v>
      </c>
      <c r="V243" s="262">
        <f>SUM(CATEGORIAS[[#This Row],[COSTO
ACUMULADO  AX]:[PROVISIONES]])</f>
        <v>0</v>
      </c>
      <c r="W243" s="264">
        <v>0</v>
      </c>
      <c r="X243" s="222"/>
      <c r="Y243" s="222">
        <v>0</v>
      </c>
      <c r="Z243" s="263">
        <f>SUM(CATEGORIAS[[#This Row],[COSTO ACUMULADO
ANTERIOR]:[PROVISIONES
ANTERIOR]])</f>
        <v>0</v>
      </c>
      <c r="AA243" s="338">
        <f>ABS(+CATEGORIAS[[#This Row],[PRESUPUESTO
FINAL
PROYECTADO]]-CATEGORIAS[[#This Row],[TOTAL PRODUCCION
ACTUAL]])</f>
        <v>0</v>
      </c>
      <c r="AB243" s="222"/>
      <c r="AC243" s="134"/>
      <c r="AD243" s="134">
        <v>0</v>
      </c>
      <c r="AE243" s="221">
        <f>SUM(CATEGORIAS[[#This Row],[INVENTARIO]:[PROYECCION
DE COSTO
DEL SALDO]])</f>
        <v>0</v>
      </c>
      <c r="AF243" s="134"/>
      <c r="AG243" s="134">
        <f>+CATEGORIAS[[#This Row],[PRESUPUESTO
FINAL
PROYECTADO]]-CATEGORIAS[[#This Row],[COSTO REAL]]-CATEGORIAS[[#This Row],[PROYECCION
TOTAL DE COSTO]]</f>
        <v>0</v>
      </c>
    </row>
    <row r="244" spans="1:33" x14ac:dyDescent="0.25">
      <c r="A244" s="245"/>
      <c r="B244" s="245"/>
      <c r="C244" s="245"/>
      <c r="D244" s="323" t="s">
        <v>1980</v>
      </c>
      <c r="E244" s="244" t="s">
        <v>850</v>
      </c>
      <c r="F244" s="246" t="s">
        <v>379</v>
      </c>
      <c r="G244" s="279">
        <v>0</v>
      </c>
      <c r="H244" s="279">
        <v>0</v>
      </c>
      <c r="I244" s="132">
        <v>0</v>
      </c>
      <c r="J244" s="132">
        <v>0</v>
      </c>
      <c r="K244" s="132">
        <v>0</v>
      </c>
      <c r="L244" s="144">
        <f>CATEGORIAS[[#This Row],[ADICIONALES]]+CATEGORIAS[[#This Row],[POM]]+CATEGORIAS[[#This Row],[REAJUSTE 
PAGADO]]+CATEGORIAS[[#This Row],[REAJUSTE
PROYECTADO]]</f>
        <v>0</v>
      </c>
      <c r="M244" s="133">
        <v>0</v>
      </c>
      <c r="N244" s="222">
        <v>0</v>
      </c>
      <c r="O244" s="142">
        <f>+CATEGORIAS[[#This Row],[PRODUCCION
PARTIDAS
ORIGINALES
ACTUAL]]+CATEGORIAS[[#This Row],[PRODUCCION
ADICIONALES
ACTUAL]]</f>
        <v>0</v>
      </c>
      <c r="P244" s="222">
        <v>0</v>
      </c>
      <c r="Q244" s="222">
        <v>0</v>
      </c>
      <c r="R244" s="141">
        <f>+CATEGORIAS[[#This Row],[PRODUCCION
ANTERIOR]]+CATEGORIAS[[#This Row],[PRODUCCION
ADICIONALES
ANTERIOR]]</f>
        <v>0</v>
      </c>
      <c r="S244" s="135">
        <v>0</v>
      </c>
      <c r="T244" s="135"/>
      <c r="U244" s="135">
        <v>0</v>
      </c>
      <c r="V244" s="262">
        <f>SUM(CATEGORIAS[[#This Row],[COSTO
ACUMULADO  AX]:[PROVISIONES]])</f>
        <v>0</v>
      </c>
      <c r="W244" s="264">
        <v>0</v>
      </c>
      <c r="X244" s="222"/>
      <c r="Y244" s="222">
        <v>0</v>
      </c>
      <c r="Z244" s="263">
        <f>SUM(CATEGORIAS[[#This Row],[COSTO ACUMULADO
ANTERIOR]:[PROVISIONES
ANTERIOR]])</f>
        <v>0</v>
      </c>
      <c r="AA244" s="338">
        <f>ABS(+CATEGORIAS[[#This Row],[PRESUPUESTO
FINAL
PROYECTADO]]-CATEGORIAS[[#This Row],[TOTAL PRODUCCION
ACTUAL]])</f>
        <v>0</v>
      </c>
      <c r="AB244" s="222"/>
      <c r="AC244" s="134"/>
      <c r="AD244" s="134">
        <v>0</v>
      </c>
      <c r="AE244" s="221">
        <f>SUM(CATEGORIAS[[#This Row],[INVENTARIO]:[PROYECCION
DE COSTO
DEL SALDO]])</f>
        <v>0</v>
      </c>
      <c r="AF244" s="134"/>
      <c r="AG244" s="134">
        <f>+CATEGORIAS[[#This Row],[PRESUPUESTO
FINAL
PROYECTADO]]-CATEGORIAS[[#This Row],[COSTO REAL]]-CATEGORIAS[[#This Row],[PROYECCION
TOTAL DE COSTO]]</f>
        <v>0</v>
      </c>
    </row>
    <row r="245" spans="1:33" x14ac:dyDescent="0.25">
      <c r="A245" s="245"/>
      <c r="B245" s="245"/>
      <c r="C245" s="245"/>
      <c r="D245" s="323" t="s">
        <v>1981</v>
      </c>
      <c r="E245" s="244" t="s">
        <v>852</v>
      </c>
      <c r="F245" s="246" t="s">
        <v>376</v>
      </c>
      <c r="G245" s="279">
        <v>0</v>
      </c>
      <c r="H245" s="279">
        <v>0</v>
      </c>
      <c r="I245" s="132">
        <v>0</v>
      </c>
      <c r="J245" s="132">
        <v>0</v>
      </c>
      <c r="K245" s="132">
        <v>0</v>
      </c>
      <c r="L245" s="144">
        <f>CATEGORIAS[[#This Row],[ADICIONALES]]+CATEGORIAS[[#This Row],[POM]]+CATEGORIAS[[#This Row],[REAJUSTE 
PAGADO]]+CATEGORIAS[[#This Row],[REAJUSTE
PROYECTADO]]</f>
        <v>0</v>
      </c>
      <c r="M245" s="133">
        <v>0</v>
      </c>
      <c r="N245" s="222">
        <v>0</v>
      </c>
      <c r="O245" s="142">
        <f>+CATEGORIAS[[#This Row],[PRODUCCION
PARTIDAS
ORIGINALES
ACTUAL]]+CATEGORIAS[[#This Row],[PRODUCCION
ADICIONALES
ACTUAL]]</f>
        <v>0</v>
      </c>
      <c r="P245" s="222">
        <v>0</v>
      </c>
      <c r="Q245" s="134">
        <v>0</v>
      </c>
      <c r="R245" s="141">
        <f>+CATEGORIAS[[#This Row],[PRODUCCION
ANTERIOR]]+CATEGORIAS[[#This Row],[PRODUCCION
ADICIONALES
ANTERIOR]]</f>
        <v>0</v>
      </c>
      <c r="S245" s="135">
        <v>0</v>
      </c>
      <c r="T245" s="135"/>
      <c r="U245" s="135">
        <v>0</v>
      </c>
      <c r="V245" s="262">
        <f>SUM(CATEGORIAS[[#This Row],[COSTO
ACUMULADO  AX]:[PROVISIONES]])</f>
        <v>0</v>
      </c>
      <c r="W245" s="264">
        <v>0</v>
      </c>
      <c r="X245" s="222"/>
      <c r="Y245" s="222">
        <v>0</v>
      </c>
      <c r="Z245" s="263">
        <f>SUM(CATEGORIAS[[#This Row],[COSTO ACUMULADO
ANTERIOR]:[PROVISIONES
ANTERIOR]])</f>
        <v>0</v>
      </c>
      <c r="AA245" s="338">
        <f>ABS(+CATEGORIAS[[#This Row],[PRESUPUESTO
FINAL
PROYECTADO]]-CATEGORIAS[[#This Row],[TOTAL PRODUCCION
ACTUAL]])</f>
        <v>0</v>
      </c>
      <c r="AB245" s="222"/>
      <c r="AC245" s="134"/>
      <c r="AD245" s="134">
        <v>0</v>
      </c>
      <c r="AE245" s="221">
        <f>SUM(CATEGORIAS[[#This Row],[INVENTARIO]:[PROYECCION
DE COSTO
DEL SALDO]])</f>
        <v>0</v>
      </c>
      <c r="AF245" s="134"/>
      <c r="AG245" s="134">
        <f>+CATEGORIAS[[#This Row],[PRESUPUESTO
FINAL
PROYECTADO]]-CATEGORIAS[[#This Row],[COSTO REAL]]-CATEGORIAS[[#This Row],[PROYECCION
TOTAL DE COSTO]]</f>
        <v>0</v>
      </c>
    </row>
    <row r="246" spans="1:33" x14ac:dyDescent="0.25">
      <c r="A246" s="245"/>
      <c r="B246" s="245"/>
      <c r="C246" s="245"/>
      <c r="D246" s="323" t="s">
        <v>1982</v>
      </c>
      <c r="E246" s="244" t="s">
        <v>854</v>
      </c>
      <c r="F246" s="246" t="s">
        <v>376</v>
      </c>
      <c r="G246" s="279">
        <v>0</v>
      </c>
      <c r="H246" s="279">
        <v>0</v>
      </c>
      <c r="I246" s="132">
        <v>0</v>
      </c>
      <c r="J246" s="132">
        <v>0</v>
      </c>
      <c r="K246" s="132">
        <v>0</v>
      </c>
      <c r="L246" s="144">
        <f>CATEGORIAS[[#This Row],[ADICIONALES]]+CATEGORIAS[[#This Row],[POM]]+CATEGORIAS[[#This Row],[REAJUSTE 
PAGADO]]+CATEGORIAS[[#This Row],[REAJUSTE
PROYECTADO]]</f>
        <v>0</v>
      </c>
      <c r="M246" s="133">
        <v>0</v>
      </c>
      <c r="N246" s="222">
        <v>0</v>
      </c>
      <c r="O246" s="142">
        <f>+CATEGORIAS[[#This Row],[PRODUCCION
PARTIDAS
ORIGINALES
ACTUAL]]+CATEGORIAS[[#This Row],[PRODUCCION
ADICIONALES
ACTUAL]]</f>
        <v>0</v>
      </c>
      <c r="P246" s="222">
        <v>0</v>
      </c>
      <c r="Q246" s="222">
        <v>0</v>
      </c>
      <c r="R246" s="141">
        <f>+CATEGORIAS[[#This Row],[PRODUCCION
ANTERIOR]]+CATEGORIAS[[#This Row],[PRODUCCION
ADICIONALES
ANTERIOR]]</f>
        <v>0</v>
      </c>
      <c r="S246" s="135">
        <v>0</v>
      </c>
      <c r="T246" s="135"/>
      <c r="U246" s="135">
        <v>0</v>
      </c>
      <c r="V246" s="262">
        <f>SUM(CATEGORIAS[[#This Row],[COSTO
ACUMULADO  AX]:[PROVISIONES]])</f>
        <v>0</v>
      </c>
      <c r="W246" s="264">
        <v>0</v>
      </c>
      <c r="X246" s="222"/>
      <c r="Y246" s="222">
        <v>0</v>
      </c>
      <c r="Z246" s="263">
        <f>SUM(CATEGORIAS[[#This Row],[COSTO ACUMULADO
ANTERIOR]:[PROVISIONES
ANTERIOR]])</f>
        <v>0</v>
      </c>
      <c r="AA246" s="338">
        <f>ABS(+CATEGORIAS[[#This Row],[PRESUPUESTO
FINAL
PROYECTADO]]-CATEGORIAS[[#This Row],[TOTAL PRODUCCION
ACTUAL]])</f>
        <v>0</v>
      </c>
      <c r="AB246" s="222"/>
      <c r="AC246" s="134"/>
      <c r="AD246" s="134">
        <v>0</v>
      </c>
      <c r="AE246" s="221">
        <f>SUM(CATEGORIAS[[#This Row],[INVENTARIO]:[PROYECCION
DE COSTO
DEL SALDO]])</f>
        <v>0</v>
      </c>
      <c r="AF246" s="134"/>
      <c r="AG246" s="134">
        <f>+CATEGORIAS[[#This Row],[PRESUPUESTO
FINAL
PROYECTADO]]-CATEGORIAS[[#This Row],[COSTO REAL]]-CATEGORIAS[[#This Row],[PROYECCION
TOTAL DE COSTO]]</f>
        <v>0</v>
      </c>
    </row>
    <row r="247" spans="1:33" x14ac:dyDescent="0.25">
      <c r="A247" s="245"/>
      <c r="B247" s="245"/>
      <c r="C247" s="245"/>
      <c r="D247" s="323" t="s">
        <v>1983</v>
      </c>
      <c r="E247" s="244" t="s">
        <v>856</v>
      </c>
      <c r="F247" s="246" t="s">
        <v>376</v>
      </c>
      <c r="G247" s="279">
        <v>0</v>
      </c>
      <c r="H247" s="279">
        <v>0</v>
      </c>
      <c r="I247" s="132">
        <v>0</v>
      </c>
      <c r="J247" s="132">
        <v>0</v>
      </c>
      <c r="K247" s="132">
        <v>0</v>
      </c>
      <c r="L247" s="144">
        <f>CATEGORIAS[[#This Row],[ADICIONALES]]+CATEGORIAS[[#This Row],[POM]]+CATEGORIAS[[#This Row],[REAJUSTE 
PAGADO]]+CATEGORIAS[[#This Row],[REAJUSTE
PROYECTADO]]</f>
        <v>0</v>
      </c>
      <c r="M247" s="133">
        <v>0</v>
      </c>
      <c r="N247" s="222">
        <v>0</v>
      </c>
      <c r="O247" s="142">
        <f>+CATEGORIAS[[#This Row],[PRODUCCION
PARTIDAS
ORIGINALES
ACTUAL]]+CATEGORIAS[[#This Row],[PRODUCCION
ADICIONALES
ACTUAL]]</f>
        <v>0</v>
      </c>
      <c r="P247" s="222">
        <v>0</v>
      </c>
      <c r="Q247" s="134">
        <v>0</v>
      </c>
      <c r="R247" s="141">
        <f>+CATEGORIAS[[#This Row],[PRODUCCION
ANTERIOR]]+CATEGORIAS[[#This Row],[PRODUCCION
ADICIONALES
ANTERIOR]]</f>
        <v>0</v>
      </c>
      <c r="S247" s="135">
        <v>0</v>
      </c>
      <c r="T247" s="135"/>
      <c r="U247" s="135">
        <v>0</v>
      </c>
      <c r="V247" s="262">
        <f>SUM(CATEGORIAS[[#This Row],[COSTO
ACUMULADO  AX]:[PROVISIONES]])</f>
        <v>0</v>
      </c>
      <c r="W247" s="264">
        <v>0</v>
      </c>
      <c r="X247" s="222"/>
      <c r="Y247" s="222">
        <v>0</v>
      </c>
      <c r="Z247" s="263">
        <f>SUM(CATEGORIAS[[#This Row],[COSTO ACUMULADO
ANTERIOR]:[PROVISIONES
ANTERIOR]])</f>
        <v>0</v>
      </c>
      <c r="AA247" s="338">
        <f>ABS(+CATEGORIAS[[#This Row],[PRESUPUESTO
FINAL
PROYECTADO]]-CATEGORIAS[[#This Row],[TOTAL PRODUCCION
ACTUAL]])</f>
        <v>0</v>
      </c>
      <c r="AB247" s="222"/>
      <c r="AC247" s="134"/>
      <c r="AD247" s="134">
        <v>0</v>
      </c>
      <c r="AE247" s="221">
        <f>SUM(CATEGORIAS[[#This Row],[INVENTARIO]:[PROYECCION
DE COSTO
DEL SALDO]])</f>
        <v>0</v>
      </c>
      <c r="AF247" s="134"/>
      <c r="AG247" s="134">
        <f>+CATEGORIAS[[#This Row],[PRESUPUESTO
FINAL
PROYECTADO]]-CATEGORIAS[[#This Row],[COSTO REAL]]-CATEGORIAS[[#This Row],[PROYECCION
TOTAL DE COSTO]]</f>
        <v>0</v>
      </c>
    </row>
    <row r="248" spans="1:33" x14ac:dyDescent="0.25">
      <c r="A248" s="245"/>
      <c r="B248" s="245"/>
      <c r="C248" s="245"/>
      <c r="D248" s="323" t="s">
        <v>1984</v>
      </c>
      <c r="E248" s="244" t="s">
        <v>858</v>
      </c>
      <c r="F248" s="246" t="s">
        <v>376</v>
      </c>
      <c r="G248" s="279">
        <v>0</v>
      </c>
      <c r="H248" s="279">
        <v>0</v>
      </c>
      <c r="I248" s="132">
        <v>0</v>
      </c>
      <c r="J248" s="132">
        <v>0</v>
      </c>
      <c r="K248" s="132">
        <v>0</v>
      </c>
      <c r="L248" s="144">
        <f>CATEGORIAS[[#This Row],[ADICIONALES]]+CATEGORIAS[[#This Row],[POM]]+CATEGORIAS[[#This Row],[REAJUSTE 
PAGADO]]+CATEGORIAS[[#This Row],[REAJUSTE
PROYECTADO]]</f>
        <v>0</v>
      </c>
      <c r="M248" s="133">
        <v>0</v>
      </c>
      <c r="N248" s="222">
        <v>0</v>
      </c>
      <c r="O248" s="142">
        <f>+CATEGORIAS[[#This Row],[PRODUCCION
PARTIDAS
ORIGINALES
ACTUAL]]+CATEGORIAS[[#This Row],[PRODUCCION
ADICIONALES
ACTUAL]]</f>
        <v>0</v>
      </c>
      <c r="P248" s="222">
        <v>0</v>
      </c>
      <c r="Q248" s="222">
        <v>0</v>
      </c>
      <c r="R248" s="141">
        <f>+CATEGORIAS[[#This Row],[PRODUCCION
ANTERIOR]]+CATEGORIAS[[#This Row],[PRODUCCION
ADICIONALES
ANTERIOR]]</f>
        <v>0</v>
      </c>
      <c r="S248" s="135">
        <v>0</v>
      </c>
      <c r="T248" s="135"/>
      <c r="U248" s="135">
        <v>0</v>
      </c>
      <c r="V248" s="262">
        <f>SUM(CATEGORIAS[[#This Row],[COSTO
ACUMULADO  AX]:[PROVISIONES]])</f>
        <v>0</v>
      </c>
      <c r="W248" s="264">
        <v>0</v>
      </c>
      <c r="X248" s="222"/>
      <c r="Y248" s="222">
        <v>0</v>
      </c>
      <c r="Z248" s="263">
        <f>SUM(CATEGORIAS[[#This Row],[COSTO ACUMULADO
ANTERIOR]:[PROVISIONES
ANTERIOR]])</f>
        <v>0</v>
      </c>
      <c r="AA248" s="338">
        <f>ABS(+CATEGORIAS[[#This Row],[PRESUPUESTO
FINAL
PROYECTADO]]-CATEGORIAS[[#This Row],[TOTAL PRODUCCION
ACTUAL]])</f>
        <v>0</v>
      </c>
      <c r="AB248" s="222"/>
      <c r="AC248" s="134"/>
      <c r="AD248" s="134">
        <v>0</v>
      </c>
      <c r="AE248" s="221">
        <f>SUM(CATEGORIAS[[#This Row],[INVENTARIO]:[PROYECCION
DE COSTO
DEL SALDO]])</f>
        <v>0</v>
      </c>
      <c r="AF248" s="134"/>
      <c r="AG248" s="134">
        <f>+CATEGORIAS[[#This Row],[PRESUPUESTO
FINAL
PROYECTADO]]-CATEGORIAS[[#This Row],[COSTO REAL]]-CATEGORIAS[[#This Row],[PROYECCION
TOTAL DE COSTO]]</f>
        <v>0</v>
      </c>
    </row>
    <row r="249" spans="1:33" x14ac:dyDescent="0.25">
      <c r="A249" s="245"/>
      <c r="B249" s="245"/>
      <c r="C249" s="245"/>
      <c r="D249" s="323" t="s">
        <v>1985</v>
      </c>
      <c r="E249" s="244" t="s">
        <v>860</v>
      </c>
      <c r="F249" s="246" t="s">
        <v>376</v>
      </c>
      <c r="G249" s="279">
        <v>0</v>
      </c>
      <c r="H249" s="279">
        <v>0</v>
      </c>
      <c r="I249" s="132">
        <v>0</v>
      </c>
      <c r="J249" s="132">
        <v>0</v>
      </c>
      <c r="K249" s="132">
        <v>0</v>
      </c>
      <c r="L249" s="144">
        <f>CATEGORIAS[[#This Row],[ADICIONALES]]+CATEGORIAS[[#This Row],[POM]]+CATEGORIAS[[#This Row],[REAJUSTE 
PAGADO]]+CATEGORIAS[[#This Row],[REAJUSTE
PROYECTADO]]</f>
        <v>0</v>
      </c>
      <c r="M249" s="133">
        <v>0</v>
      </c>
      <c r="N249" s="222">
        <v>0</v>
      </c>
      <c r="O249" s="142">
        <f>+CATEGORIAS[[#This Row],[PRODUCCION
PARTIDAS
ORIGINALES
ACTUAL]]+CATEGORIAS[[#This Row],[PRODUCCION
ADICIONALES
ACTUAL]]</f>
        <v>0</v>
      </c>
      <c r="P249" s="222">
        <v>0</v>
      </c>
      <c r="Q249" s="134">
        <v>0</v>
      </c>
      <c r="R249" s="141">
        <f>+CATEGORIAS[[#This Row],[PRODUCCION
ANTERIOR]]+CATEGORIAS[[#This Row],[PRODUCCION
ADICIONALES
ANTERIOR]]</f>
        <v>0</v>
      </c>
      <c r="S249" s="135">
        <v>0</v>
      </c>
      <c r="T249" s="135"/>
      <c r="U249" s="135">
        <v>0</v>
      </c>
      <c r="V249" s="262">
        <f>SUM(CATEGORIAS[[#This Row],[COSTO
ACUMULADO  AX]:[PROVISIONES]])</f>
        <v>0</v>
      </c>
      <c r="W249" s="264">
        <v>0</v>
      </c>
      <c r="X249" s="222"/>
      <c r="Y249" s="222">
        <v>0</v>
      </c>
      <c r="Z249" s="263">
        <f>SUM(CATEGORIAS[[#This Row],[COSTO ACUMULADO
ANTERIOR]:[PROVISIONES
ANTERIOR]])</f>
        <v>0</v>
      </c>
      <c r="AA249" s="338">
        <f>ABS(+CATEGORIAS[[#This Row],[PRESUPUESTO
FINAL
PROYECTADO]]-CATEGORIAS[[#This Row],[TOTAL PRODUCCION
ACTUAL]])</f>
        <v>0</v>
      </c>
      <c r="AB249" s="222"/>
      <c r="AC249" s="134"/>
      <c r="AD249" s="134">
        <v>0</v>
      </c>
      <c r="AE249" s="221">
        <f>SUM(CATEGORIAS[[#This Row],[INVENTARIO]:[PROYECCION
DE COSTO
DEL SALDO]])</f>
        <v>0</v>
      </c>
      <c r="AF249" s="134"/>
      <c r="AG249" s="134">
        <f>+CATEGORIAS[[#This Row],[PRESUPUESTO
FINAL
PROYECTADO]]-CATEGORIAS[[#This Row],[COSTO REAL]]-CATEGORIAS[[#This Row],[PROYECCION
TOTAL DE COSTO]]</f>
        <v>0</v>
      </c>
    </row>
    <row r="250" spans="1:33" x14ac:dyDescent="0.25">
      <c r="A250" s="245"/>
      <c r="B250" s="245"/>
      <c r="C250" s="245"/>
      <c r="D250" s="323" t="s">
        <v>1986</v>
      </c>
      <c r="E250" s="244" t="s">
        <v>862</v>
      </c>
      <c r="F250" s="246" t="s">
        <v>376</v>
      </c>
      <c r="G250" s="279">
        <v>0</v>
      </c>
      <c r="H250" s="279">
        <v>0</v>
      </c>
      <c r="I250" s="132">
        <v>0</v>
      </c>
      <c r="J250" s="132">
        <v>0</v>
      </c>
      <c r="K250" s="132">
        <v>0</v>
      </c>
      <c r="L250" s="144">
        <f>CATEGORIAS[[#This Row],[ADICIONALES]]+CATEGORIAS[[#This Row],[POM]]+CATEGORIAS[[#This Row],[REAJUSTE 
PAGADO]]+CATEGORIAS[[#This Row],[REAJUSTE
PROYECTADO]]</f>
        <v>0</v>
      </c>
      <c r="M250" s="133">
        <v>0</v>
      </c>
      <c r="N250" s="222">
        <v>0</v>
      </c>
      <c r="O250" s="142">
        <f>+CATEGORIAS[[#This Row],[PRODUCCION
PARTIDAS
ORIGINALES
ACTUAL]]+CATEGORIAS[[#This Row],[PRODUCCION
ADICIONALES
ACTUAL]]</f>
        <v>0</v>
      </c>
      <c r="P250" s="222">
        <v>0</v>
      </c>
      <c r="Q250" s="222">
        <v>0</v>
      </c>
      <c r="R250" s="141">
        <f>+CATEGORIAS[[#This Row],[PRODUCCION
ANTERIOR]]+CATEGORIAS[[#This Row],[PRODUCCION
ADICIONALES
ANTERIOR]]</f>
        <v>0</v>
      </c>
      <c r="S250" s="135">
        <v>0</v>
      </c>
      <c r="T250" s="135"/>
      <c r="U250" s="135">
        <v>0</v>
      </c>
      <c r="V250" s="262">
        <f>SUM(CATEGORIAS[[#This Row],[COSTO
ACUMULADO  AX]:[PROVISIONES]])</f>
        <v>0</v>
      </c>
      <c r="W250" s="264">
        <v>0</v>
      </c>
      <c r="X250" s="222"/>
      <c r="Y250" s="222">
        <v>0</v>
      </c>
      <c r="Z250" s="263">
        <f>SUM(CATEGORIAS[[#This Row],[COSTO ACUMULADO
ANTERIOR]:[PROVISIONES
ANTERIOR]])</f>
        <v>0</v>
      </c>
      <c r="AA250" s="338">
        <f>ABS(+CATEGORIAS[[#This Row],[PRESUPUESTO
FINAL
PROYECTADO]]-CATEGORIAS[[#This Row],[TOTAL PRODUCCION
ACTUAL]])</f>
        <v>0</v>
      </c>
      <c r="AB250" s="222"/>
      <c r="AC250" s="134"/>
      <c r="AD250" s="134">
        <v>0</v>
      </c>
      <c r="AE250" s="221">
        <f>SUM(CATEGORIAS[[#This Row],[INVENTARIO]:[PROYECCION
DE COSTO
DEL SALDO]])</f>
        <v>0</v>
      </c>
      <c r="AF250" s="134"/>
      <c r="AG250" s="134">
        <f>+CATEGORIAS[[#This Row],[PRESUPUESTO
FINAL
PROYECTADO]]-CATEGORIAS[[#This Row],[COSTO REAL]]-CATEGORIAS[[#This Row],[PROYECCION
TOTAL DE COSTO]]</f>
        <v>0</v>
      </c>
    </row>
    <row r="251" spans="1:33" x14ac:dyDescent="0.25">
      <c r="A251" s="245"/>
      <c r="B251" s="245"/>
      <c r="C251" s="245"/>
      <c r="D251" s="323" t="s">
        <v>1987</v>
      </c>
      <c r="E251" s="244" t="s">
        <v>864</v>
      </c>
      <c r="F251" s="246" t="s">
        <v>376</v>
      </c>
      <c r="G251" s="279">
        <v>0</v>
      </c>
      <c r="H251" s="279">
        <v>0</v>
      </c>
      <c r="I251" s="132">
        <v>0</v>
      </c>
      <c r="J251" s="132">
        <v>0</v>
      </c>
      <c r="K251" s="132">
        <v>0</v>
      </c>
      <c r="L251" s="144">
        <f>CATEGORIAS[[#This Row],[ADICIONALES]]+CATEGORIAS[[#This Row],[POM]]+CATEGORIAS[[#This Row],[REAJUSTE 
PAGADO]]+CATEGORIAS[[#This Row],[REAJUSTE
PROYECTADO]]</f>
        <v>0</v>
      </c>
      <c r="M251" s="133">
        <v>0</v>
      </c>
      <c r="N251" s="222">
        <v>0</v>
      </c>
      <c r="O251" s="142">
        <f>+CATEGORIAS[[#This Row],[PRODUCCION
PARTIDAS
ORIGINALES
ACTUAL]]+CATEGORIAS[[#This Row],[PRODUCCION
ADICIONALES
ACTUAL]]</f>
        <v>0</v>
      </c>
      <c r="P251" s="222">
        <v>0</v>
      </c>
      <c r="Q251" s="134">
        <v>0</v>
      </c>
      <c r="R251" s="141">
        <f>+CATEGORIAS[[#This Row],[PRODUCCION
ANTERIOR]]+CATEGORIAS[[#This Row],[PRODUCCION
ADICIONALES
ANTERIOR]]</f>
        <v>0</v>
      </c>
      <c r="S251" s="135">
        <v>0</v>
      </c>
      <c r="T251" s="135"/>
      <c r="U251" s="135">
        <v>0</v>
      </c>
      <c r="V251" s="262">
        <f>SUM(CATEGORIAS[[#This Row],[COSTO
ACUMULADO  AX]:[PROVISIONES]])</f>
        <v>0</v>
      </c>
      <c r="W251" s="264">
        <v>0</v>
      </c>
      <c r="X251" s="222"/>
      <c r="Y251" s="222">
        <v>0</v>
      </c>
      <c r="Z251" s="263">
        <f>SUM(CATEGORIAS[[#This Row],[COSTO ACUMULADO
ANTERIOR]:[PROVISIONES
ANTERIOR]])</f>
        <v>0</v>
      </c>
      <c r="AA251" s="338">
        <f>ABS(+CATEGORIAS[[#This Row],[PRESUPUESTO
FINAL
PROYECTADO]]-CATEGORIAS[[#This Row],[TOTAL PRODUCCION
ACTUAL]])</f>
        <v>0</v>
      </c>
      <c r="AB251" s="222"/>
      <c r="AC251" s="134"/>
      <c r="AD251" s="134">
        <v>0</v>
      </c>
      <c r="AE251" s="221">
        <f>SUM(CATEGORIAS[[#This Row],[INVENTARIO]:[PROYECCION
DE COSTO
DEL SALDO]])</f>
        <v>0</v>
      </c>
      <c r="AF251" s="134"/>
      <c r="AG251" s="134">
        <f>+CATEGORIAS[[#This Row],[PRESUPUESTO
FINAL
PROYECTADO]]-CATEGORIAS[[#This Row],[COSTO REAL]]-CATEGORIAS[[#This Row],[PROYECCION
TOTAL DE COSTO]]</f>
        <v>0</v>
      </c>
    </row>
    <row r="252" spans="1:33" x14ac:dyDescent="0.25">
      <c r="A252" s="245"/>
      <c r="B252" s="245"/>
      <c r="C252" s="245"/>
      <c r="D252" s="323" t="s">
        <v>1988</v>
      </c>
      <c r="E252" s="244" t="s">
        <v>866</v>
      </c>
      <c r="F252" s="246" t="s">
        <v>376</v>
      </c>
      <c r="G252" s="279">
        <v>0</v>
      </c>
      <c r="H252" s="279">
        <v>0</v>
      </c>
      <c r="I252" s="132">
        <v>0</v>
      </c>
      <c r="J252" s="132">
        <v>0</v>
      </c>
      <c r="K252" s="132">
        <v>0</v>
      </c>
      <c r="L252" s="144">
        <f>CATEGORIAS[[#This Row],[ADICIONALES]]+CATEGORIAS[[#This Row],[POM]]+CATEGORIAS[[#This Row],[REAJUSTE 
PAGADO]]+CATEGORIAS[[#This Row],[REAJUSTE
PROYECTADO]]</f>
        <v>0</v>
      </c>
      <c r="M252" s="133">
        <v>0</v>
      </c>
      <c r="N252" s="222">
        <v>0</v>
      </c>
      <c r="O252" s="142">
        <f>+CATEGORIAS[[#This Row],[PRODUCCION
PARTIDAS
ORIGINALES
ACTUAL]]+CATEGORIAS[[#This Row],[PRODUCCION
ADICIONALES
ACTUAL]]</f>
        <v>0</v>
      </c>
      <c r="P252" s="222">
        <v>0</v>
      </c>
      <c r="Q252" s="222">
        <v>0</v>
      </c>
      <c r="R252" s="141">
        <f>+CATEGORIAS[[#This Row],[PRODUCCION
ANTERIOR]]+CATEGORIAS[[#This Row],[PRODUCCION
ADICIONALES
ANTERIOR]]</f>
        <v>0</v>
      </c>
      <c r="S252" s="135">
        <v>0</v>
      </c>
      <c r="T252" s="135"/>
      <c r="U252" s="135">
        <v>0</v>
      </c>
      <c r="V252" s="262">
        <f>SUM(CATEGORIAS[[#This Row],[COSTO
ACUMULADO  AX]:[PROVISIONES]])</f>
        <v>0</v>
      </c>
      <c r="W252" s="264">
        <v>0</v>
      </c>
      <c r="X252" s="222"/>
      <c r="Y252" s="222">
        <v>0</v>
      </c>
      <c r="Z252" s="263">
        <f>SUM(CATEGORIAS[[#This Row],[COSTO ACUMULADO
ANTERIOR]:[PROVISIONES
ANTERIOR]])</f>
        <v>0</v>
      </c>
      <c r="AA252" s="338">
        <f>ABS(+CATEGORIAS[[#This Row],[PRESUPUESTO
FINAL
PROYECTADO]]-CATEGORIAS[[#This Row],[TOTAL PRODUCCION
ACTUAL]])</f>
        <v>0</v>
      </c>
      <c r="AB252" s="222"/>
      <c r="AC252" s="134"/>
      <c r="AD252" s="134">
        <v>0</v>
      </c>
      <c r="AE252" s="221">
        <f>SUM(CATEGORIAS[[#This Row],[INVENTARIO]:[PROYECCION
DE COSTO
DEL SALDO]])</f>
        <v>0</v>
      </c>
      <c r="AF252" s="134"/>
      <c r="AG252" s="134">
        <f>+CATEGORIAS[[#This Row],[PRESUPUESTO
FINAL
PROYECTADO]]-CATEGORIAS[[#This Row],[COSTO REAL]]-CATEGORIAS[[#This Row],[PROYECCION
TOTAL DE COSTO]]</f>
        <v>0</v>
      </c>
    </row>
    <row r="253" spans="1:33" x14ac:dyDescent="0.25">
      <c r="A253" s="245"/>
      <c r="B253" s="245"/>
      <c r="C253" s="245"/>
      <c r="D253" s="323" t="s">
        <v>1989</v>
      </c>
      <c r="E253" s="244" t="s">
        <v>868</v>
      </c>
      <c r="F253" s="246" t="s">
        <v>376</v>
      </c>
      <c r="G253" s="279">
        <v>0</v>
      </c>
      <c r="H253" s="279">
        <v>0</v>
      </c>
      <c r="I253" s="132">
        <v>0</v>
      </c>
      <c r="J253" s="132">
        <v>0</v>
      </c>
      <c r="K253" s="132">
        <v>0</v>
      </c>
      <c r="L253" s="144">
        <f>CATEGORIAS[[#This Row],[ADICIONALES]]+CATEGORIAS[[#This Row],[POM]]+CATEGORIAS[[#This Row],[REAJUSTE 
PAGADO]]+CATEGORIAS[[#This Row],[REAJUSTE
PROYECTADO]]</f>
        <v>0</v>
      </c>
      <c r="M253" s="133">
        <v>0</v>
      </c>
      <c r="N253" s="222">
        <v>0</v>
      </c>
      <c r="O253" s="142">
        <f>+CATEGORIAS[[#This Row],[PRODUCCION
PARTIDAS
ORIGINALES
ACTUAL]]+CATEGORIAS[[#This Row],[PRODUCCION
ADICIONALES
ACTUAL]]</f>
        <v>0</v>
      </c>
      <c r="P253" s="222">
        <v>0</v>
      </c>
      <c r="Q253" s="134">
        <v>0</v>
      </c>
      <c r="R253" s="141">
        <f>+CATEGORIAS[[#This Row],[PRODUCCION
ANTERIOR]]+CATEGORIAS[[#This Row],[PRODUCCION
ADICIONALES
ANTERIOR]]</f>
        <v>0</v>
      </c>
      <c r="S253" s="135">
        <v>0</v>
      </c>
      <c r="T253" s="135"/>
      <c r="U253" s="135">
        <v>0</v>
      </c>
      <c r="V253" s="262">
        <f>SUM(CATEGORIAS[[#This Row],[COSTO
ACUMULADO  AX]:[PROVISIONES]])</f>
        <v>0</v>
      </c>
      <c r="W253" s="264">
        <v>0</v>
      </c>
      <c r="X253" s="222"/>
      <c r="Y253" s="222">
        <v>0</v>
      </c>
      <c r="Z253" s="263">
        <f>SUM(CATEGORIAS[[#This Row],[COSTO ACUMULADO
ANTERIOR]:[PROVISIONES
ANTERIOR]])</f>
        <v>0</v>
      </c>
      <c r="AA253" s="338">
        <f>ABS(+CATEGORIAS[[#This Row],[PRESUPUESTO
FINAL
PROYECTADO]]-CATEGORIAS[[#This Row],[TOTAL PRODUCCION
ACTUAL]])</f>
        <v>0</v>
      </c>
      <c r="AB253" s="222"/>
      <c r="AC253" s="134"/>
      <c r="AD253" s="134">
        <v>0</v>
      </c>
      <c r="AE253" s="221">
        <f>SUM(CATEGORIAS[[#This Row],[INVENTARIO]:[PROYECCION
DE COSTO
DEL SALDO]])</f>
        <v>0</v>
      </c>
      <c r="AF253" s="134"/>
      <c r="AG253" s="134">
        <f>+CATEGORIAS[[#This Row],[PRESUPUESTO
FINAL
PROYECTADO]]-CATEGORIAS[[#This Row],[COSTO REAL]]-CATEGORIAS[[#This Row],[PROYECCION
TOTAL DE COSTO]]</f>
        <v>0</v>
      </c>
    </row>
    <row r="254" spans="1:33" x14ac:dyDescent="0.25">
      <c r="A254" s="245"/>
      <c r="B254" s="245"/>
      <c r="C254" s="245"/>
      <c r="D254" s="323" t="s">
        <v>1990</v>
      </c>
      <c r="E254" s="244" t="s">
        <v>870</v>
      </c>
      <c r="F254" s="246" t="s">
        <v>376</v>
      </c>
      <c r="G254" s="279">
        <v>0</v>
      </c>
      <c r="H254" s="279">
        <v>0</v>
      </c>
      <c r="I254" s="132">
        <v>0</v>
      </c>
      <c r="J254" s="132">
        <v>0</v>
      </c>
      <c r="K254" s="132">
        <v>0</v>
      </c>
      <c r="L254" s="144">
        <f>CATEGORIAS[[#This Row],[ADICIONALES]]+CATEGORIAS[[#This Row],[POM]]+CATEGORIAS[[#This Row],[REAJUSTE 
PAGADO]]+CATEGORIAS[[#This Row],[REAJUSTE
PROYECTADO]]</f>
        <v>0</v>
      </c>
      <c r="M254" s="133">
        <v>0</v>
      </c>
      <c r="N254" s="222">
        <v>0</v>
      </c>
      <c r="O254" s="142">
        <f>+CATEGORIAS[[#This Row],[PRODUCCION
PARTIDAS
ORIGINALES
ACTUAL]]+CATEGORIAS[[#This Row],[PRODUCCION
ADICIONALES
ACTUAL]]</f>
        <v>0</v>
      </c>
      <c r="P254" s="222">
        <v>0</v>
      </c>
      <c r="Q254" s="222">
        <v>0</v>
      </c>
      <c r="R254" s="141">
        <f>+CATEGORIAS[[#This Row],[PRODUCCION
ANTERIOR]]+CATEGORIAS[[#This Row],[PRODUCCION
ADICIONALES
ANTERIOR]]</f>
        <v>0</v>
      </c>
      <c r="S254" s="135">
        <v>0</v>
      </c>
      <c r="T254" s="135"/>
      <c r="U254" s="135">
        <v>0</v>
      </c>
      <c r="V254" s="262">
        <f>SUM(CATEGORIAS[[#This Row],[COSTO
ACUMULADO  AX]:[PROVISIONES]])</f>
        <v>0</v>
      </c>
      <c r="W254" s="264">
        <v>0</v>
      </c>
      <c r="X254" s="222"/>
      <c r="Y254" s="222">
        <v>0</v>
      </c>
      <c r="Z254" s="263">
        <f>SUM(CATEGORIAS[[#This Row],[COSTO ACUMULADO
ANTERIOR]:[PROVISIONES
ANTERIOR]])</f>
        <v>0</v>
      </c>
      <c r="AA254" s="338">
        <f>ABS(+CATEGORIAS[[#This Row],[PRESUPUESTO
FINAL
PROYECTADO]]-CATEGORIAS[[#This Row],[TOTAL PRODUCCION
ACTUAL]])</f>
        <v>0</v>
      </c>
      <c r="AB254" s="222"/>
      <c r="AC254" s="134"/>
      <c r="AD254" s="134">
        <v>0</v>
      </c>
      <c r="AE254" s="221">
        <f>SUM(CATEGORIAS[[#This Row],[INVENTARIO]:[PROYECCION
DE COSTO
DEL SALDO]])</f>
        <v>0</v>
      </c>
      <c r="AF254" s="134"/>
      <c r="AG254" s="134">
        <f>+CATEGORIAS[[#This Row],[PRESUPUESTO
FINAL
PROYECTADO]]-CATEGORIAS[[#This Row],[COSTO REAL]]-CATEGORIAS[[#This Row],[PROYECCION
TOTAL DE COSTO]]</f>
        <v>0</v>
      </c>
    </row>
    <row r="255" spans="1:33" x14ac:dyDescent="0.25">
      <c r="A255" s="245"/>
      <c r="B255" s="245"/>
      <c r="C255" s="245"/>
      <c r="D255" s="323" t="s">
        <v>1991</v>
      </c>
      <c r="E255" s="244" t="s">
        <v>872</v>
      </c>
      <c r="F255" s="246" t="s">
        <v>376</v>
      </c>
      <c r="G255" s="279">
        <v>0</v>
      </c>
      <c r="H255" s="279">
        <v>0</v>
      </c>
      <c r="I255" s="132">
        <v>0</v>
      </c>
      <c r="J255" s="132">
        <v>0</v>
      </c>
      <c r="K255" s="132">
        <v>0</v>
      </c>
      <c r="L255" s="144">
        <f>CATEGORIAS[[#This Row],[ADICIONALES]]+CATEGORIAS[[#This Row],[POM]]+CATEGORIAS[[#This Row],[REAJUSTE 
PAGADO]]+CATEGORIAS[[#This Row],[REAJUSTE
PROYECTADO]]</f>
        <v>0</v>
      </c>
      <c r="M255" s="133">
        <v>0</v>
      </c>
      <c r="N255" s="222">
        <v>0</v>
      </c>
      <c r="O255" s="142">
        <f>+CATEGORIAS[[#This Row],[PRODUCCION
PARTIDAS
ORIGINALES
ACTUAL]]+CATEGORIAS[[#This Row],[PRODUCCION
ADICIONALES
ACTUAL]]</f>
        <v>0</v>
      </c>
      <c r="P255" s="222">
        <v>0</v>
      </c>
      <c r="Q255" s="134">
        <v>0</v>
      </c>
      <c r="R255" s="141">
        <f>+CATEGORIAS[[#This Row],[PRODUCCION
ANTERIOR]]+CATEGORIAS[[#This Row],[PRODUCCION
ADICIONALES
ANTERIOR]]</f>
        <v>0</v>
      </c>
      <c r="S255" s="135">
        <v>0</v>
      </c>
      <c r="T255" s="135"/>
      <c r="U255" s="135">
        <v>0</v>
      </c>
      <c r="V255" s="262">
        <f>SUM(CATEGORIAS[[#This Row],[COSTO
ACUMULADO  AX]:[PROVISIONES]])</f>
        <v>0</v>
      </c>
      <c r="W255" s="264">
        <v>0</v>
      </c>
      <c r="X255" s="222"/>
      <c r="Y255" s="222">
        <v>0</v>
      </c>
      <c r="Z255" s="263">
        <f>SUM(CATEGORIAS[[#This Row],[COSTO ACUMULADO
ANTERIOR]:[PROVISIONES
ANTERIOR]])</f>
        <v>0</v>
      </c>
      <c r="AA255" s="338">
        <f>ABS(+CATEGORIAS[[#This Row],[PRESUPUESTO
FINAL
PROYECTADO]]-CATEGORIAS[[#This Row],[TOTAL PRODUCCION
ACTUAL]])</f>
        <v>0</v>
      </c>
      <c r="AB255" s="222"/>
      <c r="AC255" s="134"/>
      <c r="AD255" s="134">
        <v>0</v>
      </c>
      <c r="AE255" s="221">
        <f>SUM(CATEGORIAS[[#This Row],[INVENTARIO]:[PROYECCION
DE COSTO
DEL SALDO]])</f>
        <v>0</v>
      </c>
      <c r="AF255" s="134"/>
      <c r="AG255" s="134">
        <f>+CATEGORIAS[[#This Row],[PRESUPUESTO
FINAL
PROYECTADO]]-CATEGORIAS[[#This Row],[COSTO REAL]]-CATEGORIAS[[#This Row],[PROYECCION
TOTAL DE COSTO]]</f>
        <v>0</v>
      </c>
    </row>
    <row r="256" spans="1:33" x14ac:dyDescent="0.25">
      <c r="A256" s="245"/>
      <c r="B256" s="245"/>
      <c r="C256" s="245"/>
      <c r="D256" s="323" t="s">
        <v>1992</v>
      </c>
      <c r="E256" s="244" t="s">
        <v>874</v>
      </c>
      <c r="F256" s="246" t="s">
        <v>376</v>
      </c>
      <c r="G256" s="279">
        <v>0</v>
      </c>
      <c r="H256" s="279">
        <v>0</v>
      </c>
      <c r="I256" s="132">
        <v>0</v>
      </c>
      <c r="J256" s="132">
        <v>0</v>
      </c>
      <c r="K256" s="132">
        <v>0</v>
      </c>
      <c r="L256" s="144">
        <f>CATEGORIAS[[#This Row],[ADICIONALES]]+CATEGORIAS[[#This Row],[POM]]+CATEGORIAS[[#This Row],[REAJUSTE 
PAGADO]]+CATEGORIAS[[#This Row],[REAJUSTE
PROYECTADO]]</f>
        <v>0</v>
      </c>
      <c r="M256" s="133">
        <v>0</v>
      </c>
      <c r="N256" s="222">
        <v>0</v>
      </c>
      <c r="O256" s="142">
        <f>+CATEGORIAS[[#This Row],[PRODUCCION
PARTIDAS
ORIGINALES
ACTUAL]]+CATEGORIAS[[#This Row],[PRODUCCION
ADICIONALES
ACTUAL]]</f>
        <v>0</v>
      </c>
      <c r="P256" s="222">
        <v>0</v>
      </c>
      <c r="Q256" s="222">
        <v>0</v>
      </c>
      <c r="R256" s="141">
        <f>+CATEGORIAS[[#This Row],[PRODUCCION
ANTERIOR]]+CATEGORIAS[[#This Row],[PRODUCCION
ADICIONALES
ANTERIOR]]</f>
        <v>0</v>
      </c>
      <c r="S256" s="135">
        <v>0</v>
      </c>
      <c r="T256" s="135"/>
      <c r="U256" s="135">
        <v>0</v>
      </c>
      <c r="V256" s="262">
        <f>SUM(CATEGORIAS[[#This Row],[COSTO
ACUMULADO  AX]:[PROVISIONES]])</f>
        <v>0</v>
      </c>
      <c r="W256" s="264">
        <v>0</v>
      </c>
      <c r="X256" s="222"/>
      <c r="Y256" s="222">
        <v>0</v>
      </c>
      <c r="Z256" s="263">
        <f>SUM(CATEGORIAS[[#This Row],[COSTO ACUMULADO
ANTERIOR]:[PROVISIONES
ANTERIOR]])</f>
        <v>0</v>
      </c>
      <c r="AA256" s="338">
        <f>ABS(+CATEGORIAS[[#This Row],[PRESUPUESTO
FINAL
PROYECTADO]]-CATEGORIAS[[#This Row],[TOTAL PRODUCCION
ACTUAL]])</f>
        <v>0</v>
      </c>
      <c r="AB256" s="222"/>
      <c r="AC256" s="134"/>
      <c r="AD256" s="134">
        <v>0</v>
      </c>
      <c r="AE256" s="221">
        <f>SUM(CATEGORIAS[[#This Row],[INVENTARIO]:[PROYECCION
DE COSTO
DEL SALDO]])</f>
        <v>0</v>
      </c>
      <c r="AF256" s="134"/>
      <c r="AG256" s="134">
        <f>+CATEGORIAS[[#This Row],[PRESUPUESTO
FINAL
PROYECTADO]]-CATEGORIAS[[#This Row],[COSTO REAL]]-CATEGORIAS[[#This Row],[PROYECCION
TOTAL DE COSTO]]</f>
        <v>0</v>
      </c>
    </row>
    <row r="257" spans="1:33" x14ac:dyDescent="0.25">
      <c r="A257" s="245"/>
      <c r="B257" s="245"/>
      <c r="C257" s="245"/>
      <c r="D257" s="323" t="s">
        <v>1993</v>
      </c>
      <c r="E257" s="244" t="s">
        <v>876</v>
      </c>
      <c r="F257" s="246" t="s">
        <v>376</v>
      </c>
      <c r="G257" s="279">
        <v>0</v>
      </c>
      <c r="H257" s="279">
        <v>0</v>
      </c>
      <c r="I257" s="132">
        <v>0</v>
      </c>
      <c r="J257" s="132">
        <v>0</v>
      </c>
      <c r="K257" s="132">
        <v>0</v>
      </c>
      <c r="L257" s="144">
        <f>CATEGORIAS[[#This Row],[ADICIONALES]]+CATEGORIAS[[#This Row],[POM]]+CATEGORIAS[[#This Row],[REAJUSTE 
PAGADO]]+CATEGORIAS[[#This Row],[REAJUSTE
PROYECTADO]]</f>
        <v>0</v>
      </c>
      <c r="M257" s="133">
        <v>0</v>
      </c>
      <c r="N257" s="222">
        <v>0</v>
      </c>
      <c r="O257" s="142">
        <f>+CATEGORIAS[[#This Row],[PRODUCCION
PARTIDAS
ORIGINALES
ACTUAL]]+CATEGORIAS[[#This Row],[PRODUCCION
ADICIONALES
ACTUAL]]</f>
        <v>0</v>
      </c>
      <c r="P257" s="222">
        <v>0</v>
      </c>
      <c r="Q257" s="222">
        <v>0</v>
      </c>
      <c r="R257" s="141">
        <f>+CATEGORIAS[[#This Row],[PRODUCCION
ANTERIOR]]+CATEGORIAS[[#This Row],[PRODUCCION
ADICIONALES
ANTERIOR]]</f>
        <v>0</v>
      </c>
      <c r="S257" s="135">
        <v>0</v>
      </c>
      <c r="T257" s="135"/>
      <c r="U257" s="135">
        <v>0</v>
      </c>
      <c r="V257" s="262">
        <f>SUM(CATEGORIAS[[#This Row],[COSTO
ACUMULADO  AX]:[PROVISIONES]])</f>
        <v>0</v>
      </c>
      <c r="W257" s="264">
        <v>0</v>
      </c>
      <c r="X257" s="222"/>
      <c r="Y257" s="222">
        <v>0</v>
      </c>
      <c r="Z257" s="263">
        <f>SUM(CATEGORIAS[[#This Row],[COSTO ACUMULADO
ANTERIOR]:[PROVISIONES
ANTERIOR]])</f>
        <v>0</v>
      </c>
      <c r="AA257" s="338">
        <f>ABS(+CATEGORIAS[[#This Row],[PRESUPUESTO
FINAL
PROYECTADO]]-CATEGORIAS[[#This Row],[TOTAL PRODUCCION
ACTUAL]])</f>
        <v>0</v>
      </c>
      <c r="AB257" s="222"/>
      <c r="AC257" s="134"/>
      <c r="AD257" s="134">
        <v>0</v>
      </c>
      <c r="AE257" s="221">
        <f>SUM(CATEGORIAS[[#This Row],[INVENTARIO]:[PROYECCION
DE COSTO
DEL SALDO]])</f>
        <v>0</v>
      </c>
      <c r="AF257" s="134"/>
      <c r="AG257" s="134">
        <f>+CATEGORIAS[[#This Row],[PRESUPUESTO
FINAL
PROYECTADO]]-CATEGORIAS[[#This Row],[COSTO REAL]]-CATEGORIAS[[#This Row],[PROYECCION
TOTAL DE COSTO]]</f>
        <v>0</v>
      </c>
    </row>
    <row r="258" spans="1:33" x14ac:dyDescent="0.25">
      <c r="A258" s="245"/>
      <c r="B258" s="245"/>
      <c r="C258" s="245"/>
      <c r="D258" s="323" t="s">
        <v>1994</v>
      </c>
      <c r="E258" s="244" t="s">
        <v>878</v>
      </c>
      <c r="F258" s="246" t="s">
        <v>376</v>
      </c>
      <c r="G258" s="279">
        <v>0</v>
      </c>
      <c r="H258" s="279">
        <v>0</v>
      </c>
      <c r="I258" s="132">
        <v>0</v>
      </c>
      <c r="J258" s="132">
        <v>0</v>
      </c>
      <c r="K258" s="132">
        <v>0</v>
      </c>
      <c r="L258" s="144">
        <f>CATEGORIAS[[#This Row],[ADICIONALES]]+CATEGORIAS[[#This Row],[POM]]+CATEGORIAS[[#This Row],[REAJUSTE 
PAGADO]]+CATEGORIAS[[#This Row],[REAJUSTE
PROYECTADO]]</f>
        <v>0</v>
      </c>
      <c r="M258" s="133">
        <v>0</v>
      </c>
      <c r="N258" s="222">
        <v>0</v>
      </c>
      <c r="O258" s="142">
        <f>+CATEGORIAS[[#This Row],[PRODUCCION
PARTIDAS
ORIGINALES
ACTUAL]]+CATEGORIAS[[#This Row],[PRODUCCION
ADICIONALES
ACTUAL]]</f>
        <v>0</v>
      </c>
      <c r="P258" s="222">
        <v>0</v>
      </c>
      <c r="Q258" s="222">
        <v>0</v>
      </c>
      <c r="R258" s="141">
        <f>+CATEGORIAS[[#This Row],[PRODUCCION
ANTERIOR]]+CATEGORIAS[[#This Row],[PRODUCCION
ADICIONALES
ANTERIOR]]</f>
        <v>0</v>
      </c>
      <c r="S258" s="135">
        <v>0</v>
      </c>
      <c r="T258" s="135"/>
      <c r="U258" s="135">
        <v>0</v>
      </c>
      <c r="V258" s="262">
        <f>SUM(CATEGORIAS[[#This Row],[COSTO
ACUMULADO  AX]:[PROVISIONES]])</f>
        <v>0</v>
      </c>
      <c r="W258" s="264">
        <v>0</v>
      </c>
      <c r="X258" s="222"/>
      <c r="Y258" s="222">
        <v>0</v>
      </c>
      <c r="Z258" s="263">
        <f>SUM(CATEGORIAS[[#This Row],[COSTO ACUMULADO
ANTERIOR]:[PROVISIONES
ANTERIOR]])</f>
        <v>0</v>
      </c>
      <c r="AA258" s="338">
        <f>ABS(+CATEGORIAS[[#This Row],[PRESUPUESTO
FINAL
PROYECTADO]]-CATEGORIAS[[#This Row],[TOTAL PRODUCCION
ACTUAL]])</f>
        <v>0</v>
      </c>
      <c r="AB258" s="222"/>
      <c r="AC258" s="134"/>
      <c r="AD258" s="134">
        <v>0</v>
      </c>
      <c r="AE258" s="221">
        <f>SUM(CATEGORIAS[[#This Row],[INVENTARIO]:[PROYECCION
DE COSTO
DEL SALDO]])</f>
        <v>0</v>
      </c>
      <c r="AF258" s="134"/>
      <c r="AG258" s="134">
        <f>+CATEGORIAS[[#This Row],[PRESUPUESTO
FINAL
PROYECTADO]]-CATEGORIAS[[#This Row],[COSTO REAL]]-CATEGORIAS[[#This Row],[PROYECCION
TOTAL DE COSTO]]</f>
        <v>0</v>
      </c>
    </row>
    <row r="259" spans="1:33" x14ac:dyDescent="0.25">
      <c r="A259" s="245"/>
      <c r="B259" s="245"/>
      <c r="C259" s="245"/>
      <c r="D259" s="323" t="s">
        <v>1995</v>
      </c>
      <c r="E259" s="244" t="s">
        <v>880</v>
      </c>
      <c r="F259" s="246" t="s">
        <v>376</v>
      </c>
      <c r="G259" s="279">
        <v>0</v>
      </c>
      <c r="H259" s="279">
        <v>0</v>
      </c>
      <c r="I259" s="132">
        <v>0</v>
      </c>
      <c r="J259" s="132">
        <v>0</v>
      </c>
      <c r="K259" s="132">
        <v>0</v>
      </c>
      <c r="L259" s="144">
        <f>CATEGORIAS[[#This Row],[ADICIONALES]]+CATEGORIAS[[#This Row],[POM]]+CATEGORIAS[[#This Row],[REAJUSTE 
PAGADO]]+CATEGORIAS[[#This Row],[REAJUSTE
PROYECTADO]]</f>
        <v>0</v>
      </c>
      <c r="M259" s="133">
        <v>0</v>
      </c>
      <c r="N259" s="222">
        <v>0</v>
      </c>
      <c r="O259" s="142">
        <f>+CATEGORIAS[[#This Row],[PRODUCCION
PARTIDAS
ORIGINALES
ACTUAL]]+CATEGORIAS[[#This Row],[PRODUCCION
ADICIONALES
ACTUAL]]</f>
        <v>0</v>
      </c>
      <c r="P259" s="222">
        <v>0</v>
      </c>
      <c r="Q259" s="134">
        <v>0</v>
      </c>
      <c r="R259" s="141">
        <f>+CATEGORIAS[[#This Row],[PRODUCCION
ANTERIOR]]+CATEGORIAS[[#This Row],[PRODUCCION
ADICIONALES
ANTERIOR]]</f>
        <v>0</v>
      </c>
      <c r="S259" s="135">
        <v>0</v>
      </c>
      <c r="T259" s="135"/>
      <c r="U259" s="135">
        <v>0</v>
      </c>
      <c r="V259" s="262">
        <f>SUM(CATEGORIAS[[#This Row],[COSTO
ACUMULADO  AX]:[PROVISIONES]])</f>
        <v>0</v>
      </c>
      <c r="W259" s="264">
        <v>0</v>
      </c>
      <c r="X259" s="222"/>
      <c r="Y259" s="222">
        <v>0</v>
      </c>
      <c r="Z259" s="263">
        <f>SUM(CATEGORIAS[[#This Row],[COSTO ACUMULADO
ANTERIOR]:[PROVISIONES
ANTERIOR]])</f>
        <v>0</v>
      </c>
      <c r="AA259" s="338">
        <f>ABS(+CATEGORIAS[[#This Row],[PRESUPUESTO
FINAL
PROYECTADO]]-CATEGORIAS[[#This Row],[TOTAL PRODUCCION
ACTUAL]])</f>
        <v>0</v>
      </c>
      <c r="AB259" s="222"/>
      <c r="AC259" s="134"/>
      <c r="AD259" s="134">
        <v>0</v>
      </c>
      <c r="AE259" s="221">
        <f>SUM(CATEGORIAS[[#This Row],[INVENTARIO]:[PROYECCION
DE COSTO
DEL SALDO]])</f>
        <v>0</v>
      </c>
      <c r="AF259" s="134"/>
      <c r="AG259" s="134">
        <f>+CATEGORIAS[[#This Row],[PRESUPUESTO
FINAL
PROYECTADO]]-CATEGORIAS[[#This Row],[COSTO REAL]]-CATEGORIAS[[#This Row],[PROYECCION
TOTAL DE COSTO]]</f>
        <v>0</v>
      </c>
    </row>
    <row r="260" spans="1:33" x14ac:dyDescent="0.25">
      <c r="A260" s="245"/>
      <c r="B260" s="245"/>
      <c r="C260" s="245"/>
      <c r="D260" s="323" t="s">
        <v>1996</v>
      </c>
      <c r="E260" s="244" t="s">
        <v>882</v>
      </c>
      <c r="F260" s="246" t="s">
        <v>376</v>
      </c>
      <c r="G260" s="279">
        <v>0</v>
      </c>
      <c r="H260" s="279">
        <v>0</v>
      </c>
      <c r="I260" s="132">
        <v>0</v>
      </c>
      <c r="J260" s="132">
        <v>0</v>
      </c>
      <c r="K260" s="132">
        <v>0</v>
      </c>
      <c r="L260" s="144">
        <f>CATEGORIAS[[#This Row],[ADICIONALES]]+CATEGORIAS[[#This Row],[POM]]+CATEGORIAS[[#This Row],[REAJUSTE 
PAGADO]]+CATEGORIAS[[#This Row],[REAJUSTE
PROYECTADO]]</f>
        <v>0</v>
      </c>
      <c r="M260" s="133">
        <v>0</v>
      </c>
      <c r="N260" s="222">
        <v>0</v>
      </c>
      <c r="O260" s="142">
        <f>+CATEGORIAS[[#This Row],[PRODUCCION
PARTIDAS
ORIGINALES
ACTUAL]]+CATEGORIAS[[#This Row],[PRODUCCION
ADICIONALES
ACTUAL]]</f>
        <v>0</v>
      </c>
      <c r="P260" s="222">
        <v>0</v>
      </c>
      <c r="Q260" s="134">
        <v>0</v>
      </c>
      <c r="R260" s="141">
        <f>+CATEGORIAS[[#This Row],[PRODUCCION
ANTERIOR]]+CATEGORIAS[[#This Row],[PRODUCCION
ADICIONALES
ANTERIOR]]</f>
        <v>0</v>
      </c>
      <c r="S260" s="135">
        <v>0</v>
      </c>
      <c r="T260" s="135"/>
      <c r="U260" s="135">
        <v>0</v>
      </c>
      <c r="V260" s="262">
        <f>SUM(CATEGORIAS[[#This Row],[COSTO
ACUMULADO  AX]:[PROVISIONES]])</f>
        <v>0</v>
      </c>
      <c r="W260" s="264">
        <v>0</v>
      </c>
      <c r="X260" s="222"/>
      <c r="Y260" s="222">
        <v>0</v>
      </c>
      <c r="Z260" s="263">
        <f>SUM(CATEGORIAS[[#This Row],[COSTO ACUMULADO
ANTERIOR]:[PROVISIONES
ANTERIOR]])</f>
        <v>0</v>
      </c>
      <c r="AA260" s="338">
        <f>ABS(+CATEGORIAS[[#This Row],[PRESUPUESTO
FINAL
PROYECTADO]]-CATEGORIAS[[#This Row],[TOTAL PRODUCCION
ACTUAL]])</f>
        <v>0</v>
      </c>
      <c r="AB260" s="222"/>
      <c r="AC260" s="134"/>
      <c r="AD260" s="134">
        <v>0</v>
      </c>
      <c r="AE260" s="221">
        <f>SUM(CATEGORIAS[[#This Row],[INVENTARIO]:[PROYECCION
DE COSTO
DEL SALDO]])</f>
        <v>0</v>
      </c>
      <c r="AF260" s="134"/>
      <c r="AG260" s="134">
        <f>+CATEGORIAS[[#This Row],[PRESUPUESTO
FINAL
PROYECTADO]]-CATEGORIAS[[#This Row],[COSTO REAL]]-CATEGORIAS[[#This Row],[PROYECCION
TOTAL DE COSTO]]</f>
        <v>0</v>
      </c>
    </row>
    <row r="261" spans="1:33" x14ac:dyDescent="0.25">
      <c r="A261" s="245"/>
      <c r="B261" s="245"/>
      <c r="C261" s="245"/>
      <c r="D261" s="323" t="s">
        <v>1997</v>
      </c>
      <c r="E261" s="244" t="s">
        <v>884</v>
      </c>
      <c r="F261" s="246" t="s">
        <v>376</v>
      </c>
      <c r="G261" s="279">
        <v>0</v>
      </c>
      <c r="H261" s="279">
        <v>0</v>
      </c>
      <c r="I261" s="132">
        <v>0</v>
      </c>
      <c r="J261" s="132">
        <v>0</v>
      </c>
      <c r="K261" s="132">
        <v>0</v>
      </c>
      <c r="L261" s="144">
        <f>CATEGORIAS[[#This Row],[ADICIONALES]]+CATEGORIAS[[#This Row],[POM]]+CATEGORIAS[[#This Row],[REAJUSTE 
PAGADO]]+CATEGORIAS[[#This Row],[REAJUSTE
PROYECTADO]]</f>
        <v>0</v>
      </c>
      <c r="M261" s="133">
        <v>0</v>
      </c>
      <c r="N261" s="222">
        <v>0</v>
      </c>
      <c r="O261" s="142">
        <f>+CATEGORIAS[[#This Row],[PRODUCCION
PARTIDAS
ORIGINALES
ACTUAL]]+CATEGORIAS[[#This Row],[PRODUCCION
ADICIONALES
ACTUAL]]</f>
        <v>0</v>
      </c>
      <c r="P261" s="222">
        <v>0</v>
      </c>
      <c r="Q261" s="222">
        <v>0</v>
      </c>
      <c r="R261" s="141">
        <f>+CATEGORIAS[[#This Row],[PRODUCCION
ANTERIOR]]+CATEGORIAS[[#This Row],[PRODUCCION
ADICIONALES
ANTERIOR]]</f>
        <v>0</v>
      </c>
      <c r="S261" s="135">
        <v>0</v>
      </c>
      <c r="T261" s="135"/>
      <c r="U261" s="135">
        <v>0</v>
      </c>
      <c r="V261" s="262">
        <f>SUM(CATEGORIAS[[#This Row],[COSTO
ACUMULADO  AX]:[PROVISIONES]])</f>
        <v>0</v>
      </c>
      <c r="W261" s="264">
        <v>0</v>
      </c>
      <c r="X261" s="222"/>
      <c r="Y261" s="222">
        <v>0</v>
      </c>
      <c r="Z261" s="263">
        <f>SUM(CATEGORIAS[[#This Row],[COSTO ACUMULADO
ANTERIOR]:[PROVISIONES
ANTERIOR]])</f>
        <v>0</v>
      </c>
      <c r="AA261" s="338">
        <f>ABS(+CATEGORIAS[[#This Row],[PRESUPUESTO
FINAL
PROYECTADO]]-CATEGORIAS[[#This Row],[TOTAL PRODUCCION
ACTUAL]])</f>
        <v>0</v>
      </c>
      <c r="AB261" s="222"/>
      <c r="AC261" s="134"/>
      <c r="AD261" s="134">
        <v>0</v>
      </c>
      <c r="AE261" s="221">
        <f>SUM(CATEGORIAS[[#This Row],[INVENTARIO]:[PROYECCION
DE COSTO
DEL SALDO]])</f>
        <v>0</v>
      </c>
      <c r="AF261" s="134"/>
      <c r="AG261" s="134">
        <f>+CATEGORIAS[[#This Row],[PRESUPUESTO
FINAL
PROYECTADO]]-CATEGORIAS[[#This Row],[COSTO REAL]]-CATEGORIAS[[#This Row],[PROYECCION
TOTAL DE COSTO]]</f>
        <v>0</v>
      </c>
    </row>
    <row r="262" spans="1:33" x14ac:dyDescent="0.25">
      <c r="A262" s="245"/>
      <c r="B262" s="245"/>
      <c r="C262" s="245"/>
      <c r="D262" s="323" t="s">
        <v>1998</v>
      </c>
      <c r="E262" s="244" t="s">
        <v>886</v>
      </c>
      <c r="F262" s="246" t="s">
        <v>376</v>
      </c>
      <c r="G262" s="279">
        <v>0</v>
      </c>
      <c r="H262" s="279">
        <v>0</v>
      </c>
      <c r="I262" s="132">
        <v>0</v>
      </c>
      <c r="J262" s="132">
        <v>0</v>
      </c>
      <c r="K262" s="132">
        <v>0</v>
      </c>
      <c r="L262" s="144">
        <f>CATEGORIAS[[#This Row],[ADICIONALES]]+CATEGORIAS[[#This Row],[POM]]+CATEGORIAS[[#This Row],[REAJUSTE 
PAGADO]]+CATEGORIAS[[#This Row],[REAJUSTE
PROYECTADO]]</f>
        <v>0</v>
      </c>
      <c r="M262" s="133">
        <v>0</v>
      </c>
      <c r="N262" s="222">
        <v>0</v>
      </c>
      <c r="O262" s="142">
        <f>+CATEGORIAS[[#This Row],[PRODUCCION
PARTIDAS
ORIGINALES
ACTUAL]]+CATEGORIAS[[#This Row],[PRODUCCION
ADICIONALES
ACTUAL]]</f>
        <v>0</v>
      </c>
      <c r="P262" s="222">
        <v>0</v>
      </c>
      <c r="Q262" s="222">
        <v>0</v>
      </c>
      <c r="R262" s="141">
        <f>+CATEGORIAS[[#This Row],[PRODUCCION
ANTERIOR]]+CATEGORIAS[[#This Row],[PRODUCCION
ADICIONALES
ANTERIOR]]</f>
        <v>0</v>
      </c>
      <c r="S262" s="135">
        <v>0</v>
      </c>
      <c r="T262" s="135"/>
      <c r="U262" s="135">
        <v>0</v>
      </c>
      <c r="V262" s="262">
        <f>SUM(CATEGORIAS[[#This Row],[COSTO
ACUMULADO  AX]:[PROVISIONES]])</f>
        <v>0</v>
      </c>
      <c r="W262" s="264">
        <v>0</v>
      </c>
      <c r="X262" s="222"/>
      <c r="Y262" s="222">
        <v>0</v>
      </c>
      <c r="Z262" s="263">
        <f>SUM(CATEGORIAS[[#This Row],[COSTO ACUMULADO
ANTERIOR]:[PROVISIONES
ANTERIOR]])</f>
        <v>0</v>
      </c>
      <c r="AA262" s="338">
        <f>ABS(+CATEGORIAS[[#This Row],[PRESUPUESTO
FINAL
PROYECTADO]]-CATEGORIAS[[#This Row],[TOTAL PRODUCCION
ACTUAL]])</f>
        <v>0</v>
      </c>
      <c r="AB262" s="222"/>
      <c r="AC262" s="134"/>
      <c r="AD262" s="134">
        <v>0</v>
      </c>
      <c r="AE262" s="221">
        <f>SUM(CATEGORIAS[[#This Row],[INVENTARIO]:[PROYECCION
DE COSTO
DEL SALDO]])</f>
        <v>0</v>
      </c>
      <c r="AF262" s="134"/>
      <c r="AG262" s="134">
        <f>+CATEGORIAS[[#This Row],[PRESUPUESTO
FINAL
PROYECTADO]]-CATEGORIAS[[#This Row],[COSTO REAL]]-CATEGORIAS[[#This Row],[PROYECCION
TOTAL DE COSTO]]</f>
        <v>0</v>
      </c>
    </row>
    <row r="263" spans="1:33" x14ac:dyDescent="0.25">
      <c r="A263" s="245"/>
      <c r="B263" s="245"/>
      <c r="C263" s="245"/>
      <c r="D263" s="323" t="s">
        <v>1999</v>
      </c>
      <c r="E263" s="244" t="s">
        <v>888</v>
      </c>
      <c r="F263" s="246" t="s">
        <v>376</v>
      </c>
      <c r="G263" s="279">
        <v>0</v>
      </c>
      <c r="H263" s="279">
        <v>0</v>
      </c>
      <c r="I263" s="132">
        <v>0</v>
      </c>
      <c r="J263" s="132">
        <v>0</v>
      </c>
      <c r="K263" s="132">
        <v>0</v>
      </c>
      <c r="L263" s="144">
        <f>CATEGORIAS[[#This Row],[ADICIONALES]]+CATEGORIAS[[#This Row],[POM]]+CATEGORIAS[[#This Row],[REAJUSTE 
PAGADO]]+CATEGORIAS[[#This Row],[REAJUSTE
PROYECTADO]]</f>
        <v>0</v>
      </c>
      <c r="M263" s="133">
        <v>0</v>
      </c>
      <c r="N263" s="222">
        <v>0</v>
      </c>
      <c r="O263" s="142">
        <f>+CATEGORIAS[[#This Row],[PRODUCCION
PARTIDAS
ORIGINALES
ACTUAL]]+CATEGORIAS[[#This Row],[PRODUCCION
ADICIONALES
ACTUAL]]</f>
        <v>0</v>
      </c>
      <c r="P263" s="222">
        <v>0</v>
      </c>
      <c r="Q263" s="222">
        <v>0</v>
      </c>
      <c r="R263" s="141">
        <f>+CATEGORIAS[[#This Row],[PRODUCCION
ANTERIOR]]+CATEGORIAS[[#This Row],[PRODUCCION
ADICIONALES
ANTERIOR]]</f>
        <v>0</v>
      </c>
      <c r="S263" s="135">
        <v>0</v>
      </c>
      <c r="T263" s="135"/>
      <c r="U263" s="135">
        <v>0</v>
      </c>
      <c r="V263" s="262">
        <f>SUM(CATEGORIAS[[#This Row],[COSTO
ACUMULADO  AX]:[PROVISIONES]])</f>
        <v>0</v>
      </c>
      <c r="W263" s="264">
        <v>0</v>
      </c>
      <c r="X263" s="222"/>
      <c r="Y263" s="222">
        <v>0</v>
      </c>
      <c r="Z263" s="263">
        <f>SUM(CATEGORIAS[[#This Row],[COSTO ACUMULADO
ANTERIOR]:[PROVISIONES
ANTERIOR]])</f>
        <v>0</v>
      </c>
      <c r="AA263" s="338">
        <f>ABS(+CATEGORIAS[[#This Row],[PRESUPUESTO
FINAL
PROYECTADO]]-CATEGORIAS[[#This Row],[TOTAL PRODUCCION
ACTUAL]])</f>
        <v>0</v>
      </c>
      <c r="AB263" s="222"/>
      <c r="AC263" s="134"/>
      <c r="AD263" s="134">
        <v>0</v>
      </c>
      <c r="AE263" s="221">
        <f>SUM(CATEGORIAS[[#This Row],[INVENTARIO]:[PROYECCION
DE COSTO
DEL SALDO]])</f>
        <v>0</v>
      </c>
      <c r="AF263" s="134"/>
      <c r="AG263" s="134">
        <f>+CATEGORIAS[[#This Row],[PRESUPUESTO
FINAL
PROYECTADO]]-CATEGORIAS[[#This Row],[COSTO REAL]]-CATEGORIAS[[#This Row],[PROYECCION
TOTAL DE COSTO]]</f>
        <v>0</v>
      </c>
    </row>
    <row r="264" spans="1:33" x14ac:dyDescent="0.25">
      <c r="A264" s="245"/>
      <c r="B264" s="245"/>
      <c r="C264" s="245"/>
      <c r="D264" s="323" t="s">
        <v>2000</v>
      </c>
      <c r="E264" s="244" t="s">
        <v>890</v>
      </c>
      <c r="F264" s="246" t="s">
        <v>376</v>
      </c>
      <c r="G264" s="279">
        <v>0</v>
      </c>
      <c r="H264" s="279">
        <v>0</v>
      </c>
      <c r="I264" s="132">
        <v>0</v>
      </c>
      <c r="J264" s="132">
        <v>0</v>
      </c>
      <c r="K264" s="132">
        <v>0</v>
      </c>
      <c r="L264" s="144">
        <f>CATEGORIAS[[#This Row],[ADICIONALES]]+CATEGORIAS[[#This Row],[POM]]+CATEGORIAS[[#This Row],[REAJUSTE 
PAGADO]]+CATEGORIAS[[#This Row],[REAJUSTE
PROYECTADO]]</f>
        <v>0</v>
      </c>
      <c r="M264" s="133">
        <v>0</v>
      </c>
      <c r="N264" s="222">
        <v>0</v>
      </c>
      <c r="O264" s="142">
        <f>+CATEGORIAS[[#This Row],[PRODUCCION
PARTIDAS
ORIGINALES
ACTUAL]]+CATEGORIAS[[#This Row],[PRODUCCION
ADICIONALES
ACTUAL]]</f>
        <v>0</v>
      </c>
      <c r="P264" s="222">
        <v>0</v>
      </c>
      <c r="Q264" s="222">
        <v>0</v>
      </c>
      <c r="R264" s="141">
        <f>+CATEGORIAS[[#This Row],[PRODUCCION
ANTERIOR]]+CATEGORIAS[[#This Row],[PRODUCCION
ADICIONALES
ANTERIOR]]</f>
        <v>0</v>
      </c>
      <c r="S264" s="135">
        <v>0</v>
      </c>
      <c r="T264" s="135"/>
      <c r="U264" s="135">
        <v>0</v>
      </c>
      <c r="V264" s="262">
        <f>SUM(CATEGORIAS[[#This Row],[COSTO
ACUMULADO  AX]:[PROVISIONES]])</f>
        <v>0</v>
      </c>
      <c r="W264" s="264">
        <v>0</v>
      </c>
      <c r="X264" s="222"/>
      <c r="Y264" s="222">
        <v>0</v>
      </c>
      <c r="Z264" s="263">
        <f>SUM(CATEGORIAS[[#This Row],[COSTO ACUMULADO
ANTERIOR]:[PROVISIONES
ANTERIOR]])</f>
        <v>0</v>
      </c>
      <c r="AA264" s="338">
        <f>ABS(+CATEGORIAS[[#This Row],[PRESUPUESTO
FINAL
PROYECTADO]]-CATEGORIAS[[#This Row],[TOTAL PRODUCCION
ACTUAL]])</f>
        <v>0</v>
      </c>
      <c r="AB264" s="222"/>
      <c r="AC264" s="134"/>
      <c r="AD264" s="134">
        <v>0</v>
      </c>
      <c r="AE264" s="221">
        <f>SUM(CATEGORIAS[[#This Row],[INVENTARIO]:[PROYECCION
DE COSTO
DEL SALDO]])</f>
        <v>0</v>
      </c>
      <c r="AF264" s="134"/>
      <c r="AG264" s="134">
        <f>+CATEGORIAS[[#This Row],[PRESUPUESTO
FINAL
PROYECTADO]]-CATEGORIAS[[#This Row],[COSTO REAL]]-CATEGORIAS[[#This Row],[PROYECCION
TOTAL DE COSTO]]</f>
        <v>0</v>
      </c>
    </row>
    <row r="265" spans="1:33" x14ac:dyDescent="0.25">
      <c r="A265" s="245"/>
      <c r="B265" s="245"/>
      <c r="C265" s="245"/>
      <c r="D265" s="323" t="s">
        <v>2001</v>
      </c>
      <c r="E265" s="244" t="s">
        <v>892</v>
      </c>
      <c r="F265" s="246" t="s">
        <v>376</v>
      </c>
      <c r="G265" s="279">
        <v>0</v>
      </c>
      <c r="H265" s="279">
        <v>0</v>
      </c>
      <c r="I265" s="132">
        <v>0</v>
      </c>
      <c r="J265" s="132">
        <v>0</v>
      </c>
      <c r="K265" s="132">
        <v>0</v>
      </c>
      <c r="L265" s="144">
        <f>CATEGORIAS[[#This Row],[ADICIONALES]]+CATEGORIAS[[#This Row],[POM]]+CATEGORIAS[[#This Row],[REAJUSTE 
PAGADO]]+CATEGORIAS[[#This Row],[REAJUSTE
PROYECTADO]]</f>
        <v>0</v>
      </c>
      <c r="M265" s="133">
        <v>0</v>
      </c>
      <c r="N265" s="222">
        <v>0</v>
      </c>
      <c r="O265" s="142">
        <f>+CATEGORIAS[[#This Row],[PRODUCCION
PARTIDAS
ORIGINALES
ACTUAL]]+CATEGORIAS[[#This Row],[PRODUCCION
ADICIONALES
ACTUAL]]</f>
        <v>0</v>
      </c>
      <c r="P265" s="222">
        <v>0</v>
      </c>
      <c r="Q265" s="134">
        <v>0</v>
      </c>
      <c r="R265" s="141">
        <f>+CATEGORIAS[[#This Row],[PRODUCCION
ANTERIOR]]+CATEGORIAS[[#This Row],[PRODUCCION
ADICIONALES
ANTERIOR]]</f>
        <v>0</v>
      </c>
      <c r="S265" s="135">
        <v>0</v>
      </c>
      <c r="T265" s="135"/>
      <c r="U265" s="135">
        <v>0</v>
      </c>
      <c r="V265" s="262">
        <f>SUM(CATEGORIAS[[#This Row],[COSTO
ACUMULADO  AX]:[PROVISIONES]])</f>
        <v>0</v>
      </c>
      <c r="W265" s="264">
        <v>0</v>
      </c>
      <c r="X265" s="222"/>
      <c r="Y265" s="222">
        <v>0</v>
      </c>
      <c r="Z265" s="263">
        <f>SUM(CATEGORIAS[[#This Row],[COSTO ACUMULADO
ANTERIOR]:[PROVISIONES
ANTERIOR]])</f>
        <v>0</v>
      </c>
      <c r="AA265" s="338">
        <f>ABS(+CATEGORIAS[[#This Row],[PRESUPUESTO
FINAL
PROYECTADO]]-CATEGORIAS[[#This Row],[TOTAL PRODUCCION
ACTUAL]])</f>
        <v>0</v>
      </c>
      <c r="AB265" s="222"/>
      <c r="AC265" s="134"/>
      <c r="AD265" s="134">
        <v>0</v>
      </c>
      <c r="AE265" s="221">
        <f>SUM(CATEGORIAS[[#This Row],[INVENTARIO]:[PROYECCION
DE COSTO
DEL SALDO]])</f>
        <v>0</v>
      </c>
      <c r="AF265" s="134"/>
      <c r="AG265" s="134">
        <f>+CATEGORIAS[[#This Row],[PRESUPUESTO
FINAL
PROYECTADO]]-CATEGORIAS[[#This Row],[COSTO REAL]]-CATEGORIAS[[#This Row],[PROYECCION
TOTAL DE COSTO]]</f>
        <v>0</v>
      </c>
    </row>
    <row r="266" spans="1:33" x14ac:dyDescent="0.25">
      <c r="A266" s="245"/>
      <c r="B266" s="245"/>
      <c r="C266" s="245"/>
      <c r="D266" s="323" t="s">
        <v>2002</v>
      </c>
      <c r="E266" s="244" t="s">
        <v>894</v>
      </c>
      <c r="F266" s="246" t="s">
        <v>376</v>
      </c>
      <c r="G266" s="279">
        <v>0</v>
      </c>
      <c r="H266" s="279">
        <v>0</v>
      </c>
      <c r="I266" s="132">
        <v>0</v>
      </c>
      <c r="J266" s="132">
        <v>0</v>
      </c>
      <c r="K266" s="132">
        <v>0</v>
      </c>
      <c r="L266" s="144">
        <f>CATEGORIAS[[#This Row],[ADICIONALES]]+CATEGORIAS[[#This Row],[POM]]+CATEGORIAS[[#This Row],[REAJUSTE 
PAGADO]]+CATEGORIAS[[#This Row],[REAJUSTE
PROYECTADO]]</f>
        <v>0</v>
      </c>
      <c r="M266" s="133">
        <v>0</v>
      </c>
      <c r="N266" s="222">
        <v>0</v>
      </c>
      <c r="O266" s="142">
        <f>+CATEGORIAS[[#This Row],[PRODUCCION
PARTIDAS
ORIGINALES
ACTUAL]]+CATEGORIAS[[#This Row],[PRODUCCION
ADICIONALES
ACTUAL]]</f>
        <v>0</v>
      </c>
      <c r="P266" s="222">
        <v>0</v>
      </c>
      <c r="Q266" s="222">
        <v>0</v>
      </c>
      <c r="R266" s="141">
        <f>+CATEGORIAS[[#This Row],[PRODUCCION
ANTERIOR]]+CATEGORIAS[[#This Row],[PRODUCCION
ADICIONALES
ANTERIOR]]</f>
        <v>0</v>
      </c>
      <c r="S266" s="135">
        <v>0</v>
      </c>
      <c r="T266" s="135"/>
      <c r="U266" s="135">
        <v>0</v>
      </c>
      <c r="V266" s="262">
        <f>SUM(CATEGORIAS[[#This Row],[COSTO
ACUMULADO  AX]:[PROVISIONES]])</f>
        <v>0</v>
      </c>
      <c r="W266" s="264">
        <v>0</v>
      </c>
      <c r="X266" s="222"/>
      <c r="Y266" s="222">
        <v>0</v>
      </c>
      <c r="Z266" s="263">
        <f>SUM(CATEGORIAS[[#This Row],[COSTO ACUMULADO
ANTERIOR]:[PROVISIONES
ANTERIOR]])</f>
        <v>0</v>
      </c>
      <c r="AA266" s="338">
        <f>ABS(+CATEGORIAS[[#This Row],[PRESUPUESTO
FINAL
PROYECTADO]]-CATEGORIAS[[#This Row],[TOTAL PRODUCCION
ACTUAL]])</f>
        <v>0</v>
      </c>
      <c r="AB266" s="222"/>
      <c r="AC266" s="134"/>
      <c r="AD266" s="134">
        <v>0</v>
      </c>
      <c r="AE266" s="221">
        <f>SUM(CATEGORIAS[[#This Row],[INVENTARIO]:[PROYECCION
DE COSTO
DEL SALDO]])</f>
        <v>0</v>
      </c>
      <c r="AF266" s="134"/>
      <c r="AG266" s="134">
        <f>+CATEGORIAS[[#This Row],[PRESUPUESTO
FINAL
PROYECTADO]]-CATEGORIAS[[#This Row],[COSTO REAL]]-CATEGORIAS[[#This Row],[PROYECCION
TOTAL DE COSTO]]</f>
        <v>0</v>
      </c>
    </row>
    <row r="267" spans="1:33" x14ac:dyDescent="0.25">
      <c r="A267" s="245"/>
      <c r="B267" s="245"/>
      <c r="C267" s="245"/>
      <c r="D267" s="323" t="s">
        <v>2003</v>
      </c>
      <c r="E267" s="244" t="s">
        <v>896</v>
      </c>
      <c r="F267" s="246" t="s">
        <v>376</v>
      </c>
      <c r="G267" s="279">
        <v>0</v>
      </c>
      <c r="H267" s="279">
        <v>0</v>
      </c>
      <c r="I267" s="132">
        <v>0</v>
      </c>
      <c r="J267" s="132">
        <v>0</v>
      </c>
      <c r="K267" s="132">
        <v>0</v>
      </c>
      <c r="L267" s="144">
        <f>CATEGORIAS[[#This Row],[ADICIONALES]]+CATEGORIAS[[#This Row],[POM]]+CATEGORIAS[[#This Row],[REAJUSTE 
PAGADO]]+CATEGORIAS[[#This Row],[REAJUSTE
PROYECTADO]]</f>
        <v>0</v>
      </c>
      <c r="M267" s="133">
        <v>0</v>
      </c>
      <c r="N267" s="222">
        <v>0</v>
      </c>
      <c r="O267" s="142">
        <f>+CATEGORIAS[[#This Row],[PRODUCCION
PARTIDAS
ORIGINALES
ACTUAL]]+CATEGORIAS[[#This Row],[PRODUCCION
ADICIONALES
ACTUAL]]</f>
        <v>0</v>
      </c>
      <c r="P267" s="222">
        <v>0</v>
      </c>
      <c r="Q267" s="134">
        <v>0</v>
      </c>
      <c r="R267" s="141">
        <f>+CATEGORIAS[[#This Row],[PRODUCCION
ANTERIOR]]+CATEGORIAS[[#This Row],[PRODUCCION
ADICIONALES
ANTERIOR]]</f>
        <v>0</v>
      </c>
      <c r="S267" s="135">
        <v>0</v>
      </c>
      <c r="T267" s="135"/>
      <c r="U267" s="135">
        <v>0</v>
      </c>
      <c r="V267" s="262">
        <f>SUM(CATEGORIAS[[#This Row],[COSTO
ACUMULADO  AX]:[PROVISIONES]])</f>
        <v>0</v>
      </c>
      <c r="W267" s="264">
        <v>0</v>
      </c>
      <c r="X267" s="222"/>
      <c r="Y267" s="222">
        <v>0</v>
      </c>
      <c r="Z267" s="263">
        <f>SUM(CATEGORIAS[[#This Row],[COSTO ACUMULADO
ANTERIOR]:[PROVISIONES
ANTERIOR]])</f>
        <v>0</v>
      </c>
      <c r="AA267" s="338">
        <f>ABS(+CATEGORIAS[[#This Row],[PRESUPUESTO
FINAL
PROYECTADO]]-CATEGORIAS[[#This Row],[TOTAL PRODUCCION
ACTUAL]])</f>
        <v>0</v>
      </c>
      <c r="AB267" s="222"/>
      <c r="AC267" s="134"/>
      <c r="AD267" s="134">
        <v>0</v>
      </c>
      <c r="AE267" s="221">
        <f>SUM(CATEGORIAS[[#This Row],[INVENTARIO]:[PROYECCION
DE COSTO
DEL SALDO]])</f>
        <v>0</v>
      </c>
      <c r="AF267" s="134"/>
      <c r="AG267" s="134">
        <f>+CATEGORIAS[[#This Row],[PRESUPUESTO
FINAL
PROYECTADO]]-CATEGORIAS[[#This Row],[COSTO REAL]]-CATEGORIAS[[#This Row],[PROYECCION
TOTAL DE COSTO]]</f>
        <v>0</v>
      </c>
    </row>
    <row r="268" spans="1:33" x14ac:dyDescent="0.25">
      <c r="A268" s="245"/>
      <c r="B268" s="245"/>
      <c r="C268" s="245"/>
      <c r="D268" s="323" t="s">
        <v>2004</v>
      </c>
      <c r="E268" s="244" t="s">
        <v>898</v>
      </c>
      <c r="F268" s="246" t="s">
        <v>376</v>
      </c>
      <c r="G268" s="279">
        <v>0</v>
      </c>
      <c r="H268" s="279">
        <v>0</v>
      </c>
      <c r="I268" s="132">
        <v>0</v>
      </c>
      <c r="J268" s="132">
        <v>0</v>
      </c>
      <c r="K268" s="132">
        <v>0</v>
      </c>
      <c r="L268" s="144">
        <f>CATEGORIAS[[#This Row],[ADICIONALES]]+CATEGORIAS[[#This Row],[POM]]+CATEGORIAS[[#This Row],[REAJUSTE 
PAGADO]]+CATEGORIAS[[#This Row],[REAJUSTE
PROYECTADO]]</f>
        <v>0</v>
      </c>
      <c r="M268" s="133">
        <v>0</v>
      </c>
      <c r="N268" s="222">
        <v>0</v>
      </c>
      <c r="O268" s="142">
        <f>+CATEGORIAS[[#This Row],[PRODUCCION
PARTIDAS
ORIGINALES
ACTUAL]]+CATEGORIAS[[#This Row],[PRODUCCION
ADICIONALES
ACTUAL]]</f>
        <v>0</v>
      </c>
      <c r="P268" s="222">
        <v>0</v>
      </c>
      <c r="Q268" s="222">
        <v>0</v>
      </c>
      <c r="R268" s="141">
        <f>+CATEGORIAS[[#This Row],[PRODUCCION
ANTERIOR]]+CATEGORIAS[[#This Row],[PRODUCCION
ADICIONALES
ANTERIOR]]</f>
        <v>0</v>
      </c>
      <c r="S268" s="135">
        <v>0</v>
      </c>
      <c r="T268" s="135"/>
      <c r="U268" s="135">
        <v>0</v>
      </c>
      <c r="V268" s="262">
        <f>SUM(CATEGORIAS[[#This Row],[COSTO
ACUMULADO  AX]:[PROVISIONES]])</f>
        <v>0</v>
      </c>
      <c r="W268" s="264">
        <v>0</v>
      </c>
      <c r="X268" s="222"/>
      <c r="Y268" s="222">
        <v>0</v>
      </c>
      <c r="Z268" s="263">
        <f>SUM(CATEGORIAS[[#This Row],[COSTO ACUMULADO
ANTERIOR]:[PROVISIONES
ANTERIOR]])</f>
        <v>0</v>
      </c>
      <c r="AA268" s="338">
        <f>ABS(+CATEGORIAS[[#This Row],[PRESUPUESTO
FINAL
PROYECTADO]]-CATEGORIAS[[#This Row],[TOTAL PRODUCCION
ACTUAL]])</f>
        <v>0</v>
      </c>
      <c r="AB268" s="222"/>
      <c r="AC268" s="134"/>
      <c r="AD268" s="134">
        <v>0</v>
      </c>
      <c r="AE268" s="221">
        <f>SUM(CATEGORIAS[[#This Row],[INVENTARIO]:[PROYECCION
DE COSTO
DEL SALDO]])</f>
        <v>0</v>
      </c>
      <c r="AF268" s="134"/>
      <c r="AG268" s="134">
        <f>+CATEGORIAS[[#This Row],[PRESUPUESTO
FINAL
PROYECTADO]]-CATEGORIAS[[#This Row],[COSTO REAL]]-CATEGORIAS[[#This Row],[PROYECCION
TOTAL DE COSTO]]</f>
        <v>0</v>
      </c>
    </row>
    <row r="269" spans="1:33" x14ac:dyDescent="0.25">
      <c r="A269" s="245"/>
      <c r="B269" s="245"/>
      <c r="C269" s="245"/>
      <c r="D269" s="323" t="s">
        <v>2005</v>
      </c>
      <c r="E269" s="244" t="s">
        <v>900</v>
      </c>
      <c r="F269" s="246" t="s">
        <v>376</v>
      </c>
      <c r="G269" s="279">
        <v>0</v>
      </c>
      <c r="H269" s="279">
        <v>0</v>
      </c>
      <c r="I269" s="132">
        <v>0</v>
      </c>
      <c r="J269" s="132">
        <v>0</v>
      </c>
      <c r="K269" s="132">
        <v>0</v>
      </c>
      <c r="L269" s="144">
        <f>CATEGORIAS[[#This Row],[ADICIONALES]]+CATEGORIAS[[#This Row],[POM]]+CATEGORIAS[[#This Row],[REAJUSTE 
PAGADO]]+CATEGORIAS[[#This Row],[REAJUSTE
PROYECTADO]]</f>
        <v>0</v>
      </c>
      <c r="M269" s="133">
        <v>0</v>
      </c>
      <c r="N269" s="222">
        <v>0</v>
      </c>
      <c r="O269" s="142">
        <f>+CATEGORIAS[[#This Row],[PRODUCCION
PARTIDAS
ORIGINALES
ACTUAL]]+CATEGORIAS[[#This Row],[PRODUCCION
ADICIONALES
ACTUAL]]</f>
        <v>0</v>
      </c>
      <c r="P269" s="222">
        <v>0</v>
      </c>
      <c r="Q269" s="134">
        <v>0</v>
      </c>
      <c r="R269" s="141">
        <f>+CATEGORIAS[[#This Row],[PRODUCCION
ANTERIOR]]+CATEGORIAS[[#This Row],[PRODUCCION
ADICIONALES
ANTERIOR]]</f>
        <v>0</v>
      </c>
      <c r="S269" s="135">
        <v>0</v>
      </c>
      <c r="T269" s="135"/>
      <c r="U269" s="135">
        <v>0</v>
      </c>
      <c r="V269" s="262">
        <f>SUM(CATEGORIAS[[#This Row],[COSTO
ACUMULADO  AX]:[PROVISIONES]])</f>
        <v>0</v>
      </c>
      <c r="W269" s="264">
        <v>0</v>
      </c>
      <c r="X269" s="222"/>
      <c r="Y269" s="222">
        <v>0</v>
      </c>
      <c r="Z269" s="263">
        <f>SUM(CATEGORIAS[[#This Row],[COSTO ACUMULADO
ANTERIOR]:[PROVISIONES
ANTERIOR]])</f>
        <v>0</v>
      </c>
      <c r="AA269" s="338">
        <f>ABS(+CATEGORIAS[[#This Row],[PRESUPUESTO
FINAL
PROYECTADO]]-CATEGORIAS[[#This Row],[TOTAL PRODUCCION
ACTUAL]])</f>
        <v>0</v>
      </c>
      <c r="AB269" s="222"/>
      <c r="AC269" s="134"/>
      <c r="AD269" s="134">
        <v>0</v>
      </c>
      <c r="AE269" s="221">
        <f>SUM(CATEGORIAS[[#This Row],[INVENTARIO]:[PROYECCION
DE COSTO
DEL SALDO]])</f>
        <v>0</v>
      </c>
      <c r="AF269" s="134"/>
      <c r="AG269" s="134">
        <f>+CATEGORIAS[[#This Row],[PRESUPUESTO
FINAL
PROYECTADO]]-CATEGORIAS[[#This Row],[COSTO REAL]]-CATEGORIAS[[#This Row],[PROYECCION
TOTAL DE COSTO]]</f>
        <v>0</v>
      </c>
    </row>
    <row r="270" spans="1:33" x14ac:dyDescent="0.25">
      <c r="A270" s="245"/>
      <c r="B270" s="245"/>
      <c r="C270" s="245"/>
      <c r="D270" s="323" t="s">
        <v>2006</v>
      </c>
      <c r="E270" s="244" t="s">
        <v>902</v>
      </c>
      <c r="F270" s="246" t="s">
        <v>376</v>
      </c>
      <c r="G270" s="279">
        <v>0</v>
      </c>
      <c r="H270" s="279">
        <v>0</v>
      </c>
      <c r="I270" s="132">
        <v>0</v>
      </c>
      <c r="J270" s="132">
        <v>0</v>
      </c>
      <c r="K270" s="132">
        <v>0</v>
      </c>
      <c r="L270" s="144">
        <f>CATEGORIAS[[#This Row],[ADICIONALES]]+CATEGORIAS[[#This Row],[POM]]+CATEGORIAS[[#This Row],[REAJUSTE 
PAGADO]]+CATEGORIAS[[#This Row],[REAJUSTE
PROYECTADO]]</f>
        <v>0</v>
      </c>
      <c r="M270" s="133">
        <v>0</v>
      </c>
      <c r="N270" s="222">
        <v>0</v>
      </c>
      <c r="O270" s="142">
        <f>+CATEGORIAS[[#This Row],[PRODUCCION
PARTIDAS
ORIGINALES
ACTUAL]]+CATEGORIAS[[#This Row],[PRODUCCION
ADICIONALES
ACTUAL]]</f>
        <v>0</v>
      </c>
      <c r="P270" s="222">
        <v>0</v>
      </c>
      <c r="Q270" s="222">
        <v>0</v>
      </c>
      <c r="R270" s="141">
        <f>+CATEGORIAS[[#This Row],[PRODUCCION
ANTERIOR]]+CATEGORIAS[[#This Row],[PRODUCCION
ADICIONALES
ANTERIOR]]</f>
        <v>0</v>
      </c>
      <c r="S270" s="135">
        <v>0</v>
      </c>
      <c r="T270" s="135"/>
      <c r="U270" s="135">
        <v>0</v>
      </c>
      <c r="V270" s="262">
        <f>SUM(CATEGORIAS[[#This Row],[COSTO
ACUMULADO  AX]:[PROVISIONES]])</f>
        <v>0</v>
      </c>
      <c r="W270" s="264">
        <v>0</v>
      </c>
      <c r="X270" s="222"/>
      <c r="Y270" s="222">
        <v>0</v>
      </c>
      <c r="Z270" s="263">
        <f>SUM(CATEGORIAS[[#This Row],[COSTO ACUMULADO
ANTERIOR]:[PROVISIONES
ANTERIOR]])</f>
        <v>0</v>
      </c>
      <c r="AA270" s="338">
        <f>ABS(+CATEGORIAS[[#This Row],[PRESUPUESTO
FINAL
PROYECTADO]]-CATEGORIAS[[#This Row],[TOTAL PRODUCCION
ACTUAL]])</f>
        <v>0</v>
      </c>
      <c r="AB270" s="222"/>
      <c r="AC270" s="134"/>
      <c r="AD270" s="134">
        <v>0</v>
      </c>
      <c r="AE270" s="221">
        <f>SUM(CATEGORIAS[[#This Row],[INVENTARIO]:[PROYECCION
DE COSTO
DEL SALDO]])</f>
        <v>0</v>
      </c>
      <c r="AF270" s="134"/>
      <c r="AG270" s="134">
        <f>+CATEGORIAS[[#This Row],[PRESUPUESTO
FINAL
PROYECTADO]]-CATEGORIAS[[#This Row],[COSTO REAL]]-CATEGORIAS[[#This Row],[PROYECCION
TOTAL DE COSTO]]</f>
        <v>0</v>
      </c>
    </row>
    <row r="271" spans="1:33" x14ac:dyDescent="0.25">
      <c r="A271" s="245"/>
      <c r="B271" s="245"/>
      <c r="C271" s="245"/>
      <c r="D271" s="323" t="s">
        <v>2007</v>
      </c>
      <c r="E271" s="244" t="s">
        <v>904</v>
      </c>
      <c r="F271" s="246" t="s">
        <v>376</v>
      </c>
      <c r="G271" s="279">
        <v>0</v>
      </c>
      <c r="H271" s="279">
        <v>0</v>
      </c>
      <c r="I271" s="132">
        <v>0</v>
      </c>
      <c r="J271" s="132">
        <v>0</v>
      </c>
      <c r="K271" s="132">
        <v>0</v>
      </c>
      <c r="L271" s="144">
        <f>CATEGORIAS[[#This Row],[ADICIONALES]]+CATEGORIAS[[#This Row],[POM]]+CATEGORIAS[[#This Row],[REAJUSTE 
PAGADO]]+CATEGORIAS[[#This Row],[REAJUSTE
PROYECTADO]]</f>
        <v>0</v>
      </c>
      <c r="M271" s="133">
        <v>0</v>
      </c>
      <c r="N271" s="222">
        <v>0</v>
      </c>
      <c r="O271" s="142">
        <f>+CATEGORIAS[[#This Row],[PRODUCCION
PARTIDAS
ORIGINALES
ACTUAL]]+CATEGORIAS[[#This Row],[PRODUCCION
ADICIONALES
ACTUAL]]</f>
        <v>0</v>
      </c>
      <c r="P271" s="222">
        <v>0</v>
      </c>
      <c r="Q271" s="134">
        <v>0</v>
      </c>
      <c r="R271" s="141">
        <f>+CATEGORIAS[[#This Row],[PRODUCCION
ANTERIOR]]+CATEGORIAS[[#This Row],[PRODUCCION
ADICIONALES
ANTERIOR]]</f>
        <v>0</v>
      </c>
      <c r="S271" s="135">
        <v>0</v>
      </c>
      <c r="T271" s="135"/>
      <c r="U271" s="135">
        <v>0</v>
      </c>
      <c r="V271" s="262">
        <f>SUM(CATEGORIAS[[#This Row],[COSTO
ACUMULADO  AX]:[PROVISIONES]])</f>
        <v>0</v>
      </c>
      <c r="W271" s="264">
        <v>0</v>
      </c>
      <c r="X271" s="222"/>
      <c r="Y271" s="222">
        <v>0</v>
      </c>
      <c r="Z271" s="263">
        <f>SUM(CATEGORIAS[[#This Row],[COSTO ACUMULADO
ANTERIOR]:[PROVISIONES
ANTERIOR]])</f>
        <v>0</v>
      </c>
      <c r="AA271" s="338">
        <f>ABS(+CATEGORIAS[[#This Row],[PRESUPUESTO
FINAL
PROYECTADO]]-CATEGORIAS[[#This Row],[TOTAL PRODUCCION
ACTUAL]])</f>
        <v>0</v>
      </c>
      <c r="AB271" s="222"/>
      <c r="AC271" s="134"/>
      <c r="AD271" s="134">
        <v>0</v>
      </c>
      <c r="AE271" s="221">
        <f>SUM(CATEGORIAS[[#This Row],[INVENTARIO]:[PROYECCION
DE COSTO
DEL SALDO]])</f>
        <v>0</v>
      </c>
      <c r="AF271" s="134"/>
      <c r="AG271" s="134">
        <f>+CATEGORIAS[[#This Row],[PRESUPUESTO
FINAL
PROYECTADO]]-CATEGORIAS[[#This Row],[COSTO REAL]]-CATEGORIAS[[#This Row],[PROYECCION
TOTAL DE COSTO]]</f>
        <v>0</v>
      </c>
    </row>
    <row r="272" spans="1:33" x14ac:dyDescent="0.25">
      <c r="A272" s="245"/>
      <c r="B272" s="245"/>
      <c r="C272" s="245"/>
      <c r="D272" s="323" t="s">
        <v>2008</v>
      </c>
      <c r="E272" s="244" t="s">
        <v>906</v>
      </c>
      <c r="F272" s="246" t="s">
        <v>376</v>
      </c>
      <c r="G272" s="279">
        <v>0</v>
      </c>
      <c r="H272" s="279">
        <v>0</v>
      </c>
      <c r="I272" s="132">
        <v>0</v>
      </c>
      <c r="J272" s="132">
        <v>0</v>
      </c>
      <c r="K272" s="132">
        <v>0</v>
      </c>
      <c r="L272" s="144">
        <f>CATEGORIAS[[#This Row],[ADICIONALES]]+CATEGORIAS[[#This Row],[POM]]+CATEGORIAS[[#This Row],[REAJUSTE 
PAGADO]]+CATEGORIAS[[#This Row],[REAJUSTE
PROYECTADO]]</f>
        <v>0</v>
      </c>
      <c r="M272" s="133">
        <v>0</v>
      </c>
      <c r="N272" s="222">
        <v>0</v>
      </c>
      <c r="O272" s="142">
        <f>+CATEGORIAS[[#This Row],[PRODUCCION
PARTIDAS
ORIGINALES
ACTUAL]]+CATEGORIAS[[#This Row],[PRODUCCION
ADICIONALES
ACTUAL]]</f>
        <v>0</v>
      </c>
      <c r="P272" s="222">
        <v>0</v>
      </c>
      <c r="Q272" s="222">
        <v>0</v>
      </c>
      <c r="R272" s="141">
        <f>+CATEGORIAS[[#This Row],[PRODUCCION
ANTERIOR]]+CATEGORIAS[[#This Row],[PRODUCCION
ADICIONALES
ANTERIOR]]</f>
        <v>0</v>
      </c>
      <c r="S272" s="135">
        <v>0</v>
      </c>
      <c r="T272" s="135"/>
      <c r="U272" s="135">
        <v>0</v>
      </c>
      <c r="V272" s="262">
        <f>SUM(CATEGORIAS[[#This Row],[COSTO
ACUMULADO  AX]:[PROVISIONES]])</f>
        <v>0</v>
      </c>
      <c r="W272" s="264">
        <v>0</v>
      </c>
      <c r="X272" s="222"/>
      <c r="Y272" s="222">
        <v>0</v>
      </c>
      <c r="Z272" s="263">
        <f>SUM(CATEGORIAS[[#This Row],[COSTO ACUMULADO
ANTERIOR]:[PROVISIONES
ANTERIOR]])</f>
        <v>0</v>
      </c>
      <c r="AA272" s="338">
        <f>ABS(+CATEGORIAS[[#This Row],[PRESUPUESTO
FINAL
PROYECTADO]]-CATEGORIAS[[#This Row],[TOTAL PRODUCCION
ACTUAL]])</f>
        <v>0</v>
      </c>
      <c r="AB272" s="222"/>
      <c r="AC272" s="134"/>
      <c r="AD272" s="134">
        <v>0</v>
      </c>
      <c r="AE272" s="221">
        <f>SUM(CATEGORIAS[[#This Row],[INVENTARIO]:[PROYECCION
DE COSTO
DEL SALDO]])</f>
        <v>0</v>
      </c>
      <c r="AF272" s="134"/>
      <c r="AG272" s="134">
        <f>+CATEGORIAS[[#This Row],[PRESUPUESTO
FINAL
PROYECTADO]]-CATEGORIAS[[#This Row],[COSTO REAL]]-CATEGORIAS[[#This Row],[PROYECCION
TOTAL DE COSTO]]</f>
        <v>0</v>
      </c>
    </row>
    <row r="273" spans="1:33" x14ac:dyDescent="0.25">
      <c r="A273" s="245"/>
      <c r="B273" s="245"/>
      <c r="C273" s="245"/>
      <c r="D273" s="323" t="s">
        <v>2009</v>
      </c>
      <c r="E273" s="244" t="s">
        <v>908</v>
      </c>
      <c r="F273" s="246" t="s">
        <v>376</v>
      </c>
      <c r="G273" s="279">
        <v>0</v>
      </c>
      <c r="H273" s="279">
        <v>0</v>
      </c>
      <c r="I273" s="132">
        <v>0</v>
      </c>
      <c r="J273" s="132">
        <v>0</v>
      </c>
      <c r="K273" s="132">
        <v>0</v>
      </c>
      <c r="L273" s="144">
        <f>CATEGORIAS[[#This Row],[ADICIONALES]]+CATEGORIAS[[#This Row],[POM]]+CATEGORIAS[[#This Row],[REAJUSTE 
PAGADO]]+CATEGORIAS[[#This Row],[REAJUSTE
PROYECTADO]]</f>
        <v>0</v>
      </c>
      <c r="M273" s="133">
        <v>0</v>
      </c>
      <c r="N273" s="222">
        <v>0</v>
      </c>
      <c r="O273" s="142">
        <f>+CATEGORIAS[[#This Row],[PRODUCCION
PARTIDAS
ORIGINALES
ACTUAL]]+CATEGORIAS[[#This Row],[PRODUCCION
ADICIONALES
ACTUAL]]</f>
        <v>0</v>
      </c>
      <c r="P273" s="222">
        <v>0</v>
      </c>
      <c r="Q273" s="134">
        <v>0</v>
      </c>
      <c r="R273" s="141">
        <f>+CATEGORIAS[[#This Row],[PRODUCCION
ANTERIOR]]+CATEGORIAS[[#This Row],[PRODUCCION
ADICIONALES
ANTERIOR]]</f>
        <v>0</v>
      </c>
      <c r="S273" s="135">
        <v>0</v>
      </c>
      <c r="T273" s="135"/>
      <c r="U273" s="135">
        <v>0</v>
      </c>
      <c r="V273" s="262">
        <f>SUM(CATEGORIAS[[#This Row],[COSTO
ACUMULADO  AX]:[PROVISIONES]])</f>
        <v>0</v>
      </c>
      <c r="W273" s="264">
        <v>0</v>
      </c>
      <c r="X273" s="222"/>
      <c r="Y273" s="222">
        <v>0</v>
      </c>
      <c r="Z273" s="263">
        <f>SUM(CATEGORIAS[[#This Row],[COSTO ACUMULADO
ANTERIOR]:[PROVISIONES
ANTERIOR]])</f>
        <v>0</v>
      </c>
      <c r="AA273" s="338">
        <f>ABS(+CATEGORIAS[[#This Row],[PRESUPUESTO
FINAL
PROYECTADO]]-CATEGORIAS[[#This Row],[TOTAL PRODUCCION
ACTUAL]])</f>
        <v>0</v>
      </c>
      <c r="AB273" s="222"/>
      <c r="AC273" s="134"/>
      <c r="AD273" s="134">
        <v>0</v>
      </c>
      <c r="AE273" s="221">
        <f>SUM(CATEGORIAS[[#This Row],[INVENTARIO]:[PROYECCION
DE COSTO
DEL SALDO]])</f>
        <v>0</v>
      </c>
      <c r="AF273" s="134"/>
      <c r="AG273" s="134">
        <f>+CATEGORIAS[[#This Row],[PRESUPUESTO
FINAL
PROYECTADO]]-CATEGORIAS[[#This Row],[COSTO REAL]]-CATEGORIAS[[#This Row],[PROYECCION
TOTAL DE COSTO]]</f>
        <v>0</v>
      </c>
    </row>
    <row r="274" spans="1:33" x14ac:dyDescent="0.25">
      <c r="A274" s="245"/>
      <c r="B274" s="245"/>
      <c r="C274" s="245"/>
      <c r="D274" s="323" t="s">
        <v>2010</v>
      </c>
      <c r="E274" s="244" t="s">
        <v>910</v>
      </c>
      <c r="F274" s="246" t="s">
        <v>376</v>
      </c>
      <c r="G274" s="279">
        <v>0</v>
      </c>
      <c r="H274" s="279">
        <v>0</v>
      </c>
      <c r="I274" s="132">
        <v>0</v>
      </c>
      <c r="J274" s="132">
        <v>0</v>
      </c>
      <c r="K274" s="132">
        <v>0</v>
      </c>
      <c r="L274" s="144">
        <f>CATEGORIAS[[#This Row],[ADICIONALES]]+CATEGORIAS[[#This Row],[POM]]+CATEGORIAS[[#This Row],[REAJUSTE 
PAGADO]]+CATEGORIAS[[#This Row],[REAJUSTE
PROYECTADO]]</f>
        <v>0</v>
      </c>
      <c r="M274" s="133">
        <v>0</v>
      </c>
      <c r="N274" s="222">
        <v>0</v>
      </c>
      <c r="O274" s="142">
        <f>+CATEGORIAS[[#This Row],[PRODUCCION
PARTIDAS
ORIGINALES
ACTUAL]]+CATEGORIAS[[#This Row],[PRODUCCION
ADICIONALES
ACTUAL]]</f>
        <v>0</v>
      </c>
      <c r="P274" s="222">
        <v>0</v>
      </c>
      <c r="Q274" s="222">
        <v>0</v>
      </c>
      <c r="R274" s="141">
        <f>+CATEGORIAS[[#This Row],[PRODUCCION
ANTERIOR]]+CATEGORIAS[[#This Row],[PRODUCCION
ADICIONALES
ANTERIOR]]</f>
        <v>0</v>
      </c>
      <c r="S274" s="135">
        <v>0</v>
      </c>
      <c r="T274" s="135"/>
      <c r="U274" s="135">
        <v>0</v>
      </c>
      <c r="V274" s="262">
        <f>SUM(CATEGORIAS[[#This Row],[COSTO
ACUMULADO  AX]:[PROVISIONES]])</f>
        <v>0</v>
      </c>
      <c r="W274" s="264">
        <v>0</v>
      </c>
      <c r="X274" s="222"/>
      <c r="Y274" s="222">
        <v>0</v>
      </c>
      <c r="Z274" s="263">
        <f>SUM(CATEGORIAS[[#This Row],[COSTO ACUMULADO
ANTERIOR]:[PROVISIONES
ANTERIOR]])</f>
        <v>0</v>
      </c>
      <c r="AA274" s="338">
        <f>ABS(+CATEGORIAS[[#This Row],[PRESUPUESTO
FINAL
PROYECTADO]]-CATEGORIAS[[#This Row],[TOTAL PRODUCCION
ACTUAL]])</f>
        <v>0</v>
      </c>
      <c r="AB274" s="222"/>
      <c r="AC274" s="134"/>
      <c r="AD274" s="134">
        <v>0</v>
      </c>
      <c r="AE274" s="221">
        <f>SUM(CATEGORIAS[[#This Row],[INVENTARIO]:[PROYECCION
DE COSTO
DEL SALDO]])</f>
        <v>0</v>
      </c>
      <c r="AF274" s="134"/>
      <c r="AG274" s="134">
        <f>+CATEGORIAS[[#This Row],[PRESUPUESTO
FINAL
PROYECTADO]]-CATEGORIAS[[#This Row],[COSTO REAL]]-CATEGORIAS[[#This Row],[PROYECCION
TOTAL DE COSTO]]</f>
        <v>0</v>
      </c>
    </row>
    <row r="275" spans="1:33" x14ac:dyDescent="0.25">
      <c r="A275" s="245"/>
      <c r="B275" s="245"/>
      <c r="C275" s="245"/>
      <c r="D275" s="323" t="s">
        <v>2011</v>
      </c>
      <c r="E275" s="244" t="s">
        <v>912</v>
      </c>
      <c r="F275" s="246" t="s">
        <v>376</v>
      </c>
      <c r="G275" s="279">
        <v>0</v>
      </c>
      <c r="H275" s="279">
        <v>0</v>
      </c>
      <c r="I275" s="132">
        <v>0</v>
      </c>
      <c r="J275" s="132">
        <v>0</v>
      </c>
      <c r="K275" s="132">
        <v>0</v>
      </c>
      <c r="L275" s="144">
        <f>CATEGORIAS[[#This Row],[ADICIONALES]]+CATEGORIAS[[#This Row],[POM]]+CATEGORIAS[[#This Row],[REAJUSTE 
PAGADO]]+CATEGORIAS[[#This Row],[REAJUSTE
PROYECTADO]]</f>
        <v>0</v>
      </c>
      <c r="M275" s="133">
        <v>0</v>
      </c>
      <c r="N275" s="222">
        <v>0</v>
      </c>
      <c r="O275" s="142">
        <f>+CATEGORIAS[[#This Row],[PRODUCCION
PARTIDAS
ORIGINALES
ACTUAL]]+CATEGORIAS[[#This Row],[PRODUCCION
ADICIONALES
ACTUAL]]</f>
        <v>0</v>
      </c>
      <c r="P275" s="222">
        <v>0</v>
      </c>
      <c r="Q275" s="134">
        <v>0</v>
      </c>
      <c r="R275" s="141">
        <f>+CATEGORIAS[[#This Row],[PRODUCCION
ANTERIOR]]+CATEGORIAS[[#This Row],[PRODUCCION
ADICIONALES
ANTERIOR]]</f>
        <v>0</v>
      </c>
      <c r="S275" s="135">
        <v>0</v>
      </c>
      <c r="T275" s="135"/>
      <c r="U275" s="135">
        <v>0</v>
      </c>
      <c r="V275" s="262">
        <f>SUM(CATEGORIAS[[#This Row],[COSTO
ACUMULADO  AX]:[PROVISIONES]])</f>
        <v>0</v>
      </c>
      <c r="W275" s="264">
        <v>0</v>
      </c>
      <c r="X275" s="222"/>
      <c r="Y275" s="222">
        <v>0</v>
      </c>
      <c r="Z275" s="263">
        <f>SUM(CATEGORIAS[[#This Row],[COSTO ACUMULADO
ANTERIOR]:[PROVISIONES
ANTERIOR]])</f>
        <v>0</v>
      </c>
      <c r="AA275" s="338">
        <f>ABS(+CATEGORIAS[[#This Row],[PRESUPUESTO
FINAL
PROYECTADO]]-CATEGORIAS[[#This Row],[TOTAL PRODUCCION
ACTUAL]])</f>
        <v>0</v>
      </c>
      <c r="AB275" s="222"/>
      <c r="AC275" s="134"/>
      <c r="AD275" s="134">
        <v>0</v>
      </c>
      <c r="AE275" s="221">
        <f>SUM(CATEGORIAS[[#This Row],[INVENTARIO]:[PROYECCION
DE COSTO
DEL SALDO]])</f>
        <v>0</v>
      </c>
      <c r="AF275" s="134"/>
      <c r="AG275" s="134">
        <f>+CATEGORIAS[[#This Row],[PRESUPUESTO
FINAL
PROYECTADO]]-CATEGORIAS[[#This Row],[COSTO REAL]]-CATEGORIAS[[#This Row],[PROYECCION
TOTAL DE COSTO]]</f>
        <v>0</v>
      </c>
    </row>
    <row r="276" spans="1:33" x14ac:dyDescent="0.25">
      <c r="A276" s="245"/>
      <c r="B276" s="245"/>
      <c r="C276" s="245"/>
      <c r="D276" s="323" t="s">
        <v>2012</v>
      </c>
      <c r="E276" s="244" t="s">
        <v>914</v>
      </c>
      <c r="F276" s="246" t="s">
        <v>376</v>
      </c>
      <c r="G276" s="279">
        <v>0</v>
      </c>
      <c r="H276" s="279">
        <v>0</v>
      </c>
      <c r="I276" s="132">
        <v>0</v>
      </c>
      <c r="J276" s="132">
        <v>0</v>
      </c>
      <c r="K276" s="132">
        <v>0</v>
      </c>
      <c r="L276" s="144">
        <f>CATEGORIAS[[#This Row],[ADICIONALES]]+CATEGORIAS[[#This Row],[POM]]+CATEGORIAS[[#This Row],[REAJUSTE 
PAGADO]]+CATEGORIAS[[#This Row],[REAJUSTE
PROYECTADO]]</f>
        <v>0</v>
      </c>
      <c r="M276" s="133">
        <v>0</v>
      </c>
      <c r="N276" s="222">
        <v>0</v>
      </c>
      <c r="O276" s="142">
        <f>+CATEGORIAS[[#This Row],[PRODUCCION
PARTIDAS
ORIGINALES
ACTUAL]]+CATEGORIAS[[#This Row],[PRODUCCION
ADICIONALES
ACTUAL]]</f>
        <v>0</v>
      </c>
      <c r="P276" s="222">
        <v>0</v>
      </c>
      <c r="Q276" s="222">
        <v>0</v>
      </c>
      <c r="R276" s="141">
        <f>+CATEGORIAS[[#This Row],[PRODUCCION
ANTERIOR]]+CATEGORIAS[[#This Row],[PRODUCCION
ADICIONALES
ANTERIOR]]</f>
        <v>0</v>
      </c>
      <c r="S276" s="135">
        <v>0</v>
      </c>
      <c r="T276" s="135"/>
      <c r="U276" s="135">
        <v>0</v>
      </c>
      <c r="V276" s="262">
        <f>SUM(CATEGORIAS[[#This Row],[COSTO
ACUMULADO  AX]:[PROVISIONES]])</f>
        <v>0</v>
      </c>
      <c r="W276" s="264">
        <v>0</v>
      </c>
      <c r="X276" s="222"/>
      <c r="Y276" s="222">
        <v>0</v>
      </c>
      <c r="Z276" s="263">
        <f>SUM(CATEGORIAS[[#This Row],[COSTO ACUMULADO
ANTERIOR]:[PROVISIONES
ANTERIOR]])</f>
        <v>0</v>
      </c>
      <c r="AA276" s="338">
        <f>ABS(+CATEGORIAS[[#This Row],[PRESUPUESTO
FINAL
PROYECTADO]]-CATEGORIAS[[#This Row],[TOTAL PRODUCCION
ACTUAL]])</f>
        <v>0</v>
      </c>
      <c r="AB276" s="222"/>
      <c r="AC276" s="134"/>
      <c r="AD276" s="134">
        <v>0</v>
      </c>
      <c r="AE276" s="221">
        <f>SUM(CATEGORIAS[[#This Row],[INVENTARIO]:[PROYECCION
DE COSTO
DEL SALDO]])</f>
        <v>0</v>
      </c>
      <c r="AF276" s="134"/>
      <c r="AG276" s="134">
        <f>+CATEGORIAS[[#This Row],[PRESUPUESTO
FINAL
PROYECTADO]]-CATEGORIAS[[#This Row],[COSTO REAL]]-CATEGORIAS[[#This Row],[PROYECCION
TOTAL DE COSTO]]</f>
        <v>0</v>
      </c>
    </row>
    <row r="277" spans="1:33" x14ac:dyDescent="0.25">
      <c r="A277" s="245"/>
      <c r="B277" s="245"/>
      <c r="C277" s="245"/>
      <c r="D277" s="323" t="s">
        <v>2013</v>
      </c>
      <c r="E277" s="244" t="s">
        <v>916</v>
      </c>
      <c r="F277" s="246" t="s">
        <v>376</v>
      </c>
      <c r="G277" s="279">
        <v>0</v>
      </c>
      <c r="H277" s="279">
        <v>0</v>
      </c>
      <c r="I277" s="132">
        <v>0</v>
      </c>
      <c r="J277" s="132">
        <v>0</v>
      </c>
      <c r="K277" s="132">
        <v>0</v>
      </c>
      <c r="L277" s="144">
        <f>CATEGORIAS[[#This Row],[ADICIONALES]]+CATEGORIAS[[#This Row],[POM]]+CATEGORIAS[[#This Row],[REAJUSTE 
PAGADO]]+CATEGORIAS[[#This Row],[REAJUSTE
PROYECTADO]]</f>
        <v>0</v>
      </c>
      <c r="M277" s="133">
        <v>0</v>
      </c>
      <c r="N277" s="222">
        <v>0</v>
      </c>
      <c r="O277" s="142">
        <f>+CATEGORIAS[[#This Row],[PRODUCCION
PARTIDAS
ORIGINALES
ACTUAL]]+CATEGORIAS[[#This Row],[PRODUCCION
ADICIONALES
ACTUAL]]</f>
        <v>0</v>
      </c>
      <c r="P277" s="222">
        <v>0</v>
      </c>
      <c r="Q277" s="134">
        <v>0</v>
      </c>
      <c r="R277" s="141">
        <f>+CATEGORIAS[[#This Row],[PRODUCCION
ANTERIOR]]+CATEGORIAS[[#This Row],[PRODUCCION
ADICIONALES
ANTERIOR]]</f>
        <v>0</v>
      </c>
      <c r="S277" s="135">
        <v>0</v>
      </c>
      <c r="T277" s="135"/>
      <c r="U277" s="135">
        <v>0</v>
      </c>
      <c r="V277" s="262">
        <f>SUM(CATEGORIAS[[#This Row],[COSTO
ACUMULADO  AX]:[PROVISIONES]])</f>
        <v>0</v>
      </c>
      <c r="W277" s="264">
        <v>0</v>
      </c>
      <c r="X277" s="222"/>
      <c r="Y277" s="222">
        <v>0</v>
      </c>
      <c r="Z277" s="263">
        <f>SUM(CATEGORIAS[[#This Row],[COSTO ACUMULADO
ANTERIOR]:[PROVISIONES
ANTERIOR]])</f>
        <v>0</v>
      </c>
      <c r="AA277" s="338">
        <f>ABS(+CATEGORIAS[[#This Row],[PRESUPUESTO
FINAL
PROYECTADO]]-CATEGORIAS[[#This Row],[TOTAL PRODUCCION
ACTUAL]])</f>
        <v>0</v>
      </c>
      <c r="AB277" s="222"/>
      <c r="AC277" s="134"/>
      <c r="AD277" s="134">
        <v>0</v>
      </c>
      <c r="AE277" s="221">
        <f>SUM(CATEGORIAS[[#This Row],[INVENTARIO]:[PROYECCION
DE COSTO
DEL SALDO]])</f>
        <v>0</v>
      </c>
      <c r="AF277" s="134"/>
      <c r="AG277" s="134">
        <f>+CATEGORIAS[[#This Row],[PRESUPUESTO
FINAL
PROYECTADO]]-CATEGORIAS[[#This Row],[COSTO REAL]]-CATEGORIAS[[#This Row],[PROYECCION
TOTAL DE COSTO]]</f>
        <v>0</v>
      </c>
    </row>
    <row r="278" spans="1:33" x14ac:dyDescent="0.25">
      <c r="A278" s="245"/>
      <c r="B278" s="245"/>
      <c r="C278" s="245"/>
      <c r="D278" s="323" t="s">
        <v>2014</v>
      </c>
      <c r="E278" s="244" t="s">
        <v>918</v>
      </c>
      <c r="F278" s="246" t="s">
        <v>376</v>
      </c>
      <c r="G278" s="279">
        <v>0</v>
      </c>
      <c r="H278" s="279">
        <v>0</v>
      </c>
      <c r="I278" s="132">
        <v>0</v>
      </c>
      <c r="J278" s="132">
        <v>0</v>
      </c>
      <c r="K278" s="132">
        <v>0</v>
      </c>
      <c r="L278" s="144">
        <f>CATEGORIAS[[#This Row],[ADICIONALES]]+CATEGORIAS[[#This Row],[POM]]+CATEGORIAS[[#This Row],[REAJUSTE 
PAGADO]]+CATEGORIAS[[#This Row],[REAJUSTE
PROYECTADO]]</f>
        <v>0</v>
      </c>
      <c r="M278" s="133">
        <v>0</v>
      </c>
      <c r="N278" s="222">
        <v>0</v>
      </c>
      <c r="O278" s="142">
        <f>+CATEGORIAS[[#This Row],[PRODUCCION
PARTIDAS
ORIGINALES
ACTUAL]]+CATEGORIAS[[#This Row],[PRODUCCION
ADICIONALES
ACTUAL]]</f>
        <v>0</v>
      </c>
      <c r="P278" s="222">
        <v>0</v>
      </c>
      <c r="Q278" s="222">
        <v>0</v>
      </c>
      <c r="R278" s="141">
        <f>+CATEGORIAS[[#This Row],[PRODUCCION
ANTERIOR]]+CATEGORIAS[[#This Row],[PRODUCCION
ADICIONALES
ANTERIOR]]</f>
        <v>0</v>
      </c>
      <c r="S278" s="135">
        <v>0</v>
      </c>
      <c r="T278" s="135"/>
      <c r="U278" s="135">
        <v>0</v>
      </c>
      <c r="V278" s="262">
        <f>SUM(CATEGORIAS[[#This Row],[COSTO
ACUMULADO  AX]:[PROVISIONES]])</f>
        <v>0</v>
      </c>
      <c r="W278" s="264">
        <v>0</v>
      </c>
      <c r="X278" s="222"/>
      <c r="Y278" s="222">
        <v>0</v>
      </c>
      <c r="Z278" s="263">
        <f>SUM(CATEGORIAS[[#This Row],[COSTO ACUMULADO
ANTERIOR]:[PROVISIONES
ANTERIOR]])</f>
        <v>0</v>
      </c>
      <c r="AA278" s="338">
        <f>ABS(+CATEGORIAS[[#This Row],[PRESUPUESTO
FINAL
PROYECTADO]]-CATEGORIAS[[#This Row],[TOTAL PRODUCCION
ACTUAL]])</f>
        <v>0</v>
      </c>
      <c r="AB278" s="222"/>
      <c r="AC278" s="134"/>
      <c r="AD278" s="134">
        <v>0</v>
      </c>
      <c r="AE278" s="221">
        <f>SUM(CATEGORIAS[[#This Row],[INVENTARIO]:[PROYECCION
DE COSTO
DEL SALDO]])</f>
        <v>0</v>
      </c>
      <c r="AF278" s="134"/>
      <c r="AG278" s="134">
        <f>+CATEGORIAS[[#This Row],[PRESUPUESTO
FINAL
PROYECTADO]]-CATEGORIAS[[#This Row],[COSTO REAL]]-CATEGORIAS[[#This Row],[PROYECCION
TOTAL DE COSTO]]</f>
        <v>0</v>
      </c>
    </row>
    <row r="279" spans="1:33" x14ac:dyDescent="0.25">
      <c r="A279" s="245"/>
      <c r="B279" s="245"/>
      <c r="C279" s="245"/>
      <c r="D279" s="323" t="s">
        <v>2015</v>
      </c>
      <c r="E279" s="244" t="s">
        <v>920</v>
      </c>
      <c r="F279" s="246" t="s">
        <v>376</v>
      </c>
      <c r="G279" s="279">
        <v>0</v>
      </c>
      <c r="H279" s="279">
        <v>0</v>
      </c>
      <c r="I279" s="132">
        <v>0</v>
      </c>
      <c r="J279" s="132">
        <v>0</v>
      </c>
      <c r="K279" s="132">
        <v>0</v>
      </c>
      <c r="L279" s="144">
        <f>CATEGORIAS[[#This Row],[ADICIONALES]]+CATEGORIAS[[#This Row],[POM]]+CATEGORIAS[[#This Row],[REAJUSTE 
PAGADO]]+CATEGORIAS[[#This Row],[REAJUSTE
PROYECTADO]]</f>
        <v>0</v>
      </c>
      <c r="M279" s="133">
        <v>0</v>
      </c>
      <c r="N279" s="222">
        <v>0</v>
      </c>
      <c r="O279" s="142">
        <f>+CATEGORIAS[[#This Row],[PRODUCCION
PARTIDAS
ORIGINALES
ACTUAL]]+CATEGORIAS[[#This Row],[PRODUCCION
ADICIONALES
ACTUAL]]</f>
        <v>0</v>
      </c>
      <c r="P279" s="222">
        <v>0</v>
      </c>
      <c r="Q279" s="134">
        <v>0</v>
      </c>
      <c r="R279" s="141">
        <f>+CATEGORIAS[[#This Row],[PRODUCCION
ANTERIOR]]+CATEGORIAS[[#This Row],[PRODUCCION
ADICIONALES
ANTERIOR]]</f>
        <v>0</v>
      </c>
      <c r="S279" s="135">
        <v>0</v>
      </c>
      <c r="T279" s="135"/>
      <c r="U279" s="135">
        <v>0</v>
      </c>
      <c r="V279" s="262">
        <f>SUM(CATEGORIAS[[#This Row],[COSTO
ACUMULADO  AX]:[PROVISIONES]])</f>
        <v>0</v>
      </c>
      <c r="W279" s="264">
        <v>0</v>
      </c>
      <c r="X279" s="222"/>
      <c r="Y279" s="222">
        <v>0</v>
      </c>
      <c r="Z279" s="263">
        <f>SUM(CATEGORIAS[[#This Row],[COSTO ACUMULADO
ANTERIOR]:[PROVISIONES
ANTERIOR]])</f>
        <v>0</v>
      </c>
      <c r="AA279" s="338">
        <f>ABS(+CATEGORIAS[[#This Row],[PRESUPUESTO
FINAL
PROYECTADO]]-CATEGORIAS[[#This Row],[TOTAL PRODUCCION
ACTUAL]])</f>
        <v>0</v>
      </c>
      <c r="AB279" s="222"/>
      <c r="AC279" s="134"/>
      <c r="AD279" s="134">
        <v>0</v>
      </c>
      <c r="AE279" s="221">
        <f>SUM(CATEGORIAS[[#This Row],[INVENTARIO]:[PROYECCION
DE COSTO
DEL SALDO]])</f>
        <v>0</v>
      </c>
      <c r="AF279" s="134"/>
      <c r="AG279" s="134">
        <f>+CATEGORIAS[[#This Row],[PRESUPUESTO
FINAL
PROYECTADO]]-CATEGORIAS[[#This Row],[COSTO REAL]]-CATEGORIAS[[#This Row],[PROYECCION
TOTAL DE COSTO]]</f>
        <v>0</v>
      </c>
    </row>
    <row r="280" spans="1:33" x14ac:dyDescent="0.25">
      <c r="A280" s="245"/>
      <c r="B280" s="245"/>
      <c r="C280" s="245"/>
      <c r="D280" s="323" t="s">
        <v>2016</v>
      </c>
      <c r="E280" s="244" t="s">
        <v>922</v>
      </c>
      <c r="F280" s="246" t="s">
        <v>376</v>
      </c>
      <c r="G280" s="279">
        <v>0</v>
      </c>
      <c r="H280" s="279">
        <v>0</v>
      </c>
      <c r="I280" s="132">
        <v>0</v>
      </c>
      <c r="J280" s="132">
        <v>0</v>
      </c>
      <c r="K280" s="132">
        <v>0</v>
      </c>
      <c r="L280" s="144">
        <f>CATEGORIAS[[#This Row],[ADICIONALES]]+CATEGORIAS[[#This Row],[POM]]+CATEGORIAS[[#This Row],[REAJUSTE 
PAGADO]]+CATEGORIAS[[#This Row],[REAJUSTE
PROYECTADO]]</f>
        <v>0</v>
      </c>
      <c r="M280" s="133">
        <v>0</v>
      </c>
      <c r="N280" s="222">
        <v>0</v>
      </c>
      <c r="O280" s="142">
        <f>+CATEGORIAS[[#This Row],[PRODUCCION
PARTIDAS
ORIGINALES
ACTUAL]]+CATEGORIAS[[#This Row],[PRODUCCION
ADICIONALES
ACTUAL]]</f>
        <v>0</v>
      </c>
      <c r="P280" s="222">
        <v>0</v>
      </c>
      <c r="Q280" s="222">
        <v>0</v>
      </c>
      <c r="R280" s="141">
        <f>+CATEGORIAS[[#This Row],[PRODUCCION
ANTERIOR]]+CATEGORIAS[[#This Row],[PRODUCCION
ADICIONALES
ANTERIOR]]</f>
        <v>0</v>
      </c>
      <c r="S280" s="135">
        <v>0</v>
      </c>
      <c r="T280" s="135"/>
      <c r="U280" s="135">
        <v>0</v>
      </c>
      <c r="V280" s="262">
        <f>SUM(CATEGORIAS[[#This Row],[COSTO
ACUMULADO  AX]:[PROVISIONES]])</f>
        <v>0</v>
      </c>
      <c r="W280" s="264">
        <v>0</v>
      </c>
      <c r="X280" s="222"/>
      <c r="Y280" s="222">
        <v>0</v>
      </c>
      <c r="Z280" s="263">
        <f>SUM(CATEGORIAS[[#This Row],[COSTO ACUMULADO
ANTERIOR]:[PROVISIONES
ANTERIOR]])</f>
        <v>0</v>
      </c>
      <c r="AA280" s="338">
        <f>ABS(+CATEGORIAS[[#This Row],[PRESUPUESTO
FINAL
PROYECTADO]]-CATEGORIAS[[#This Row],[TOTAL PRODUCCION
ACTUAL]])</f>
        <v>0</v>
      </c>
      <c r="AB280" s="222"/>
      <c r="AC280" s="134"/>
      <c r="AD280" s="134">
        <v>0</v>
      </c>
      <c r="AE280" s="221">
        <f>SUM(CATEGORIAS[[#This Row],[INVENTARIO]:[PROYECCION
DE COSTO
DEL SALDO]])</f>
        <v>0</v>
      </c>
      <c r="AF280" s="134"/>
      <c r="AG280" s="134">
        <f>+CATEGORIAS[[#This Row],[PRESUPUESTO
FINAL
PROYECTADO]]-CATEGORIAS[[#This Row],[COSTO REAL]]-CATEGORIAS[[#This Row],[PROYECCION
TOTAL DE COSTO]]</f>
        <v>0</v>
      </c>
    </row>
    <row r="281" spans="1:33" x14ac:dyDescent="0.25">
      <c r="A281" s="245"/>
      <c r="B281" s="245"/>
      <c r="C281" s="245"/>
      <c r="D281" s="323" t="s">
        <v>2017</v>
      </c>
      <c r="E281" s="244" t="s">
        <v>924</v>
      </c>
      <c r="F281" s="246" t="s">
        <v>376</v>
      </c>
      <c r="G281" s="279">
        <v>0</v>
      </c>
      <c r="H281" s="279">
        <v>0</v>
      </c>
      <c r="I281" s="132">
        <v>0</v>
      </c>
      <c r="J281" s="132">
        <v>0</v>
      </c>
      <c r="K281" s="132">
        <v>0</v>
      </c>
      <c r="L281" s="144">
        <f>CATEGORIAS[[#This Row],[ADICIONALES]]+CATEGORIAS[[#This Row],[POM]]+CATEGORIAS[[#This Row],[REAJUSTE 
PAGADO]]+CATEGORIAS[[#This Row],[REAJUSTE
PROYECTADO]]</f>
        <v>0</v>
      </c>
      <c r="M281" s="133">
        <v>0</v>
      </c>
      <c r="N281" s="222">
        <v>0</v>
      </c>
      <c r="O281" s="142">
        <f>+CATEGORIAS[[#This Row],[PRODUCCION
PARTIDAS
ORIGINALES
ACTUAL]]+CATEGORIAS[[#This Row],[PRODUCCION
ADICIONALES
ACTUAL]]</f>
        <v>0</v>
      </c>
      <c r="P281" s="222">
        <v>0</v>
      </c>
      <c r="Q281" s="134">
        <v>0</v>
      </c>
      <c r="R281" s="141">
        <f>+CATEGORIAS[[#This Row],[PRODUCCION
ANTERIOR]]+CATEGORIAS[[#This Row],[PRODUCCION
ADICIONALES
ANTERIOR]]</f>
        <v>0</v>
      </c>
      <c r="S281" s="135">
        <v>0</v>
      </c>
      <c r="T281" s="135"/>
      <c r="U281" s="135">
        <v>0</v>
      </c>
      <c r="V281" s="262">
        <f>SUM(CATEGORIAS[[#This Row],[COSTO
ACUMULADO  AX]:[PROVISIONES]])</f>
        <v>0</v>
      </c>
      <c r="W281" s="264">
        <v>0</v>
      </c>
      <c r="X281" s="222"/>
      <c r="Y281" s="222">
        <v>0</v>
      </c>
      <c r="Z281" s="263">
        <f>SUM(CATEGORIAS[[#This Row],[COSTO ACUMULADO
ANTERIOR]:[PROVISIONES
ANTERIOR]])</f>
        <v>0</v>
      </c>
      <c r="AA281" s="338">
        <f>ABS(+CATEGORIAS[[#This Row],[PRESUPUESTO
FINAL
PROYECTADO]]-CATEGORIAS[[#This Row],[TOTAL PRODUCCION
ACTUAL]])</f>
        <v>0</v>
      </c>
      <c r="AB281" s="222"/>
      <c r="AC281" s="134"/>
      <c r="AD281" s="134">
        <v>0</v>
      </c>
      <c r="AE281" s="221">
        <f>SUM(CATEGORIAS[[#This Row],[INVENTARIO]:[PROYECCION
DE COSTO
DEL SALDO]])</f>
        <v>0</v>
      </c>
      <c r="AF281" s="134"/>
      <c r="AG281" s="134">
        <f>+CATEGORIAS[[#This Row],[PRESUPUESTO
FINAL
PROYECTADO]]-CATEGORIAS[[#This Row],[COSTO REAL]]-CATEGORIAS[[#This Row],[PROYECCION
TOTAL DE COSTO]]</f>
        <v>0</v>
      </c>
    </row>
    <row r="282" spans="1:33" x14ac:dyDescent="0.25">
      <c r="A282" s="245"/>
      <c r="B282" s="245"/>
      <c r="C282" s="245"/>
      <c r="D282" s="323" t="s">
        <v>2018</v>
      </c>
      <c r="E282" s="244" t="s">
        <v>926</v>
      </c>
      <c r="F282" s="246" t="s">
        <v>376</v>
      </c>
      <c r="G282" s="279">
        <v>0</v>
      </c>
      <c r="H282" s="279">
        <v>0</v>
      </c>
      <c r="I282" s="132">
        <v>0</v>
      </c>
      <c r="J282" s="132">
        <v>0</v>
      </c>
      <c r="K282" s="132">
        <v>0</v>
      </c>
      <c r="L282" s="144">
        <f>CATEGORIAS[[#This Row],[ADICIONALES]]+CATEGORIAS[[#This Row],[POM]]+CATEGORIAS[[#This Row],[REAJUSTE 
PAGADO]]+CATEGORIAS[[#This Row],[REAJUSTE
PROYECTADO]]</f>
        <v>0</v>
      </c>
      <c r="M282" s="133">
        <v>0</v>
      </c>
      <c r="N282" s="222">
        <v>0</v>
      </c>
      <c r="O282" s="142">
        <f>+CATEGORIAS[[#This Row],[PRODUCCION
PARTIDAS
ORIGINALES
ACTUAL]]+CATEGORIAS[[#This Row],[PRODUCCION
ADICIONALES
ACTUAL]]</f>
        <v>0</v>
      </c>
      <c r="P282" s="222">
        <v>0</v>
      </c>
      <c r="Q282" s="222">
        <v>0</v>
      </c>
      <c r="R282" s="141">
        <f>+CATEGORIAS[[#This Row],[PRODUCCION
ANTERIOR]]+CATEGORIAS[[#This Row],[PRODUCCION
ADICIONALES
ANTERIOR]]</f>
        <v>0</v>
      </c>
      <c r="S282" s="135">
        <v>0</v>
      </c>
      <c r="T282" s="135"/>
      <c r="U282" s="135">
        <v>0</v>
      </c>
      <c r="V282" s="262">
        <f>SUM(CATEGORIAS[[#This Row],[COSTO
ACUMULADO  AX]:[PROVISIONES]])</f>
        <v>0</v>
      </c>
      <c r="W282" s="264">
        <v>0</v>
      </c>
      <c r="X282" s="222"/>
      <c r="Y282" s="222">
        <v>0</v>
      </c>
      <c r="Z282" s="263">
        <f>SUM(CATEGORIAS[[#This Row],[COSTO ACUMULADO
ANTERIOR]:[PROVISIONES
ANTERIOR]])</f>
        <v>0</v>
      </c>
      <c r="AA282" s="338">
        <f>ABS(+CATEGORIAS[[#This Row],[PRESUPUESTO
FINAL
PROYECTADO]]-CATEGORIAS[[#This Row],[TOTAL PRODUCCION
ACTUAL]])</f>
        <v>0</v>
      </c>
      <c r="AB282" s="222"/>
      <c r="AC282" s="134"/>
      <c r="AD282" s="134">
        <v>0</v>
      </c>
      <c r="AE282" s="221">
        <f>SUM(CATEGORIAS[[#This Row],[INVENTARIO]:[PROYECCION
DE COSTO
DEL SALDO]])</f>
        <v>0</v>
      </c>
      <c r="AF282" s="134"/>
      <c r="AG282" s="134">
        <f>+CATEGORIAS[[#This Row],[PRESUPUESTO
FINAL
PROYECTADO]]-CATEGORIAS[[#This Row],[COSTO REAL]]-CATEGORIAS[[#This Row],[PROYECCION
TOTAL DE COSTO]]</f>
        <v>0</v>
      </c>
    </row>
    <row r="283" spans="1:33" x14ac:dyDescent="0.25">
      <c r="A283" s="245"/>
      <c r="B283" s="245"/>
      <c r="C283" s="245"/>
      <c r="D283" s="323" t="s">
        <v>2019</v>
      </c>
      <c r="E283" s="244" t="s">
        <v>928</v>
      </c>
      <c r="F283" s="246" t="s">
        <v>376</v>
      </c>
      <c r="G283" s="279">
        <v>0</v>
      </c>
      <c r="H283" s="279">
        <v>0</v>
      </c>
      <c r="I283" s="132">
        <v>0</v>
      </c>
      <c r="J283" s="132">
        <v>0</v>
      </c>
      <c r="K283" s="132">
        <v>0</v>
      </c>
      <c r="L283" s="144">
        <f>CATEGORIAS[[#This Row],[ADICIONALES]]+CATEGORIAS[[#This Row],[POM]]+CATEGORIAS[[#This Row],[REAJUSTE 
PAGADO]]+CATEGORIAS[[#This Row],[REAJUSTE
PROYECTADO]]</f>
        <v>0</v>
      </c>
      <c r="M283" s="133">
        <v>0</v>
      </c>
      <c r="N283" s="222">
        <v>0</v>
      </c>
      <c r="O283" s="142">
        <f>+CATEGORIAS[[#This Row],[PRODUCCION
PARTIDAS
ORIGINALES
ACTUAL]]+CATEGORIAS[[#This Row],[PRODUCCION
ADICIONALES
ACTUAL]]</f>
        <v>0</v>
      </c>
      <c r="P283" s="222">
        <v>0</v>
      </c>
      <c r="Q283" s="134">
        <v>0</v>
      </c>
      <c r="R283" s="141">
        <f>+CATEGORIAS[[#This Row],[PRODUCCION
ANTERIOR]]+CATEGORIAS[[#This Row],[PRODUCCION
ADICIONALES
ANTERIOR]]</f>
        <v>0</v>
      </c>
      <c r="S283" s="135">
        <v>0</v>
      </c>
      <c r="T283" s="135"/>
      <c r="U283" s="135">
        <v>0</v>
      </c>
      <c r="V283" s="262">
        <f>SUM(CATEGORIAS[[#This Row],[COSTO
ACUMULADO  AX]:[PROVISIONES]])</f>
        <v>0</v>
      </c>
      <c r="W283" s="264">
        <v>0</v>
      </c>
      <c r="X283" s="222"/>
      <c r="Y283" s="222">
        <v>0</v>
      </c>
      <c r="Z283" s="263">
        <f>SUM(CATEGORIAS[[#This Row],[COSTO ACUMULADO
ANTERIOR]:[PROVISIONES
ANTERIOR]])</f>
        <v>0</v>
      </c>
      <c r="AA283" s="338">
        <f>ABS(+CATEGORIAS[[#This Row],[PRESUPUESTO
FINAL
PROYECTADO]]-CATEGORIAS[[#This Row],[TOTAL PRODUCCION
ACTUAL]])</f>
        <v>0</v>
      </c>
      <c r="AB283" s="222"/>
      <c r="AC283" s="134"/>
      <c r="AD283" s="134">
        <v>0</v>
      </c>
      <c r="AE283" s="221">
        <f>SUM(CATEGORIAS[[#This Row],[INVENTARIO]:[PROYECCION
DE COSTO
DEL SALDO]])</f>
        <v>0</v>
      </c>
      <c r="AF283" s="134"/>
      <c r="AG283" s="134">
        <f>+CATEGORIAS[[#This Row],[PRESUPUESTO
FINAL
PROYECTADO]]-CATEGORIAS[[#This Row],[COSTO REAL]]-CATEGORIAS[[#This Row],[PROYECCION
TOTAL DE COSTO]]</f>
        <v>0</v>
      </c>
    </row>
    <row r="284" spans="1:33" x14ac:dyDescent="0.25">
      <c r="A284" s="245"/>
      <c r="B284" s="245"/>
      <c r="C284" s="245"/>
      <c r="D284" s="323" t="s">
        <v>2020</v>
      </c>
      <c r="E284" s="244" t="s">
        <v>930</v>
      </c>
      <c r="F284" s="246" t="s">
        <v>376</v>
      </c>
      <c r="G284" s="279">
        <v>0</v>
      </c>
      <c r="H284" s="279">
        <v>0</v>
      </c>
      <c r="I284" s="132">
        <v>0</v>
      </c>
      <c r="J284" s="132">
        <v>0</v>
      </c>
      <c r="K284" s="132">
        <v>0</v>
      </c>
      <c r="L284" s="144">
        <f>CATEGORIAS[[#This Row],[ADICIONALES]]+CATEGORIAS[[#This Row],[POM]]+CATEGORIAS[[#This Row],[REAJUSTE 
PAGADO]]+CATEGORIAS[[#This Row],[REAJUSTE
PROYECTADO]]</f>
        <v>0</v>
      </c>
      <c r="M284" s="133">
        <v>0</v>
      </c>
      <c r="N284" s="222">
        <v>0</v>
      </c>
      <c r="O284" s="142">
        <f>+CATEGORIAS[[#This Row],[PRODUCCION
PARTIDAS
ORIGINALES
ACTUAL]]+CATEGORIAS[[#This Row],[PRODUCCION
ADICIONALES
ACTUAL]]</f>
        <v>0</v>
      </c>
      <c r="P284" s="222">
        <v>0</v>
      </c>
      <c r="Q284" s="222">
        <v>0</v>
      </c>
      <c r="R284" s="141">
        <f>+CATEGORIAS[[#This Row],[PRODUCCION
ANTERIOR]]+CATEGORIAS[[#This Row],[PRODUCCION
ADICIONALES
ANTERIOR]]</f>
        <v>0</v>
      </c>
      <c r="S284" s="135">
        <v>0</v>
      </c>
      <c r="T284" s="135"/>
      <c r="U284" s="135">
        <v>0</v>
      </c>
      <c r="V284" s="262">
        <f>SUM(CATEGORIAS[[#This Row],[COSTO
ACUMULADO  AX]:[PROVISIONES]])</f>
        <v>0</v>
      </c>
      <c r="W284" s="264">
        <v>0</v>
      </c>
      <c r="X284" s="222"/>
      <c r="Y284" s="222">
        <v>0</v>
      </c>
      <c r="Z284" s="263">
        <f>SUM(CATEGORIAS[[#This Row],[COSTO ACUMULADO
ANTERIOR]:[PROVISIONES
ANTERIOR]])</f>
        <v>0</v>
      </c>
      <c r="AA284" s="338">
        <f>ABS(+CATEGORIAS[[#This Row],[PRESUPUESTO
FINAL
PROYECTADO]]-CATEGORIAS[[#This Row],[TOTAL PRODUCCION
ACTUAL]])</f>
        <v>0</v>
      </c>
      <c r="AB284" s="222"/>
      <c r="AC284" s="134"/>
      <c r="AD284" s="134">
        <v>0</v>
      </c>
      <c r="AE284" s="221">
        <f>SUM(CATEGORIAS[[#This Row],[INVENTARIO]:[PROYECCION
DE COSTO
DEL SALDO]])</f>
        <v>0</v>
      </c>
      <c r="AF284" s="134"/>
      <c r="AG284" s="134">
        <f>+CATEGORIAS[[#This Row],[PRESUPUESTO
FINAL
PROYECTADO]]-CATEGORIAS[[#This Row],[COSTO REAL]]-CATEGORIAS[[#This Row],[PROYECCION
TOTAL DE COSTO]]</f>
        <v>0</v>
      </c>
    </row>
    <row r="285" spans="1:33" x14ac:dyDescent="0.25">
      <c r="A285" s="245"/>
      <c r="B285" s="245"/>
      <c r="C285" s="245"/>
      <c r="D285" s="323" t="s">
        <v>2021</v>
      </c>
      <c r="E285" s="244" t="s">
        <v>932</v>
      </c>
      <c r="F285" s="246" t="s">
        <v>376</v>
      </c>
      <c r="G285" s="279">
        <v>0</v>
      </c>
      <c r="H285" s="279">
        <v>0</v>
      </c>
      <c r="I285" s="132">
        <v>0</v>
      </c>
      <c r="J285" s="132">
        <v>0</v>
      </c>
      <c r="K285" s="132">
        <v>0</v>
      </c>
      <c r="L285" s="144">
        <f>CATEGORIAS[[#This Row],[ADICIONALES]]+CATEGORIAS[[#This Row],[POM]]+CATEGORIAS[[#This Row],[REAJUSTE 
PAGADO]]+CATEGORIAS[[#This Row],[REAJUSTE
PROYECTADO]]</f>
        <v>0</v>
      </c>
      <c r="M285" s="133">
        <v>0</v>
      </c>
      <c r="N285" s="222">
        <v>0</v>
      </c>
      <c r="O285" s="142">
        <f>+CATEGORIAS[[#This Row],[PRODUCCION
PARTIDAS
ORIGINALES
ACTUAL]]+CATEGORIAS[[#This Row],[PRODUCCION
ADICIONALES
ACTUAL]]</f>
        <v>0</v>
      </c>
      <c r="P285" s="222">
        <v>0</v>
      </c>
      <c r="Q285" s="134">
        <v>0</v>
      </c>
      <c r="R285" s="141">
        <f>+CATEGORIAS[[#This Row],[PRODUCCION
ANTERIOR]]+CATEGORIAS[[#This Row],[PRODUCCION
ADICIONALES
ANTERIOR]]</f>
        <v>0</v>
      </c>
      <c r="S285" s="135">
        <v>0</v>
      </c>
      <c r="T285" s="135"/>
      <c r="U285" s="135">
        <v>0</v>
      </c>
      <c r="V285" s="262">
        <f>SUM(CATEGORIAS[[#This Row],[COSTO
ACUMULADO  AX]:[PROVISIONES]])</f>
        <v>0</v>
      </c>
      <c r="W285" s="264">
        <v>0</v>
      </c>
      <c r="X285" s="222"/>
      <c r="Y285" s="222">
        <v>0</v>
      </c>
      <c r="Z285" s="263">
        <f>SUM(CATEGORIAS[[#This Row],[COSTO ACUMULADO
ANTERIOR]:[PROVISIONES
ANTERIOR]])</f>
        <v>0</v>
      </c>
      <c r="AA285" s="338">
        <f>ABS(+CATEGORIAS[[#This Row],[PRESUPUESTO
FINAL
PROYECTADO]]-CATEGORIAS[[#This Row],[TOTAL PRODUCCION
ACTUAL]])</f>
        <v>0</v>
      </c>
      <c r="AB285" s="222"/>
      <c r="AC285" s="134"/>
      <c r="AD285" s="134">
        <v>0</v>
      </c>
      <c r="AE285" s="221">
        <f>SUM(CATEGORIAS[[#This Row],[INVENTARIO]:[PROYECCION
DE COSTO
DEL SALDO]])</f>
        <v>0</v>
      </c>
      <c r="AF285" s="134"/>
      <c r="AG285" s="134">
        <f>+CATEGORIAS[[#This Row],[PRESUPUESTO
FINAL
PROYECTADO]]-CATEGORIAS[[#This Row],[COSTO REAL]]-CATEGORIAS[[#This Row],[PROYECCION
TOTAL DE COSTO]]</f>
        <v>0</v>
      </c>
    </row>
    <row r="286" spans="1:33" x14ac:dyDescent="0.25">
      <c r="A286" s="245"/>
      <c r="B286" s="245"/>
      <c r="C286" s="245"/>
      <c r="D286" s="323" t="s">
        <v>2022</v>
      </c>
      <c r="E286" s="244" t="s">
        <v>934</v>
      </c>
      <c r="F286" s="246" t="s">
        <v>376</v>
      </c>
      <c r="G286" s="279">
        <v>0</v>
      </c>
      <c r="H286" s="279">
        <v>0</v>
      </c>
      <c r="I286" s="132">
        <v>0</v>
      </c>
      <c r="J286" s="132">
        <v>0</v>
      </c>
      <c r="K286" s="132">
        <v>0</v>
      </c>
      <c r="L286" s="144">
        <f>CATEGORIAS[[#This Row],[ADICIONALES]]+CATEGORIAS[[#This Row],[POM]]+CATEGORIAS[[#This Row],[REAJUSTE 
PAGADO]]+CATEGORIAS[[#This Row],[REAJUSTE
PROYECTADO]]</f>
        <v>0</v>
      </c>
      <c r="M286" s="133">
        <v>0</v>
      </c>
      <c r="N286" s="222">
        <v>0</v>
      </c>
      <c r="O286" s="142">
        <f>+CATEGORIAS[[#This Row],[PRODUCCION
PARTIDAS
ORIGINALES
ACTUAL]]+CATEGORIAS[[#This Row],[PRODUCCION
ADICIONALES
ACTUAL]]</f>
        <v>0</v>
      </c>
      <c r="P286" s="222">
        <v>0</v>
      </c>
      <c r="Q286" s="222">
        <v>0</v>
      </c>
      <c r="R286" s="141">
        <f>+CATEGORIAS[[#This Row],[PRODUCCION
ANTERIOR]]+CATEGORIAS[[#This Row],[PRODUCCION
ADICIONALES
ANTERIOR]]</f>
        <v>0</v>
      </c>
      <c r="S286" s="135">
        <v>0</v>
      </c>
      <c r="T286" s="135"/>
      <c r="U286" s="135">
        <v>0</v>
      </c>
      <c r="V286" s="262">
        <f>SUM(CATEGORIAS[[#This Row],[COSTO
ACUMULADO  AX]:[PROVISIONES]])</f>
        <v>0</v>
      </c>
      <c r="W286" s="264">
        <v>0</v>
      </c>
      <c r="X286" s="222"/>
      <c r="Y286" s="222">
        <v>0</v>
      </c>
      <c r="Z286" s="263">
        <f>SUM(CATEGORIAS[[#This Row],[COSTO ACUMULADO
ANTERIOR]:[PROVISIONES
ANTERIOR]])</f>
        <v>0</v>
      </c>
      <c r="AA286" s="338">
        <f>ABS(+CATEGORIAS[[#This Row],[PRESUPUESTO
FINAL
PROYECTADO]]-CATEGORIAS[[#This Row],[TOTAL PRODUCCION
ACTUAL]])</f>
        <v>0</v>
      </c>
      <c r="AB286" s="222"/>
      <c r="AC286" s="134"/>
      <c r="AD286" s="134">
        <v>0</v>
      </c>
      <c r="AE286" s="221">
        <f>SUM(CATEGORIAS[[#This Row],[INVENTARIO]:[PROYECCION
DE COSTO
DEL SALDO]])</f>
        <v>0</v>
      </c>
      <c r="AF286" s="134"/>
      <c r="AG286" s="134">
        <f>+CATEGORIAS[[#This Row],[PRESUPUESTO
FINAL
PROYECTADO]]-CATEGORIAS[[#This Row],[COSTO REAL]]-CATEGORIAS[[#This Row],[PROYECCION
TOTAL DE COSTO]]</f>
        <v>0</v>
      </c>
    </row>
    <row r="287" spans="1:33" x14ac:dyDescent="0.25">
      <c r="A287" s="245"/>
      <c r="B287" s="245"/>
      <c r="C287" s="245"/>
      <c r="D287" s="323" t="s">
        <v>2023</v>
      </c>
      <c r="E287" s="244" t="s">
        <v>936</v>
      </c>
      <c r="F287" s="246" t="s">
        <v>376</v>
      </c>
      <c r="G287" s="279">
        <v>0</v>
      </c>
      <c r="H287" s="279">
        <v>0</v>
      </c>
      <c r="I287" s="132">
        <v>0</v>
      </c>
      <c r="J287" s="132">
        <v>0</v>
      </c>
      <c r="K287" s="132">
        <v>0</v>
      </c>
      <c r="L287" s="144">
        <f>CATEGORIAS[[#This Row],[ADICIONALES]]+CATEGORIAS[[#This Row],[POM]]+CATEGORIAS[[#This Row],[REAJUSTE 
PAGADO]]+CATEGORIAS[[#This Row],[REAJUSTE
PROYECTADO]]</f>
        <v>0</v>
      </c>
      <c r="M287" s="133">
        <v>0</v>
      </c>
      <c r="N287" s="222">
        <v>0</v>
      </c>
      <c r="O287" s="142">
        <f>+CATEGORIAS[[#This Row],[PRODUCCION
PARTIDAS
ORIGINALES
ACTUAL]]+CATEGORIAS[[#This Row],[PRODUCCION
ADICIONALES
ACTUAL]]</f>
        <v>0</v>
      </c>
      <c r="P287" s="222">
        <v>0</v>
      </c>
      <c r="Q287" s="134">
        <v>0</v>
      </c>
      <c r="R287" s="141">
        <f>+CATEGORIAS[[#This Row],[PRODUCCION
ANTERIOR]]+CATEGORIAS[[#This Row],[PRODUCCION
ADICIONALES
ANTERIOR]]</f>
        <v>0</v>
      </c>
      <c r="S287" s="135">
        <v>0</v>
      </c>
      <c r="T287" s="135"/>
      <c r="U287" s="135">
        <v>0</v>
      </c>
      <c r="V287" s="262">
        <f>SUM(CATEGORIAS[[#This Row],[COSTO
ACUMULADO  AX]:[PROVISIONES]])</f>
        <v>0</v>
      </c>
      <c r="W287" s="264">
        <v>0</v>
      </c>
      <c r="X287" s="222"/>
      <c r="Y287" s="222">
        <v>0</v>
      </c>
      <c r="Z287" s="263">
        <f>SUM(CATEGORIAS[[#This Row],[COSTO ACUMULADO
ANTERIOR]:[PROVISIONES
ANTERIOR]])</f>
        <v>0</v>
      </c>
      <c r="AA287" s="338">
        <f>ABS(+CATEGORIAS[[#This Row],[PRESUPUESTO
FINAL
PROYECTADO]]-CATEGORIAS[[#This Row],[TOTAL PRODUCCION
ACTUAL]])</f>
        <v>0</v>
      </c>
      <c r="AB287" s="222"/>
      <c r="AC287" s="134"/>
      <c r="AD287" s="134">
        <v>0</v>
      </c>
      <c r="AE287" s="221">
        <f>SUM(CATEGORIAS[[#This Row],[INVENTARIO]:[PROYECCION
DE COSTO
DEL SALDO]])</f>
        <v>0</v>
      </c>
      <c r="AF287" s="134"/>
      <c r="AG287" s="134">
        <f>+CATEGORIAS[[#This Row],[PRESUPUESTO
FINAL
PROYECTADO]]-CATEGORIAS[[#This Row],[COSTO REAL]]-CATEGORIAS[[#This Row],[PROYECCION
TOTAL DE COSTO]]</f>
        <v>0</v>
      </c>
    </row>
    <row r="288" spans="1:33" x14ac:dyDescent="0.25">
      <c r="A288" s="245"/>
      <c r="B288" s="245"/>
      <c r="C288" s="245"/>
      <c r="D288" s="323" t="s">
        <v>2024</v>
      </c>
      <c r="E288" s="244" t="s">
        <v>938</v>
      </c>
      <c r="F288" s="246" t="s">
        <v>376</v>
      </c>
      <c r="G288" s="279">
        <v>0</v>
      </c>
      <c r="H288" s="279">
        <v>0</v>
      </c>
      <c r="I288" s="132">
        <v>0</v>
      </c>
      <c r="J288" s="132">
        <v>0</v>
      </c>
      <c r="K288" s="132">
        <v>0</v>
      </c>
      <c r="L288" s="144">
        <f>CATEGORIAS[[#This Row],[ADICIONALES]]+CATEGORIAS[[#This Row],[POM]]+CATEGORIAS[[#This Row],[REAJUSTE 
PAGADO]]+CATEGORIAS[[#This Row],[REAJUSTE
PROYECTADO]]</f>
        <v>0</v>
      </c>
      <c r="M288" s="133">
        <v>0</v>
      </c>
      <c r="N288" s="222">
        <v>0</v>
      </c>
      <c r="O288" s="142">
        <f>+CATEGORIAS[[#This Row],[PRODUCCION
PARTIDAS
ORIGINALES
ACTUAL]]+CATEGORIAS[[#This Row],[PRODUCCION
ADICIONALES
ACTUAL]]</f>
        <v>0</v>
      </c>
      <c r="P288" s="222">
        <v>0</v>
      </c>
      <c r="Q288" s="222">
        <v>0</v>
      </c>
      <c r="R288" s="141">
        <f>+CATEGORIAS[[#This Row],[PRODUCCION
ANTERIOR]]+CATEGORIAS[[#This Row],[PRODUCCION
ADICIONALES
ANTERIOR]]</f>
        <v>0</v>
      </c>
      <c r="S288" s="135">
        <v>0</v>
      </c>
      <c r="T288" s="135"/>
      <c r="U288" s="135">
        <v>0</v>
      </c>
      <c r="V288" s="262">
        <f>SUM(CATEGORIAS[[#This Row],[COSTO
ACUMULADO  AX]:[PROVISIONES]])</f>
        <v>0</v>
      </c>
      <c r="W288" s="264">
        <v>0</v>
      </c>
      <c r="X288" s="222"/>
      <c r="Y288" s="222">
        <v>0</v>
      </c>
      <c r="Z288" s="263">
        <f>SUM(CATEGORIAS[[#This Row],[COSTO ACUMULADO
ANTERIOR]:[PROVISIONES
ANTERIOR]])</f>
        <v>0</v>
      </c>
      <c r="AA288" s="338">
        <f>ABS(+CATEGORIAS[[#This Row],[PRESUPUESTO
FINAL
PROYECTADO]]-CATEGORIAS[[#This Row],[TOTAL PRODUCCION
ACTUAL]])</f>
        <v>0</v>
      </c>
      <c r="AB288" s="222"/>
      <c r="AC288" s="134"/>
      <c r="AD288" s="134">
        <v>0</v>
      </c>
      <c r="AE288" s="221">
        <f>SUM(CATEGORIAS[[#This Row],[INVENTARIO]:[PROYECCION
DE COSTO
DEL SALDO]])</f>
        <v>0</v>
      </c>
      <c r="AF288" s="134"/>
      <c r="AG288" s="134">
        <f>+CATEGORIAS[[#This Row],[PRESUPUESTO
FINAL
PROYECTADO]]-CATEGORIAS[[#This Row],[COSTO REAL]]-CATEGORIAS[[#This Row],[PROYECCION
TOTAL DE COSTO]]</f>
        <v>0</v>
      </c>
    </row>
    <row r="289" spans="1:33" x14ac:dyDescent="0.25">
      <c r="A289" s="245"/>
      <c r="B289" s="245"/>
      <c r="C289" s="245"/>
      <c r="D289" s="323" t="s">
        <v>2025</v>
      </c>
      <c r="E289" s="244" t="s">
        <v>940</v>
      </c>
      <c r="F289" s="246" t="s">
        <v>376</v>
      </c>
      <c r="G289" s="279">
        <v>0</v>
      </c>
      <c r="H289" s="279">
        <v>0</v>
      </c>
      <c r="I289" s="132">
        <v>0</v>
      </c>
      <c r="J289" s="132">
        <v>0</v>
      </c>
      <c r="K289" s="132">
        <v>0</v>
      </c>
      <c r="L289" s="144">
        <f>CATEGORIAS[[#This Row],[ADICIONALES]]+CATEGORIAS[[#This Row],[POM]]+CATEGORIAS[[#This Row],[REAJUSTE 
PAGADO]]+CATEGORIAS[[#This Row],[REAJUSTE
PROYECTADO]]</f>
        <v>0</v>
      </c>
      <c r="M289" s="133">
        <v>0</v>
      </c>
      <c r="N289" s="222">
        <v>0</v>
      </c>
      <c r="O289" s="142">
        <f>+CATEGORIAS[[#This Row],[PRODUCCION
PARTIDAS
ORIGINALES
ACTUAL]]+CATEGORIAS[[#This Row],[PRODUCCION
ADICIONALES
ACTUAL]]</f>
        <v>0</v>
      </c>
      <c r="P289" s="222">
        <v>0</v>
      </c>
      <c r="Q289" s="134">
        <v>0</v>
      </c>
      <c r="R289" s="141">
        <f>+CATEGORIAS[[#This Row],[PRODUCCION
ANTERIOR]]+CATEGORIAS[[#This Row],[PRODUCCION
ADICIONALES
ANTERIOR]]</f>
        <v>0</v>
      </c>
      <c r="S289" s="135">
        <v>0</v>
      </c>
      <c r="T289" s="135"/>
      <c r="U289" s="135">
        <v>0</v>
      </c>
      <c r="V289" s="262">
        <f>SUM(CATEGORIAS[[#This Row],[COSTO
ACUMULADO  AX]:[PROVISIONES]])</f>
        <v>0</v>
      </c>
      <c r="W289" s="264">
        <v>0</v>
      </c>
      <c r="X289" s="222"/>
      <c r="Y289" s="222">
        <v>0</v>
      </c>
      <c r="Z289" s="263">
        <f>SUM(CATEGORIAS[[#This Row],[COSTO ACUMULADO
ANTERIOR]:[PROVISIONES
ANTERIOR]])</f>
        <v>0</v>
      </c>
      <c r="AA289" s="338">
        <f>ABS(+CATEGORIAS[[#This Row],[PRESUPUESTO
FINAL
PROYECTADO]]-CATEGORIAS[[#This Row],[TOTAL PRODUCCION
ACTUAL]])</f>
        <v>0</v>
      </c>
      <c r="AB289" s="222"/>
      <c r="AC289" s="134"/>
      <c r="AD289" s="134">
        <v>0</v>
      </c>
      <c r="AE289" s="221">
        <f>SUM(CATEGORIAS[[#This Row],[INVENTARIO]:[PROYECCION
DE COSTO
DEL SALDO]])</f>
        <v>0</v>
      </c>
      <c r="AF289" s="134"/>
      <c r="AG289" s="134">
        <f>+CATEGORIAS[[#This Row],[PRESUPUESTO
FINAL
PROYECTADO]]-CATEGORIAS[[#This Row],[COSTO REAL]]-CATEGORIAS[[#This Row],[PROYECCION
TOTAL DE COSTO]]</f>
        <v>0</v>
      </c>
    </row>
    <row r="290" spans="1:33" x14ac:dyDescent="0.25">
      <c r="A290" s="245"/>
      <c r="B290" s="245"/>
      <c r="C290" s="245"/>
      <c r="D290" s="323" t="s">
        <v>2026</v>
      </c>
      <c r="E290" s="244" t="s">
        <v>942</v>
      </c>
      <c r="F290" s="246" t="s">
        <v>376</v>
      </c>
      <c r="G290" s="279">
        <v>0</v>
      </c>
      <c r="H290" s="279">
        <v>0</v>
      </c>
      <c r="I290" s="132">
        <v>0</v>
      </c>
      <c r="J290" s="132">
        <v>0</v>
      </c>
      <c r="K290" s="132">
        <v>0</v>
      </c>
      <c r="L290" s="144">
        <f>CATEGORIAS[[#This Row],[ADICIONALES]]+CATEGORIAS[[#This Row],[POM]]+CATEGORIAS[[#This Row],[REAJUSTE 
PAGADO]]+CATEGORIAS[[#This Row],[REAJUSTE
PROYECTADO]]</f>
        <v>0</v>
      </c>
      <c r="M290" s="133">
        <v>0</v>
      </c>
      <c r="N290" s="222">
        <v>0</v>
      </c>
      <c r="O290" s="142">
        <f>+CATEGORIAS[[#This Row],[PRODUCCION
PARTIDAS
ORIGINALES
ACTUAL]]+CATEGORIAS[[#This Row],[PRODUCCION
ADICIONALES
ACTUAL]]</f>
        <v>0</v>
      </c>
      <c r="P290" s="222">
        <v>0</v>
      </c>
      <c r="Q290" s="222">
        <v>0</v>
      </c>
      <c r="R290" s="141">
        <f>+CATEGORIAS[[#This Row],[PRODUCCION
ANTERIOR]]+CATEGORIAS[[#This Row],[PRODUCCION
ADICIONALES
ANTERIOR]]</f>
        <v>0</v>
      </c>
      <c r="S290" s="135">
        <v>0</v>
      </c>
      <c r="T290" s="135"/>
      <c r="U290" s="135">
        <v>0</v>
      </c>
      <c r="V290" s="262">
        <f>SUM(CATEGORIAS[[#This Row],[COSTO
ACUMULADO  AX]:[PROVISIONES]])</f>
        <v>0</v>
      </c>
      <c r="W290" s="264">
        <v>0</v>
      </c>
      <c r="X290" s="222"/>
      <c r="Y290" s="222">
        <v>0</v>
      </c>
      <c r="Z290" s="263">
        <f>SUM(CATEGORIAS[[#This Row],[COSTO ACUMULADO
ANTERIOR]:[PROVISIONES
ANTERIOR]])</f>
        <v>0</v>
      </c>
      <c r="AA290" s="338">
        <f>ABS(+CATEGORIAS[[#This Row],[PRESUPUESTO
FINAL
PROYECTADO]]-CATEGORIAS[[#This Row],[TOTAL PRODUCCION
ACTUAL]])</f>
        <v>0</v>
      </c>
      <c r="AB290" s="222"/>
      <c r="AC290" s="134"/>
      <c r="AD290" s="134">
        <v>0</v>
      </c>
      <c r="AE290" s="221">
        <f>SUM(CATEGORIAS[[#This Row],[INVENTARIO]:[PROYECCION
DE COSTO
DEL SALDO]])</f>
        <v>0</v>
      </c>
      <c r="AF290" s="134"/>
      <c r="AG290" s="134">
        <f>+CATEGORIAS[[#This Row],[PRESUPUESTO
FINAL
PROYECTADO]]-CATEGORIAS[[#This Row],[COSTO REAL]]-CATEGORIAS[[#This Row],[PROYECCION
TOTAL DE COSTO]]</f>
        <v>0</v>
      </c>
    </row>
    <row r="291" spans="1:33" x14ac:dyDescent="0.25">
      <c r="A291" s="245"/>
      <c r="B291" s="245"/>
      <c r="C291" s="245"/>
      <c r="D291" s="323" t="s">
        <v>2027</v>
      </c>
      <c r="E291" s="244" t="s">
        <v>944</v>
      </c>
      <c r="F291" s="246" t="s">
        <v>376</v>
      </c>
      <c r="G291" s="279">
        <v>0</v>
      </c>
      <c r="H291" s="279">
        <v>0</v>
      </c>
      <c r="I291" s="132">
        <v>0</v>
      </c>
      <c r="J291" s="132">
        <v>0</v>
      </c>
      <c r="K291" s="132">
        <v>0</v>
      </c>
      <c r="L291" s="144">
        <f>CATEGORIAS[[#This Row],[ADICIONALES]]+CATEGORIAS[[#This Row],[POM]]+CATEGORIAS[[#This Row],[REAJUSTE 
PAGADO]]+CATEGORIAS[[#This Row],[REAJUSTE
PROYECTADO]]</f>
        <v>0</v>
      </c>
      <c r="M291" s="133">
        <v>0</v>
      </c>
      <c r="N291" s="222">
        <v>0</v>
      </c>
      <c r="O291" s="142">
        <f>+CATEGORIAS[[#This Row],[PRODUCCION
PARTIDAS
ORIGINALES
ACTUAL]]+CATEGORIAS[[#This Row],[PRODUCCION
ADICIONALES
ACTUAL]]</f>
        <v>0</v>
      </c>
      <c r="P291" s="222">
        <v>0</v>
      </c>
      <c r="Q291" s="134">
        <v>0</v>
      </c>
      <c r="R291" s="141">
        <f>+CATEGORIAS[[#This Row],[PRODUCCION
ANTERIOR]]+CATEGORIAS[[#This Row],[PRODUCCION
ADICIONALES
ANTERIOR]]</f>
        <v>0</v>
      </c>
      <c r="S291" s="135">
        <v>0</v>
      </c>
      <c r="T291" s="135"/>
      <c r="U291" s="135">
        <v>0</v>
      </c>
      <c r="V291" s="262">
        <f>SUM(CATEGORIAS[[#This Row],[COSTO
ACUMULADO  AX]:[PROVISIONES]])</f>
        <v>0</v>
      </c>
      <c r="W291" s="264">
        <v>0</v>
      </c>
      <c r="X291" s="222"/>
      <c r="Y291" s="222">
        <v>0</v>
      </c>
      <c r="Z291" s="263">
        <f>SUM(CATEGORIAS[[#This Row],[COSTO ACUMULADO
ANTERIOR]:[PROVISIONES
ANTERIOR]])</f>
        <v>0</v>
      </c>
      <c r="AA291" s="338">
        <f>ABS(+CATEGORIAS[[#This Row],[PRESUPUESTO
FINAL
PROYECTADO]]-CATEGORIAS[[#This Row],[TOTAL PRODUCCION
ACTUAL]])</f>
        <v>0</v>
      </c>
      <c r="AB291" s="222"/>
      <c r="AC291" s="134"/>
      <c r="AD291" s="134">
        <v>0</v>
      </c>
      <c r="AE291" s="221">
        <f>SUM(CATEGORIAS[[#This Row],[INVENTARIO]:[PROYECCION
DE COSTO
DEL SALDO]])</f>
        <v>0</v>
      </c>
      <c r="AF291" s="134"/>
      <c r="AG291" s="134">
        <f>+CATEGORIAS[[#This Row],[PRESUPUESTO
FINAL
PROYECTADO]]-CATEGORIAS[[#This Row],[COSTO REAL]]-CATEGORIAS[[#This Row],[PROYECCION
TOTAL DE COSTO]]</f>
        <v>0</v>
      </c>
    </row>
    <row r="292" spans="1:33" x14ac:dyDescent="0.25">
      <c r="A292" s="245"/>
      <c r="B292" s="245"/>
      <c r="C292" s="245"/>
      <c r="D292" s="323" t="s">
        <v>2028</v>
      </c>
      <c r="E292" s="244" t="s">
        <v>946</v>
      </c>
      <c r="F292" s="246" t="s">
        <v>376</v>
      </c>
      <c r="G292" s="279">
        <v>0</v>
      </c>
      <c r="H292" s="279">
        <v>0</v>
      </c>
      <c r="I292" s="132">
        <v>0</v>
      </c>
      <c r="J292" s="132">
        <v>0</v>
      </c>
      <c r="K292" s="132">
        <v>0</v>
      </c>
      <c r="L292" s="144">
        <f>CATEGORIAS[[#This Row],[ADICIONALES]]+CATEGORIAS[[#This Row],[POM]]+CATEGORIAS[[#This Row],[REAJUSTE 
PAGADO]]+CATEGORIAS[[#This Row],[REAJUSTE
PROYECTADO]]</f>
        <v>0</v>
      </c>
      <c r="M292" s="133">
        <v>0</v>
      </c>
      <c r="N292" s="222">
        <v>0</v>
      </c>
      <c r="O292" s="142">
        <f>+CATEGORIAS[[#This Row],[PRODUCCION
PARTIDAS
ORIGINALES
ACTUAL]]+CATEGORIAS[[#This Row],[PRODUCCION
ADICIONALES
ACTUAL]]</f>
        <v>0</v>
      </c>
      <c r="P292" s="222">
        <v>0</v>
      </c>
      <c r="Q292" s="222">
        <v>0</v>
      </c>
      <c r="R292" s="141">
        <f>+CATEGORIAS[[#This Row],[PRODUCCION
ANTERIOR]]+CATEGORIAS[[#This Row],[PRODUCCION
ADICIONALES
ANTERIOR]]</f>
        <v>0</v>
      </c>
      <c r="S292" s="135">
        <v>0</v>
      </c>
      <c r="T292" s="135"/>
      <c r="U292" s="135">
        <v>0</v>
      </c>
      <c r="V292" s="262">
        <f>SUM(CATEGORIAS[[#This Row],[COSTO
ACUMULADO  AX]:[PROVISIONES]])</f>
        <v>0</v>
      </c>
      <c r="W292" s="264">
        <v>0</v>
      </c>
      <c r="X292" s="222"/>
      <c r="Y292" s="222">
        <v>0</v>
      </c>
      <c r="Z292" s="263">
        <f>SUM(CATEGORIAS[[#This Row],[COSTO ACUMULADO
ANTERIOR]:[PROVISIONES
ANTERIOR]])</f>
        <v>0</v>
      </c>
      <c r="AA292" s="338">
        <f>ABS(+CATEGORIAS[[#This Row],[PRESUPUESTO
FINAL
PROYECTADO]]-CATEGORIAS[[#This Row],[TOTAL PRODUCCION
ACTUAL]])</f>
        <v>0</v>
      </c>
      <c r="AB292" s="222"/>
      <c r="AC292" s="134"/>
      <c r="AD292" s="134">
        <v>0</v>
      </c>
      <c r="AE292" s="221">
        <f>SUM(CATEGORIAS[[#This Row],[INVENTARIO]:[PROYECCION
DE COSTO
DEL SALDO]])</f>
        <v>0</v>
      </c>
      <c r="AF292" s="134"/>
      <c r="AG292" s="134">
        <f>+CATEGORIAS[[#This Row],[PRESUPUESTO
FINAL
PROYECTADO]]-CATEGORIAS[[#This Row],[COSTO REAL]]-CATEGORIAS[[#This Row],[PROYECCION
TOTAL DE COSTO]]</f>
        <v>0</v>
      </c>
    </row>
    <row r="293" spans="1:33" x14ac:dyDescent="0.25">
      <c r="A293" s="245"/>
      <c r="B293" s="245"/>
      <c r="C293" s="245"/>
      <c r="D293" s="323" t="s">
        <v>2029</v>
      </c>
      <c r="E293" s="244" t="s">
        <v>948</v>
      </c>
      <c r="F293" s="246" t="s">
        <v>376</v>
      </c>
      <c r="G293" s="279">
        <v>0</v>
      </c>
      <c r="H293" s="279">
        <v>0</v>
      </c>
      <c r="I293" s="132">
        <v>0</v>
      </c>
      <c r="J293" s="132">
        <v>0</v>
      </c>
      <c r="K293" s="132">
        <v>0</v>
      </c>
      <c r="L293" s="144">
        <f>CATEGORIAS[[#This Row],[ADICIONALES]]+CATEGORIAS[[#This Row],[POM]]+CATEGORIAS[[#This Row],[REAJUSTE 
PAGADO]]+CATEGORIAS[[#This Row],[REAJUSTE
PROYECTADO]]</f>
        <v>0</v>
      </c>
      <c r="M293" s="133">
        <v>0</v>
      </c>
      <c r="N293" s="222">
        <v>0</v>
      </c>
      <c r="O293" s="142">
        <f>+CATEGORIAS[[#This Row],[PRODUCCION
PARTIDAS
ORIGINALES
ACTUAL]]+CATEGORIAS[[#This Row],[PRODUCCION
ADICIONALES
ACTUAL]]</f>
        <v>0</v>
      </c>
      <c r="P293" s="222">
        <v>0</v>
      </c>
      <c r="Q293" s="134">
        <v>0</v>
      </c>
      <c r="R293" s="141">
        <f>+CATEGORIAS[[#This Row],[PRODUCCION
ANTERIOR]]+CATEGORIAS[[#This Row],[PRODUCCION
ADICIONALES
ANTERIOR]]</f>
        <v>0</v>
      </c>
      <c r="S293" s="135">
        <v>0</v>
      </c>
      <c r="T293" s="135"/>
      <c r="U293" s="135">
        <v>0</v>
      </c>
      <c r="V293" s="262">
        <f>SUM(CATEGORIAS[[#This Row],[COSTO
ACUMULADO  AX]:[PROVISIONES]])</f>
        <v>0</v>
      </c>
      <c r="W293" s="264">
        <v>0</v>
      </c>
      <c r="X293" s="222"/>
      <c r="Y293" s="222">
        <v>0</v>
      </c>
      <c r="Z293" s="263">
        <f>SUM(CATEGORIAS[[#This Row],[COSTO ACUMULADO
ANTERIOR]:[PROVISIONES
ANTERIOR]])</f>
        <v>0</v>
      </c>
      <c r="AA293" s="338">
        <f>ABS(+CATEGORIAS[[#This Row],[PRESUPUESTO
FINAL
PROYECTADO]]-CATEGORIAS[[#This Row],[TOTAL PRODUCCION
ACTUAL]])</f>
        <v>0</v>
      </c>
      <c r="AB293" s="222"/>
      <c r="AC293" s="134"/>
      <c r="AD293" s="134">
        <v>0</v>
      </c>
      <c r="AE293" s="221">
        <f>SUM(CATEGORIAS[[#This Row],[INVENTARIO]:[PROYECCION
DE COSTO
DEL SALDO]])</f>
        <v>0</v>
      </c>
      <c r="AF293" s="134"/>
      <c r="AG293" s="134">
        <f>+CATEGORIAS[[#This Row],[PRESUPUESTO
FINAL
PROYECTADO]]-CATEGORIAS[[#This Row],[COSTO REAL]]-CATEGORIAS[[#This Row],[PROYECCION
TOTAL DE COSTO]]</f>
        <v>0</v>
      </c>
    </row>
    <row r="294" spans="1:33" x14ac:dyDescent="0.25">
      <c r="A294" s="245"/>
      <c r="B294" s="245"/>
      <c r="C294" s="245"/>
      <c r="D294" s="323" t="s">
        <v>2030</v>
      </c>
      <c r="E294" s="244" t="s">
        <v>950</v>
      </c>
      <c r="F294" s="246" t="s">
        <v>376</v>
      </c>
      <c r="G294" s="279">
        <v>0</v>
      </c>
      <c r="H294" s="279">
        <v>0</v>
      </c>
      <c r="I294" s="132">
        <v>0</v>
      </c>
      <c r="J294" s="132">
        <v>0</v>
      </c>
      <c r="K294" s="132">
        <v>0</v>
      </c>
      <c r="L294" s="144">
        <f>CATEGORIAS[[#This Row],[ADICIONALES]]+CATEGORIAS[[#This Row],[POM]]+CATEGORIAS[[#This Row],[REAJUSTE 
PAGADO]]+CATEGORIAS[[#This Row],[REAJUSTE
PROYECTADO]]</f>
        <v>0</v>
      </c>
      <c r="M294" s="133">
        <v>0</v>
      </c>
      <c r="N294" s="222">
        <v>0</v>
      </c>
      <c r="O294" s="142">
        <f>+CATEGORIAS[[#This Row],[PRODUCCION
PARTIDAS
ORIGINALES
ACTUAL]]+CATEGORIAS[[#This Row],[PRODUCCION
ADICIONALES
ACTUAL]]</f>
        <v>0</v>
      </c>
      <c r="P294" s="222">
        <v>0</v>
      </c>
      <c r="Q294" s="222">
        <v>0</v>
      </c>
      <c r="R294" s="141">
        <f>+CATEGORIAS[[#This Row],[PRODUCCION
ANTERIOR]]+CATEGORIAS[[#This Row],[PRODUCCION
ADICIONALES
ANTERIOR]]</f>
        <v>0</v>
      </c>
      <c r="S294" s="135">
        <v>0</v>
      </c>
      <c r="T294" s="135"/>
      <c r="U294" s="135">
        <v>0</v>
      </c>
      <c r="V294" s="262">
        <f>SUM(CATEGORIAS[[#This Row],[COSTO
ACUMULADO  AX]:[PROVISIONES]])</f>
        <v>0</v>
      </c>
      <c r="W294" s="264">
        <v>0</v>
      </c>
      <c r="X294" s="222"/>
      <c r="Y294" s="222">
        <v>0</v>
      </c>
      <c r="Z294" s="263">
        <f>SUM(CATEGORIAS[[#This Row],[COSTO ACUMULADO
ANTERIOR]:[PROVISIONES
ANTERIOR]])</f>
        <v>0</v>
      </c>
      <c r="AA294" s="338">
        <f>ABS(+CATEGORIAS[[#This Row],[PRESUPUESTO
FINAL
PROYECTADO]]-CATEGORIAS[[#This Row],[TOTAL PRODUCCION
ACTUAL]])</f>
        <v>0</v>
      </c>
      <c r="AB294" s="222"/>
      <c r="AC294" s="134"/>
      <c r="AD294" s="134">
        <v>0</v>
      </c>
      <c r="AE294" s="221">
        <f>SUM(CATEGORIAS[[#This Row],[INVENTARIO]:[PROYECCION
DE COSTO
DEL SALDO]])</f>
        <v>0</v>
      </c>
      <c r="AF294" s="134"/>
      <c r="AG294" s="134">
        <f>+CATEGORIAS[[#This Row],[PRESUPUESTO
FINAL
PROYECTADO]]-CATEGORIAS[[#This Row],[COSTO REAL]]-CATEGORIAS[[#This Row],[PROYECCION
TOTAL DE COSTO]]</f>
        <v>0</v>
      </c>
    </row>
    <row r="295" spans="1:33" x14ac:dyDescent="0.25">
      <c r="A295" s="245"/>
      <c r="B295" s="245"/>
      <c r="C295" s="245"/>
      <c r="D295" s="323" t="s">
        <v>2031</v>
      </c>
      <c r="E295" s="244" t="s">
        <v>952</v>
      </c>
      <c r="F295" s="246" t="s">
        <v>376</v>
      </c>
      <c r="G295" s="279">
        <v>0</v>
      </c>
      <c r="H295" s="279">
        <v>0</v>
      </c>
      <c r="I295" s="132">
        <v>0</v>
      </c>
      <c r="J295" s="132">
        <v>0</v>
      </c>
      <c r="K295" s="132">
        <v>0</v>
      </c>
      <c r="L295" s="144">
        <f>CATEGORIAS[[#This Row],[ADICIONALES]]+CATEGORIAS[[#This Row],[POM]]+CATEGORIAS[[#This Row],[REAJUSTE 
PAGADO]]+CATEGORIAS[[#This Row],[REAJUSTE
PROYECTADO]]</f>
        <v>0</v>
      </c>
      <c r="M295" s="133">
        <v>0</v>
      </c>
      <c r="N295" s="222">
        <v>0</v>
      </c>
      <c r="O295" s="142">
        <f>+CATEGORIAS[[#This Row],[PRODUCCION
PARTIDAS
ORIGINALES
ACTUAL]]+CATEGORIAS[[#This Row],[PRODUCCION
ADICIONALES
ACTUAL]]</f>
        <v>0</v>
      </c>
      <c r="P295" s="222">
        <v>0</v>
      </c>
      <c r="Q295" s="134">
        <v>0</v>
      </c>
      <c r="R295" s="141">
        <f>+CATEGORIAS[[#This Row],[PRODUCCION
ANTERIOR]]+CATEGORIAS[[#This Row],[PRODUCCION
ADICIONALES
ANTERIOR]]</f>
        <v>0</v>
      </c>
      <c r="S295" s="135">
        <v>0</v>
      </c>
      <c r="T295" s="135"/>
      <c r="U295" s="135">
        <v>0</v>
      </c>
      <c r="V295" s="262">
        <f>SUM(CATEGORIAS[[#This Row],[COSTO
ACUMULADO  AX]:[PROVISIONES]])</f>
        <v>0</v>
      </c>
      <c r="W295" s="264">
        <v>0</v>
      </c>
      <c r="X295" s="222"/>
      <c r="Y295" s="222">
        <v>0</v>
      </c>
      <c r="Z295" s="263">
        <f>SUM(CATEGORIAS[[#This Row],[COSTO ACUMULADO
ANTERIOR]:[PROVISIONES
ANTERIOR]])</f>
        <v>0</v>
      </c>
      <c r="AA295" s="338">
        <f>ABS(+CATEGORIAS[[#This Row],[PRESUPUESTO
FINAL
PROYECTADO]]-CATEGORIAS[[#This Row],[TOTAL PRODUCCION
ACTUAL]])</f>
        <v>0</v>
      </c>
      <c r="AB295" s="222"/>
      <c r="AC295" s="134"/>
      <c r="AD295" s="134">
        <v>0</v>
      </c>
      <c r="AE295" s="221">
        <f>SUM(CATEGORIAS[[#This Row],[INVENTARIO]:[PROYECCION
DE COSTO
DEL SALDO]])</f>
        <v>0</v>
      </c>
      <c r="AF295" s="134"/>
      <c r="AG295" s="134">
        <f>+CATEGORIAS[[#This Row],[PRESUPUESTO
FINAL
PROYECTADO]]-CATEGORIAS[[#This Row],[COSTO REAL]]-CATEGORIAS[[#This Row],[PROYECCION
TOTAL DE COSTO]]</f>
        <v>0</v>
      </c>
    </row>
    <row r="296" spans="1:33" x14ac:dyDescent="0.25">
      <c r="A296" s="245"/>
      <c r="B296" s="245"/>
      <c r="C296" s="245"/>
      <c r="D296" s="323" t="s">
        <v>2032</v>
      </c>
      <c r="E296" s="244" t="s">
        <v>954</v>
      </c>
      <c r="F296" s="246" t="s">
        <v>376</v>
      </c>
      <c r="G296" s="279">
        <v>0</v>
      </c>
      <c r="H296" s="279">
        <v>0</v>
      </c>
      <c r="I296" s="132">
        <v>0</v>
      </c>
      <c r="J296" s="132">
        <v>0</v>
      </c>
      <c r="K296" s="132">
        <v>0</v>
      </c>
      <c r="L296" s="144">
        <f>CATEGORIAS[[#This Row],[ADICIONALES]]+CATEGORIAS[[#This Row],[POM]]+CATEGORIAS[[#This Row],[REAJUSTE 
PAGADO]]+CATEGORIAS[[#This Row],[REAJUSTE
PROYECTADO]]</f>
        <v>0</v>
      </c>
      <c r="M296" s="133">
        <v>0</v>
      </c>
      <c r="N296" s="222">
        <v>0</v>
      </c>
      <c r="O296" s="142">
        <f>+CATEGORIAS[[#This Row],[PRODUCCION
PARTIDAS
ORIGINALES
ACTUAL]]+CATEGORIAS[[#This Row],[PRODUCCION
ADICIONALES
ACTUAL]]</f>
        <v>0</v>
      </c>
      <c r="P296" s="222">
        <v>0</v>
      </c>
      <c r="Q296" s="222">
        <v>0</v>
      </c>
      <c r="R296" s="141">
        <f>+CATEGORIAS[[#This Row],[PRODUCCION
ANTERIOR]]+CATEGORIAS[[#This Row],[PRODUCCION
ADICIONALES
ANTERIOR]]</f>
        <v>0</v>
      </c>
      <c r="S296" s="135">
        <v>0</v>
      </c>
      <c r="T296" s="135"/>
      <c r="U296" s="135">
        <v>0</v>
      </c>
      <c r="V296" s="262">
        <f>SUM(CATEGORIAS[[#This Row],[COSTO
ACUMULADO  AX]:[PROVISIONES]])</f>
        <v>0</v>
      </c>
      <c r="W296" s="264">
        <v>0</v>
      </c>
      <c r="X296" s="222"/>
      <c r="Y296" s="222">
        <v>0</v>
      </c>
      <c r="Z296" s="263">
        <f>SUM(CATEGORIAS[[#This Row],[COSTO ACUMULADO
ANTERIOR]:[PROVISIONES
ANTERIOR]])</f>
        <v>0</v>
      </c>
      <c r="AA296" s="338">
        <f>ABS(+CATEGORIAS[[#This Row],[PRESUPUESTO
FINAL
PROYECTADO]]-CATEGORIAS[[#This Row],[TOTAL PRODUCCION
ACTUAL]])</f>
        <v>0</v>
      </c>
      <c r="AB296" s="222"/>
      <c r="AC296" s="134"/>
      <c r="AD296" s="134">
        <v>0</v>
      </c>
      <c r="AE296" s="221">
        <f>SUM(CATEGORIAS[[#This Row],[INVENTARIO]:[PROYECCION
DE COSTO
DEL SALDO]])</f>
        <v>0</v>
      </c>
      <c r="AF296" s="134"/>
      <c r="AG296" s="134">
        <f>+CATEGORIAS[[#This Row],[PRESUPUESTO
FINAL
PROYECTADO]]-CATEGORIAS[[#This Row],[COSTO REAL]]-CATEGORIAS[[#This Row],[PROYECCION
TOTAL DE COSTO]]</f>
        <v>0</v>
      </c>
    </row>
    <row r="297" spans="1:33" x14ac:dyDescent="0.25">
      <c r="A297" s="245"/>
      <c r="B297" s="245"/>
      <c r="C297" s="245"/>
      <c r="D297" s="323" t="s">
        <v>2033</v>
      </c>
      <c r="E297" s="244" t="s">
        <v>956</v>
      </c>
      <c r="F297" s="246" t="s">
        <v>376</v>
      </c>
      <c r="G297" s="279">
        <v>0</v>
      </c>
      <c r="H297" s="279">
        <v>0</v>
      </c>
      <c r="I297" s="132">
        <v>0</v>
      </c>
      <c r="J297" s="132">
        <v>0</v>
      </c>
      <c r="K297" s="132">
        <v>0</v>
      </c>
      <c r="L297" s="144">
        <f>CATEGORIAS[[#This Row],[ADICIONALES]]+CATEGORIAS[[#This Row],[POM]]+CATEGORIAS[[#This Row],[REAJUSTE 
PAGADO]]+CATEGORIAS[[#This Row],[REAJUSTE
PROYECTADO]]</f>
        <v>0</v>
      </c>
      <c r="M297" s="133">
        <v>0</v>
      </c>
      <c r="N297" s="222">
        <v>0</v>
      </c>
      <c r="O297" s="142">
        <f>+CATEGORIAS[[#This Row],[PRODUCCION
PARTIDAS
ORIGINALES
ACTUAL]]+CATEGORIAS[[#This Row],[PRODUCCION
ADICIONALES
ACTUAL]]</f>
        <v>0</v>
      </c>
      <c r="P297" s="222">
        <v>0</v>
      </c>
      <c r="Q297" s="134">
        <v>0</v>
      </c>
      <c r="R297" s="141">
        <f>+CATEGORIAS[[#This Row],[PRODUCCION
ANTERIOR]]+CATEGORIAS[[#This Row],[PRODUCCION
ADICIONALES
ANTERIOR]]</f>
        <v>0</v>
      </c>
      <c r="S297" s="135">
        <v>0</v>
      </c>
      <c r="T297" s="135"/>
      <c r="U297" s="135">
        <v>0</v>
      </c>
      <c r="V297" s="262">
        <f>SUM(CATEGORIAS[[#This Row],[COSTO
ACUMULADO  AX]:[PROVISIONES]])</f>
        <v>0</v>
      </c>
      <c r="W297" s="264">
        <v>0</v>
      </c>
      <c r="X297" s="222"/>
      <c r="Y297" s="222">
        <v>0</v>
      </c>
      <c r="Z297" s="263">
        <f>SUM(CATEGORIAS[[#This Row],[COSTO ACUMULADO
ANTERIOR]:[PROVISIONES
ANTERIOR]])</f>
        <v>0</v>
      </c>
      <c r="AA297" s="338">
        <f>ABS(+CATEGORIAS[[#This Row],[PRESUPUESTO
FINAL
PROYECTADO]]-CATEGORIAS[[#This Row],[TOTAL PRODUCCION
ACTUAL]])</f>
        <v>0</v>
      </c>
      <c r="AB297" s="222"/>
      <c r="AC297" s="134"/>
      <c r="AD297" s="134">
        <v>0</v>
      </c>
      <c r="AE297" s="221">
        <f>SUM(CATEGORIAS[[#This Row],[INVENTARIO]:[PROYECCION
DE COSTO
DEL SALDO]])</f>
        <v>0</v>
      </c>
      <c r="AF297" s="134"/>
      <c r="AG297" s="134">
        <f>+CATEGORIAS[[#This Row],[PRESUPUESTO
FINAL
PROYECTADO]]-CATEGORIAS[[#This Row],[COSTO REAL]]-CATEGORIAS[[#This Row],[PROYECCION
TOTAL DE COSTO]]</f>
        <v>0</v>
      </c>
    </row>
    <row r="298" spans="1:33" x14ac:dyDescent="0.25">
      <c r="A298" s="245"/>
      <c r="B298" s="245"/>
      <c r="C298" s="245"/>
      <c r="D298" s="323" t="s">
        <v>2034</v>
      </c>
      <c r="E298" s="244" t="s">
        <v>958</v>
      </c>
      <c r="F298" s="246" t="s">
        <v>376</v>
      </c>
      <c r="G298" s="279">
        <v>0</v>
      </c>
      <c r="H298" s="279">
        <v>0</v>
      </c>
      <c r="I298" s="132">
        <v>0</v>
      </c>
      <c r="J298" s="132">
        <v>0</v>
      </c>
      <c r="K298" s="132">
        <v>0</v>
      </c>
      <c r="L298" s="144">
        <f>CATEGORIAS[[#This Row],[ADICIONALES]]+CATEGORIAS[[#This Row],[POM]]+CATEGORIAS[[#This Row],[REAJUSTE 
PAGADO]]+CATEGORIAS[[#This Row],[REAJUSTE
PROYECTADO]]</f>
        <v>0</v>
      </c>
      <c r="M298" s="133">
        <v>0</v>
      </c>
      <c r="N298" s="222">
        <v>0</v>
      </c>
      <c r="O298" s="142">
        <f>+CATEGORIAS[[#This Row],[PRODUCCION
PARTIDAS
ORIGINALES
ACTUAL]]+CATEGORIAS[[#This Row],[PRODUCCION
ADICIONALES
ACTUAL]]</f>
        <v>0</v>
      </c>
      <c r="P298" s="222">
        <v>0</v>
      </c>
      <c r="Q298" s="222">
        <v>0</v>
      </c>
      <c r="R298" s="141">
        <f>+CATEGORIAS[[#This Row],[PRODUCCION
ANTERIOR]]+CATEGORIAS[[#This Row],[PRODUCCION
ADICIONALES
ANTERIOR]]</f>
        <v>0</v>
      </c>
      <c r="S298" s="135">
        <v>0</v>
      </c>
      <c r="T298" s="135"/>
      <c r="U298" s="135">
        <v>0</v>
      </c>
      <c r="V298" s="262">
        <f>SUM(CATEGORIAS[[#This Row],[COSTO
ACUMULADO  AX]:[PROVISIONES]])</f>
        <v>0</v>
      </c>
      <c r="W298" s="264">
        <v>0</v>
      </c>
      <c r="X298" s="222"/>
      <c r="Y298" s="222">
        <v>0</v>
      </c>
      <c r="Z298" s="263">
        <f>SUM(CATEGORIAS[[#This Row],[COSTO ACUMULADO
ANTERIOR]:[PROVISIONES
ANTERIOR]])</f>
        <v>0</v>
      </c>
      <c r="AA298" s="338">
        <f>ABS(+CATEGORIAS[[#This Row],[PRESUPUESTO
FINAL
PROYECTADO]]-CATEGORIAS[[#This Row],[TOTAL PRODUCCION
ACTUAL]])</f>
        <v>0</v>
      </c>
      <c r="AB298" s="222"/>
      <c r="AC298" s="134"/>
      <c r="AD298" s="134">
        <v>0</v>
      </c>
      <c r="AE298" s="221">
        <f>SUM(CATEGORIAS[[#This Row],[INVENTARIO]:[PROYECCION
DE COSTO
DEL SALDO]])</f>
        <v>0</v>
      </c>
      <c r="AF298" s="134"/>
      <c r="AG298" s="134">
        <f>+CATEGORIAS[[#This Row],[PRESUPUESTO
FINAL
PROYECTADO]]-CATEGORIAS[[#This Row],[COSTO REAL]]-CATEGORIAS[[#This Row],[PROYECCION
TOTAL DE COSTO]]</f>
        <v>0</v>
      </c>
    </row>
    <row r="299" spans="1:33" x14ac:dyDescent="0.25">
      <c r="A299" s="245"/>
      <c r="B299" s="245"/>
      <c r="C299" s="245"/>
      <c r="D299" s="323" t="s">
        <v>2035</v>
      </c>
      <c r="E299" s="244" t="s">
        <v>960</v>
      </c>
      <c r="F299" s="246" t="s">
        <v>376</v>
      </c>
      <c r="G299" s="279">
        <v>0</v>
      </c>
      <c r="H299" s="279">
        <v>0</v>
      </c>
      <c r="I299" s="132">
        <v>0</v>
      </c>
      <c r="J299" s="132">
        <v>0</v>
      </c>
      <c r="K299" s="132">
        <v>0</v>
      </c>
      <c r="L299" s="144">
        <f>CATEGORIAS[[#This Row],[ADICIONALES]]+CATEGORIAS[[#This Row],[POM]]+CATEGORIAS[[#This Row],[REAJUSTE 
PAGADO]]+CATEGORIAS[[#This Row],[REAJUSTE
PROYECTADO]]</f>
        <v>0</v>
      </c>
      <c r="M299" s="133">
        <v>0</v>
      </c>
      <c r="N299" s="222">
        <v>0</v>
      </c>
      <c r="O299" s="142">
        <f>+CATEGORIAS[[#This Row],[PRODUCCION
PARTIDAS
ORIGINALES
ACTUAL]]+CATEGORIAS[[#This Row],[PRODUCCION
ADICIONALES
ACTUAL]]</f>
        <v>0</v>
      </c>
      <c r="P299" s="222">
        <v>0</v>
      </c>
      <c r="Q299" s="134">
        <v>0</v>
      </c>
      <c r="R299" s="141">
        <f>+CATEGORIAS[[#This Row],[PRODUCCION
ANTERIOR]]+CATEGORIAS[[#This Row],[PRODUCCION
ADICIONALES
ANTERIOR]]</f>
        <v>0</v>
      </c>
      <c r="S299" s="135">
        <v>0</v>
      </c>
      <c r="T299" s="135"/>
      <c r="U299" s="135">
        <v>0</v>
      </c>
      <c r="V299" s="262">
        <f>SUM(CATEGORIAS[[#This Row],[COSTO
ACUMULADO  AX]:[PROVISIONES]])</f>
        <v>0</v>
      </c>
      <c r="W299" s="264">
        <v>0</v>
      </c>
      <c r="X299" s="222"/>
      <c r="Y299" s="222">
        <v>0</v>
      </c>
      <c r="Z299" s="263">
        <f>SUM(CATEGORIAS[[#This Row],[COSTO ACUMULADO
ANTERIOR]:[PROVISIONES
ANTERIOR]])</f>
        <v>0</v>
      </c>
      <c r="AA299" s="338">
        <f>ABS(+CATEGORIAS[[#This Row],[PRESUPUESTO
FINAL
PROYECTADO]]-CATEGORIAS[[#This Row],[TOTAL PRODUCCION
ACTUAL]])</f>
        <v>0</v>
      </c>
      <c r="AB299" s="222"/>
      <c r="AC299" s="134"/>
      <c r="AD299" s="134">
        <v>0</v>
      </c>
      <c r="AE299" s="221">
        <f>SUM(CATEGORIAS[[#This Row],[INVENTARIO]:[PROYECCION
DE COSTO
DEL SALDO]])</f>
        <v>0</v>
      </c>
      <c r="AF299" s="134"/>
      <c r="AG299" s="134">
        <f>+CATEGORIAS[[#This Row],[PRESUPUESTO
FINAL
PROYECTADO]]-CATEGORIAS[[#This Row],[COSTO REAL]]-CATEGORIAS[[#This Row],[PROYECCION
TOTAL DE COSTO]]</f>
        <v>0</v>
      </c>
    </row>
    <row r="300" spans="1:33" x14ac:dyDescent="0.25">
      <c r="A300" s="245"/>
      <c r="B300" s="245"/>
      <c r="C300" s="245"/>
      <c r="D300" s="323" t="s">
        <v>2036</v>
      </c>
      <c r="E300" s="244" t="s">
        <v>962</v>
      </c>
      <c r="F300" s="246" t="s">
        <v>376</v>
      </c>
      <c r="G300" s="279">
        <v>0</v>
      </c>
      <c r="H300" s="279">
        <v>0</v>
      </c>
      <c r="I300" s="132">
        <v>0</v>
      </c>
      <c r="J300" s="132">
        <v>0</v>
      </c>
      <c r="K300" s="132">
        <v>0</v>
      </c>
      <c r="L300" s="144">
        <f>CATEGORIAS[[#This Row],[ADICIONALES]]+CATEGORIAS[[#This Row],[POM]]+CATEGORIAS[[#This Row],[REAJUSTE 
PAGADO]]+CATEGORIAS[[#This Row],[REAJUSTE
PROYECTADO]]</f>
        <v>0</v>
      </c>
      <c r="M300" s="133">
        <v>0</v>
      </c>
      <c r="N300" s="222">
        <v>0</v>
      </c>
      <c r="O300" s="142">
        <f>+CATEGORIAS[[#This Row],[PRODUCCION
PARTIDAS
ORIGINALES
ACTUAL]]+CATEGORIAS[[#This Row],[PRODUCCION
ADICIONALES
ACTUAL]]</f>
        <v>0</v>
      </c>
      <c r="P300" s="222">
        <v>0</v>
      </c>
      <c r="Q300" s="222">
        <v>0</v>
      </c>
      <c r="R300" s="141">
        <f>+CATEGORIAS[[#This Row],[PRODUCCION
ANTERIOR]]+CATEGORIAS[[#This Row],[PRODUCCION
ADICIONALES
ANTERIOR]]</f>
        <v>0</v>
      </c>
      <c r="S300" s="135">
        <v>0</v>
      </c>
      <c r="T300" s="135"/>
      <c r="U300" s="135">
        <v>0</v>
      </c>
      <c r="V300" s="262">
        <f>SUM(CATEGORIAS[[#This Row],[COSTO
ACUMULADO  AX]:[PROVISIONES]])</f>
        <v>0</v>
      </c>
      <c r="W300" s="264">
        <v>0</v>
      </c>
      <c r="X300" s="222"/>
      <c r="Y300" s="222">
        <v>0</v>
      </c>
      <c r="Z300" s="263">
        <f>SUM(CATEGORIAS[[#This Row],[COSTO ACUMULADO
ANTERIOR]:[PROVISIONES
ANTERIOR]])</f>
        <v>0</v>
      </c>
      <c r="AA300" s="338">
        <f>ABS(+CATEGORIAS[[#This Row],[PRESUPUESTO
FINAL
PROYECTADO]]-CATEGORIAS[[#This Row],[TOTAL PRODUCCION
ACTUAL]])</f>
        <v>0</v>
      </c>
      <c r="AB300" s="222"/>
      <c r="AC300" s="134"/>
      <c r="AD300" s="134">
        <v>0</v>
      </c>
      <c r="AE300" s="221">
        <f>SUM(CATEGORIAS[[#This Row],[INVENTARIO]:[PROYECCION
DE COSTO
DEL SALDO]])</f>
        <v>0</v>
      </c>
      <c r="AF300" s="134"/>
      <c r="AG300" s="134">
        <f>+CATEGORIAS[[#This Row],[PRESUPUESTO
FINAL
PROYECTADO]]-CATEGORIAS[[#This Row],[COSTO REAL]]-CATEGORIAS[[#This Row],[PROYECCION
TOTAL DE COSTO]]</f>
        <v>0</v>
      </c>
    </row>
    <row r="301" spans="1:33" x14ac:dyDescent="0.25">
      <c r="A301" s="245"/>
      <c r="B301" s="245"/>
      <c r="C301" s="245"/>
      <c r="D301" s="323" t="s">
        <v>2037</v>
      </c>
      <c r="E301" s="244" t="s">
        <v>964</v>
      </c>
      <c r="F301" s="246" t="s">
        <v>376</v>
      </c>
      <c r="G301" s="279">
        <v>0</v>
      </c>
      <c r="H301" s="279">
        <v>0</v>
      </c>
      <c r="I301" s="132">
        <v>0</v>
      </c>
      <c r="J301" s="132">
        <v>0</v>
      </c>
      <c r="K301" s="132">
        <v>0</v>
      </c>
      <c r="L301" s="144">
        <f>CATEGORIAS[[#This Row],[ADICIONALES]]+CATEGORIAS[[#This Row],[POM]]+CATEGORIAS[[#This Row],[REAJUSTE 
PAGADO]]+CATEGORIAS[[#This Row],[REAJUSTE
PROYECTADO]]</f>
        <v>0</v>
      </c>
      <c r="M301" s="133">
        <v>0</v>
      </c>
      <c r="N301" s="222">
        <v>0</v>
      </c>
      <c r="O301" s="142">
        <f>+CATEGORIAS[[#This Row],[PRODUCCION
PARTIDAS
ORIGINALES
ACTUAL]]+CATEGORIAS[[#This Row],[PRODUCCION
ADICIONALES
ACTUAL]]</f>
        <v>0</v>
      </c>
      <c r="P301" s="222">
        <v>0</v>
      </c>
      <c r="Q301" s="134">
        <v>0</v>
      </c>
      <c r="R301" s="141">
        <f>+CATEGORIAS[[#This Row],[PRODUCCION
ANTERIOR]]+CATEGORIAS[[#This Row],[PRODUCCION
ADICIONALES
ANTERIOR]]</f>
        <v>0</v>
      </c>
      <c r="S301" s="135">
        <v>0</v>
      </c>
      <c r="T301" s="135"/>
      <c r="U301" s="135">
        <v>0</v>
      </c>
      <c r="V301" s="262">
        <f>SUM(CATEGORIAS[[#This Row],[COSTO
ACUMULADO  AX]:[PROVISIONES]])</f>
        <v>0</v>
      </c>
      <c r="W301" s="264">
        <v>0</v>
      </c>
      <c r="X301" s="222"/>
      <c r="Y301" s="222">
        <v>0</v>
      </c>
      <c r="Z301" s="263">
        <f>SUM(CATEGORIAS[[#This Row],[COSTO ACUMULADO
ANTERIOR]:[PROVISIONES
ANTERIOR]])</f>
        <v>0</v>
      </c>
      <c r="AA301" s="338">
        <f>ABS(+CATEGORIAS[[#This Row],[PRESUPUESTO
FINAL
PROYECTADO]]-CATEGORIAS[[#This Row],[TOTAL PRODUCCION
ACTUAL]])</f>
        <v>0</v>
      </c>
      <c r="AB301" s="222"/>
      <c r="AC301" s="134"/>
      <c r="AD301" s="134">
        <v>0</v>
      </c>
      <c r="AE301" s="221">
        <f>SUM(CATEGORIAS[[#This Row],[INVENTARIO]:[PROYECCION
DE COSTO
DEL SALDO]])</f>
        <v>0</v>
      </c>
      <c r="AF301" s="134"/>
      <c r="AG301" s="134">
        <f>+CATEGORIAS[[#This Row],[PRESUPUESTO
FINAL
PROYECTADO]]-CATEGORIAS[[#This Row],[COSTO REAL]]-CATEGORIAS[[#This Row],[PROYECCION
TOTAL DE COSTO]]</f>
        <v>0</v>
      </c>
    </row>
    <row r="302" spans="1:33" x14ac:dyDescent="0.25">
      <c r="A302" s="245"/>
      <c r="B302" s="245"/>
      <c r="C302" s="245"/>
      <c r="D302" s="323" t="s">
        <v>2038</v>
      </c>
      <c r="E302" s="244" t="s">
        <v>966</v>
      </c>
      <c r="F302" s="246" t="s">
        <v>376</v>
      </c>
      <c r="G302" s="279">
        <v>0</v>
      </c>
      <c r="H302" s="279">
        <v>0</v>
      </c>
      <c r="I302" s="132">
        <v>0</v>
      </c>
      <c r="J302" s="132">
        <v>0</v>
      </c>
      <c r="K302" s="132">
        <v>0</v>
      </c>
      <c r="L302" s="144">
        <f>CATEGORIAS[[#This Row],[ADICIONALES]]+CATEGORIAS[[#This Row],[POM]]+CATEGORIAS[[#This Row],[REAJUSTE 
PAGADO]]+CATEGORIAS[[#This Row],[REAJUSTE
PROYECTADO]]</f>
        <v>0</v>
      </c>
      <c r="M302" s="133">
        <v>0</v>
      </c>
      <c r="N302" s="222">
        <v>0</v>
      </c>
      <c r="O302" s="142">
        <f>+CATEGORIAS[[#This Row],[PRODUCCION
PARTIDAS
ORIGINALES
ACTUAL]]+CATEGORIAS[[#This Row],[PRODUCCION
ADICIONALES
ACTUAL]]</f>
        <v>0</v>
      </c>
      <c r="P302" s="222">
        <v>0</v>
      </c>
      <c r="Q302" s="222">
        <v>0</v>
      </c>
      <c r="R302" s="141">
        <f>+CATEGORIAS[[#This Row],[PRODUCCION
ANTERIOR]]+CATEGORIAS[[#This Row],[PRODUCCION
ADICIONALES
ANTERIOR]]</f>
        <v>0</v>
      </c>
      <c r="S302" s="135">
        <v>0</v>
      </c>
      <c r="T302" s="135"/>
      <c r="U302" s="135">
        <v>0</v>
      </c>
      <c r="V302" s="262">
        <f>SUM(CATEGORIAS[[#This Row],[COSTO
ACUMULADO  AX]:[PROVISIONES]])</f>
        <v>0</v>
      </c>
      <c r="W302" s="264">
        <v>0</v>
      </c>
      <c r="X302" s="222"/>
      <c r="Y302" s="222">
        <v>0</v>
      </c>
      <c r="Z302" s="263">
        <f>SUM(CATEGORIAS[[#This Row],[COSTO ACUMULADO
ANTERIOR]:[PROVISIONES
ANTERIOR]])</f>
        <v>0</v>
      </c>
      <c r="AA302" s="338">
        <f>ABS(+CATEGORIAS[[#This Row],[PRESUPUESTO
FINAL
PROYECTADO]]-CATEGORIAS[[#This Row],[TOTAL PRODUCCION
ACTUAL]])</f>
        <v>0</v>
      </c>
      <c r="AB302" s="222"/>
      <c r="AC302" s="134"/>
      <c r="AD302" s="134">
        <v>0</v>
      </c>
      <c r="AE302" s="221">
        <f>SUM(CATEGORIAS[[#This Row],[INVENTARIO]:[PROYECCION
DE COSTO
DEL SALDO]])</f>
        <v>0</v>
      </c>
      <c r="AF302" s="134"/>
      <c r="AG302" s="134">
        <f>+CATEGORIAS[[#This Row],[PRESUPUESTO
FINAL
PROYECTADO]]-CATEGORIAS[[#This Row],[COSTO REAL]]-CATEGORIAS[[#This Row],[PROYECCION
TOTAL DE COSTO]]</f>
        <v>0</v>
      </c>
    </row>
    <row r="303" spans="1:33" x14ac:dyDescent="0.25">
      <c r="A303" s="245"/>
      <c r="B303" s="245"/>
      <c r="C303" s="245"/>
      <c r="D303" s="323" t="s">
        <v>2039</v>
      </c>
      <c r="E303" s="244" t="s">
        <v>968</v>
      </c>
      <c r="F303" s="246" t="s">
        <v>376</v>
      </c>
      <c r="G303" s="279">
        <v>0</v>
      </c>
      <c r="H303" s="279">
        <v>0</v>
      </c>
      <c r="I303" s="132">
        <v>0</v>
      </c>
      <c r="J303" s="132">
        <v>0</v>
      </c>
      <c r="K303" s="132">
        <v>0</v>
      </c>
      <c r="L303" s="144">
        <f>CATEGORIAS[[#This Row],[ADICIONALES]]+CATEGORIAS[[#This Row],[POM]]+CATEGORIAS[[#This Row],[REAJUSTE 
PAGADO]]+CATEGORIAS[[#This Row],[REAJUSTE
PROYECTADO]]</f>
        <v>0</v>
      </c>
      <c r="M303" s="133">
        <v>0</v>
      </c>
      <c r="N303" s="222">
        <v>0</v>
      </c>
      <c r="O303" s="142">
        <f>+CATEGORIAS[[#This Row],[PRODUCCION
PARTIDAS
ORIGINALES
ACTUAL]]+CATEGORIAS[[#This Row],[PRODUCCION
ADICIONALES
ACTUAL]]</f>
        <v>0</v>
      </c>
      <c r="P303" s="222">
        <v>0</v>
      </c>
      <c r="Q303" s="134">
        <v>0</v>
      </c>
      <c r="R303" s="141">
        <f>+CATEGORIAS[[#This Row],[PRODUCCION
ANTERIOR]]+CATEGORIAS[[#This Row],[PRODUCCION
ADICIONALES
ANTERIOR]]</f>
        <v>0</v>
      </c>
      <c r="S303" s="135">
        <v>0</v>
      </c>
      <c r="T303" s="135"/>
      <c r="U303" s="135">
        <v>0</v>
      </c>
      <c r="V303" s="262">
        <f>SUM(CATEGORIAS[[#This Row],[COSTO
ACUMULADO  AX]:[PROVISIONES]])</f>
        <v>0</v>
      </c>
      <c r="W303" s="264">
        <v>0</v>
      </c>
      <c r="X303" s="222"/>
      <c r="Y303" s="222">
        <v>0</v>
      </c>
      <c r="Z303" s="263">
        <f>SUM(CATEGORIAS[[#This Row],[COSTO ACUMULADO
ANTERIOR]:[PROVISIONES
ANTERIOR]])</f>
        <v>0</v>
      </c>
      <c r="AA303" s="338">
        <f>ABS(+CATEGORIAS[[#This Row],[PRESUPUESTO
FINAL
PROYECTADO]]-CATEGORIAS[[#This Row],[TOTAL PRODUCCION
ACTUAL]])</f>
        <v>0</v>
      </c>
      <c r="AB303" s="222"/>
      <c r="AC303" s="134"/>
      <c r="AD303" s="134">
        <v>0</v>
      </c>
      <c r="AE303" s="221">
        <f>SUM(CATEGORIAS[[#This Row],[INVENTARIO]:[PROYECCION
DE COSTO
DEL SALDO]])</f>
        <v>0</v>
      </c>
      <c r="AF303" s="134"/>
      <c r="AG303" s="134">
        <f>+CATEGORIAS[[#This Row],[PRESUPUESTO
FINAL
PROYECTADO]]-CATEGORIAS[[#This Row],[COSTO REAL]]-CATEGORIAS[[#This Row],[PROYECCION
TOTAL DE COSTO]]</f>
        <v>0</v>
      </c>
    </row>
    <row r="304" spans="1:33" x14ac:dyDescent="0.25">
      <c r="A304" s="245"/>
      <c r="B304" s="245"/>
      <c r="C304" s="245"/>
      <c r="D304" s="323" t="s">
        <v>2040</v>
      </c>
      <c r="E304" s="244" t="s">
        <v>970</v>
      </c>
      <c r="F304" s="246" t="s">
        <v>376</v>
      </c>
      <c r="G304" s="279">
        <v>0</v>
      </c>
      <c r="H304" s="279">
        <v>0</v>
      </c>
      <c r="I304" s="132">
        <v>0</v>
      </c>
      <c r="J304" s="132">
        <v>0</v>
      </c>
      <c r="K304" s="132">
        <v>0</v>
      </c>
      <c r="L304" s="144">
        <f>CATEGORIAS[[#This Row],[ADICIONALES]]+CATEGORIAS[[#This Row],[POM]]+CATEGORIAS[[#This Row],[REAJUSTE 
PAGADO]]+CATEGORIAS[[#This Row],[REAJUSTE
PROYECTADO]]</f>
        <v>0</v>
      </c>
      <c r="M304" s="133">
        <v>0</v>
      </c>
      <c r="N304" s="222">
        <v>0</v>
      </c>
      <c r="O304" s="142">
        <f>+CATEGORIAS[[#This Row],[PRODUCCION
PARTIDAS
ORIGINALES
ACTUAL]]+CATEGORIAS[[#This Row],[PRODUCCION
ADICIONALES
ACTUAL]]</f>
        <v>0</v>
      </c>
      <c r="P304" s="222">
        <v>0</v>
      </c>
      <c r="Q304" s="222">
        <v>0</v>
      </c>
      <c r="R304" s="141">
        <f>+CATEGORIAS[[#This Row],[PRODUCCION
ANTERIOR]]+CATEGORIAS[[#This Row],[PRODUCCION
ADICIONALES
ANTERIOR]]</f>
        <v>0</v>
      </c>
      <c r="S304" s="135">
        <v>0</v>
      </c>
      <c r="T304" s="135"/>
      <c r="U304" s="135">
        <v>0</v>
      </c>
      <c r="V304" s="262">
        <f>SUM(CATEGORIAS[[#This Row],[COSTO
ACUMULADO  AX]:[PROVISIONES]])</f>
        <v>0</v>
      </c>
      <c r="W304" s="264">
        <v>0</v>
      </c>
      <c r="X304" s="222"/>
      <c r="Y304" s="222">
        <v>0</v>
      </c>
      <c r="Z304" s="263">
        <f>SUM(CATEGORIAS[[#This Row],[COSTO ACUMULADO
ANTERIOR]:[PROVISIONES
ANTERIOR]])</f>
        <v>0</v>
      </c>
      <c r="AA304" s="338">
        <f>ABS(+CATEGORIAS[[#This Row],[PRESUPUESTO
FINAL
PROYECTADO]]-CATEGORIAS[[#This Row],[TOTAL PRODUCCION
ACTUAL]])</f>
        <v>0</v>
      </c>
      <c r="AB304" s="222"/>
      <c r="AC304" s="134"/>
      <c r="AD304" s="134">
        <v>0</v>
      </c>
      <c r="AE304" s="221">
        <f>SUM(CATEGORIAS[[#This Row],[INVENTARIO]:[PROYECCION
DE COSTO
DEL SALDO]])</f>
        <v>0</v>
      </c>
      <c r="AF304" s="134"/>
      <c r="AG304" s="134">
        <f>+CATEGORIAS[[#This Row],[PRESUPUESTO
FINAL
PROYECTADO]]-CATEGORIAS[[#This Row],[COSTO REAL]]-CATEGORIAS[[#This Row],[PROYECCION
TOTAL DE COSTO]]</f>
        <v>0</v>
      </c>
    </row>
    <row r="305" spans="1:33" x14ac:dyDescent="0.25">
      <c r="A305" s="245"/>
      <c r="B305" s="245"/>
      <c r="C305" s="245"/>
      <c r="D305" s="323" t="s">
        <v>2041</v>
      </c>
      <c r="E305" s="244" t="s">
        <v>972</v>
      </c>
      <c r="F305" s="246" t="s">
        <v>376</v>
      </c>
      <c r="G305" s="279">
        <v>0</v>
      </c>
      <c r="H305" s="279">
        <v>0</v>
      </c>
      <c r="I305" s="132">
        <v>0</v>
      </c>
      <c r="J305" s="132">
        <v>0</v>
      </c>
      <c r="K305" s="132">
        <v>0</v>
      </c>
      <c r="L305" s="144">
        <f>CATEGORIAS[[#This Row],[ADICIONALES]]+CATEGORIAS[[#This Row],[POM]]+CATEGORIAS[[#This Row],[REAJUSTE 
PAGADO]]+CATEGORIAS[[#This Row],[REAJUSTE
PROYECTADO]]</f>
        <v>0</v>
      </c>
      <c r="M305" s="133">
        <v>0</v>
      </c>
      <c r="N305" s="222">
        <v>0</v>
      </c>
      <c r="O305" s="142">
        <f>+CATEGORIAS[[#This Row],[PRODUCCION
PARTIDAS
ORIGINALES
ACTUAL]]+CATEGORIAS[[#This Row],[PRODUCCION
ADICIONALES
ACTUAL]]</f>
        <v>0</v>
      </c>
      <c r="P305" s="222">
        <v>0</v>
      </c>
      <c r="Q305" s="134">
        <v>0</v>
      </c>
      <c r="R305" s="141">
        <f>+CATEGORIAS[[#This Row],[PRODUCCION
ANTERIOR]]+CATEGORIAS[[#This Row],[PRODUCCION
ADICIONALES
ANTERIOR]]</f>
        <v>0</v>
      </c>
      <c r="S305" s="135">
        <v>0</v>
      </c>
      <c r="T305" s="135"/>
      <c r="U305" s="135">
        <v>0</v>
      </c>
      <c r="V305" s="262">
        <f>SUM(CATEGORIAS[[#This Row],[COSTO
ACUMULADO  AX]:[PROVISIONES]])</f>
        <v>0</v>
      </c>
      <c r="W305" s="264">
        <v>0</v>
      </c>
      <c r="X305" s="222"/>
      <c r="Y305" s="222">
        <v>0</v>
      </c>
      <c r="Z305" s="263">
        <f>SUM(CATEGORIAS[[#This Row],[COSTO ACUMULADO
ANTERIOR]:[PROVISIONES
ANTERIOR]])</f>
        <v>0</v>
      </c>
      <c r="AA305" s="338">
        <f>ABS(+CATEGORIAS[[#This Row],[PRESUPUESTO
FINAL
PROYECTADO]]-CATEGORIAS[[#This Row],[TOTAL PRODUCCION
ACTUAL]])</f>
        <v>0</v>
      </c>
      <c r="AB305" s="222"/>
      <c r="AC305" s="134"/>
      <c r="AD305" s="134">
        <v>0</v>
      </c>
      <c r="AE305" s="221">
        <f>SUM(CATEGORIAS[[#This Row],[INVENTARIO]:[PROYECCION
DE COSTO
DEL SALDO]])</f>
        <v>0</v>
      </c>
      <c r="AF305" s="134"/>
      <c r="AG305" s="134">
        <f>+CATEGORIAS[[#This Row],[PRESUPUESTO
FINAL
PROYECTADO]]-CATEGORIAS[[#This Row],[COSTO REAL]]-CATEGORIAS[[#This Row],[PROYECCION
TOTAL DE COSTO]]</f>
        <v>0</v>
      </c>
    </row>
    <row r="306" spans="1:33" x14ac:dyDescent="0.25">
      <c r="A306" s="245"/>
      <c r="B306" s="245"/>
      <c r="C306" s="245"/>
      <c r="D306" s="323" t="s">
        <v>2042</v>
      </c>
      <c r="E306" s="244" t="s">
        <v>974</v>
      </c>
      <c r="F306" s="246" t="s">
        <v>376</v>
      </c>
      <c r="G306" s="279">
        <v>0</v>
      </c>
      <c r="H306" s="279">
        <v>0</v>
      </c>
      <c r="I306" s="132">
        <v>0</v>
      </c>
      <c r="J306" s="132">
        <v>0</v>
      </c>
      <c r="K306" s="132">
        <v>0</v>
      </c>
      <c r="L306" s="144">
        <f>CATEGORIAS[[#This Row],[ADICIONALES]]+CATEGORIAS[[#This Row],[POM]]+CATEGORIAS[[#This Row],[REAJUSTE 
PAGADO]]+CATEGORIAS[[#This Row],[REAJUSTE
PROYECTADO]]</f>
        <v>0</v>
      </c>
      <c r="M306" s="133">
        <v>0</v>
      </c>
      <c r="N306" s="222">
        <v>0</v>
      </c>
      <c r="O306" s="142">
        <f>+CATEGORIAS[[#This Row],[PRODUCCION
PARTIDAS
ORIGINALES
ACTUAL]]+CATEGORIAS[[#This Row],[PRODUCCION
ADICIONALES
ACTUAL]]</f>
        <v>0</v>
      </c>
      <c r="P306" s="222">
        <v>0</v>
      </c>
      <c r="Q306" s="222">
        <v>0</v>
      </c>
      <c r="R306" s="141">
        <f>+CATEGORIAS[[#This Row],[PRODUCCION
ANTERIOR]]+CATEGORIAS[[#This Row],[PRODUCCION
ADICIONALES
ANTERIOR]]</f>
        <v>0</v>
      </c>
      <c r="S306" s="135">
        <v>0</v>
      </c>
      <c r="T306" s="135"/>
      <c r="U306" s="135">
        <v>0</v>
      </c>
      <c r="V306" s="262">
        <f>SUM(CATEGORIAS[[#This Row],[COSTO
ACUMULADO  AX]:[PROVISIONES]])</f>
        <v>0</v>
      </c>
      <c r="W306" s="264">
        <v>0</v>
      </c>
      <c r="X306" s="222"/>
      <c r="Y306" s="222">
        <v>0</v>
      </c>
      <c r="Z306" s="263">
        <f>SUM(CATEGORIAS[[#This Row],[COSTO ACUMULADO
ANTERIOR]:[PROVISIONES
ANTERIOR]])</f>
        <v>0</v>
      </c>
      <c r="AA306" s="338">
        <f>ABS(+CATEGORIAS[[#This Row],[PRESUPUESTO
FINAL
PROYECTADO]]-CATEGORIAS[[#This Row],[TOTAL PRODUCCION
ACTUAL]])</f>
        <v>0</v>
      </c>
      <c r="AB306" s="222"/>
      <c r="AC306" s="134"/>
      <c r="AD306" s="134">
        <v>0</v>
      </c>
      <c r="AE306" s="221">
        <f>SUM(CATEGORIAS[[#This Row],[INVENTARIO]:[PROYECCION
DE COSTO
DEL SALDO]])</f>
        <v>0</v>
      </c>
      <c r="AF306" s="134"/>
      <c r="AG306" s="134">
        <f>+CATEGORIAS[[#This Row],[PRESUPUESTO
FINAL
PROYECTADO]]-CATEGORIAS[[#This Row],[COSTO REAL]]-CATEGORIAS[[#This Row],[PROYECCION
TOTAL DE COSTO]]</f>
        <v>0</v>
      </c>
    </row>
    <row r="307" spans="1:33" x14ac:dyDescent="0.25">
      <c r="A307" s="245"/>
      <c r="B307" s="245"/>
      <c r="C307" s="245"/>
      <c r="D307" s="323" t="s">
        <v>2043</v>
      </c>
      <c r="E307" s="244" t="s">
        <v>976</v>
      </c>
      <c r="F307" s="246" t="s">
        <v>376</v>
      </c>
      <c r="G307" s="279">
        <v>0</v>
      </c>
      <c r="H307" s="279">
        <v>0</v>
      </c>
      <c r="I307" s="132">
        <v>0</v>
      </c>
      <c r="J307" s="132">
        <v>0</v>
      </c>
      <c r="K307" s="132">
        <v>0</v>
      </c>
      <c r="L307" s="144">
        <f>CATEGORIAS[[#This Row],[ADICIONALES]]+CATEGORIAS[[#This Row],[POM]]+CATEGORIAS[[#This Row],[REAJUSTE 
PAGADO]]+CATEGORIAS[[#This Row],[REAJUSTE
PROYECTADO]]</f>
        <v>0</v>
      </c>
      <c r="M307" s="133">
        <v>0</v>
      </c>
      <c r="N307" s="222">
        <v>0</v>
      </c>
      <c r="O307" s="142">
        <f>+CATEGORIAS[[#This Row],[PRODUCCION
PARTIDAS
ORIGINALES
ACTUAL]]+CATEGORIAS[[#This Row],[PRODUCCION
ADICIONALES
ACTUAL]]</f>
        <v>0</v>
      </c>
      <c r="P307" s="222">
        <v>0</v>
      </c>
      <c r="Q307" s="134">
        <v>0</v>
      </c>
      <c r="R307" s="141">
        <f>+CATEGORIAS[[#This Row],[PRODUCCION
ANTERIOR]]+CATEGORIAS[[#This Row],[PRODUCCION
ADICIONALES
ANTERIOR]]</f>
        <v>0</v>
      </c>
      <c r="S307" s="135">
        <v>0</v>
      </c>
      <c r="T307" s="135"/>
      <c r="U307" s="135">
        <v>0</v>
      </c>
      <c r="V307" s="262">
        <f>SUM(CATEGORIAS[[#This Row],[COSTO
ACUMULADO  AX]:[PROVISIONES]])</f>
        <v>0</v>
      </c>
      <c r="W307" s="264">
        <v>0</v>
      </c>
      <c r="X307" s="222"/>
      <c r="Y307" s="222">
        <v>0</v>
      </c>
      <c r="Z307" s="263">
        <f>SUM(CATEGORIAS[[#This Row],[COSTO ACUMULADO
ANTERIOR]:[PROVISIONES
ANTERIOR]])</f>
        <v>0</v>
      </c>
      <c r="AA307" s="338">
        <f>ABS(+CATEGORIAS[[#This Row],[PRESUPUESTO
FINAL
PROYECTADO]]-CATEGORIAS[[#This Row],[TOTAL PRODUCCION
ACTUAL]])</f>
        <v>0</v>
      </c>
      <c r="AB307" s="222"/>
      <c r="AC307" s="134"/>
      <c r="AD307" s="134">
        <v>0</v>
      </c>
      <c r="AE307" s="221">
        <f>SUM(CATEGORIAS[[#This Row],[INVENTARIO]:[PROYECCION
DE COSTO
DEL SALDO]])</f>
        <v>0</v>
      </c>
      <c r="AF307" s="134"/>
      <c r="AG307" s="134">
        <f>+CATEGORIAS[[#This Row],[PRESUPUESTO
FINAL
PROYECTADO]]-CATEGORIAS[[#This Row],[COSTO REAL]]-CATEGORIAS[[#This Row],[PROYECCION
TOTAL DE COSTO]]</f>
        <v>0</v>
      </c>
    </row>
    <row r="308" spans="1:33" x14ac:dyDescent="0.25">
      <c r="A308" s="245"/>
      <c r="B308" s="245"/>
      <c r="C308" s="245"/>
      <c r="D308" s="323" t="s">
        <v>2044</v>
      </c>
      <c r="E308" s="244" t="s">
        <v>978</v>
      </c>
      <c r="F308" s="246" t="s">
        <v>376</v>
      </c>
      <c r="G308" s="279">
        <v>0</v>
      </c>
      <c r="H308" s="279">
        <v>0</v>
      </c>
      <c r="I308" s="132">
        <v>0</v>
      </c>
      <c r="J308" s="132">
        <v>0</v>
      </c>
      <c r="K308" s="132">
        <v>0</v>
      </c>
      <c r="L308" s="144">
        <f>CATEGORIAS[[#This Row],[ADICIONALES]]+CATEGORIAS[[#This Row],[POM]]+CATEGORIAS[[#This Row],[REAJUSTE 
PAGADO]]+CATEGORIAS[[#This Row],[REAJUSTE
PROYECTADO]]</f>
        <v>0</v>
      </c>
      <c r="M308" s="133">
        <v>0</v>
      </c>
      <c r="N308" s="222">
        <v>0</v>
      </c>
      <c r="O308" s="142">
        <f>+CATEGORIAS[[#This Row],[PRODUCCION
PARTIDAS
ORIGINALES
ACTUAL]]+CATEGORIAS[[#This Row],[PRODUCCION
ADICIONALES
ACTUAL]]</f>
        <v>0</v>
      </c>
      <c r="P308" s="222">
        <v>0</v>
      </c>
      <c r="Q308" s="222">
        <v>0</v>
      </c>
      <c r="R308" s="141">
        <f>+CATEGORIAS[[#This Row],[PRODUCCION
ANTERIOR]]+CATEGORIAS[[#This Row],[PRODUCCION
ADICIONALES
ANTERIOR]]</f>
        <v>0</v>
      </c>
      <c r="S308" s="135">
        <v>0</v>
      </c>
      <c r="T308" s="135"/>
      <c r="U308" s="135">
        <v>0</v>
      </c>
      <c r="V308" s="262">
        <f>SUM(CATEGORIAS[[#This Row],[COSTO
ACUMULADO  AX]:[PROVISIONES]])</f>
        <v>0</v>
      </c>
      <c r="W308" s="264">
        <v>0</v>
      </c>
      <c r="X308" s="222"/>
      <c r="Y308" s="222">
        <v>0</v>
      </c>
      <c r="Z308" s="263">
        <f>SUM(CATEGORIAS[[#This Row],[COSTO ACUMULADO
ANTERIOR]:[PROVISIONES
ANTERIOR]])</f>
        <v>0</v>
      </c>
      <c r="AA308" s="338">
        <f>ABS(+CATEGORIAS[[#This Row],[PRESUPUESTO
FINAL
PROYECTADO]]-CATEGORIAS[[#This Row],[TOTAL PRODUCCION
ACTUAL]])</f>
        <v>0</v>
      </c>
      <c r="AB308" s="222"/>
      <c r="AC308" s="134"/>
      <c r="AD308" s="134">
        <v>0</v>
      </c>
      <c r="AE308" s="221">
        <f>SUM(CATEGORIAS[[#This Row],[INVENTARIO]:[PROYECCION
DE COSTO
DEL SALDO]])</f>
        <v>0</v>
      </c>
      <c r="AF308" s="134"/>
      <c r="AG308" s="134">
        <f>+CATEGORIAS[[#This Row],[PRESUPUESTO
FINAL
PROYECTADO]]-CATEGORIAS[[#This Row],[COSTO REAL]]-CATEGORIAS[[#This Row],[PROYECCION
TOTAL DE COSTO]]</f>
        <v>0</v>
      </c>
    </row>
    <row r="309" spans="1:33" x14ac:dyDescent="0.25">
      <c r="A309" s="245"/>
      <c r="B309" s="245"/>
      <c r="C309" s="245"/>
      <c r="D309" s="323" t="s">
        <v>2045</v>
      </c>
      <c r="E309" s="244" t="s">
        <v>980</v>
      </c>
      <c r="F309" s="246" t="s">
        <v>376</v>
      </c>
      <c r="G309" s="279">
        <v>0</v>
      </c>
      <c r="H309" s="279">
        <v>0</v>
      </c>
      <c r="I309" s="132">
        <v>0</v>
      </c>
      <c r="J309" s="132">
        <v>0</v>
      </c>
      <c r="K309" s="132">
        <v>0</v>
      </c>
      <c r="L309" s="144">
        <f>CATEGORIAS[[#This Row],[ADICIONALES]]+CATEGORIAS[[#This Row],[POM]]+CATEGORIAS[[#This Row],[REAJUSTE 
PAGADO]]+CATEGORIAS[[#This Row],[REAJUSTE
PROYECTADO]]</f>
        <v>0</v>
      </c>
      <c r="M309" s="133">
        <v>0</v>
      </c>
      <c r="N309" s="222">
        <v>0</v>
      </c>
      <c r="O309" s="142">
        <f>+CATEGORIAS[[#This Row],[PRODUCCION
PARTIDAS
ORIGINALES
ACTUAL]]+CATEGORIAS[[#This Row],[PRODUCCION
ADICIONALES
ACTUAL]]</f>
        <v>0</v>
      </c>
      <c r="P309" s="222">
        <v>0</v>
      </c>
      <c r="Q309" s="134">
        <v>0</v>
      </c>
      <c r="R309" s="141">
        <f>+CATEGORIAS[[#This Row],[PRODUCCION
ANTERIOR]]+CATEGORIAS[[#This Row],[PRODUCCION
ADICIONALES
ANTERIOR]]</f>
        <v>0</v>
      </c>
      <c r="S309" s="135">
        <v>0</v>
      </c>
      <c r="T309" s="135"/>
      <c r="U309" s="135">
        <v>0</v>
      </c>
      <c r="V309" s="262">
        <f>SUM(CATEGORIAS[[#This Row],[COSTO
ACUMULADO  AX]:[PROVISIONES]])</f>
        <v>0</v>
      </c>
      <c r="W309" s="264">
        <v>0</v>
      </c>
      <c r="X309" s="222"/>
      <c r="Y309" s="222">
        <v>0</v>
      </c>
      <c r="Z309" s="263">
        <f>SUM(CATEGORIAS[[#This Row],[COSTO ACUMULADO
ANTERIOR]:[PROVISIONES
ANTERIOR]])</f>
        <v>0</v>
      </c>
      <c r="AA309" s="338">
        <f>ABS(+CATEGORIAS[[#This Row],[PRESUPUESTO
FINAL
PROYECTADO]]-CATEGORIAS[[#This Row],[TOTAL PRODUCCION
ACTUAL]])</f>
        <v>0</v>
      </c>
      <c r="AB309" s="222"/>
      <c r="AC309" s="134"/>
      <c r="AD309" s="134">
        <v>0</v>
      </c>
      <c r="AE309" s="221">
        <f>SUM(CATEGORIAS[[#This Row],[INVENTARIO]:[PROYECCION
DE COSTO
DEL SALDO]])</f>
        <v>0</v>
      </c>
      <c r="AF309" s="134"/>
      <c r="AG309" s="134">
        <f>+CATEGORIAS[[#This Row],[PRESUPUESTO
FINAL
PROYECTADO]]-CATEGORIAS[[#This Row],[COSTO REAL]]-CATEGORIAS[[#This Row],[PROYECCION
TOTAL DE COSTO]]</f>
        <v>0</v>
      </c>
    </row>
    <row r="310" spans="1:33" x14ac:dyDescent="0.25">
      <c r="A310" s="245" t="s">
        <v>103</v>
      </c>
      <c r="B310" s="245" t="s">
        <v>218</v>
      </c>
      <c r="C310" s="245" t="s">
        <v>2442</v>
      </c>
      <c r="D310" s="323" t="s">
        <v>2046</v>
      </c>
      <c r="E310" s="244" t="s">
        <v>982</v>
      </c>
      <c r="F310" s="246" t="s">
        <v>376</v>
      </c>
      <c r="G310" s="279">
        <v>18977373.126400001</v>
      </c>
      <c r="H310" s="279">
        <v>10963075.740135331</v>
      </c>
      <c r="I310" s="132">
        <v>30110582.936541948</v>
      </c>
      <c r="J310" s="132">
        <v>386540.01442837634</v>
      </c>
      <c r="K310" s="132">
        <v>0</v>
      </c>
      <c r="L310" s="144">
        <f>CATEGORIAS[[#This Row],[ADICIONALES]]+CATEGORIAS[[#This Row],[POM]]+CATEGORIAS[[#This Row],[REAJUSTE 
PAGADO]]+CATEGORIAS[[#This Row],[REAJUSTE
PROYECTADO]]</f>
        <v>41460198.691105656</v>
      </c>
      <c r="M310" s="133">
        <v>11347463.696095336</v>
      </c>
      <c r="N310" s="222">
        <v>30112734.99501032</v>
      </c>
      <c r="O310" s="142">
        <f>+CATEGORIAS[[#This Row],[PRODUCCION
PARTIDAS
ORIGINALES
ACTUAL]]+CATEGORIAS[[#This Row],[PRODUCCION
ADICIONALES
ACTUAL]]</f>
        <v>41460198.691105656</v>
      </c>
      <c r="P310" s="222">
        <v>11347463.696095336</v>
      </c>
      <c r="Q310" s="222">
        <v>10110582.936541945</v>
      </c>
      <c r="R310" s="141">
        <f>+CATEGORIAS[[#This Row],[PRODUCCION
ANTERIOR]]+CATEGORIAS[[#This Row],[PRODUCCION
ADICIONALES
ANTERIOR]]</f>
        <v>21458046.632637281</v>
      </c>
      <c r="S310" s="135">
        <v>49760135</v>
      </c>
      <c r="T310" s="135"/>
      <c r="U310" s="135">
        <v>0</v>
      </c>
      <c r="V310" s="262">
        <f>SUM(CATEGORIAS[[#This Row],[COSTO
ACUMULADO  AX]:[PROVISIONES]])</f>
        <v>49760135</v>
      </c>
      <c r="W310" s="264">
        <v>35403339</v>
      </c>
      <c r="X310" s="222"/>
      <c r="Y310" s="222">
        <v>11021256</v>
      </c>
      <c r="Z310" s="263">
        <f>SUM(CATEGORIAS[[#This Row],[COSTO ACUMULADO
ANTERIOR]:[PROVISIONES
ANTERIOR]])</f>
        <v>46424595</v>
      </c>
      <c r="AA310" s="338">
        <f>ABS(+CATEGORIAS[[#This Row],[PRESUPUESTO
FINAL
PROYECTADO]]-CATEGORIAS[[#This Row],[TOTAL PRODUCCION
ACTUAL]])</f>
        <v>0</v>
      </c>
      <c r="AB310" s="222"/>
      <c r="AC310" s="134"/>
      <c r="AD310" s="134">
        <v>0</v>
      </c>
      <c r="AE310" s="221">
        <f>SUM(CATEGORIAS[[#This Row],[INVENTARIO]:[PROYECCION
DE COSTO
DEL SALDO]])</f>
        <v>0</v>
      </c>
      <c r="AF310" s="134"/>
      <c r="AG310" s="134">
        <f>+CATEGORIAS[[#This Row],[PRESUPUESTO
FINAL
PROYECTADO]]-CATEGORIAS[[#This Row],[COSTO REAL]]-CATEGORIAS[[#This Row],[PROYECCION
TOTAL DE COSTO]]</f>
        <v>-8299936.3088943437</v>
      </c>
    </row>
    <row r="311" spans="1:33" x14ac:dyDescent="0.25">
      <c r="A311" s="245"/>
      <c r="B311" s="245"/>
      <c r="C311" s="245"/>
      <c r="D311" s="323" t="s">
        <v>2047</v>
      </c>
      <c r="E311" s="244" t="s">
        <v>984</v>
      </c>
      <c r="F311" s="246" t="s">
        <v>376</v>
      </c>
      <c r="G311" s="279">
        <v>0</v>
      </c>
      <c r="H311" s="279">
        <v>0</v>
      </c>
      <c r="I311" s="132">
        <v>0</v>
      </c>
      <c r="J311" s="132">
        <v>0</v>
      </c>
      <c r="K311" s="132">
        <v>0</v>
      </c>
      <c r="L311" s="144">
        <f>CATEGORIAS[[#This Row],[ADICIONALES]]+CATEGORIAS[[#This Row],[POM]]+CATEGORIAS[[#This Row],[REAJUSTE 
PAGADO]]+CATEGORIAS[[#This Row],[REAJUSTE
PROYECTADO]]</f>
        <v>0</v>
      </c>
      <c r="M311" s="133">
        <v>0</v>
      </c>
      <c r="N311" s="222">
        <v>0</v>
      </c>
      <c r="O311" s="142">
        <f>+CATEGORIAS[[#This Row],[PRODUCCION
PARTIDAS
ORIGINALES
ACTUAL]]+CATEGORIAS[[#This Row],[PRODUCCION
ADICIONALES
ACTUAL]]</f>
        <v>0</v>
      </c>
      <c r="P311" s="222">
        <v>0</v>
      </c>
      <c r="Q311" s="134">
        <v>0</v>
      </c>
      <c r="R311" s="141">
        <f>+CATEGORIAS[[#This Row],[PRODUCCION
ANTERIOR]]+CATEGORIAS[[#This Row],[PRODUCCION
ADICIONALES
ANTERIOR]]</f>
        <v>0</v>
      </c>
      <c r="S311" s="135">
        <v>0</v>
      </c>
      <c r="T311" s="135"/>
      <c r="U311" s="135">
        <v>0</v>
      </c>
      <c r="V311" s="262">
        <f>SUM(CATEGORIAS[[#This Row],[COSTO
ACUMULADO  AX]:[PROVISIONES]])</f>
        <v>0</v>
      </c>
      <c r="W311" s="264">
        <v>0</v>
      </c>
      <c r="X311" s="222"/>
      <c r="Y311" s="222">
        <v>0</v>
      </c>
      <c r="Z311" s="263">
        <f>SUM(CATEGORIAS[[#This Row],[COSTO ACUMULADO
ANTERIOR]:[PROVISIONES
ANTERIOR]])</f>
        <v>0</v>
      </c>
      <c r="AA311" s="338">
        <f>ABS(+CATEGORIAS[[#This Row],[PRESUPUESTO
FINAL
PROYECTADO]]-CATEGORIAS[[#This Row],[TOTAL PRODUCCION
ACTUAL]])</f>
        <v>0</v>
      </c>
      <c r="AB311" s="222"/>
      <c r="AC311" s="134"/>
      <c r="AD311" s="134">
        <v>0</v>
      </c>
      <c r="AE311" s="221">
        <f>SUM(CATEGORIAS[[#This Row],[INVENTARIO]:[PROYECCION
DE COSTO
DEL SALDO]])</f>
        <v>0</v>
      </c>
      <c r="AF311" s="134"/>
      <c r="AG311" s="134">
        <f>+CATEGORIAS[[#This Row],[PRESUPUESTO
FINAL
PROYECTADO]]-CATEGORIAS[[#This Row],[COSTO REAL]]-CATEGORIAS[[#This Row],[PROYECCION
TOTAL DE COSTO]]</f>
        <v>0</v>
      </c>
    </row>
    <row r="312" spans="1:33" x14ac:dyDescent="0.25">
      <c r="A312" s="245"/>
      <c r="B312" s="245"/>
      <c r="C312" s="245"/>
      <c r="D312" s="323" t="s">
        <v>2048</v>
      </c>
      <c r="E312" s="244" t="s">
        <v>986</v>
      </c>
      <c r="F312" s="246" t="s">
        <v>376</v>
      </c>
      <c r="G312" s="279">
        <v>0</v>
      </c>
      <c r="H312" s="279">
        <v>0</v>
      </c>
      <c r="I312" s="132">
        <v>0</v>
      </c>
      <c r="J312" s="132">
        <v>0</v>
      </c>
      <c r="K312" s="132">
        <v>0</v>
      </c>
      <c r="L312" s="144">
        <f>CATEGORIAS[[#This Row],[ADICIONALES]]+CATEGORIAS[[#This Row],[POM]]+CATEGORIAS[[#This Row],[REAJUSTE 
PAGADO]]+CATEGORIAS[[#This Row],[REAJUSTE
PROYECTADO]]</f>
        <v>0</v>
      </c>
      <c r="M312" s="133">
        <v>0</v>
      </c>
      <c r="N312" s="222">
        <v>0</v>
      </c>
      <c r="O312" s="142">
        <f>+CATEGORIAS[[#This Row],[PRODUCCION
PARTIDAS
ORIGINALES
ACTUAL]]+CATEGORIAS[[#This Row],[PRODUCCION
ADICIONALES
ACTUAL]]</f>
        <v>0</v>
      </c>
      <c r="P312" s="222">
        <v>0</v>
      </c>
      <c r="Q312" s="222">
        <v>0</v>
      </c>
      <c r="R312" s="141">
        <f>+CATEGORIAS[[#This Row],[PRODUCCION
ANTERIOR]]+CATEGORIAS[[#This Row],[PRODUCCION
ADICIONALES
ANTERIOR]]</f>
        <v>0</v>
      </c>
      <c r="S312" s="135">
        <v>0</v>
      </c>
      <c r="T312" s="135"/>
      <c r="U312" s="135">
        <v>0</v>
      </c>
      <c r="V312" s="262">
        <f>SUM(CATEGORIAS[[#This Row],[COSTO
ACUMULADO  AX]:[PROVISIONES]])</f>
        <v>0</v>
      </c>
      <c r="W312" s="264">
        <v>0</v>
      </c>
      <c r="X312" s="222"/>
      <c r="Y312" s="222">
        <v>0</v>
      </c>
      <c r="Z312" s="263">
        <f>SUM(CATEGORIAS[[#This Row],[COSTO ACUMULADO
ANTERIOR]:[PROVISIONES
ANTERIOR]])</f>
        <v>0</v>
      </c>
      <c r="AA312" s="338">
        <f>ABS(+CATEGORIAS[[#This Row],[PRESUPUESTO
FINAL
PROYECTADO]]-CATEGORIAS[[#This Row],[TOTAL PRODUCCION
ACTUAL]])</f>
        <v>0</v>
      </c>
      <c r="AB312" s="222"/>
      <c r="AC312" s="134"/>
      <c r="AD312" s="134">
        <v>0</v>
      </c>
      <c r="AE312" s="221">
        <f>SUM(CATEGORIAS[[#This Row],[INVENTARIO]:[PROYECCION
DE COSTO
DEL SALDO]])</f>
        <v>0</v>
      </c>
      <c r="AF312" s="134"/>
      <c r="AG312" s="134">
        <f>+CATEGORIAS[[#This Row],[PRESUPUESTO
FINAL
PROYECTADO]]-CATEGORIAS[[#This Row],[COSTO REAL]]-CATEGORIAS[[#This Row],[PROYECCION
TOTAL DE COSTO]]</f>
        <v>0</v>
      </c>
    </row>
    <row r="313" spans="1:33" x14ac:dyDescent="0.25">
      <c r="A313" s="245"/>
      <c r="B313" s="245"/>
      <c r="C313" s="245"/>
      <c r="D313" s="323" t="s">
        <v>2049</v>
      </c>
      <c r="E313" s="244" t="s">
        <v>986</v>
      </c>
      <c r="F313" s="246" t="s">
        <v>376</v>
      </c>
      <c r="G313" s="279">
        <v>0</v>
      </c>
      <c r="H313" s="279">
        <v>0</v>
      </c>
      <c r="I313" s="132">
        <v>0</v>
      </c>
      <c r="J313" s="132">
        <v>0</v>
      </c>
      <c r="K313" s="132">
        <v>0</v>
      </c>
      <c r="L313" s="144">
        <f>CATEGORIAS[[#This Row],[ADICIONALES]]+CATEGORIAS[[#This Row],[POM]]+CATEGORIAS[[#This Row],[REAJUSTE 
PAGADO]]+CATEGORIAS[[#This Row],[REAJUSTE
PROYECTADO]]</f>
        <v>0</v>
      </c>
      <c r="M313" s="133">
        <v>0</v>
      </c>
      <c r="N313" s="222">
        <v>0</v>
      </c>
      <c r="O313" s="142">
        <f>+CATEGORIAS[[#This Row],[PRODUCCION
PARTIDAS
ORIGINALES
ACTUAL]]+CATEGORIAS[[#This Row],[PRODUCCION
ADICIONALES
ACTUAL]]</f>
        <v>0</v>
      </c>
      <c r="P313" s="222">
        <v>0</v>
      </c>
      <c r="Q313" s="134">
        <v>0</v>
      </c>
      <c r="R313" s="141">
        <f>+CATEGORIAS[[#This Row],[PRODUCCION
ANTERIOR]]+CATEGORIAS[[#This Row],[PRODUCCION
ADICIONALES
ANTERIOR]]</f>
        <v>0</v>
      </c>
      <c r="S313" s="135">
        <v>0</v>
      </c>
      <c r="T313" s="135"/>
      <c r="U313" s="135">
        <v>0</v>
      </c>
      <c r="V313" s="262">
        <f>SUM(CATEGORIAS[[#This Row],[COSTO
ACUMULADO  AX]:[PROVISIONES]])</f>
        <v>0</v>
      </c>
      <c r="W313" s="264">
        <v>0</v>
      </c>
      <c r="X313" s="222"/>
      <c r="Y313" s="222">
        <v>0</v>
      </c>
      <c r="Z313" s="263">
        <f>SUM(CATEGORIAS[[#This Row],[COSTO ACUMULADO
ANTERIOR]:[PROVISIONES
ANTERIOR]])</f>
        <v>0</v>
      </c>
      <c r="AA313" s="338">
        <f>ABS(+CATEGORIAS[[#This Row],[PRESUPUESTO
FINAL
PROYECTADO]]-CATEGORIAS[[#This Row],[TOTAL PRODUCCION
ACTUAL]])</f>
        <v>0</v>
      </c>
      <c r="AB313" s="222"/>
      <c r="AC313" s="134"/>
      <c r="AD313" s="134">
        <v>0</v>
      </c>
      <c r="AE313" s="221">
        <f>SUM(CATEGORIAS[[#This Row],[INVENTARIO]:[PROYECCION
DE COSTO
DEL SALDO]])</f>
        <v>0</v>
      </c>
      <c r="AF313" s="134"/>
      <c r="AG313" s="134">
        <f>+CATEGORIAS[[#This Row],[PRESUPUESTO
FINAL
PROYECTADO]]-CATEGORIAS[[#This Row],[COSTO REAL]]-CATEGORIAS[[#This Row],[PROYECCION
TOTAL DE COSTO]]</f>
        <v>0</v>
      </c>
    </row>
    <row r="314" spans="1:33" x14ac:dyDescent="0.25">
      <c r="A314" s="245"/>
      <c r="B314" s="245"/>
      <c r="C314" s="245"/>
      <c r="D314" s="323" t="s">
        <v>2050</v>
      </c>
      <c r="E314" s="244" t="s">
        <v>989</v>
      </c>
      <c r="F314" s="246" t="s">
        <v>376</v>
      </c>
      <c r="G314" s="279">
        <v>0</v>
      </c>
      <c r="H314" s="279">
        <v>0</v>
      </c>
      <c r="I314" s="132">
        <v>0</v>
      </c>
      <c r="J314" s="132">
        <v>0</v>
      </c>
      <c r="K314" s="132">
        <v>0</v>
      </c>
      <c r="L314" s="144">
        <f>CATEGORIAS[[#This Row],[ADICIONALES]]+CATEGORIAS[[#This Row],[POM]]+CATEGORIAS[[#This Row],[REAJUSTE 
PAGADO]]+CATEGORIAS[[#This Row],[REAJUSTE
PROYECTADO]]</f>
        <v>0</v>
      </c>
      <c r="M314" s="133">
        <v>0</v>
      </c>
      <c r="N314" s="222">
        <v>0</v>
      </c>
      <c r="O314" s="142">
        <f>+CATEGORIAS[[#This Row],[PRODUCCION
PARTIDAS
ORIGINALES
ACTUAL]]+CATEGORIAS[[#This Row],[PRODUCCION
ADICIONALES
ACTUAL]]</f>
        <v>0</v>
      </c>
      <c r="P314" s="222">
        <v>0</v>
      </c>
      <c r="Q314" s="222">
        <v>0</v>
      </c>
      <c r="R314" s="141">
        <f>+CATEGORIAS[[#This Row],[PRODUCCION
ANTERIOR]]+CATEGORIAS[[#This Row],[PRODUCCION
ADICIONALES
ANTERIOR]]</f>
        <v>0</v>
      </c>
      <c r="S314" s="135">
        <v>0</v>
      </c>
      <c r="T314" s="135"/>
      <c r="U314" s="135">
        <v>0</v>
      </c>
      <c r="V314" s="262">
        <f>SUM(CATEGORIAS[[#This Row],[COSTO
ACUMULADO  AX]:[PROVISIONES]])</f>
        <v>0</v>
      </c>
      <c r="W314" s="264">
        <v>0</v>
      </c>
      <c r="X314" s="222"/>
      <c r="Y314" s="222">
        <v>0</v>
      </c>
      <c r="Z314" s="263">
        <f>SUM(CATEGORIAS[[#This Row],[COSTO ACUMULADO
ANTERIOR]:[PROVISIONES
ANTERIOR]])</f>
        <v>0</v>
      </c>
      <c r="AA314" s="338">
        <f>ABS(+CATEGORIAS[[#This Row],[PRESUPUESTO
FINAL
PROYECTADO]]-CATEGORIAS[[#This Row],[TOTAL PRODUCCION
ACTUAL]])</f>
        <v>0</v>
      </c>
      <c r="AB314" s="222"/>
      <c r="AC314" s="134"/>
      <c r="AD314" s="134">
        <v>0</v>
      </c>
      <c r="AE314" s="221">
        <f>SUM(CATEGORIAS[[#This Row],[INVENTARIO]:[PROYECCION
DE COSTO
DEL SALDO]])</f>
        <v>0</v>
      </c>
      <c r="AF314" s="134"/>
      <c r="AG314" s="134">
        <f>+CATEGORIAS[[#This Row],[PRESUPUESTO
FINAL
PROYECTADO]]-CATEGORIAS[[#This Row],[COSTO REAL]]-CATEGORIAS[[#This Row],[PROYECCION
TOTAL DE COSTO]]</f>
        <v>0</v>
      </c>
    </row>
    <row r="315" spans="1:33" x14ac:dyDescent="0.25">
      <c r="A315" s="245"/>
      <c r="B315" s="245"/>
      <c r="C315" s="245"/>
      <c r="D315" s="323" t="s">
        <v>2051</v>
      </c>
      <c r="E315" s="244" t="s">
        <v>991</v>
      </c>
      <c r="F315" s="246" t="s">
        <v>376</v>
      </c>
      <c r="G315" s="279">
        <v>0</v>
      </c>
      <c r="H315" s="279">
        <v>0</v>
      </c>
      <c r="I315" s="132">
        <v>0</v>
      </c>
      <c r="J315" s="132">
        <v>0</v>
      </c>
      <c r="K315" s="132">
        <v>0</v>
      </c>
      <c r="L315" s="144">
        <f>CATEGORIAS[[#This Row],[ADICIONALES]]+CATEGORIAS[[#This Row],[POM]]+CATEGORIAS[[#This Row],[REAJUSTE 
PAGADO]]+CATEGORIAS[[#This Row],[REAJUSTE
PROYECTADO]]</f>
        <v>0</v>
      </c>
      <c r="M315" s="133">
        <v>0</v>
      </c>
      <c r="N315" s="222">
        <v>0</v>
      </c>
      <c r="O315" s="142">
        <f>+CATEGORIAS[[#This Row],[PRODUCCION
PARTIDAS
ORIGINALES
ACTUAL]]+CATEGORIAS[[#This Row],[PRODUCCION
ADICIONALES
ACTUAL]]</f>
        <v>0</v>
      </c>
      <c r="P315" s="222">
        <v>0</v>
      </c>
      <c r="Q315" s="222">
        <v>0</v>
      </c>
      <c r="R315" s="141">
        <f>+CATEGORIAS[[#This Row],[PRODUCCION
ANTERIOR]]+CATEGORIAS[[#This Row],[PRODUCCION
ADICIONALES
ANTERIOR]]</f>
        <v>0</v>
      </c>
      <c r="S315" s="135">
        <v>0</v>
      </c>
      <c r="T315" s="135"/>
      <c r="U315" s="135">
        <v>0</v>
      </c>
      <c r="V315" s="262">
        <f>SUM(CATEGORIAS[[#This Row],[COSTO
ACUMULADO  AX]:[PROVISIONES]])</f>
        <v>0</v>
      </c>
      <c r="W315" s="264">
        <v>0</v>
      </c>
      <c r="X315" s="222"/>
      <c r="Y315" s="222">
        <v>0</v>
      </c>
      <c r="Z315" s="263">
        <f>SUM(CATEGORIAS[[#This Row],[COSTO ACUMULADO
ANTERIOR]:[PROVISIONES
ANTERIOR]])</f>
        <v>0</v>
      </c>
      <c r="AA315" s="338">
        <f>ABS(+CATEGORIAS[[#This Row],[PRESUPUESTO
FINAL
PROYECTADO]]-CATEGORIAS[[#This Row],[TOTAL PRODUCCION
ACTUAL]])</f>
        <v>0</v>
      </c>
      <c r="AB315" s="222"/>
      <c r="AC315" s="134"/>
      <c r="AD315" s="134">
        <v>0</v>
      </c>
      <c r="AE315" s="221">
        <f>SUM(CATEGORIAS[[#This Row],[INVENTARIO]:[PROYECCION
DE COSTO
DEL SALDO]])</f>
        <v>0</v>
      </c>
      <c r="AF315" s="134"/>
      <c r="AG315" s="134">
        <f>+CATEGORIAS[[#This Row],[PRESUPUESTO
FINAL
PROYECTADO]]-CATEGORIAS[[#This Row],[COSTO REAL]]-CATEGORIAS[[#This Row],[PROYECCION
TOTAL DE COSTO]]</f>
        <v>0</v>
      </c>
    </row>
    <row r="316" spans="1:33" x14ac:dyDescent="0.25">
      <c r="A316" s="245" t="s">
        <v>100</v>
      </c>
      <c r="B316" s="245" t="s">
        <v>42</v>
      </c>
      <c r="C316" s="245" t="s">
        <v>2443</v>
      </c>
      <c r="D316" s="323" t="s">
        <v>2052</v>
      </c>
      <c r="E316" s="244" t="s">
        <v>993</v>
      </c>
      <c r="F316" s="246" t="s">
        <v>376</v>
      </c>
      <c r="G316" s="279">
        <v>232072407.84</v>
      </c>
      <c r="H316" s="279">
        <v>232072407.84</v>
      </c>
      <c r="I316" s="132">
        <v>94571861.724674284</v>
      </c>
      <c r="J316" s="132">
        <v>8182491.3009124463</v>
      </c>
      <c r="K316" s="132">
        <v>0</v>
      </c>
      <c r="L316" s="144">
        <f>CATEGORIAS[[#This Row],[ADICIONALES]]+CATEGORIAS[[#This Row],[POM]]+CATEGORIAS[[#This Row],[REAJUSTE 
PAGADO]]+CATEGORIAS[[#This Row],[REAJUSTE
PROYECTADO]]</f>
        <v>334826760.8655867</v>
      </c>
      <c r="M316" s="133">
        <v>240209343.18541187</v>
      </c>
      <c r="N316" s="222">
        <v>94617417.680174828</v>
      </c>
      <c r="O316" s="142">
        <f>+CATEGORIAS[[#This Row],[PRODUCCION
PARTIDAS
ORIGINALES
ACTUAL]]+CATEGORIAS[[#This Row],[PRODUCCION
ADICIONALES
ACTUAL]]</f>
        <v>334826760.8655867</v>
      </c>
      <c r="P316" s="222">
        <v>240209343.18541187</v>
      </c>
      <c r="Q316" s="134">
        <v>94571861.724674284</v>
      </c>
      <c r="R316" s="141">
        <f>+CATEGORIAS[[#This Row],[PRODUCCION
ANTERIOR]]+CATEGORIAS[[#This Row],[PRODUCCION
ADICIONALES
ANTERIOR]]</f>
        <v>334781204.91008615</v>
      </c>
      <c r="S316" s="135">
        <v>322034741.47046244</v>
      </c>
      <c r="T316" s="135"/>
      <c r="U316" s="135">
        <v>11999999</v>
      </c>
      <c r="V316" s="262">
        <f>SUM(CATEGORIAS[[#This Row],[COSTO
ACUMULADO  AX]:[PROVISIONES]])</f>
        <v>334034740.47046244</v>
      </c>
      <c r="W316" s="264">
        <v>313855515.47046244</v>
      </c>
      <c r="X316" s="222"/>
      <c r="Y316" s="222">
        <v>8179225</v>
      </c>
      <c r="Z316" s="263">
        <f>SUM(CATEGORIAS[[#This Row],[COSTO ACUMULADO
ANTERIOR]:[PROVISIONES
ANTERIOR]])</f>
        <v>322034740.47046244</v>
      </c>
      <c r="AA316" s="338">
        <f>ABS(+CATEGORIAS[[#This Row],[PRESUPUESTO
FINAL
PROYECTADO]]-CATEGORIAS[[#This Row],[TOTAL PRODUCCION
ACTUAL]])</f>
        <v>0</v>
      </c>
      <c r="AB316" s="222"/>
      <c r="AC316" s="134"/>
      <c r="AD316" s="134">
        <v>0</v>
      </c>
      <c r="AE316" s="221">
        <f>SUM(CATEGORIAS[[#This Row],[INVENTARIO]:[PROYECCION
DE COSTO
DEL SALDO]])</f>
        <v>0</v>
      </c>
      <c r="AF316" s="134"/>
      <c r="AG316" s="134">
        <f>+CATEGORIAS[[#This Row],[PRESUPUESTO
FINAL
PROYECTADO]]-CATEGORIAS[[#This Row],[COSTO REAL]]-CATEGORIAS[[#This Row],[PROYECCION
TOTAL DE COSTO]]</f>
        <v>792020.39512425661</v>
      </c>
    </row>
    <row r="317" spans="1:33" x14ac:dyDescent="0.25">
      <c r="A317" s="245"/>
      <c r="B317" s="245"/>
      <c r="C317" s="245"/>
      <c r="D317" s="323" t="s">
        <v>2053</v>
      </c>
      <c r="E317" s="244" t="s">
        <v>995</v>
      </c>
      <c r="F317" s="246" t="s">
        <v>376</v>
      </c>
      <c r="G317" s="279">
        <v>0</v>
      </c>
      <c r="H317" s="279">
        <v>0</v>
      </c>
      <c r="I317" s="132">
        <v>0</v>
      </c>
      <c r="J317" s="132">
        <v>0</v>
      </c>
      <c r="K317" s="132">
        <v>0</v>
      </c>
      <c r="L317" s="144">
        <f>CATEGORIAS[[#This Row],[ADICIONALES]]+CATEGORIAS[[#This Row],[POM]]+CATEGORIAS[[#This Row],[REAJUSTE 
PAGADO]]+CATEGORIAS[[#This Row],[REAJUSTE
PROYECTADO]]</f>
        <v>0</v>
      </c>
      <c r="M317" s="133">
        <v>0</v>
      </c>
      <c r="N317" s="222">
        <v>0</v>
      </c>
      <c r="O317" s="142">
        <f>+CATEGORIAS[[#This Row],[PRODUCCION
PARTIDAS
ORIGINALES
ACTUAL]]+CATEGORIAS[[#This Row],[PRODUCCION
ADICIONALES
ACTUAL]]</f>
        <v>0</v>
      </c>
      <c r="P317" s="222">
        <v>0</v>
      </c>
      <c r="Q317" s="222">
        <v>0</v>
      </c>
      <c r="R317" s="141">
        <f>+CATEGORIAS[[#This Row],[PRODUCCION
ANTERIOR]]+CATEGORIAS[[#This Row],[PRODUCCION
ADICIONALES
ANTERIOR]]</f>
        <v>0</v>
      </c>
      <c r="S317" s="135">
        <v>0</v>
      </c>
      <c r="T317" s="135"/>
      <c r="U317" s="135">
        <v>0</v>
      </c>
      <c r="V317" s="262">
        <f>SUM(CATEGORIAS[[#This Row],[COSTO
ACUMULADO  AX]:[PROVISIONES]])</f>
        <v>0</v>
      </c>
      <c r="W317" s="264">
        <v>0</v>
      </c>
      <c r="X317" s="222"/>
      <c r="Y317" s="222">
        <v>0</v>
      </c>
      <c r="Z317" s="263">
        <f>SUM(CATEGORIAS[[#This Row],[COSTO ACUMULADO
ANTERIOR]:[PROVISIONES
ANTERIOR]])</f>
        <v>0</v>
      </c>
      <c r="AA317" s="338">
        <f>ABS(+CATEGORIAS[[#This Row],[PRESUPUESTO
FINAL
PROYECTADO]]-CATEGORIAS[[#This Row],[TOTAL PRODUCCION
ACTUAL]])</f>
        <v>0</v>
      </c>
      <c r="AB317" s="222"/>
      <c r="AC317" s="134"/>
      <c r="AD317" s="134">
        <v>0</v>
      </c>
      <c r="AE317" s="221">
        <f>SUM(CATEGORIAS[[#This Row],[INVENTARIO]:[PROYECCION
DE COSTO
DEL SALDO]])</f>
        <v>0</v>
      </c>
      <c r="AF317" s="134"/>
      <c r="AG317" s="134">
        <f>+CATEGORIAS[[#This Row],[PRESUPUESTO
FINAL
PROYECTADO]]-CATEGORIAS[[#This Row],[COSTO REAL]]-CATEGORIAS[[#This Row],[PROYECCION
TOTAL DE COSTO]]</f>
        <v>0</v>
      </c>
    </row>
    <row r="318" spans="1:33" x14ac:dyDescent="0.25">
      <c r="A318" s="245"/>
      <c r="B318" s="245"/>
      <c r="C318" s="245"/>
      <c r="D318" s="323" t="s">
        <v>2054</v>
      </c>
      <c r="E318" s="244" t="s">
        <v>997</v>
      </c>
      <c r="F318" s="246" t="s">
        <v>376</v>
      </c>
      <c r="G318" s="279">
        <v>0</v>
      </c>
      <c r="H318" s="279">
        <v>0</v>
      </c>
      <c r="I318" s="132">
        <v>0</v>
      </c>
      <c r="J318" s="132">
        <v>0</v>
      </c>
      <c r="K318" s="132">
        <v>0</v>
      </c>
      <c r="L318" s="144">
        <f>CATEGORIAS[[#This Row],[ADICIONALES]]+CATEGORIAS[[#This Row],[POM]]+CATEGORIAS[[#This Row],[REAJUSTE 
PAGADO]]+CATEGORIAS[[#This Row],[REAJUSTE
PROYECTADO]]</f>
        <v>0</v>
      </c>
      <c r="M318" s="133">
        <v>0</v>
      </c>
      <c r="N318" s="222">
        <v>0</v>
      </c>
      <c r="O318" s="142">
        <f>+CATEGORIAS[[#This Row],[PRODUCCION
PARTIDAS
ORIGINALES
ACTUAL]]+CATEGORIAS[[#This Row],[PRODUCCION
ADICIONALES
ACTUAL]]</f>
        <v>0</v>
      </c>
      <c r="P318" s="222">
        <v>0</v>
      </c>
      <c r="Q318" s="134">
        <v>0</v>
      </c>
      <c r="R318" s="141">
        <f>+CATEGORIAS[[#This Row],[PRODUCCION
ANTERIOR]]+CATEGORIAS[[#This Row],[PRODUCCION
ADICIONALES
ANTERIOR]]</f>
        <v>0</v>
      </c>
      <c r="S318" s="135">
        <v>0</v>
      </c>
      <c r="T318" s="135"/>
      <c r="U318" s="135">
        <v>0</v>
      </c>
      <c r="V318" s="262">
        <f>SUM(CATEGORIAS[[#This Row],[COSTO
ACUMULADO  AX]:[PROVISIONES]])</f>
        <v>0</v>
      </c>
      <c r="W318" s="264">
        <v>0</v>
      </c>
      <c r="X318" s="222"/>
      <c r="Y318" s="222">
        <v>0</v>
      </c>
      <c r="Z318" s="263">
        <f>SUM(CATEGORIAS[[#This Row],[COSTO ACUMULADO
ANTERIOR]:[PROVISIONES
ANTERIOR]])</f>
        <v>0</v>
      </c>
      <c r="AA318" s="338">
        <f>ABS(+CATEGORIAS[[#This Row],[PRESUPUESTO
FINAL
PROYECTADO]]-CATEGORIAS[[#This Row],[TOTAL PRODUCCION
ACTUAL]])</f>
        <v>0</v>
      </c>
      <c r="AB318" s="222"/>
      <c r="AC318" s="134"/>
      <c r="AD318" s="134">
        <v>0</v>
      </c>
      <c r="AE318" s="221">
        <f>SUM(CATEGORIAS[[#This Row],[INVENTARIO]:[PROYECCION
DE COSTO
DEL SALDO]])</f>
        <v>0</v>
      </c>
      <c r="AF318" s="134"/>
      <c r="AG318" s="134">
        <f>+CATEGORIAS[[#This Row],[PRESUPUESTO
FINAL
PROYECTADO]]-CATEGORIAS[[#This Row],[COSTO REAL]]-CATEGORIAS[[#This Row],[PROYECCION
TOTAL DE COSTO]]</f>
        <v>0</v>
      </c>
    </row>
    <row r="319" spans="1:33" x14ac:dyDescent="0.25">
      <c r="A319" s="245"/>
      <c r="B319" s="245"/>
      <c r="C319" s="245"/>
      <c r="D319" s="323" t="s">
        <v>2055</v>
      </c>
      <c r="E319" s="244" t="s">
        <v>999</v>
      </c>
      <c r="F319" s="246" t="s">
        <v>376</v>
      </c>
      <c r="G319" s="279">
        <v>0</v>
      </c>
      <c r="H319" s="279">
        <v>0</v>
      </c>
      <c r="I319" s="132">
        <v>0</v>
      </c>
      <c r="J319" s="132">
        <v>0</v>
      </c>
      <c r="K319" s="132">
        <v>0</v>
      </c>
      <c r="L319" s="144">
        <f>CATEGORIAS[[#This Row],[ADICIONALES]]+CATEGORIAS[[#This Row],[POM]]+CATEGORIAS[[#This Row],[REAJUSTE 
PAGADO]]+CATEGORIAS[[#This Row],[REAJUSTE
PROYECTADO]]</f>
        <v>0</v>
      </c>
      <c r="M319" s="133">
        <v>0</v>
      </c>
      <c r="N319" s="222">
        <v>0</v>
      </c>
      <c r="O319" s="142">
        <f>+CATEGORIAS[[#This Row],[PRODUCCION
PARTIDAS
ORIGINALES
ACTUAL]]+CATEGORIAS[[#This Row],[PRODUCCION
ADICIONALES
ACTUAL]]</f>
        <v>0</v>
      </c>
      <c r="P319" s="222">
        <v>0</v>
      </c>
      <c r="Q319" s="222">
        <v>0</v>
      </c>
      <c r="R319" s="141">
        <f>+CATEGORIAS[[#This Row],[PRODUCCION
ANTERIOR]]+CATEGORIAS[[#This Row],[PRODUCCION
ADICIONALES
ANTERIOR]]</f>
        <v>0</v>
      </c>
      <c r="S319" s="135">
        <v>0</v>
      </c>
      <c r="T319" s="135"/>
      <c r="U319" s="135">
        <v>0</v>
      </c>
      <c r="V319" s="262">
        <f>SUM(CATEGORIAS[[#This Row],[COSTO
ACUMULADO  AX]:[PROVISIONES]])</f>
        <v>0</v>
      </c>
      <c r="W319" s="264">
        <v>0</v>
      </c>
      <c r="X319" s="222"/>
      <c r="Y319" s="222">
        <v>0</v>
      </c>
      <c r="Z319" s="263">
        <f>SUM(CATEGORIAS[[#This Row],[COSTO ACUMULADO
ANTERIOR]:[PROVISIONES
ANTERIOR]])</f>
        <v>0</v>
      </c>
      <c r="AA319" s="338">
        <f>ABS(+CATEGORIAS[[#This Row],[PRESUPUESTO
FINAL
PROYECTADO]]-CATEGORIAS[[#This Row],[TOTAL PRODUCCION
ACTUAL]])</f>
        <v>0</v>
      </c>
      <c r="AB319" s="222"/>
      <c r="AC319" s="134"/>
      <c r="AD319" s="134">
        <v>0</v>
      </c>
      <c r="AE319" s="221">
        <f>SUM(CATEGORIAS[[#This Row],[INVENTARIO]:[PROYECCION
DE COSTO
DEL SALDO]])</f>
        <v>0</v>
      </c>
      <c r="AF319" s="134"/>
      <c r="AG319" s="134">
        <f>+CATEGORIAS[[#This Row],[PRESUPUESTO
FINAL
PROYECTADO]]-CATEGORIAS[[#This Row],[COSTO REAL]]-CATEGORIAS[[#This Row],[PROYECCION
TOTAL DE COSTO]]</f>
        <v>0</v>
      </c>
    </row>
    <row r="320" spans="1:33" x14ac:dyDescent="0.25">
      <c r="A320" s="245" t="s">
        <v>100</v>
      </c>
      <c r="B320" s="245" t="s">
        <v>42</v>
      </c>
      <c r="C320" s="245" t="s">
        <v>2443</v>
      </c>
      <c r="D320" s="323" t="s">
        <v>2056</v>
      </c>
      <c r="E320" s="244" t="s">
        <v>1001</v>
      </c>
      <c r="F320" s="246" t="s">
        <v>376</v>
      </c>
      <c r="G320" s="279">
        <v>51659953.800000012</v>
      </c>
      <c r="H320" s="279">
        <v>51659953.800000012</v>
      </c>
      <c r="I320" s="132">
        <v>0</v>
      </c>
      <c r="J320" s="132">
        <v>1821444.9813674972</v>
      </c>
      <c r="K320" s="132">
        <v>0</v>
      </c>
      <c r="L320" s="144">
        <f>CATEGORIAS[[#This Row],[ADICIONALES]]+CATEGORIAS[[#This Row],[POM]]+CATEGORIAS[[#This Row],[REAJUSTE 
PAGADO]]+CATEGORIAS[[#This Row],[REAJUSTE
PROYECTADO]]</f>
        <v>53481398.781367511</v>
      </c>
      <c r="M320" s="133">
        <v>53471257.900862239</v>
      </c>
      <c r="N320" s="222">
        <v>10140.880505271256</v>
      </c>
      <c r="O320" s="142">
        <f>+CATEGORIAS[[#This Row],[PRODUCCION
PARTIDAS
ORIGINALES
ACTUAL]]+CATEGORIAS[[#This Row],[PRODUCCION
ADICIONALES
ACTUAL]]</f>
        <v>53481398.781367511</v>
      </c>
      <c r="P320" s="222">
        <v>53471257.900862239</v>
      </c>
      <c r="Q320" s="134">
        <v>0</v>
      </c>
      <c r="R320" s="141">
        <f>+CATEGORIAS[[#This Row],[PRODUCCION
ANTERIOR]]+CATEGORIAS[[#This Row],[PRODUCCION
ADICIONALES
ANTERIOR]]</f>
        <v>53471257.900862239</v>
      </c>
      <c r="S320" s="135">
        <v>47594742.5</v>
      </c>
      <c r="T320" s="135"/>
      <c r="U320" s="135">
        <v>-15381712</v>
      </c>
      <c r="V320" s="262">
        <f>SUM(CATEGORIAS[[#This Row],[COSTO
ACUMULADO  AX]:[PROVISIONES]])</f>
        <v>32213030.5</v>
      </c>
      <c r="W320" s="264">
        <v>47594742.5</v>
      </c>
      <c r="X320" s="222"/>
      <c r="Y320" s="222">
        <v>0</v>
      </c>
      <c r="Z320" s="263">
        <f>SUM(CATEGORIAS[[#This Row],[COSTO ACUMULADO
ANTERIOR]:[PROVISIONES
ANTERIOR]])</f>
        <v>47594742.5</v>
      </c>
      <c r="AA320" s="338">
        <f>ABS(+CATEGORIAS[[#This Row],[PRESUPUESTO
FINAL
PROYECTADO]]-CATEGORIAS[[#This Row],[TOTAL PRODUCCION
ACTUAL]])</f>
        <v>0</v>
      </c>
      <c r="AB320" s="222"/>
      <c r="AC320" s="134"/>
      <c r="AD320" s="134">
        <v>0</v>
      </c>
      <c r="AE320" s="221">
        <f>SUM(CATEGORIAS[[#This Row],[INVENTARIO]:[PROYECCION
DE COSTO
DEL SALDO]])</f>
        <v>0</v>
      </c>
      <c r="AF320" s="134"/>
      <c r="AG320" s="134">
        <f>+CATEGORIAS[[#This Row],[PRESUPUESTO
FINAL
PROYECTADO]]-CATEGORIAS[[#This Row],[COSTO REAL]]-CATEGORIAS[[#This Row],[PROYECCION
TOTAL DE COSTO]]</f>
        <v>21268368.281367511</v>
      </c>
    </row>
    <row r="321" spans="1:33" x14ac:dyDescent="0.25">
      <c r="A321" s="245"/>
      <c r="B321" s="245"/>
      <c r="C321" s="245"/>
      <c r="D321" s="323" t="s">
        <v>2057</v>
      </c>
      <c r="E321" s="244" t="s">
        <v>1003</v>
      </c>
      <c r="F321" s="246" t="s">
        <v>376</v>
      </c>
      <c r="G321" s="279">
        <v>0</v>
      </c>
      <c r="H321" s="279">
        <v>0</v>
      </c>
      <c r="I321" s="132">
        <v>0</v>
      </c>
      <c r="J321" s="132">
        <v>0</v>
      </c>
      <c r="K321" s="132">
        <v>0</v>
      </c>
      <c r="L321" s="144">
        <f>CATEGORIAS[[#This Row],[ADICIONALES]]+CATEGORIAS[[#This Row],[POM]]+CATEGORIAS[[#This Row],[REAJUSTE 
PAGADO]]+CATEGORIAS[[#This Row],[REAJUSTE
PROYECTADO]]</f>
        <v>0</v>
      </c>
      <c r="M321" s="133">
        <v>0</v>
      </c>
      <c r="N321" s="222">
        <v>0</v>
      </c>
      <c r="O321" s="142">
        <f>+CATEGORIAS[[#This Row],[PRODUCCION
PARTIDAS
ORIGINALES
ACTUAL]]+CATEGORIAS[[#This Row],[PRODUCCION
ADICIONALES
ACTUAL]]</f>
        <v>0</v>
      </c>
      <c r="P321" s="222">
        <v>0</v>
      </c>
      <c r="Q321" s="222">
        <v>0</v>
      </c>
      <c r="R321" s="141">
        <f>+CATEGORIAS[[#This Row],[PRODUCCION
ANTERIOR]]+CATEGORIAS[[#This Row],[PRODUCCION
ADICIONALES
ANTERIOR]]</f>
        <v>0</v>
      </c>
      <c r="S321" s="135">
        <v>0</v>
      </c>
      <c r="T321" s="135"/>
      <c r="U321" s="135">
        <v>0</v>
      </c>
      <c r="V321" s="262">
        <f>SUM(CATEGORIAS[[#This Row],[COSTO
ACUMULADO  AX]:[PROVISIONES]])</f>
        <v>0</v>
      </c>
      <c r="W321" s="264">
        <v>0</v>
      </c>
      <c r="X321" s="222"/>
      <c r="Y321" s="222">
        <v>0</v>
      </c>
      <c r="Z321" s="263">
        <f>SUM(CATEGORIAS[[#This Row],[COSTO ACUMULADO
ANTERIOR]:[PROVISIONES
ANTERIOR]])</f>
        <v>0</v>
      </c>
      <c r="AA321" s="338">
        <f>ABS(+CATEGORIAS[[#This Row],[PRESUPUESTO
FINAL
PROYECTADO]]-CATEGORIAS[[#This Row],[TOTAL PRODUCCION
ACTUAL]])</f>
        <v>0</v>
      </c>
      <c r="AB321" s="222"/>
      <c r="AC321" s="134"/>
      <c r="AD321" s="134">
        <v>0</v>
      </c>
      <c r="AE321" s="221">
        <f>SUM(CATEGORIAS[[#This Row],[INVENTARIO]:[PROYECCION
DE COSTO
DEL SALDO]])</f>
        <v>0</v>
      </c>
      <c r="AF321" s="134"/>
      <c r="AG321" s="134">
        <f>+CATEGORIAS[[#This Row],[PRESUPUESTO
FINAL
PROYECTADO]]-CATEGORIAS[[#This Row],[COSTO REAL]]-CATEGORIAS[[#This Row],[PROYECCION
TOTAL DE COSTO]]</f>
        <v>0</v>
      </c>
    </row>
    <row r="322" spans="1:33" x14ac:dyDescent="0.25">
      <c r="A322" s="245"/>
      <c r="B322" s="245"/>
      <c r="C322" s="245"/>
      <c r="D322" s="323" t="s">
        <v>2058</v>
      </c>
      <c r="E322" s="244" t="s">
        <v>1005</v>
      </c>
      <c r="F322" s="246" t="s">
        <v>376</v>
      </c>
      <c r="G322" s="279">
        <v>0</v>
      </c>
      <c r="H322" s="279">
        <v>0</v>
      </c>
      <c r="I322" s="132">
        <v>0</v>
      </c>
      <c r="J322" s="132">
        <v>0</v>
      </c>
      <c r="K322" s="132">
        <v>0</v>
      </c>
      <c r="L322" s="144">
        <f>CATEGORIAS[[#This Row],[ADICIONALES]]+CATEGORIAS[[#This Row],[POM]]+CATEGORIAS[[#This Row],[REAJUSTE 
PAGADO]]+CATEGORIAS[[#This Row],[REAJUSTE
PROYECTADO]]</f>
        <v>0</v>
      </c>
      <c r="M322" s="133">
        <v>0</v>
      </c>
      <c r="N322" s="222">
        <v>0</v>
      </c>
      <c r="O322" s="142">
        <f>+CATEGORIAS[[#This Row],[PRODUCCION
PARTIDAS
ORIGINALES
ACTUAL]]+CATEGORIAS[[#This Row],[PRODUCCION
ADICIONALES
ACTUAL]]</f>
        <v>0</v>
      </c>
      <c r="P322" s="222">
        <v>0</v>
      </c>
      <c r="Q322" s="134">
        <v>0</v>
      </c>
      <c r="R322" s="141">
        <f>+CATEGORIAS[[#This Row],[PRODUCCION
ANTERIOR]]+CATEGORIAS[[#This Row],[PRODUCCION
ADICIONALES
ANTERIOR]]</f>
        <v>0</v>
      </c>
      <c r="S322" s="135">
        <v>0</v>
      </c>
      <c r="T322" s="135"/>
      <c r="U322" s="135">
        <v>0</v>
      </c>
      <c r="V322" s="262">
        <f>SUM(CATEGORIAS[[#This Row],[COSTO
ACUMULADO  AX]:[PROVISIONES]])</f>
        <v>0</v>
      </c>
      <c r="W322" s="264">
        <v>0</v>
      </c>
      <c r="X322" s="222"/>
      <c r="Y322" s="222">
        <v>0</v>
      </c>
      <c r="Z322" s="263">
        <f>SUM(CATEGORIAS[[#This Row],[COSTO ACUMULADO
ANTERIOR]:[PROVISIONES
ANTERIOR]])</f>
        <v>0</v>
      </c>
      <c r="AA322" s="338">
        <f>ABS(+CATEGORIAS[[#This Row],[PRESUPUESTO
FINAL
PROYECTADO]]-CATEGORIAS[[#This Row],[TOTAL PRODUCCION
ACTUAL]])</f>
        <v>0</v>
      </c>
      <c r="AB322" s="222"/>
      <c r="AC322" s="134"/>
      <c r="AD322" s="134">
        <v>0</v>
      </c>
      <c r="AE322" s="221">
        <f>SUM(CATEGORIAS[[#This Row],[INVENTARIO]:[PROYECCION
DE COSTO
DEL SALDO]])</f>
        <v>0</v>
      </c>
      <c r="AF322" s="134"/>
      <c r="AG322" s="134">
        <f>+CATEGORIAS[[#This Row],[PRESUPUESTO
FINAL
PROYECTADO]]-CATEGORIAS[[#This Row],[COSTO REAL]]-CATEGORIAS[[#This Row],[PROYECCION
TOTAL DE COSTO]]</f>
        <v>0</v>
      </c>
    </row>
    <row r="323" spans="1:33" x14ac:dyDescent="0.25">
      <c r="A323" s="245"/>
      <c r="B323" s="245"/>
      <c r="C323" s="245"/>
      <c r="D323" s="323" t="s">
        <v>2059</v>
      </c>
      <c r="E323" s="244" t="s">
        <v>1007</v>
      </c>
      <c r="F323" s="246" t="s">
        <v>376</v>
      </c>
      <c r="G323" s="279">
        <v>0</v>
      </c>
      <c r="H323" s="279">
        <v>0</v>
      </c>
      <c r="I323" s="132">
        <v>0</v>
      </c>
      <c r="J323" s="132">
        <v>0</v>
      </c>
      <c r="K323" s="132">
        <v>0</v>
      </c>
      <c r="L323" s="144">
        <f>CATEGORIAS[[#This Row],[ADICIONALES]]+CATEGORIAS[[#This Row],[POM]]+CATEGORIAS[[#This Row],[REAJUSTE 
PAGADO]]+CATEGORIAS[[#This Row],[REAJUSTE
PROYECTADO]]</f>
        <v>0</v>
      </c>
      <c r="M323" s="133">
        <v>0</v>
      </c>
      <c r="N323" s="222">
        <v>0</v>
      </c>
      <c r="O323" s="142">
        <f>+CATEGORIAS[[#This Row],[PRODUCCION
PARTIDAS
ORIGINALES
ACTUAL]]+CATEGORIAS[[#This Row],[PRODUCCION
ADICIONALES
ACTUAL]]</f>
        <v>0</v>
      </c>
      <c r="P323" s="222">
        <v>0</v>
      </c>
      <c r="Q323" s="222">
        <v>0</v>
      </c>
      <c r="R323" s="141">
        <f>+CATEGORIAS[[#This Row],[PRODUCCION
ANTERIOR]]+CATEGORIAS[[#This Row],[PRODUCCION
ADICIONALES
ANTERIOR]]</f>
        <v>0</v>
      </c>
      <c r="S323" s="135">
        <v>0</v>
      </c>
      <c r="T323" s="135"/>
      <c r="U323" s="135">
        <v>0</v>
      </c>
      <c r="V323" s="262">
        <f>SUM(CATEGORIAS[[#This Row],[COSTO
ACUMULADO  AX]:[PROVISIONES]])</f>
        <v>0</v>
      </c>
      <c r="W323" s="264">
        <v>0</v>
      </c>
      <c r="X323" s="222"/>
      <c r="Y323" s="222">
        <v>0</v>
      </c>
      <c r="Z323" s="263">
        <f>SUM(CATEGORIAS[[#This Row],[COSTO ACUMULADO
ANTERIOR]:[PROVISIONES
ANTERIOR]])</f>
        <v>0</v>
      </c>
      <c r="AA323" s="338">
        <f>ABS(+CATEGORIAS[[#This Row],[PRESUPUESTO
FINAL
PROYECTADO]]-CATEGORIAS[[#This Row],[TOTAL PRODUCCION
ACTUAL]])</f>
        <v>0</v>
      </c>
      <c r="AB323" s="222"/>
      <c r="AC323" s="134"/>
      <c r="AD323" s="134">
        <v>0</v>
      </c>
      <c r="AE323" s="221">
        <f>SUM(CATEGORIAS[[#This Row],[INVENTARIO]:[PROYECCION
DE COSTO
DEL SALDO]])</f>
        <v>0</v>
      </c>
      <c r="AF323" s="134"/>
      <c r="AG323" s="134">
        <f>+CATEGORIAS[[#This Row],[PRESUPUESTO
FINAL
PROYECTADO]]-CATEGORIAS[[#This Row],[COSTO REAL]]-CATEGORIAS[[#This Row],[PROYECCION
TOTAL DE COSTO]]</f>
        <v>0</v>
      </c>
    </row>
    <row r="324" spans="1:33" x14ac:dyDescent="0.25">
      <c r="A324" s="245" t="s">
        <v>100</v>
      </c>
      <c r="B324" s="245" t="s">
        <v>42</v>
      </c>
      <c r="C324" s="245" t="s">
        <v>2443</v>
      </c>
      <c r="D324" s="323" t="s">
        <v>2060</v>
      </c>
      <c r="E324" s="244" t="s">
        <v>1009</v>
      </c>
      <c r="F324" s="246" t="s">
        <v>376</v>
      </c>
      <c r="G324" s="279">
        <v>27498990.791999999</v>
      </c>
      <c r="H324" s="279">
        <v>27498990.791999999</v>
      </c>
      <c r="I324" s="132">
        <v>0</v>
      </c>
      <c r="J324" s="132">
        <v>969569.17469715979</v>
      </c>
      <c r="K324" s="132">
        <v>0</v>
      </c>
      <c r="L324" s="144">
        <f>CATEGORIAS[[#This Row],[ADICIONALES]]+CATEGORIAS[[#This Row],[POM]]+CATEGORIAS[[#This Row],[REAJUSTE 
PAGADO]]+CATEGORIAS[[#This Row],[REAJUSTE
PROYECTADO]]</f>
        <v>28468559.96669716</v>
      </c>
      <c r="M324" s="133">
        <v>28463161.897997431</v>
      </c>
      <c r="N324" s="222">
        <v>5398.0686997286975</v>
      </c>
      <c r="O324" s="142">
        <f>+CATEGORIAS[[#This Row],[PRODUCCION
PARTIDAS
ORIGINALES
ACTUAL]]+CATEGORIAS[[#This Row],[PRODUCCION
ADICIONALES
ACTUAL]]</f>
        <v>28468559.96669716</v>
      </c>
      <c r="P324" s="222">
        <v>28463161.897997431</v>
      </c>
      <c r="Q324" s="134">
        <v>0</v>
      </c>
      <c r="R324" s="141">
        <f>+CATEGORIAS[[#This Row],[PRODUCCION
ANTERIOR]]+CATEGORIAS[[#This Row],[PRODUCCION
ADICIONALES
ANTERIOR]]</f>
        <v>28463161.897997431</v>
      </c>
      <c r="S324" s="135">
        <v>230000</v>
      </c>
      <c r="T324" s="135"/>
      <c r="U324" s="135">
        <v>0</v>
      </c>
      <c r="V324" s="262">
        <f>SUM(CATEGORIAS[[#This Row],[COSTO
ACUMULADO  AX]:[PROVISIONES]])</f>
        <v>230000</v>
      </c>
      <c r="W324" s="264">
        <v>230000</v>
      </c>
      <c r="X324" s="222"/>
      <c r="Y324" s="222">
        <v>0</v>
      </c>
      <c r="Z324" s="263">
        <f>SUM(CATEGORIAS[[#This Row],[COSTO ACUMULADO
ANTERIOR]:[PROVISIONES
ANTERIOR]])</f>
        <v>230000</v>
      </c>
      <c r="AA324" s="338">
        <f>ABS(+CATEGORIAS[[#This Row],[PRESUPUESTO
FINAL
PROYECTADO]]-CATEGORIAS[[#This Row],[TOTAL PRODUCCION
ACTUAL]])</f>
        <v>0</v>
      </c>
      <c r="AB324" s="222"/>
      <c r="AC324" s="134"/>
      <c r="AD324" s="134">
        <v>0</v>
      </c>
      <c r="AE324" s="221">
        <f>SUM(CATEGORIAS[[#This Row],[INVENTARIO]:[PROYECCION
DE COSTO
DEL SALDO]])</f>
        <v>0</v>
      </c>
      <c r="AF324" s="134"/>
      <c r="AG324" s="134">
        <f>+CATEGORIAS[[#This Row],[PRESUPUESTO
FINAL
PROYECTADO]]-CATEGORIAS[[#This Row],[COSTO REAL]]-CATEGORIAS[[#This Row],[PROYECCION
TOTAL DE COSTO]]</f>
        <v>28238559.96669716</v>
      </c>
    </row>
    <row r="325" spans="1:33" x14ac:dyDescent="0.25">
      <c r="A325" s="245"/>
      <c r="B325" s="245"/>
      <c r="C325" s="245"/>
      <c r="D325" s="323" t="s">
        <v>2061</v>
      </c>
      <c r="E325" s="244" t="s">
        <v>1011</v>
      </c>
      <c r="F325" s="246" t="s">
        <v>376</v>
      </c>
      <c r="G325" s="279">
        <v>0</v>
      </c>
      <c r="H325" s="279">
        <v>0</v>
      </c>
      <c r="I325" s="132">
        <v>0</v>
      </c>
      <c r="J325" s="132">
        <v>0</v>
      </c>
      <c r="K325" s="132">
        <v>0</v>
      </c>
      <c r="L325" s="144">
        <f>CATEGORIAS[[#This Row],[ADICIONALES]]+CATEGORIAS[[#This Row],[POM]]+CATEGORIAS[[#This Row],[REAJUSTE 
PAGADO]]+CATEGORIAS[[#This Row],[REAJUSTE
PROYECTADO]]</f>
        <v>0</v>
      </c>
      <c r="M325" s="133">
        <v>0</v>
      </c>
      <c r="N325" s="222">
        <v>0</v>
      </c>
      <c r="O325" s="142">
        <f>+CATEGORIAS[[#This Row],[PRODUCCION
PARTIDAS
ORIGINALES
ACTUAL]]+CATEGORIAS[[#This Row],[PRODUCCION
ADICIONALES
ACTUAL]]</f>
        <v>0</v>
      </c>
      <c r="P325" s="222">
        <v>0</v>
      </c>
      <c r="Q325" s="134">
        <v>0</v>
      </c>
      <c r="R325" s="141">
        <f>+CATEGORIAS[[#This Row],[PRODUCCION
ANTERIOR]]+CATEGORIAS[[#This Row],[PRODUCCION
ADICIONALES
ANTERIOR]]</f>
        <v>0</v>
      </c>
      <c r="S325" s="135">
        <v>0</v>
      </c>
      <c r="T325" s="135"/>
      <c r="U325" s="135">
        <v>0</v>
      </c>
      <c r="V325" s="262">
        <f>SUM(CATEGORIAS[[#This Row],[COSTO
ACUMULADO  AX]:[PROVISIONES]])</f>
        <v>0</v>
      </c>
      <c r="W325" s="264">
        <v>0</v>
      </c>
      <c r="X325" s="222"/>
      <c r="Y325" s="222">
        <v>0</v>
      </c>
      <c r="Z325" s="263">
        <f>SUM(CATEGORIAS[[#This Row],[COSTO ACUMULADO
ANTERIOR]:[PROVISIONES
ANTERIOR]])</f>
        <v>0</v>
      </c>
      <c r="AA325" s="338">
        <f>ABS(+CATEGORIAS[[#This Row],[PRESUPUESTO
FINAL
PROYECTADO]]-CATEGORIAS[[#This Row],[TOTAL PRODUCCION
ACTUAL]])</f>
        <v>0</v>
      </c>
      <c r="AB325" s="222"/>
      <c r="AC325" s="134"/>
      <c r="AD325" s="134">
        <v>0</v>
      </c>
      <c r="AE325" s="221">
        <f>SUM(CATEGORIAS[[#This Row],[INVENTARIO]:[PROYECCION
DE COSTO
DEL SALDO]])</f>
        <v>0</v>
      </c>
      <c r="AF325" s="134"/>
      <c r="AG325" s="134">
        <f>+CATEGORIAS[[#This Row],[PRESUPUESTO
FINAL
PROYECTADO]]-CATEGORIAS[[#This Row],[COSTO REAL]]-CATEGORIAS[[#This Row],[PROYECCION
TOTAL DE COSTO]]</f>
        <v>0</v>
      </c>
    </row>
    <row r="326" spans="1:33" x14ac:dyDescent="0.25">
      <c r="A326" s="245"/>
      <c r="B326" s="245"/>
      <c r="C326" s="245"/>
      <c r="D326" s="323" t="s">
        <v>2062</v>
      </c>
      <c r="E326" s="244" t="s">
        <v>1013</v>
      </c>
      <c r="F326" s="246" t="s">
        <v>376</v>
      </c>
      <c r="G326" s="279">
        <v>0</v>
      </c>
      <c r="H326" s="279">
        <v>0</v>
      </c>
      <c r="I326" s="132">
        <v>0</v>
      </c>
      <c r="J326" s="132">
        <v>0</v>
      </c>
      <c r="K326" s="132">
        <v>0</v>
      </c>
      <c r="L326" s="144">
        <f>CATEGORIAS[[#This Row],[ADICIONALES]]+CATEGORIAS[[#This Row],[POM]]+CATEGORIAS[[#This Row],[REAJUSTE 
PAGADO]]+CATEGORIAS[[#This Row],[REAJUSTE
PROYECTADO]]</f>
        <v>0</v>
      </c>
      <c r="M326" s="133">
        <v>0</v>
      </c>
      <c r="N326" s="222">
        <v>0</v>
      </c>
      <c r="O326" s="142">
        <f>+CATEGORIAS[[#This Row],[PRODUCCION
PARTIDAS
ORIGINALES
ACTUAL]]+CATEGORIAS[[#This Row],[PRODUCCION
ADICIONALES
ACTUAL]]</f>
        <v>0</v>
      </c>
      <c r="P326" s="222">
        <v>0</v>
      </c>
      <c r="Q326" s="222">
        <v>0</v>
      </c>
      <c r="R326" s="141">
        <f>+CATEGORIAS[[#This Row],[PRODUCCION
ANTERIOR]]+CATEGORIAS[[#This Row],[PRODUCCION
ADICIONALES
ANTERIOR]]</f>
        <v>0</v>
      </c>
      <c r="S326" s="135">
        <v>0</v>
      </c>
      <c r="T326" s="135"/>
      <c r="U326" s="135">
        <v>0</v>
      </c>
      <c r="V326" s="262">
        <f>SUM(CATEGORIAS[[#This Row],[COSTO
ACUMULADO  AX]:[PROVISIONES]])</f>
        <v>0</v>
      </c>
      <c r="W326" s="264">
        <v>0</v>
      </c>
      <c r="X326" s="222"/>
      <c r="Y326" s="222">
        <v>0</v>
      </c>
      <c r="Z326" s="263">
        <f>SUM(CATEGORIAS[[#This Row],[COSTO ACUMULADO
ANTERIOR]:[PROVISIONES
ANTERIOR]])</f>
        <v>0</v>
      </c>
      <c r="AA326" s="338">
        <f>ABS(+CATEGORIAS[[#This Row],[PRESUPUESTO
FINAL
PROYECTADO]]-CATEGORIAS[[#This Row],[TOTAL PRODUCCION
ACTUAL]])</f>
        <v>0</v>
      </c>
      <c r="AB326" s="222"/>
      <c r="AC326" s="134"/>
      <c r="AD326" s="134">
        <v>0</v>
      </c>
      <c r="AE326" s="221">
        <f>SUM(CATEGORIAS[[#This Row],[INVENTARIO]:[PROYECCION
DE COSTO
DEL SALDO]])</f>
        <v>0</v>
      </c>
      <c r="AF326" s="134"/>
      <c r="AG326" s="134">
        <f>+CATEGORIAS[[#This Row],[PRESUPUESTO
FINAL
PROYECTADO]]-CATEGORIAS[[#This Row],[COSTO REAL]]-CATEGORIAS[[#This Row],[PROYECCION
TOTAL DE COSTO]]</f>
        <v>0</v>
      </c>
    </row>
    <row r="327" spans="1:33" x14ac:dyDescent="0.25">
      <c r="A327" s="245"/>
      <c r="B327" s="245"/>
      <c r="C327" s="245"/>
      <c r="D327" s="323" t="s">
        <v>2063</v>
      </c>
      <c r="E327" s="244" t="s">
        <v>1013</v>
      </c>
      <c r="F327" s="246" t="s">
        <v>376</v>
      </c>
      <c r="G327" s="279">
        <v>0</v>
      </c>
      <c r="H327" s="279">
        <v>0</v>
      </c>
      <c r="I327" s="132">
        <v>0</v>
      </c>
      <c r="J327" s="132">
        <v>0</v>
      </c>
      <c r="K327" s="132">
        <v>0</v>
      </c>
      <c r="L327" s="144">
        <f>CATEGORIAS[[#This Row],[ADICIONALES]]+CATEGORIAS[[#This Row],[POM]]+CATEGORIAS[[#This Row],[REAJUSTE 
PAGADO]]+CATEGORIAS[[#This Row],[REAJUSTE
PROYECTADO]]</f>
        <v>0</v>
      </c>
      <c r="M327" s="133">
        <v>0</v>
      </c>
      <c r="N327" s="222">
        <v>0</v>
      </c>
      <c r="O327" s="142">
        <f>+CATEGORIAS[[#This Row],[PRODUCCION
PARTIDAS
ORIGINALES
ACTUAL]]+CATEGORIAS[[#This Row],[PRODUCCION
ADICIONALES
ACTUAL]]</f>
        <v>0</v>
      </c>
      <c r="P327" s="222">
        <v>0</v>
      </c>
      <c r="Q327" s="222">
        <v>0</v>
      </c>
      <c r="R327" s="141">
        <f>+CATEGORIAS[[#This Row],[PRODUCCION
ANTERIOR]]+CATEGORIAS[[#This Row],[PRODUCCION
ADICIONALES
ANTERIOR]]</f>
        <v>0</v>
      </c>
      <c r="S327" s="135">
        <v>0</v>
      </c>
      <c r="T327" s="135"/>
      <c r="U327" s="135">
        <v>0</v>
      </c>
      <c r="V327" s="262">
        <f>SUM(CATEGORIAS[[#This Row],[COSTO
ACUMULADO  AX]:[PROVISIONES]])</f>
        <v>0</v>
      </c>
      <c r="W327" s="264">
        <v>0</v>
      </c>
      <c r="X327" s="222"/>
      <c r="Y327" s="222">
        <v>0</v>
      </c>
      <c r="Z327" s="263">
        <f>SUM(CATEGORIAS[[#This Row],[COSTO ACUMULADO
ANTERIOR]:[PROVISIONES
ANTERIOR]])</f>
        <v>0</v>
      </c>
      <c r="AA327" s="338">
        <f>ABS(+CATEGORIAS[[#This Row],[PRESUPUESTO
FINAL
PROYECTADO]]-CATEGORIAS[[#This Row],[TOTAL PRODUCCION
ACTUAL]])</f>
        <v>0</v>
      </c>
      <c r="AB327" s="222"/>
      <c r="AC327" s="134"/>
      <c r="AD327" s="134">
        <v>0</v>
      </c>
      <c r="AE327" s="221">
        <f>SUM(CATEGORIAS[[#This Row],[INVENTARIO]:[PROYECCION
DE COSTO
DEL SALDO]])</f>
        <v>0</v>
      </c>
      <c r="AF327" s="134"/>
      <c r="AG327" s="134">
        <f>+CATEGORIAS[[#This Row],[PRESUPUESTO
FINAL
PROYECTADO]]-CATEGORIAS[[#This Row],[COSTO REAL]]-CATEGORIAS[[#This Row],[PROYECCION
TOTAL DE COSTO]]</f>
        <v>0</v>
      </c>
    </row>
    <row r="328" spans="1:33" x14ac:dyDescent="0.25">
      <c r="A328" s="245"/>
      <c r="B328" s="245"/>
      <c r="C328" s="245"/>
      <c r="D328" s="323" t="s">
        <v>2064</v>
      </c>
      <c r="E328" s="244" t="s">
        <v>1016</v>
      </c>
      <c r="F328" s="246" t="s">
        <v>376</v>
      </c>
      <c r="G328" s="279">
        <v>0</v>
      </c>
      <c r="H328" s="279">
        <v>0</v>
      </c>
      <c r="I328" s="132">
        <v>0</v>
      </c>
      <c r="J328" s="132">
        <v>0</v>
      </c>
      <c r="K328" s="132">
        <v>0</v>
      </c>
      <c r="L328" s="144">
        <f>CATEGORIAS[[#This Row],[ADICIONALES]]+CATEGORIAS[[#This Row],[POM]]+CATEGORIAS[[#This Row],[REAJUSTE 
PAGADO]]+CATEGORIAS[[#This Row],[REAJUSTE
PROYECTADO]]</f>
        <v>0</v>
      </c>
      <c r="M328" s="133">
        <v>0</v>
      </c>
      <c r="N328" s="222">
        <v>0</v>
      </c>
      <c r="O328" s="142">
        <f>+CATEGORIAS[[#This Row],[PRODUCCION
PARTIDAS
ORIGINALES
ACTUAL]]+CATEGORIAS[[#This Row],[PRODUCCION
ADICIONALES
ACTUAL]]</f>
        <v>0</v>
      </c>
      <c r="P328" s="222">
        <v>0</v>
      </c>
      <c r="Q328" s="222">
        <v>0</v>
      </c>
      <c r="R328" s="141">
        <f>+CATEGORIAS[[#This Row],[PRODUCCION
ANTERIOR]]+CATEGORIAS[[#This Row],[PRODUCCION
ADICIONALES
ANTERIOR]]</f>
        <v>0</v>
      </c>
      <c r="S328" s="135">
        <v>0</v>
      </c>
      <c r="T328" s="135"/>
      <c r="U328" s="135">
        <v>0</v>
      </c>
      <c r="V328" s="262">
        <f>SUM(CATEGORIAS[[#This Row],[COSTO
ACUMULADO  AX]:[PROVISIONES]])</f>
        <v>0</v>
      </c>
      <c r="W328" s="264">
        <v>0</v>
      </c>
      <c r="X328" s="222"/>
      <c r="Y328" s="222">
        <v>0</v>
      </c>
      <c r="Z328" s="263">
        <f>SUM(CATEGORIAS[[#This Row],[COSTO ACUMULADO
ANTERIOR]:[PROVISIONES
ANTERIOR]])</f>
        <v>0</v>
      </c>
      <c r="AA328" s="338">
        <f>ABS(+CATEGORIAS[[#This Row],[PRESUPUESTO
FINAL
PROYECTADO]]-CATEGORIAS[[#This Row],[TOTAL PRODUCCION
ACTUAL]])</f>
        <v>0</v>
      </c>
      <c r="AB328" s="222"/>
      <c r="AC328" s="134"/>
      <c r="AD328" s="134">
        <v>0</v>
      </c>
      <c r="AE328" s="221">
        <f>SUM(CATEGORIAS[[#This Row],[INVENTARIO]:[PROYECCION
DE COSTO
DEL SALDO]])</f>
        <v>0</v>
      </c>
      <c r="AF328" s="134"/>
      <c r="AG328" s="134">
        <f>+CATEGORIAS[[#This Row],[PRESUPUESTO
FINAL
PROYECTADO]]-CATEGORIAS[[#This Row],[COSTO REAL]]-CATEGORIAS[[#This Row],[PROYECCION
TOTAL DE COSTO]]</f>
        <v>0</v>
      </c>
    </row>
    <row r="329" spans="1:33" x14ac:dyDescent="0.25">
      <c r="A329" s="245"/>
      <c r="B329" s="245"/>
      <c r="C329" s="245"/>
      <c r="D329" s="323" t="s">
        <v>2065</v>
      </c>
      <c r="E329" s="244" t="s">
        <v>1018</v>
      </c>
      <c r="F329" s="246" t="s">
        <v>376</v>
      </c>
      <c r="G329" s="279">
        <v>0</v>
      </c>
      <c r="H329" s="279">
        <v>0</v>
      </c>
      <c r="I329" s="132">
        <v>0</v>
      </c>
      <c r="J329" s="132">
        <v>0</v>
      </c>
      <c r="K329" s="132">
        <v>0</v>
      </c>
      <c r="L329" s="144">
        <f>CATEGORIAS[[#This Row],[ADICIONALES]]+CATEGORIAS[[#This Row],[POM]]+CATEGORIAS[[#This Row],[REAJUSTE 
PAGADO]]+CATEGORIAS[[#This Row],[REAJUSTE
PROYECTADO]]</f>
        <v>0</v>
      </c>
      <c r="M329" s="133">
        <v>0</v>
      </c>
      <c r="N329" s="222">
        <v>0</v>
      </c>
      <c r="O329" s="142">
        <f>+CATEGORIAS[[#This Row],[PRODUCCION
PARTIDAS
ORIGINALES
ACTUAL]]+CATEGORIAS[[#This Row],[PRODUCCION
ADICIONALES
ACTUAL]]</f>
        <v>0</v>
      </c>
      <c r="P329" s="222">
        <v>0</v>
      </c>
      <c r="Q329" s="222">
        <v>0</v>
      </c>
      <c r="R329" s="141">
        <f>+CATEGORIAS[[#This Row],[PRODUCCION
ANTERIOR]]+CATEGORIAS[[#This Row],[PRODUCCION
ADICIONALES
ANTERIOR]]</f>
        <v>0</v>
      </c>
      <c r="S329" s="135">
        <v>0</v>
      </c>
      <c r="T329" s="135"/>
      <c r="U329" s="135">
        <v>0</v>
      </c>
      <c r="V329" s="262">
        <f>SUM(CATEGORIAS[[#This Row],[COSTO
ACUMULADO  AX]:[PROVISIONES]])</f>
        <v>0</v>
      </c>
      <c r="W329" s="264">
        <v>0</v>
      </c>
      <c r="X329" s="222"/>
      <c r="Y329" s="222">
        <v>0</v>
      </c>
      <c r="Z329" s="263">
        <f>SUM(CATEGORIAS[[#This Row],[COSTO ACUMULADO
ANTERIOR]:[PROVISIONES
ANTERIOR]])</f>
        <v>0</v>
      </c>
      <c r="AA329" s="338">
        <f>ABS(+CATEGORIAS[[#This Row],[PRESUPUESTO
FINAL
PROYECTADO]]-CATEGORIAS[[#This Row],[TOTAL PRODUCCION
ACTUAL]])</f>
        <v>0</v>
      </c>
      <c r="AB329" s="222"/>
      <c r="AC329" s="134"/>
      <c r="AD329" s="134">
        <v>0</v>
      </c>
      <c r="AE329" s="221">
        <f>SUM(CATEGORIAS[[#This Row],[INVENTARIO]:[PROYECCION
DE COSTO
DEL SALDO]])</f>
        <v>0</v>
      </c>
      <c r="AF329" s="134"/>
      <c r="AG329" s="134">
        <f>+CATEGORIAS[[#This Row],[PRESUPUESTO
FINAL
PROYECTADO]]-CATEGORIAS[[#This Row],[COSTO REAL]]-CATEGORIAS[[#This Row],[PROYECCION
TOTAL DE COSTO]]</f>
        <v>0</v>
      </c>
    </row>
    <row r="330" spans="1:33" x14ac:dyDescent="0.25">
      <c r="A330" s="245" t="s">
        <v>100</v>
      </c>
      <c r="B330" s="245" t="s">
        <v>207</v>
      </c>
      <c r="C330" s="245" t="s">
        <v>2447</v>
      </c>
      <c r="D330" s="323" t="s">
        <v>2066</v>
      </c>
      <c r="E330" s="244" t="s">
        <v>1020</v>
      </c>
      <c r="F330" s="246" t="s">
        <v>376</v>
      </c>
      <c r="G330" s="279">
        <v>128778478.8483</v>
      </c>
      <c r="H330" s="279">
        <v>73393113.875571042</v>
      </c>
      <c r="I330" s="132">
        <v>37078093.164083578</v>
      </c>
      <c r="J330" s="132">
        <v>2587720.4507990107</v>
      </c>
      <c r="K330" s="132">
        <v>0</v>
      </c>
      <c r="L330" s="144">
        <f>CATEGORIAS[[#This Row],[ADICIONALES]]+CATEGORIAS[[#This Row],[POM]]+CATEGORIAS[[#This Row],[REAJUSTE 
PAGADO]]+CATEGORIAS[[#This Row],[REAJUSTE
PROYECTADO]]</f>
        <v>113058927.49045363</v>
      </c>
      <c r="M330" s="133">
        <v>75966427.213258743</v>
      </c>
      <c r="N330" s="222">
        <v>37092500.277194895</v>
      </c>
      <c r="O330" s="142">
        <f>+CATEGORIAS[[#This Row],[PRODUCCION
PARTIDAS
ORIGINALES
ACTUAL]]+CATEGORIAS[[#This Row],[PRODUCCION
ADICIONALES
ACTUAL]]</f>
        <v>113058927.49045363</v>
      </c>
      <c r="P330" s="222">
        <v>75966427.213258743</v>
      </c>
      <c r="Q330" s="222">
        <v>37078093.164083578</v>
      </c>
      <c r="R330" s="141">
        <f>+CATEGORIAS[[#This Row],[PRODUCCION
ANTERIOR]]+CATEGORIAS[[#This Row],[PRODUCCION
ADICIONALES
ANTERIOR]]</f>
        <v>113044520.37734231</v>
      </c>
      <c r="S330" s="135">
        <v>49682240.374252252</v>
      </c>
      <c r="T330" s="135"/>
      <c r="U330" s="135">
        <v>0</v>
      </c>
      <c r="V330" s="262">
        <f>SUM(CATEGORIAS[[#This Row],[COSTO
ACUMULADO  AX]:[PROVISIONES]])</f>
        <v>49682240.374252252</v>
      </c>
      <c r="W330" s="264">
        <v>49682240.374252252</v>
      </c>
      <c r="X330" s="222"/>
      <c r="Y330" s="222">
        <v>0</v>
      </c>
      <c r="Z330" s="263">
        <f>SUM(CATEGORIAS[[#This Row],[COSTO ACUMULADO
ANTERIOR]:[PROVISIONES
ANTERIOR]])</f>
        <v>49682240.374252252</v>
      </c>
      <c r="AA330" s="338">
        <f>ABS(+CATEGORIAS[[#This Row],[PRESUPUESTO
FINAL
PROYECTADO]]-CATEGORIAS[[#This Row],[TOTAL PRODUCCION
ACTUAL]])</f>
        <v>0</v>
      </c>
      <c r="AB330" s="222"/>
      <c r="AC330" s="134"/>
      <c r="AD330" s="134">
        <v>0</v>
      </c>
      <c r="AE330" s="221">
        <f>SUM(CATEGORIAS[[#This Row],[INVENTARIO]:[PROYECCION
DE COSTO
DEL SALDO]])</f>
        <v>0</v>
      </c>
      <c r="AF330" s="134"/>
      <c r="AG330" s="134">
        <f>+CATEGORIAS[[#This Row],[PRESUPUESTO
FINAL
PROYECTADO]]-CATEGORIAS[[#This Row],[COSTO REAL]]-CATEGORIAS[[#This Row],[PROYECCION
TOTAL DE COSTO]]</f>
        <v>63376687.116201378</v>
      </c>
    </row>
    <row r="331" spans="1:33" x14ac:dyDescent="0.25">
      <c r="A331" s="245"/>
      <c r="B331" s="245"/>
      <c r="C331" s="245"/>
      <c r="D331" s="323" t="s">
        <v>2067</v>
      </c>
      <c r="E331" s="244" t="s">
        <v>1022</v>
      </c>
      <c r="F331" s="246" t="s">
        <v>376</v>
      </c>
      <c r="G331" s="279">
        <v>0</v>
      </c>
      <c r="H331" s="279">
        <v>0</v>
      </c>
      <c r="I331" s="132">
        <v>0</v>
      </c>
      <c r="J331" s="132">
        <v>0</v>
      </c>
      <c r="K331" s="132">
        <v>0</v>
      </c>
      <c r="L331" s="144">
        <f>CATEGORIAS[[#This Row],[ADICIONALES]]+CATEGORIAS[[#This Row],[POM]]+CATEGORIAS[[#This Row],[REAJUSTE 
PAGADO]]+CATEGORIAS[[#This Row],[REAJUSTE
PROYECTADO]]</f>
        <v>0</v>
      </c>
      <c r="M331" s="133">
        <v>0</v>
      </c>
      <c r="N331" s="222">
        <v>0</v>
      </c>
      <c r="O331" s="142">
        <f>+CATEGORIAS[[#This Row],[PRODUCCION
PARTIDAS
ORIGINALES
ACTUAL]]+CATEGORIAS[[#This Row],[PRODUCCION
ADICIONALES
ACTUAL]]</f>
        <v>0</v>
      </c>
      <c r="P331" s="222">
        <v>0</v>
      </c>
      <c r="Q331" s="222">
        <v>0</v>
      </c>
      <c r="R331" s="141">
        <f>+CATEGORIAS[[#This Row],[PRODUCCION
ANTERIOR]]+CATEGORIAS[[#This Row],[PRODUCCION
ADICIONALES
ANTERIOR]]</f>
        <v>0</v>
      </c>
      <c r="S331" s="135">
        <v>0</v>
      </c>
      <c r="T331" s="135"/>
      <c r="U331" s="135">
        <v>0</v>
      </c>
      <c r="V331" s="262">
        <f>SUM(CATEGORIAS[[#This Row],[COSTO
ACUMULADO  AX]:[PROVISIONES]])</f>
        <v>0</v>
      </c>
      <c r="W331" s="264">
        <v>0</v>
      </c>
      <c r="X331" s="222"/>
      <c r="Y331" s="222">
        <v>0</v>
      </c>
      <c r="Z331" s="263">
        <f>SUM(CATEGORIAS[[#This Row],[COSTO ACUMULADO
ANTERIOR]:[PROVISIONES
ANTERIOR]])</f>
        <v>0</v>
      </c>
      <c r="AA331" s="338">
        <f>ABS(+CATEGORIAS[[#This Row],[PRESUPUESTO
FINAL
PROYECTADO]]-CATEGORIAS[[#This Row],[TOTAL PRODUCCION
ACTUAL]])</f>
        <v>0</v>
      </c>
      <c r="AB331" s="222"/>
      <c r="AC331" s="134"/>
      <c r="AD331" s="134">
        <v>0</v>
      </c>
      <c r="AE331" s="221">
        <f>SUM(CATEGORIAS[[#This Row],[INVENTARIO]:[PROYECCION
DE COSTO
DEL SALDO]])</f>
        <v>0</v>
      </c>
      <c r="AF331" s="134"/>
      <c r="AG331" s="134">
        <f>+CATEGORIAS[[#This Row],[PRESUPUESTO
FINAL
PROYECTADO]]-CATEGORIAS[[#This Row],[COSTO REAL]]-CATEGORIAS[[#This Row],[PROYECCION
TOTAL DE COSTO]]</f>
        <v>0</v>
      </c>
    </row>
    <row r="332" spans="1:33" x14ac:dyDescent="0.25">
      <c r="A332" s="245"/>
      <c r="B332" s="245"/>
      <c r="C332" s="245"/>
      <c r="D332" s="323" t="s">
        <v>2068</v>
      </c>
      <c r="E332" s="244" t="s">
        <v>1024</v>
      </c>
      <c r="F332" s="246" t="s">
        <v>379</v>
      </c>
      <c r="G332" s="279">
        <v>0</v>
      </c>
      <c r="H332" s="279">
        <v>0</v>
      </c>
      <c r="I332" s="132">
        <v>0</v>
      </c>
      <c r="J332" s="132">
        <v>0</v>
      </c>
      <c r="K332" s="132">
        <v>0</v>
      </c>
      <c r="L332" s="144">
        <f>CATEGORIAS[[#This Row],[ADICIONALES]]+CATEGORIAS[[#This Row],[POM]]+CATEGORIAS[[#This Row],[REAJUSTE 
PAGADO]]+CATEGORIAS[[#This Row],[REAJUSTE
PROYECTADO]]</f>
        <v>0</v>
      </c>
      <c r="M332" s="133">
        <v>0</v>
      </c>
      <c r="N332" s="222">
        <v>0</v>
      </c>
      <c r="O332" s="142">
        <f>+CATEGORIAS[[#This Row],[PRODUCCION
PARTIDAS
ORIGINALES
ACTUAL]]+CATEGORIAS[[#This Row],[PRODUCCION
ADICIONALES
ACTUAL]]</f>
        <v>0</v>
      </c>
      <c r="P332" s="222">
        <v>0</v>
      </c>
      <c r="Q332" s="222">
        <v>0</v>
      </c>
      <c r="R332" s="141">
        <f>+CATEGORIAS[[#This Row],[PRODUCCION
ANTERIOR]]+CATEGORIAS[[#This Row],[PRODUCCION
ADICIONALES
ANTERIOR]]</f>
        <v>0</v>
      </c>
      <c r="S332" s="135">
        <v>0</v>
      </c>
      <c r="T332" s="135"/>
      <c r="U332" s="135">
        <v>0</v>
      </c>
      <c r="V332" s="262">
        <f>SUM(CATEGORIAS[[#This Row],[COSTO
ACUMULADO  AX]:[PROVISIONES]])</f>
        <v>0</v>
      </c>
      <c r="W332" s="264">
        <v>0</v>
      </c>
      <c r="X332" s="222"/>
      <c r="Y332" s="222">
        <v>0</v>
      </c>
      <c r="Z332" s="263">
        <f>SUM(CATEGORIAS[[#This Row],[COSTO ACUMULADO
ANTERIOR]:[PROVISIONES
ANTERIOR]])</f>
        <v>0</v>
      </c>
      <c r="AA332" s="338">
        <f>ABS(+CATEGORIAS[[#This Row],[PRESUPUESTO
FINAL
PROYECTADO]]-CATEGORIAS[[#This Row],[TOTAL PRODUCCION
ACTUAL]])</f>
        <v>0</v>
      </c>
      <c r="AB332" s="222"/>
      <c r="AC332" s="134"/>
      <c r="AD332" s="134">
        <v>0</v>
      </c>
      <c r="AE332" s="221">
        <f>SUM(CATEGORIAS[[#This Row],[INVENTARIO]:[PROYECCION
DE COSTO
DEL SALDO]])</f>
        <v>0</v>
      </c>
      <c r="AF332" s="134"/>
      <c r="AG332" s="134">
        <f>+CATEGORIAS[[#This Row],[PRESUPUESTO
FINAL
PROYECTADO]]-CATEGORIAS[[#This Row],[COSTO REAL]]-CATEGORIAS[[#This Row],[PROYECCION
TOTAL DE COSTO]]</f>
        <v>0</v>
      </c>
    </row>
    <row r="333" spans="1:33" x14ac:dyDescent="0.25">
      <c r="A333" s="245"/>
      <c r="B333" s="245"/>
      <c r="C333" s="245"/>
      <c r="D333" s="323" t="s">
        <v>2069</v>
      </c>
      <c r="E333" s="244" t="s">
        <v>1026</v>
      </c>
      <c r="F333" s="246" t="s">
        <v>376</v>
      </c>
      <c r="G333" s="279">
        <v>0</v>
      </c>
      <c r="H333" s="279">
        <v>0</v>
      </c>
      <c r="I333" s="132">
        <v>0</v>
      </c>
      <c r="J333" s="132">
        <v>0</v>
      </c>
      <c r="K333" s="132">
        <v>0</v>
      </c>
      <c r="L333" s="144">
        <f>CATEGORIAS[[#This Row],[ADICIONALES]]+CATEGORIAS[[#This Row],[POM]]+CATEGORIAS[[#This Row],[REAJUSTE 
PAGADO]]+CATEGORIAS[[#This Row],[REAJUSTE
PROYECTADO]]</f>
        <v>0</v>
      </c>
      <c r="M333" s="133">
        <v>0</v>
      </c>
      <c r="N333" s="222">
        <v>0</v>
      </c>
      <c r="O333" s="142">
        <f>+CATEGORIAS[[#This Row],[PRODUCCION
PARTIDAS
ORIGINALES
ACTUAL]]+CATEGORIAS[[#This Row],[PRODUCCION
ADICIONALES
ACTUAL]]</f>
        <v>0</v>
      </c>
      <c r="P333" s="222">
        <v>0</v>
      </c>
      <c r="Q333" s="222">
        <v>0</v>
      </c>
      <c r="R333" s="141">
        <f>+CATEGORIAS[[#This Row],[PRODUCCION
ANTERIOR]]+CATEGORIAS[[#This Row],[PRODUCCION
ADICIONALES
ANTERIOR]]</f>
        <v>0</v>
      </c>
      <c r="S333" s="135">
        <v>0</v>
      </c>
      <c r="T333" s="135"/>
      <c r="U333" s="135">
        <v>0</v>
      </c>
      <c r="V333" s="262">
        <f>SUM(CATEGORIAS[[#This Row],[COSTO
ACUMULADO  AX]:[PROVISIONES]])</f>
        <v>0</v>
      </c>
      <c r="W333" s="264">
        <v>0</v>
      </c>
      <c r="X333" s="222"/>
      <c r="Y333" s="222">
        <v>0</v>
      </c>
      <c r="Z333" s="263">
        <f>SUM(CATEGORIAS[[#This Row],[COSTO ACUMULADO
ANTERIOR]:[PROVISIONES
ANTERIOR]])</f>
        <v>0</v>
      </c>
      <c r="AA333" s="338">
        <f>ABS(+CATEGORIAS[[#This Row],[PRESUPUESTO
FINAL
PROYECTADO]]-CATEGORIAS[[#This Row],[TOTAL PRODUCCION
ACTUAL]])</f>
        <v>0</v>
      </c>
      <c r="AB333" s="222"/>
      <c r="AC333" s="134"/>
      <c r="AD333" s="134">
        <v>0</v>
      </c>
      <c r="AE333" s="221">
        <f>SUM(CATEGORIAS[[#This Row],[INVENTARIO]:[PROYECCION
DE COSTO
DEL SALDO]])</f>
        <v>0</v>
      </c>
      <c r="AF333" s="134"/>
      <c r="AG333" s="134">
        <f>+CATEGORIAS[[#This Row],[PRESUPUESTO
FINAL
PROYECTADO]]-CATEGORIAS[[#This Row],[COSTO REAL]]-CATEGORIAS[[#This Row],[PROYECCION
TOTAL DE COSTO]]</f>
        <v>0</v>
      </c>
    </row>
    <row r="334" spans="1:33" x14ac:dyDescent="0.25">
      <c r="A334" s="245" t="s">
        <v>100</v>
      </c>
      <c r="B334" s="245" t="s">
        <v>43</v>
      </c>
      <c r="C334" s="245" t="s">
        <v>2444</v>
      </c>
      <c r="D334" s="323" t="s">
        <v>2070</v>
      </c>
      <c r="E334" s="244" t="s">
        <v>1028</v>
      </c>
      <c r="F334" s="246" t="s">
        <v>376</v>
      </c>
      <c r="G334" s="279">
        <v>0</v>
      </c>
      <c r="H334" s="279">
        <v>0</v>
      </c>
      <c r="I334" s="132">
        <v>0</v>
      </c>
      <c r="J334" s="132">
        <v>0</v>
      </c>
      <c r="K334" s="132">
        <v>0</v>
      </c>
      <c r="L334" s="144">
        <f>CATEGORIAS[[#This Row],[ADICIONALES]]+CATEGORIAS[[#This Row],[POM]]+CATEGORIAS[[#This Row],[REAJUSTE 
PAGADO]]+CATEGORIAS[[#This Row],[REAJUSTE
PROYECTADO]]</f>
        <v>0</v>
      </c>
      <c r="M334" s="133">
        <v>0</v>
      </c>
      <c r="N334" s="222">
        <v>0</v>
      </c>
      <c r="O334" s="142">
        <f>+CATEGORIAS[[#This Row],[PRODUCCION
PARTIDAS
ORIGINALES
ACTUAL]]+CATEGORIAS[[#This Row],[PRODUCCION
ADICIONALES
ACTUAL]]</f>
        <v>0</v>
      </c>
      <c r="P334" s="222">
        <v>0</v>
      </c>
      <c r="Q334" s="222">
        <v>0</v>
      </c>
      <c r="R334" s="141">
        <f>+CATEGORIAS[[#This Row],[PRODUCCION
ANTERIOR]]+CATEGORIAS[[#This Row],[PRODUCCION
ADICIONALES
ANTERIOR]]</f>
        <v>0</v>
      </c>
      <c r="S334" s="135">
        <v>0</v>
      </c>
      <c r="T334" s="135"/>
      <c r="U334" s="135">
        <v>0</v>
      </c>
      <c r="V334" s="262">
        <f>SUM(CATEGORIAS[[#This Row],[COSTO
ACUMULADO  AX]:[PROVISIONES]])</f>
        <v>0</v>
      </c>
      <c r="W334" s="264">
        <v>0</v>
      </c>
      <c r="X334" s="222"/>
      <c r="Y334" s="222">
        <v>0</v>
      </c>
      <c r="Z334" s="263">
        <f>SUM(CATEGORIAS[[#This Row],[COSTO ACUMULADO
ANTERIOR]:[PROVISIONES
ANTERIOR]])</f>
        <v>0</v>
      </c>
      <c r="AA334" s="338">
        <f>ABS(+CATEGORIAS[[#This Row],[PRESUPUESTO
FINAL
PROYECTADO]]-CATEGORIAS[[#This Row],[TOTAL PRODUCCION
ACTUAL]])</f>
        <v>0</v>
      </c>
      <c r="AB334" s="222"/>
      <c r="AC334" s="134"/>
      <c r="AD334" s="134">
        <v>0</v>
      </c>
      <c r="AE334" s="221">
        <f>SUM(CATEGORIAS[[#This Row],[INVENTARIO]:[PROYECCION
DE COSTO
DEL SALDO]])</f>
        <v>0</v>
      </c>
      <c r="AF334" s="134"/>
      <c r="AG334" s="134">
        <f>+CATEGORIAS[[#This Row],[PRESUPUESTO
FINAL
PROYECTADO]]-CATEGORIAS[[#This Row],[COSTO REAL]]-CATEGORIAS[[#This Row],[PROYECCION
TOTAL DE COSTO]]</f>
        <v>0</v>
      </c>
    </row>
    <row r="335" spans="1:33" x14ac:dyDescent="0.25">
      <c r="A335" s="245"/>
      <c r="B335" s="245"/>
      <c r="C335" s="245"/>
      <c r="D335" s="323" t="s">
        <v>2071</v>
      </c>
      <c r="E335" s="244" t="s">
        <v>1030</v>
      </c>
      <c r="F335" s="246" t="s">
        <v>376</v>
      </c>
      <c r="G335" s="279">
        <v>0</v>
      </c>
      <c r="H335" s="279">
        <v>0</v>
      </c>
      <c r="I335" s="132">
        <v>0</v>
      </c>
      <c r="J335" s="132">
        <v>0</v>
      </c>
      <c r="K335" s="132">
        <v>0</v>
      </c>
      <c r="L335" s="144">
        <f>CATEGORIAS[[#This Row],[ADICIONALES]]+CATEGORIAS[[#This Row],[POM]]+CATEGORIAS[[#This Row],[REAJUSTE 
PAGADO]]+CATEGORIAS[[#This Row],[REAJUSTE
PROYECTADO]]</f>
        <v>0</v>
      </c>
      <c r="M335" s="133">
        <v>0</v>
      </c>
      <c r="N335" s="222">
        <v>0</v>
      </c>
      <c r="O335" s="142">
        <f>+CATEGORIAS[[#This Row],[PRODUCCION
PARTIDAS
ORIGINALES
ACTUAL]]+CATEGORIAS[[#This Row],[PRODUCCION
ADICIONALES
ACTUAL]]</f>
        <v>0</v>
      </c>
      <c r="P335" s="222">
        <v>0</v>
      </c>
      <c r="Q335" s="134">
        <v>0</v>
      </c>
      <c r="R335" s="141">
        <f>+CATEGORIAS[[#This Row],[PRODUCCION
ANTERIOR]]+CATEGORIAS[[#This Row],[PRODUCCION
ADICIONALES
ANTERIOR]]</f>
        <v>0</v>
      </c>
      <c r="S335" s="135">
        <v>0</v>
      </c>
      <c r="T335" s="135"/>
      <c r="U335" s="135">
        <v>0</v>
      </c>
      <c r="V335" s="262">
        <f>SUM(CATEGORIAS[[#This Row],[COSTO
ACUMULADO  AX]:[PROVISIONES]])</f>
        <v>0</v>
      </c>
      <c r="W335" s="264">
        <v>0</v>
      </c>
      <c r="X335" s="222"/>
      <c r="Y335" s="222">
        <v>0</v>
      </c>
      <c r="Z335" s="263">
        <f>SUM(CATEGORIAS[[#This Row],[COSTO ACUMULADO
ANTERIOR]:[PROVISIONES
ANTERIOR]])</f>
        <v>0</v>
      </c>
      <c r="AA335" s="338">
        <f>ABS(+CATEGORIAS[[#This Row],[PRESUPUESTO
FINAL
PROYECTADO]]-CATEGORIAS[[#This Row],[TOTAL PRODUCCION
ACTUAL]])</f>
        <v>0</v>
      </c>
      <c r="AB335" s="222"/>
      <c r="AC335" s="134"/>
      <c r="AD335" s="134">
        <v>0</v>
      </c>
      <c r="AE335" s="221">
        <f>SUM(CATEGORIAS[[#This Row],[INVENTARIO]:[PROYECCION
DE COSTO
DEL SALDO]])</f>
        <v>0</v>
      </c>
      <c r="AF335" s="134"/>
      <c r="AG335" s="134">
        <f>+CATEGORIAS[[#This Row],[PRESUPUESTO
FINAL
PROYECTADO]]-CATEGORIAS[[#This Row],[COSTO REAL]]-CATEGORIAS[[#This Row],[PROYECCION
TOTAL DE COSTO]]</f>
        <v>0</v>
      </c>
    </row>
    <row r="336" spans="1:33" x14ac:dyDescent="0.25">
      <c r="A336" s="245"/>
      <c r="B336" s="245"/>
      <c r="C336" s="245"/>
      <c r="D336" s="323" t="s">
        <v>2072</v>
      </c>
      <c r="E336" s="244" t="s">
        <v>1032</v>
      </c>
      <c r="F336" s="246" t="s">
        <v>376</v>
      </c>
      <c r="G336" s="279">
        <v>0</v>
      </c>
      <c r="H336" s="279">
        <v>0</v>
      </c>
      <c r="I336" s="132">
        <v>0</v>
      </c>
      <c r="J336" s="132">
        <v>0</v>
      </c>
      <c r="K336" s="132">
        <v>0</v>
      </c>
      <c r="L336" s="144">
        <f>CATEGORIAS[[#This Row],[ADICIONALES]]+CATEGORIAS[[#This Row],[POM]]+CATEGORIAS[[#This Row],[REAJUSTE 
PAGADO]]+CATEGORIAS[[#This Row],[REAJUSTE
PROYECTADO]]</f>
        <v>0</v>
      </c>
      <c r="M336" s="133">
        <v>0</v>
      </c>
      <c r="N336" s="222">
        <v>0</v>
      </c>
      <c r="O336" s="142">
        <f>+CATEGORIAS[[#This Row],[PRODUCCION
PARTIDAS
ORIGINALES
ACTUAL]]+CATEGORIAS[[#This Row],[PRODUCCION
ADICIONALES
ACTUAL]]</f>
        <v>0</v>
      </c>
      <c r="P336" s="222">
        <v>0</v>
      </c>
      <c r="Q336" s="222">
        <v>0</v>
      </c>
      <c r="R336" s="141">
        <f>+CATEGORIAS[[#This Row],[PRODUCCION
ANTERIOR]]+CATEGORIAS[[#This Row],[PRODUCCION
ADICIONALES
ANTERIOR]]</f>
        <v>0</v>
      </c>
      <c r="S336" s="135">
        <v>0</v>
      </c>
      <c r="T336" s="135"/>
      <c r="U336" s="135">
        <v>0</v>
      </c>
      <c r="V336" s="262">
        <f>SUM(CATEGORIAS[[#This Row],[COSTO
ACUMULADO  AX]:[PROVISIONES]])</f>
        <v>0</v>
      </c>
      <c r="W336" s="264">
        <v>0</v>
      </c>
      <c r="X336" s="222"/>
      <c r="Y336" s="222">
        <v>0</v>
      </c>
      <c r="Z336" s="263">
        <f>SUM(CATEGORIAS[[#This Row],[COSTO ACUMULADO
ANTERIOR]:[PROVISIONES
ANTERIOR]])</f>
        <v>0</v>
      </c>
      <c r="AA336" s="338">
        <f>ABS(+CATEGORIAS[[#This Row],[PRESUPUESTO
FINAL
PROYECTADO]]-CATEGORIAS[[#This Row],[TOTAL PRODUCCION
ACTUAL]])</f>
        <v>0</v>
      </c>
      <c r="AB336" s="222"/>
      <c r="AC336" s="134"/>
      <c r="AD336" s="134">
        <v>0</v>
      </c>
      <c r="AE336" s="221">
        <f>SUM(CATEGORIAS[[#This Row],[INVENTARIO]:[PROYECCION
DE COSTO
DEL SALDO]])</f>
        <v>0</v>
      </c>
      <c r="AF336" s="134"/>
      <c r="AG336" s="134">
        <f>+CATEGORIAS[[#This Row],[PRESUPUESTO
FINAL
PROYECTADO]]-CATEGORIAS[[#This Row],[COSTO REAL]]-CATEGORIAS[[#This Row],[PROYECCION
TOTAL DE COSTO]]</f>
        <v>0</v>
      </c>
    </row>
    <row r="337" spans="1:33" x14ac:dyDescent="0.25">
      <c r="A337" s="245"/>
      <c r="B337" s="245"/>
      <c r="C337" s="245"/>
      <c r="D337" s="323" t="s">
        <v>2073</v>
      </c>
      <c r="E337" s="244" t="s">
        <v>1034</v>
      </c>
      <c r="F337" s="246" t="s">
        <v>376</v>
      </c>
      <c r="G337" s="279">
        <v>0</v>
      </c>
      <c r="H337" s="279">
        <v>0</v>
      </c>
      <c r="I337" s="132">
        <v>0</v>
      </c>
      <c r="J337" s="132">
        <v>0</v>
      </c>
      <c r="K337" s="132">
        <v>0</v>
      </c>
      <c r="L337" s="144">
        <f>CATEGORIAS[[#This Row],[ADICIONALES]]+CATEGORIAS[[#This Row],[POM]]+CATEGORIAS[[#This Row],[REAJUSTE 
PAGADO]]+CATEGORIAS[[#This Row],[REAJUSTE
PROYECTADO]]</f>
        <v>0</v>
      </c>
      <c r="M337" s="133">
        <v>0</v>
      </c>
      <c r="N337" s="222">
        <v>0</v>
      </c>
      <c r="O337" s="142">
        <f>+CATEGORIAS[[#This Row],[PRODUCCION
PARTIDAS
ORIGINALES
ACTUAL]]+CATEGORIAS[[#This Row],[PRODUCCION
ADICIONALES
ACTUAL]]</f>
        <v>0</v>
      </c>
      <c r="P337" s="222">
        <v>0</v>
      </c>
      <c r="Q337" s="134">
        <v>0</v>
      </c>
      <c r="R337" s="141">
        <f>+CATEGORIAS[[#This Row],[PRODUCCION
ANTERIOR]]+CATEGORIAS[[#This Row],[PRODUCCION
ADICIONALES
ANTERIOR]]</f>
        <v>0</v>
      </c>
      <c r="S337" s="135">
        <v>0</v>
      </c>
      <c r="T337" s="135"/>
      <c r="U337" s="135">
        <v>0</v>
      </c>
      <c r="V337" s="262">
        <f>SUM(CATEGORIAS[[#This Row],[COSTO
ACUMULADO  AX]:[PROVISIONES]])</f>
        <v>0</v>
      </c>
      <c r="W337" s="264">
        <v>0</v>
      </c>
      <c r="X337" s="222"/>
      <c r="Y337" s="222">
        <v>0</v>
      </c>
      <c r="Z337" s="263">
        <f>SUM(CATEGORIAS[[#This Row],[COSTO ACUMULADO
ANTERIOR]:[PROVISIONES
ANTERIOR]])</f>
        <v>0</v>
      </c>
      <c r="AA337" s="338">
        <f>ABS(+CATEGORIAS[[#This Row],[PRESUPUESTO
FINAL
PROYECTADO]]-CATEGORIAS[[#This Row],[TOTAL PRODUCCION
ACTUAL]])</f>
        <v>0</v>
      </c>
      <c r="AB337" s="222"/>
      <c r="AC337" s="134"/>
      <c r="AD337" s="134">
        <v>0</v>
      </c>
      <c r="AE337" s="221">
        <f>SUM(CATEGORIAS[[#This Row],[INVENTARIO]:[PROYECCION
DE COSTO
DEL SALDO]])</f>
        <v>0</v>
      </c>
      <c r="AF337" s="134"/>
      <c r="AG337" s="134">
        <f>+CATEGORIAS[[#This Row],[PRESUPUESTO
FINAL
PROYECTADO]]-CATEGORIAS[[#This Row],[COSTO REAL]]-CATEGORIAS[[#This Row],[PROYECCION
TOTAL DE COSTO]]</f>
        <v>0</v>
      </c>
    </row>
    <row r="338" spans="1:33" x14ac:dyDescent="0.25">
      <c r="A338" s="245" t="s">
        <v>100</v>
      </c>
      <c r="B338" s="245" t="s">
        <v>43</v>
      </c>
      <c r="C338" s="245" t="s">
        <v>2444</v>
      </c>
      <c r="D338" s="323" t="s">
        <v>2074</v>
      </c>
      <c r="E338" s="244" t="s">
        <v>1036</v>
      </c>
      <c r="F338" s="246" t="s">
        <v>376</v>
      </c>
      <c r="G338" s="279">
        <v>0</v>
      </c>
      <c r="H338" s="279">
        <v>0</v>
      </c>
      <c r="I338" s="132">
        <v>0</v>
      </c>
      <c r="J338" s="132">
        <v>0</v>
      </c>
      <c r="K338" s="132">
        <v>0</v>
      </c>
      <c r="L338" s="144">
        <f>CATEGORIAS[[#This Row],[ADICIONALES]]+CATEGORIAS[[#This Row],[POM]]+CATEGORIAS[[#This Row],[REAJUSTE 
PAGADO]]+CATEGORIAS[[#This Row],[REAJUSTE
PROYECTADO]]</f>
        <v>0</v>
      </c>
      <c r="M338" s="133">
        <v>0</v>
      </c>
      <c r="N338" s="222">
        <v>0</v>
      </c>
      <c r="O338" s="142">
        <f>+CATEGORIAS[[#This Row],[PRODUCCION
PARTIDAS
ORIGINALES
ACTUAL]]+CATEGORIAS[[#This Row],[PRODUCCION
ADICIONALES
ACTUAL]]</f>
        <v>0</v>
      </c>
      <c r="P338" s="222">
        <v>0</v>
      </c>
      <c r="Q338" s="222">
        <v>0</v>
      </c>
      <c r="R338" s="141">
        <f>+CATEGORIAS[[#This Row],[PRODUCCION
ANTERIOR]]+CATEGORIAS[[#This Row],[PRODUCCION
ADICIONALES
ANTERIOR]]</f>
        <v>0</v>
      </c>
      <c r="S338" s="135">
        <v>0</v>
      </c>
      <c r="T338" s="135"/>
      <c r="U338" s="135">
        <v>0</v>
      </c>
      <c r="V338" s="262">
        <f>SUM(CATEGORIAS[[#This Row],[COSTO
ACUMULADO  AX]:[PROVISIONES]])</f>
        <v>0</v>
      </c>
      <c r="W338" s="264">
        <v>0</v>
      </c>
      <c r="X338" s="222"/>
      <c r="Y338" s="222">
        <v>0</v>
      </c>
      <c r="Z338" s="263">
        <f>SUM(CATEGORIAS[[#This Row],[COSTO ACUMULADO
ANTERIOR]:[PROVISIONES
ANTERIOR]])</f>
        <v>0</v>
      </c>
      <c r="AA338" s="338">
        <f>ABS(+CATEGORIAS[[#This Row],[PRESUPUESTO
FINAL
PROYECTADO]]-CATEGORIAS[[#This Row],[TOTAL PRODUCCION
ACTUAL]])</f>
        <v>0</v>
      </c>
      <c r="AB338" s="222"/>
      <c r="AC338" s="134"/>
      <c r="AD338" s="134">
        <v>0</v>
      </c>
      <c r="AE338" s="221">
        <f>SUM(CATEGORIAS[[#This Row],[INVENTARIO]:[PROYECCION
DE COSTO
DEL SALDO]])</f>
        <v>0</v>
      </c>
      <c r="AF338" s="134"/>
      <c r="AG338" s="134">
        <f>+CATEGORIAS[[#This Row],[PRESUPUESTO
FINAL
PROYECTADO]]-CATEGORIAS[[#This Row],[COSTO REAL]]-CATEGORIAS[[#This Row],[PROYECCION
TOTAL DE COSTO]]</f>
        <v>0</v>
      </c>
    </row>
    <row r="339" spans="1:33" x14ac:dyDescent="0.25">
      <c r="A339" s="245"/>
      <c r="B339" s="245"/>
      <c r="C339" s="245"/>
      <c r="D339" s="323" t="s">
        <v>2075</v>
      </c>
      <c r="E339" s="244" t="s">
        <v>1038</v>
      </c>
      <c r="F339" s="246" t="s">
        <v>376</v>
      </c>
      <c r="G339" s="279">
        <v>0</v>
      </c>
      <c r="H339" s="279">
        <v>0</v>
      </c>
      <c r="I339" s="132">
        <v>0</v>
      </c>
      <c r="J339" s="132">
        <v>0</v>
      </c>
      <c r="K339" s="132">
        <v>0</v>
      </c>
      <c r="L339" s="144">
        <f>CATEGORIAS[[#This Row],[ADICIONALES]]+CATEGORIAS[[#This Row],[POM]]+CATEGORIAS[[#This Row],[REAJUSTE 
PAGADO]]+CATEGORIAS[[#This Row],[REAJUSTE
PROYECTADO]]</f>
        <v>0</v>
      </c>
      <c r="M339" s="133">
        <v>0</v>
      </c>
      <c r="N339" s="222">
        <v>0</v>
      </c>
      <c r="O339" s="142">
        <f>+CATEGORIAS[[#This Row],[PRODUCCION
PARTIDAS
ORIGINALES
ACTUAL]]+CATEGORIAS[[#This Row],[PRODUCCION
ADICIONALES
ACTUAL]]</f>
        <v>0</v>
      </c>
      <c r="P339" s="222">
        <v>0</v>
      </c>
      <c r="Q339" s="134">
        <v>0</v>
      </c>
      <c r="R339" s="141">
        <f>+CATEGORIAS[[#This Row],[PRODUCCION
ANTERIOR]]+CATEGORIAS[[#This Row],[PRODUCCION
ADICIONALES
ANTERIOR]]</f>
        <v>0</v>
      </c>
      <c r="S339" s="135">
        <v>0</v>
      </c>
      <c r="T339" s="135"/>
      <c r="U339" s="135">
        <v>0</v>
      </c>
      <c r="V339" s="262">
        <f>SUM(CATEGORIAS[[#This Row],[COSTO
ACUMULADO  AX]:[PROVISIONES]])</f>
        <v>0</v>
      </c>
      <c r="W339" s="264">
        <v>0</v>
      </c>
      <c r="X339" s="222"/>
      <c r="Y339" s="222">
        <v>0</v>
      </c>
      <c r="Z339" s="263">
        <f>SUM(CATEGORIAS[[#This Row],[COSTO ACUMULADO
ANTERIOR]:[PROVISIONES
ANTERIOR]])</f>
        <v>0</v>
      </c>
      <c r="AA339" s="338">
        <f>ABS(+CATEGORIAS[[#This Row],[PRESUPUESTO
FINAL
PROYECTADO]]-CATEGORIAS[[#This Row],[TOTAL PRODUCCION
ACTUAL]])</f>
        <v>0</v>
      </c>
      <c r="AB339" s="222"/>
      <c r="AC339" s="134"/>
      <c r="AD339" s="134">
        <v>0</v>
      </c>
      <c r="AE339" s="221">
        <f>SUM(CATEGORIAS[[#This Row],[INVENTARIO]:[PROYECCION
DE COSTO
DEL SALDO]])</f>
        <v>0</v>
      </c>
      <c r="AF339" s="134"/>
      <c r="AG339" s="134">
        <f>+CATEGORIAS[[#This Row],[PRESUPUESTO
FINAL
PROYECTADO]]-CATEGORIAS[[#This Row],[COSTO REAL]]-CATEGORIAS[[#This Row],[PROYECCION
TOTAL DE COSTO]]</f>
        <v>0</v>
      </c>
    </row>
    <row r="340" spans="1:33" x14ac:dyDescent="0.25">
      <c r="A340" s="245"/>
      <c r="B340" s="245"/>
      <c r="C340" s="245"/>
      <c r="D340" s="323" t="s">
        <v>2076</v>
      </c>
      <c r="E340" s="244" t="s">
        <v>1040</v>
      </c>
      <c r="F340" s="246" t="s">
        <v>376</v>
      </c>
      <c r="G340" s="279">
        <v>0</v>
      </c>
      <c r="H340" s="279">
        <v>0</v>
      </c>
      <c r="I340" s="132">
        <v>0</v>
      </c>
      <c r="J340" s="132">
        <v>0</v>
      </c>
      <c r="K340" s="132">
        <v>0</v>
      </c>
      <c r="L340" s="144">
        <f>CATEGORIAS[[#This Row],[ADICIONALES]]+CATEGORIAS[[#This Row],[POM]]+CATEGORIAS[[#This Row],[REAJUSTE 
PAGADO]]+CATEGORIAS[[#This Row],[REAJUSTE
PROYECTADO]]</f>
        <v>0</v>
      </c>
      <c r="M340" s="133">
        <v>0</v>
      </c>
      <c r="N340" s="222">
        <v>0</v>
      </c>
      <c r="O340" s="142">
        <f>+CATEGORIAS[[#This Row],[PRODUCCION
PARTIDAS
ORIGINALES
ACTUAL]]+CATEGORIAS[[#This Row],[PRODUCCION
ADICIONALES
ACTUAL]]</f>
        <v>0</v>
      </c>
      <c r="P340" s="222">
        <v>0</v>
      </c>
      <c r="Q340" s="134">
        <v>0</v>
      </c>
      <c r="R340" s="141">
        <f>+CATEGORIAS[[#This Row],[PRODUCCION
ANTERIOR]]+CATEGORIAS[[#This Row],[PRODUCCION
ADICIONALES
ANTERIOR]]</f>
        <v>0</v>
      </c>
      <c r="S340" s="135">
        <v>0</v>
      </c>
      <c r="T340" s="135"/>
      <c r="U340" s="135">
        <v>0</v>
      </c>
      <c r="V340" s="262">
        <f>SUM(CATEGORIAS[[#This Row],[COSTO
ACUMULADO  AX]:[PROVISIONES]])</f>
        <v>0</v>
      </c>
      <c r="W340" s="264">
        <v>0</v>
      </c>
      <c r="X340" s="222"/>
      <c r="Y340" s="222">
        <v>0</v>
      </c>
      <c r="Z340" s="263">
        <f>SUM(CATEGORIAS[[#This Row],[COSTO ACUMULADO
ANTERIOR]:[PROVISIONES
ANTERIOR]])</f>
        <v>0</v>
      </c>
      <c r="AA340" s="338">
        <f>ABS(+CATEGORIAS[[#This Row],[PRESUPUESTO
FINAL
PROYECTADO]]-CATEGORIAS[[#This Row],[TOTAL PRODUCCION
ACTUAL]])</f>
        <v>0</v>
      </c>
      <c r="AB340" s="222"/>
      <c r="AC340" s="134"/>
      <c r="AD340" s="134">
        <v>0</v>
      </c>
      <c r="AE340" s="221">
        <f>SUM(CATEGORIAS[[#This Row],[INVENTARIO]:[PROYECCION
DE COSTO
DEL SALDO]])</f>
        <v>0</v>
      </c>
      <c r="AF340" s="134"/>
      <c r="AG340" s="134">
        <f>+CATEGORIAS[[#This Row],[PRESUPUESTO
FINAL
PROYECTADO]]-CATEGORIAS[[#This Row],[COSTO REAL]]-CATEGORIAS[[#This Row],[PROYECCION
TOTAL DE COSTO]]</f>
        <v>0</v>
      </c>
    </row>
    <row r="341" spans="1:33" x14ac:dyDescent="0.25">
      <c r="A341" s="245"/>
      <c r="B341" s="245"/>
      <c r="C341" s="245"/>
      <c r="D341" s="323" t="s">
        <v>2077</v>
      </c>
      <c r="E341" s="244" t="s">
        <v>1042</v>
      </c>
      <c r="F341" s="246" t="s">
        <v>376</v>
      </c>
      <c r="G341" s="279">
        <v>0</v>
      </c>
      <c r="H341" s="279">
        <v>0</v>
      </c>
      <c r="I341" s="132">
        <v>0</v>
      </c>
      <c r="J341" s="132">
        <v>0</v>
      </c>
      <c r="K341" s="132">
        <v>0</v>
      </c>
      <c r="L341" s="144">
        <f>CATEGORIAS[[#This Row],[ADICIONALES]]+CATEGORIAS[[#This Row],[POM]]+CATEGORIAS[[#This Row],[REAJUSTE 
PAGADO]]+CATEGORIAS[[#This Row],[REAJUSTE
PROYECTADO]]</f>
        <v>0</v>
      </c>
      <c r="M341" s="133">
        <v>0</v>
      </c>
      <c r="N341" s="222">
        <v>0</v>
      </c>
      <c r="O341" s="142">
        <f>+CATEGORIAS[[#This Row],[PRODUCCION
PARTIDAS
ORIGINALES
ACTUAL]]+CATEGORIAS[[#This Row],[PRODUCCION
ADICIONALES
ACTUAL]]</f>
        <v>0</v>
      </c>
      <c r="P341" s="222">
        <v>0</v>
      </c>
      <c r="Q341" s="222">
        <v>0</v>
      </c>
      <c r="R341" s="141">
        <f>+CATEGORIAS[[#This Row],[PRODUCCION
ANTERIOR]]+CATEGORIAS[[#This Row],[PRODUCCION
ADICIONALES
ANTERIOR]]</f>
        <v>0</v>
      </c>
      <c r="S341" s="135">
        <v>0</v>
      </c>
      <c r="T341" s="135"/>
      <c r="U341" s="135">
        <v>0</v>
      </c>
      <c r="V341" s="262">
        <f>SUM(CATEGORIAS[[#This Row],[COSTO
ACUMULADO  AX]:[PROVISIONES]])</f>
        <v>0</v>
      </c>
      <c r="W341" s="264">
        <v>0</v>
      </c>
      <c r="X341" s="222"/>
      <c r="Y341" s="222">
        <v>0</v>
      </c>
      <c r="Z341" s="263">
        <f>SUM(CATEGORIAS[[#This Row],[COSTO ACUMULADO
ANTERIOR]:[PROVISIONES
ANTERIOR]])</f>
        <v>0</v>
      </c>
      <c r="AA341" s="338">
        <f>ABS(+CATEGORIAS[[#This Row],[PRESUPUESTO
FINAL
PROYECTADO]]-CATEGORIAS[[#This Row],[TOTAL PRODUCCION
ACTUAL]])</f>
        <v>0</v>
      </c>
      <c r="AB341" s="222"/>
      <c r="AC341" s="134"/>
      <c r="AD341" s="134">
        <v>0</v>
      </c>
      <c r="AE341" s="221">
        <f>SUM(CATEGORIAS[[#This Row],[INVENTARIO]:[PROYECCION
DE COSTO
DEL SALDO]])</f>
        <v>0</v>
      </c>
      <c r="AF341" s="134"/>
      <c r="AG341" s="134">
        <f>+CATEGORIAS[[#This Row],[PRESUPUESTO
FINAL
PROYECTADO]]-CATEGORIAS[[#This Row],[COSTO REAL]]-CATEGORIAS[[#This Row],[PROYECCION
TOTAL DE COSTO]]</f>
        <v>0</v>
      </c>
    </row>
    <row r="342" spans="1:33" x14ac:dyDescent="0.25">
      <c r="A342" s="245"/>
      <c r="B342" s="245"/>
      <c r="C342" s="245"/>
      <c r="D342" s="323" t="s">
        <v>2078</v>
      </c>
      <c r="E342" s="244" t="s">
        <v>1044</v>
      </c>
      <c r="F342" s="246" t="s">
        <v>376</v>
      </c>
      <c r="G342" s="279">
        <v>0</v>
      </c>
      <c r="H342" s="279">
        <v>0</v>
      </c>
      <c r="I342" s="132">
        <v>0</v>
      </c>
      <c r="J342" s="132">
        <v>0</v>
      </c>
      <c r="K342" s="132">
        <v>0</v>
      </c>
      <c r="L342" s="144">
        <f>CATEGORIAS[[#This Row],[ADICIONALES]]+CATEGORIAS[[#This Row],[POM]]+CATEGORIAS[[#This Row],[REAJUSTE 
PAGADO]]+CATEGORIAS[[#This Row],[REAJUSTE
PROYECTADO]]</f>
        <v>0</v>
      </c>
      <c r="M342" s="133">
        <v>0</v>
      </c>
      <c r="N342" s="222">
        <v>0</v>
      </c>
      <c r="O342" s="142">
        <f>+CATEGORIAS[[#This Row],[PRODUCCION
PARTIDAS
ORIGINALES
ACTUAL]]+CATEGORIAS[[#This Row],[PRODUCCION
ADICIONALES
ACTUAL]]</f>
        <v>0</v>
      </c>
      <c r="P342" s="222">
        <v>0</v>
      </c>
      <c r="Q342" s="222">
        <v>0</v>
      </c>
      <c r="R342" s="141">
        <f>+CATEGORIAS[[#This Row],[PRODUCCION
ANTERIOR]]+CATEGORIAS[[#This Row],[PRODUCCION
ADICIONALES
ANTERIOR]]</f>
        <v>0</v>
      </c>
      <c r="S342" s="135">
        <v>0</v>
      </c>
      <c r="T342" s="135"/>
      <c r="U342" s="135">
        <v>0</v>
      </c>
      <c r="V342" s="262">
        <f>SUM(CATEGORIAS[[#This Row],[COSTO
ACUMULADO  AX]:[PROVISIONES]])</f>
        <v>0</v>
      </c>
      <c r="W342" s="264">
        <v>0</v>
      </c>
      <c r="X342" s="222"/>
      <c r="Y342" s="222">
        <v>0</v>
      </c>
      <c r="Z342" s="263">
        <f>SUM(CATEGORIAS[[#This Row],[COSTO ACUMULADO
ANTERIOR]:[PROVISIONES
ANTERIOR]])</f>
        <v>0</v>
      </c>
      <c r="AA342" s="338">
        <f>ABS(+CATEGORIAS[[#This Row],[PRESUPUESTO
FINAL
PROYECTADO]]-CATEGORIAS[[#This Row],[TOTAL PRODUCCION
ACTUAL]])</f>
        <v>0</v>
      </c>
      <c r="AB342" s="222"/>
      <c r="AC342" s="134"/>
      <c r="AD342" s="134">
        <v>0</v>
      </c>
      <c r="AE342" s="221">
        <f>SUM(CATEGORIAS[[#This Row],[INVENTARIO]:[PROYECCION
DE COSTO
DEL SALDO]])</f>
        <v>0</v>
      </c>
      <c r="AF342" s="134"/>
      <c r="AG342" s="134">
        <f>+CATEGORIAS[[#This Row],[PRESUPUESTO
FINAL
PROYECTADO]]-CATEGORIAS[[#This Row],[COSTO REAL]]-CATEGORIAS[[#This Row],[PROYECCION
TOTAL DE COSTO]]</f>
        <v>0</v>
      </c>
    </row>
    <row r="343" spans="1:33" x14ac:dyDescent="0.25">
      <c r="A343" s="245"/>
      <c r="B343" s="245"/>
      <c r="C343" s="245"/>
      <c r="D343" s="323" t="s">
        <v>2079</v>
      </c>
      <c r="E343" s="244" t="s">
        <v>1046</v>
      </c>
      <c r="F343" s="246" t="s">
        <v>376</v>
      </c>
      <c r="G343" s="279">
        <v>0</v>
      </c>
      <c r="H343" s="279">
        <v>0</v>
      </c>
      <c r="I343" s="132">
        <v>0</v>
      </c>
      <c r="J343" s="132">
        <v>0</v>
      </c>
      <c r="K343" s="132">
        <v>0</v>
      </c>
      <c r="L343" s="144">
        <f>CATEGORIAS[[#This Row],[ADICIONALES]]+CATEGORIAS[[#This Row],[POM]]+CATEGORIAS[[#This Row],[REAJUSTE 
PAGADO]]+CATEGORIAS[[#This Row],[REAJUSTE
PROYECTADO]]</f>
        <v>0</v>
      </c>
      <c r="M343" s="133">
        <v>0</v>
      </c>
      <c r="N343" s="222">
        <v>0</v>
      </c>
      <c r="O343" s="142">
        <f>+CATEGORIAS[[#This Row],[PRODUCCION
PARTIDAS
ORIGINALES
ACTUAL]]+CATEGORIAS[[#This Row],[PRODUCCION
ADICIONALES
ACTUAL]]</f>
        <v>0</v>
      </c>
      <c r="P343" s="222">
        <v>0</v>
      </c>
      <c r="Q343" s="222">
        <v>0</v>
      </c>
      <c r="R343" s="141">
        <f>+CATEGORIAS[[#This Row],[PRODUCCION
ANTERIOR]]+CATEGORIAS[[#This Row],[PRODUCCION
ADICIONALES
ANTERIOR]]</f>
        <v>0</v>
      </c>
      <c r="S343" s="135">
        <v>0</v>
      </c>
      <c r="T343" s="135"/>
      <c r="U343" s="135">
        <v>0</v>
      </c>
      <c r="V343" s="262">
        <f>SUM(CATEGORIAS[[#This Row],[COSTO
ACUMULADO  AX]:[PROVISIONES]])</f>
        <v>0</v>
      </c>
      <c r="W343" s="264">
        <v>0</v>
      </c>
      <c r="X343" s="222"/>
      <c r="Y343" s="222">
        <v>0</v>
      </c>
      <c r="Z343" s="263">
        <f>SUM(CATEGORIAS[[#This Row],[COSTO ACUMULADO
ANTERIOR]:[PROVISIONES
ANTERIOR]])</f>
        <v>0</v>
      </c>
      <c r="AA343" s="338">
        <f>ABS(+CATEGORIAS[[#This Row],[PRESUPUESTO
FINAL
PROYECTADO]]-CATEGORIAS[[#This Row],[TOTAL PRODUCCION
ACTUAL]])</f>
        <v>0</v>
      </c>
      <c r="AB343" s="222"/>
      <c r="AC343" s="134"/>
      <c r="AD343" s="134">
        <v>0</v>
      </c>
      <c r="AE343" s="221">
        <f>SUM(CATEGORIAS[[#This Row],[INVENTARIO]:[PROYECCION
DE COSTO
DEL SALDO]])</f>
        <v>0</v>
      </c>
      <c r="AF343" s="134"/>
      <c r="AG343" s="134">
        <f>+CATEGORIAS[[#This Row],[PRESUPUESTO
FINAL
PROYECTADO]]-CATEGORIAS[[#This Row],[COSTO REAL]]-CATEGORIAS[[#This Row],[PROYECCION
TOTAL DE COSTO]]</f>
        <v>0</v>
      </c>
    </row>
    <row r="344" spans="1:33" x14ac:dyDescent="0.25">
      <c r="A344" s="245"/>
      <c r="B344" s="245"/>
      <c r="C344" s="245"/>
      <c r="D344" s="323" t="s">
        <v>2080</v>
      </c>
      <c r="E344" s="244" t="s">
        <v>1048</v>
      </c>
      <c r="F344" s="246" t="s">
        <v>376</v>
      </c>
      <c r="G344" s="279">
        <v>0</v>
      </c>
      <c r="H344" s="279">
        <v>0</v>
      </c>
      <c r="I344" s="132">
        <v>0</v>
      </c>
      <c r="J344" s="132">
        <v>0</v>
      </c>
      <c r="K344" s="132">
        <v>0</v>
      </c>
      <c r="L344" s="144">
        <f>CATEGORIAS[[#This Row],[ADICIONALES]]+CATEGORIAS[[#This Row],[POM]]+CATEGORIAS[[#This Row],[REAJUSTE 
PAGADO]]+CATEGORIAS[[#This Row],[REAJUSTE
PROYECTADO]]</f>
        <v>0</v>
      </c>
      <c r="M344" s="133">
        <v>0</v>
      </c>
      <c r="N344" s="222">
        <v>0</v>
      </c>
      <c r="O344" s="142">
        <f>+CATEGORIAS[[#This Row],[PRODUCCION
PARTIDAS
ORIGINALES
ACTUAL]]+CATEGORIAS[[#This Row],[PRODUCCION
ADICIONALES
ACTUAL]]</f>
        <v>0</v>
      </c>
      <c r="P344" s="222">
        <v>0</v>
      </c>
      <c r="Q344" s="222">
        <v>0</v>
      </c>
      <c r="R344" s="141">
        <f>+CATEGORIAS[[#This Row],[PRODUCCION
ANTERIOR]]+CATEGORIAS[[#This Row],[PRODUCCION
ADICIONALES
ANTERIOR]]</f>
        <v>0</v>
      </c>
      <c r="S344" s="135">
        <v>0</v>
      </c>
      <c r="T344" s="135"/>
      <c r="U344" s="135">
        <v>0</v>
      </c>
      <c r="V344" s="262">
        <f>SUM(CATEGORIAS[[#This Row],[COSTO
ACUMULADO  AX]:[PROVISIONES]])</f>
        <v>0</v>
      </c>
      <c r="W344" s="264">
        <v>0</v>
      </c>
      <c r="X344" s="222"/>
      <c r="Y344" s="222">
        <v>0</v>
      </c>
      <c r="Z344" s="263">
        <f>SUM(CATEGORIAS[[#This Row],[COSTO ACUMULADO
ANTERIOR]:[PROVISIONES
ANTERIOR]])</f>
        <v>0</v>
      </c>
      <c r="AA344" s="338">
        <f>ABS(+CATEGORIAS[[#This Row],[PRESUPUESTO
FINAL
PROYECTADO]]-CATEGORIAS[[#This Row],[TOTAL PRODUCCION
ACTUAL]])</f>
        <v>0</v>
      </c>
      <c r="AB344" s="222"/>
      <c r="AC344" s="134"/>
      <c r="AD344" s="134">
        <v>0</v>
      </c>
      <c r="AE344" s="221">
        <f>SUM(CATEGORIAS[[#This Row],[INVENTARIO]:[PROYECCION
DE COSTO
DEL SALDO]])</f>
        <v>0</v>
      </c>
      <c r="AF344" s="134"/>
      <c r="AG344" s="134">
        <f>+CATEGORIAS[[#This Row],[PRESUPUESTO
FINAL
PROYECTADO]]-CATEGORIAS[[#This Row],[COSTO REAL]]-CATEGORIAS[[#This Row],[PROYECCION
TOTAL DE COSTO]]</f>
        <v>0</v>
      </c>
    </row>
    <row r="345" spans="1:33" x14ac:dyDescent="0.25">
      <c r="A345" s="245"/>
      <c r="B345" s="245"/>
      <c r="C345" s="245"/>
      <c r="D345" s="323" t="s">
        <v>2081</v>
      </c>
      <c r="E345" s="244" t="s">
        <v>1050</v>
      </c>
      <c r="F345" s="246" t="s">
        <v>376</v>
      </c>
      <c r="G345" s="279">
        <v>0</v>
      </c>
      <c r="H345" s="279">
        <v>0</v>
      </c>
      <c r="I345" s="132">
        <v>0</v>
      </c>
      <c r="J345" s="132">
        <v>0</v>
      </c>
      <c r="K345" s="132">
        <v>0</v>
      </c>
      <c r="L345" s="144">
        <f>CATEGORIAS[[#This Row],[ADICIONALES]]+CATEGORIAS[[#This Row],[POM]]+CATEGORIAS[[#This Row],[REAJUSTE 
PAGADO]]+CATEGORIAS[[#This Row],[REAJUSTE
PROYECTADO]]</f>
        <v>0</v>
      </c>
      <c r="M345" s="133">
        <v>0</v>
      </c>
      <c r="N345" s="222">
        <v>0</v>
      </c>
      <c r="O345" s="142">
        <f>+CATEGORIAS[[#This Row],[PRODUCCION
PARTIDAS
ORIGINALES
ACTUAL]]+CATEGORIAS[[#This Row],[PRODUCCION
ADICIONALES
ACTUAL]]</f>
        <v>0</v>
      </c>
      <c r="P345" s="222">
        <v>0</v>
      </c>
      <c r="Q345" s="222">
        <v>0</v>
      </c>
      <c r="R345" s="141">
        <f>+CATEGORIAS[[#This Row],[PRODUCCION
ANTERIOR]]+CATEGORIAS[[#This Row],[PRODUCCION
ADICIONALES
ANTERIOR]]</f>
        <v>0</v>
      </c>
      <c r="S345" s="135">
        <v>0</v>
      </c>
      <c r="T345" s="135"/>
      <c r="U345" s="135">
        <v>0</v>
      </c>
      <c r="V345" s="262">
        <f>SUM(CATEGORIAS[[#This Row],[COSTO
ACUMULADO  AX]:[PROVISIONES]])</f>
        <v>0</v>
      </c>
      <c r="W345" s="264">
        <v>0</v>
      </c>
      <c r="X345" s="222"/>
      <c r="Y345" s="222">
        <v>0</v>
      </c>
      <c r="Z345" s="263">
        <f>SUM(CATEGORIAS[[#This Row],[COSTO ACUMULADO
ANTERIOR]:[PROVISIONES
ANTERIOR]])</f>
        <v>0</v>
      </c>
      <c r="AA345" s="338">
        <f>ABS(+CATEGORIAS[[#This Row],[PRESUPUESTO
FINAL
PROYECTADO]]-CATEGORIAS[[#This Row],[TOTAL PRODUCCION
ACTUAL]])</f>
        <v>0</v>
      </c>
      <c r="AB345" s="222"/>
      <c r="AC345" s="134"/>
      <c r="AD345" s="134">
        <v>0</v>
      </c>
      <c r="AE345" s="221">
        <f>SUM(CATEGORIAS[[#This Row],[INVENTARIO]:[PROYECCION
DE COSTO
DEL SALDO]])</f>
        <v>0</v>
      </c>
      <c r="AF345" s="134"/>
      <c r="AG345" s="134">
        <f>+CATEGORIAS[[#This Row],[PRESUPUESTO
FINAL
PROYECTADO]]-CATEGORIAS[[#This Row],[COSTO REAL]]-CATEGORIAS[[#This Row],[PROYECCION
TOTAL DE COSTO]]</f>
        <v>0</v>
      </c>
    </row>
    <row r="346" spans="1:33" x14ac:dyDescent="0.25">
      <c r="A346" s="245"/>
      <c r="B346" s="245"/>
      <c r="C346" s="245"/>
      <c r="D346" s="323" t="s">
        <v>2082</v>
      </c>
      <c r="E346" s="244" t="s">
        <v>1052</v>
      </c>
      <c r="F346" s="246" t="s">
        <v>376</v>
      </c>
      <c r="G346" s="279">
        <v>0</v>
      </c>
      <c r="H346" s="279">
        <v>0</v>
      </c>
      <c r="I346" s="132">
        <v>0</v>
      </c>
      <c r="J346" s="132">
        <v>0</v>
      </c>
      <c r="K346" s="132">
        <v>0</v>
      </c>
      <c r="L346" s="144">
        <f>CATEGORIAS[[#This Row],[ADICIONALES]]+CATEGORIAS[[#This Row],[POM]]+CATEGORIAS[[#This Row],[REAJUSTE 
PAGADO]]+CATEGORIAS[[#This Row],[REAJUSTE
PROYECTADO]]</f>
        <v>0</v>
      </c>
      <c r="M346" s="133">
        <v>0</v>
      </c>
      <c r="N346" s="222">
        <v>0</v>
      </c>
      <c r="O346" s="142">
        <f>+CATEGORIAS[[#This Row],[PRODUCCION
PARTIDAS
ORIGINALES
ACTUAL]]+CATEGORIAS[[#This Row],[PRODUCCION
ADICIONALES
ACTUAL]]</f>
        <v>0</v>
      </c>
      <c r="P346" s="222">
        <v>0</v>
      </c>
      <c r="Q346" s="222">
        <v>0</v>
      </c>
      <c r="R346" s="141">
        <f>+CATEGORIAS[[#This Row],[PRODUCCION
ANTERIOR]]+CATEGORIAS[[#This Row],[PRODUCCION
ADICIONALES
ANTERIOR]]</f>
        <v>0</v>
      </c>
      <c r="S346" s="135">
        <v>0</v>
      </c>
      <c r="T346" s="135"/>
      <c r="U346" s="135">
        <v>0</v>
      </c>
      <c r="V346" s="262">
        <f>SUM(CATEGORIAS[[#This Row],[COSTO
ACUMULADO  AX]:[PROVISIONES]])</f>
        <v>0</v>
      </c>
      <c r="W346" s="264">
        <v>0</v>
      </c>
      <c r="X346" s="222"/>
      <c r="Y346" s="222">
        <v>0</v>
      </c>
      <c r="Z346" s="263">
        <f>SUM(CATEGORIAS[[#This Row],[COSTO ACUMULADO
ANTERIOR]:[PROVISIONES
ANTERIOR]])</f>
        <v>0</v>
      </c>
      <c r="AA346" s="338">
        <f>ABS(+CATEGORIAS[[#This Row],[PRESUPUESTO
FINAL
PROYECTADO]]-CATEGORIAS[[#This Row],[TOTAL PRODUCCION
ACTUAL]])</f>
        <v>0</v>
      </c>
      <c r="AB346" s="222"/>
      <c r="AC346" s="134"/>
      <c r="AD346" s="134">
        <v>0</v>
      </c>
      <c r="AE346" s="221">
        <f>SUM(CATEGORIAS[[#This Row],[INVENTARIO]:[PROYECCION
DE COSTO
DEL SALDO]])</f>
        <v>0</v>
      </c>
      <c r="AF346" s="134"/>
      <c r="AG346" s="134">
        <f>+CATEGORIAS[[#This Row],[PRESUPUESTO
FINAL
PROYECTADO]]-CATEGORIAS[[#This Row],[COSTO REAL]]-CATEGORIAS[[#This Row],[PROYECCION
TOTAL DE COSTO]]</f>
        <v>0</v>
      </c>
    </row>
    <row r="347" spans="1:33" x14ac:dyDescent="0.25">
      <c r="A347" s="245"/>
      <c r="B347" s="245"/>
      <c r="C347" s="245"/>
      <c r="D347" s="323" t="s">
        <v>2083</v>
      </c>
      <c r="E347" s="244" t="s">
        <v>1054</v>
      </c>
      <c r="F347" s="246" t="s">
        <v>376</v>
      </c>
      <c r="G347" s="279">
        <v>0</v>
      </c>
      <c r="H347" s="279">
        <v>0</v>
      </c>
      <c r="I347" s="132">
        <v>0</v>
      </c>
      <c r="J347" s="132">
        <v>0</v>
      </c>
      <c r="K347" s="132">
        <v>0</v>
      </c>
      <c r="L347" s="144">
        <f>CATEGORIAS[[#This Row],[ADICIONALES]]+CATEGORIAS[[#This Row],[POM]]+CATEGORIAS[[#This Row],[REAJUSTE 
PAGADO]]+CATEGORIAS[[#This Row],[REAJUSTE
PROYECTADO]]</f>
        <v>0</v>
      </c>
      <c r="M347" s="133">
        <v>0</v>
      </c>
      <c r="N347" s="222">
        <v>0</v>
      </c>
      <c r="O347" s="142">
        <f>+CATEGORIAS[[#This Row],[PRODUCCION
PARTIDAS
ORIGINALES
ACTUAL]]+CATEGORIAS[[#This Row],[PRODUCCION
ADICIONALES
ACTUAL]]</f>
        <v>0</v>
      </c>
      <c r="P347" s="222">
        <v>0</v>
      </c>
      <c r="Q347" s="222">
        <v>0</v>
      </c>
      <c r="R347" s="141">
        <f>+CATEGORIAS[[#This Row],[PRODUCCION
ANTERIOR]]+CATEGORIAS[[#This Row],[PRODUCCION
ADICIONALES
ANTERIOR]]</f>
        <v>0</v>
      </c>
      <c r="S347" s="135">
        <v>0</v>
      </c>
      <c r="T347" s="135"/>
      <c r="U347" s="135">
        <v>0</v>
      </c>
      <c r="V347" s="262">
        <f>SUM(CATEGORIAS[[#This Row],[COSTO
ACUMULADO  AX]:[PROVISIONES]])</f>
        <v>0</v>
      </c>
      <c r="W347" s="264">
        <v>0</v>
      </c>
      <c r="X347" s="222"/>
      <c r="Y347" s="222">
        <v>0</v>
      </c>
      <c r="Z347" s="263">
        <f>SUM(CATEGORIAS[[#This Row],[COSTO ACUMULADO
ANTERIOR]:[PROVISIONES
ANTERIOR]])</f>
        <v>0</v>
      </c>
      <c r="AA347" s="338">
        <f>ABS(+CATEGORIAS[[#This Row],[PRESUPUESTO
FINAL
PROYECTADO]]-CATEGORIAS[[#This Row],[TOTAL PRODUCCION
ACTUAL]])</f>
        <v>0</v>
      </c>
      <c r="AB347" s="222"/>
      <c r="AC347" s="134"/>
      <c r="AD347" s="134">
        <v>0</v>
      </c>
      <c r="AE347" s="221">
        <f>SUM(CATEGORIAS[[#This Row],[INVENTARIO]:[PROYECCION
DE COSTO
DEL SALDO]])</f>
        <v>0</v>
      </c>
      <c r="AF347" s="134"/>
      <c r="AG347" s="134">
        <f>+CATEGORIAS[[#This Row],[PRESUPUESTO
FINAL
PROYECTADO]]-CATEGORIAS[[#This Row],[COSTO REAL]]-CATEGORIAS[[#This Row],[PROYECCION
TOTAL DE COSTO]]</f>
        <v>0</v>
      </c>
    </row>
    <row r="348" spans="1:33" x14ac:dyDescent="0.25">
      <c r="A348" s="245"/>
      <c r="B348" s="245"/>
      <c r="C348" s="245"/>
      <c r="D348" s="323" t="s">
        <v>2084</v>
      </c>
      <c r="E348" s="244" t="s">
        <v>1056</v>
      </c>
      <c r="F348" s="246" t="s">
        <v>376</v>
      </c>
      <c r="G348" s="279">
        <v>0</v>
      </c>
      <c r="H348" s="279">
        <v>0</v>
      </c>
      <c r="I348" s="132">
        <v>0</v>
      </c>
      <c r="J348" s="132">
        <v>0</v>
      </c>
      <c r="K348" s="132">
        <v>0</v>
      </c>
      <c r="L348" s="144">
        <f>CATEGORIAS[[#This Row],[ADICIONALES]]+CATEGORIAS[[#This Row],[POM]]+CATEGORIAS[[#This Row],[REAJUSTE 
PAGADO]]+CATEGORIAS[[#This Row],[REAJUSTE
PROYECTADO]]</f>
        <v>0</v>
      </c>
      <c r="M348" s="133">
        <v>0</v>
      </c>
      <c r="N348" s="222">
        <v>0</v>
      </c>
      <c r="O348" s="142">
        <f>+CATEGORIAS[[#This Row],[PRODUCCION
PARTIDAS
ORIGINALES
ACTUAL]]+CATEGORIAS[[#This Row],[PRODUCCION
ADICIONALES
ACTUAL]]</f>
        <v>0</v>
      </c>
      <c r="P348" s="222">
        <v>0</v>
      </c>
      <c r="Q348" s="222">
        <v>0</v>
      </c>
      <c r="R348" s="141">
        <f>+CATEGORIAS[[#This Row],[PRODUCCION
ANTERIOR]]+CATEGORIAS[[#This Row],[PRODUCCION
ADICIONALES
ANTERIOR]]</f>
        <v>0</v>
      </c>
      <c r="S348" s="135">
        <v>0</v>
      </c>
      <c r="T348" s="135"/>
      <c r="U348" s="135">
        <v>0</v>
      </c>
      <c r="V348" s="262">
        <f>SUM(CATEGORIAS[[#This Row],[COSTO
ACUMULADO  AX]:[PROVISIONES]])</f>
        <v>0</v>
      </c>
      <c r="W348" s="264">
        <v>0</v>
      </c>
      <c r="X348" s="222"/>
      <c r="Y348" s="222">
        <v>0</v>
      </c>
      <c r="Z348" s="263">
        <f>SUM(CATEGORIAS[[#This Row],[COSTO ACUMULADO
ANTERIOR]:[PROVISIONES
ANTERIOR]])</f>
        <v>0</v>
      </c>
      <c r="AA348" s="338">
        <f>ABS(+CATEGORIAS[[#This Row],[PRESUPUESTO
FINAL
PROYECTADO]]-CATEGORIAS[[#This Row],[TOTAL PRODUCCION
ACTUAL]])</f>
        <v>0</v>
      </c>
      <c r="AB348" s="222"/>
      <c r="AC348" s="134"/>
      <c r="AD348" s="134">
        <v>0</v>
      </c>
      <c r="AE348" s="221">
        <f>SUM(CATEGORIAS[[#This Row],[INVENTARIO]:[PROYECCION
DE COSTO
DEL SALDO]])</f>
        <v>0</v>
      </c>
      <c r="AF348" s="134"/>
      <c r="AG348" s="134">
        <f>+CATEGORIAS[[#This Row],[PRESUPUESTO
FINAL
PROYECTADO]]-CATEGORIAS[[#This Row],[COSTO REAL]]-CATEGORIAS[[#This Row],[PROYECCION
TOTAL DE COSTO]]</f>
        <v>0</v>
      </c>
    </row>
    <row r="349" spans="1:33" x14ac:dyDescent="0.25">
      <c r="A349" s="245"/>
      <c r="B349" s="245"/>
      <c r="C349" s="245"/>
      <c r="D349" s="323" t="s">
        <v>2085</v>
      </c>
      <c r="E349" s="244" t="s">
        <v>1058</v>
      </c>
      <c r="F349" s="246" t="s">
        <v>376</v>
      </c>
      <c r="G349" s="279">
        <v>0</v>
      </c>
      <c r="H349" s="279">
        <v>0</v>
      </c>
      <c r="I349" s="132">
        <v>0</v>
      </c>
      <c r="J349" s="132">
        <v>0</v>
      </c>
      <c r="K349" s="132">
        <v>0</v>
      </c>
      <c r="L349" s="144">
        <f>CATEGORIAS[[#This Row],[ADICIONALES]]+CATEGORIAS[[#This Row],[POM]]+CATEGORIAS[[#This Row],[REAJUSTE 
PAGADO]]+CATEGORIAS[[#This Row],[REAJUSTE
PROYECTADO]]</f>
        <v>0</v>
      </c>
      <c r="M349" s="133">
        <v>0</v>
      </c>
      <c r="N349" s="222">
        <v>0</v>
      </c>
      <c r="O349" s="142">
        <f>+CATEGORIAS[[#This Row],[PRODUCCION
PARTIDAS
ORIGINALES
ACTUAL]]+CATEGORIAS[[#This Row],[PRODUCCION
ADICIONALES
ACTUAL]]</f>
        <v>0</v>
      </c>
      <c r="P349" s="222">
        <v>0</v>
      </c>
      <c r="Q349" s="134">
        <v>0</v>
      </c>
      <c r="R349" s="141">
        <f>+CATEGORIAS[[#This Row],[PRODUCCION
ANTERIOR]]+CATEGORIAS[[#This Row],[PRODUCCION
ADICIONALES
ANTERIOR]]</f>
        <v>0</v>
      </c>
      <c r="S349" s="135">
        <v>0</v>
      </c>
      <c r="T349" s="135"/>
      <c r="U349" s="135">
        <v>0</v>
      </c>
      <c r="V349" s="262">
        <f>SUM(CATEGORIAS[[#This Row],[COSTO
ACUMULADO  AX]:[PROVISIONES]])</f>
        <v>0</v>
      </c>
      <c r="W349" s="264">
        <v>0</v>
      </c>
      <c r="X349" s="222"/>
      <c r="Y349" s="222">
        <v>0</v>
      </c>
      <c r="Z349" s="263">
        <f>SUM(CATEGORIAS[[#This Row],[COSTO ACUMULADO
ANTERIOR]:[PROVISIONES
ANTERIOR]])</f>
        <v>0</v>
      </c>
      <c r="AA349" s="338">
        <f>ABS(+CATEGORIAS[[#This Row],[PRESUPUESTO
FINAL
PROYECTADO]]-CATEGORIAS[[#This Row],[TOTAL PRODUCCION
ACTUAL]])</f>
        <v>0</v>
      </c>
      <c r="AB349" s="222"/>
      <c r="AC349" s="134"/>
      <c r="AD349" s="134">
        <v>0</v>
      </c>
      <c r="AE349" s="221">
        <f>SUM(CATEGORIAS[[#This Row],[INVENTARIO]:[PROYECCION
DE COSTO
DEL SALDO]])</f>
        <v>0</v>
      </c>
      <c r="AF349" s="134"/>
      <c r="AG349" s="134">
        <f>+CATEGORIAS[[#This Row],[PRESUPUESTO
FINAL
PROYECTADO]]-CATEGORIAS[[#This Row],[COSTO REAL]]-CATEGORIAS[[#This Row],[PROYECCION
TOTAL DE COSTO]]</f>
        <v>0</v>
      </c>
    </row>
    <row r="350" spans="1:33" x14ac:dyDescent="0.25">
      <c r="A350" s="245"/>
      <c r="B350" s="245"/>
      <c r="C350" s="245"/>
      <c r="D350" s="323" t="s">
        <v>2086</v>
      </c>
      <c r="E350" s="244" t="s">
        <v>1060</v>
      </c>
      <c r="F350" s="246" t="s">
        <v>376</v>
      </c>
      <c r="G350" s="279">
        <v>0</v>
      </c>
      <c r="H350" s="279">
        <v>0</v>
      </c>
      <c r="I350" s="132">
        <v>0</v>
      </c>
      <c r="J350" s="132">
        <v>0</v>
      </c>
      <c r="K350" s="132">
        <v>0</v>
      </c>
      <c r="L350" s="144">
        <f>CATEGORIAS[[#This Row],[ADICIONALES]]+CATEGORIAS[[#This Row],[POM]]+CATEGORIAS[[#This Row],[REAJUSTE 
PAGADO]]+CATEGORIAS[[#This Row],[REAJUSTE
PROYECTADO]]</f>
        <v>0</v>
      </c>
      <c r="M350" s="133">
        <v>0</v>
      </c>
      <c r="N350" s="222">
        <v>0</v>
      </c>
      <c r="O350" s="142">
        <f>+CATEGORIAS[[#This Row],[PRODUCCION
PARTIDAS
ORIGINALES
ACTUAL]]+CATEGORIAS[[#This Row],[PRODUCCION
ADICIONALES
ACTUAL]]</f>
        <v>0</v>
      </c>
      <c r="P350" s="222">
        <v>0</v>
      </c>
      <c r="Q350" s="134">
        <v>0</v>
      </c>
      <c r="R350" s="141">
        <f>+CATEGORIAS[[#This Row],[PRODUCCION
ANTERIOR]]+CATEGORIAS[[#This Row],[PRODUCCION
ADICIONALES
ANTERIOR]]</f>
        <v>0</v>
      </c>
      <c r="S350" s="135">
        <v>0</v>
      </c>
      <c r="T350" s="135"/>
      <c r="U350" s="135">
        <v>0</v>
      </c>
      <c r="V350" s="262">
        <f>SUM(CATEGORIAS[[#This Row],[COSTO
ACUMULADO  AX]:[PROVISIONES]])</f>
        <v>0</v>
      </c>
      <c r="W350" s="264">
        <v>0</v>
      </c>
      <c r="X350" s="222"/>
      <c r="Y350" s="222">
        <v>0</v>
      </c>
      <c r="Z350" s="263">
        <f>SUM(CATEGORIAS[[#This Row],[COSTO ACUMULADO
ANTERIOR]:[PROVISIONES
ANTERIOR]])</f>
        <v>0</v>
      </c>
      <c r="AA350" s="338">
        <f>ABS(+CATEGORIAS[[#This Row],[PRESUPUESTO
FINAL
PROYECTADO]]-CATEGORIAS[[#This Row],[TOTAL PRODUCCION
ACTUAL]])</f>
        <v>0</v>
      </c>
      <c r="AB350" s="222"/>
      <c r="AC350" s="134"/>
      <c r="AD350" s="134">
        <v>0</v>
      </c>
      <c r="AE350" s="221">
        <f>SUM(CATEGORIAS[[#This Row],[INVENTARIO]:[PROYECCION
DE COSTO
DEL SALDO]])</f>
        <v>0</v>
      </c>
      <c r="AF350" s="134"/>
      <c r="AG350" s="134">
        <f>+CATEGORIAS[[#This Row],[PRESUPUESTO
FINAL
PROYECTADO]]-CATEGORIAS[[#This Row],[COSTO REAL]]-CATEGORIAS[[#This Row],[PROYECCION
TOTAL DE COSTO]]</f>
        <v>0</v>
      </c>
    </row>
    <row r="351" spans="1:33" x14ac:dyDescent="0.25">
      <c r="A351" s="245"/>
      <c r="B351" s="245"/>
      <c r="C351" s="245"/>
      <c r="D351" s="323" t="s">
        <v>2087</v>
      </c>
      <c r="E351" s="244" t="s">
        <v>1062</v>
      </c>
      <c r="F351" s="246" t="s">
        <v>376</v>
      </c>
      <c r="G351" s="279">
        <v>0</v>
      </c>
      <c r="H351" s="279">
        <v>0</v>
      </c>
      <c r="I351" s="132">
        <v>0</v>
      </c>
      <c r="J351" s="132">
        <v>0</v>
      </c>
      <c r="K351" s="132">
        <v>0</v>
      </c>
      <c r="L351" s="144">
        <f>CATEGORIAS[[#This Row],[ADICIONALES]]+CATEGORIAS[[#This Row],[POM]]+CATEGORIAS[[#This Row],[REAJUSTE 
PAGADO]]+CATEGORIAS[[#This Row],[REAJUSTE
PROYECTADO]]</f>
        <v>0</v>
      </c>
      <c r="M351" s="133">
        <v>0</v>
      </c>
      <c r="N351" s="222">
        <v>0</v>
      </c>
      <c r="O351" s="142">
        <f>+CATEGORIAS[[#This Row],[PRODUCCION
PARTIDAS
ORIGINALES
ACTUAL]]+CATEGORIAS[[#This Row],[PRODUCCION
ADICIONALES
ACTUAL]]</f>
        <v>0</v>
      </c>
      <c r="P351" s="222">
        <v>0</v>
      </c>
      <c r="Q351" s="222">
        <v>0</v>
      </c>
      <c r="R351" s="141">
        <f>+CATEGORIAS[[#This Row],[PRODUCCION
ANTERIOR]]+CATEGORIAS[[#This Row],[PRODUCCION
ADICIONALES
ANTERIOR]]</f>
        <v>0</v>
      </c>
      <c r="S351" s="135">
        <v>0</v>
      </c>
      <c r="T351" s="135"/>
      <c r="U351" s="135">
        <v>0</v>
      </c>
      <c r="V351" s="262">
        <f>SUM(CATEGORIAS[[#This Row],[COSTO
ACUMULADO  AX]:[PROVISIONES]])</f>
        <v>0</v>
      </c>
      <c r="W351" s="264">
        <v>0</v>
      </c>
      <c r="X351" s="222"/>
      <c r="Y351" s="222">
        <v>0</v>
      </c>
      <c r="Z351" s="263">
        <f>SUM(CATEGORIAS[[#This Row],[COSTO ACUMULADO
ANTERIOR]:[PROVISIONES
ANTERIOR]])</f>
        <v>0</v>
      </c>
      <c r="AA351" s="338">
        <f>ABS(+CATEGORIAS[[#This Row],[PRESUPUESTO
FINAL
PROYECTADO]]-CATEGORIAS[[#This Row],[TOTAL PRODUCCION
ACTUAL]])</f>
        <v>0</v>
      </c>
      <c r="AB351" s="222"/>
      <c r="AC351" s="134"/>
      <c r="AD351" s="134">
        <v>0</v>
      </c>
      <c r="AE351" s="221">
        <f>SUM(CATEGORIAS[[#This Row],[INVENTARIO]:[PROYECCION
DE COSTO
DEL SALDO]])</f>
        <v>0</v>
      </c>
      <c r="AF351" s="134"/>
      <c r="AG351" s="134">
        <f>+CATEGORIAS[[#This Row],[PRESUPUESTO
FINAL
PROYECTADO]]-CATEGORIAS[[#This Row],[COSTO REAL]]-CATEGORIAS[[#This Row],[PROYECCION
TOTAL DE COSTO]]</f>
        <v>0</v>
      </c>
    </row>
    <row r="352" spans="1:33" x14ac:dyDescent="0.25">
      <c r="A352" s="245"/>
      <c r="B352" s="245"/>
      <c r="C352" s="245"/>
      <c r="D352" s="323" t="s">
        <v>2088</v>
      </c>
      <c r="E352" s="244" t="s">
        <v>1064</v>
      </c>
      <c r="F352" s="246" t="s">
        <v>376</v>
      </c>
      <c r="G352" s="279">
        <v>0</v>
      </c>
      <c r="H352" s="279">
        <v>0</v>
      </c>
      <c r="I352" s="132">
        <v>0</v>
      </c>
      <c r="J352" s="132">
        <v>0</v>
      </c>
      <c r="K352" s="132">
        <v>0</v>
      </c>
      <c r="L352" s="144">
        <f>CATEGORIAS[[#This Row],[ADICIONALES]]+CATEGORIAS[[#This Row],[POM]]+CATEGORIAS[[#This Row],[REAJUSTE 
PAGADO]]+CATEGORIAS[[#This Row],[REAJUSTE
PROYECTADO]]</f>
        <v>0</v>
      </c>
      <c r="M352" s="133">
        <v>0</v>
      </c>
      <c r="N352" s="222">
        <v>0</v>
      </c>
      <c r="O352" s="142">
        <f>+CATEGORIAS[[#This Row],[PRODUCCION
PARTIDAS
ORIGINALES
ACTUAL]]+CATEGORIAS[[#This Row],[PRODUCCION
ADICIONALES
ACTUAL]]</f>
        <v>0</v>
      </c>
      <c r="P352" s="222">
        <v>0</v>
      </c>
      <c r="Q352" s="222">
        <v>0</v>
      </c>
      <c r="R352" s="141">
        <f>+CATEGORIAS[[#This Row],[PRODUCCION
ANTERIOR]]+CATEGORIAS[[#This Row],[PRODUCCION
ADICIONALES
ANTERIOR]]</f>
        <v>0</v>
      </c>
      <c r="S352" s="135">
        <v>0</v>
      </c>
      <c r="T352" s="135"/>
      <c r="U352" s="135">
        <v>0</v>
      </c>
      <c r="V352" s="262">
        <f>SUM(CATEGORIAS[[#This Row],[COSTO
ACUMULADO  AX]:[PROVISIONES]])</f>
        <v>0</v>
      </c>
      <c r="W352" s="264">
        <v>0</v>
      </c>
      <c r="X352" s="222"/>
      <c r="Y352" s="222">
        <v>0</v>
      </c>
      <c r="Z352" s="263">
        <f>SUM(CATEGORIAS[[#This Row],[COSTO ACUMULADO
ANTERIOR]:[PROVISIONES
ANTERIOR]])</f>
        <v>0</v>
      </c>
      <c r="AA352" s="338">
        <f>ABS(+CATEGORIAS[[#This Row],[PRESUPUESTO
FINAL
PROYECTADO]]-CATEGORIAS[[#This Row],[TOTAL PRODUCCION
ACTUAL]])</f>
        <v>0</v>
      </c>
      <c r="AB352" s="222"/>
      <c r="AC352" s="134"/>
      <c r="AD352" s="134">
        <v>0</v>
      </c>
      <c r="AE352" s="221">
        <f>SUM(CATEGORIAS[[#This Row],[INVENTARIO]:[PROYECCION
DE COSTO
DEL SALDO]])</f>
        <v>0</v>
      </c>
      <c r="AF352" s="134"/>
      <c r="AG352" s="134">
        <f>+CATEGORIAS[[#This Row],[PRESUPUESTO
FINAL
PROYECTADO]]-CATEGORIAS[[#This Row],[COSTO REAL]]-CATEGORIAS[[#This Row],[PROYECCION
TOTAL DE COSTO]]</f>
        <v>0</v>
      </c>
    </row>
    <row r="353" spans="1:33" x14ac:dyDescent="0.25">
      <c r="A353" s="245"/>
      <c r="B353" s="245"/>
      <c r="C353" s="245"/>
      <c r="D353" s="323" t="s">
        <v>2089</v>
      </c>
      <c r="E353" s="244" t="s">
        <v>1066</v>
      </c>
      <c r="F353" s="246" t="s">
        <v>376</v>
      </c>
      <c r="G353" s="279">
        <v>0</v>
      </c>
      <c r="H353" s="279">
        <v>0</v>
      </c>
      <c r="I353" s="132">
        <v>0</v>
      </c>
      <c r="J353" s="132">
        <v>0</v>
      </c>
      <c r="K353" s="132">
        <v>0</v>
      </c>
      <c r="L353" s="144">
        <f>CATEGORIAS[[#This Row],[ADICIONALES]]+CATEGORIAS[[#This Row],[POM]]+CATEGORIAS[[#This Row],[REAJUSTE 
PAGADO]]+CATEGORIAS[[#This Row],[REAJUSTE
PROYECTADO]]</f>
        <v>0</v>
      </c>
      <c r="M353" s="133">
        <v>0</v>
      </c>
      <c r="N353" s="222">
        <v>0</v>
      </c>
      <c r="O353" s="142">
        <f>+CATEGORIAS[[#This Row],[PRODUCCION
PARTIDAS
ORIGINALES
ACTUAL]]+CATEGORIAS[[#This Row],[PRODUCCION
ADICIONALES
ACTUAL]]</f>
        <v>0</v>
      </c>
      <c r="P353" s="222">
        <v>0</v>
      </c>
      <c r="Q353" s="222">
        <v>0</v>
      </c>
      <c r="R353" s="141">
        <f>+CATEGORIAS[[#This Row],[PRODUCCION
ANTERIOR]]+CATEGORIAS[[#This Row],[PRODUCCION
ADICIONALES
ANTERIOR]]</f>
        <v>0</v>
      </c>
      <c r="S353" s="135">
        <v>0</v>
      </c>
      <c r="T353" s="135"/>
      <c r="U353" s="135">
        <v>0</v>
      </c>
      <c r="V353" s="262">
        <f>SUM(CATEGORIAS[[#This Row],[COSTO
ACUMULADO  AX]:[PROVISIONES]])</f>
        <v>0</v>
      </c>
      <c r="W353" s="264">
        <v>0</v>
      </c>
      <c r="X353" s="222"/>
      <c r="Y353" s="222">
        <v>0</v>
      </c>
      <c r="Z353" s="263">
        <f>SUM(CATEGORIAS[[#This Row],[COSTO ACUMULADO
ANTERIOR]:[PROVISIONES
ANTERIOR]])</f>
        <v>0</v>
      </c>
      <c r="AA353" s="338">
        <f>ABS(+CATEGORIAS[[#This Row],[PRESUPUESTO
FINAL
PROYECTADO]]-CATEGORIAS[[#This Row],[TOTAL PRODUCCION
ACTUAL]])</f>
        <v>0</v>
      </c>
      <c r="AB353" s="222"/>
      <c r="AC353" s="134"/>
      <c r="AD353" s="134">
        <v>0</v>
      </c>
      <c r="AE353" s="221">
        <f>SUM(CATEGORIAS[[#This Row],[INVENTARIO]:[PROYECCION
DE COSTO
DEL SALDO]])</f>
        <v>0</v>
      </c>
      <c r="AF353" s="134"/>
      <c r="AG353" s="134">
        <f>+CATEGORIAS[[#This Row],[PRESUPUESTO
FINAL
PROYECTADO]]-CATEGORIAS[[#This Row],[COSTO REAL]]-CATEGORIAS[[#This Row],[PROYECCION
TOTAL DE COSTO]]</f>
        <v>0</v>
      </c>
    </row>
    <row r="354" spans="1:33" x14ac:dyDescent="0.25">
      <c r="A354" s="245"/>
      <c r="B354" s="245"/>
      <c r="C354" s="245"/>
      <c r="D354" s="323" t="s">
        <v>2090</v>
      </c>
      <c r="E354" s="244" t="s">
        <v>1068</v>
      </c>
      <c r="F354" s="246" t="s">
        <v>376</v>
      </c>
      <c r="G354" s="279">
        <v>0</v>
      </c>
      <c r="H354" s="279">
        <v>0</v>
      </c>
      <c r="I354" s="132">
        <v>0</v>
      </c>
      <c r="J354" s="132">
        <v>0</v>
      </c>
      <c r="K354" s="132">
        <v>0</v>
      </c>
      <c r="L354" s="144">
        <f>CATEGORIAS[[#This Row],[ADICIONALES]]+CATEGORIAS[[#This Row],[POM]]+CATEGORIAS[[#This Row],[REAJUSTE 
PAGADO]]+CATEGORIAS[[#This Row],[REAJUSTE
PROYECTADO]]</f>
        <v>0</v>
      </c>
      <c r="M354" s="133">
        <v>0</v>
      </c>
      <c r="N354" s="222">
        <v>0</v>
      </c>
      <c r="O354" s="142">
        <f>+CATEGORIAS[[#This Row],[PRODUCCION
PARTIDAS
ORIGINALES
ACTUAL]]+CATEGORIAS[[#This Row],[PRODUCCION
ADICIONALES
ACTUAL]]</f>
        <v>0</v>
      </c>
      <c r="P354" s="222">
        <v>0</v>
      </c>
      <c r="Q354" s="134">
        <v>0</v>
      </c>
      <c r="R354" s="141">
        <f>+CATEGORIAS[[#This Row],[PRODUCCION
ANTERIOR]]+CATEGORIAS[[#This Row],[PRODUCCION
ADICIONALES
ANTERIOR]]</f>
        <v>0</v>
      </c>
      <c r="S354" s="135">
        <v>0</v>
      </c>
      <c r="T354" s="135"/>
      <c r="U354" s="135">
        <v>0</v>
      </c>
      <c r="V354" s="262">
        <f>SUM(CATEGORIAS[[#This Row],[COSTO
ACUMULADO  AX]:[PROVISIONES]])</f>
        <v>0</v>
      </c>
      <c r="W354" s="264">
        <v>0</v>
      </c>
      <c r="X354" s="222"/>
      <c r="Y354" s="222">
        <v>0</v>
      </c>
      <c r="Z354" s="263">
        <f>SUM(CATEGORIAS[[#This Row],[COSTO ACUMULADO
ANTERIOR]:[PROVISIONES
ANTERIOR]])</f>
        <v>0</v>
      </c>
      <c r="AA354" s="338">
        <f>ABS(+CATEGORIAS[[#This Row],[PRESUPUESTO
FINAL
PROYECTADO]]-CATEGORIAS[[#This Row],[TOTAL PRODUCCION
ACTUAL]])</f>
        <v>0</v>
      </c>
      <c r="AB354" s="222"/>
      <c r="AC354" s="134"/>
      <c r="AD354" s="134">
        <v>0</v>
      </c>
      <c r="AE354" s="221">
        <f>SUM(CATEGORIAS[[#This Row],[INVENTARIO]:[PROYECCION
DE COSTO
DEL SALDO]])</f>
        <v>0</v>
      </c>
      <c r="AF354" s="134"/>
      <c r="AG354" s="134">
        <f>+CATEGORIAS[[#This Row],[PRESUPUESTO
FINAL
PROYECTADO]]-CATEGORIAS[[#This Row],[COSTO REAL]]-CATEGORIAS[[#This Row],[PROYECCION
TOTAL DE COSTO]]</f>
        <v>0</v>
      </c>
    </row>
    <row r="355" spans="1:33" x14ac:dyDescent="0.25">
      <c r="A355" s="245"/>
      <c r="B355" s="245"/>
      <c r="C355" s="245"/>
      <c r="D355" s="323" t="s">
        <v>2091</v>
      </c>
      <c r="E355" s="244" t="s">
        <v>1070</v>
      </c>
      <c r="F355" s="246" t="s">
        <v>376</v>
      </c>
      <c r="G355" s="279">
        <v>0</v>
      </c>
      <c r="H355" s="279">
        <v>0</v>
      </c>
      <c r="I355" s="132">
        <v>0</v>
      </c>
      <c r="J355" s="132">
        <v>0</v>
      </c>
      <c r="K355" s="132">
        <v>0</v>
      </c>
      <c r="L355" s="144">
        <f>CATEGORIAS[[#This Row],[ADICIONALES]]+CATEGORIAS[[#This Row],[POM]]+CATEGORIAS[[#This Row],[REAJUSTE 
PAGADO]]+CATEGORIAS[[#This Row],[REAJUSTE
PROYECTADO]]</f>
        <v>0</v>
      </c>
      <c r="M355" s="133">
        <v>0</v>
      </c>
      <c r="N355" s="222">
        <v>0</v>
      </c>
      <c r="O355" s="142">
        <f>+CATEGORIAS[[#This Row],[PRODUCCION
PARTIDAS
ORIGINALES
ACTUAL]]+CATEGORIAS[[#This Row],[PRODUCCION
ADICIONALES
ACTUAL]]</f>
        <v>0</v>
      </c>
      <c r="P355" s="222">
        <v>0</v>
      </c>
      <c r="Q355" s="222">
        <v>0</v>
      </c>
      <c r="R355" s="141">
        <f>+CATEGORIAS[[#This Row],[PRODUCCION
ANTERIOR]]+CATEGORIAS[[#This Row],[PRODUCCION
ADICIONALES
ANTERIOR]]</f>
        <v>0</v>
      </c>
      <c r="S355" s="135">
        <v>0</v>
      </c>
      <c r="T355" s="135"/>
      <c r="U355" s="135">
        <v>0</v>
      </c>
      <c r="V355" s="262">
        <f>SUM(CATEGORIAS[[#This Row],[COSTO
ACUMULADO  AX]:[PROVISIONES]])</f>
        <v>0</v>
      </c>
      <c r="W355" s="264">
        <v>0</v>
      </c>
      <c r="X355" s="222"/>
      <c r="Y355" s="222">
        <v>0</v>
      </c>
      <c r="Z355" s="263">
        <f>SUM(CATEGORIAS[[#This Row],[COSTO ACUMULADO
ANTERIOR]:[PROVISIONES
ANTERIOR]])</f>
        <v>0</v>
      </c>
      <c r="AA355" s="338">
        <f>ABS(+CATEGORIAS[[#This Row],[PRESUPUESTO
FINAL
PROYECTADO]]-CATEGORIAS[[#This Row],[TOTAL PRODUCCION
ACTUAL]])</f>
        <v>0</v>
      </c>
      <c r="AB355" s="222"/>
      <c r="AC355" s="134"/>
      <c r="AD355" s="134">
        <v>0</v>
      </c>
      <c r="AE355" s="221">
        <f>SUM(CATEGORIAS[[#This Row],[INVENTARIO]:[PROYECCION
DE COSTO
DEL SALDO]])</f>
        <v>0</v>
      </c>
      <c r="AF355" s="134"/>
      <c r="AG355" s="134">
        <f>+CATEGORIAS[[#This Row],[PRESUPUESTO
FINAL
PROYECTADO]]-CATEGORIAS[[#This Row],[COSTO REAL]]-CATEGORIAS[[#This Row],[PROYECCION
TOTAL DE COSTO]]</f>
        <v>0</v>
      </c>
    </row>
    <row r="356" spans="1:33" x14ac:dyDescent="0.25">
      <c r="A356" s="245"/>
      <c r="B356" s="245"/>
      <c r="C356" s="245"/>
      <c r="D356" s="323" t="s">
        <v>2092</v>
      </c>
      <c r="E356" s="244" t="s">
        <v>1072</v>
      </c>
      <c r="F356" s="246" t="s">
        <v>379</v>
      </c>
      <c r="G356" s="279">
        <v>0</v>
      </c>
      <c r="H356" s="279">
        <v>0</v>
      </c>
      <c r="I356" s="132">
        <v>0</v>
      </c>
      <c r="J356" s="132">
        <v>0</v>
      </c>
      <c r="K356" s="132">
        <v>0</v>
      </c>
      <c r="L356" s="144">
        <f>CATEGORIAS[[#This Row],[ADICIONALES]]+CATEGORIAS[[#This Row],[POM]]+CATEGORIAS[[#This Row],[REAJUSTE 
PAGADO]]+CATEGORIAS[[#This Row],[REAJUSTE
PROYECTADO]]</f>
        <v>0</v>
      </c>
      <c r="M356" s="133">
        <v>0</v>
      </c>
      <c r="N356" s="222">
        <v>0</v>
      </c>
      <c r="O356" s="142">
        <f>+CATEGORIAS[[#This Row],[PRODUCCION
PARTIDAS
ORIGINALES
ACTUAL]]+CATEGORIAS[[#This Row],[PRODUCCION
ADICIONALES
ACTUAL]]</f>
        <v>0</v>
      </c>
      <c r="P356" s="222">
        <v>0</v>
      </c>
      <c r="Q356" s="134">
        <v>0</v>
      </c>
      <c r="R356" s="141">
        <f>+CATEGORIAS[[#This Row],[PRODUCCION
ANTERIOR]]+CATEGORIAS[[#This Row],[PRODUCCION
ADICIONALES
ANTERIOR]]</f>
        <v>0</v>
      </c>
      <c r="S356" s="135">
        <v>0</v>
      </c>
      <c r="T356" s="135"/>
      <c r="U356" s="135">
        <v>0</v>
      </c>
      <c r="V356" s="262">
        <f>SUM(CATEGORIAS[[#This Row],[COSTO
ACUMULADO  AX]:[PROVISIONES]])</f>
        <v>0</v>
      </c>
      <c r="W356" s="264">
        <v>0</v>
      </c>
      <c r="X356" s="222"/>
      <c r="Y356" s="222">
        <v>0</v>
      </c>
      <c r="Z356" s="263">
        <f>SUM(CATEGORIAS[[#This Row],[COSTO ACUMULADO
ANTERIOR]:[PROVISIONES
ANTERIOR]])</f>
        <v>0</v>
      </c>
      <c r="AA356" s="338">
        <f>ABS(+CATEGORIAS[[#This Row],[PRESUPUESTO
FINAL
PROYECTADO]]-CATEGORIAS[[#This Row],[TOTAL PRODUCCION
ACTUAL]])</f>
        <v>0</v>
      </c>
      <c r="AB356" s="222"/>
      <c r="AC356" s="134"/>
      <c r="AD356" s="134">
        <v>0</v>
      </c>
      <c r="AE356" s="221">
        <f>SUM(CATEGORIAS[[#This Row],[INVENTARIO]:[PROYECCION
DE COSTO
DEL SALDO]])</f>
        <v>0</v>
      </c>
      <c r="AF356" s="134"/>
      <c r="AG356" s="134">
        <f>+CATEGORIAS[[#This Row],[PRESUPUESTO
FINAL
PROYECTADO]]-CATEGORIAS[[#This Row],[COSTO REAL]]-CATEGORIAS[[#This Row],[PROYECCION
TOTAL DE COSTO]]</f>
        <v>0</v>
      </c>
    </row>
    <row r="357" spans="1:33" x14ac:dyDescent="0.25">
      <c r="A357" s="245"/>
      <c r="B357" s="245"/>
      <c r="C357" s="245"/>
      <c r="D357" s="323" t="s">
        <v>2093</v>
      </c>
      <c r="E357" s="244" t="s">
        <v>1074</v>
      </c>
      <c r="F357" s="246" t="s">
        <v>376</v>
      </c>
      <c r="G357" s="279">
        <v>0</v>
      </c>
      <c r="H357" s="279">
        <v>0</v>
      </c>
      <c r="I357" s="132">
        <v>0</v>
      </c>
      <c r="J357" s="132">
        <v>0</v>
      </c>
      <c r="K357" s="132">
        <v>0</v>
      </c>
      <c r="L357" s="144">
        <f>CATEGORIAS[[#This Row],[ADICIONALES]]+CATEGORIAS[[#This Row],[POM]]+CATEGORIAS[[#This Row],[REAJUSTE 
PAGADO]]+CATEGORIAS[[#This Row],[REAJUSTE
PROYECTADO]]</f>
        <v>0</v>
      </c>
      <c r="M357" s="133">
        <v>0</v>
      </c>
      <c r="N357" s="222">
        <v>0</v>
      </c>
      <c r="O357" s="142">
        <f>+CATEGORIAS[[#This Row],[PRODUCCION
PARTIDAS
ORIGINALES
ACTUAL]]+CATEGORIAS[[#This Row],[PRODUCCION
ADICIONALES
ACTUAL]]</f>
        <v>0</v>
      </c>
      <c r="P357" s="222">
        <v>0</v>
      </c>
      <c r="Q357" s="222">
        <v>0</v>
      </c>
      <c r="R357" s="141">
        <f>+CATEGORIAS[[#This Row],[PRODUCCION
ANTERIOR]]+CATEGORIAS[[#This Row],[PRODUCCION
ADICIONALES
ANTERIOR]]</f>
        <v>0</v>
      </c>
      <c r="S357" s="135">
        <v>0</v>
      </c>
      <c r="T357" s="135"/>
      <c r="U357" s="135">
        <v>0</v>
      </c>
      <c r="V357" s="262">
        <f>SUM(CATEGORIAS[[#This Row],[COSTO
ACUMULADO  AX]:[PROVISIONES]])</f>
        <v>0</v>
      </c>
      <c r="W357" s="264">
        <v>0</v>
      </c>
      <c r="X357" s="222"/>
      <c r="Y357" s="222">
        <v>0</v>
      </c>
      <c r="Z357" s="263">
        <f>SUM(CATEGORIAS[[#This Row],[COSTO ACUMULADO
ANTERIOR]:[PROVISIONES
ANTERIOR]])</f>
        <v>0</v>
      </c>
      <c r="AA357" s="338">
        <f>ABS(+CATEGORIAS[[#This Row],[PRESUPUESTO
FINAL
PROYECTADO]]-CATEGORIAS[[#This Row],[TOTAL PRODUCCION
ACTUAL]])</f>
        <v>0</v>
      </c>
      <c r="AB357" s="222"/>
      <c r="AC357" s="134"/>
      <c r="AD357" s="134">
        <v>0</v>
      </c>
      <c r="AE357" s="221">
        <f>SUM(CATEGORIAS[[#This Row],[INVENTARIO]:[PROYECCION
DE COSTO
DEL SALDO]])</f>
        <v>0</v>
      </c>
      <c r="AF357" s="134"/>
      <c r="AG357" s="134">
        <f>+CATEGORIAS[[#This Row],[PRESUPUESTO
FINAL
PROYECTADO]]-CATEGORIAS[[#This Row],[COSTO REAL]]-CATEGORIAS[[#This Row],[PROYECCION
TOTAL DE COSTO]]</f>
        <v>0</v>
      </c>
    </row>
    <row r="358" spans="1:33" x14ac:dyDescent="0.25">
      <c r="A358" s="245" t="s">
        <v>100</v>
      </c>
      <c r="B358" s="245" t="s">
        <v>2446</v>
      </c>
      <c r="C358" s="245" t="s">
        <v>2448</v>
      </c>
      <c r="D358" s="323" t="s">
        <v>2094</v>
      </c>
      <c r="E358" s="244" t="s">
        <v>1076</v>
      </c>
      <c r="F358" s="246" t="s">
        <v>376</v>
      </c>
      <c r="G358" s="279">
        <v>0</v>
      </c>
      <c r="H358" s="279">
        <v>0</v>
      </c>
      <c r="I358" s="132">
        <v>0</v>
      </c>
      <c r="J358" s="132">
        <v>0</v>
      </c>
      <c r="K358" s="132">
        <v>0</v>
      </c>
      <c r="L358" s="144">
        <f>CATEGORIAS[[#This Row],[ADICIONALES]]+CATEGORIAS[[#This Row],[POM]]+CATEGORIAS[[#This Row],[REAJUSTE 
PAGADO]]+CATEGORIAS[[#This Row],[REAJUSTE
PROYECTADO]]</f>
        <v>0</v>
      </c>
      <c r="M358" s="133">
        <v>0</v>
      </c>
      <c r="N358" s="222">
        <v>0</v>
      </c>
      <c r="O358" s="142">
        <f>+CATEGORIAS[[#This Row],[PRODUCCION
PARTIDAS
ORIGINALES
ACTUAL]]+CATEGORIAS[[#This Row],[PRODUCCION
ADICIONALES
ACTUAL]]</f>
        <v>0</v>
      </c>
      <c r="P358" s="222">
        <v>0</v>
      </c>
      <c r="Q358" s="134">
        <v>0</v>
      </c>
      <c r="R358" s="141">
        <f>+CATEGORIAS[[#This Row],[PRODUCCION
ANTERIOR]]+CATEGORIAS[[#This Row],[PRODUCCION
ADICIONALES
ANTERIOR]]</f>
        <v>0</v>
      </c>
      <c r="S358" s="135">
        <v>1254206</v>
      </c>
      <c r="T358" s="135"/>
      <c r="U358" s="135">
        <v>0</v>
      </c>
      <c r="V358" s="262">
        <f>SUM(CATEGORIAS[[#This Row],[COSTO
ACUMULADO  AX]:[PROVISIONES]])</f>
        <v>1254206</v>
      </c>
      <c r="W358" s="264">
        <v>0</v>
      </c>
      <c r="X358" s="222"/>
      <c r="Y358" s="222">
        <v>0</v>
      </c>
      <c r="Z358" s="263">
        <f>SUM(CATEGORIAS[[#This Row],[COSTO ACUMULADO
ANTERIOR]:[PROVISIONES
ANTERIOR]])</f>
        <v>0</v>
      </c>
      <c r="AA358" s="338">
        <f>ABS(+CATEGORIAS[[#This Row],[PRESUPUESTO
FINAL
PROYECTADO]]-CATEGORIAS[[#This Row],[TOTAL PRODUCCION
ACTUAL]])</f>
        <v>0</v>
      </c>
      <c r="AB358" s="222"/>
      <c r="AC358" s="134"/>
      <c r="AD358" s="134">
        <v>0</v>
      </c>
      <c r="AE358" s="221">
        <f>SUM(CATEGORIAS[[#This Row],[INVENTARIO]:[PROYECCION
DE COSTO
DEL SALDO]])</f>
        <v>0</v>
      </c>
      <c r="AF358" s="134"/>
      <c r="AG358" s="134">
        <f>+CATEGORIAS[[#This Row],[PRESUPUESTO
FINAL
PROYECTADO]]-CATEGORIAS[[#This Row],[COSTO REAL]]-CATEGORIAS[[#This Row],[PROYECCION
TOTAL DE COSTO]]</f>
        <v>-1254206</v>
      </c>
    </row>
    <row r="359" spans="1:33" x14ac:dyDescent="0.25">
      <c r="A359" s="245"/>
      <c r="B359" s="245"/>
      <c r="C359" s="245"/>
      <c r="D359" s="323" t="s">
        <v>2095</v>
      </c>
      <c r="E359" s="244" t="s">
        <v>1078</v>
      </c>
      <c r="F359" s="246" t="s">
        <v>376</v>
      </c>
      <c r="G359" s="279">
        <v>0</v>
      </c>
      <c r="H359" s="279">
        <v>0</v>
      </c>
      <c r="I359" s="132">
        <v>0</v>
      </c>
      <c r="J359" s="132">
        <v>0</v>
      </c>
      <c r="K359" s="132">
        <v>0</v>
      </c>
      <c r="L359" s="144">
        <f>CATEGORIAS[[#This Row],[ADICIONALES]]+CATEGORIAS[[#This Row],[POM]]+CATEGORIAS[[#This Row],[REAJUSTE 
PAGADO]]+CATEGORIAS[[#This Row],[REAJUSTE
PROYECTADO]]</f>
        <v>0</v>
      </c>
      <c r="M359" s="133">
        <v>0</v>
      </c>
      <c r="N359" s="222">
        <v>0</v>
      </c>
      <c r="O359" s="142">
        <f>+CATEGORIAS[[#This Row],[PRODUCCION
PARTIDAS
ORIGINALES
ACTUAL]]+CATEGORIAS[[#This Row],[PRODUCCION
ADICIONALES
ACTUAL]]</f>
        <v>0</v>
      </c>
      <c r="P359" s="222">
        <v>0</v>
      </c>
      <c r="Q359" s="222">
        <v>0</v>
      </c>
      <c r="R359" s="141">
        <f>+CATEGORIAS[[#This Row],[PRODUCCION
ANTERIOR]]+CATEGORIAS[[#This Row],[PRODUCCION
ADICIONALES
ANTERIOR]]</f>
        <v>0</v>
      </c>
      <c r="S359" s="135">
        <v>0</v>
      </c>
      <c r="T359" s="135"/>
      <c r="U359" s="135">
        <v>0</v>
      </c>
      <c r="V359" s="262">
        <f>SUM(CATEGORIAS[[#This Row],[COSTO
ACUMULADO  AX]:[PROVISIONES]])</f>
        <v>0</v>
      </c>
      <c r="W359" s="264">
        <v>0</v>
      </c>
      <c r="X359" s="222"/>
      <c r="Y359" s="222">
        <v>0</v>
      </c>
      <c r="Z359" s="263">
        <f>SUM(CATEGORIAS[[#This Row],[COSTO ACUMULADO
ANTERIOR]:[PROVISIONES
ANTERIOR]])</f>
        <v>0</v>
      </c>
      <c r="AA359" s="338">
        <f>ABS(+CATEGORIAS[[#This Row],[PRESUPUESTO
FINAL
PROYECTADO]]-CATEGORIAS[[#This Row],[TOTAL PRODUCCION
ACTUAL]])</f>
        <v>0</v>
      </c>
      <c r="AB359" s="222"/>
      <c r="AC359" s="134"/>
      <c r="AD359" s="134">
        <v>0</v>
      </c>
      <c r="AE359" s="221">
        <f>SUM(CATEGORIAS[[#This Row],[INVENTARIO]:[PROYECCION
DE COSTO
DEL SALDO]])</f>
        <v>0</v>
      </c>
      <c r="AF359" s="134"/>
      <c r="AG359" s="134">
        <f>+CATEGORIAS[[#This Row],[PRESUPUESTO
FINAL
PROYECTADO]]-CATEGORIAS[[#This Row],[COSTO REAL]]-CATEGORIAS[[#This Row],[PROYECCION
TOTAL DE COSTO]]</f>
        <v>0</v>
      </c>
    </row>
    <row r="360" spans="1:33" x14ac:dyDescent="0.25">
      <c r="A360" s="245"/>
      <c r="B360" s="245"/>
      <c r="C360" s="245"/>
      <c r="D360" s="323" t="s">
        <v>2096</v>
      </c>
      <c r="E360" s="244" t="s">
        <v>1080</v>
      </c>
      <c r="F360" s="246" t="s">
        <v>376</v>
      </c>
      <c r="G360" s="279">
        <v>0</v>
      </c>
      <c r="H360" s="279">
        <v>0</v>
      </c>
      <c r="I360" s="132">
        <v>0</v>
      </c>
      <c r="J360" s="132">
        <v>0</v>
      </c>
      <c r="K360" s="132">
        <v>0</v>
      </c>
      <c r="L360" s="144">
        <f>CATEGORIAS[[#This Row],[ADICIONALES]]+CATEGORIAS[[#This Row],[POM]]+CATEGORIAS[[#This Row],[REAJUSTE 
PAGADO]]+CATEGORIAS[[#This Row],[REAJUSTE
PROYECTADO]]</f>
        <v>0</v>
      </c>
      <c r="M360" s="133">
        <v>0</v>
      </c>
      <c r="N360" s="222">
        <v>0</v>
      </c>
      <c r="O360" s="142">
        <f>+CATEGORIAS[[#This Row],[PRODUCCION
PARTIDAS
ORIGINALES
ACTUAL]]+CATEGORIAS[[#This Row],[PRODUCCION
ADICIONALES
ACTUAL]]</f>
        <v>0</v>
      </c>
      <c r="P360" s="222">
        <v>0</v>
      </c>
      <c r="Q360" s="134">
        <v>0</v>
      </c>
      <c r="R360" s="141">
        <f>+CATEGORIAS[[#This Row],[PRODUCCION
ANTERIOR]]+CATEGORIAS[[#This Row],[PRODUCCION
ADICIONALES
ANTERIOR]]</f>
        <v>0</v>
      </c>
      <c r="S360" s="135">
        <v>0</v>
      </c>
      <c r="T360" s="135"/>
      <c r="U360" s="135">
        <v>0</v>
      </c>
      <c r="V360" s="262">
        <f>SUM(CATEGORIAS[[#This Row],[COSTO
ACUMULADO  AX]:[PROVISIONES]])</f>
        <v>0</v>
      </c>
      <c r="W360" s="264">
        <v>0</v>
      </c>
      <c r="X360" s="222"/>
      <c r="Y360" s="222">
        <v>0</v>
      </c>
      <c r="Z360" s="263">
        <f>SUM(CATEGORIAS[[#This Row],[COSTO ACUMULADO
ANTERIOR]:[PROVISIONES
ANTERIOR]])</f>
        <v>0</v>
      </c>
      <c r="AA360" s="338">
        <f>ABS(+CATEGORIAS[[#This Row],[PRESUPUESTO
FINAL
PROYECTADO]]-CATEGORIAS[[#This Row],[TOTAL PRODUCCION
ACTUAL]])</f>
        <v>0</v>
      </c>
      <c r="AB360" s="222"/>
      <c r="AC360" s="134"/>
      <c r="AD360" s="134">
        <v>0</v>
      </c>
      <c r="AE360" s="221">
        <f>SUM(CATEGORIAS[[#This Row],[INVENTARIO]:[PROYECCION
DE COSTO
DEL SALDO]])</f>
        <v>0</v>
      </c>
      <c r="AF360" s="134"/>
      <c r="AG360" s="134">
        <f>+CATEGORIAS[[#This Row],[PRESUPUESTO
FINAL
PROYECTADO]]-CATEGORIAS[[#This Row],[COSTO REAL]]-CATEGORIAS[[#This Row],[PROYECCION
TOTAL DE COSTO]]</f>
        <v>0</v>
      </c>
    </row>
    <row r="361" spans="1:33" x14ac:dyDescent="0.25">
      <c r="A361" s="245"/>
      <c r="B361" s="245"/>
      <c r="C361" s="245"/>
      <c r="D361" s="323" t="s">
        <v>2097</v>
      </c>
      <c r="E361" s="244" t="s">
        <v>1082</v>
      </c>
      <c r="F361" s="246" t="s">
        <v>376</v>
      </c>
      <c r="G361" s="279">
        <v>0</v>
      </c>
      <c r="H361" s="279">
        <v>0</v>
      </c>
      <c r="I361" s="132">
        <v>0</v>
      </c>
      <c r="J361" s="132">
        <v>0</v>
      </c>
      <c r="K361" s="132">
        <v>0</v>
      </c>
      <c r="L361" s="144">
        <f>CATEGORIAS[[#This Row],[ADICIONALES]]+CATEGORIAS[[#This Row],[POM]]+CATEGORIAS[[#This Row],[REAJUSTE 
PAGADO]]+CATEGORIAS[[#This Row],[REAJUSTE
PROYECTADO]]</f>
        <v>0</v>
      </c>
      <c r="M361" s="133">
        <v>0</v>
      </c>
      <c r="N361" s="222">
        <v>0</v>
      </c>
      <c r="O361" s="142">
        <f>+CATEGORIAS[[#This Row],[PRODUCCION
PARTIDAS
ORIGINALES
ACTUAL]]+CATEGORIAS[[#This Row],[PRODUCCION
ADICIONALES
ACTUAL]]</f>
        <v>0</v>
      </c>
      <c r="P361" s="222">
        <v>0</v>
      </c>
      <c r="Q361" s="222">
        <v>0</v>
      </c>
      <c r="R361" s="141">
        <f>+CATEGORIAS[[#This Row],[PRODUCCION
ANTERIOR]]+CATEGORIAS[[#This Row],[PRODUCCION
ADICIONALES
ANTERIOR]]</f>
        <v>0</v>
      </c>
      <c r="S361" s="135">
        <v>0</v>
      </c>
      <c r="T361" s="135"/>
      <c r="U361" s="135">
        <v>0</v>
      </c>
      <c r="V361" s="262">
        <f>SUM(CATEGORIAS[[#This Row],[COSTO
ACUMULADO  AX]:[PROVISIONES]])</f>
        <v>0</v>
      </c>
      <c r="W361" s="264">
        <v>0</v>
      </c>
      <c r="X361" s="222"/>
      <c r="Y361" s="222">
        <v>0</v>
      </c>
      <c r="Z361" s="263">
        <f>SUM(CATEGORIAS[[#This Row],[COSTO ACUMULADO
ANTERIOR]:[PROVISIONES
ANTERIOR]])</f>
        <v>0</v>
      </c>
      <c r="AA361" s="338">
        <f>ABS(+CATEGORIAS[[#This Row],[PRESUPUESTO
FINAL
PROYECTADO]]-CATEGORIAS[[#This Row],[TOTAL PRODUCCION
ACTUAL]])</f>
        <v>0</v>
      </c>
      <c r="AB361" s="222"/>
      <c r="AC361" s="134"/>
      <c r="AD361" s="134">
        <v>0</v>
      </c>
      <c r="AE361" s="221">
        <f>SUM(CATEGORIAS[[#This Row],[INVENTARIO]:[PROYECCION
DE COSTO
DEL SALDO]])</f>
        <v>0</v>
      </c>
      <c r="AF361" s="134"/>
      <c r="AG361" s="134">
        <f>+CATEGORIAS[[#This Row],[PRESUPUESTO
FINAL
PROYECTADO]]-CATEGORIAS[[#This Row],[COSTO REAL]]-CATEGORIAS[[#This Row],[PROYECCION
TOTAL DE COSTO]]</f>
        <v>0</v>
      </c>
    </row>
    <row r="362" spans="1:33" x14ac:dyDescent="0.25">
      <c r="A362" s="245"/>
      <c r="B362" s="245"/>
      <c r="C362" s="245"/>
      <c r="D362" s="323" t="s">
        <v>2098</v>
      </c>
      <c r="E362" s="244" t="s">
        <v>1084</v>
      </c>
      <c r="F362" s="246" t="s">
        <v>376</v>
      </c>
      <c r="G362" s="279">
        <v>0</v>
      </c>
      <c r="H362" s="279">
        <v>0</v>
      </c>
      <c r="I362" s="132">
        <v>0</v>
      </c>
      <c r="J362" s="132">
        <v>0</v>
      </c>
      <c r="K362" s="132">
        <v>0</v>
      </c>
      <c r="L362" s="144">
        <f>CATEGORIAS[[#This Row],[ADICIONALES]]+CATEGORIAS[[#This Row],[POM]]+CATEGORIAS[[#This Row],[REAJUSTE 
PAGADO]]+CATEGORIAS[[#This Row],[REAJUSTE
PROYECTADO]]</f>
        <v>0</v>
      </c>
      <c r="M362" s="133">
        <v>0</v>
      </c>
      <c r="N362" s="222">
        <v>0</v>
      </c>
      <c r="O362" s="142">
        <f>+CATEGORIAS[[#This Row],[PRODUCCION
PARTIDAS
ORIGINALES
ACTUAL]]+CATEGORIAS[[#This Row],[PRODUCCION
ADICIONALES
ACTUAL]]</f>
        <v>0</v>
      </c>
      <c r="P362" s="222">
        <v>0</v>
      </c>
      <c r="Q362" s="134">
        <v>0</v>
      </c>
      <c r="R362" s="141">
        <f>+CATEGORIAS[[#This Row],[PRODUCCION
ANTERIOR]]+CATEGORIAS[[#This Row],[PRODUCCION
ADICIONALES
ANTERIOR]]</f>
        <v>0</v>
      </c>
      <c r="S362" s="135">
        <v>0</v>
      </c>
      <c r="T362" s="135"/>
      <c r="U362" s="135">
        <v>0</v>
      </c>
      <c r="V362" s="262">
        <f>SUM(CATEGORIAS[[#This Row],[COSTO
ACUMULADO  AX]:[PROVISIONES]])</f>
        <v>0</v>
      </c>
      <c r="W362" s="264">
        <v>0</v>
      </c>
      <c r="X362" s="222"/>
      <c r="Y362" s="222">
        <v>0</v>
      </c>
      <c r="Z362" s="263">
        <f>SUM(CATEGORIAS[[#This Row],[COSTO ACUMULADO
ANTERIOR]:[PROVISIONES
ANTERIOR]])</f>
        <v>0</v>
      </c>
      <c r="AA362" s="338">
        <f>ABS(+CATEGORIAS[[#This Row],[PRESUPUESTO
FINAL
PROYECTADO]]-CATEGORIAS[[#This Row],[TOTAL PRODUCCION
ACTUAL]])</f>
        <v>0</v>
      </c>
      <c r="AB362" s="222"/>
      <c r="AC362" s="134"/>
      <c r="AD362" s="134">
        <v>0</v>
      </c>
      <c r="AE362" s="221">
        <f>SUM(CATEGORIAS[[#This Row],[INVENTARIO]:[PROYECCION
DE COSTO
DEL SALDO]])</f>
        <v>0</v>
      </c>
      <c r="AF362" s="134"/>
      <c r="AG362" s="134">
        <f>+CATEGORIAS[[#This Row],[PRESUPUESTO
FINAL
PROYECTADO]]-CATEGORIAS[[#This Row],[COSTO REAL]]-CATEGORIAS[[#This Row],[PROYECCION
TOTAL DE COSTO]]</f>
        <v>0</v>
      </c>
    </row>
    <row r="363" spans="1:33" x14ac:dyDescent="0.25">
      <c r="A363" s="245"/>
      <c r="B363" s="245"/>
      <c r="C363" s="245"/>
      <c r="D363" s="323" t="s">
        <v>2099</v>
      </c>
      <c r="E363" s="244" t="s">
        <v>1086</v>
      </c>
      <c r="F363" s="246" t="s">
        <v>376</v>
      </c>
      <c r="G363" s="279">
        <v>0</v>
      </c>
      <c r="H363" s="279">
        <v>0</v>
      </c>
      <c r="I363" s="132">
        <v>0</v>
      </c>
      <c r="J363" s="132">
        <v>0</v>
      </c>
      <c r="K363" s="132">
        <v>0</v>
      </c>
      <c r="L363" s="144">
        <f>CATEGORIAS[[#This Row],[ADICIONALES]]+CATEGORIAS[[#This Row],[POM]]+CATEGORIAS[[#This Row],[REAJUSTE 
PAGADO]]+CATEGORIAS[[#This Row],[REAJUSTE
PROYECTADO]]</f>
        <v>0</v>
      </c>
      <c r="M363" s="133">
        <v>0</v>
      </c>
      <c r="N363" s="222">
        <v>0</v>
      </c>
      <c r="O363" s="142">
        <f>+CATEGORIAS[[#This Row],[PRODUCCION
PARTIDAS
ORIGINALES
ACTUAL]]+CATEGORIAS[[#This Row],[PRODUCCION
ADICIONALES
ACTUAL]]</f>
        <v>0</v>
      </c>
      <c r="P363" s="222">
        <v>0</v>
      </c>
      <c r="Q363" s="222">
        <v>0</v>
      </c>
      <c r="R363" s="141">
        <f>+CATEGORIAS[[#This Row],[PRODUCCION
ANTERIOR]]+CATEGORIAS[[#This Row],[PRODUCCION
ADICIONALES
ANTERIOR]]</f>
        <v>0</v>
      </c>
      <c r="S363" s="135">
        <v>0</v>
      </c>
      <c r="T363" s="135"/>
      <c r="U363" s="135">
        <v>0</v>
      </c>
      <c r="V363" s="262">
        <f>SUM(CATEGORIAS[[#This Row],[COSTO
ACUMULADO  AX]:[PROVISIONES]])</f>
        <v>0</v>
      </c>
      <c r="W363" s="264">
        <v>0</v>
      </c>
      <c r="X363" s="222"/>
      <c r="Y363" s="222">
        <v>0</v>
      </c>
      <c r="Z363" s="263">
        <f>SUM(CATEGORIAS[[#This Row],[COSTO ACUMULADO
ANTERIOR]:[PROVISIONES
ANTERIOR]])</f>
        <v>0</v>
      </c>
      <c r="AA363" s="338">
        <f>ABS(+CATEGORIAS[[#This Row],[PRESUPUESTO
FINAL
PROYECTADO]]-CATEGORIAS[[#This Row],[TOTAL PRODUCCION
ACTUAL]])</f>
        <v>0</v>
      </c>
      <c r="AB363" s="222"/>
      <c r="AC363" s="134"/>
      <c r="AD363" s="134">
        <v>0</v>
      </c>
      <c r="AE363" s="221">
        <f>SUM(CATEGORIAS[[#This Row],[INVENTARIO]:[PROYECCION
DE COSTO
DEL SALDO]])</f>
        <v>0</v>
      </c>
      <c r="AF363" s="134"/>
      <c r="AG363" s="134">
        <f>+CATEGORIAS[[#This Row],[PRESUPUESTO
FINAL
PROYECTADO]]-CATEGORIAS[[#This Row],[COSTO REAL]]-CATEGORIAS[[#This Row],[PROYECCION
TOTAL DE COSTO]]</f>
        <v>0</v>
      </c>
    </row>
    <row r="364" spans="1:33" x14ac:dyDescent="0.25">
      <c r="A364" s="245"/>
      <c r="B364" s="245"/>
      <c r="C364" s="245"/>
      <c r="D364" s="323" t="s">
        <v>2100</v>
      </c>
      <c r="E364" s="244" t="s">
        <v>1088</v>
      </c>
      <c r="F364" s="246" t="s">
        <v>376</v>
      </c>
      <c r="G364" s="279">
        <v>0</v>
      </c>
      <c r="H364" s="279">
        <v>0</v>
      </c>
      <c r="I364" s="132">
        <v>0</v>
      </c>
      <c r="J364" s="132">
        <v>0</v>
      </c>
      <c r="K364" s="132">
        <v>0</v>
      </c>
      <c r="L364" s="144">
        <f>CATEGORIAS[[#This Row],[ADICIONALES]]+CATEGORIAS[[#This Row],[POM]]+CATEGORIAS[[#This Row],[REAJUSTE 
PAGADO]]+CATEGORIAS[[#This Row],[REAJUSTE
PROYECTADO]]</f>
        <v>0</v>
      </c>
      <c r="M364" s="133">
        <v>0</v>
      </c>
      <c r="N364" s="222">
        <v>0</v>
      </c>
      <c r="O364" s="142">
        <f>+CATEGORIAS[[#This Row],[PRODUCCION
PARTIDAS
ORIGINALES
ACTUAL]]+CATEGORIAS[[#This Row],[PRODUCCION
ADICIONALES
ACTUAL]]</f>
        <v>0</v>
      </c>
      <c r="P364" s="222">
        <v>0</v>
      </c>
      <c r="Q364" s="134">
        <v>0</v>
      </c>
      <c r="R364" s="141">
        <f>+CATEGORIAS[[#This Row],[PRODUCCION
ANTERIOR]]+CATEGORIAS[[#This Row],[PRODUCCION
ADICIONALES
ANTERIOR]]</f>
        <v>0</v>
      </c>
      <c r="S364" s="135">
        <v>0</v>
      </c>
      <c r="T364" s="135"/>
      <c r="U364" s="135">
        <v>0</v>
      </c>
      <c r="V364" s="262">
        <f>SUM(CATEGORIAS[[#This Row],[COSTO
ACUMULADO  AX]:[PROVISIONES]])</f>
        <v>0</v>
      </c>
      <c r="W364" s="264">
        <v>0</v>
      </c>
      <c r="X364" s="222"/>
      <c r="Y364" s="222">
        <v>0</v>
      </c>
      <c r="Z364" s="263">
        <f>SUM(CATEGORIAS[[#This Row],[COSTO ACUMULADO
ANTERIOR]:[PROVISIONES
ANTERIOR]])</f>
        <v>0</v>
      </c>
      <c r="AA364" s="338">
        <f>ABS(+CATEGORIAS[[#This Row],[PRESUPUESTO
FINAL
PROYECTADO]]-CATEGORIAS[[#This Row],[TOTAL PRODUCCION
ACTUAL]])</f>
        <v>0</v>
      </c>
      <c r="AB364" s="222"/>
      <c r="AC364" s="134"/>
      <c r="AD364" s="134">
        <v>0</v>
      </c>
      <c r="AE364" s="221">
        <f>SUM(CATEGORIAS[[#This Row],[INVENTARIO]:[PROYECCION
DE COSTO
DEL SALDO]])</f>
        <v>0</v>
      </c>
      <c r="AF364" s="134"/>
      <c r="AG364" s="134">
        <f>+CATEGORIAS[[#This Row],[PRESUPUESTO
FINAL
PROYECTADO]]-CATEGORIAS[[#This Row],[COSTO REAL]]-CATEGORIAS[[#This Row],[PROYECCION
TOTAL DE COSTO]]</f>
        <v>0</v>
      </c>
    </row>
    <row r="365" spans="1:33" x14ac:dyDescent="0.25">
      <c r="A365" s="245"/>
      <c r="B365" s="245"/>
      <c r="C365" s="245"/>
      <c r="D365" s="323" t="s">
        <v>2101</v>
      </c>
      <c r="E365" s="244" t="s">
        <v>1090</v>
      </c>
      <c r="F365" s="246" t="s">
        <v>376</v>
      </c>
      <c r="G365" s="279">
        <v>0</v>
      </c>
      <c r="H365" s="279">
        <v>0</v>
      </c>
      <c r="I365" s="132">
        <v>0</v>
      </c>
      <c r="J365" s="132">
        <v>0</v>
      </c>
      <c r="K365" s="132">
        <v>0</v>
      </c>
      <c r="L365" s="144">
        <f>CATEGORIAS[[#This Row],[ADICIONALES]]+CATEGORIAS[[#This Row],[POM]]+CATEGORIAS[[#This Row],[REAJUSTE 
PAGADO]]+CATEGORIAS[[#This Row],[REAJUSTE
PROYECTADO]]</f>
        <v>0</v>
      </c>
      <c r="M365" s="133">
        <v>0</v>
      </c>
      <c r="N365" s="222">
        <v>0</v>
      </c>
      <c r="O365" s="142">
        <f>+CATEGORIAS[[#This Row],[PRODUCCION
PARTIDAS
ORIGINALES
ACTUAL]]+CATEGORIAS[[#This Row],[PRODUCCION
ADICIONALES
ACTUAL]]</f>
        <v>0</v>
      </c>
      <c r="P365" s="222">
        <v>0</v>
      </c>
      <c r="Q365" s="222">
        <v>0</v>
      </c>
      <c r="R365" s="141">
        <f>+CATEGORIAS[[#This Row],[PRODUCCION
ANTERIOR]]+CATEGORIAS[[#This Row],[PRODUCCION
ADICIONALES
ANTERIOR]]</f>
        <v>0</v>
      </c>
      <c r="S365" s="135">
        <v>0</v>
      </c>
      <c r="T365" s="135"/>
      <c r="U365" s="135">
        <v>0</v>
      </c>
      <c r="V365" s="262">
        <f>SUM(CATEGORIAS[[#This Row],[COSTO
ACUMULADO  AX]:[PROVISIONES]])</f>
        <v>0</v>
      </c>
      <c r="W365" s="264">
        <v>0</v>
      </c>
      <c r="X365" s="222"/>
      <c r="Y365" s="222">
        <v>0</v>
      </c>
      <c r="Z365" s="263">
        <f>SUM(CATEGORIAS[[#This Row],[COSTO ACUMULADO
ANTERIOR]:[PROVISIONES
ANTERIOR]])</f>
        <v>0</v>
      </c>
      <c r="AA365" s="338">
        <f>ABS(+CATEGORIAS[[#This Row],[PRESUPUESTO
FINAL
PROYECTADO]]-CATEGORIAS[[#This Row],[TOTAL PRODUCCION
ACTUAL]])</f>
        <v>0</v>
      </c>
      <c r="AB365" s="222"/>
      <c r="AC365" s="134"/>
      <c r="AD365" s="134">
        <v>0</v>
      </c>
      <c r="AE365" s="221">
        <f>SUM(CATEGORIAS[[#This Row],[INVENTARIO]:[PROYECCION
DE COSTO
DEL SALDO]])</f>
        <v>0</v>
      </c>
      <c r="AF365" s="134"/>
      <c r="AG365" s="134">
        <f>+CATEGORIAS[[#This Row],[PRESUPUESTO
FINAL
PROYECTADO]]-CATEGORIAS[[#This Row],[COSTO REAL]]-CATEGORIAS[[#This Row],[PROYECCION
TOTAL DE COSTO]]</f>
        <v>0</v>
      </c>
    </row>
    <row r="366" spans="1:33" x14ac:dyDescent="0.25">
      <c r="A366" s="245" t="s">
        <v>100</v>
      </c>
      <c r="B366" s="245" t="s">
        <v>208</v>
      </c>
      <c r="C366" s="245" t="s">
        <v>423</v>
      </c>
      <c r="D366" s="323" t="s">
        <v>2102</v>
      </c>
      <c r="E366" s="244" t="s">
        <v>1092</v>
      </c>
      <c r="F366" s="246" t="s">
        <v>376</v>
      </c>
      <c r="G366" s="279">
        <v>23667361.039999999</v>
      </c>
      <c r="H366" s="279">
        <v>22408507</v>
      </c>
      <c r="I366" s="132">
        <v>6814342.1590097966</v>
      </c>
      <c r="J366" s="132">
        <v>790087.09092357755</v>
      </c>
      <c r="K366" s="132">
        <v>0</v>
      </c>
      <c r="L366" s="144">
        <f>CATEGORIAS[[#This Row],[ADICIONALES]]+CATEGORIAS[[#This Row],[POM]]+CATEGORIAS[[#This Row],[REAJUSTE 
PAGADO]]+CATEGORIAS[[#This Row],[REAJUSTE
PROYECTADO]]</f>
        <v>30012936.249933373</v>
      </c>
      <c r="M366" s="133">
        <v>23194195.2873035</v>
      </c>
      <c r="N366" s="222">
        <v>6818740.9626298742</v>
      </c>
      <c r="O366" s="142">
        <f>+CATEGORIAS[[#This Row],[PRODUCCION
PARTIDAS
ORIGINALES
ACTUAL]]+CATEGORIAS[[#This Row],[PRODUCCION
ADICIONALES
ACTUAL]]</f>
        <v>30012936.249933373</v>
      </c>
      <c r="P366" s="222">
        <v>23194195.2873035</v>
      </c>
      <c r="Q366" s="222">
        <v>6814342.1590097966</v>
      </c>
      <c r="R366" s="141">
        <f>+CATEGORIAS[[#This Row],[PRODUCCION
ANTERIOR]]+CATEGORIAS[[#This Row],[PRODUCCION
ADICIONALES
ANTERIOR]]</f>
        <v>30008537.446313296</v>
      </c>
      <c r="S366" s="135">
        <v>55432000</v>
      </c>
      <c r="T366" s="135"/>
      <c r="U366" s="135">
        <v>357943</v>
      </c>
      <c r="V366" s="262">
        <f>SUM(CATEGORIAS[[#This Row],[COSTO
ACUMULADO  AX]:[PROVISIONES]])</f>
        <v>55789943</v>
      </c>
      <c r="W366" s="264">
        <v>52621968</v>
      </c>
      <c r="X366" s="222"/>
      <c r="Y366" s="222">
        <v>2572093</v>
      </c>
      <c r="Z366" s="263">
        <f>SUM(CATEGORIAS[[#This Row],[COSTO ACUMULADO
ANTERIOR]:[PROVISIONES
ANTERIOR]])</f>
        <v>55194061</v>
      </c>
      <c r="AA366" s="338">
        <f>ABS(+CATEGORIAS[[#This Row],[PRESUPUESTO
FINAL
PROYECTADO]]-CATEGORIAS[[#This Row],[TOTAL PRODUCCION
ACTUAL]])</f>
        <v>0</v>
      </c>
      <c r="AB366" s="222"/>
      <c r="AC366" s="134"/>
      <c r="AD366" s="134">
        <v>0</v>
      </c>
      <c r="AE366" s="221">
        <f>SUM(CATEGORIAS[[#This Row],[INVENTARIO]:[PROYECCION
DE COSTO
DEL SALDO]])</f>
        <v>0</v>
      </c>
      <c r="AF366" s="134"/>
      <c r="AG366" s="134">
        <f>+CATEGORIAS[[#This Row],[PRESUPUESTO
FINAL
PROYECTADO]]-CATEGORIAS[[#This Row],[COSTO REAL]]-CATEGORIAS[[#This Row],[PROYECCION
TOTAL DE COSTO]]</f>
        <v>-25777006.750066627</v>
      </c>
    </row>
    <row r="367" spans="1:33" x14ac:dyDescent="0.25">
      <c r="A367" s="245"/>
      <c r="B367" s="245"/>
      <c r="C367" s="245"/>
      <c r="D367" s="323" t="s">
        <v>2103</v>
      </c>
      <c r="E367" s="244" t="s">
        <v>1094</v>
      </c>
      <c r="F367" s="246" t="s">
        <v>376</v>
      </c>
      <c r="G367" s="279">
        <v>0</v>
      </c>
      <c r="H367" s="279">
        <v>0</v>
      </c>
      <c r="I367" s="132">
        <v>0</v>
      </c>
      <c r="J367" s="132">
        <v>0</v>
      </c>
      <c r="K367" s="132">
        <v>0</v>
      </c>
      <c r="L367" s="144">
        <f>CATEGORIAS[[#This Row],[ADICIONALES]]+CATEGORIAS[[#This Row],[POM]]+CATEGORIAS[[#This Row],[REAJUSTE 
PAGADO]]+CATEGORIAS[[#This Row],[REAJUSTE
PROYECTADO]]</f>
        <v>0</v>
      </c>
      <c r="M367" s="133">
        <v>0</v>
      </c>
      <c r="N367" s="222">
        <v>0</v>
      </c>
      <c r="O367" s="142">
        <f>+CATEGORIAS[[#This Row],[PRODUCCION
PARTIDAS
ORIGINALES
ACTUAL]]+CATEGORIAS[[#This Row],[PRODUCCION
ADICIONALES
ACTUAL]]</f>
        <v>0</v>
      </c>
      <c r="P367" s="222">
        <v>0</v>
      </c>
      <c r="Q367" s="222">
        <v>0</v>
      </c>
      <c r="R367" s="141">
        <f>+CATEGORIAS[[#This Row],[PRODUCCION
ANTERIOR]]+CATEGORIAS[[#This Row],[PRODUCCION
ADICIONALES
ANTERIOR]]</f>
        <v>0</v>
      </c>
      <c r="S367" s="135">
        <v>0</v>
      </c>
      <c r="T367" s="135"/>
      <c r="U367" s="135">
        <v>0</v>
      </c>
      <c r="V367" s="262">
        <f>SUM(CATEGORIAS[[#This Row],[COSTO
ACUMULADO  AX]:[PROVISIONES]])</f>
        <v>0</v>
      </c>
      <c r="W367" s="264">
        <v>0</v>
      </c>
      <c r="X367" s="222"/>
      <c r="Y367" s="222">
        <v>0</v>
      </c>
      <c r="Z367" s="263">
        <f>SUM(CATEGORIAS[[#This Row],[COSTO ACUMULADO
ANTERIOR]:[PROVISIONES
ANTERIOR]])</f>
        <v>0</v>
      </c>
      <c r="AA367" s="338">
        <f>ABS(+CATEGORIAS[[#This Row],[PRESUPUESTO
FINAL
PROYECTADO]]-CATEGORIAS[[#This Row],[TOTAL PRODUCCION
ACTUAL]])</f>
        <v>0</v>
      </c>
      <c r="AB367" s="222"/>
      <c r="AC367" s="134"/>
      <c r="AD367" s="134">
        <v>0</v>
      </c>
      <c r="AE367" s="221">
        <f>SUM(CATEGORIAS[[#This Row],[INVENTARIO]:[PROYECCION
DE COSTO
DEL SALDO]])</f>
        <v>0</v>
      </c>
      <c r="AF367" s="134"/>
      <c r="AG367" s="134">
        <f>+CATEGORIAS[[#This Row],[PRESUPUESTO
FINAL
PROYECTADO]]-CATEGORIAS[[#This Row],[COSTO REAL]]-CATEGORIAS[[#This Row],[PROYECCION
TOTAL DE COSTO]]</f>
        <v>0</v>
      </c>
    </row>
    <row r="368" spans="1:33" x14ac:dyDescent="0.25">
      <c r="A368" s="245" t="s">
        <v>100</v>
      </c>
      <c r="B368" s="245" t="s">
        <v>208</v>
      </c>
      <c r="C368" s="245" t="s">
        <v>423</v>
      </c>
      <c r="D368" s="323" t="s">
        <v>2104</v>
      </c>
      <c r="E368" s="244" t="s">
        <v>1096</v>
      </c>
      <c r="F368" s="246" t="s">
        <v>379</v>
      </c>
      <c r="G368" s="279">
        <v>0</v>
      </c>
      <c r="H368" s="279">
        <v>1150718.5999999999</v>
      </c>
      <c r="I368" s="132">
        <v>0</v>
      </c>
      <c r="J368" s="132">
        <v>40572.444703507106</v>
      </c>
      <c r="K368" s="132">
        <v>0</v>
      </c>
      <c r="L368" s="144">
        <f>CATEGORIAS[[#This Row],[ADICIONALES]]+CATEGORIAS[[#This Row],[POM]]+CATEGORIAS[[#This Row],[REAJUSTE 
PAGADO]]+CATEGORIAS[[#This Row],[REAJUSTE
PROYECTADO]]</f>
        <v>1191291.0447035069</v>
      </c>
      <c r="M368" s="133">
        <v>1191065.1579390129</v>
      </c>
      <c r="N368" s="222">
        <v>225.88676449400373</v>
      </c>
      <c r="O368" s="142">
        <f>+CATEGORIAS[[#This Row],[PRODUCCION
PARTIDAS
ORIGINALES
ACTUAL]]+CATEGORIAS[[#This Row],[PRODUCCION
ADICIONALES
ACTUAL]]</f>
        <v>1191291.0447035069</v>
      </c>
      <c r="P368" s="222">
        <v>1191065.1579390129</v>
      </c>
      <c r="Q368" s="222">
        <v>0</v>
      </c>
      <c r="R368" s="141">
        <f>+CATEGORIAS[[#This Row],[PRODUCCION
ANTERIOR]]+CATEGORIAS[[#This Row],[PRODUCCION
ADICIONALES
ANTERIOR]]</f>
        <v>1191065.1579390129</v>
      </c>
      <c r="S368" s="135">
        <v>0</v>
      </c>
      <c r="T368" s="135"/>
      <c r="U368" s="135">
        <v>0</v>
      </c>
      <c r="V368" s="262">
        <f>SUM(CATEGORIAS[[#This Row],[COSTO
ACUMULADO  AX]:[PROVISIONES]])</f>
        <v>0</v>
      </c>
      <c r="W368" s="264">
        <v>0</v>
      </c>
      <c r="X368" s="222"/>
      <c r="Y368" s="222">
        <v>0</v>
      </c>
      <c r="Z368" s="263">
        <f>SUM(CATEGORIAS[[#This Row],[COSTO ACUMULADO
ANTERIOR]:[PROVISIONES
ANTERIOR]])</f>
        <v>0</v>
      </c>
      <c r="AA368" s="338">
        <f>ABS(+CATEGORIAS[[#This Row],[PRESUPUESTO
FINAL
PROYECTADO]]-CATEGORIAS[[#This Row],[TOTAL PRODUCCION
ACTUAL]])</f>
        <v>0</v>
      </c>
      <c r="AB368" s="222"/>
      <c r="AC368" s="134"/>
      <c r="AD368" s="134">
        <v>0</v>
      </c>
      <c r="AE368" s="221">
        <f>SUM(CATEGORIAS[[#This Row],[INVENTARIO]:[PROYECCION
DE COSTO
DEL SALDO]])</f>
        <v>0</v>
      </c>
      <c r="AF368" s="134"/>
      <c r="AG368" s="134">
        <f>+CATEGORIAS[[#This Row],[PRESUPUESTO
FINAL
PROYECTADO]]-CATEGORIAS[[#This Row],[COSTO REAL]]-CATEGORIAS[[#This Row],[PROYECCION
TOTAL DE COSTO]]</f>
        <v>1191291.0447035069</v>
      </c>
    </row>
    <row r="369" spans="1:33" x14ac:dyDescent="0.25">
      <c r="A369" s="245"/>
      <c r="B369" s="245"/>
      <c r="C369" s="245"/>
      <c r="D369" s="323" t="s">
        <v>2105</v>
      </c>
      <c r="E369" s="244" t="s">
        <v>1098</v>
      </c>
      <c r="F369" s="246" t="s">
        <v>376</v>
      </c>
      <c r="G369" s="279">
        <v>0</v>
      </c>
      <c r="H369" s="279">
        <v>0</v>
      </c>
      <c r="I369" s="132">
        <v>0</v>
      </c>
      <c r="J369" s="132">
        <v>0</v>
      </c>
      <c r="K369" s="132">
        <v>0</v>
      </c>
      <c r="L369" s="144">
        <f>CATEGORIAS[[#This Row],[ADICIONALES]]+CATEGORIAS[[#This Row],[POM]]+CATEGORIAS[[#This Row],[REAJUSTE 
PAGADO]]+CATEGORIAS[[#This Row],[REAJUSTE
PROYECTADO]]</f>
        <v>0</v>
      </c>
      <c r="M369" s="133">
        <v>0</v>
      </c>
      <c r="N369" s="222">
        <v>0</v>
      </c>
      <c r="O369" s="142">
        <f>+CATEGORIAS[[#This Row],[PRODUCCION
PARTIDAS
ORIGINALES
ACTUAL]]+CATEGORIAS[[#This Row],[PRODUCCION
ADICIONALES
ACTUAL]]</f>
        <v>0</v>
      </c>
      <c r="P369" s="222">
        <v>0</v>
      </c>
      <c r="Q369" s="222">
        <v>0</v>
      </c>
      <c r="R369" s="141">
        <f>+CATEGORIAS[[#This Row],[PRODUCCION
ANTERIOR]]+CATEGORIAS[[#This Row],[PRODUCCION
ADICIONALES
ANTERIOR]]</f>
        <v>0</v>
      </c>
      <c r="S369" s="135">
        <v>0</v>
      </c>
      <c r="T369" s="135"/>
      <c r="U369" s="135">
        <v>0</v>
      </c>
      <c r="V369" s="262">
        <f>SUM(CATEGORIAS[[#This Row],[COSTO
ACUMULADO  AX]:[PROVISIONES]])</f>
        <v>0</v>
      </c>
      <c r="W369" s="264">
        <v>0</v>
      </c>
      <c r="X369" s="222"/>
      <c r="Y369" s="222">
        <v>0</v>
      </c>
      <c r="Z369" s="263">
        <f>SUM(CATEGORIAS[[#This Row],[COSTO ACUMULADO
ANTERIOR]:[PROVISIONES
ANTERIOR]])</f>
        <v>0</v>
      </c>
      <c r="AA369" s="338">
        <f>ABS(+CATEGORIAS[[#This Row],[PRESUPUESTO
FINAL
PROYECTADO]]-CATEGORIAS[[#This Row],[TOTAL PRODUCCION
ACTUAL]])</f>
        <v>0</v>
      </c>
      <c r="AB369" s="222"/>
      <c r="AC369" s="134"/>
      <c r="AD369" s="134">
        <v>0</v>
      </c>
      <c r="AE369" s="221">
        <f>SUM(CATEGORIAS[[#This Row],[INVENTARIO]:[PROYECCION
DE COSTO
DEL SALDO]])</f>
        <v>0</v>
      </c>
      <c r="AF369" s="134"/>
      <c r="AG369" s="134">
        <f>+CATEGORIAS[[#This Row],[PRESUPUESTO
FINAL
PROYECTADO]]-CATEGORIAS[[#This Row],[COSTO REAL]]-CATEGORIAS[[#This Row],[PROYECCION
TOTAL DE COSTO]]</f>
        <v>0</v>
      </c>
    </row>
    <row r="370" spans="1:33" x14ac:dyDescent="0.25">
      <c r="A370" s="245"/>
      <c r="B370" s="245"/>
      <c r="C370" s="245"/>
      <c r="D370" s="323" t="s">
        <v>2106</v>
      </c>
      <c r="E370" s="244" t="s">
        <v>1100</v>
      </c>
      <c r="F370" s="246" t="s">
        <v>376</v>
      </c>
      <c r="G370" s="279">
        <v>0</v>
      </c>
      <c r="H370" s="279">
        <v>0</v>
      </c>
      <c r="I370" s="132">
        <v>0</v>
      </c>
      <c r="J370" s="132">
        <v>0</v>
      </c>
      <c r="K370" s="132">
        <v>0</v>
      </c>
      <c r="L370" s="144">
        <f>CATEGORIAS[[#This Row],[ADICIONALES]]+CATEGORIAS[[#This Row],[POM]]+CATEGORIAS[[#This Row],[REAJUSTE 
PAGADO]]+CATEGORIAS[[#This Row],[REAJUSTE
PROYECTADO]]</f>
        <v>0</v>
      </c>
      <c r="M370" s="133">
        <v>0</v>
      </c>
      <c r="N370" s="222">
        <v>0</v>
      </c>
      <c r="O370" s="142">
        <f>+CATEGORIAS[[#This Row],[PRODUCCION
PARTIDAS
ORIGINALES
ACTUAL]]+CATEGORIAS[[#This Row],[PRODUCCION
ADICIONALES
ACTUAL]]</f>
        <v>0</v>
      </c>
      <c r="P370" s="222">
        <v>0</v>
      </c>
      <c r="Q370" s="134">
        <v>0</v>
      </c>
      <c r="R370" s="141">
        <f>+CATEGORIAS[[#This Row],[PRODUCCION
ANTERIOR]]+CATEGORIAS[[#This Row],[PRODUCCION
ADICIONALES
ANTERIOR]]</f>
        <v>0</v>
      </c>
      <c r="S370" s="135">
        <v>0</v>
      </c>
      <c r="T370" s="135"/>
      <c r="U370" s="135">
        <v>0</v>
      </c>
      <c r="V370" s="262">
        <f>SUM(CATEGORIAS[[#This Row],[COSTO
ACUMULADO  AX]:[PROVISIONES]])</f>
        <v>0</v>
      </c>
      <c r="W370" s="264">
        <v>0</v>
      </c>
      <c r="X370" s="222"/>
      <c r="Y370" s="222">
        <v>0</v>
      </c>
      <c r="Z370" s="263">
        <f>SUM(CATEGORIAS[[#This Row],[COSTO ACUMULADO
ANTERIOR]:[PROVISIONES
ANTERIOR]])</f>
        <v>0</v>
      </c>
      <c r="AA370" s="338">
        <f>ABS(+CATEGORIAS[[#This Row],[PRESUPUESTO
FINAL
PROYECTADO]]-CATEGORIAS[[#This Row],[TOTAL PRODUCCION
ACTUAL]])</f>
        <v>0</v>
      </c>
      <c r="AB370" s="222"/>
      <c r="AC370" s="134"/>
      <c r="AD370" s="134">
        <v>0</v>
      </c>
      <c r="AE370" s="221">
        <f>SUM(CATEGORIAS[[#This Row],[INVENTARIO]:[PROYECCION
DE COSTO
DEL SALDO]])</f>
        <v>0</v>
      </c>
      <c r="AF370" s="134"/>
      <c r="AG370" s="134">
        <f>+CATEGORIAS[[#This Row],[PRESUPUESTO
FINAL
PROYECTADO]]-CATEGORIAS[[#This Row],[COSTO REAL]]-CATEGORIAS[[#This Row],[PROYECCION
TOTAL DE COSTO]]</f>
        <v>0</v>
      </c>
    </row>
    <row r="371" spans="1:33" x14ac:dyDescent="0.25">
      <c r="A371" s="245"/>
      <c r="B371" s="245"/>
      <c r="C371" s="245"/>
      <c r="D371" s="323" t="s">
        <v>2107</v>
      </c>
      <c r="E371" s="244" t="s">
        <v>1102</v>
      </c>
      <c r="F371" s="246" t="s">
        <v>376</v>
      </c>
      <c r="G371" s="279">
        <v>0</v>
      </c>
      <c r="H371" s="279">
        <v>0</v>
      </c>
      <c r="I371" s="132">
        <v>0</v>
      </c>
      <c r="J371" s="132">
        <v>0</v>
      </c>
      <c r="K371" s="132">
        <v>0</v>
      </c>
      <c r="L371" s="144">
        <f>CATEGORIAS[[#This Row],[ADICIONALES]]+CATEGORIAS[[#This Row],[POM]]+CATEGORIAS[[#This Row],[REAJUSTE 
PAGADO]]+CATEGORIAS[[#This Row],[REAJUSTE
PROYECTADO]]</f>
        <v>0</v>
      </c>
      <c r="M371" s="133">
        <v>0</v>
      </c>
      <c r="N371" s="222">
        <v>0</v>
      </c>
      <c r="O371" s="142">
        <f>+CATEGORIAS[[#This Row],[PRODUCCION
PARTIDAS
ORIGINALES
ACTUAL]]+CATEGORIAS[[#This Row],[PRODUCCION
ADICIONALES
ACTUAL]]</f>
        <v>0</v>
      </c>
      <c r="P371" s="222">
        <v>0</v>
      </c>
      <c r="Q371" s="222">
        <v>0</v>
      </c>
      <c r="R371" s="141">
        <f>+CATEGORIAS[[#This Row],[PRODUCCION
ANTERIOR]]+CATEGORIAS[[#This Row],[PRODUCCION
ADICIONALES
ANTERIOR]]</f>
        <v>0</v>
      </c>
      <c r="S371" s="135">
        <v>0</v>
      </c>
      <c r="T371" s="135"/>
      <c r="U371" s="135">
        <v>0</v>
      </c>
      <c r="V371" s="262">
        <f>SUM(CATEGORIAS[[#This Row],[COSTO
ACUMULADO  AX]:[PROVISIONES]])</f>
        <v>0</v>
      </c>
      <c r="W371" s="264">
        <v>0</v>
      </c>
      <c r="X371" s="222"/>
      <c r="Y371" s="222">
        <v>0</v>
      </c>
      <c r="Z371" s="263">
        <f>SUM(CATEGORIAS[[#This Row],[COSTO ACUMULADO
ANTERIOR]:[PROVISIONES
ANTERIOR]])</f>
        <v>0</v>
      </c>
      <c r="AA371" s="338">
        <f>ABS(+CATEGORIAS[[#This Row],[PRESUPUESTO
FINAL
PROYECTADO]]-CATEGORIAS[[#This Row],[TOTAL PRODUCCION
ACTUAL]])</f>
        <v>0</v>
      </c>
      <c r="AB371" s="222"/>
      <c r="AC371" s="134"/>
      <c r="AD371" s="134">
        <v>0</v>
      </c>
      <c r="AE371" s="221">
        <f>SUM(CATEGORIAS[[#This Row],[INVENTARIO]:[PROYECCION
DE COSTO
DEL SALDO]])</f>
        <v>0</v>
      </c>
      <c r="AF371" s="134"/>
      <c r="AG371" s="134">
        <f>+CATEGORIAS[[#This Row],[PRESUPUESTO
FINAL
PROYECTADO]]-CATEGORIAS[[#This Row],[COSTO REAL]]-CATEGORIAS[[#This Row],[PROYECCION
TOTAL DE COSTO]]</f>
        <v>0</v>
      </c>
    </row>
    <row r="372" spans="1:33" x14ac:dyDescent="0.25">
      <c r="A372" s="245"/>
      <c r="B372" s="245"/>
      <c r="C372" s="245"/>
      <c r="D372" s="323" t="s">
        <v>2108</v>
      </c>
      <c r="E372" s="244" t="s">
        <v>1104</v>
      </c>
      <c r="F372" s="246" t="s">
        <v>376</v>
      </c>
      <c r="G372" s="279">
        <v>0</v>
      </c>
      <c r="H372" s="279">
        <v>0</v>
      </c>
      <c r="I372" s="132">
        <v>0</v>
      </c>
      <c r="J372" s="132">
        <v>0</v>
      </c>
      <c r="K372" s="132">
        <v>0</v>
      </c>
      <c r="L372" s="144">
        <f>CATEGORIAS[[#This Row],[ADICIONALES]]+CATEGORIAS[[#This Row],[POM]]+CATEGORIAS[[#This Row],[REAJUSTE 
PAGADO]]+CATEGORIAS[[#This Row],[REAJUSTE
PROYECTADO]]</f>
        <v>0</v>
      </c>
      <c r="M372" s="133">
        <v>0</v>
      </c>
      <c r="N372" s="222">
        <v>0</v>
      </c>
      <c r="O372" s="142">
        <f>+CATEGORIAS[[#This Row],[PRODUCCION
PARTIDAS
ORIGINALES
ACTUAL]]+CATEGORIAS[[#This Row],[PRODUCCION
ADICIONALES
ACTUAL]]</f>
        <v>0</v>
      </c>
      <c r="P372" s="222">
        <v>0</v>
      </c>
      <c r="Q372" s="134">
        <v>0</v>
      </c>
      <c r="R372" s="141">
        <f>+CATEGORIAS[[#This Row],[PRODUCCION
ANTERIOR]]+CATEGORIAS[[#This Row],[PRODUCCION
ADICIONALES
ANTERIOR]]</f>
        <v>0</v>
      </c>
      <c r="S372" s="135">
        <v>0</v>
      </c>
      <c r="T372" s="135"/>
      <c r="U372" s="135">
        <v>0</v>
      </c>
      <c r="V372" s="262">
        <f>SUM(CATEGORIAS[[#This Row],[COSTO
ACUMULADO  AX]:[PROVISIONES]])</f>
        <v>0</v>
      </c>
      <c r="W372" s="264">
        <v>0</v>
      </c>
      <c r="X372" s="222"/>
      <c r="Y372" s="222">
        <v>0</v>
      </c>
      <c r="Z372" s="263">
        <f>SUM(CATEGORIAS[[#This Row],[COSTO ACUMULADO
ANTERIOR]:[PROVISIONES
ANTERIOR]])</f>
        <v>0</v>
      </c>
      <c r="AA372" s="338">
        <f>ABS(+CATEGORIAS[[#This Row],[PRESUPUESTO
FINAL
PROYECTADO]]-CATEGORIAS[[#This Row],[TOTAL PRODUCCION
ACTUAL]])</f>
        <v>0</v>
      </c>
      <c r="AB372" s="222"/>
      <c r="AC372" s="134"/>
      <c r="AD372" s="134">
        <v>0</v>
      </c>
      <c r="AE372" s="221">
        <f>SUM(CATEGORIAS[[#This Row],[INVENTARIO]:[PROYECCION
DE COSTO
DEL SALDO]])</f>
        <v>0</v>
      </c>
      <c r="AF372" s="134"/>
      <c r="AG372" s="134">
        <f>+CATEGORIAS[[#This Row],[PRESUPUESTO
FINAL
PROYECTADO]]-CATEGORIAS[[#This Row],[COSTO REAL]]-CATEGORIAS[[#This Row],[PROYECCION
TOTAL DE COSTO]]</f>
        <v>0</v>
      </c>
    </row>
    <row r="373" spans="1:33" x14ac:dyDescent="0.25">
      <c r="A373" s="245"/>
      <c r="B373" s="245"/>
      <c r="C373" s="245"/>
      <c r="D373" s="323" t="s">
        <v>2109</v>
      </c>
      <c r="E373" s="244" t="s">
        <v>1106</v>
      </c>
      <c r="F373" s="246" t="s">
        <v>376</v>
      </c>
      <c r="G373" s="279">
        <v>0</v>
      </c>
      <c r="H373" s="279">
        <v>0</v>
      </c>
      <c r="I373" s="132">
        <v>0</v>
      </c>
      <c r="J373" s="132">
        <v>0</v>
      </c>
      <c r="K373" s="132">
        <v>0</v>
      </c>
      <c r="L373" s="144">
        <f>CATEGORIAS[[#This Row],[ADICIONALES]]+CATEGORIAS[[#This Row],[POM]]+CATEGORIAS[[#This Row],[REAJUSTE 
PAGADO]]+CATEGORIAS[[#This Row],[REAJUSTE
PROYECTADO]]</f>
        <v>0</v>
      </c>
      <c r="M373" s="133">
        <v>0</v>
      </c>
      <c r="N373" s="222">
        <v>0</v>
      </c>
      <c r="O373" s="142">
        <f>+CATEGORIAS[[#This Row],[PRODUCCION
PARTIDAS
ORIGINALES
ACTUAL]]+CATEGORIAS[[#This Row],[PRODUCCION
ADICIONALES
ACTUAL]]</f>
        <v>0</v>
      </c>
      <c r="P373" s="222">
        <v>0</v>
      </c>
      <c r="Q373" s="222">
        <v>0</v>
      </c>
      <c r="R373" s="141">
        <f>+CATEGORIAS[[#This Row],[PRODUCCION
ANTERIOR]]+CATEGORIAS[[#This Row],[PRODUCCION
ADICIONALES
ANTERIOR]]</f>
        <v>0</v>
      </c>
      <c r="S373" s="135">
        <v>0</v>
      </c>
      <c r="T373" s="135"/>
      <c r="U373" s="135">
        <v>0</v>
      </c>
      <c r="V373" s="262">
        <f>SUM(CATEGORIAS[[#This Row],[COSTO
ACUMULADO  AX]:[PROVISIONES]])</f>
        <v>0</v>
      </c>
      <c r="W373" s="264">
        <v>0</v>
      </c>
      <c r="X373" s="222"/>
      <c r="Y373" s="222">
        <v>0</v>
      </c>
      <c r="Z373" s="263">
        <f>SUM(CATEGORIAS[[#This Row],[COSTO ACUMULADO
ANTERIOR]:[PROVISIONES
ANTERIOR]])</f>
        <v>0</v>
      </c>
      <c r="AA373" s="338">
        <f>ABS(+CATEGORIAS[[#This Row],[PRESUPUESTO
FINAL
PROYECTADO]]-CATEGORIAS[[#This Row],[TOTAL PRODUCCION
ACTUAL]])</f>
        <v>0</v>
      </c>
      <c r="AB373" s="222"/>
      <c r="AC373" s="134"/>
      <c r="AD373" s="134">
        <v>0</v>
      </c>
      <c r="AE373" s="221">
        <f>SUM(CATEGORIAS[[#This Row],[INVENTARIO]:[PROYECCION
DE COSTO
DEL SALDO]])</f>
        <v>0</v>
      </c>
      <c r="AF373" s="134"/>
      <c r="AG373" s="134">
        <f>+CATEGORIAS[[#This Row],[PRESUPUESTO
FINAL
PROYECTADO]]-CATEGORIAS[[#This Row],[COSTO REAL]]-CATEGORIAS[[#This Row],[PROYECCION
TOTAL DE COSTO]]</f>
        <v>0</v>
      </c>
    </row>
    <row r="374" spans="1:33" x14ac:dyDescent="0.25">
      <c r="A374" s="245"/>
      <c r="B374" s="245"/>
      <c r="C374" s="245"/>
      <c r="D374" s="323" t="s">
        <v>2110</v>
      </c>
      <c r="E374" s="244" t="s">
        <v>1108</v>
      </c>
      <c r="F374" s="246" t="s">
        <v>376</v>
      </c>
      <c r="G374" s="279">
        <v>0</v>
      </c>
      <c r="H374" s="279">
        <v>0</v>
      </c>
      <c r="I374" s="132">
        <v>0</v>
      </c>
      <c r="J374" s="132">
        <v>0</v>
      </c>
      <c r="K374" s="132">
        <v>0</v>
      </c>
      <c r="L374" s="144">
        <f>CATEGORIAS[[#This Row],[ADICIONALES]]+CATEGORIAS[[#This Row],[POM]]+CATEGORIAS[[#This Row],[REAJUSTE 
PAGADO]]+CATEGORIAS[[#This Row],[REAJUSTE
PROYECTADO]]</f>
        <v>0</v>
      </c>
      <c r="M374" s="133">
        <v>0</v>
      </c>
      <c r="N374" s="222">
        <v>0</v>
      </c>
      <c r="O374" s="142">
        <f>+CATEGORIAS[[#This Row],[PRODUCCION
PARTIDAS
ORIGINALES
ACTUAL]]+CATEGORIAS[[#This Row],[PRODUCCION
ADICIONALES
ACTUAL]]</f>
        <v>0</v>
      </c>
      <c r="P374" s="222">
        <v>0</v>
      </c>
      <c r="Q374" s="134">
        <v>0</v>
      </c>
      <c r="R374" s="141">
        <f>+CATEGORIAS[[#This Row],[PRODUCCION
ANTERIOR]]+CATEGORIAS[[#This Row],[PRODUCCION
ADICIONALES
ANTERIOR]]</f>
        <v>0</v>
      </c>
      <c r="S374" s="135">
        <v>0</v>
      </c>
      <c r="T374" s="135"/>
      <c r="U374" s="135">
        <v>0</v>
      </c>
      <c r="V374" s="262">
        <f>SUM(CATEGORIAS[[#This Row],[COSTO
ACUMULADO  AX]:[PROVISIONES]])</f>
        <v>0</v>
      </c>
      <c r="W374" s="264">
        <v>0</v>
      </c>
      <c r="X374" s="222"/>
      <c r="Y374" s="222">
        <v>0</v>
      </c>
      <c r="Z374" s="263">
        <f>SUM(CATEGORIAS[[#This Row],[COSTO ACUMULADO
ANTERIOR]:[PROVISIONES
ANTERIOR]])</f>
        <v>0</v>
      </c>
      <c r="AA374" s="338">
        <f>ABS(+CATEGORIAS[[#This Row],[PRESUPUESTO
FINAL
PROYECTADO]]-CATEGORIAS[[#This Row],[TOTAL PRODUCCION
ACTUAL]])</f>
        <v>0</v>
      </c>
      <c r="AB374" s="222"/>
      <c r="AC374" s="134"/>
      <c r="AD374" s="134">
        <v>0</v>
      </c>
      <c r="AE374" s="221">
        <f>SUM(CATEGORIAS[[#This Row],[INVENTARIO]:[PROYECCION
DE COSTO
DEL SALDO]])</f>
        <v>0</v>
      </c>
      <c r="AF374" s="134"/>
      <c r="AG374" s="134">
        <f>+CATEGORIAS[[#This Row],[PRESUPUESTO
FINAL
PROYECTADO]]-CATEGORIAS[[#This Row],[COSTO REAL]]-CATEGORIAS[[#This Row],[PROYECCION
TOTAL DE COSTO]]</f>
        <v>0</v>
      </c>
    </row>
    <row r="375" spans="1:33" x14ac:dyDescent="0.25">
      <c r="A375" s="245"/>
      <c r="B375" s="245"/>
      <c r="C375" s="245"/>
      <c r="D375" s="323" t="s">
        <v>2111</v>
      </c>
      <c r="E375" s="244" t="s">
        <v>1110</v>
      </c>
      <c r="F375" s="246" t="s">
        <v>376</v>
      </c>
      <c r="G375" s="279">
        <v>0</v>
      </c>
      <c r="H375" s="279">
        <v>0</v>
      </c>
      <c r="I375" s="132">
        <v>0</v>
      </c>
      <c r="J375" s="132">
        <v>0</v>
      </c>
      <c r="K375" s="132">
        <v>0</v>
      </c>
      <c r="L375" s="144">
        <f>CATEGORIAS[[#This Row],[ADICIONALES]]+CATEGORIAS[[#This Row],[POM]]+CATEGORIAS[[#This Row],[REAJUSTE 
PAGADO]]+CATEGORIAS[[#This Row],[REAJUSTE
PROYECTADO]]</f>
        <v>0</v>
      </c>
      <c r="M375" s="133">
        <v>0</v>
      </c>
      <c r="N375" s="222">
        <v>0</v>
      </c>
      <c r="O375" s="142">
        <f>+CATEGORIAS[[#This Row],[PRODUCCION
PARTIDAS
ORIGINALES
ACTUAL]]+CATEGORIAS[[#This Row],[PRODUCCION
ADICIONALES
ACTUAL]]</f>
        <v>0</v>
      </c>
      <c r="P375" s="222">
        <v>0</v>
      </c>
      <c r="Q375" s="222">
        <v>0</v>
      </c>
      <c r="R375" s="141">
        <f>+CATEGORIAS[[#This Row],[PRODUCCION
ANTERIOR]]+CATEGORIAS[[#This Row],[PRODUCCION
ADICIONALES
ANTERIOR]]</f>
        <v>0</v>
      </c>
      <c r="S375" s="135">
        <v>0</v>
      </c>
      <c r="T375" s="135"/>
      <c r="U375" s="135">
        <v>0</v>
      </c>
      <c r="V375" s="262">
        <f>SUM(CATEGORIAS[[#This Row],[COSTO
ACUMULADO  AX]:[PROVISIONES]])</f>
        <v>0</v>
      </c>
      <c r="W375" s="264">
        <v>0</v>
      </c>
      <c r="X375" s="222"/>
      <c r="Y375" s="222">
        <v>0</v>
      </c>
      <c r="Z375" s="263">
        <f>SUM(CATEGORIAS[[#This Row],[COSTO ACUMULADO
ANTERIOR]:[PROVISIONES
ANTERIOR]])</f>
        <v>0</v>
      </c>
      <c r="AA375" s="338">
        <f>ABS(+CATEGORIAS[[#This Row],[PRESUPUESTO
FINAL
PROYECTADO]]-CATEGORIAS[[#This Row],[TOTAL PRODUCCION
ACTUAL]])</f>
        <v>0</v>
      </c>
      <c r="AB375" s="222"/>
      <c r="AC375" s="134"/>
      <c r="AD375" s="134">
        <v>0</v>
      </c>
      <c r="AE375" s="221">
        <f>SUM(CATEGORIAS[[#This Row],[INVENTARIO]:[PROYECCION
DE COSTO
DEL SALDO]])</f>
        <v>0</v>
      </c>
      <c r="AF375" s="134"/>
      <c r="AG375" s="134">
        <f>+CATEGORIAS[[#This Row],[PRESUPUESTO
FINAL
PROYECTADO]]-CATEGORIAS[[#This Row],[COSTO REAL]]-CATEGORIAS[[#This Row],[PROYECCION
TOTAL DE COSTO]]</f>
        <v>0</v>
      </c>
    </row>
    <row r="376" spans="1:33" x14ac:dyDescent="0.25">
      <c r="A376" s="245" t="s">
        <v>100</v>
      </c>
      <c r="B376" s="245" t="s">
        <v>43</v>
      </c>
      <c r="C376" s="245" t="s">
        <v>2444</v>
      </c>
      <c r="D376" s="323" t="s">
        <v>2112</v>
      </c>
      <c r="E376" s="244" t="s">
        <v>1112</v>
      </c>
      <c r="F376" s="246" t="s">
        <v>379</v>
      </c>
      <c r="G376" s="279">
        <v>106019661.30159998</v>
      </c>
      <c r="H376" s="279">
        <v>60431008.58324109</v>
      </c>
      <c r="I376" s="132">
        <v>44060624.908028096</v>
      </c>
      <c r="J376" s="132">
        <v>2130697.9431119934</v>
      </c>
      <c r="K376" s="132">
        <v>0</v>
      </c>
      <c r="L376" s="144">
        <f>CATEGORIAS[[#This Row],[ADICIONALES]]+CATEGORIAS[[#This Row],[POM]]+CATEGORIAS[[#This Row],[REAJUSTE 
PAGADO]]+CATEGORIAS[[#This Row],[REAJUSTE
PROYECTADO]]</f>
        <v>106622331.43438119</v>
      </c>
      <c r="M376" s="133">
        <v>62549843.882433042</v>
      </c>
      <c r="N376" s="222">
        <v>44072487.551948145</v>
      </c>
      <c r="O376" s="142">
        <f>+CATEGORIAS[[#This Row],[PRODUCCION
PARTIDAS
ORIGINALES
ACTUAL]]+CATEGORIAS[[#This Row],[PRODUCCION
ADICIONALES
ACTUAL]]</f>
        <v>106622331.43438119</v>
      </c>
      <c r="P376" s="222">
        <v>62549843.882433042</v>
      </c>
      <c r="Q376" s="134">
        <v>44060624.908028096</v>
      </c>
      <c r="R376" s="141">
        <f>+CATEGORIAS[[#This Row],[PRODUCCION
ANTERIOR]]+CATEGORIAS[[#This Row],[PRODUCCION
ADICIONALES
ANTERIOR]]</f>
        <v>106610468.79046114</v>
      </c>
      <c r="S376" s="135">
        <v>62785748</v>
      </c>
      <c r="T376" s="135"/>
      <c r="U376" s="135">
        <v>2868186</v>
      </c>
      <c r="V376" s="262">
        <f>SUM(CATEGORIAS[[#This Row],[COSTO
ACUMULADO  AX]:[PROVISIONES]])</f>
        <v>65653934</v>
      </c>
      <c r="W376" s="264">
        <v>56339836</v>
      </c>
      <c r="X376" s="222"/>
      <c r="Y376" s="222">
        <v>15819070</v>
      </c>
      <c r="Z376" s="263">
        <f>SUM(CATEGORIAS[[#This Row],[COSTO ACUMULADO
ANTERIOR]:[PROVISIONES
ANTERIOR]])</f>
        <v>72158906</v>
      </c>
      <c r="AA376" s="338">
        <f>ABS(+CATEGORIAS[[#This Row],[PRESUPUESTO
FINAL
PROYECTADO]]-CATEGORIAS[[#This Row],[TOTAL PRODUCCION
ACTUAL]])</f>
        <v>0</v>
      </c>
      <c r="AB376" s="222"/>
      <c r="AC376" s="134"/>
      <c r="AD376" s="134">
        <v>0</v>
      </c>
      <c r="AE376" s="221">
        <f>SUM(CATEGORIAS[[#This Row],[INVENTARIO]:[PROYECCION
DE COSTO
DEL SALDO]])</f>
        <v>0</v>
      </c>
      <c r="AF376" s="134"/>
      <c r="AG376" s="134">
        <f>+CATEGORIAS[[#This Row],[PRESUPUESTO
FINAL
PROYECTADO]]-CATEGORIAS[[#This Row],[COSTO REAL]]-CATEGORIAS[[#This Row],[PROYECCION
TOTAL DE COSTO]]</f>
        <v>40968397.434381187</v>
      </c>
    </row>
    <row r="377" spans="1:33" x14ac:dyDescent="0.25">
      <c r="A377" s="245"/>
      <c r="B377" s="245"/>
      <c r="C377" s="245"/>
      <c r="D377" s="323" t="s">
        <v>2113</v>
      </c>
      <c r="E377" s="244" t="s">
        <v>1114</v>
      </c>
      <c r="F377" s="246" t="s">
        <v>376</v>
      </c>
      <c r="G377" s="279">
        <v>0</v>
      </c>
      <c r="H377" s="279">
        <v>0</v>
      </c>
      <c r="I377" s="132">
        <v>0</v>
      </c>
      <c r="J377" s="132">
        <v>0</v>
      </c>
      <c r="K377" s="132">
        <v>0</v>
      </c>
      <c r="L377" s="144">
        <f>CATEGORIAS[[#This Row],[ADICIONALES]]+CATEGORIAS[[#This Row],[POM]]+CATEGORIAS[[#This Row],[REAJUSTE 
PAGADO]]+CATEGORIAS[[#This Row],[REAJUSTE
PROYECTADO]]</f>
        <v>0</v>
      </c>
      <c r="M377" s="133">
        <v>0</v>
      </c>
      <c r="N377" s="222">
        <v>0</v>
      </c>
      <c r="O377" s="142">
        <f>+CATEGORIAS[[#This Row],[PRODUCCION
PARTIDAS
ORIGINALES
ACTUAL]]+CATEGORIAS[[#This Row],[PRODUCCION
ADICIONALES
ACTUAL]]</f>
        <v>0</v>
      </c>
      <c r="P377" s="222">
        <v>0</v>
      </c>
      <c r="Q377" s="222">
        <v>0</v>
      </c>
      <c r="R377" s="141">
        <f>+CATEGORIAS[[#This Row],[PRODUCCION
ANTERIOR]]+CATEGORIAS[[#This Row],[PRODUCCION
ADICIONALES
ANTERIOR]]</f>
        <v>0</v>
      </c>
      <c r="S377" s="135">
        <v>0</v>
      </c>
      <c r="T377" s="135"/>
      <c r="U377" s="135">
        <v>0</v>
      </c>
      <c r="V377" s="262">
        <f>SUM(CATEGORIAS[[#This Row],[COSTO
ACUMULADO  AX]:[PROVISIONES]])</f>
        <v>0</v>
      </c>
      <c r="W377" s="264">
        <v>0</v>
      </c>
      <c r="X377" s="222"/>
      <c r="Y377" s="222">
        <v>0</v>
      </c>
      <c r="Z377" s="263">
        <f>SUM(CATEGORIAS[[#This Row],[COSTO ACUMULADO
ANTERIOR]:[PROVISIONES
ANTERIOR]])</f>
        <v>0</v>
      </c>
      <c r="AA377" s="338">
        <f>ABS(+CATEGORIAS[[#This Row],[PRESUPUESTO
FINAL
PROYECTADO]]-CATEGORIAS[[#This Row],[TOTAL PRODUCCION
ACTUAL]])</f>
        <v>0</v>
      </c>
      <c r="AB377" s="222"/>
      <c r="AC377" s="134"/>
      <c r="AD377" s="134">
        <v>0</v>
      </c>
      <c r="AE377" s="221">
        <f>SUM(CATEGORIAS[[#This Row],[INVENTARIO]:[PROYECCION
DE COSTO
DEL SALDO]])</f>
        <v>0</v>
      </c>
      <c r="AF377" s="134"/>
      <c r="AG377" s="134">
        <f>+CATEGORIAS[[#This Row],[PRESUPUESTO
FINAL
PROYECTADO]]-CATEGORIAS[[#This Row],[COSTO REAL]]-CATEGORIAS[[#This Row],[PROYECCION
TOTAL DE COSTO]]</f>
        <v>0</v>
      </c>
    </row>
    <row r="378" spans="1:33" x14ac:dyDescent="0.25">
      <c r="A378" s="245"/>
      <c r="B378" s="245"/>
      <c r="C378" s="245"/>
      <c r="D378" s="323" t="s">
        <v>2114</v>
      </c>
      <c r="E378" s="244" t="s">
        <v>1116</v>
      </c>
      <c r="F378" s="246" t="s">
        <v>376</v>
      </c>
      <c r="G378" s="279">
        <v>0</v>
      </c>
      <c r="H378" s="279">
        <v>0</v>
      </c>
      <c r="I378" s="132">
        <v>0</v>
      </c>
      <c r="J378" s="132">
        <v>0</v>
      </c>
      <c r="K378" s="132">
        <v>0</v>
      </c>
      <c r="L378" s="144">
        <f>CATEGORIAS[[#This Row],[ADICIONALES]]+CATEGORIAS[[#This Row],[POM]]+CATEGORIAS[[#This Row],[REAJUSTE 
PAGADO]]+CATEGORIAS[[#This Row],[REAJUSTE
PROYECTADO]]</f>
        <v>0</v>
      </c>
      <c r="M378" s="133">
        <v>0</v>
      </c>
      <c r="N378" s="222">
        <v>0</v>
      </c>
      <c r="O378" s="142">
        <f>+CATEGORIAS[[#This Row],[PRODUCCION
PARTIDAS
ORIGINALES
ACTUAL]]+CATEGORIAS[[#This Row],[PRODUCCION
ADICIONALES
ACTUAL]]</f>
        <v>0</v>
      </c>
      <c r="P378" s="222">
        <v>0</v>
      </c>
      <c r="Q378" s="134">
        <v>0</v>
      </c>
      <c r="R378" s="141">
        <f>+CATEGORIAS[[#This Row],[PRODUCCION
ANTERIOR]]+CATEGORIAS[[#This Row],[PRODUCCION
ADICIONALES
ANTERIOR]]</f>
        <v>0</v>
      </c>
      <c r="S378" s="135">
        <v>0</v>
      </c>
      <c r="T378" s="135"/>
      <c r="U378" s="135">
        <v>0</v>
      </c>
      <c r="V378" s="262">
        <f>SUM(CATEGORIAS[[#This Row],[COSTO
ACUMULADO  AX]:[PROVISIONES]])</f>
        <v>0</v>
      </c>
      <c r="W378" s="264">
        <v>0</v>
      </c>
      <c r="X378" s="222"/>
      <c r="Y378" s="222">
        <v>0</v>
      </c>
      <c r="Z378" s="263">
        <f>SUM(CATEGORIAS[[#This Row],[COSTO ACUMULADO
ANTERIOR]:[PROVISIONES
ANTERIOR]])</f>
        <v>0</v>
      </c>
      <c r="AA378" s="338">
        <f>ABS(+CATEGORIAS[[#This Row],[PRESUPUESTO
FINAL
PROYECTADO]]-CATEGORIAS[[#This Row],[TOTAL PRODUCCION
ACTUAL]])</f>
        <v>0</v>
      </c>
      <c r="AB378" s="222"/>
      <c r="AC378" s="134"/>
      <c r="AD378" s="134">
        <v>0</v>
      </c>
      <c r="AE378" s="221">
        <f>SUM(CATEGORIAS[[#This Row],[INVENTARIO]:[PROYECCION
DE COSTO
DEL SALDO]])</f>
        <v>0</v>
      </c>
      <c r="AF378" s="134"/>
      <c r="AG378" s="134">
        <f>+CATEGORIAS[[#This Row],[PRESUPUESTO
FINAL
PROYECTADO]]-CATEGORIAS[[#This Row],[COSTO REAL]]-CATEGORIAS[[#This Row],[PROYECCION
TOTAL DE COSTO]]</f>
        <v>0</v>
      </c>
    </row>
    <row r="379" spans="1:33" x14ac:dyDescent="0.25">
      <c r="A379" s="245"/>
      <c r="B379" s="245"/>
      <c r="C379" s="245"/>
      <c r="D379" s="323" t="s">
        <v>2115</v>
      </c>
      <c r="E379" s="244" t="s">
        <v>1118</v>
      </c>
      <c r="F379" s="246" t="s">
        <v>376</v>
      </c>
      <c r="G379" s="279">
        <v>0</v>
      </c>
      <c r="H379" s="279">
        <v>0</v>
      </c>
      <c r="I379" s="132">
        <v>0</v>
      </c>
      <c r="J379" s="132">
        <v>0</v>
      </c>
      <c r="K379" s="132">
        <v>0</v>
      </c>
      <c r="L379" s="144">
        <f>CATEGORIAS[[#This Row],[ADICIONALES]]+CATEGORIAS[[#This Row],[POM]]+CATEGORIAS[[#This Row],[REAJUSTE 
PAGADO]]+CATEGORIAS[[#This Row],[REAJUSTE
PROYECTADO]]</f>
        <v>0</v>
      </c>
      <c r="M379" s="133">
        <v>0</v>
      </c>
      <c r="N379" s="222">
        <v>0</v>
      </c>
      <c r="O379" s="142">
        <f>+CATEGORIAS[[#This Row],[PRODUCCION
PARTIDAS
ORIGINALES
ACTUAL]]+CATEGORIAS[[#This Row],[PRODUCCION
ADICIONALES
ACTUAL]]</f>
        <v>0</v>
      </c>
      <c r="P379" s="222">
        <v>0</v>
      </c>
      <c r="Q379" s="222">
        <v>0</v>
      </c>
      <c r="R379" s="141">
        <f>+CATEGORIAS[[#This Row],[PRODUCCION
ANTERIOR]]+CATEGORIAS[[#This Row],[PRODUCCION
ADICIONALES
ANTERIOR]]</f>
        <v>0</v>
      </c>
      <c r="S379" s="135">
        <v>0</v>
      </c>
      <c r="T379" s="135"/>
      <c r="U379" s="135">
        <v>0</v>
      </c>
      <c r="V379" s="262">
        <f>SUM(CATEGORIAS[[#This Row],[COSTO
ACUMULADO  AX]:[PROVISIONES]])</f>
        <v>0</v>
      </c>
      <c r="W379" s="264">
        <v>0</v>
      </c>
      <c r="X379" s="222"/>
      <c r="Y379" s="222">
        <v>0</v>
      </c>
      <c r="Z379" s="263">
        <f>SUM(CATEGORIAS[[#This Row],[COSTO ACUMULADO
ANTERIOR]:[PROVISIONES
ANTERIOR]])</f>
        <v>0</v>
      </c>
      <c r="AA379" s="338">
        <f>ABS(+CATEGORIAS[[#This Row],[PRESUPUESTO
FINAL
PROYECTADO]]-CATEGORIAS[[#This Row],[TOTAL PRODUCCION
ACTUAL]])</f>
        <v>0</v>
      </c>
      <c r="AB379" s="222"/>
      <c r="AC379" s="134"/>
      <c r="AD379" s="134">
        <v>0</v>
      </c>
      <c r="AE379" s="221">
        <f>SUM(CATEGORIAS[[#This Row],[INVENTARIO]:[PROYECCION
DE COSTO
DEL SALDO]])</f>
        <v>0</v>
      </c>
      <c r="AF379" s="134"/>
      <c r="AG379" s="134">
        <f>+CATEGORIAS[[#This Row],[PRESUPUESTO
FINAL
PROYECTADO]]-CATEGORIAS[[#This Row],[COSTO REAL]]-CATEGORIAS[[#This Row],[PROYECCION
TOTAL DE COSTO]]</f>
        <v>0</v>
      </c>
    </row>
    <row r="380" spans="1:33" x14ac:dyDescent="0.25">
      <c r="A380" s="245" t="s">
        <v>100</v>
      </c>
      <c r="B380" s="245" t="s">
        <v>209</v>
      </c>
      <c r="C380" s="245" t="s">
        <v>2397</v>
      </c>
      <c r="D380" s="323" t="s">
        <v>2116</v>
      </c>
      <c r="E380" s="244" t="s">
        <v>1120</v>
      </c>
      <c r="F380" s="246" t="s">
        <v>376</v>
      </c>
      <c r="G380" s="279">
        <v>39200000</v>
      </c>
      <c r="H380" s="279">
        <v>39200000</v>
      </c>
      <c r="I380" s="132">
        <v>11286522.911520349</v>
      </c>
      <c r="J380" s="132">
        <v>1382127.5091733797</v>
      </c>
      <c r="K380" s="132">
        <v>0</v>
      </c>
      <c r="L380" s="144">
        <f>CATEGORIAS[[#This Row],[ADICIONALES]]+CATEGORIAS[[#This Row],[POM]]+CATEGORIAS[[#This Row],[REAJUSTE 
PAGADO]]+CATEGORIAS[[#This Row],[REAJUSTE
PROYECTADO]]</f>
        <v>51868650.420693725</v>
      </c>
      <c r="M380" s="133">
        <v>40574432.525214523</v>
      </c>
      <c r="N380" s="222">
        <v>11294217.895479204</v>
      </c>
      <c r="O380" s="142">
        <f>+CATEGORIAS[[#This Row],[PRODUCCION
PARTIDAS
ORIGINALES
ACTUAL]]+CATEGORIAS[[#This Row],[PRODUCCION
ADICIONALES
ACTUAL]]</f>
        <v>51868650.420693725</v>
      </c>
      <c r="P380" s="222">
        <v>40574432.525214523</v>
      </c>
      <c r="Q380" s="134">
        <v>11286522.911520349</v>
      </c>
      <c r="R380" s="141">
        <f>+CATEGORIAS[[#This Row],[PRODUCCION
ANTERIOR]]+CATEGORIAS[[#This Row],[PRODUCCION
ADICIONALES
ANTERIOR]]</f>
        <v>51860955.43673487</v>
      </c>
      <c r="S380" s="135">
        <v>7807673</v>
      </c>
      <c r="T380" s="135"/>
      <c r="U380" s="135">
        <v>0</v>
      </c>
      <c r="V380" s="262">
        <f>SUM(CATEGORIAS[[#This Row],[COSTO
ACUMULADO  AX]:[PROVISIONES]])</f>
        <v>7807673</v>
      </c>
      <c r="W380" s="264">
        <v>7372308</v>
      </c>
      <c r="X380" s="222"/>
      <c r="Y380" s="222">
        <v>0</v>
      </c>
      <c r="Z380" s="263">
        <f>SUM(CATEGORIAS[[#This Row],[COSTO ACUMULADO
ANTERIOR]:[PROVISIONES
ANTERIOR]])</f>
        <v>7372308</v>
      </c>
      <c r="AA380" s="338">
        <f>ABS(+CATEGORIAS[[#This Row],[PRESUPUESTO
FINAL
PROYECTADO]]-CATEGORIAS[[#This Row],[TOTAL PRODUCCION
ACTUAL]])</f>
        <v>0</v>
      </c>
      <c r="AB380" s="222"/>
      <c r="AC380" s="134"/>
      <c r="AD380" s="134">
        <v>0</v>
      </c>
      <c r="AE380" s="221">
        <f>SUM(CATEGORIAS[[#This Row],[INVENTARIO]:[PROYECCION
DE COSTO
DEL SALDO]])</f>
        <v>0</v>
      </c>
      <c r="AF380" s="134"/>
      <c r="AG380" s="134">
        <f>+CATEGORIAS[[#This Row],[PRESUPUESTO
FINAL
PROYECTADO]]-CATEGORIAS[[#This Row],[COSTO REAL]]-CATEGORIAS[[#This Row],[PROYECCION
TOTAL DE COSTO]]</f>
        <v>44060977.420693725</v>
      </c>
    </row>
    <row r="381" spans="1:33" x14ac:dyDescent="0.25">
      <c r="A381" s="245"/>
      <c r="B381" s="245"/>
      <c r="C381" s="245"/>
      <c r="D381" s="323" t="s">
        <v>2117</v>
      </c>
      <c r="E381" s="244" t="s">
        <v>1122</v>
      </c>
      <c r="F381" s="246" t="s">
        <v>379</v>
      </c>
      <c r="G381" s="279">
        <v>0</v>
      </c>
      <c r="H381" s="279">
        <v>0</v>
      </c>
      <c r="I381" s="132">
        <v>0</v>
      </c>
      <c r="J381" s="132">
        <v>0</v>
      </c>
      <c r="K381" s="132">
        <v>0</v>
      </c>
      <c r="L381" s="144">
        <f>CATEGORIAS[[#This Row],[ADICIONALES]]+CATEGORIAS[[#This Row],[POM]]+CATEGORIAS[[#This Row],[REAJUSTE 
PAGADO]]+CATEGORIAS[[#This Row],[REAJUSTE
PROYECTADO]]</f>
        <v>0</v>
      </c>
      <c r="M381" s="133">
        <v>0</v>
      </c>
      <c r="N381" s="222">
        <v>0</v>
      </c>
      <c r="O381" s="142">
        <f>+CATEGORIAS[[#This Row],[PRODUCCION
PARTIDAS
ORIGINALES
ACTUAL]]+CATEGORIAS[[#This Row],[PRODUCCION
ADICIONALES
ACTUAL]]</f>
        <v>0</v>
      </c>
      <c r="P381" s="222">
        <v>0</v>
      </c>
      <c r="Q381" s="134">
        <v>0</v>
      </c>
      <c r="R381" s="141">
        <f>+CATEGORIAS[[#This Row],[PRODUCCION
ANTERIOR]]+CATEGORIAS[[#This Row],[PRODUCCION
ADICIONALES
ANTERIOR]]</f>
        <v>0</v>
      </c>
      <c r="S381" s="135">
        <v>0</v>
      </c>
      <c r="T381" s="135"/>
      <c r="U381" s="135">
        <v>0</v>
      </c>
      <c r="V381" s="262">
        <f>SUM(CATEGORIAS[[#This Row],[COSTO
ACUMULADO  AX]:[PROVISIONES]])</f>
        <v>0</v>
      </c>
      <c r="W381" s="264">
        <v>0</v>
      </c>
      <c r="X381" s="222"/>
      <c r="Y381" s="222">
        <v>0</v>
      </c>
      <c r="Z381" s="263">
        <f>SUM(CATEGORIAS[[#This Row],[COSTO ACUMULADO
ANTERIOR]:[PROVISIONES
ANTERIOR]])</f>
        <v>0</v>
      </c>
      <c r="AA381" s="338">
        <f>ABS(+CATEGORIAS[[#This Row],[PRESUPUESTO
FINAL
PROYECTADO]]-CATEGORIAS[[#This Row],[TOTAL PRODUCCION
ACTUAL]])</f>
        <v>0</v>
      </c>
      <c r="AB381" s="222"/>
      <c r="AC381" s="134"/>
      <c r="AD381" s="134">
        <v>0</v>
      </c>
      <c r="AE381" s="221">
        <f>SUM(CATEGORIAS[[#This Row],[INVENTARIO]:[PROYECCION
DE COSTO
DEL SALDO]])</f>
        <v>0</v>
      </c>
      <c r="AF381" s="134"/>
      <c r="AG381" s="134">
        <f>+CATEGORIAS[[#This Row],[PRESUPUESTO
FINAL
PROYECTADO]]-CATEGORIAS[[#This Row],[COSTO REAL]]-CATEGORIAS[[#This Row],[PROYECCION
TOTAL DE COSTO]]</f>
        <v>0</v>
      </c>
    </row>
    <row r="382" spans="1:33" x14ac:dyDescent="0.25">
      <c r="A382" s="245"/>
      <c r="B382" s="245"/>
      <c r="C382" s="245"/>
      <c r="D382" s="323" t="s">
        <v>2118</v>
      </c>
      <c r="E382" s="244" t="s">
        <v>1124</v>
      </c>
      <c r="F382" s="246" t="s">
        <v>376</v>
      </c>
      <c r="G382" s="279">
        <v>0</v>
      </c>
      <c r="H382" s="279">
        <v>0</v>
      </c>
      <c r="I382" s="132">
        <v>0</v>
      </c>
      <c r="J382" s="132">
        <v>0</v>
      </c>
      <c r="K382" s="132">
        <v>0</v>
      </c>
      <c r="L382" s="144">
        <f>CATEGORIAS[[#This Row],[ADICIONALES]]+CATEGORIAS[[#This Row],[POM]]+CATEGORIAS[[#This Row],[REAJUSTE 
PAGADO]]+CATEGORIAS[[#This Row],[REAJUSTE
PROYECTADO]]</f>
        <v>0</v>
      </c>
      <c r="M382" s="133">
        <v>0</v>
      </c>
      <c r="N382" s="222">
        <v>0</v>
      </c>
      <c r="O382" s="142">
        <f>+CATEGORIAS[[#This Row],[PRODUCCION
PARTIDAS
ORIGINALES
ACTUAL]]+CATEGORIAS[[#This Row],[PRODUCCION
ADICIONALES
ACTUAL]]</f>
        <v>0</v>
      </c>
      <c r="P382" s="222">
        <v>0</v>
      </c>
      <c r="Q382" s="222">
        <v>0</v>
      </c>
      <c r="R382" s="141">
        <f>+CATEGORIAS[[#This Row],[PRODUCCION
ANTERIOR]]+CATEGORIAS[[#This Row],[PRODUCCION
ADICIONALES
ANTERIOR]]</f>
        <v>0</v>
      </c>
      <c r="S382" s="135">
        <v>0</v>
      </c>
      <c r="T382" s="135"/>
      <c r="U382" s="135">
        <v>0</v>
      </c>
      <c r="V382" s="262">
        <f>SUM(CATEGORIAS[[#This Row],[COSTO
ACUMULADO  AX]:[PROVISIONES]])</f>
        <v>0</v>
      </c>
      <c r="W382" s="264">
        <v>0</v>
      </c>
      <c r="X382" s="222"/>
      <c r="Y382" s="222">
        <v>0</v>
      </c>
      <c r="Z382" s="263">
        <f>SUM(CATEGORIAS[[#This Row],[COSTO ACUMULADO
ANTERIOR]:[PROVISIONES
ANTERIOR]])</f>
        <v>0</v>
      </c>
      <c r="AA382" s="338">
        <f>ABS(+CATEGORIAS[[#This Row],[PRESUPUESTO
FINAL
PROYECTADO]]-CATEGORIAS[[#This Row],[TOTAL PRODUCCION
ACTUAL]])</f>
        <v>0</v>
      </c>
      <c r="AB382" s="222"/>
      <c r="AC382" s="134"/>
      <c r="AD382" s="134">
        <v>0</v>
      </c>
      <c r="AE382" s="221">
        <f>SUM(CATEGORIAS[[#This Row],[INVENTARIO]:[PROYECCION
DE COSTO
DEL SALDO]])</f>
        <v>0</v>
      </c>
      <c r="AF382" s="134"/>
      <c r="AG382" s="134">
        <f>+CATEGORIAS[[#This Row],[PRESUPUESTO
FINAL
PROYECTADO]]-CATEGORIAS[[#This Row],[COSTO REAL]]-CATEGORIAS[[#This Row],[PROYECCION
TOTAL DE COSTO]]</f>
        <v>0</v>
      </c>
    </row>
    <row r="383" spans="1:33" x14ac:dyDescent="0.25">
      <c r="A383" s="245"/>
      <c r="B383" s="245"/>
      <c r="C383" s="245"/>
      <c r="D383" s="323" t="s">
        <v>2119</v>
      </c>
      <c r="E383" s="244" t="s">
        <v>1124</v>
      </c>
      <c r="F383" s="246" t="s">
        <v>376</v>
      </c>
      <c r="G383" s="279">
        <v>0</v>
      </c>
      <c r="H383" s="279">
        <v>0</v>
      </c>
      <c r="I383" s="132">
        <v>0</v>
      </c>
      <c r="J383" s="132">
        <v>0</v>
      </c>
      <c r="K383" s="132">
        <v>0</v>
      </c>
      <c r="L383" s="144">
        <f>CATEGORIAS[[#This Row],[ADICIONALES]]+CATEGORIAS[[#This Row],[POM]]+CATEGORIAS[[#This Row],[REAJUSTE 
PAGADO]]+CATEGORIAS[[#This Row],[REAJUSTE
PROYECTADO]]</f>
        <v>0</v>
      </c>
      <c r="M383" s="133">
        <v>0</v>
      </c>
      <c r="N383" s="222">
        <v>0</v>
      </c>
      <c r="O383" s="142">
        <f>+CATEGORIAS[[#This Row],[PRODUCCION
PARTIDAS
ORIGINALES
ACTUAL]]+CATEGORIAS[[#This Row],[PRODUCCION
ADICIONALES
ACTUAL]]</f>
        <v>0</v>
      </c>
      <c r="P383" s="222">
        <v>0</v>
      </c>
      <c r="Q383" s="134">
        <v>0</v>
      </c>
      <c r="R383" s="141">
        <f>+CATEGORIAS[[#This Row],[PRODUCCION
ANTERIOR]]+CATEGORIAS[[#This Row],[PRODUCCION
ADICIONALES
ANTERIOR]]</f>
        <v>0</v>
      </c>
      <c r="S383" s="135">
        <v>0</v>
      </c>
      <c r="T383" s="135"/>
      <c r="U383" s="135">
        <v>0</v>
      </c>
      <c r="V383" s="262">
        <f>SUM(CATEGORIAS[[#This Row],[COSTO
ACUMULADO  AX]:[PROVISIONES]])</f>
        <v>0</v>
      </c>
      <c r="W383" s="264">
        <v>0</v>
      </c>
      <c r="X383" s="222"/>
      <c r="Y383" s="222">
        <v>0</v>
      </c>
      <c r="Z383" s="263">
        <f>SUM(CATEGORIAS[[#This Row],[COSTO ACUMULADO
ANTERIOR]:[PROVISIONES
ANTERIOR]])</f>
        <v>0</v>
      </c>
      <c r="AA383" s="338">
        <f>ABS(+CATEGORIAS[[#This Row],[PRESUPUESTO
FINAL
PROYECTADO]]-CATEGORIAS[[#This Row],[TOTAL PRODUCCION
ACTUAL]])</f>
        <v>0</v>
      </c>
      <c r="AB383" s="222"/>
      <c r="AC383" s="134"/>
      <c r="AD383" s="134">
        <v>0</v>
      </c>
      <c r="AE383" s="221">
        <f>SUM(CATEGORIAS[[#This Row],[INVENTARIO]:[PROYECCION
DE COSTO
DEL SALDO]])</f>
        <v>0</v>
      </c>
      <c r="AF383" s="134"/>
      <c r="AG383" s="134">
        <f>+CATEGORIAS[[#This Row],[PRESUPUESTO
FINAL
PROYECTADO]]-CATEGORIAS[[#This Row],[COSTO REAL]]-CATEGORIAS[[#This Row],[PROYECCION
TOTAL DE COSTO]]</f>
        <v>0</v>
      </c>
    </row>
    <row r="384" spans="1:33" x14ac:dyDescent="0.25">
      <c r="A384" s="245" t="s">
        <v>100</v>
      </c>
      <c r="B384" s="245" t="s">
        <v>210</v>
      </c>
      <c r="C384" s="245" t="s">
        <v>2434</v>
      </c>
      <c r="D384" s="323" t="s">
        <v>2120</v>
      </c>
      <c r="E384" s="244" t="s">
        <v>1127</v>
      </c>
      <c r="F384" s="246" t="s">
        <v>376</v>
      </c>
      <c r="G384" s="279">
        <v>36937813.120000005</v>
      </c>
      <c r="H384" s="279">
        <v>36937813.120000005</v>
      </c>
      <c r="I384" s="132">
        <v>10635190.665314719</v>
      </c>
      <c r="J384" s="132">
        <v>1302366.5214759537</v>
      </c>
      <c r="K384" s="132">
        <v>0</v>
      </c>
      <c r="L384" s="144">
        <f>CATEGORIAS[[#This Row],[ADICIONALES]]+CATEGORIAS[[#This Row],[POM]]+CATEGORIAS[[#This Row],[REAJUSTE 
PAGADO]]+CATEGORIAS[[#This Row],[REAJUSTE
PROYECTADO]]</f>
        <v>48875370.30679068</v>
      </c>
      <c r="M384" s="133">
        <v>38232928.726184286</v>
      </c>
      <c r="N384" s="222">
        <v>10642441.580606394</v>
      </c>
      <c r="O384" s="142">
        <f>+CATEGORIAS[[#This Row],[PRODUCCION
PARTIDAS
ORIGINALES
ACTUAL]]+CATEGORIAS[[#This Row],[PRODUCCION
ADICIONALES
ACTUAL]]</f>
        <v>48875370.30679068</v>
      </c>
      <c r="P384" s="222">
        <v>38232928.726184286</v>
      </c>
      <c r="Q384" s="222">
        <v>10635190.665314719</v>
      </c>
      <c r="R384" s="141">
        <f>+CATEGORIAS[[#This Row],[PRODUCCION
ANTERIOR]]+CATEGORIAS[[#This Row],[PRODUCCION
ADICIONALES
ANTERIOR]]</f>
        <v>48868119.391499005</v>
      </c>
      <c r="S384" s="135">
        <v>53240852</v>
      </c>
      <c r="T384" s="135"/>
      <c r="U384" s="135">
        <v>0</v>
      </c>
      <c r="V384" s="262">
        <f>SUM(CATEGORIAS[[#This Row],[COSTO
ACUMULADO  AX]:[PROVISIONES]])</f>
        <v>53240852</v>
      </c>
      <c r="W384" s="264">
        <v>51140852</v>
      </c>
      <c r="X384" s="222"/>
      <c r="Y384" s="222">
        <v>0</v>
      </c>
      <c r="Z384" s="263">
        <f>SUM(CATEGORIAS[[#This Row],[COSTO ACUMULADO
ANTERIOR]:[PROVISIONES
ANTERIOR]])</f>
        <v>51140852</v>
      </c>
      <c r="AA384" s="338">
        <f>ABS(+CATEGORIAS[[#This Row],[PRESUPUESTO
FINAL
PROYECTADO]]-CATEGORIAS[[#This Row],[TOTAL PRODUCCION
ACTUAL]])</f>
        <v>0</v>
      </c>
      <c r="AB384" s="222"/>
      <c r="AC384" s="134"/>
      <c r="AD384" s="134">
        <v>0</v>
      </c>
      <c r="AE384" s="221">
        <f>SUM(CATEGORIAS[[#This Row],[INVENTARIO]:[PROYECCION
DE COSTO
DEL SALDO]])</f>
        <v>0</v>
      </c>
      <c r="AF384" s="134"/>
      <c r="AG384" s="134">
        <f>+CATEGORIAS[[#This Row],[PRESUPUESTO
FINAL
PROYECTADO]]-CATEGORIAS[[#This Row],[COSTO REAL]]-CATEGORIAS[[#This Row],[PROYECCION
TOTAL DE COSTO]]</f>
        <v>-4365481.6932093203</v>
      </c>
    </row>
    <row r="385" spans="1:33" x14ac:dyDescent="0.25">
      <c r="A385" s="245"/>
      <c r="B385" s="245"/>
      <c r="C385" s="245"/>
      <c r="D385" s="323" t="s">
        <v>2121</v>
      </c>
      <c r="E385" s="244" t="s">
        <v>1129</v>
      </c>
      <c r="F385" s="246" t="s">
        <v>379</v>
      </c>
      <c r="G385" s="279">
        <v>0</v>
      </c>
      <c r="H385" s="279">
        <v>0</v>
      </c>
      <c r="I385" s="132">
        <v>0</v>
      </c>
      <c r="J385" s="132">
        <v>0</v>
      </c>
      <c r="K385" s="132">
        <v>0</v>
      </c>
      <c r="L385" s="144">
        <f>CATEGORIAS[[#This Row],[ADICIONALES]]+CATEGORIAS[[#This Row],[POM]]+CATEGORIAS[[#This Row],[REAJUSTE 
PAGADO]]+CATEGORIAS[[#This Row],[REAJUSTE
PROYECTADO]]</f>
        <v>0</v>
      </c>
      <c r="M385" s="133">
        <v>0</v>
      </c>
      <c r="N385" s="222">
        <v>0</v>
      </c>
      <c r="O385" s="142">
        <f>+CATEGORIAS[[#This Row],[PRODUCCION
PARTIDAS
ORIGINALES
ACTUAL]]+CATEGORIAS[[#This Row],[PRODUCCION
ADICIONALES
ACTUAL]]</f>
        <v>0</v>
      </c>
      <c r="P385" s="222">
        <v>0</v>
      </c>
      <c r="Q385" s="222">
        <v>0</v>
      </c>
      <c r="R385" s="141">
        <f>+CATEGORIAS[[#This Row],[PRODUCCION
ANTERIOR]]+CATEGORIAS[[#This Row],[PRODUCCION
ADICIONALES
ANTERIOR]]</f>
        <v>0</v>
      </c>
      <c r="S385" s="135">
        <v>0</v>
      </c>
      <c r="T385" s="135"/>
      <c r="U385" s="135">
        <v>0</v>
      </c>
      <c r="V385" s="262">
        <f>SUM(CATEGORIAS[[#This Row],[COSTO
ACUMULADO  AX]:[PROVISIONES]])</f>
        <v>0</v>
      </c>
      <c r="W385" s="264">
        <v>0</v>
      </c>
      <c r="X385" s="222"/>
      <c r="Y385" s="222">
        <v>0</v>
      </c>
      <c r="Z385" s="263">
        <f>SUM(CATEGORIAS[[#This Row],[COSTO ACUMULADO
ANTERIOR]:[PROVISIONES
ANTERIOR]])</f>
        <v>0</v>
      </c>
      <c r="AA385" s="338">
        <f>ABS(+CATEGORIAS[[#This Row],[PRESUPUESTO
FINAL
PROYECTADO]]-CATEGORIAS[[#This Row],[TOTAL PRODUCCION
ACTUAL]])</f>
        <v>0</v>
      </c>
      <c r="AB385" s="222"/>
      <c r="AC385" s="134"/>
      <c r="AD385" s="134">
        <v>0</v>
      </c>
      <c r="AE385" s="221">
        <f>SUM(CATEGORIAS[[#This Row],[INVENTARIO]:[PROYECCION
DE COSTO
DEL SALDO]])</f>
        <v>0</v>
      </c>
      <c r="AF385" s="134"/>
      <c r="AG385" s="134">
        <f>+CATEGORIAS[[#This Row],[PRESUPUESTO
FINAL
PROYECTADO]]-CATEGORIAS[[#This Row],[COSTO REAL]]-CATEGORIAS[[#This Row],[PROYECCION
TOTAL DE COSTO]]</f>
        <v>0</v>
      </c>
    </row>
    <row r="386" spans="1:33" x14ac:dyDescent="0.25">
      <c r="A386" s="245"/>
      <c r="B386" s="245"/>
      <c r="C386" s="245"/>
      <c r="D386" s="323" t="s">
        <v>2122</v>
      </c>
      <c r="E386" s="244" t="s">
        <v>1131</v>
      </c>
      <c r="F386" s="246" t="s">
        <v>376</v>
      </c>
      <c r="G386" s="279">
        <v>0</v>
      </c>
      <c r="H386" s="279">
        <v>0</v>
      </c>
      <c r="I386" s="132">
        <v>0</v>
      </c>
      <c r="J386" s="132">
        <v>0</v>
      </c>
      <c r="K386" s="132">
        <v>0</v>
      </c>
      <c r="L386" s="144">
        <f>CATEGORIAS[[#This Row],[ADICIONALES]]+CATEGORIAS[[#This Row],[POM]]+CATEGORIAS[[#This Row],[REAJUSTE 
PAGADO]]+CATEGORIAS[[#This Row],[REAJUSTE
PROYECTADO]]</f>
        <v>0</v>
      </c>
      <c r="M386" s="133">
        <v>0</v>
      </c>
      <c r="N386" s="222">
        <v>0</v>
      </c>
      <c r="O386" s="142">
        <f>+CATEGORIAS[[#This Row],[PRODUCCION
PARTIDAS
ORIGINALES
ACTUAL]]+CATEGORIAS[[#This Row],[PRODUCCION
ADICIONALES
ACTUAL]]</f>
        <v>0</v>
      </c>
      <c r="P386" s="222">
        <v>0</v>
      </c>
      <c r="Q386" s="222">
        <v>0</v>
      </c>
      <c r="R386" s="141">
        <f>+CATEGORIAS[[#This Row],[PRODUCCION
ANTERIOR]]+CATEGORIAS[[#This Row],[PRODUCCION
ADICIONALES
ANTERIOR]]</f>
        <v>0</v>
      </c>
      <c r="S386" s="135">
        <v>0</v>
      </c>
      <c r="T386" s="135"/>
      <c r="U386" s="135">
        <v>0</v>
      </c>
      <c r="V386" s="262">
        <f>SUM(CATEGORIAS[[#This Row],[COSTO
ACUMULADO  AX]:[PROVISIONES]])</f>
        <v>0</v>
      </c>
      <c r="W386" s="264">
        <v>0</v>
      </c>
      <c r="X386" s="222"/>
      <c r="Y386" s="222">
        <v>0</v>
      </c>
      <c r="Z386" s="263">
        <f>SUM(CATEGORIAS[[#This Row],[COSTO ACUMULADO
ANTERIOR]:[PROVISIONES
ANTERIOR]])</f>
        <v>0</v>
      </c>
      <c r="AA386" s="338">
        <f>ABS(+CATEGORIAS[[#This Row],[PRESUPUESTO
FINAL
PROYECTADO]]-CATEGORIAS[[#This Row],[TOTAL PRODUCCION
ACTUAL]])</f>
        <v>0</v>
      </c>
      <c r="AB386" s="222"/>
      <c r="AC386" s="134"/>
      <c r="AD386" s="134">
        <v>0</v>
      </c>
      <c r="AE386" s="221">
        <f>SUM(CATEGORIAS[[#This Row],[INVENTARIO]:[PROYECCION
DE COSTO
DEL SALDO]])</f>
        <v>0</v>
      </c>
      <c r="AF386" s="134"/>
      <c r="AG386" s="134">
        <f>+CATEGORIAS[[#This Row],[PRESUPUESTO
FINAL
PROYECTADO]]-CATEGORIAS[[#This Row],[COSTO REAL]]-CATEGORIAS[[#This Row],[PROYECCION
TOTAL DE COSTO]]</f>
        <v>0</v>
      </c>
    </row>
    <row r="387" spans="1:33" x14ac:dyDescent="0.25">
      <c r="A387" s="245"/>
      <c r="B387" s="245"/>
      <c r="C387" s="245"/>
      <c r="D387" s="323" t="s">
        <v>2123</v>
      </c>
      <c r="E387" s="244" t="s">
        <v>1133</v>
      </c>
      <c r="F387" s="246" t="s">
        <v>376</v>
      </c>
      <c r="G387" s="279">
        <v>0</v>
      </c>
      <c r="H387" s="279">
        <v>0</v>
      </c>
      <c r="I387" s="132">
        <v>0</v>
      </c>
      <c r="J387" s="132">
        <v>0</v>
      </c>
      <c r="K387" s="132">
        <v>0</v>
      </c>
      <c r="L387" s="144">
        <f>CATEGORIAS[[#This Row],[ADICIONALES]]+CATEGORIAS[[#This Row],[POM]]+CATEGORIAS[[#This Row],[REAJUSTE 
PAGADO]]+CATEGORIAS[[#This Row],[REAJUSTE
PROYECTADO]]</f>
        <v>0</v>
      </c>
      <c r="M387" s="133">
        <v>0</v>
      </c>
      <c r="N387" s="222">
        <v>0</v>
      </c>
      <c r="O387" s="142">
        <f>+CATEGORIAS[[#This Row],[PRODUCCION
PARTIDAS
ORIGINALES
ACTUAL]]+CATEGORIAS[[#This Row],[PRODUCCION
ADICIONALES
ACTUAL]]</f>
        <v>0</v>
      </c>
      <c r="P387" s="222">
        <v>0</v>
      </c>
      <c r="Q387" s="222">
        <v>0</v>
      </c>
      <c r="R387" s="141">
        <f>+CATEGORIAS[[#This Row],[PRODUCCION
ANTERIOR]]+CATEGORIAS[[#This Row],[PRODUCCION
ADICIONALES
ANTERIOR]]</f>
        <v>0</v>
      </c>
      <c r="S387" s="135">
        <v>0</v>
      </c>
      <c r="T387" s="135"/>
      <c r="U387" s="135">
        <v>0</v>
      </c>
      <c r="V387" s="262">
        <f>SUM(CATEGORIAS[[#This Row],[COSTO
ACUMULADO  AX]:[PROVISIONES]])</f>
        <v>0</v>
      </c>
      <c r="W387" s="264">
        <v>0</v>
      </c>
      <c r="X387" s="222"/>
      <c r="Y387" s="222">
        <v>0</v>
      </c>
      <c r="Z387" s="263">
        <f>SUM(CATEGORIAS[[#This Row],[COSTO ACUMULADO
ANTERIOR]:[PROVISIONES
ANTERIOR]])</f>
        <v>0</v>
      </c>
      <c r="AA387" s="338">
        <f>ABS(+CATEGORIAS[[#This Row],[PRESUPUESTO
FINAL
PROYECTADO]]-CATEGORIAS[[#This Row],[TOTAL PRODUCCION
ACTUAL]])</f>
        <v>0</v>
      </c>
      <c r="AB387" s="222"/>
      <c r="AC387" s="134"/>
      <c r="AD387" s="134">
        <v>0</v>
      </c>
      <c r="AE387" s="221">
        <f>SUM(CATEGORIAS[[#This Row],[INVENTARIO]:[PROYECCION
DE COSTO
DEL SALDO]])</f>
        <v>0</v>
      </c>
      <c r="AF387" s="134"/>
      <c r="AG387" s="134">
        <f>+CATEGORIAS[[#This Row],[PRESUPUESTO
FINAL
PROYECTADO]]-CATEGORIAS[[#This Row],[COSTO REAL]]-CATEGORIAS[[#This Row],[PROYECCION
TOTAL DE COSTO]]</f>
        <v>0</v>
      </c>
    </row>
    <row r="388" spans="1:33" x14ac:dyDescent="0.25">
      <c r="A388" s="245"/>
      <c r="B388" s="245"/>
      <c r="C388" s="245"/>
      <c r="D388" s="323" t="s">
        <v>2303</v>
      </c>
      <c r="E388" s="244" t="s">
        <v>2304</v>
      </c>
      <c r="F388" s="246" t="s">
        <v>376</v>
      </c>
      <c r="G388" s="279">
        <v>0</v>
      </c>
      <c r="H388" s="279">
        <v>0</v>
      </c>
      <c r="I388" s="132">
        <v>0</v>
      </c>
      <c r="J388" s="132">
        <v>0</v>
      </c>
      <c r="K388" s="132">
        <v>0</v>
      </c>
      <c r="L388" s="144">
        <f>CATEGORIAS[[#This Row],[ADICIONALES]]+CATEGORIAS[[#This Row],[POM]]+CATEGORIAS[[#This Row],[REAJUSTE 
PAGADO]]+CATEGORIAS[[#This Row],[REAJUSTE
PROYECTADO]]</f>
        <v>0</v>
      </c>
      <c r="M388" s="133">
        <v>0</v>
      </c>
      <c r="N388" s="222">
        <v>0</v>
      </c>
      <c r="O388" s="142">
        <f>+CATEGORIAS[[#This Row],[PRODUCCION
PARTIDAS
ORIGINALES
ACTUAL]]+CATEGORIAS[[#This Row],[PRODUCCION
ADICIONALES
ACTUAL]]</f>
        <v>0</v>
      </c>
      <c r="P388" s="222">
        <v>0</v>
      </c>
      <c r="Q388" s="134">
        <v>0</v>
      </c>
      <c r="R388" s="141">
        <f>+CATEGORIAS[[#This Row],[PRODUCCION
ANTERIOR]]+CATEGORIAS[[#This Row],[PRODUCCION
ADICIONALES
ANTERIOR]]</f>
        <v>0</v>
      </c>
      <c r="S388" s="135">
        <v>0</v>
      </c>
      <c r="T388" s="135"/>
      <c r="U388" s="135">
        <v>0</v>
      </c>
      <c r="V388" s="262">
        <f>SUM(CATEGORIAS[[#This Row],[COSTO
ACUMULADO  AX]:[PROVISIONES]])</f>
        <v>0</v>
      </c>
      <c r="W388" s="264">
        <v>0</v>
      </c>
      <c r="X388" s="222"/>
      <c r="Y388" s="222">
        <v>0</v>
      </c>
      <c r="Z388" s="263">
        <f>SUM(CATEGORIAS[[#This Row],[COSTO ACUMULADO
ANTERIOR]:[PROVISIONES
ANTERIOR]])</f>
        <v>0</v>
      </c>
      <c r="AA388" s="338">
        <f>ABS(+CATEGORIAS[[#This Row],[PRESUPUESTO
FINAL
PROYECTADO]]-CATEGORIAS[[#This Row],[TOTAL PRODUCCION
ACTUAL]])</f>
        <v>0</v>
      </c>
      <c r="AB388" s="222"/>
      <c r="AC388" s="134"/>
      <c r="AD388" s="134">
        <v>0</v>
      </c>
      <c r="AE388" s="221">
        <f>SUM(CATEGORIAS[[#This Row],[INVENTARIO]:[PROYECCION
DE COSTO
DEL SALDO]])</f>
        <v>0</v>
      </c>
      <c r="AF388" s="134"/>
      <c r="AG388" s="134">
        <f>+CATEGORIAS[[#This Row],[PRESUPUESTO
FINAL
PROYECTADO]]-CATEGORIAS[[#This Row],[COSTO REAL]]-CATEGORIAS[[#This Row],[PROYECCION
TOTAL DE COSTO]]</f>
        <v>0</v>
      </c>
    </row>
    <row r="389" spans="1:33" x14ac:dyDescent="0.25">
      <c r="A389" s="245"/>
      <c r="B389" s="245"/>
      <c r="C389" s="245"/>
      <c r="D389" s="323" t="s">
        <v>2305</v>
      </c>
      <c r="E389" s="244" t="s">
        <v>2306</v>
      </c>
      <c r="F389" s="246" t="s">
        <v>376</v>
      </c>
      <c r="G389" s="279">
        <v>0</v>
      </c>
      <c r="H389" s="279">
        <v>0</v>
      </c>
      <c r="I389" s="132">
        <v>0</v>
      </c>
      <c r="J389" s="132">
        <v>0</v>
      </c>
      <c r="K389" s="132">
        <v>0</v>
      </c>
      <c r="L389" s="144">
        <f>CATEGORIAS[[#This Row],[ADICIONALES]]+CATEGORIAS[[#This Row],[POM]]+CATEGORIAS[[#This Row],[REAJUSTE 
PAGADO]]+CATEGORIAS[[#This Row],[REAJUSTE
PROYECTADO]]</f>
        <v>0</v>
      </c>
      <c r="M389" s="133">
        <v>0</v>
      </c>
      <c r="N389" s="222">
        <v>0</v>
      </c>
      <c r="O389" s="142">
        <f>+CATEGORIAS[[#This Row],[PRODUCCION
PARTIDAS
ORIGINALES
ACTUAL]]+CATEGORIAS[[#This Row],[PRODUCCION
ADICIONALES
ACTUAL]]</f>
        <v>0</v>
      </c>
      <c r="P389" s="222">
        <v>0</v>
      </c>
      <c r="Q389" s="222">
        <v>0</v>
      </c>
      <c r="R389" s="141">
        <f>+CATEGORIAS[[#This Row],[PRODUCCION
ANTERIOR]]+CATEGORIAS[[#This Row],[PRODUCCION
ADICIONALES
ANTERIOR]]</f>
        <v>0</v>
      </c>
      <c r="S389" s="135">
        <v>0</v>
      </c>
      <c r="T389" s="135"/>
      <c r="U389" s="135">
        <v>0</v>
      </c>
      <c r="V389" s="262">
        <f>SUM(CATEGORIAS[[#This Row],[COSTO
ACUMULADO  AX]:[PROVISIONES]])</f>
        <v>0</v>
      </c>
      <c r="W389" s="264">
        <v>0</v>
      </c>
      <c r="X389" s="222"/>
      <c r="Y389" s="222">
        <v>0</v>
      </c>
      <c r="Z389" s="263">
        <f>SUM(CATEGORIAS[[#This Row],[COSTO ACUMULADO
ANTERIOR]:[PROVISIONES
ANTERIOR]])</f>
        <v>0</v>
      </c>
      <c r="AA389" s="338">
        <f>ABS(+CATEGORIAS[[#This Row],[PRESUPUESTO
FINAL
PROYECTADO]]-CATEGORIAS[[#This Row],[TOTAL PRODUCCION
ACTUAL]])</f>
        <v>0</v>
      </c>
      <c r="AB389" s="222"/>
      <c r="AC389" s="134"/>
      <c r="AD389" s="134">
        <v>0</v>
      </c>
      <c r="AE389" s="221">
        <f>SUM(CATEGORIAS[[#This Row],[INVENTARIO]:[PROYECCION
DE COSTO
DEL SALDO]])</f>
        <v>0</v>
      </c>
      <c r="AF389" s="134"/>
      <c r="AG389" s="134">
        <f>+CATEGORIAS[[#This Row],[PRESUPUESTO
FINAL
PROYECTADO]]-CATEGORIAS[[#This Row],[COSTO REAL]]-CATEGORIAS[[#This Row],[PROYECCION
TOTAL DE COSTO]]</f>
        <v>0</v>
      </c>
    </row>
    <row r="390" spans="1:33" x14ac:dyDescent="0.25">
      <c r="A390" s="245"/>
      <c r="B390" s="245"/>
      <c r="C390" s="245"/>
      <c r="D390" s="323" t="s">
        <v>2124</v>
      </c>
      <c r="E390" s="244" t="s">
        <v>1135</v>
      </c>
      <c r="F390" s="246" t="s">
        <v>376</v>
      </c>
      <c r="G390" s="279">
        <v>0</v>
      </c>
      <c r="H390" s="279">
        <v>0</v>
      </c>
      <c r="I390" s="132">
        <v>0</v>
      </c>
      <c r="J390" s="132">
        <v>0</v>
      </c>
      <c r="K390" s="132">
        <v>0</v>
      </c>
      <c r="L390" s="144">
        <f>CATEGORIAS[[#This Row],[ADICIONALES]]+CATEGORIAS[[#This Row],[POM]]+CATEGORIAS[[#This Row],[REAJUSTE 
PAGADO]]+CATEGORIAS[[#This Row],[REAJUSTE
PROYECTADO]]</f>
        <v>0</v>
      </c>
      <c r="M390" s="133">
        <v>0</v>
      </c>
      <c r="N390" s="222">
        <v>0</v>
      </c>
      <c r="O390" s="142">
        <f>+CATEGORIAS[[#This Row],[PRODUCCION
PARTIDAS
ORIGINALES
ACTUAL]]+CATEGORIAS[[#This Row],[PRODUCCION
ADICIONALES
ACTUAL]]</f>
        <v>0</v>
      </c>
      <c r="P390" s="222">
        <v>0</v>
      </c>
      <c r="Q390" s="222">
        <v>0</v>
      </c>
      <c r="R390" s="141">
        <f>+CATEGORIAS[[#This Row],[PRODUCCION
ANTERIOR]]+CATEGORIAS[[#This Row],[PRODUCCION
ADICIONALES
ANTERIOR]]</f>
        <v>0</v>
      </c>
      <c r="S390" s="135">
        <v>0</v>
      </c>
      <c r="T390" s="135"/>
      <c r="U390" s="135">
        <v>0</v>
      </c>
      <c r="V390" s="262">
        <f>SUM(CATEGORIAS[[#This Row],[COSTO
ACUMULADO  AX]:[PROVISIONES]])</f>
        <v>0</v>
      </c>
      <c r="W390" s="264">
        <v>0</v>
      </c>
      <c r="X390" s="222"/>
      <c r="Y390" s="222">
        <v>0</v>
      </c>
      <c r="Z390" s="263">
        <f>SUM(CATEGORIAS[[#This Row],[COSTO ACUMULADO
ANTERIOR]:[PROVISIONES
ANTERIOR]])</f>
        <v>0</v>
      </c>
      <c r="AA390" s="338">
        <f>ABS(+CATEGORIAS[[#This Row],[PRESUPUESTO
FINAL
PROYECTADO]]-CATEGORIAS[[#This Row],[TOTAL PRODUCCION
ACTUAL]])</f>
        <v>0</v>
      </c>
      <c r="AB390" s="222"/>
      <c r="AC390" s="134"/>
      <c r="AD390" s="134">
        <v>0</v>
      </c>
      <c r="AE390" s="221">
        <f>SUM(CATEGORIAS[[#This Row],[INVENTARIO]:[PROYECCION
DE COSTO
DEL SALDO]])</f>
        <v>0</v>
      </c>
      <c r="AF390" s="134"/>
      <c r="AG390" s="134">
        <f>+CATEGORIAS[[#This Row],[PRESUPUESTO
FINAL
PROYECTADO]]-CATEGORIAS[[#This Row],[COSTO REAL]]-CATEGORIAS[[#This Row],[PROYECCION
TOTAL DE COSTO]]</f>
        <v>0</v>
      </c>
    </row>
    <row r="391" spans="1:33" x14ac:dyDescent="0.25">
      <c r="A391" s="245"/>
      <c r="B391" s="245"/>
      <c r="C391" s="245"/>
      <c r="D391" s="323" t="s">
        <v>2125</v>
      </c>
      <c r="E391" s="244" t="s">
        <v>1137</v>
      </c>
      <c r="F391" s="246" t="s">
        <v>376</v>
      </c>
      <c r="G391" s="279">
        <v>0</v>
      </c>
      <c r="H391" s="279">
        <v>0</v>
      </c>
      <c r="I391" s="132">
        <v>0</v>
      </c>
      <c r="J391" s="132">
        <v>0</v>
      </c>
      <c r="K391" s="132">
        <v>0</v>
      </c>
      <c r="L391" s="144">
        <f>CATEGORIAS[[#This Row],[ADICIONALES]]+CATEGORIAS[[#This Row],[POM]]+CATEGORIAS[[#This Row],[REAJUSTE 
PAGADO]]+CATEGORIAS[[#This Row],[REAJUSTE
PROYECTADO]]</f>
        <v>0</v>
      </c>
      <c r="M391" s="133">
        <v>0</v>
      </c>
      <c r="N391" s="222">
        <v>0</v>
      </c>
      <c r="O391" s="142">
        <f>+CATEGORIAS[[#This Row],[PRODUCCION
PARTIDAS
ORIGINALES
ACTUAL]]+CATEGORIAS[[#This Row],[PRODUCCION
ADICIONALES
ACTUAL]]</f>
        <v>0</v>
      </c>
      <c r="P391" s="222">
        <v>0</v>
      </c>
      <c r="Q391" s="134">
        <v>0</v>
      </c>
      <c r="R391" s="141">
        <f>+CATEGORIAS[[#This Row],[PRODUCCION
ANTERIOR]]+CATEGORIAS[[#This Row],[PRODUCCION
ADICIONALES
ANTERIOR]]</f>
        <v>0</v>
      </c>
      <c r="S391" s="135">
        <v>0</v>
      </c>
      <c r="T391" s="135"/>
      <c r="U391" s="135">
        <v>0</v>
      </c>
      <c r="V391" s="262">
        <f>SUM(CATEGORIAS[[#This Row],[COSTO
ACUMULADO  AX]:[PROVISIONES]])</f>
        <v>0</v>
      </c>
      <c r="W391" s="264">
        <v>0</v>
      </c>
      <c r="X391" s="222"/>
      <c r="Y391" s="222">
        <v>0</v>
      </c>
      <c r="Z391" s="263">
        <f>SUM(CATEGORIAS[[#This Row],[COSTO ACUMULADO
ANTERIOR]:[PROVISIONES
ANTERIOR]])</f>
        <v>0</v>
      </c>
      <c r="AA391" s="338">
        <f>ABS(+CATEGORIAS[[#This Row],[PRESUPUESTO
FINAL
PROYECTADO]]-CATEGORIAS[[#This Row],[TOTAL PRODUCCION
ACTUAL]])</f>
        <v>0</v>
      </c>
      <c r="AB391" s="222"/>
      <c r="AC391" s="134"/>
      <c r="AD391" s="134">
        <v>0</v>
      </c>
      <c r="AE391" s="221">
        <f>SUM(CATEGORIAS[[#This Row],[INVENTARIO]:[PROYECCION
DE COSTO
DEL SALDO]])</f>
        <v>0</v>
      </c>
      <c r="AF391" s="134"/>
      <c r="AG391" s="134">
        <f>+CATEGORIAS[[#This Row],[PRESUPUESTO
FINAL
PROYECTADO]]-CATEGORIAS[[#This Row],[COSTO REAL]]-CATEGORIAS[[#This Row],[PROYECCION
TOTAL DE COSTO]]</f>
        <v>0</v>
      </c>
    </row>
    <row r="392" spans="1:33" x14ac:dyDescent="0.25">
      <c r="A392" s="245" t="s">
        <v>136</v>
      </c>
      <c r="B392" s="245" t="s">
        <v>2453</v>
      </c>
      <c r="C392" s="245" t="s">
        <v>2411</v>
      </c>
      <c r="D392" s="323" t="s">
        <v>2126</v>
      </c>
      <c r="E392" s="244" t="s">
        <v>1139</v>
      </c>
      <c r="F392" s="246" t="s">
        <v>379</v>
      </c>
      <c r="G392" s="279">
        <v>4087380.9600000004</v>
      </c>
      <c r="H392" s="279">
        <v>4087380.9600000004</v>
      </c>
      <c r="I392" s="132">
        <v>1221646.035890182</v>
      </c>
      <c r="J392" s="132">
        <v>144114.32819610965</v>
      </c>
      <c r="K392" s="132">
        <v>0</v>
      </c>
      <c r="L392" s="144">
        <f>CATEGORIAS[[#This Row],[ADICIONALES]]+CATEGORIAS[[#This Row],[POM]]+CATEGORIAS[[#This Row],[REAJUSTE 
PAGADO]]+CATEGORIAS[[#This Row],[REAJUSTE
PROYECTADO]]</f>
        <v>5453141.3240862917</v>
      </c>
      <c r="M392" s="133">
        <v>4230692.9328154735</v>
      </c>
      <c r="N392" s="222">
        <v>1222448.3912708177</v>
      </c>
      <c r="O392" s="142">
        <f>+CATEGORIAS[[#This Row],[PRODUCCION
PARTIDAS
ORIGINALES
ACTUAL]]+CATEGORIAS[[#This Row],[PRODUCCION
ADICIONALES
ACTUAL]]</f>
        <v>5453141.3240862917</v>
      </c>
      <c r="P392" s="222">
        <v>4230692.9328154735</v>
      </c>
      <c r="Q392" s="222">
        <v>1221646.035890182</v>
      </c>
      <c r="R392" s="141">
        <f>+CATEGORIAS[[#This Row],[PRODUCCION
ANTERIOR]]+CATEGORIAS[[#This Row],[PRODUCCION
ADICIONALES
ANTERIOR]]</f>
        <v>5452338.968705656</v>
      </c>
      <c r="S392" s="135">
        <v>5007325</v>
      </c>
      <c r="T392" s="135"/>
      <c r="U392" s="135">
        <v>0</v>
      </c>
      <c r="V392" s="262">
        <f>SUM(CATEGORIAS[[#This Row],[COSTO
ACUMULADO  AX]:[PROVISIONES]])</f>
        <v>5007325</v>
      </c>
      <c r="W392" s="264">
        <v>5007325</v>
      </c>
      <c r="X392" s="222"/>
      <c r="Y392" s="222">
        <v>0</v>
      </c>
      <c r="Z392" s="263">
        <f>SUM(CATEGORIAS[[#This Row],[COSTO ACUMULADO
ANTERIOR]:[PROVISIONES
ANTERIOR]])</f>
        <v>5007325</v>
      </c>
      <c r="AA392" s="338">
        <f>ABS(+CATEGORIAS[[#This Row],[PRESUPUESTO
FINAL
PROYECTADO]]-CATEGORIAS[[#This Row],[TOTAL PRODUCCION
ACTUAL]])</f>
        <v>0</v>
      </c>
      <c r="AB392" s="222"/>
      <c r="AC392" s="134"/>
      <c r="AD392" s="134">
        <v>0</v>
      </c>
      <c r="AE392" s="221">
        <f>SUM(CATEGORIAS[[#This Row],[INVENTARIO]:[PROYECCION
DE COSTO
DEL SALDO]])</f>
        <v>0</v>
      </c>
      <c r="AF392" s="134"/>
      <c r="AG392" s="134">
        <f>+CATEGORIAS[[#This Row],[PRESUPUESTO
FINAL
PROYECTADO]]-CATEGORIAS[[#This Row],[COSTO REAL]]-CATEGORIAS[[#This Row],[PROYECCION
TOTAL DE COSTO]]</f>
        <v>445816.32408629172</v>
      </c>
    </row>
    <row r="393" spans="1:33" x14ac:dyDescent="0.25">
      <c r="A393" s="245"/>
      <c r="B393" s="245"/>
      <c r="C393" s="245"/>
      <c r="D393" s="323" t="s">
        <v>2127</v>
      </c>
      <c r="E393" s="244" t="s">
        <v>1141</v>
      </c>
      <c r="F393" s="246" t="s">
        <v>376</v>
      </c>
      <c r="G393" s="279">
        <v>0</v>
      </c>
      <c r="H393" s="279">
        <v>0</v>
      </c>
      <c r="I393" s="132">
        <v>0</v>
      </c>
      <c r="J393" s="132">
        <v>0</v>
      </c>
      <c r="K393" s="132">
        <v>0</v>
      </c>
      <c r="L393" s="144">
        <f>CATEGORIAS[[#This Row],[ADICIONALES]]+CATEGORIAS[[#This Row],[POM]]+CATEGORIAS[[#This Row],[REAJUSTE 
PAGADO]]+CATEGORIAS[[#This Row],[REAJUSTE
PROYECTADO]]</f>
        <v>0</v>
      </c>
      <c r="M393" s="133">
        <v>0</v>
      </c>
      <c r="N393" s="222">
        <v>0</v>
      </c>
      <c r="O393" s="142">
        <f>+CATEGORIAS[[#This Row],[PRODUCCION
PARTIDAS
ORIGINALES
ACTUAL]]+CATEGORIAS[[#This Row],[PRODUCCION
ADICIONALES
ACTUAL]]</f>
        <v>0</v>
      </c>
      <c r="P393" s="222">
        <v>0</v>
      </c>
      <c r="Q393" s="222">
        <v>0</v>
      </c>
      <c r="R393" s="141">
        <f>+CATEGORIAS[[#This Row],[PRODUCCION
ANTERIOR]]+CATEGORIAS[[#This Row],[PRODUCCION
ADICIONALES
ANTERIOR]]</f>
        <v>0</v>
      </c>
      <c r="S393" s="135">
        <v>0</v>
      </c>
      <c r="T393" s="135"/>
      <c r="U393" s="135">
        <v>0</v>
      </c>
      <c r="V393" s="262">
        <f>SUM(CATEGORIAS[[#This Row],[COSTO
ACUMULADO  AX]:[PROVISIONES]])</f>
        <v>0</v>
      </c>
      <c r="W393" s="264">
        <v>0</v>
      </c>
      <c r="X393" s="222"/>
      <c r="Y393" s="222">
        <v>0</v>
      </c>
      <c r="Z393" s="263">
        <f>SUM(CATEGORIAS[[#This Row],[COSTO ACUMULADO
ANTERIOR]:[PROVISIONES
ANTERIOR]])</f>
        <v>0</v>
      </c>
      <c r="AA393" s="338">
        <f>ABS(+CATEGORIAS[[#This Row],[PRESUPUESTO
FINAL
PROYECTADO]]-CATEGORIAS[[#This Row],[TOTAL PRODUCCION
ACTUAL]])</f>
        <v>0</v>
      </c>
      <c r="AB393" s="222"/>
      <c r="AC393" s="134"/>
      <c r="AD393" s="134">
        <v>0</v>
      </c>
      <c r="AE393" s="221">
        <f>SUM(CATEGORIAS[[#This Row],[INVENTARIO]:[PROYECCION
DE COSTO
DEL SALDO]])</f>
        <v>0</v>
      </c>
      <c r="AF393" s="134"/>
      <c r="AG393" s="134">
        <f>+CATEGORIAS[[#This Row],[PRESUPUESTO
FINAL
PROYECTADO]]-CATEGORIAS[[#This Row],[COSTO REAL]]-CATEGORIAS[[#This Row],[PROYECCION
TOTAL DE COSTO]]</f>
        <v>0</v>
      </c>
    </row>
    <row r="394" spans="1:33" x14ac:dyDescent="0.25">
      <c r="A394" s="245" t="s">
        <v>136</v>
      </c>
      <c r="B394" s="245" t="s">
        <v>224</v>
      </c>
      <c r="C394" s="245" t="s">
        <v>2387</v>
      </c>
      <c r="D394" s="323" t="s">
        <v>2128</v>
      </c>
      <c r="E394" s="244" t="s">
        <v>1143</v>
      </c>
      <c r="F394" s="246" t="s">
        <v>376</v>
      </c>
      <c r="G394" s="279">
        <v>24410747.400000002</v>
      </c>
      <c r="H394" s="279">
        <v>24410747.400000002</v>
      </c>
      <c r="I394" s="132">
        <v>9845294.3277462628</v>
      </c>
      <c r="J394" s="132">
        <v>860682.79339343263</v>
      </c>
      <c r="K394" s="132">
        <v>0</v>
      </c>
      <c r="L394" s="144">
        <f>CATEGORIAS[[#This Row],[ADICIONALES]]+CATEGORIAS[[#This Row],[POM]]+CATEGORIAS[[#This Row],[REAJUSTE 
PAGADO]]+CATEGORIAS[[#This Row],[REAJUSTE
PROYECTADO]]</f>
        <v>35116724.521139696</v>
      </c>
      <c r="M394" s="133">
        <v>25266638.348759081</v>
      </c>
      <c r="N394" s="222">
        <v>9850086.1723806169</v>
      </c>
      <c r="O394" s="142">
        <f>+CATEGORIAS[[#This Row],[PRODUCCION
PARTIDAS
ORIGINALES
ACTUAL]]+CATEGORIAS[[#This Row],[PRODUCCION
ADICIONALES
ACTUAL]]</f>
        <v>35116724.521139696</v>
      </c>
      <c r="P394" s="222">
        <v>25266638.348759081</v>
      </c>
      <c r="Q394" s="222">
        <v>9845294.3277462628</v>
      </c>
      <c r="R394" s="141">
        <f>+CATEGORIAS[[#This Row],[PRODUCCION
ANTERIOR]]+CATEGORIAS[[#This Row],[PRODUCCION
ADICIONALES
ANTERIOR]]</f>
        <v>35111932.676505342</v>
      </c>
      <c r="S394" s="135">
        <v>73401377.5</v>
      </c>
      <c r="T394" s="135"/>
      <c r="U394" s="135">
        <v>0</v>
      </c>
      <c r="V394" s="262">
        <f>SUM(CATEGORIAS[[#This Row],[COSTO
ACUMULADO  AX]:[PROVISIONES]])</f>
        <v>73401377.5</v>
      </c>
      <c r="W394" s="264">
        <v>66677771.5</v>
      </c>
      <c r="X394" s="222"/>
      <c r="Y394" s="222">
        <v>3474736</v>
      </c>
      <c r="Z394" s="263">
        <f>SUM(CATEGORIAS[[#This Row],[COSTO ACUMULADO
ANTERIOR]:[PROVISIONES
ANTERIOR]])</f>
        <v>70152507.5</v>
      </c>
      <c r="AA394" s="338">
        <f>ABS(+CATEGORIAS[[#This Row],[PRESUPUESTO
FINAL
PROYECTADO]]-CATEGORIAS[[#This Row],[TOTAL PRODUCCION
ACTUAL]])</f>
        <v>0</v>
      </c>
      <c r="AB394" s="222"/>
      <c r="AC394" s="134"/>
      <c r="AD394" s="134">
        <v>482537.5</v>
      </c>
      <c r="AE394" s="221">
        <f>SUM(CATEGORIAS[[#This Row],[INVENTARIO]:[PROYECCION
DE COSTO
DEL SALDO]])</f>
        <v>482537.5</v>
      </c>
      <c r="AF394" s="134"/>
      <c r="AG394" s="134">
        <f>+CATEGORIAS[[#This Row],[PRESUPUESTO
FINAL
PROYECTADO]]-CATEGORIAS[[#This Row],[COSTO REAL]]-CATEGORIAS[[#This Row],[PROYECCION
TOTAL DE COSTO]]</f>
        <v>-38767190.478860304</v>
      </c>
    </row>
    <row r="395" spans="1:33" x14ac:dyDescent="0.25">
      <c r="A395" s="245"/>
      <c r="B395" s="245"/>
      <c r="C395" s="245"/>
      <c r="D395" s="323" t="s">
        <v>2129</v>
      </c>
      <c r="E395" s="244" t="s">
        <v>1145</v>
      </c>
      <c r="F395" s="246" t="s">
        <v>376</v>
      </c>
      <c r="G395" s="279">
        <v>0</v>
      </c>
      <c r="H395" s="279">
        <v>0</v>
      </c>
      <c r="I395" s="132">
        <v>0</v>
      </c>
      <c r="J395" s="132">
        <v>0</v>
      </c>
      <c r="K395" s="132">
        <v>0</v>
      </c>
      <c r="L395" s="144">
        <f>CATEGORIAS[[#This Row],[ADICIONALES]]+CATEGORIAS[[#This Row],[POM]]+CATEGORIAS[[#This Row],[REAJUSTE 
PAGADO]]+CATEGORIAS[[#This Row],[REAJUSTE
PROYECTADO]]</f>
        <v>0</v>
      </c>
      <c r="M395" s="133">
        <v>0</v>
      </c>
      <c r="N395" s="222">
        <v>0</v>
      </c>
      <c r="O395" s="142">
        <f>+CATEGORIAS[[#This Row],[PRODUCCION
PARTIDAS
ORIGINALES
ACTUAL]]+CATEGORIAS[[#This Row],[PRODUCCION
ADICIONALES
ACTUAL]]</f>
        <v>0</v>
      </c>
      <c r="P395" s="222">
        <v>0</v>
      </c>
      <c r="Q395" s="134">
        <v>0</v>
      </c>
      <c r="R395" s="141">
        <f>+CATEGORIAS[[#This Row],[PRODUCCION
ANTERIOR]]+CATEGORIAS[[#This Row],[PRODUCCION
ADICIONALES
ANTERIOR]]</f>
        <v>0</v>
      </c>
      <c r="S395" s="135">
        <v>0</v>
      </c>
      <c r="T395" s="135"/>
      <c r="U395" s="135">
        <v>0</v>
      </c>
      <c r="V395" s="262">
        <f>SUM(CATEGORIAS[[#This Row],[COSTO
ACUMULADO  AX]:[PROVISIONES]])</f>
        <v>0</v>
      </c>
      <c r="W395" s="264">
        <v>0</v>
      </c>
      <c r="X395" s="222"/>
      <c r="Y395" s="222">
        <v>0</v>
      </c>
      <c r="Z395" s="263">
        <f>SUM(CATEGORIAS[[#This Row],[COSTO ACUMULADO
ANTERIOR]:[PROVISIONES
ANTERIOR]])</f>
        <v>0</v>
      </c>
      <c r="AA395" s="338">
        <f>ABS(+CATEGORIAS[[#This Row],[PRESUPUESTO
FINAL
PROYECTADO]]-CATEGORIAS[[#This Row],[TOTAL PRODUCCION
ACTUAL]])</f>
        <v>0</v>
      </c>
      <c r="AB395" s="222"/>
      <c r="AC395" s="134"/>
      <c r="AD395" s="134">
        <v>0</v>
      </c>
      <c r="AE395" s="221">
        <f>SUM(CATEGORIAS[[#This Row],[INVENTARIO]:[PROYECCION
DE COSTO
DEL SALDO]])</f>
        <v>0</v>
      </c>
      <c r="AF395" s="134"/>
      <c r="AG395" s="134">
        <f>+CATEGORIAS[[#This Row],[PRESUPUESTO
FINAL
PROYECTADO]]-CATEGORIAS[[#This Row],[COSTO REAL]]-CATEGORIAS[[#This Row],[PROYECCION
TOTAL DE COSTO]]</f>
        <v>0</v>
      </c>
    </row>
    <row r="396" spans="1:33" x14ac:dyDescent="0.25">
      <c r="A396" s="245"/>
      <c r="B396" s="245"/>
      <c r="C396" s="245"/>
      <c r="D396" s="323" t="s">
        <v>2130</v>
      </c>
      <c r="E396" s="244" t="s">
        <v>1147</v>
      </c>
      <c r="F396" s="246" t="s">
        <v>376</v>
      </c>
      <c r="G396" s="279">
        <v>0</v>
      </c>
      <c r="H396" s="279">
        <v>0</v>
      </c>
      <c r="I396" s="132">
        <v>0</v>
      </c>
      <c r="J396" s="132">
        <v>0</v>
      </c>
      <c r="K396" s="132">
        <v>0</v>
      </c>
      <c r="L396" s="144">
        <f>CATEGORIAS[[#This Row],[ADICIONALES]]+CATEGORIAS[[#This Row],[POM]]+CATEGORIAS[[#This Row],[REAJUSTE 
PAGADO]]+CATEGORIAS[[#This Row],[REAJUSTE
PROYECTADO]]</f>
        <v>0</v>
      </c>
      <c r="M396" s="133">
        <v>0</v>
      </c>
      <c r="N396" s="222">
        <v>0</v>
      </c>
      <c r="O396" s="142">
        <f>+CATEGORIAS[[#This Row],[PRODUCCION
PARTIDAS
ORIGINALES
ACTUAL]]+CATEGORIAS[[#This Row],[PRODUCCION
ADICIONALES
ACTUAL]]</f>
        <v>0</v>
      </c>
      <c r="P396" s="222">
        <v>0</v>
      </c>
      <c r="Q396" s="222">
        <v>0</v>
      </c>
      <c r="R396" s="141">
        <f>+CATEGORIAS[[#This Row],[PRODUCCION
ANTERIOR]]+CATEGORIAS[[#This Row],[PRODUCCION
ADICIONALES
ANTERIOR]]</f>
        <v>0</v>
      </c>
      <c r="S396" s="135">
        <v>0</v>
      </c>
      <c r="T396" s="135"/>
      <c r="U396" s="135">
        <v>0</v>
      </c>
      <c r="V396" s="262">
        <f>SUM(CATEGORIAS[[#This Row],[COSTO
ACUMULADO  AX]:[PROVISIONES]])</f>
        <v>0</v>
      </c>
      <c r="W396" s="264">
        <v>0</v>
      </c>
      <c r="X396" s="222"/>
      <c r="Y396" s="222">
        <v>0</v>
      </c>
      <c r="Z396" s="263">
        <f>SUM(CATEGORIAS[[#This Row],[COSTO ACUMULADO
ANTERIOR]:[PROVISIONES
ANTERIOR]])</f>
        <v>0</v>
      </c>
      <c r="AA396" s="338">
        <f>ABS(+CATEGORIAS[[#This Row],[PRESUPUESTO
FINAL
PROYECTADO]]-CATEGORIAS[[#This Row],[TOTAL PRODUCCION
ACTUAL]])</f>
        <v>0</v>
      </c>
      <c r="AB396" s="222"/>
      <c r="AC396" s="134"/>
      <c r="AD396" s="134">
        <v>0</v>
      </c>
      <c r="AE396" s="221">
        <f>SUM(CATEGORIAS[[#This Row],[INVENTARIO]:[PROYECCION
DE COSTO
DEL SALDO]])</f>
        <v>0</v>
      </c>
      <c r="AF396" s="134"/>
      <c r="AG396" s="134">
        <f>+CATEGORIAS[[#This Row],[PRESUPUESTO
FINAL
PROYECTADO]]-CATEGORIAS[[#This Row],[COSTO REAL]]-CATEGORIAS[[#This Row],[PROYECCION
TOTAL DE COSTO]]</f>
        <v>0</v>
      </c>
    </row>
    <row r="397" spans="1:33" x14ac:dyDescent="0.25">
      <c r="A397" s="245"/>
      <c r="B397" s="245"/>
      <c r="C397" s="245"/>
      <c r="D397" s="323" t="s">
        <v>2131</v>
      </c>
      <c r="E397" s="244" t="s">
        <v>1149</v>
      </c>
      <c r="F397" s="246" t="s">
        <v>379</v>
      </c>
      <c r="G397" s="279">
        <v>0</v>
      </c>
      <c r="H397" s="279">
        <v>0</v>
      </c>
      <c r="I397" s="132">
        <v>0</v>
      </c>
      <c r="J397" s="132">
        <v>0</v>
      </c>
      <c r="K397" s="132">
        <v>0</v>
      </c>
      <c r="L397" s="144">
        <f>CATEGORIAS[[#This Row],[ADICIONALES]]+CATEGORIAS[[#This Row],[POM]]+CATEGORIAS[[#This Row],[REAJUSTE 
PAGADO]]+CATEGORIAS[[#This Row],[REAJUSTE
PROYECTADO]]</f>
        <v>0</v>
      </c>
      <c r="M397" s="133">
        <v>0</v>
      </c>
      <c r="N397" s="222">
        <v>0</v>
      </c>
      <c r="O397" s="142">
        <f>+CATEGORIAS[[#This Row],[PRODUCCION
PARTIDAS
ORIGINALES
ACTUAL]]+CATEGORIAS[[#This Row],[PRODUCCION
ADICIONALES
ACTUAL]]</f>
        <v>0</v>
      </c>
      <c r="P397" s="222">
        <v>0</v>
      </c>
      <c r="Q397" s="134">
        <v>0</v>
      </c>
      <c r="R397" s="141">
        <f>+CATEGORIAS[[#This Row],[PRODUCCION
ANTERIOR]]+CATEGORIAS[[#This Row],[PRODUCCION
ADICIONALES
ANTERIOR]]</f>
        <v>0</v>
      </c>
      <c r="S397" s="135">
        <v>0</v>
      </c>
      <c r="T397" s="135"/>
      <c r="U397" s="135">
        <v>0</v>
      </c>
      <c r="V397" s="262">
        <f>SUM(CATEGORIAS[[#This Row],[COSTO
ACUMULADO  AX]:[PROVISIONES]])</f>
        <v>0</v>
      </c>
      <c r="W397" s="264">
        <v>0</v>
      </c>
      <c r="X397" s="222"/>
      <c r="Y397" s="222">
        <v>0</v>
      </c>
      <c r="Z397" s="263">
        <f>SUM(CATEGORIAS[[#This Row],[COSTO ACUMULADO
ANTERIOR]:[PROVISIONES
ANTERIOR]])</f>
        <v>0</v>
      </c>
      <c r="AA397" s="338">
        <f>ABS(+CATEGORIAS[[#This Row],[PRESUPUESTO
FINAL
PROYECTADO]]-CATEGORIAS[[#This Row],[TOTAL PRODUCCION
ACTUAL]])</f>
        <v>0</v>
      </c>
      <c r="AB397" s="222"/>
      <c r="AC397" s="134"/>
      <c r="AD397" s="134">
        <v>0</v>
      </c>
      <c r="AE397" s="221">
        <f>SUM(CATEGORIAS[[#This Row],[INVENTARIO]:[PROYECCION
DE COSTO
DEL SALDO]])</f>
        <v>0</v>
      </c>
      <c r="AF397" s="134"/>
      <c r="AG397" s="134">
        <f>+CATEGORIAS[[#This Row],[PRESUPUESTO
FINAL
PROYECTADO]]-CATEGORIAS[[#This Row],[COSTO REAL]]-CATEGORIAS[[#This Row],[PROYECCION
TOTAL DE COSTO]]</f>
        <v>0</v>
      </c>
    </row>
    <row r="398" spans="1:33" x14ac:dyDescent="0.25">
      <c r="A398" s="245"/>
      <c r="B398" s="245"/>
      <c r="C398" s="245"/>
      <c r="D398" s="323" t="s">
        <v>2132</v>
      </c>
      <c r="E398" s="244" t="s">
        <v>1151</v>
      </c>
      <c r="F398" s="246" t="s">
        <v>376</v>
      </c>
      <c r="G398" s="279">
        <v>0</v>
      </c>
      <c r="H398" s="279">
        <v>0</v>
      </c>
      <c r="I398" s="132">
        <v>0</v>
      </c>
      <c r="J398" s="132">
        <v>0</v>
      </c>
      <c r="K398" s="132">
        <v>0</v>
      </c>
      <c r="L398" s="144">
        <f>CATEGORIAS[[#This Row],[ADICIONALES]]+CATEGORIAS[[#This Row],[POM]]+CATEGORIAS[[#This Row],[REAJUSTE 
PAGADO]]+CATEGORIAS[[#This Row],[REAJUSTE
PROYECTADO]]</f>
        <v>0</v>
      </c>
      <c r="M398" s="133">
        <v>0</v>
      </c>
      <c r="N398" s="222">
        <v>0</v>
      </c>
      <c r="O398" s="142">
        <f>+CATEGORIAS[[#This Row],[PRODUCCION
PARTIDAS
ORIGINALES
ACTUAL]]+CATEGORIAS[[#This Row],[PRODUCCION
ADICIONALES
ACTUAL]]</f>
        <v>0</v>
      </c>
      <c r="P398" s="222">
        <v>0</v>
      </c>
      <c r="Q398" s="222">
        <v>0</v>
      </c>
      <c r="R398" s="141">
        <f>+CATEGORIAS[[#This Row],[PRODUCCION
ANTERIOR]]+CATEGORIAS[[#This Row],[PRODUCCION
ADICIONALES
ANTERIOR]]</f>
        <v>0</v>
      </c>
      <c r="S398" s="135">
        <v>0</v>
      </c>
      <c r="T398" s="135"/>
      <c r="U398" s="135">
        <v>0</v>
      </c>
      <c r="V398" s="262">
        <f>SUM(CATEGORIAS[[#This Row],[COSTO
ACUMULADO  AX]:[PROVISIONES]])</f>
        <v>0</v>
      </c>
      <c r="W398" s="264">
        <v>0</v>
      </c>
      <c r="X398" s="222"/>
      <c r="Y398" s="222">
        <v>0</v>
      </c>
      <c r="Z398" s="263">
        <f>SUM(CATEGORIAS[[#This Row],[COSTO ACUMULADO
ANTERIOR]:[PROVISIONES
ANTERIOR]])</f>
        <v>0</v>
      </c>
      <c r="AA398" s="338">
        <f>ABS(+CATEGORIAS[[#This Row],[PRESUPUESTO
FINAL
PROYECTADO]]-CATEGORIAS[[#This Row],[TOTAL PRODUCCION
ACTUAL]])</f>
        <v>0</v>
      </c>
      <c r="AB398" s="222"/>
      <c r="AC398" s="134"/>
      <c r="AD398" s="134">
        <v>0</v>
      </c>
      <c r="AE398" s="221">
        <f>SUM(CATEGORIAS[[#This Row],[INVENTARIO]:[PROYECCION
DE COSTO
DEL SALDO]])</f>
        <v>0</v>
      </c>
      <c r="AF398" s="134"/>
      <c r="AG398" s="134">
        <f>+CATEGORIAS[[#This Row],[PRESUPUESTO
FINAL
PROYECTADO]]-CATEGORIAS[[#This Row],[COSTO REAL]]-CATEGORIAS[[#This Row],[PROYECCION
TOTAL DE COSTO]]</f>
        <v>0</v>
      </c>
    </row>
    <row r="399" spans="1:33" x14ac:dyDescent="0.25">
      <c r="A399" s="245"/>
      <c r="B399" s="245"/>
      <c r="C399" s="245"/>
      <c r="D399" s="323" t="s">
        <v>2133</v>
      </c>
      <c r="E399" s="244" t="s">
        <v>1153</v>
      </c>
      <c r="F399" s="246" t="s">
        <v>376</v>
      </c>
      <c r="G399" s="279">
        <v>0</v>
      </c>
      <c r="H399" s="279">
        <v>0</v>
      </c>
      <c r="I399" s="132">
        <v>0</v>
      </c>
      <c r="J399" s="132">
        <v>0</v>
      </c>
      <c r="K399" s="132">
        <v>0</v>
      </c>
      <c r="L399" s="144">
        <f>CATEGORIAS[[#This Row],[ADICIONALES]]+CATEGORIAS[[#This Row],[POM]]+CATEGORIAS[[#This Row],[REAJUSTE 
PAGADO]]+CATEGORIAS[[#This Row],[REAJUSTE
PROYECTADO]]</f>
        <v>0</v>
      </c>
      <c r="M399" s="133">
        <v>0</v>
      </c>
      <c r="N399" s="222">
        <v>0</v>
      </c>
      <c r="O399" s="142">
        <f>+CATEGORIAS[[#This Row],[PRODUCCION
PARTIDAS
ORIGINALES
ACTUAL]]+CATEGORIAS[[#This Row],[PRODUCCION
ADICIONALES
ACTUAL]]</f>
        <v>0</v>
      </c>
      <c r="P399" s="222">
        <v>0</v>
      </c>
      <c r="Q399" s="222">
        <v>0</v>
      </c>
      <c r="R399" s="141">
        <f>+CATEGORIAS[[#This Row],[PRODUCCION
ANTERIOR]]+CATEGORIAS[[#This Row],[PRODUCCION
ADICIONALES
ANTERIOR]]</f>
        <v>0</v>
      </c>
      <c r="S399" s="135">
        <v>0</v>
      </c>
      <c r="T399" s="135"/>
      <c r="U399" s="135">
        <v>0</v>
      </c>
      <c r="V399" s="262">
        <f>SUM(CATEGORIAS[[#This Row],[COSTO
ACUMULADO  AX]:[PROVISIONES]])</f>
        <v>0</v>
      </c>
      <c r="W399" s="264">
        <v>0</v>
      </c>
      <c r="X399" s="222"/>
      <c r="Y399" s="222">
        <v>0</v>
      </c>
      <c r="Z399" s="263">
        <f>SUM(CATEGORIAS[[#This Row],[COSTO ACUMULADO
ANTERIOR]:[PROVISIONES
ANTERIOR]])</f>
        <v>0</v>
      </c>
      <c r="AA399" s="338">
        <f>ABS(+CATEGORIAS[[#This Row],[PRESUPUESTO
FINAL
PROYECTADO]]-CATEGORIAS[[#This Row],[TOTAL PRODUCCION
ACTUAL]])</f>
        <v>0</v>
      </c>
      <c r="AB399" s="222"/>
      <c r="AC399" s="134"/>
      <c r="AD399" s="134">
        <v>0</v>
      </c>
      <c r="AE399" s="221">
        <f>SUM(CATEGORIAS[[#This Row],[INVENTARIO]:[PROYECCION
DE COSTO
DEL SALDO]])</f>
        <v>0</v>
      </c>
      <c r="AF399" s="134"/>
      <c r="AG399" s="134">
        <f>+CATEGORIAS[[#This Row],[PRESUPUESTO
FINAL
PROYECTADO]]-CATEGORIAS[[#This Row],[COSTO REAL]]-CATEGORIAS[[#This Row],[PROYECCION
TOTAL DE COSTO]]</f>
        <v>0</v>
      </c>
    </row>
    <row r="400" spans="1:33" x14ac:dyDescent="0.25">
      <c r="A400" s="245"/>
      <c r="B400" s="245"/>
      <c r="C400" s="245"/>
      <c r="D400" s="323" t="s">
        <v>2134</v>
      </c>
      <c r="E400" s="244" t="s">
        <v>1155</v>
      </c>
      <c r="F400" s="246" t="s">
        <v>376</v>
      </c>
      <c r="G400" s="279">
        <v>0</v>
      </c>
      <c r="H400" s="279">
        <v>0</v>
      </c>
      <c r="I400" s="132">
        <v>0</v>
      </c>
      <c r="J400" s="132">
        <v>0</v>
      </c>
      <c r="K400" s="132">
        <v>0</v>
      </c>
      <c r="L400" s="144">
        <f>CATEGORIAS[[#This Row],[ADICIONALES]]+CATEGORIAS[[#This Row],[POM]]+CATEGORIAS[[#This Row],[REAJUSTE 
PAGADO]]+CATEGORIAS[[#This Row],[REAJUSTE
PROYECTADO]]</f>
        <v>0</v>
      </c>
      <c r="M400" s="133">
        <v>0</v>
      </c>
      <c r="N400" s="222">
        <v>0</v>
      </c>
      <c r="O400" s="142">
        <f>+CATEGORIAS[[#This Row],[PRODUCCION
PARTIDAS
ORIGINALES
ACTUAL]]+CATEGORIAS[[#This Row],[PRODUCCION
ADICIONALES
ACTUAL]]</f>
        <v>0</v>
      </c>
      <c r="P400" s="222">
        <v>0</v>
      </c>
      <c r="Q400" s="222">
        <v>0</v>
      </c>
      <c r="R400" s="141">
        <f>+CATEGORIAS[[#This Row],[PRODUCCION
ANTERIOR]]+CATEGORIAS[[#This Row],[PRODUCCION
ADICIONALES
ANTERIOR]]</f>
        <v>0</v>
      </c>
      <c r="S400" s="135">
        <v>0</v>
      </c>
      <c r="T400" s="135"/>
      <c r="U400" s="135">
        <v>0</v>
      </c>
      <c r="V400" s="262">
        <f>SUM(CATEGORIAS[[#This Row],[COSTO
ACUMULADO  AX]:[PROVISIONES]])</f>
        <v>0</v>
      </c>
      <c r="W400" s="264">
        <v>0</v>
      </c>
      <c r="X400" s="222"/>
      <c r="Y400" s="222">
        <v>0</v>
      </c>
      <c r="Z400" s="263">
        <f>SUM(CATEGORIAS[[#This Row],[COSTO ACUMULADO
ANTERIOR]:[PROVISIONES
ANTERIOR]])</f>
        <v>0</v>
      </c>
      <c r="AA400" s="338">
        <f>ABS(+CATEGORIAS[[#This Row],[PRESUPUESTO
FINAL
PROYECTADO]]-CATEGORIAS[[#This Row],[TOTAL PRODUCCION
ACTUAL]])</f>
        <v>0</v>
      </c>
      <c r="AB400" s="222"/>
      <c r="AC400" s="134"/>
      <c r="AD400" s="134">
        <v>0</v>
      </c>
      <c r="AE400" s="221">
        <f>SUM(CATEGORIAS[[#This Row],[INVENTARIO]:[PROYECCION
DE COSTO
DEL SALDO]])</f>
        <v>0</v>
      </c>
      <c r="AF400" s="134"/>
      <c r="AG400" s="134">
        <f>+CATEGORIAS[[#This Row],[PRESUPUESTO
FINAL
PROYECTADO]]-CATEGORIAS[[#This Row],[COSTO REAL]]-CATEGORIAS[[#This Row],[PROYECCION
TOTAL DE COSTO]]</f>
        <v>0</v>
      </c>
    </row>
    <row r="401" spans="1:33" x14ac:dyDescent="0.25">
      <c r="A401" s="245"/>
      <c r="B401" s="245"/>
      <c r="C401" s="245"/>
      <c r="D401" s="323" t="s">
        <v>2135</v>
      </c>
      <c r="E401" s="244" t="s">
        <v>1156</v>
      </c>
      <c r="F401" s="246" t="s">
        <v>376</v>
      </c>
      <c r="G401" s="279">
        <v>0</v>
      </c>
      <c r="H401" s="279">
        <v>0</v>
      </c>
      <c r="I401" s="132">
        <v>0</v>
      </c>
      <c r="J401" s="132">
        <v>0</v>
      </c>
      <c r="K401" s="132">
        <v>0</v>
      </c>
      <c r="L401" s="144">
        <f>CATEGORIAS[[#This Row],[ADICIONALES]]+CATEGORIAS[[#This Row],[POM]]+CATEGORIAS[[#This Row],[REAJUSTE 
PAGADO]]+CATEGORIAS[[#This Row],[REAJUSTE
PROYECTADO]]</f>
        <v>0</v>
      </c>
      <c r="M401" s="133">
        <v>0</v>
      </c>
      <c r="N401" s="222">
        <v>0</v>
      </c>
      <c r="O401" s="142">
        <f>+CATEGORIAS[[#This Row],[PRODUCCION
PARTIDAS
ORIGINALES
ACTUAL]]+CATEGORIAS[[#This Row],[PRODUCCION
ADICIONALES
ACTUAL]]</f>
        <v>0</v>
      </c>
      <c r="P401" s="222">
        <v>0</v>
      </c>
      <c r="Q401" s="222">
        <v>0</v>
      </c>
      <c r="R401" s="141">
        <f>+CATEGORIAS[[#This Row],[PRODUCCION
ANTERIOR]]+CATEGORIAS[[#This Row],[PRODUCCION
ADICIONALES
ANTERIOR]]</f>
        <v>0</v>
      </c>
      <c r="S401" s="135">
        <v>0</v>
      </c>
      <c r="T401" s="135"/>
      <c r="U401" s="135">
        <v>0</v>
      </c>
      <c r="V401" s="262">
        <f>SUM(CATEGORIAS[[#This Row],[COSTO
ACUMULADO  AX]:[PROVISIONES]])</f>
        <v>0</v>
      </c>
      <c r="W401" s="264">
        <v>0</v>
      </c>
      <c r="X401" s="222"/>
      <c r="Y401" s="222">
        <v>0</v>
      </c>
      <c r="Z401" s="263">
        <f>SUM(CATEGORIAS[[#This Row],[COSTO ACUMULADO
ANTERIOR]:[PROVISIONES
ANTERIOR]])</f>
        <v>0</v>
      </c>
      <c r="AA401" s="338">
        <f>ABS(+CATEGORIAS[[#This Row],[PRESUPUESTO
FINAL
PROYECTADO]]-CATEGORIAS[[#This Row],[TOTAL PRODUCCION
ACTUAL]])</f>
        <v>0</v>
      </c>
      <c r="AB401" s="222"/>
      <c r="AC401" s="134"/>
      <c r="AD401" s="134">
        <v>0</v>
      </c>
      <c r="AE401" s="221">
        <f>SUM(CATEGORIAS[[#This Row],[INVENTARIO]:[PROYECCION
DE COSTO
DEL SALDO]])</f>
        <v>0</v>
      </c>
      <c r="AF401" s="134"/>
      <c r="AG401" s="134">
        <f>+CATEGORIAS[[#This Row],[PRESUPUESTO
FINAL
PROYECTADO]]-CATEGORIAS[[#This Row],[COSTO REAL]]-CATEGORIAS[[#This Row],[PROYECCION
TOTAL DE COSTO]]</f>
        <v>0</v>
      </c>
    </row>
    <row r="402" spans="1:33" x14ac:dyDescent="0.25">
      <c r="A402" s="245"/>
      <c r="B402" s="245"/>
      <c r="C402" s="245"/>
      <c r="D402" s="323" t="s">
        <v>2136</v>
      </c>
      <c r="E402" s="244" t="s">
        <v>1157</v>
      </c>
      <c r="F402" s="246" t="s">
        <v>376</v>
      </c>
      <c r="G402" s="279">
        <v>0</v>
      </c>
      <c r="H402" s="279">
        <v>0</v>
      </c>
      <c r="I402" s="132">
        <v>0</v>
      </c>
      <c r="J402" s="132">
        <v>0</v>
      </c>
      <c r="K402" s="132">
        <v>0</v>
      </c>
      <c r="L402" s="144">
        <f>CATEGORIAS[[#This Row],[ADICIONALES]]+CATEGORIAS[[#This Row],[POM]]+CATEGORIAS[[#This Row],[REAJUSTE 
PAGADO]]+CATEGORIAS[[#This Row],[REAJUSTE
PROYECTADO]]</f>
        <v>0</v>
      </c>
      <c r="M402" s="133">
        <v>0</v>
      </c>
      <c r="N402" s="222">
        <v>0</v>
      </c>
      <c r="O402" s="142">
        <f>+CATEGORIAS[[#This Row],[PRODUCCION
PARTIDAS
ORIGINALES
ACTUAL]]+CATEGORIAS[[#This Row],[PRODUCCION
ADICIONALES
ACTUAL]]</f>
        <v>0</v>
      </c>
      <c r="P402" s="222">
        <v>0</v>
      </c>
      <c r="Q402" s="222">
        <v>0</v>
      </c>
      <c r="R402" s="141">
        <f>+CATEGORIAS[[#This Row],[PRODUCCION
ANTERIOR]]+CATEGORIAS[[#This Row],[PRODUCCION
ADICIONALES
ANTERIOR]]</f>
        <v>0</v>
      </c>
      <c r="S402" s="135">
        <v>0</v>
      </c>
      <c r="T402" s="135"/>
      <c r="U402" s="135">
        <v>0</v>
      </c>
      <c r="V402" s="262">
        <f>SUM(CATEGORIAS[[#This Row],[COSTO
ACUMULADO  AX]:[PROVISIONES]])</f>
        <v>0</v>
      </c>
      <c r="W402" s="264">
        <v>0</v>
      </c>
      <c r="X402" s="222"/>
      <c r="Y402" s="222">
        <v>0</v>
      </c>
      <c r="Z402" s="263">
        <f>SUM(CATEGORIAS[[#This Row],[COSTO ACUMULADO
ANTERIOR]:[PROVISIONES
ANTERIOR]])</f>
        <v>0</v>
      </c>
      <c r="AA402" s="338">
        <f>ABS(+CATEGORIAS[[#This Row],[PRESUPUESTO
FINAL
PROYECTADO]]-CATEGORIAS[[#This Row],[TOTAL PRODUCCION
ACTUAL]])</f>
        <v>0</v>
      </c>
      <c r="AB402" s="222"/>
      <c r="AC402" s="134"/>
      <c r="AD402" s="134">
        <v>0</v>
      </c>
      <c r="AE402" s="221">
        <f>SUM(CATEGORIAS[[#This Row],[INVENTARIO]:[PROYECCION
DE COSTO
DEL SALDO]])</f>
        <v>0</v>
      </c>
      <c r="AF402" s="134"/>
      <c r="AG402" s="134">
        <f>+CATEGORIAS[[#This Row],[PRESUPUESTO
FINAL
PROYECTADO]]-CATEGORIAS[[#This Row],[COSTO REAL]]-CATEGORIAS[[#This Row],[PROYECCION
TOTAL DE COSTO]]</f>
        <v>0</v>
      </c>
    </row>
    <row r="403" spans="1:33" x14ac:dyDescent="0.25">
      <c r="A403" s="245" t="s">
        <v>136</v>
      </c>
      <c r="B403" s="245" t="s">
        <v>225</v>
      </c>
      <c r="C403" s="245" t="s">
        <v>84</v>
      </c>
      <c r="D403" s="323" t="s">
        <v>2137</v>
      </c>
      <c r="E403" s="244" t="s">
        <v>1159</v>
      </c>
      <c r="F403" s="246" t="s">
        <v>376</v>
      </c>
      <c r="G403" s="279">
        <v>57172500</v>
      </c>
      <c r="H403" s="279">
        <v>57172500</v>
      </c>
      <c r="I403" s="132">
        <v>23461233.095625177</v>
      </c>
      <c r="J403" s="132">
        <v>2015808.2912809961</v>
      </c>
      <c r="K403" s="132">
        <v>0</v>
      </c>
      <c r="L403" s="144">
        <f>CATEGORIAS[[#This Row],[ADICIONALES]]+CATEGORIAS[[#This Row],[POM]]+CATEGORIAS[[#This Row],[REAJUSTE 
PAGADO]]+CATEGORIAS[[#This Row],[REAJUSTE
PROYECTADO]]</f>
        <v>82649541.386906177</v>
      </c>
      <c r="M403" s="133">
        <v>59177085.294587426</v>
      </c>
      <c r="N403" s="222">
        <v>23472456.092318758</v>
      </c>
      <c r="O403" s="142">
        <f>+CATEGORIAS[[#This Row],[PRODUCCION
PARTIDAS
ORIGINALES
ACTUAL]]+CATEGORIAS[[#This Row],[PRODUCCION
ADICIONALES
ACTUAL]]</f>
        <v>82649541.386906177</v>
      </c>
      <c r="P403" s="222">
        <v>59177085.294587426</v>
      </c>
      <c r="Q403" s="222">
        <v>23461233.095625177</v>
      </c>
      <c r="R403" s="141">
        <f>+CATEGORIAS[[#This Row],[PRODUCCION
ANTERIOR]]+CATEGORIAS[[#This Row],[PRODUCCION
ADICIONALES
ANTERIOR]]</f>
        <v>82638318.390212595</v>
      </c>
      <c r="S403" s="135">
        <v>27541999.800000001</v>
      </c>
      <c r="T403" s="135"/>
      <c r="U403" s="135">
        <v>0</v>
      </c>
      <c r="V403" s="262">
        <f>SUM(CATEGORIAS[[#This Row],[COSTO
ACUMULADO  AX]:[PROVISIONES]])</f>
        <v>27541999.800000001</v>
      </c>
      <c r="W403" s="264">
        <v>26706000</v>
      </c>
      <c r="X403" s="222"/>
      <c r="Y403" s="222">
        <v>835999.80000000075</v>
      </c>
      <c r="Z403" s="263">
        <f>SUM(CATEGORIAS[[#This Row],[COSTO ACUMULADO
ANTERIOR]:[PROVISIONES
ANTERIOR]])</f>
        <v>27541999.800000001</v>
      </c>
      <c r="AA403" s="338">
        <f>ABS(+CATEGORIAS[[#This Row],[PRESUPUESTO
FINAL
PROYECTADO]]-CATEGORIAS[[#This Row],[TOTAL PRODUCCION
ACTUAL]])</f>
        <v>0</v>
      </c>
      <c r="AB403" s="222"/>
      <c r="AC403" s="134"/>
      <c r="AD403" s="134">
        <v>0</v>
      </c>
      <c r="AE403" s="221">
        <f>SUM(CATEGORIAS[[#This Row],[INVENTARIO]:[PROYECCION
DE COSTO
DEL SALDO]])</f>
        <v>0</v>
      </c>
      <c r="AF403" s="134"/>
      <c r="AG403" s="134">
        <f>+CATEGORIAS[[#This Row],[PRESUPUESTO
FINAL
PROYECTADO]]-CATEGORIAS[[#This Row],[COSTO REAL]]-CATEGORIAS[[#This Row],[PROYECCION
TOTAL DE COSTO]]</f>
        <v>55107541.58690618</v>
      </c>
    </row>
    <row r="404" spans="1:33" x14ac:dyDescent="0.25">
      <c r="A404" s="245"/>
      <c r="B404" s="245"/>
      <c r="C404" s="245"/>
      <c r="D404" s="323" t="s">
        <v>2138</v>
      </c>
      <c r="E404" s="244" t="s">
        <v>1161</v>
      </c>
      <c r="F404" s="246" t="s">
        <v>376</v>
      </c>
      <c r="G404" s="279">
        <v>0</v>
      </c>
      <c r="H404" s="279">
        <v>0</v>
      </c>
      <c r="I404" s="132">
        <v>0</v>
      </c>
      <c r="J404" s="132">
        <v>0</v>
      </c>
      <c r="K404" s="132">
        <v>0</v>
      </c>
      <c r="L404" s="144">
        <f>CATEGORIAS[[#This Row],[ADICIONALES]]+CATEGORIAS[[#This Row],[POM]]+CATEGORIAS[[#This Row],[REAJUSTE 
PAGADO]]+CATEGORIAS[[#This Row],[REAJUSTE
PROYECTADO]]</f>
        <v>0</v>
      </c>
      <c r="M404" s="133">
        <v>0</v>
      </c>
      <c r="N404" s="222">
        <v>0</v>
      </c>
      <c r="O404" s="142">
        <f>+CATEGORIAS[[#This Row],[PRODUCCION
PARTIDAS
ORIGINALES
ACTUAL]]+CATEGORIAS[[#This Row],[PRODUCCION
ADICIONALES
ACTUAL]]</f>
        <v>0</v>
      </c>
      <c r="P404" s="222">
        <v>0</v>
      </c>
      <c r="Q404" s="134">
        <v>0</v>
      </c>
      <c r="R404" s="141">
        <f>+CATEGORIAS[[#This Row],[PRODUCCION
ANTERIOR]]+CATEGORIAS[[#This Row],[PRODUCCION
ADICIONALES
ANTERIOR]]</f>
        <v>0</v>
      </c>
      <c r="S404" s="135">
        <v>0</v>
      </c>
      <c r="T404" s="135"/>
      <c r="U404" s="135">
        <v>0</v>
      </c>
      <c r="V404" s="262">
        <f>SUM(CATEGORIAS[[#This Row],[COSTO
ACUMULADO  AX]:[PROVISIONES]])</f>
        <v>0</v>
      </c>
      <c r="W404" s="264">
        <v>0</v>
      </c>
      <c r="X404" s="222"/>
      <c r="Y404" s="222">
        <v>0</v>
      </c>
      <c r="Z404" s="263">
        <f>SUM(CATEGORIAS[[#This Row],[COSTO ACUMULADO
ANTERIOR]:[PROVISIONES
ANTERIOR]])</f>
        <v>0</v>
      </c>
      <c r="AA404" s="338">
        <f>ABS(+CATEGORIAS[[#This Row],[PRESUPUESTO
FINAL
PROYECTADO]]-CATEGORIAS[[#This Row],[TOTAL PRODUCCION
ACTUAL]])</f>
        <v>0</v>
      </c>
      <c r="AB404" s="222"/>
      <c r="AC404" s="134"/>
      <c r="AD404" s="134">
        <v>0</v>
      </c>
      <c r="AE404" s="221">
        <f>SUM(CATEGORIAS[[#This Row],[INVENTARIO]:[PROYECCION
DE COSTO
DEL SALDO]])</f>
        <v>0</v>
      </c>
      <c r="AF404" s="134"/>
      <c r="AG404" s="134">
        <f>+CATEGORIAS[[#This Row],[PRESUPUESTO
FINAL
PROYECTADO]]-CATEGORIAS[[#This Row],[COSTO REAL]]-CATEGORIAS[[#This Row],[PROYECCION
TOTAL DE COSTO]]</f>
        <v>0</v>
      </c>
    </row>
    <row r="405" spans="1:33" x14ac:dyDescent="0.25">
      <c r="A405" s="245"/>
      <c r="B405" s="245"/>
      <c r="C405" s="245"/>
      <c r="D405" s="323" t="s">
        <v>2139</v>
      </c>
      <c r="E405" s="244" t="s">
        <v>1163</v>
      </c>
      <c r="F405" s="246" t="s">
        <v>376</v>
      </c>
      <c r="G405" s="279">
        <v>0</v>
      </c>
      <c r="H405" s="279">
        <v>0</v>
      </c>
      <c r="I405" s="132">
        <v>0</v>
      </c>
      <c r="J405" s="132">
        <v>0</v>
      </c>
      <c r="K405" s="132">
        <v>0</v>
      </c>
      <c r="L405" s="144">
        <f>CATEGORIAS[[#This Row],[ADICIONALES]]+CATEGORIAS[[#This Row],[POM]]+CATEGORIAS[[#This Row],[REAJUSTE 
PAGADO]]+CATEGORIAS[[#This Row],[REAJUSTE
PROYECTADO]]</f>
        <v>0</v>
      </c>
      <c r="M405" s="133">
        <v>0</v>
      </c>
      <c r="N405" s="222">
        <v>0</v>
      </c>
      <c r="O405" s="142">
        <f>+CATEGORIAS[[#This Row],[PRODUCCION
PARTIDAS
ORIGINALES
ACTUAL]]+CATEGORIAS[[#This Row],[PRODUCCION
ADICIONALES
ACTUAL]]</f>
        <v>0</v>
      </c>
      <c r="P405" s="222">
        <v>0</v>
      </c>
      <c r="Q405" s="222">
        <v>0</v>
      </c>
      <c r="R405" s="141">
        <f>+CATEGORIAS[[#This Row],[PRODUCCION
ANTERIOR]]+CATEGORIAS[[#This Row],[PRODUCCION
ADICIONALES
ANTERIOR]]</f>
        <v>0</v>
      </c>
      <c r="S405" s="135">
        <v>0</v>
      </c>
      <c r="T405" s="135"/>
      <c r="U405" s="135">
        <v>0</v>
      </c>
      <c r="V405" s="262">
        <f>SUM(CATEGORIAS[[#This Row],[COSTO
ACUMULADO  AX]:[PROVISIONES]])</f>
        <v>0</v>
      </c>
      <c r="W405" s="264">
        <v>0</v>
      </c>
      <c r="X405" s="222"/>
      <c r="Y405" s="222">
        <v>0</v>
      </c>
      <c r="Z405" s="263">
        <f>SUM(CATEGORIAS[[#This Row],[COSTO ACUMULADO
ANTERIOR]:[PROVISIONES
ANTERIOR]])</f>
        <v>0</v>
      </c>
      <c r="AA405" s="338">
        <f>ABS(+CATEGORIAS[[#This Row],[PRESUPUESTO
FINAL
PROYECTADO]]-CATEGORIAS[[#This Row],[TOTAL PRODUCCION
ACTUAL]])</f>
        <v>0</v>
      </c>
      <c r="AB405" s="222"/>
      <c r="AC405" s="134"/>
      <c r="AD405" s="134">
        <v>0</v>
      </c>
      <c r="AE405" s="221">
        <f>SUM(CATEGORIAS[[#This Row],[INVENTARIO]:[PROYECCION
DE COSTO
DEL SALDO]])</f>
        <v>0</v>
      </c>
      <c r="AF405" s="134"/>
      <c r="AG405" s="134">
        <f>+CATEGORIAS[[#This Row],[PRESUPUESTO
FINAL
PROYECTADO]]-CATEGORIAS[[#This Row],[COSTO REAL]]-CATEGORIAS[[#This Row],[PROYECCION
TOTAL DE COSTO]]</f>
        <v>0</v>
      </c>
    </row>
    <row r="406" spans="1:33" x14ac:dyDescent="0.25">
      <c r="A406" s="245"/>
      <c r="B406" s="245"/>
      <c r="C406" s="245"/>
      <c r="D406" s="323" t="s">
        <v>2140</v>
      </c>
      <c r="E406" s="244" t="s">
        <v>1165</v>
      </c>
      <c r="F406" s="246" t="s">
        <v>376</v>
      </c>
      <c r="G406" s="279">
        <v>0</v>
      </c>
      <c r="H406" s="279">
        <v>0</v>
      </c>
      <c r="I406" s="132">
        <v>0</v>
      </c>
      <c r="J406" s="132">
        <v>0</v>
      </c>
      <c r="K406" s="132">
        <v>0</v>
      </c>
      <c r="L406" s="144">
        <f>CATEGORIAS[[#This Row],[ADICIONALES]]+CATEGORIAS[[#This Row],[POM]]+CATEGORIAS[[#This Row],[REAJUSTE 
PAGADO]]+CATEGORIAS[[#This Row],[REAJUSTE
PROYECTADO]]</f>
        <v>0</v>
      </c>
      <c r="M406" s="133">
        <v>0</v>
      </c>
      <c r="N406" s="222">
        <v>0</v>
      </c>
      <c r="O406" s="142">
        <f>+CATEGORIAS[[#This Row],[PRODUCCION
PARTIDAS
ORIGINALES
ACTUAL]]+CATEGORIAS[[#This Row],[PRODUCCION
ADICIONALES
ACTUAL]]</f>
        <v>0</v>
      </c>
      <c r="P406" s="222">
        <v>0</v>
      </c>
      <c r="Q406" s="134">
        <v>0</v>
      </c>
      <c r="R406" s="141">
        <f>+CATEGORIAS[[#This Row],[PRODUCCION
ANTERIOR]]+CATEGORIAS[[#This Row],[PRODUCCION
ADICIONALES
ANTERIOR]]</f>
        <v>0</v>
      </c>
      <c r="S406" s="135">
        <v>0</v>
      </c>
      <c r="T406" s="135"/>
      <c r="U406" s="135">
        <v>0</v>
      </c>
      <c r="V406" s="262">
        <f>SUM(CATEGORIAS[[#This Row],[COSTO
ACUMULADO  AX]:[PROVISIONES]])</f>
        <v>0</v>
      </c>
      <c r="W406" s="264">
        <v>0</v>
      </c>
      <c r="X406" s="222"/>
      <c r="Y406" s="222">
        <v>0</v>
      </c>
      <c r="Z406" s="263">
        <f>SUM(CATEGORIAS[[#This Row],[COSTO ACUMULADO
ANTERIOR]:[PROVISIONES
ANTERIOR]])</f>
        <v>0</v>
      </c>
      <c r="AA406" s="338">
        <f>ABS(+CATEGORIAS[[#This Row],[PRESUPUESTO
FINAL
PROYECTADO]]-CATEGORIAS[[#This Row],[TOTAL PRODUCCION
ACTUAL]])</f>
        <v>0</v>
      </c>
      <c r="AB406" s="222"/>
      <c r="AC406" s="134"/>
      <c r="AD406" s="134">
        <v>0</v>
      </c>
      <c r="AE406" s="221">
        <f>SUM(CATEGORIAS[[#This Row],[INVENTARIO]:[PROYECCION
DE COSTO
DEL SALDO]])</f>
        <v>0</v>
      </c>
      <c r="AF406" s="134"/>
      <c r="AG406" s="134">
        <f>+CATEGORIAS[[#This Row],[PRESUPUESTO
FINAL
PROYECTADO]]-CATEGORIAS[[#This Row],[COSTO REAL]]-CATEGORIAS[[#This Row],[PROYECCION
TOTAL DE COSTO]]</f>
        <v>0</v>
      </c>
    </row>
    <row r="407" spans="1:33" x14ac:dyDescent="0.25">
      <c r="A407" s="245"/>
      <c r="B407" s="245"/>
      <c r="C407" s="245"/>
      <c r="D407" s="323" t="s">
        <v>2141</v>
      </c>
      <c r="E407" s="244" t="s">
        <v>1167</v>
      </c>
      <c r="F407" s="246" t="s">
        <v>376</v>
      </c>
      <c r="G407" s="279">
        <v>0</v>
      </c>
      <c r="H407" s="279">
        <v>0</v>
      </c>
      <c r="I407" s="132">
        <v>0</v>
      </c>
      <c r="J407" s="132">
        <v>0</v>
      </c>
      <c r="K407" s="132">
        <v>0</v>
      </c>
      <c r="L407" s="144">
        <f>CATEGORIAS[[#This Row],[ADICIONALES]]+CATEGORIAS[[#This Row],[POM]]+CATEGORIAS[[#This Row],[REAJUSTE 
PAGADO]]+CATEGORIAS[[#This Row],[REAJUSTE
PROYECTADO]]</f>
        <v>0</v>
      </c>
      <c r="M407" s="133">
        <v>0</v>
      </c>
      <c r="N407" s="222">
        <v>0</v>
      </c>
      <c r="O407" s="142">
        <f>+CATEGORIAS[[#This Row],[PRODUCCION
PARTIDAS
ORIGINALES
ACTUAL]]+CATEGORIAS[[#This Row],[PRODUCCION
ADICIONALES
ACTUAL]]</f>
        <v>0</v>
      </c>
      <c r="P407" s="222">
        <v>0</v>
      </c>
      <c r="Q407" s="134">
        <v>0</v>
      </c>
      <c r="R407" s="141">
        <f>+CATEGORIAS[[#This Row],[PRODUCCION
ANTERIOR]]+CATEGORIAS[[#This Row],[PRODUCCION
ADICIONALES
ANTERIOR]]</f>
        <v>0</v>
      </c>
      <c r="S407" s="135">
        <v>0</v>
      </c>
      <c r="T407" s="135"/>
      <c r="U407" s="135">
        <v>0</v>
      </c>
      <c r="V407" s="262">
        <f>SUM(CATEGORIAS[[#This Row],[COSTO
ACUMULADO  AX]:[PROVISIONES]])</f>
        <v>0</v>
      </c>
      <c r="W407" s="264">
        <v>0</v>
      </c>
      <c r="X407" s="222"/>
      <c r="Y407" s="222">
        <v>0</v>
      </c>
      <c r="Z407" s="263">
        <f>SUM(CATEGORIAS[[#This Row],[COSTO ACUMULADO
ANTERIOR]:[PROVISIONES
ANTERIOR]])</f>
        <v>0</v>
      </c>
      <c r="AA407" s="338">
        <f>ABS(+CATEGORIAS[[#This Row],[PRESUPUESTO
FINAL
PROYECTADO]]-CATEGORIAS[[#This Row],[TOTAL PRODUCCION
ACTUAL]])</f>
        <v>0</v>
      </c>
      <c r="AB407" s="222"/>
      <c r="AC407" s="134"/>
      <c r="AD407" s="134">
        <v>0</v>
      </c>
      <c r="AE407" s="221">
        <f>SUM(CATEGORIAS[[#This Row],[INVENTARIO]:[PROYECCION
DE COSTO
DEL SALDO]])</f>
        <v>0</v>
      </c>
      <c r="AF407" s="134"/>
      <c r="AG407" s="134">
        <f>+CATEGORIAS[[#This Row],[PRESUPUESTO
FINAL
PROYECTADO]]-CATEGORIAS[[#This Row],[COSTO REAL]]-CATEGORIAS[[#This Row],[PROYECCION
TOTAL DE COSTO]]</f>
        <v>0</v>
      </c>
    </row>
    <row r="408" spans="1:33" x14ac:dyDescent="0.25">
      <c r="A408" s="245"/>
      <c r="B408" s="245"/>
      <c r="C408" s="245"/>
      <c r="D408" s="323" t="s">
        <v>2142</v>
      </c>
      <c r="E408" s="244" t="s">
        <v>1169</v>
      </c>
      <c r="F408" s="246" t="s">
        <v>376</v>
      </c>
      <c r="G408" s="279">
        <v>0</v>
      </c>
      <c r="H408" s="279">
        <v>0</v>
      </c>
      <c r="I408" s="132">
        <v>0</v>
      </c>
      <c r="J408" s="132">
        <v>0</v>
      </c>
      <c r="K408" s="132">
        <v>0</v>
      </c>
      <c r="L408" s="144">
        <f>CATEGORIAS[[#This Row],[ADICIONALES]]+CATEGORIAS[[#This Row],[POM]]+CATEGORIAS[[#This Row],[REAJUSTE 
PAGADO]]+CATEGORIAS[[#This Row],[REAJUSTE
PROYECTADO]]</f>
        <v>0</v>
      </c>
      <c r="M408" s="133">
        <v>0</v>
      </c>
      <c r="N408" s="222">
        <v>0</v>
      </c>
      <c r="O408" s="142">
        <f>+CATEGORIAS[[#This Row],[PRODUCCION
PARTIDAS
ORIGINALES
ACTUAL]]+CATEGORIAS[[#This Row],[PRODUCCION
ADICIONALES
ACTUAL]]</f>
        <v>0</v>
      </c>
      <c r="P408" s="222">
        <v>0</v>
      </c>
      <c r="Q408" s="222">
        <v>0</v>
      </c>
      <c r="R408" s="141">
        <f>+CATEGORIAS[[#This Row],[PRODUCCION
ANTERIOR]]+CATEGORIAS[[#This Row],[PRODUCCION
ADICIONALES
ANTERIOR]]</f>
        <v>0</v>
      </c>
      <c r="S408" s="135">
        <v>0</v>
      </c>
      <c r="T408" s="264"/>
      <c r="U408" s="135">
        <v>0</v>
      </c>
      <c r="V408" s="262">
        <f>SUM(CATEGORIAS[[#This Row],[COSTO
ACUMULADO  AX]:[PROVISIONES]])</f>
        <v>0</v>
      </c>
      <c r="W408" s="264">
        <v>0</v>
      </c>
      <c r="X408" s="222"/>
      <c r="Y408" s="222">
        <v>0</v>
      </c>
      <c r="Z408" s="263">
        <f>SUM(CATEGORIAS[[#This Row],[COSTO ACUMULADO
ANTERIOR]:[PROVISIONES
ANTERIOR]])</f>
        <v>0</v>
      </c>
      <c r="AA408" s="338">
        <f>ABS(+CATEGORIAS[[#This Row],[PRESUPUESTO
FINAL
PROYECTADO]]-CATEGORIAS[[#This Row],[TOTAL PRODUCCION
ACTUAL]])</f>
        <v>0</v>
      </c>
      <c r="AB408" s="222"/>
      <c r="AC408" s="134"/>
      <c r="AD408" s="134">
        <v>0</v>
      </c>
      <c r="AE408" s="221">
        <f>SUM(CATEGORIAS[[#This Row],[INVENTARIO]:[PROYECCION
DE COSTO
DEL SALDO]])</f>
        <v>0</v>
      </c>
      <c r="AF408" s="134"/>
      <c r="AG408" s="134">
        <f>+CATEGORIAS[[#This Row],[PRESUPUESTO
FINAL
PROYECTADO]]-CATEGORIAS[[#This Row],[COSTO REAL]]-CATEGORIAS[[#This Row],[PROYECCION
TOTAL DE COSTO]]</f>
        <v>0</v>
      </c>
    </row>
    <row r="409" spans="1:33" x14ac:dyDescent="0.25">
      <c r="A409" s="245"/>
      <c r="B409" s="245"/>
      <c r="C409" s="245"/>
      <c r="D409" s="323" t="s">
        <v>2143</v>
      </c>
      <c r="E409" s="244" t="s">
        <v>1171</v>
      </c>
      <c r="F409" s="246" t="s">
        <v>376</v>
      </c>
      <c r="G409" s="279">
        <v>0</v>
      </c>
      <c r="H409" s="279">
        <v>0</v>
      </c>
      <c r="I409" s="132">
        <v>0</v>
      </c>
      <c r="J409" s="132">
        <v>0</v>
      </c>
      <c r="K409" s="132">
        <v>0</v>
      </c>
      <c r="L409" s="144">
        <f>CATEGORIAS[[#This Row],[ADICIONALES]]+CATEGORIAS[[#This Row],[POM]]+CATEGORIAS[[#This Row],[REAJUSTE 
PAGADO]]+CATEGORIAS[[#This Row],[REAJUSTE
PROYECTADO]]</f>
        <v>0</v>
      </c>
      <c r="M409" s="133">
        <v>0</v>
      </c>
      <c r="N409" s="222">
        <v>0</v>
      </c>
      <c r="O409" s="142">
        <f>+CATEGORIAS[[#This Row],[PRODUCCION
PARTIDAS
ORIGINALES
ACTUAL]]+CATEGORIAS[[#This Row],[PRODUCCION
ADICIONALES
ACTUAL]]</f>
        <v>0</v>
      </c>
      <c r="P409" s="222">
        <v>0</v>
      </c>
      <c r="Q409" s="222">
        <v>0</v>
      </c>
      <c r="R409" s="141">
        <f>+CATEGORIAS[[#This Row],[PRODUCCION
ANTERIOR]]+CATEGORIAS[[#This Row],[PRODUCCION
ADICIONALES
ANTERIOR]]</f>
        <v>0</v>
      </c>
      <c r="S409" s="135">
        <v>0</v>
      </c>
      <c r="T409" s="264"/>
      <c r="U409" s="135">
        <v>0</v>
      </c>
      <c r="V409" s="262">
        <f>SUM(CATEGORIAS[[#This Row],[COSTO
ACUMULADO  AX]:[PROVISIONES]])</f>
        <v>0</v>
      </c>
      <c r="W409" s="264">
        <v>0</v>
      </c>
      <c r="X409" s="222"/>
      <c r="Y409" s="222">
        <v>0</v>
      </c>
      <c r="Z409" s="263">
        <f>SUM(CATEGORIAS[[#This Row],[COSTO ACUMULADO
ANTERIOR]:[PROVISIONES
ANTERIOR]])</f>
        <v>0</v>
      </c>
      <c r="AA409" s="338">
        <f>ABS(+CATEGORIAS[[#This Row],[PRESUPUESTO
FINAL
PROYECTADO]]-CATEGORIAS[[#This Row],[TOTAL PRODUCCION
ACTUAL]])</f>
        <v>0</v>
      </c>
      <c r="AB409" s="222"/>
      <c r="AC409" s="134"/>
      <c r="AD409" s="134">
        <v>0</v>
      </c>
      <c r="AE409" s="221">
        <f>SUM(CATEGORIAS[[#This Row],[INVENTARIO]:[PROYECCION
DE COSTO
DEL SALDO]])</f>
        <v>0</v>
      </c>
      <c r="AF409" s="134"/>
      <c r="AG409" s="134">
        <f>+CATEGORIAS[[#This Row],[PRESUPUESTO
FINAL
PROYECTADO]]-CATEGORIAS[[#This Row],[COSTO REAL]]-CATEGORIAS[[#This Row],[PROYECCION
TOTAL DE COSTO]]</f>
        <v>0</v>
      </c>
    </row>
    <row r="410" spans="1:33" x14ac:dyDescent="0.25">
      <c r="A410" s="245"/>
      <c r="B410" s="245"/>
      <c r="C410" s="245"/>
      <c r="D410" s="323" t="s">
        <v>2144</v>
      </c>
      <c r="E410" s="244" t="s">
        <v>1173</v>
      </c>
      <c r="F410" s="246" t="s">
        <v>376</v>
      </c>
      <c r="G410" s="279">
        <v>0</v>
      </c>
      <c r="H410" s="279">
        <v>0</v>
      </c>
      <c r="I410" s="132">
        <v>0</v>
      </c>
      <c r="J410" s="132">
        <v>0</v>
      </c>
      <c r="K410" s="132">
        <v>0</v>
      </c>
      <c r="L410" s="144">
        <f>CATEGORIAS[[#This Row],[ADICIONALES]]+CATEGORIAS[[#This Row],[POM]]+CATEGORIAS[[#This Row],[REAJUSTE 
PAGADO]]+CATEGORIAS[[#This Row],[REAJUSTE
PROYECTADO]]</f>
        <v>0</v>
      </c>
      <c r="M410" s="133">
        <v>0</v>
      </c>
      <c r="N410" s="222">
        <v>0</v>
      </c>
      <c r="O410" s="142">
        <f>+CATEGORIAS[[#This Row],[PRODUCCION
PARTIDAS
ORIGINALES
ACTUAL]]+CATEGORIAS[[#This Row],[PRODUCCION
ADICIONALES
ACTUAL]]</f>
        <v>0</v>
      </c>
      <c r="P410" s="222">
        <v>0</v>
      </c>
      <c r="Q410" s="222">
        <v>0</v>
      </c>
      <c r="R410" s="141">
        <f>+CATEGORIAS[[#This Row],[PRODUCCION
ANTERIOR]]+CATEGORIAS[[#This Row],[PRODUCCION
ADICIONALES
ANTERIOR]]</f>
        <v>0</v>
      </c>
      <c r="S410" s="135">
        <v>0</v>
      </c>
      <c r="T410" s="135"/>
      <c r="U410" s="135">
        <v>0</v>
      </c>
      <c r="V410" s="262">
        <f>SUM(CATEGORIAS[[#This Row],[COSTO
ACUMULADO  AX]:[PROVISIONES]])</f>
        <v>0</v>
      </c>
      <c r="W410" s="264">
        <v>0</v>
      </c>
      <c r="X410" s="222"/>
      <c r="Y410" s="222">
        <v>0</v>
      </c>
      <c r="Z410" s="263">
        <f>SUM(CATEGORIAS[[#This Row],[COSTO ACUMULADO
ANTERIOR]:[PROVISIONES
ANTERIOR]])</f>
        <v>0</v>
      </c>
      <c r="AA410" s="338">
        <f>ABS(+CATEGORIAS[[#This Row],[PRESUPUESTO
FINAL
PROYECTADO]]-CATEGORIAS[[#This Row],[TOTAL PRODUCCION
ACTUAL]])</f>
        <v>0</v>
      </c>
      <c r="AB410" s="222"/>
      <c r="AC410" s="134"/>
      <c r="AD410" s="134">
        <v>0</v>
      </c>
      <c r="AE410" s="221">
        <f>SUM(CATEGORIAS[[#This Row],[INVENTARIO]:[PROYECCION
DE COSTO
DEL SALDO]])</f>
        <v>0</v>
      </c>
      <c r="AF410" s="134"/>
      <c r="AG410" s="134">
        <f>+CATEGORIAS[[#This Row],[PRESUPUESTO
FINAL
PROYECTADO]]-CATEGORIAS[[#This Row],[COSTO REAL]]-CATEGORIAS[[#This Row],[PROYECCION
TOTAL DE COSTO]]</f>
        <v>0</v>
      </c>
    </row>
    <row r="411" spans="1:33" x14ac:dyDescent="0.25">
      <c r="A411" s="245"/>
      <c r="B411" s="245"/>
      <c r="C411" s="245"/>
      <c r="D411" s="323" t="s">
        <v>2145</v>
      </c>
      <c r="E411" s="244" t="s">
        <v>1175</v>
      </c>
      <c r="F411" s="246" t="s">
        <v>376</v>
      </c>
      <c r="G411" s="279">
        <v>0</v>
      </c>
      <c r="H411" s="279">
        <v>0</v>
      </c>
      <c r="I411" s="132">
        <v>0</v>
      </c>
      <c r="J411" s="132">
        <v>0</v>
      </c>
      <c r="K411" s="132">
        <v>0</v>
      </c>
      <c r="L411" s="144">
        <f>CATEGORIAS[[#This Row],[ADICIONALES]]+CATEGORIAS[[#This Row],[POM]]+CATEGORIAS[[#This Row],[REAJUSTE 
PAGADO]]+CATEGORIAS[[#This Row],[REAJUSTE
PROYECTADO]]</f>
        <v>0</v>
      </c>
      <c r="M411" s="133">
        <v>0</v>
      </c>
      <c r="N411" s="222">
        <v>0</v>
      </c>
      <c r="O411" s="142">
        <f>+CATEGORIAS[[#This Row],[PRODUCCION
PARTIDAS
ORIGINALES
ACTUAL]]+CATEGORIAS[[#This Row],[PRODUCCION
ADICIONALES
ACTUAL]]</f>
        <v>0</v>
      </c>
      <c r="P411" s="222">
        <v>0</v>
      </c>
      <c r="Q411" s="222">
        <v>0</v>
      </c>
      <c r="R411" s="141">
        <f>+CATEGORIAS[[#This Row],[PRODUCCION
ANTERIOR]]+CATEGORIAS[[#This Row],[PRODUCCION
ADICIONALES
ANTERIOR]]</f>
        <v>0</v>
      </c>
      <c r="S411" s="135">
        <v>0</v>
      </c>
      <c r="T411" s="135"/>
      <c r="U411" s="135">
        <v>0</v>
      </c>
      <c r="V411" s="262">
        <f>SUM(CATEGORIAS[[#This Row],[COSTO
ACUMULADO  AX]:[PROVISIONES]])</f>
        <v>0</v>
      </c>
      <c r="W411" s="264">
        <v>0</v>
      </c>
      <c r="X411" s="222"/>
      <c r="Y411" s="222">
        <v>0</v>
      </c>
      <c r="Z411" s="263">
        <f>SUM(CATEGORIAS[[#This Row],[COSTO ACUMULADO
ANTERIOR]:[PROVISIONES
ANTERIOR]])</f>
        <v>0</v>
      </c>
      <c r="AA411" s="338">
        <f>ABS(+CATEGORIAS[[#This Row],[PRESUPUESTO
FINAL
PROYECTADO]]-CATEGORIAS[[#This Row],[TOTAL PRODUCCION
ACTUAL]])</f>
        <v>0</v>
      </c>
      <c r="AB411" s="222"/>
      <c r="AC411" s="134"/>
      <c r="AD411" s="134">
        <v>0</v>
      </c>
      <c r="AE411" s="221">
        <f>SUM(CATEGORIAS[[#This Row],[INVENTARIO]:[PROYECCION
DE COSTO
DEL SALDO]])</f>
        <v>0</v>
      </c>
      <c r="AF411" s="134"/>
      <c r="AG411" s="134">
        <f>+CATEGORIAS[[#This Row],[PRESUPUESTO
FINAL
PROYECTADO]]-CATEGORIAS[[#This Row],[COSTO REAL]]-CATEGORIAS[[#This Row],[PROYECCION
TOTAL DE COSTO]]</f>
        <v>0</v>
      </c>
    </row>
    <row r="412" spans="1:33" x14ac:dyDescent="0.25">
      <c r="A412" s="245"/>
      <c r="B412" s="245"/>
      <c r="C412" s="245"/>
      <c r="D412" s="323" t="s">
        <v>2146</v>
      </c>
      <c r="E412" s="244" t="s">
        <v>1177</v>
      </c>
      <c r="F412" s="246" t="s">
        <v>376</v>
      </c>
      <c r="G412" s="279">
        <v>0</v>
      </c>
      <c r="H412" s="279">
        <v>0</v>
      </c>
      <c r="I412" s="132">
        <v>0</v>
      </c>
      <c r="J412" s="132">
        <v>0</v>
      </c>
      <c r="K412" s="132">
        <v>0</v>
      </c>
      <c r="L412" s="144">
        <f>CATEGORIAS[[#This Row],[ADICIONALES]]+CATEGORIAS[[#This Row],[POM]]+CATEGORIAS[[#This Row],[REAJUSTE 
PAGADO]]+CATEGORIAS[[#This Row],[REAJUSTE
PROYECTADO]]</f>
        <v>0</v>
      </c>
      <c r="M412" s="133">
        <v>0</v>
      </c>
      <c r="N412" s="222">
        <v>0</v>
      </c>
      <c r="O412" s="142">
        <f>+CATEGORIAS[[#This Row],[PRODUCCION
PARTIDAS
ORIGINALES
ACTUAL]]+CATEGORIAS[[#This Row],[PRODUCCION
ADICIONALES
ACTUAL]]</f>
        <v>0</v>
      </c>
      <c r="P412" s="222">
        <v>0</v>
      </c>
      <c r="Q412" s="134">
        <v>0</v>
      </c>
      <c r="R412" s="141">
        <f>+CATEGORIAS[[#This Row],[PRODUCCION
ANTERIOR]]+CATEGORIAS[[#This Row],[PRODUCCION
ADICIONALES
ANTERIOR]]</f>
        <v>0</v>
      </c>
      <c r="S412" s="135">
        <v>0</v>
      </c>
      <c r="T412" s="135"/>
      <c r="U412" s="135">
        <v>0</v>
      </c>
      <c r="V412" s="262">
        <f>SUM(CATEGORIAS[[#This Row],[COSTO
ACUMULADO  AX]:[PROVISIONES]])</f>
        <v>0</v>
      </c>
      <c r="W412" s="264">
        <v>0</v>
      </c>
      <c r="X412" s="222"/>
      <c r="Y412" s="222">
        <v>0</v>
      </c>
      <c r="Z412" s="263">
        <f>SUM(CATEGORIAS[[#This Row],[COSTO ACUMULADO
ANTERIOR]:[PROVISIONES
ANTERIOR]])</f>
        <v>0</v>
      </c>
      <c r="AA412" s="338">
        <f>ABS(+CATEGORIAS[[#This Row],[PRESUPUESTO
FINAL
PROYECTADO]]-CATEGORIAS[[#This Row],[TOTAL PRODUCCION
ACTUAL]])</f>
        <v>0</v>
      </c>
      <c r="AB412" s="222"/>
      <c r="AC412" s="134"/>
      <c r="AD412" s="134">
        <v>0</v>
      </c>
      <c r="AE412" s="221">
        <f>SUM(CATEGORIAS[[#This Row],[INVENTARIO]:[PROYECCION
DE COSTO
DEL SALDO]])</f>
        <v>0</v>
      </c>
      <c r="AF412" s="134"/>
      <c r="AG412" s="134">
        <f>+CATEGORIAS[[#This Row],[PRESUPUESTO
FINAL
PROYECTADO]]-CATEGORIAS[[#This Row],[COSTO REAL]]-CATEGORIAS[[#This Row],[PROYECCION
TOTAL DE COSTO]]</f>
        <v>0</v>
      </c>
    </row>
    <row r="413" spans="1:33" x14ac:dyDescent="0.25">
      <c r="A413" s="245"/>
      <c r="B413" s="245"/>
      <c r="C413" s="245"/>
      <c r="D413" s="323" t="s">
        <v>2147</v>
      </c>
      <c r="E413" s="244" t="s">
        <v>1179</v>
      </c>
      <c r="F413" s="246" t="s">
        <v>376</v>
      </c>
      <c r="G413" s="279">
        <v>0</v>
      </c>
      <c r="H413" s="279">
        <v>0</v>
      </c>
      <c r="I413" s="132">
        <v>0</v>
      </c>
      <c r="J413" s="132">
        <v>0</v>
      </c>
      <c r="K413" s="132">
        <v>0</v>
      </c>
      <c r="L413" s="144">
        <f>CATEGORIAS[[#This Row],[ADICIONALES]]+CATEGORIAS[[#This Row],[POM]]+CATEGORIAS[[#This Row],[REAJUSTE 
PAGADO]]+CATEGORIAS[[#This Row],[REAJUSTE
PROYECTADO]]</f>
        <v>0</v>
      </c>
      <c r="M413" s="133">
        <v>0</v>
      </c>
      <c r="N413" s="222">
        <v>0</v>
      </c>
      <c r="O413" s="142">
        <f>+CATEGORIAS[[#This Row],[PRODUCCION
PARTIDAS
ORIGINALES
ACTUAL]]+CATEGORIAS[[#This Row],[PRODUCCION
ADICIONALES
ACTUAL]]</f>
        <v>0</v>
      </c>
      <c r="P413" s="222">
        <v>0</v>
      </c>
      <c r="Q413" s="222">
        <v>0</v>
      </c>
      <c r="R413" s="141">
        <f>+CATEGORIAS[[#This Row],[PRODUCCION
ANTERIOR]]+CATEGORIAS[[#This Row],[PRODUCCION
ADICIONALES
ANTERIOR]]</f>
        <v>0</v>
      </c>
      <c r="S413" s="135">
        <v>0</v>
      </c>
      <c r="T413" s="135"/>
      <c r="U413" s="135">
        <v>0</v>
      </c>
      <c r="V413" s="262">
        <f>SUM(CATEGORIAS[[#This Row],[COSTO
ACUMULADO  AX]:[PROVISIONES]])</f>
        <v>0</v>
      </c>
      <c r="W413" s="264">
        <v>0</v>
      </c>
      <c r="X413" s="222"/>
      <c r="Y413" s="222">
        <v>0</v>
      </c>
      <c r="Z413" s="263">
        <f>SUM(CATEGORIAS[[#This Row],[COSTO ACUMULADO
ANTERIOR]:[PROVISIONES
ANTERIOR]])</f>
        <v>0</v>
      </c>
      <c r="AA413" s="338">
        <f>ABS(+CATEGORIAS[[#This Row],[PRESUPUESTO
FINAL
PROYECTADO]]-CATEGORIAS[[#This Row],[TOTAL PRODUCCION
ACTUAL]])</f>
        <v>0</v>
      </c>
      <c r="AB413" s="222"/>
      <c r="AC413" s="134"/>
      <c r="AD413" s="134">
        <v>0</v>
      </c>
      <c r="AE413" s="221">
        <f>SUM(CATEGORIAS[[#This Row],[INVENTARIO]:[PROYECCION
DE COSTO
DEL SALDO]])</f>
        <v>0</v>
      </c>
      <c r="AF413" s="134"/>
      <c r="AG413" s="134">
        <f>+CATEGORIAS[[#This Row],[PRESUPUESTO
FINAL
PROYECTADO]]-CATEGORIAS[[#This Row],[COSTO REAL]]-CATEGORIAS[[#This Row],[PROYECCION
TOTAL DE COSTO]]</f>
        <v>0</v>
      </c>
    </row>
    <row r="414" spans="1:33" x14ac:dyDescent="0.25">
      <c r="A414" s="245"/>
      <c r="B414" s="245"/>
      <c r="C414" s="245"/>
      <c r="D414" s="323" t="s">
        <v>2148</v>
      </c>
      <c r="E414" s="244" t="s">
        <v>1179</v>
      </c>
      <c r="F414" s="246" t="s">
        <v>376</v>
      </c>
      <c r="G414" s="279">
        <v>0</v>
      </c>
      <c r="H414" s="279">
        <v>0</v>
      </c>
      <c r="I414" s="132">
        <v>0</v>
      </c>
      <c r="J414" s="132">
        <v>0</v>
      </c>
      <c r="K414" s="132">
        <v>0</v>
      </c>
      <c r="L414" s="144">
        <f>CATEGORIAS[[#This Row],[ADICIONALES]]+CATEGORIAS[[#This Row],[POM]]+CATEGORIAS[[#This Row],[REAJUSTE 
PAGADO]]+CATEGORIAS[[#This Row],[REAJUSTE
PROYECTADO]]</f>
        <v>0</v>
      </c>
      <c r="M414" s="133">
        <v>0</v>
      </c>
      <c r="N414" s="222">
        <v>0</v>
      </c>
      <c r="O414" s="142">
        <f>+CATEGORIAS[[#This Row],[PRODUCCION
PARTIDAS
ORIGINALES
ACTUAL]]+CATEGORIAS[[#This Row],[PRODUCCION
ADICIONALES
ACTUAL]]</f>
        <v>0</v>
      </c>
      <c r="P414" s="222">
        <v>0</v>
      </c>
      <c r="Q414" s="134">
        <v>0</v>
      </c>
      <c r="R414" s="141">
        <f>+CATEGORIAS[[#This Row],[PRODUCCION
ANTERIOR]]+CATEGORIAS[[#This Row],[PRODUCCION
ADICIONALES
ANTERIOR]]</f>
        <v>0</v>
      </c>
      <c r="S414" s="135">
        <v>0</v>
      </c>
      <c r="T414" s="135"/>
      <c r="U414" s="135">
        <v>0</v>
      </c>
      <c r="V414" s="262">
        <f>SUM(CATEGORIAS[[#This Row],[COSTO
ACUMULADO  AX]:[PROVISIONES]])</f>
        <v>0</v>
      </c>
      <c r="W414" s="264">
        <v>0</v>
      </c>
      <c r="X414" s="222"/>
      <c r="Y414" s="222">
        <v>0</v>
      </c>
      <c r="Z414" s="263">
        <f>SUM(CATEGORIAS[[#This Row],[COSTO ACUMULADO
ANTERIOR]:[PROVISIONES
ANTERIOR]])</f>
        <v>0</v>
      </c>
      <c r="AA414" s="338">
        <f>ABS(+CATEGORIAS[[#This Row],[PRESUPUESTO
FINAL
PROYECTADO]]-CATEGORIAS[[#This Row],[TOTAL PRODUCCION
ACTUAL]])</f>
        <v>0</v>
      </c>
      <c r="AB414" s="222"/>
      <c r="AC414" s="134"/>
      <c r="AD414" s="134">
        <v>0</v>
      </c>
      <c r="AE414" s="221">
        <f>SUM(CATEGORIAS[[#This Row],[INVENTARIO]:[PROYECCION
DE COSTO
DEL SALDO]])</f>
        <v>0</v>
      </c>
      <c r="AF414" s="134"/>
      <c r="AG414" s="134">
        <f>+CATEGORIAS[[#This Row],[PRESUPUESTO
FINAL
PROYECTADO]]-CATEGORIAS[[#This Row],[COSTO REAL]]-CATEGORIAS[[#This Row],[PROYECCION
TOTAL DE COSTO]]</f>
        <v>0</v>
      </c>
    </row>
    <row r="415" spans="1:33" x14ac:dyDescent="0.25">
      <c r="A415" s="245"/>
      <c r="B415" s="245"/>
      <c r="C415" s="245"/>
      <c r="D415" s="323" t="s">
        <v>2149</v>
      </c>
      <c r="E415" s="244" t="s">
        <v>1182</v>
      </c>
      <c r="F415" s="246" t="s">
        <v>376</v>
      </c>
      <c r="G415" s="279">
        <v>0</v>
      </c>
      <c r="H415" s="279">
        <v>0</v>
      </c>
      <c r="I415" s="132">
        <v>0</v>
      </c>
      <c r="J415" s="132">
        <v>0</v>
      </c>
      <c r="K415" s="132">
        <v>0</v>
      </c>
      <c r="L415" s="144">
        <f>CATEGORIAS[[#This Row],[ADICIONALES]]+CATEGORIAS[[#This Row],[POM]]+CATEGORIAS[[#This Row],[REAJUSTE 
PAGADO]]+CATEGORIAS[[#This Row],[REAJUSTE
PROYECTADO]]</f>
        <v>0</v>
      </c>
      <c r="M415" s="133">
        <v>0</v>
      </c>
      <c r="N415" s="222">
        <v>0</v>
      </c>
      <c r="O415" s="142">
        <f>+CATEGORIAS[[#This Row],[PRODUCCION
PARTIDAS
ORIGINALES
ACTUAL]]+CATEGORIAS[[#This Row],[PRODUCCION
ADICIONALES
ACTUAL]]</f>
        <v>0</v>
      </c>
      <c r="P415" s="222">
        <v>0</v>
      </c>
      <c r="Q415" s="222">
        <v>0</v>
      </c>
      <c r="R415" s="141">
        <f>+CATEGORIAS[[#This Row],[PRODUCCION
ANTERIOR]]+CATEGORIAS[[#This Row],[PRODUCCION
ADICIONALES
ANTERIOR]]</f>
        <v>0</v>
      </c>
      <c r="S415" s="135">
        <v>0</v>
      </c>
      <c r="T415" s="135"/>
      <c r="U415" s="135">
        <v>0</v>
      </c>
      <c r="V415" s="262">
        <f>SUM(CATEGORIAS[[#This Row],[COSTO
ACUMULADO  AX]:[PROVISIONES]])</f>
        <v>0</v>
      </c>
      <c r="W415" s="264">
        <v>0</v>
      </c>
      <c r="X415" s="222"/>
      <c r="Y415" s="222">
        <v>0</v>
      </c>
      <c r="Z415" s="263">
        <f>SUM(CATEGORIAS[[#This Row],[COSTO ACUMULADO
ANTERIOR]:[PROVISIONES
ANTERIOR]])</f>
        <v>0</v>
      </c>
      <c r="AA415" s="338">
        <f>ABS(+CATEGORIAS[[#This Row],[PRESUPUESTO
FINAL
PROYECTADO]]-CATEGORIAS[[#This Row],[TOTAL PRODUCCION
ACTUAL]])</f>
        <v>0</v>
      </c>
      <c r="AB415" s="222"/>
      <c r="AC415" s="134"/>
      <c r="AD415" s="134">
        <v>0</v>
      </c>
      <c r="AE415" s="221">
        <f>SUM(CATEGORIAS[[#This Row],[INVENTARIO]:[PROYECCION
DE COSTO
DEL SALDO]])</f>
        <v>0</v>
      </c>
      <c r="AF415" s="134"/>
      <c r="AG415" s="134">
        <f>+CATEGORIAS[[#This Row],[PRESUPUESTO
FINAL
PROYECTADO]]-CATEGORIAS[[#This Row],[COSTO REAL]]-CATEGORIAS[[#This Row],[PROYECCION
TOTAL DE COSTO]]</f>
        <v>0</v>
      </c>
    </row>
    <row r="416" spans="1:33" x14ac:dyDescent="0.25">
      <c r="A416" s="245"/>
      <c r="B416" s="245"/>
      <c r="C416" s="245"/>
      <c r="D416" s="323" t="s">
        <v>2150</v>
      </c>
      <c r="E416" s="244" t="s">
        <v>1184</v>
      </c>
      <c r="F416" s="246" t="s">
        <v>376</v>
      </c>
      <c r="G416" s="279">
        <v>0</v>
      </c>
      <c r="H416" s="279">
        <v>0</v>
      </c>
      <c r="I416" s="132">
        <v>0</v>
      </c>
      <c r="J416" s="132">
        <v>0</v>
      </c>
      <c r="K416" s="132">
        <v>0</v>
      </c>
      <c r="L416" s="144">
        <f>CATEGORIAS[[#This Row],[ADICIONALES]]+CATEGORIAS[[#This Row],[POM]]+CATEGORIAS[[#This Row],[REAJUSTE 
PAGADO]]+CATEGORIAS[[#This Row],[REAJUSTE
PROYECTADO]]</f>
        <v>0</v>
      </c>
      <c r="M416" s="133">
        <v>0</v>
      </c>
      <c r="N416" s="222">
        <v>0</v>
      </c>
      <c r="O416" s="142">
        <f>+CATEGORIAS[[#This Row],[PRODUCCION
PARTIDAS
ORIGINALES
ACTUAL]]+CATEGORIAS[[#This Row],[PRODUCCION
ADICIONALES
ACTUAL]]</f>
        <v>0</v>
      </c>
      <c r="P416" s="222">
        <v>0</v>
      </c>
      <c r="Q416" s="222">
        <v>0</v>
      </c>
      <c r="R416" s="141">
        <f>+CATEGORIAS[[#This Row],[PRODUCCION
ANTERIOR]]+CATEGORIAS[[#This Row],[PRODUCCION
ADICIONALES
ANTERIOR]]</f>
        <v>0</v>
      </c>
      <c r="S416" s="135">
        <v>0</v>
      </c>
      <c r="T416" s="135"/>
      <c r="U416" s="135">
        <v>0</v>
      </c>
      <c r="V416" s="262">
        <f>SUM(CATEGORIAS[[#This Row],[COSTO
ACUMULADO  AX]:[PROVISIONES]])</f>
        <v>0</v>
      </c>
      <c r="W416" s="264">
        <v>0</v>
      </c>
      <c r="X416" s="222"/>
      <c r="Y416" s="222">
        <v>0</v>
      </c>
      <c r="Z416" s="263">
        <f>SUM(CATEGORIAS[[#This Row],[COSTO ACUMULADO
ANTERIOR]:[PROVISIONES
ANTERIOR]])</f>
        <v>0</v>
      </c>
      <c r="AA416" s="338">
        <f>ABS(+CATEGORIAS[[#This Row],[PRESUPUESTO
FINAL
PROYECTADO]]-CATEGORIAS[[#This Row],[TOTAL PRODUCCION
ACTUAL]])</f>
        <v>0</v>
      </c>
      <c r="AB416" s="222"/>
      <c r="AC416" s="134"/>
      <c r="AD416" s="134">
        <v>0</v>
      </c>
      <c r="AE416" s="221">
        <f>SUM(CATEGORIAS[[#This Row],[INVENTARIO]:[PROYECCION
DE COSTO
DEL SALDO]])</f>
        <v>0</v>
      </c>
      <c r="AF416" s="134"/>
      <c r="AG416" s="134">
        <f>+CATEGORIAS[[#This Row],[PRESUPUESTO
FINAL
PROYECTADO]]-CATEGORIAS[[#This Row],[COSTO REAL]]-CATEGORIAS[[#This Row],[PROYECCION
TOTAL DE COSTO]]</f>
        <v>0</v>
      </c>
    </row>
    <row r="417" spans="1:33" x14ac:dyDescent="0.25">
      <c r="A417" s="245"/>
      <c r="B417" s="245"/>
      <c r="C417" s="245"/>
      <c r="D417" s="323" t="s">
        <v>2151</v>
      </c>
      <c r="E417" s="244" t="s">
        <v>1186</v>
      </c>
      <c r="F417" s="246" t="s">
        <v>376</v>
      </c>
      <c r="G417" s="279">
        <v>0</v>
      </c>
      <c r="H417" s="279">
        <v>0</v>
      </c>
      <c r="I417" s="132">
        <v>0</v>
      </c>
      <c r="J417" s="132">
        <v>0</v>
      </c>
      <c r="K417" s="132">
        <v>0</v>
      </c>
      <c r="L417" s="144">
        <f>CATEGORIAS[[#This Row],[ADICIONALES]]+CATEGORIAS[[#This Row],[POM]]+CATEGORIAS[[#This Row],[REAJUSTE 
PAGADO]]+CATEGORIAS[[#This Row],[REAJUSTE
PROYECTADO]]</f>
        <v>0</v>
      </c>
      <c r="M417" s="133">
        <v>0</v>
      </c>
      <c r="N417" s="222">
        <v>0</v>
      </c>
      <c r="O417" s="142">
        <f>+CATEGORIAS[[#This Row],[PRODUCCION
PARTIDAS
ORIGINALES
ACTUAL]]+CATEGORIAS[[#This Row],[PRODUCCION
ADICIONALES
ACTUAL]]</f>
        <v>0</v>
      </c>
      <c r="P417" s="222">
        <v>0</v>
      </c>
      <c r="Q417" s="222">
        <v>0</v>
      </c>
      <c r="R417" s="141">
        <f>+CATEGORIAS[[#This Row],[PRODUCCION
ANTERIOR]]+CATEGORIAS[[#This Row],[PRODUCCION
ADICIONALES
ANTERIOR]]</f>
        <v>0</v>
      </c>
      <c r="S417" s="135">
        <v>0</v>
      </c>
      <c r="T417" s="135"/>
      <c r="U417" s="135">
        <v>0</v>
      </c>
      <c r="V417" s="262">
        <f>SUM(CATEGORIAS[[#This Row],[COSTO
ACUMULADO  AX]:[PROVISIONES]])</f>
        <v>0</v>
      </c>
      <c r="W417" s="264">
        <v>0</v>
      </c>
      <c r="X417" s="222"/>
      <c r="Y417" s="222">
        <v>0</v>
      </c>
      <c r="Z417" s="263">
        <f>SUM(CATEGORIAS[[#This Row],[COSTO ACUMULADO
ANTERIOR]:[PROVISIONES
ANTERIOR]])</f>
        <v>0</v>
      </c>
      <c r="AA417" s="338">
        <f>ABS(+CATEGORIAS[[#This Row],[PRESUPUESTO
FINAL
PROYECTADO]]-CATEGORIAS[[#This Row],[TOTAL PRODUCCION
ACTUAL]])</f>
        <v>0</v>
      </c>
      <c r="AB417" s="222"/>
      <c r="AC417" s="134"/>
      <c r="AD417" s="134">
        <v>0</v>
      </c>
      <c r="AE417" s="221">
        <f>SUM(CATEGORIAS[[#This Row],[INVENTARIO]:[PROYECCION
DE COSTO
DEL SALDO]])</f>
        <v>0</v>
      </c>
      <c r="AF417" s="134"/>
      <c r="AG417" s="134">
        <f>+CATEGORIAS[[#This Row],[PRESUPUESTO
FINAL
PROYECTADO]]-CATEGORIAS[[#This Row],[COSTO REAL]]-CATEGORIAS[[#This Row],[PROYECCION
TOTAL DE COSTO]]</f>
        <v>0</v>
      </c>
    </row>
    <row r="418" spans="1:33" x14ac:dyDescent="0.25">
      <c r="A418" s="245"/>
      <c r="B418" s="245"/>
      <c r="C418" s="245"/>
      <c r="D418" s="323" t="s">
        <v>2152</v>
      </c>
      <c r="E418" s="244" t="s">
        <v>1188</v>
      </c>
      <c r="F418" s="246" t="s">
        <v>376</v>
      </c>
      <c r="G418" s="279">
        <v>0</v>
      </c>
      <c r="H418" s="279">
        <v>0</v>
      </c>
      <c r="I418" s="132">
        <v>0</v>
      </c>
      <c r="J418" s="132">
        <v>0</v>
      </c>
      <c r="K418" s="132">
        <v>0</v>
      </c>
      <c r="L418" s="144">
        <f>CATEGORIAS[[#This Row],[ADICIONALES]]+CATEGORIAS[[#This Row],[POM]]+CATEGORIAS[[#This Row],[REAJUSTE 
PAGADO]]+CATEGORIAS[[#This Row],[REAJUSTE
PROYECTADO]]</f>
        <v>0</v>
      </c>
      <c r="M418" s="133">
        <v>0</v>
      </c>
      <c r="N418" s="222">
        <v>0</v>
      </c>
      <c r="O418" s="142">
        <f>+CATEGORIAS[[#This Row],[PRODUCCION
PARTIDAS
ORIGINALES
ACTUAL]]+CATEGORIAS[[#This Row],[PRODUCCION
ADICIONALES
ACTUAL]]</f>
        <v>0</v>
      </c>
      <c r="P418" s="222">
        <v>0</v>
      </c>
      <c r="Q418" s="222">
        <v>0</v>
      </c>
      <c r="R418" s="141">
        <f>+CATEGORIAS[[#This Row],[PRODUCCION
ANTERIOR]]+CATEGORIAS[[#This Row],[PRODUCCION
ADICIONALES
ANTERIOR]]</f>
        <v>0</v>
      </c>
      <c r="S418" s="135">
        <v>0</v>
      </c>
      <c r="T418" s="135"/>
      <c r="U418" s="135">
        <v>0</v>
      </c>
      <c r="V418" s="262">
        <f>SUM(CATEGORIAS[[#This Row],[COSTO
ACUMULADO  AX]:[PROVISIONES]])</f>
        <v>0</v>
      </c>
      <c r="W418" s="264">
        <v>0</v>
      </c>
      <c r="X418" s="222"/>
      <c r="Y418" s="222">
        <v>0</v>
      </c>
      <c r="Z418" s="263">
        <f>SUM(CATEGORIAS[[#This Row],[COSTO ACUMULADO
ANTERIOR]:[PROVISIONES
ANTERIOR]])</f>
        <v>0</v>
      </c>
      <c r="AA418" s="338">
        <f>ABS(+CATEGORIAS[[#This Row],[PRESUPUESTO
FINAL
PROYECTADO]]-CATEGORIAS[[#This Row],[TOTAL PRODUCCION
ACTUAL]])</f>
        <v>0</v>
      </c>
      <c r="AB418" s="222"/>
      <c r="AC418" s="134"/>
      <c r="AD418" s="134">
        <v>0</v>
      </c>
      <c r="AE418" s="221">
        <f>SUM(CATEGORIAS[[#This Row],[INVENTARIO]:[PROYECCION
DE COSTO
DEL SALDO]])</f>
        <v>0</v>
      </c>
      <c r="AF418" s="134"/>
      <c r="AG418" s="134">
        <f>+CATEGORIAS[[#This Row],[PRESUPUESTO
FINAL
PROYECTADO]]-CATEGORIAS[[#This Row],[COSTO REAL]]-CATEGORIAS[[#This Row],[PROYECCION
TOTAL DE COSTO]]</f>
        <v>0</v>
      </c>
    </row>
    <row r="419" spans="1:33" x14ac:dyDescent="0.25">
      <c r="A419" s="245"/>
      <c r="B419" s="245"/>
      <c r="C419" s="245"/>
      <c r="D419" s="323" t="s">
        <v>2153</v>
      </c>
      <c r="E419" s="244" t="s">
        <v>1190</v>
      </c>
      <c r="F419" s="246" t="s">
        <v>376</v>
      </c>
      <c r="G419" s="279">
        <v>0</v>
      </c>
      <c r="H419" s="279">
        <v>0</v>
      </c>
      <c r="I419" s="132">
        <v>0</v>
      </c>
      <c r="J419" s="132">
        <v>0</v>
      </c>
      <c r="K419" s="132">
        <v>0</v>
      </c>
      <c r="L419" s="144">
        <f>CATEGORIAS[[#This Row],[ADICIONALES]]+CATEGORIAS[[#This Row],[POM]]+CATEGORIAS[[#This Row],[REAJUSTE 
PAGADO]]+CATEGORIAS[[#This Row],[REAJUSTE
PROYECTADO]]</f>
        <v>0</v>
      </c>
      <c r="M419" s="133">
        <v>0</v>
      </c>
      <c r="N419" s="222">
        <v>0</v>
      </c>
      <c r="O419" s="142">
        <f>+CATEGORIAS[[#This Row],[PRODUCCION
PARTIDAS
ORIGINALES
ACTUAL]]+CATEGORIAS[[#This Row],[PRODUCCION
ADICIONALES
ACTUAL]]</f>
        <v>0</v>
      </c>
      <c r="P419" s="222">
        <v>0</v>
      </c>
      <c r="Q419" s="222">
        <v>0</v>
      </c>
      <c r="R419" s="141">
        <f>+CATEGORIAS[[#This Row],[PRODUCCION
ANTERIOR]]+CATEGORIAS[[#This Row],[PRODUCCION
ADICIONALES
ANTERIOR]]</f>
        <v>0</v>
      </c>
      <c r="S419" s="135">
        <v>0</v>
      </c>
      <c r="T419" s="135"/>
      <c r="U419" s="135">
        <v>0</v>
      </c>
      <c r="V419" s="262">
        <f>SUM(CATEGORIAS[[#This Row],[COSTO
ACUMULADO  AX]:[PROVISIONES]])</f>
        <v>0</v>
      </c>
      <c r="W419" s="264">
        <v>0</v>
      </c>
      <c r="X419" s="222"/>
      <c r="Y419" s="222">
        <v>0</v>
      </c>
      <c r="Z419" s="263">
        <f>SUM(CATEGORIAS[[#This Row],[COSTO ACUMULADO
ANTERIOR]:[PROVISIONES
ANTERIOR]])</f>
        <v>0</v>
      </c>
      <c r="AA419" s="338">
        <f>ABS(+CATEGORIAS[[#This Row],[PRESUPUESTO
FINAL
PROYECTADO]]-CATEGORIAS[[#This Row],[TOTAL PRODUCCION
ACTUAL]])</f>
        <v>0</v>
      </c>
      <c r="AB419" s="222"/>
      <c r="AC419" s="134"/>
      <c r="AD419" s="134">
        <v>0</v>
      </c>
      <c r="AE419" s="221">
        <f>SUM(CATEGORIAS[[#This Row],[INVENTARIO]:[PROYECCION
DE COSTO
DEL SALDO]])</f>
        <v>0</v>
      </c>
      <c r="AF419" s="134"/>
      <c r="AG419" s="134">
        <f>+CATEGORIAS[[#This Row],[PRESUPUESTO
FINAL
PROYECTADO]]-CATEGORIAS[[#This Row],[COSTO REAL]]-CATEGORIAS[[#This Row],[PROYECCION
TOTAL DE COSTO]]</f>
        <v>0</v>
      </c>
    </row>
    <row r="420" spans="1:33" x14ac:dyDescent="0.25">
      <c r="A420" s="245"/>
      <c r="B420" s="245"/>
      <c r="C420" s="245"/>
      <c r="D420" s="323" t="s">
        <v>2154</v>
      </c>
      <c r="E420" s="244" t="s">
        <v>1190</v>
      </c>
      <c r="F420" s="246" t="s">
        <v>376</v>
      </c>
      <c r="G420" s="279">
        <v>0</v>
      </c>
      <c r="H420" s="279">
        <v>0</v>
      </c>
      <c r="I420" s="132">
        <v>0</v>
      </c>
      <c r="J420" s="132">
        <v>0</v>
      </c>
      <c r="K420" s="132">
        <v>0</v>
      </c>
      <c r="L420" s="144">
        <f>CATEGORIAS[[#This Row],[ADICIONALES]]+CATEGORIAS[[#This Row],[POM]]+CATEGORIAS[[#This Row],[REAJUSTE 
PAGADO]]+CATEGORIAS[[#This Row],[REAJUSTE
PROYECTADO]]</f>
        <v>0</v>
      </c>
      <c r="M420" s="133">
        <v>0</v>
      </c>
      <c r="N420" s="222">
        <v>0</v>
      </c>
      <c r="O420" s="142">
        <f>+CATEGORIAS[[#This Row],[PRODUCCION
PARTIDAS
ORIGINALES
ACTUAL]]+CATEGORIAS[[#This Row],[PRODUCCION
ADICIONALES
ACTUAL]]</f>
        <v>0</v>
      </c>
      <c r="P420" s="222">
        <v>0</v>
      </c>
      <c r="Q420" s="134">
        <v>0</v>
      </c>
      <c r="R420" s="141">
        <f>+CATEGORIAS[[#This Row],[PRODUCCION
ANTERIOR]]+CATEGORIAS[[#This Row],[PRODUCCION
ADICIONALES
ANTERIOR]]</f>
        <v>0</v>
      </c>
      <c r="S420" s="135">
        <v>0</v>
      </c>
      <c r="T420" s="135"/>
      <c r="U420" s="135">
        <v>0</v>
      </c>
      <c r="V420" s="262">
        <f>SUM(CATEGORIAS[[#This Row],[COSTO
ACUMULADO  AX]:[PROVISIONES]])</f>
        <v>0</v>
      </c>
      <c r="W420" s="264">
        <v>0</v>
      </c>
      <c r="X420" s="222"/>
      <c r="Y420" s="222">
        <v>0</v>
      </c>
      <c r="Z420" s="263">
        <f>SUM(CATEGORIAS[[#This Row],[COSTO ACUMULADO
ANTERIOR]:[PROVISIONES
ANTERIOR]])</f>
        <v>0</v>
      </c>
      <c r="AA420" s="338">
        <f>ABS(+CATEGORIAS[[#This Row],[PRESUPUESTO
FINAL
PROYECTADO]]-CATEGORIAS[[#This Row],[TOTAL PRODUCCION
ACTUAL]])</f>
        <v>0</v>
      </c>
      <c r="AB420" s="222"/>
      <c r="AC420" s="134"/>
      <c r="AD420" s="134">
        <v>0</v>
      </c>
      <c r="AE420" s="221">
        <f>SUM(CATEGORIAS[[#This Row],[INVENTARIO]:[PROYECCION
DE COSTO
DEL SALDO]])</f>
        <v>0</v>
      </c>
      <c r="AF420" s="134"/>
      <c r="AG420" s="134">
        <f>+CATEGORIAS[[#This Row],[PRESUPUESTO
FINAL
PROYECTADO]]-CATEGORIAS[[#This Row],[COSTO REAL]]-CATEGORIAS[[#This Row],[PROYECCION
TOTAL DE COSTO]]</f>
        <v>0</v>
      </c>
    </row>
    <row r="421" spans="1:33" x14ac:dyDescent="0.25">
      <c r="A421" s="245" t="s">
        <v>136</v>
      </c>
      <c r="B421" s="245" t="s">
        <v>226</v>
      </c>
      <c r="C421" s="245" t="s">
        <v>2445</v>
      </c>
      <c r="D421" s="323" t="s">
        <v>2155</v>
      </c>
      <c r="E421" s="244" t="s">
        <v>1193</v>
      </c>
      <c r="F421" s="246" t="s">
        <v>376</v>
      </c>
      <c r="G421" s="279">
        <v>27125000</v>
      </c>
      <c r="H421" s="279">
        <v>27125000</v>
      </c>
      <c r="I421" s="132">
        <v>10149261.17315758</v>
      </c>
      <c r="J421" s="132">
        <v>956382.87465122249</v>
      </c>
      <c r="K421" s="132">
        <v>0</v>
      </c>
      <c r="L421" s="144">
        <f>CATEGORIAS[[#This Row],[ADICIONALES]]+CATEGORIAS[[#This Row],[POM]]+CATEGORIAS[[#This Row],[REAJUSTE 
PAGADO]]+CATEGORIAS[[#This Row],[REAJUSTE
PROYECTADO]]</f>
        <v>38230644.047808804</v>
      </c>
      <c r="M421" s="133">
        <v>28076058.220572546</v>
      </c>
      <c r="N421" s="222">
        <v>10154585.827236257</v>
      </c>
      <c r="O421" s="142">
        <f>+CATEGORIAS[[#This Row],[PRODUCCION
PARTIDAS
ORIGINALES
ACTUAL]]+CATEGORIAS[[#This Row],[PRODUCCION
ADICIONALES
ACTUAL]]</f>
        <v>38230644.047808804</v>
      </c>
      <c r="P421" s="222">
        <v>28076058.220572546</v>
      </c>
      <c r="Q421" s="222">
        <v>10149261.17315758</v>
      </c>
      <c r="R421" s="141">
        <f>+CATEGORIAS[[#This Row],[PRODUCCION
ANTERIOR]]+CATEGORIAS[[#This Row],[PRODUCCION
ADICIONALES
ANTERIOR]]</f>
        <v>38225319.393730126</v>
      </c>
      <c r="S421" s="135">
        <v>17391957</v>
      </c>
      <c r="T421" s="135"/>
      <c r="U421" s="135">
        <v>8064635</v>
      </c>
      <c r="V421" s="262">
        <f>SUM(CATEGORIAS[[#This Row],[COSTO
ACUMULADO  AX]:[PROVISIONES]])</f>
        <v>25456592</v>
      </c>
      <c r="W421" s="264">
        <v>17391957</v>
      </c>
      <c r="X421" s="222"/>
      <c r="Y421" s="222">
        <v>8500000</v>
      </c>
      <c r="Z421" s="263">
        <f>SUM(CATEGORIAS[[#This Row],[COSTO ACUMULADO
ANTERIOR]:[PROVISIONES
ANTERIOR]])</f>
        <v>25891957</v>
      </c>
      <c r="AA421" s="338">
        <f>ABS(+CATEGORIAS[[#This Row],[PRESUPUESTO
FINAL
PROYECTADO]]-CATEGORIAS[[#This Row],[TOTAL PRODUCCION
ACTUAL]])</f>
        <v>0</v>
      </c>
      <c r="AB421" s="222"/>
      <c r="AC421" s="134"/>
      <c r="AD421" s="134">
        <v>0</v>
      </c>
      <c r="AE421" s="221">
        <f>SUM(CATEGORIAS[[#This Row],[INVENTARIO]:[PROYECCION
DE COSTO
DEL SALDO]])</f>
        <v>0</v>
      </c>
      <c r="AF421" s="134"/>
      <c r="AG421" s="134">
        <f>+CATEGORIAS[[#This Row],[PRESUPUESTO
FINAL
PROYECTADO]]-CATEGORIAS[[#This Row],[COSTO REAL]]-CATEGORIAS[[#This Row],[PROYECCION
TOTAL DE COSTO]]</f>
        <v>12774052.047808804</v>
      </c>
    </row>
    <row r="422" spans="1:33" x14ac:dyDescent="0.25">
      <c r="A422" s="245"/>
      <c r="B422" s="245"/>
      <c r="C422" s="245"/>
      <c r="D422" s="323" t="s">
        <v>2156</v>
      </c>
      <c r="E422" s="244" t="s">
        <v>1195</v>
      </c>
      <c r="F422" s="246" t="s">
        <v>376</v>
      </c>
      <c r="G422" s="279">
        <v>0</v>
      </c>
      <c r="H422" s="279">
        <v>0</v>
      </c>
      <c r="I422" s="132">
        <v>0</v>
      </c>
      <c r="J422" s="132">
        <v>0</v>
      </c>
      <c r="K422" s="132">
        <v>0</v>
      </c>
      <c r="L422" s="144">
        <f>CATEGORIAS[[#This Row],[ADICIONALES]]+CATEGORIAS[[#This Row],[POM]]+CATEGORIAS[[#This Row],[REAJUSTE 
PAGADO]]+CATEGORIAS[[#This Row],[REAJUSTE
PROYECTADO]]</f>
        <v>0</v>
      </c>
      <c r="M422" s="133">
        <v>0</v>
      </c>
      <c r="N422" s="222">
        <v>0</v>
      </c>
      <c r="O422" s="142">
        <f>+CATEGORIAS[[#This Row],[PRODUCCION
PARTIDAS
ORIGINALES
ACTUAL]]+CATEGORIAS[[#This Row],[PRODUCCION
ADICIONALES
ACTUAL]]</f>
        <v>0</v>
      </c>
      <c r="P422" s="222">
        <v>0</v>
      </c>
      <c r="Q422" s="134">
        <v>0</v>
      </c>
      <c r="R422" s="141">
        <f>+CATEGORIAS[[#This Row],[PRODUCCION
ANTERIOR]]+CATEGORIAS[[#This Row],[PRODUCCION
ADICIONALES
ANTERIOR]]</f>
        <v>0</v>
      </c>
      <c r="S422" s="135">
        <v>0</v>
      </c>
      <c r="T422" s="135"/>
      <c r="U422" s="135">
        <v>0</v>
      </c>
      <c r="V422" s="262">
        <f>SUM(CATEGORIAS[[#This Row],[COSTO
ACUMULADO  AX]:[PROVISIONES]])</f>
        <v>0</v>
      </c>
      <c r="W422" s="264">
        <v>0</v>
      </c>
      <c r="X422" s="222"/>
      <c r="Y422" s="222">
        <v>0</v>
      </c>
      <c r="Z422" s="263">
        <f>SUM(CATEGORIAS[[#This Row],[COSTO ACUMULADO
ANTERIOR]:[PROVISIONES
ANTERIOR]])</f>
        <v>0</v>
      </c>
      <c r="AA422" s="338">
        <f>ABS(+CATEGORIAS[[#This Row],[PRESUPUESTO
FINAL
PROYECTADO]]-CATEGORIAS[[#This Row],[TOTAL PRODUCCION
ACTUAL]])</f>
        <v>0</v>
      </c>
      <c r="AB422" s="222"/>
      <c r="AC422" s="134"/>
      <c r="AD422" s="134">
        <v>0</v>
      </c>
      <c r="AE422" s="221">
        <f>SUM(CATEGORIAS[[#This Row],[INVENTARIO]:[PROYECCION
DE COSTO
DEL SALDO]])</f>
        <v>0</v>
      </c>
      <c r="AF422" s="134"/>
      <c r="AG422" s="134">
        <f>+CATEGORIAS[[#This Row],[PRESUPUESTO
FINAL
PROYECTADO]]-CATEGORIAS[[#This Row],[COSTO REAL]]-CATEGORIAS[[#This Row],[PROYECCION
TOTAL DE COSTO]]</f>
        <v>0</v>
      </c>
    </row>
    <row r="423" spans="1:33" x14ac:dyDescent="0.25">
      <c r="A423" s="245"/>
      <c r="B423" s="245"/>
      <c r="C423" s="245"/>
      <c r="D423" s="323" t="s">
        <v>2350</v>
      </c>
      <c r="E423" s="244" t="s">
        <v>2351</v>
      </c>
      <c r="F423" s="246" t="s">
        <v>376</v>
      </c>
      <c r="G423" s="279">
        <v>0</v>
      </c>
      <c r="H423" s="279">
        <v>0</v>
      </c>
      <c r="I423" s="132">
        <v>0</v>
      </c>
      <c r="J423" s="132">
        <v>0</v>
      </c>
      <c r="K423" s="132">
        <v>0</v>
      </c>
      <c r="L423" s="144">
        <f>CATEGORIAS[[#This Row],[ADICIONALES]]+CATEGORIAS[[#This Row],[POM]]+CATEGORIAS[[#This Row],[REAJUSTE 
PAGADO]]+CATEGORIAS[[#This Row],[REAJUSTE
PROYECTADO]]</f>
        <v>0</v>
      </c>
      <c r="M423" s="133">
        <v>0</v>
      </c>
      <c r="N423" s="222">
        <v>0</v>
      </c>
      <c r="O423" s="142">
        <f>+CATEGORIAS[[#This Row],[PRODUCCION
PARTIDAS
ORIGINALES
ACTUAL]]+CATEGORIAS[[#This Row],[PRODUCCION
ADICIONALES
ACTUAL]]</f>
        <v>0</v>
      </c>
      <c r="P423" s="222">
        <v>0</v>
      </c>
      <c r="Q423" s="222">
        <v>0</v>
      </c>
      <c r="R423" s="141">
        <f>+CATEGORIAS[[#This Row],[PRODUCCION
ANTERIOR]]+CATEGORIAS[[#This Row],[PRODUCCION
ADICIONALES
ANTERIOR]]</f>
        <v>0</v>
      </c>
      <c r="S423" s="135">
        <v>0</v>
      </c>
      <c r="T423" s="135"/>
      <c r="U423" s="135">
        <v>0</v>
      </c>
      <c r="V423" s="262">
        <f>SUM(CATEGORIAS[[#This Row],[COSTO
ACUMULADO  AX]:[PROVISIONES]])</f>
        <v>0</v>
      </c>
      <c r="W423" s="264">
        <v>0</v>
      </c>
      <c r="X423" s="222"/>
      <c r="Y423" s="222">
        <v>0</v>
      </c>
      <c r="Z423" s="263">
        <f>SUM(CATEGORIAS[[#This Row],[COSTO ACUMULADO
ANTERIOR]:[PROVISIONES
ANTERIOR]])</f>
        <v>0</v>
      </c>
      <c r="AA423" s="338">
        <f>ABS(+CATEGORIAS[[#This Row],[PRESUPUESTO
FINAL
PROYECTADO]]-CATEGORIAS[[#This Row],[TOTAL PRODUCCION
ACTUAL]])</f>
        <v>0</v>
      </c>
      <c r="AB423" s="222"/>
      <c r="AC423" s="134"/>
      <c r="AD423" s="134">
        <v>0</v>
      </c>
      <c r="AE423" s="221">
        <f>SUM(CATEGORIAS[[#This Row],[INVENTARIO]:[PROYECCION
DE COSTO
DEL SALDO]])</f>
        <v>0</v>
      </c>
      <c r="AF423" s="134"/>
      <c r="AG423" s="134">
        <f>+CATEGORIAS[[#This Row],[PRESUPUESTO
FINAL
PROYECTADO]]-CATEGORIAS[[#This Row],[COSTO REAL]]-CATEGORIAS[[#This Row],[PROYECCION
TOTAL DE COSTO]]</f>
        <v>0</v>
      </c>
    </row>
    <row r="424" spans="1:33" x14ac:dyDescent="0.25">
      <c r="A424" s="245"/>
      <c r="B424" s="245"/>
      <c r="C424" s="245"/>
      <c r="D424" s="323" t="s">
        <v>2352</v>
      </c>
      <c r="E424" s="244" t="s">
        <v>2353</v>
      </c>
      <c r="F424" s="246" t="s">
        <v>376</v>
      </c>
      <c r="G424" s="279">
        <v>0</v>
      </c>
      <c r="H424" s="279">
        <v>0</v>
      </c>
      <c r="I424" s="132">
        <v>0</v>
      </c>
      <c r="J424" s="132">
        <v>0</v>
      </c>
      <c r="K424" s="132">
        <v>0</v>
      </c>
      <c r="L424" s="144">
        <f>CATEGORIAS[[#This Row],[ADICIONALES]]+CATEGORIAS[[#This Row],[POM]]+CATEGORIAS[[#This Row],[REAJUSTE 
PAGADO]]+CATEGORIAS[[#This Row],[REAJUSTE
PROYECTADO]]</f>
        <v>0</v>
      </c>
      <c r="M424" s="133">
        <v>0</v>
      </c>
      <c r="N424" s="222">
        <v>0</v>
      </c>
      <c r="O424" s="142">
        <f>+CATEGORIAS[[#This Row],[PRODUCCION
PARTIDAS
ORIGINALES
ACTUAL]]+CATEGORIAS[[#This Row],[PRODUCCION
ADICIONALES
ACTUAL]]</f>
        <v>0</v>
      </c>
      <c r="P424" s="222">
        <v>0</v>
      </c>
      <c r="Q424" s="134">
        <v>0</v>
      </c>
      <c r="R424" s="141">
        <f>+CATEGORIAS[[#This Row],[PRODUCCION
ANTERIOR]]+CATEGORIAS[[#This Row],[PRODUCCION
ADICIONALES
ANTERIOR]]</f>
        <v>0</v>
      </c>
      <c r="S424" s="135">
        <v>0</v>
      </c>
      <c r="T424" s="135"/>
      <c r="U424" s="135">
        <v>0</v>
      </c>
      <c r="V424" s="262">
        <f>SUM(CATEGORIAS[[#This Row],[COSTO
ACUMULADO  AX]:[PROVISIONES]])</f>
        <v>0</v>
      </c>
      <c r="W424" s="264">
        <v>0</v>
      </c>
      <c r="X424" s="222"/>
      <c r="Y424" s="222">
        <v>0</v>
      </c>
      <c r="Z424" s="263">
        <f>SUM(CATEGORIAS[[#This Row],[COSTO ACUMULADO
ANTERIOR]:[PROVISIONES
ANTERIOR]])</f>
        <v>0</v>
      </c>
      <c r="AA424" s="338">
        <f>ABS(+CATEGORIAS[[#This Row],[PRESUPUESTO
FINAL
PROYECTADO]]-CATEGORIAS[[#This Row],[TOTAL PRODUCCION
ACTUAL]])</f>
        <v>0</v>
      </c>
      <c r="AB424" s="222"/>
      <c r="AC424" s="134"/>
      <c r="AD424" s="134">
        <v>0</v>
      </c>
      <c r="AE424" s="221">
        <f>SUM(CATEGORIAS[[#This Row],[INVENTARIO]:[PROYECCION
DE COSTO
DEL SALDO]])</f>
        <v>0</v>
      </c>
      <c r="AF424" s="134"/>
      <c r="AG424" s="134">
        <f>+CATEGORIAS[[#This Row],[PRESUPUESTO
FINAL
PROYECTADO]]-CATEGORIAS[[#This Row],[COSTO REAL]]-CATEGORIAS[[#This Row],[PROYECCION
TOTAL DE COSTO]]</f>
        <v>0</v>
      </c>
    </row>
    <row r="425" spans="1:33" x14ac:dyDescent="0.25">
      <c r="A425" s="245"/>
      <c r="B425" s="245"/>
      <c r="C425" s="245"/>
      <c r="D425" s="323" t="s">
        <v>2354</v>
      </c>
      <c r="E425" s="244" t="s">
        <v>2355</v>
      </c>
      <c r="F425" s="246" t="s">
        <v>376</v>
      </c>
      <c r="G425" s="279">
        <v>0</v>
      </c>
      <c r="H425" s="279">
        <v>0</v>
      </c>
      <c r="I425" s="132">
        <v>0</v>
      </c>
      <c r="J425" s="132">
        <v>0</v>
      </c>
      <c r="K425" s="132">
        <v>0</v>
      </c>
      <c r="L425" s="144">
        <f>CATEGORIAS[[#This Row],[ADICIONALES]]+CATEGORIAS[[#This Row],[POM]]+CATEGORIAS[[#This Row],[REAJUSTE 
PAGADO]]+CATEGORIAS[[#This Row],[REAJUSTE
PROYECTADO]]</f>
        <v>0</v>
      </c>
      <c r="M425" s="133">
        <v>0</v>
      </c>
      <c r="N425" s="222">
        <v>0</v>
      </c>
      <c r="O425" s="142">
        <f>+CATEGORIAS[[#This Row],[PRODUCCION
PARTIDAS
ORIGINALES
ACTUAL]]+CATEGORIAS[[#This Row],[PRODUCCION
ADICIONALES
ACTUAL]]</f>
        <v>0</v>
      </c>
      <c r="P425" s="222">
        <v>0</v>
      </c>
      <c r="Q425" s="222">
        <v>0</v>
      </c>
      <c r="R425" s="141">
        <f>+CATEGORIAS[[#This Row],[PRODUCCION
ANTERIOR]]+CATEGORIAS[[#This Row],[PRODUCCION
ADICIONALES
ANTERIOR]]</f>
        <v>0</v>
      </c>
      <c r="S425" s="135">
        <v>0</v>
      </c>
      <c r="T425" s="135"/>
      <c r="U425" s="135">
        <v>0</v>
      </c>
      <c r="V425" s="262">
        <f>SUM(CATEGORIAS[[#This Row],[COSTO
ACUMULADO  AX]:[PROVISIONES]])</f>
        <v>0</v>
      </c>
      <c r="W425" s="264">
        <v>0</v>
      </c>
      <c r="X425" s="222"/>
      <c r="Y425" s="222">
        <v>0</v>
      </c>
      <c r="Z425" s="263">
        <f>SUM(CATEGORIAS[[#This Row],[COSTO ACUMULADO
ANTERIOR]:[PROVISIONES
ANTERIOR]])</f>
        <v>0</v>
      </c>
      <c r="AA425" s="338">
        <f>ABS(+CATEGORIAS[[#This Row],[PRESUPUESTO
FINAL
PROYECTADO]]-CATEGORIAS[[#This Row],[TOTAL PRODUCCION
ACTUAL]])</f>
        <v>0</v>
      </c>
      <c r="AB425" s="222"/>
      <c r="AC425" s="134"/>
      <c r="AD425" s="134">
        <v>0</v>
      </c>
      <c r="AE425" s="221">
        <f>SUM(CATEGORIAS[[#This Row],[INVENTARIO]:[PROYECCION
DE COSTO
DEL SALDO]])</f>
        <v>0</v>
      </c>
      <c r="AF425" s="134"/>
      <c r="AG425" s="134">
        <f>+CATEGORIAS[[#This Row],[PRESUPUESTO
FINAL
PROYECTADO]]-CATEGORIAS[[#This Row],[COSTO REAL]]-CATEGORIAS[[#This Row],[PROYECCION
TOTAL DE COSTO]]</f>
        <v>0</v>
      </c>
    </row>
    <row r="426" spans="1:33" x14ac:dyDescent="0.25">
      <c r="A426" s="245" t="s">
        <v>89</v>
      </c>
      <c r="B426" s="245" t="s">
        <v>37</v>
      </c>
      <c r="C426" s="245" t="s">
        <v>2391</v>
      </c>
      <c r="D426" s="323" t="s">
        <v>2157</v>
      </c>
      <c r="E426" s="244" t="s">
        <v>1198</v>
      </c>
      <c r="F426" s="246" t="s">
        <v>379</v>
      </c>
      <c r="G426" s="279">
        <v>49460193.317142844</v>
      </c>
      <c r="H426" s="279">
        <v>42455693.837142862</v>
      </c>
      <c r="I426" s="132">
        <v>14626479.92797723</v>
      </c>
      <c r="J426" s="132">
        <v>1496917.9176877008</v>
      </c>
      <c r="K426" s="132">
        <v>0</v>
      </c>
      <c r="L426" s="144">
        <f>CATEGORIAS[[#This Row],[ADICIONALES]]+CATEGORIAS[[#This Row],[POM]]+CATEGORIAS[[#This Row],[REAJUSTE 
PAGADO]]+CATEGORIAS[[#This Row],[REAJUSTE
PROYECTADO]]</f>
        <v>58579091.682807788</v>
      </c>
      <c r="M426" s="133">
        <v>43944277.676181607</v>
      </c>
      <c r="N426" s="222">
        <v>14634814.006626185</v>
      </c>
      <c r="O426" s="142">
        <f>+CATEGORIAS[[#This Row],[PRODUCCION
PARTIDAS
ORIGINALES
ACTUAL]]+CATEGORIAS[[#This Row],[PRODUCCION
ADICIONALES
ACTUAL]]</f>
        <v>58579091.682807788</v>
      </c>
      <c r="P426" s="222">
        <v>43944277.676181607</v>
      </c>
      <c r="Q426" s="134">
        <v>14626479.92797723</v>
      </c>
      <c r="R426" s="141">
        <f>+CATEGORIAS[[#This Row],[PRODUCCION
ANTERIOR]]+CATEGORIAS[[#This Row],[PRODUCCION
ADICIONALES
ANTERIOR]]</f>
        <v>58570757.604158834</v>
      </c>
      <c r="S426" s="135">
        <v>65116448</v>
      </c>
      <c r="T426" s="135"/>
      <c r="U426" s="135">
        <v>0</v>
      </c>
      <c r="V426" s="262">
        <f>SUM(CATEGORIAS[[#This Row],[COSTO
ACUMULADO  AX]:[PROVISIONES]])</f>
        <v>65116448</v>
      </c>
      <c r="W426" s="264">
        <v>60103842</v>
      </c>
      <c r="X426" s="222"/>
      <c r="Y426" s="222">
        <v>12619379</v>
      </c>
      <c r="Z426" s="263">
        <f>SUM(CATEGORIAS[[#This Row],[COSTO ACUMULADO
ANTERIOR]:[PROVISIONES
ANTERIOR]])</f>
        <v>72723221</v>
      </c>
      <c r="AA426" s="338">
        <f>ABS(+CATEGORIAS[[#This Row],[PRESUPUESTO
FINAL
PROYECTADO]]-CATEGORIAS[[#This Row],[TOTAL PRODUCCION
ACTUAL]])</f>
        <v>0</v>
      </c>
      <c r="AB426" s="222"/>
      <c r="AC426" s="134"/>
      <c r="AD426" s="134">
        <v>0</v>
      </c>
      <c r="AE426" s="221">
        <f>SUM(CATEGORIAS[[#This Row],[INVENTARIO]:[PROYECCION
DE COSTO
DEL SALDO]])</f>
        <v>0</v>
      </c>
      <c r="AF426" s="134"/>
      <c r="AG426" s="134">
        <f>+CATEGORIAS[[#This Row],[PRESUPUESTO
FINAL
PROYECTADO]]-CATEGORIAS[[#This Row],[COSTO REAL]]-CATEGORIAS[[#This Row],[PROYECCION
TOTAL DE COSTO]]</f>
        <v>-6537356.3171922117</v>
      </c>
    </row>
    <row r="427" spans="1:33" x14ac:dyDescent="0.25">
      <c r="A427" s="245"/>
      <c r="B427" s="245"/>
      <c r="C427" s="245"/>
      <c r="D427" s="323" t="s">
        <v>2158</v>
      </c>
      <c r="E427" s="244" t="s">
        <v>1200</v>
      </c>
      <c r="F427" s="246" t="s">
        <v>376</v>
      </c>
      <c r="G427" s="279">
        <v>0</v>
      </c>
      <c r="H427" s="279">
        <v>0</v>
      </c>
      <c r="I427" s="132">
        <v>0</v>
      </c>
      <c r="J427" s="132">
        <v>0</v>
      </c>
      <c r="K427" s="132">
        <v>0</v>
      </c>
      <c r="L427" s="144">
        <f>CATEGORIAS[[#This Row],[ADICIONALES]]+CATEGORIAS[[#This Row],[POM]]+CATEGORIAS[[#This Row],[REAJUSTE 
PAGADO]]+CATEGORIAS[[#This Row],[REAJUSTE
PROYECTADO]]</f>
        <v>0</v>
      </c>
      <c r="M427" s="133">
        <v>0</v>
      </c>
      <c r="N427" s="222">
        <v>0</v>
      </c>
      <c r="O427" s="142">
        <f>+CATEGORIAS[[#This Row],[PRODUCCION
PARTIDAS
ORIGINALES
ACTUAL]]+CATEGORIAS[[#This Row],[PRODUCCION
ADICIONALES
ACTUAL]]</f>
        <v>0</v>
      </c>
      <c r="P427" s="222">
        <v>0</v>
      </c>
      <c r="Q427" s="134">
        <v>0</v>
      </c>
      <c r="R427" s="141">
        <f>+CATEGORIAS[[#This Row],[PRODUCCION
ANTERIOR]]+CATEGORIAS[[#This Row],[PRODUCCION
ADICIONALES
ANTERIOR]]</f>
        <v>0</v>
      </c>
      <c r="S427" s="135">
        <v>0</v>
      </c>
      <c r="T427" s="135"/>
      <c r="U427" s="135">
        <v>0</v>
      </c>
      <c r="V427" s="262">
        <f>SUM(CATEGORIAS[[#This Row],[COSTO
ACUMULADO  AX]:[PROVISIONES]])</f>
        <v>0</v>
      </c>
      <c r="W427" s="264">
        <v>0</v>
      </c>
      <c r="X427" s="222"/>
      <c r="Y427" s="222">
        <v>0</v>
      </c>
      <c r="Z427" s="263">
        <f>SUM(CATEGORIAS[[#This Row],[COSTO ACUMULADO
ANTERIOR]:[PROVISIONES
ANTERIOR]])</f>
        <v>0</v>
      </c>
      <c r="AA427" s="338">
        <f>ABS(+CATEGORIAS[[#This Row],[PRESUPUESTO
FINAL
PROYECTADO]]-CATEGORIAS[[#This Row],[TOTAL PRODUCCION
ACTUAL]])</f>
        <v>0</v>
      </c>
      <c r="AB427" s="222"/>
      <c r="AC427" s="134"/>
      <c r="AD427" s="134">
        <v>0</v>
      </c>
      <c r="AE427" s="221">
        <f>SUM(CATEGORIAS[[#This Row],[INVENTARIO]:[PROYECCION
DE COSTO
DEL SALDO]])</f>
        <v>0</v>
      </c>
      <c r="AF427" s="134"/>
      <c r="AG427" s="134">
        <f>+CATEGORIAS[[#This Row],[PRESUPUESTO
FINAL
PROYECTADO]]-CATEGORIAS[[#This Row],[COSTO REAL]]-CATEGORIAS[[#This Row],[PROYECCION
TOTAL DE COSTO]]</f>
        <v>0</v>
      </c>
    </row>
    <row r="428" spans="1:33" x14ac:dyDescent="0.25">
      <c r="A428" s="245"/>
      <c r="B428" s="245"/>
      <c r="C428" s="245"/>
      <c r="D428" s="323" t="s">
        <v>2159</v>
      </c>
      <c r="E428" s="244" t="s">
        <v>1202</v>
      </c>
      <c r="F428" s="246" t="s">
        <v>376</v>
      </c>
      <c r="G428" s="279">
        <v>0</v>
      </c>
      <c r="H428" s="279">
        <v>0</v>
      </c>
      <c r="I428" s="132">
        <v>0</v>
      </c>
      <c r="J428" s="132">
        <v>0</v>
      </c>
      <c r="K428" s="132">
        <v>0</v>
      </c>
      <c r="L428" s="144">
        <f>CATEGORIAS[[#This Row],[ADICIONALES]]+CATEGORIAS[[#This Row],[POM]]+CATEGORIAS[[#This Row],[REAJUSTE 
PAGADO]]+CATEGORIAS[[#This Row],[REAJUSTE
PROYECTADO]]</f>
        <v>0</v>
      </c>
      <c r="M428" s="133">
        <v>0</v>
      </c>
      <c r="N428" s="222">
        <v>0</v>
      </c>
      <c r="O428" s="142">
        <f>+CATEGORIAS[[#This Row],[PRODUCCION
PARTIDAS
ORIGINALES
ACTUAL]]+CATEGORIAS[[#This Row],[PRODUCCION
ADICIONALES
ACTUAL]]</f>
        <v>0</v>
      </c>
      <c r="P428" s="222">
        <v>0</v>
      </c>
      <c r="Q428" s="222">
        <v>0</v>
      </c>
      <c r="R428" s="141">
        <f>+CATEGORIAS[[#This Row],[PRODUCCION
ANTERIOR]]+CATEGORIAS[[#This Row],[PRODUCCION
ADICIONALES
ANTERIOR]]</f>
        <v>0</v>
      </c>
      <c r="S428" s="135">
        <v>0</v>
      </c>
      <c r="T428" s="135"/>
      <c r="U428" s="135">
        <v>0</v>
      </c>
      <c r="V428" s="262">
        <f>SUM(CATEGORIAS[[#This Row],[COSTO
ACUMULADO  AX]:[PROVISIONES]])</f>
        <v>0</v>
      </c>
      <c r="W428" s="264">
        <v>0</v>
      </c>
      <c r="X428" s="222"/>
      <c r="Y428" s="222">
        <v>0</v>
      </c>
      <c r="Z428" s="263">
        <f>SUM(CATEGORIAS[[#This Row],[COSTO ACUMULADO
ANTERIOR]:[PROVISIONES
ANTERIOR]])</f>
        <v>0</v>
      </c>
      <c r="AA428" s="338">
        <f>ABS(+CATEGORIAS[[#This Row],[PRESUPUESTO
FINAL
PROYECTADO]]-CATEGORIAS[[#This Row],[TOTAL PRODUCCION
ACTUAL]])</f>
        <v>0</v>
      </c>
      <c r="AB428" s="222"/>
      <c r="AC428" s="134"/>
      <c r="AD428" s="134">
        <v>0</v>
      </c>
      <c r="AE428" s="221">
        <f>SUM(CATEGORIAS[[#This Row],[INVENTARIO]:[PROYECCION
DE COSTO
DEL SALDO]])</f>
        <v>0</v>
      </c>
      <c r="AF428" s="134"/>
      <c r="AG428" s="134">
        <f>+CATEGORIAS[[#This Row],[PRESUPUESTO
FINAL
PROYECTADO]]-CATEGORIAS[[#This Row],[COSTO REAL]]-CATEGORIAS[[#This Row],[PROYECCION
TOTAL DE COSTO]]</f>
        <v>0</v>
      </c>
    </row>
    <row r="429" spans="1:33" x14ac:dyDescent="0.25">
      <c r="A429" s="245"/>
      <c r="B429" s="245"/>
      <c r="C429" s="245"/>
      <c r="D429" s="323" t="s">
        <v>2160</v>
      </c>
      <c r="E429" s="244" t="s">
        <v>1202</v>
      </c>
      <c r="F429" s="246" t="s">
        <v>376</v>
      </c>
      <c r="G429" s="279">
        <v>0</v>
      </c>
      <c r="H429" s="279">
        <v>0</v>
      </c>
      <c r="I429" s="132">
        <v>0</v>
      </c>
      <c r="J429" s="132">
        <v>0</v>
      </c>
      <c r="K429" s="132">
        <v>0</v>
      </c>
      <c r="L429" s="144">
        <f>CATEGORIAS[[#This Row],[ADICIONALES]]+CATEGORIAS[[#This Row],[POM]]+CATEGORIAS[[#This Row],[REAJUSTE 
PAGADO]]+CATEGORIAS[[#This Row],[REAJUSTE
PROYECTADO]]</f>
        <v>0</v>
      </c>
      <c r="M429" s="133">
        <v>0</v>
      </c>
      <c r="N429" s="222">
        <v>0</v>
      </c>
      <c r="O429" s="142">
        <f>+CATEGORIAS[[#This Row],[PRODUCCION
PARTIDAS
ORIGINALES
ACTUAL]]+CATEGORIAS[[#This Row],[PRODUCCION
ADICIONALES
ACTUAL]]</f>
        <v>0</v>
      </c>
      <c r="P429" s="222">
        <v>0</v>
      </c>
      <c r="Q429" s="222">
        <v>0</v>
      </c>
      <c r="R429" s="141">
        <f>+CATEGORIAS[[#This Row],[PRODUCCION
ANTERIOR]]+CATEGORIAS[[#This Row],[PRODUCCION
ADICIONALES
ANTERIOR]]</f>
        <v>0</v>
      </c>
      <c r="S429" s="135">
        <v>0</v>
      </c>
      <c r="T429" s="135"/>
      <c r="U429" s="135">
        <v>0</v>
      </c>
      <c r="V429" s="262">
        <f>SUM(CATEGORIAS[[#This Row],[COSTO
ACUMULADO  AX]:[PROVISIONES]])</f>
        <v>0</v>
      </c>
      <c r="W429" s="264">
        <v>0</v>
      </c>
      <c r="X429" s="222"/>
      <c r="Y429" s="222">
        <v>0</v>
      </c>
      <c r="Z429" s="263">
        <f>SUM(CATEGORIAS[[#This Row],[COSTO ACUMULADO
ANTERIOR]:[PROVISIONES
ANTERIOR]])</f>
        <v>0</v>
      </c>
      <c r="AA429" s="338">
        <f>ABS(+CATEGORIAS[[#This Row],[PRESUPUESTO
FINAL
PROYECTADO]]-CATEGORIAS[[#This Row],[TOTAL PRODUCCION
ACTUAL]])</f>
        <v>0</v>
      </c>
      <c r="AB429" s="222"/>
      <c r="AC429" s="134"/>
      <c r="AD429" s="134">
        <v>0</v>
      </c>
      <c r="AE429" s="221">
        <f>SUM(CATEGORIAS[[#This Row],[INVENTARIO]:[PROYECCION
DE COSTO
DEL SALDO]])</f>
        <v>0</v>
      </c>
      <c r="AF429" s="134"/>
      <c r="AG429" s="134">
        <f>+CATEGORIAS[[#This Row],[PRESUPUESTO
FINAL
PROYECTADO]]-CATEGORIAS[[#This Row],[COSTO REAL]]-CATEGORIAS[[#This Row],[PROYECCION
TOTAL DE COSTO]]</f>
        <v>0</v>
      </c>
    </row>
    <row r="430" spans="1:33" x14ac:dyDescent="0.25">
      <c r="A430" s="245" t="s">
        <v>91</v>
      </c>
      <c r="B430" s="245" t="s">
        <v>38</v>
      </c>
      <c r="C430" s="245" t="s">
        <v>2393</v>
      </c>
      <c r="D430" s="323" t="s">
        <v>2161</v>
      </c>
      <c r="E430" s="244" t="s">
        <v>1205</v>
      </c>
      <c r="F430" s="246" t="s">
        <v>379</v>
      </c>
      <c r="G430" s="279">
        <v>12103994.75785714</v>
      </c>
      <c r="H430" s="279">
        <v>10352869.887857145</v>
      </c>
      <c r="I430" s="132">
        <v>2903157.1876651696</v>
      </c>
      <c r="J430" s="132">
        <v>365025.15997194086</v>
      </c>
      <c r="K430" s="132">
        <v>0</v>
      </c>
      <c r="L430" s="144">
        <f>CATEGORIAS[[#This Row],[ADICIONALES]]+CATEGORIAS[[#This Row],[POM]]+CATEGORIAS[[#This Row],[REAJUSTE 
PAGADO]]+CATEGORIAS[[#This Row],[REAJUSTE
PROYECTADO]]</f>
        <v>13621052.235494256</v>
      </c>
      <c r="M430" s="133">
        <v>10715862.773142474</v>
      </c>
      <c r="N430" s="222">
        <v>2905189.4623517818</v>
      </c>
      <c r="O430" s="142">
        <f>+CATEGORIAS[[#This Row],[PRODUCCION
PARTIDAS
ORIGINALES
ACTUAL]]+CATEGORIAS[[#This Row],[PRODUCCION
ADICIONALES
ACTUAL]]</f>
        <v>13621052.235494256</v>
      </c>
      <c r="P430" s="222">
        <v>10715862.773142474</v>
      </c>
      <c r="Q430" s="134">
        <v>2903157.1876651696</v>
      </c>
      <c r="R430" s="141">
        <f>+CATEGORIAS[[#This Row],[PRODUCCION
ANTERIOR]]+CATEGORIAS[[#This Row],[PRODUCCION
ADICIONALES
ANTERIOR]]</f>
        <v>13619019.960807644</v>
      </c>
      <c r="S430" s="135">
        <v>19527807.213078432</v>
      </c>
      <c r="T430" s="135"/>
      <c r="U430" s="135">
        <v>0</v>
      </c>
      <c r="V430" s="262">
        <f>SUM(CATEGORIAS[[#This Row],[COSTO
ACUMULADO  AX]:[PROVISIONES]])</f>
        <v>19527807.213078432</v>
      </c>
      <c r="W430" s="264">
        <v>13947035.213078432</v>
      </c>
      <c r="X430" s="222"/>
      <c r="Y430" s="222">
        <v>10645256</v>
      </c>
      <c r="Z430" s="263">
        <f>SUM(CATEGORIAS[[#This Row],[COSTO ACUMULADO
ANTERIOR]:[PROVISIONES
ANTERIOR]])</f>
        <v>24592291.213078432</v>
      </c>
      <c r="AA430" s="338">
        <f>ABS(+CATEGORIAS[[#This Row],[PRESUPUESTO
FINAL
PROYECTADO]]-CATEGORIAS[[#This Row],[TOTAL PRODUCCION
ACTUAL]])</f>
        <v>0</v>
      </c>
      <c r="AB430" s="222"/>
      <c r="AC430" s="134"/>
      <c r="AD430" s="134">
        <v>0</v>
      </c>
      <c r="AE430" s="221">
        <f>SUM(CATEGORIAS[[#This Row],[INVENTARIO]:[PROYECCION
DE COSTO
DEL SALDO]])</f>
        <v>0</v>
      </c>
      <c r="AF430" s="134"/>
      <c r="AG430" s="134">
        <f>+CATEGORIAS[[#This Row],[PRESUPUESTO
FINAL
PROYECTADO]]-CATEGORIAS[[#This Row],[COSTO REAL]]-CATEGORIAS[[#This Row],[PROYECCION
TOTAL DE COSTO]]</f>
        <v>-5906754.9775841758</v>
      </c>
    </row>
    <row r="431" spans="1:33" x14ac:dyDescent="0.25">
      <c r="A431" s="245"/>
      <c r="B431" s="245"/>
      <c r="C431" s="245"/>
      <c r="D431" s="323" t="s">
        <v>2162</v>
      </c>
      <c r="E431" s="244" t="s">
        <v>1207</v>
      </c>
      <c r="F431" s="246" t="s">
        <v>376</v>
      </c>
      <c r="G431" s="279">
        <v>0</v>
      </c>
      <c r="H431" s="279">
        <v>0</v>
      </c>
      <c r="I431" s="132">
        <v>0</v>
      </c>
      <c r="J431" s="132">
        <v>0</v>
      </c>
      <c r="K431" s="132">
        <v>0</v>
      </c>
      <c r="L431" s="144">
        <f>CATEGORIAS[[#This Row],[ADICIONALES]]+CATEGORIAS[[#This Row],[POM]]+CATEGORIAS[[#This Row],[REAJUSTE 
PAGADO]]+CATEGORIAS[[#This Row],[REAJUSTE
PROYECTADO]]</f>
        <v>0</v>
      </c>
      <c r="M431" s="133">
        <v>0</v>
      </c>
      <c r="N431" s="222">
        <v>0</v>
      </c>
      <c r="O431" s="142">
        <f>+CATEGORIAS[[#This Row],[PRODUCCION
PARTIDAS
ORIGINALES
ACTUAL]]+CATEGORIAS[[#This Row],[PRODUCCION
ADICIONALES
ACTUAL]]</f>
        <v>0</v>
      </c>
      <c r="P431" s="222">
        <v>0</v>
      </c>
      <c r="Q431" s="222">
        <v>0</v>
      </c>
      <c r="R431" s="141">
        <f>+CATEGORIAS[[#This Row],[PRODUCCION
ANTERIOR]]+CATEGORIAS[[#This Row],[PRODUCCION
ADICIONALES
ANTERIOR]]</f>
        <v>0</v>
      </c>
      <c r="S431" s="135">
        <v>0</v>
      </c>
      <c r="T431" s="135"/>
      <c r="U431" s="135">
        <v>0</v>
      </c>
      <c r="V431" s="262">
        <f>SUM(CATEGORIAS[[#This Row],[COSTO
ACUMULADO  AX]:[PROVISIONES]])</f>
        <v>0</v>
      </c>
      <c r="W431" s="264">
        <v>0</v>
      </c>
      <c r="X431" s="222"/>
      <c r="Y431" s="222">
        <v>0</v>
      </c>
      <c r="Z431" s="263">
        <f>SUM(CATEGORIAS[[#This Row],[COSTO ACUMULADO
ANTERIOR]:[PROVISIONES
ANTERIOR]])</f>
        <v>0</v>
      </c>
      <c r="AA431" s="338">
        <f>ABS(+CATEGORIAS[[#This Row],[PRESUPUESTO
FINAL
PROYECTADO]]-CATEGORIAS[[#This Row],[TOTAL PRODUCCION
ACTUAL]])</f>
        <v>0</v>
      </c>
      <c r="AB431" s="222"/>
      <c r="AC431" s="134"/>
      <c r="AD431" s="134">
        <v>0</v>
      </c>
      <c r="AE431" s="221">
        <f>SUM(CATEGORIAS[[#This Row],[INVENTARIO]:[PROYECCION
DE COSTO
DEL SALDO]])</f>
        <v>0</v>
      </c>
      <c r="AF431" s="134"/>
      <c r="AG431" s="134">
        <f>+CATEGORIAS[[#This Row],[PRESUPUESTO
FINAL
PROYECTADO]]-CATEGORIAS[[#This Row],[COSTO REAL]]-CATEGORIAS[[#This Row],[PROYECCION
TOTAL DE COSTO]]</f>
        <v>0</v>
      </c>
    </row>
    <row r="432" spans="1:33" x14ac:dyDescent="0.25">
      <c r="A432" s="245"/>
      <c r="B432" s="245"/>
      <c r="C432" s="245"/>
      <c r="D432" s="323" t="s">
        <v>2163</v>
      </c>
      <c r="E432" s="244" t="s">
        <v>1209</v>
      </c>
      <c r="F432" s="246" t="s">
        <v>376</v>
      </c>
      <c r="G432" s="279">
        <v>0</v>
      </c>
      <c r="H432" s="279">
        <v>0</v>
      </c>
      <c r="I432" s="132">
        <v>0</v>
      </c>
      <c r="J432" s="132">
        <v>0</v>
      </c>
      <c r="K432" s="132">
        <v>0</v>
      </c>
      <c r="L432" s="144">
        <f>CATEGORIAS[[#This Row],[ADICIONALES]]+CATEGORIAS[[#This Row],[POM]]+CATEGORIAS[[#This Row],[REAJUSTE 
PAGADO]]+CATEGORIAS[[#This Row],[REAJUSTE
PROYECTADO]]</f>
        <v>0</v>
      </c>
      <c r="M432" s="133">
        <v>0</v>
      </c>
      <c r="N432" s="222">
        <v>0</v>
      </c>
      <c r="O432" s="142">
        <f>+CATEGORIAS[[#This Row],[PRODUCCION
PARTIDAS
ORIGINALES
ACTUAL]]+CATEGORIAS[[#This Row],[PRODUCCION
ADICIONALES
ACTUAL]]</f>
        <v>0</v>
      </c>
      <c r="P432" s="222">
        <v>0</v>
      </c>
      <c r="Q432" s="222">
        <v>0</v>
      </c>
      <c r="R432" s="141">
        <f>+CATEGORIAS[[#This Row],[PRODUCCION
ANTERIOR]]+CATEGORIAS[[#This Row],[PRODUCCION
ADICIONALES
ANTERIOR]]</f>
        <v>0</v>
      </c>
      <c r="S432" s="135">
        <v>0</v>
      </c>
      <c r="T432" s="135"/>
      <c r="U432" s="135">
        <v>0</v>
      </c>
      <c r="V432" s="262">
        <f>SUM(CATEGORIAS[[#This Row],[COSTO
ACUMULADO  AX]:[PROVISIONES]])</f>
        <v>0</v>
      </c>
      <c r="W432" s="264">
        <v>0</v>
      </c>
      <c r="X432" s="222"/>
      <c r="Y432" s="222">
        <v>0</v>
      </c>
      <c r="Z432" s="263">
        <f>SUM(CATEGORIAS[[#This Row],[COSTO ACUMULADO
ANTERIOR]:[PROVISIONES
ANTERIOR]])</f>
        <v>0</v>
      </c>
      <c r="AA432" s="338">
        <f>ABS(+CATEGORIAS[[#This Row],[PRESUPUESTO
FINAL
PROYECTADO]]-CATEGORIAS[[#This Row],[TOTAL PRODUCCION
ACTUAL]])</f>
        <v>0</v>
      </c>
      <c r="AB432" s="222"/>
      <c r="AC432" s="134"/>
      <c r="AD432" s="134">
        <v>0</v>
      </c>
      <c r="AE432" s="221">
        <f>SUM(CATEGORIAS[[#This Row],[INVENTARIO]:[PROYECCION
DE COSTO
DEL SALDO]])</f>
        <v>0</v>
      </c>
      <c r="AF432" s="134"/>
      <c r="AG432" s="134">
        <f>+CATEGORIAS[[#This Row],[PRESUPUESTO
FINAL
PROYECTADO]]-CATEGORIAS[[#This Row],[COSTO REAL]]-CATEGORIAS[[#This Row],[PROYECCION
TOTAL DE COSTO]]</f>
        <v>0</v>
      </c>
    </row>
    <row r="433" spans="1:33" x14ac:dyDescent="0.25">
      <c r="A433" s="245"/>
      <c r="B433" s="245"/>
      <c r="C433" s="245"/>
      <c r="D433" s="323" t="s">
        <v>2164</v>
      </c>
      <c r="E433" s="244" t="s">
        <v>1209</v>
      </c>
      <c r="F433" s="246" t="s">
        <v>376</v>
      </c>
      <c r="G433" s="279">
        <v>0</v>
      </c>
      <c r="H433" s="279">
        <v>0</v>
      </c>
      <c r="I433" s="132">
        <v>0</v>
      </c>
      <c r="J433" s="132">
        <v>0</v>
      </c>
      <c r="K433" s="132">
        <v>0</v>
      </c>
      <c r="L433" s="144">
        <f>CATEGORIAS[[#This Row],[ADICIONALES]]+CATEGORIAS[[#This Row],[POM]]+CATEGORIAS[[#This Row],[REAJUSTE 
PAGADO]]+CATEGORIAS[[#This Row],[REAJUSTE
PROYECTADO]]</f>
        <v>0</v>
      </c>
      <c r="M433" s="133">
        <v>0</v>
      </c>
      <c r="N433" s="222">
        <v>0</v>
      </c>
      <c r="O433" s="142">
        <f>+CATEGORIAS[[#This Row],[PRODUCCION
PARTIDAS
ORIGINALES
ACTUAL]]+CATEGORIAS[[#This Row],[PRODUCCION
ADICIONALES
ACTUAL]]</f>
        <v>0</v>
      </c>
      <c r="P433" s="222">
        <v>0</v>
      </c>
      <c r="Q433" s="222">
        <v>0</v>
      </c>
      <c r="R433" s="141">
        <f>+CATEGORIAS[[#This Row],[PRODUCCION
ANTERIOR]]+CATEGORIAS[[#This Row],[PRODUCCION
ADICIONALES
ANTERIOR]]</f>
        <v>0</v>
      </c>
      <c r="S433" s="135">
        <v>0</v>
      </c>
      <c r="T433" s="135"/>
      <c r="U433" s="135">
        <v>0</v>
      </c>
      <c r="V433" s="262">
        <f>SUM(CATEGORIAS[[#This Row],[COSTO
ACUMULADO  AX]:[PROVISIONES]])</f>
        <v>0</v>
      </c>
      <c r="W433" s="264">
        <v>0</v>
      </c>
      <c r="X433" s="222"/>
      <c r="Y433" s="222">
        <v>0</v>
      </c>
      <c r="Z433" s="263">
        <f>SUM(CATEGORIAS[[#This Row],[COSTO ACUMULADO
ANTERIOR]:[PROVISIONES
ANTERIOR]])</f>
        <v>0</v>
      </c>
      <c r="AA433" s="338">
        <f>ABS(+CATEGORIAS[[#This Row],[PRESUPUESTO
FINAL
PROYECTADO]]-CATEGORIAS[[#This Row],[TOTAL PRODUCCION
ACTUAL]])</f>
        <v>0</v>
      </c>
      <c r="AB433" s="222"/>
      <c r="AC433" s="134"/>
      <c r="AD433" s="134">
        <v>0</v>
      </c>
      <c r="AE433" s="221">
        <f>SUM(CATEGORIAS[[#This Row],[INVENTARIO]:[PROYECCION
DE COSTO
DEL SALDO]])</f>
        <v>0</v>
      </c>
      <c r="AF433" s="134"/>
      <c r="AG433" s="134">
        <f>+CATEGORIAS[[#This Row],[PRESUPUESTO
FINAL
PROYECTADO]]-CATEGORIAS[[#This Row],[COSTO REAL]]-CATEGORIAS[[#This Row],[PROYECCION
TOTAL DE COSTO]]</f>
        <v>0</v>
      </c>
    </row>
    <row r="434" spans="1:33" x14ac:dyDescent="0.25">
      <c r="A434" s="245" t="s">
        <v>93</v>
      </c>
      <c r="B434" s="245" t="s">
        <v>202</v>
      </c>
      <c r="C434" s="245" t="s">
        <v>94</v>
      </c>
      <c r="D434" s="323" t="s">
        <v>2165</v>
      </c>
      <c r="E434" s="244" t="s">
        <v>1212</v>
      </c>
      <c r="F434" s="246" t="s">
        <v>379</v>
      </c>
      <c r="G434" s="279">
        <v>8347786.981428571</v>
      </c>
      <c r="H434" s="279">
        <v>7180370.401428571</v>
      </c>
      <c r="I434" s="132">
        <v>11083564.12511011</v>
      </c>
      <c r="J434" s="132">
        <v>253168.0473946105</v>
      </c>
      <c r="K434" s="132">
        <v>0</v>
      </c>
      <c r="L434" s="144">
        <f>CATEGORIAS[[#This Row],[ADICIONALES]]+CATEGORIAS[[#This Row],[POM]]+CATEGORIAS[[#This Row],[REAJUSTE 
PAGADO]]+CATEGORIAS[[#This Row],[REAJUSTE
PROYECTADO]]</f>
        <v>18517102.573933292</v>
      </c>
      <c r="M434" s="133">
        <v>7432128.9377247719</v>
      </c>
      <c r="N434" s="134">
        <v>11084973.636208521</v>
      </c>
      <c r="O434" s="142">
        <f>+CATEGORIAS[[#This Row],[PRODUCCION
PARTIDAS
ORIGINALES
ACTUAL]]+CATEGORIAS[[#This Row],[PRODUCCION
ADICIONALES
ACTUAL]]</f>
        <v>18517102.573933292</v>
      </c>
      <c r="P434" s="222">
        <v>7432128.9377247719</v>
      </c>
      <c r="Q434" s="134">
        <v>8935438.125110114</v>
      </c>
      <c r="R434" s="141">
        <f>+CATEGORIAS[[#This Row],[PRODUCCION
ANTERIOR]]+CATEGORIAS[[#This Row],[PRODUCCION
ADICIONALES
ANTERIOR]]</f>
        <v>16367567.062834885</v>
      </c>
      <c r="S434" s="135">
        <v>76380238</v>
      </c>
      <c r="T434" s="135"/>
      <c r="U434" s="135">
        <v>0</v>
      </c>
      <c r="V434" s="262">
        <f>SUM(CATEGORIAS[[#This Row],[COSTO
ACUMULADO  AX]:[PROVISIONES]])</f>
        <v>76380238</v>
      </c>
      <c r="W434" s="264">
        <v>20592366</v>
      </c>
      <c r="X434" s="222"/>
      <c r="Y434" s="222">
        <v>30704886</v>
      </c>
      <c r="Z434" s="263">
        <f>SUM(CATEGORIAS[[#This Row],[COSTO ACUMULADO
ANTERIOR]:[PROVISIONES
ANTERIOR]])</f>
        <v>51297252</v>
      </c>
      <c r="AA434" s="338">
        <f>ABS(+CATEGORIAS[[#This Row],[PRESUPUESTO
FINAL
PROYECTADO]]-CATEGORIAS[[#This Row],[TOTAL PRODUCCION
ACTUAL]])</f>
        <v>0</v>
      </c>
      <c r="AB434" s="222"/>
      <c r="AC434" s="134"/>
      <c r="AD434" s="134">
        <v>0</v>
      </c>
      <c r="AE434" s="221">
        <f>SUM(CATEGORIAS[[#This Row],[INVENTARIO]:[PROYECCION
DE COSTO
DEL SALDO]])</f>
        <v>0</v>
      </c>
      <c r="AF434" s="134"/>
      <c r="AG434" s="134">
        <f>+CATEGORIAS[[#This Row],[PRESUPUESTO
FINAL
PROYECTADO]]-CATEGORIAS[[#This Row],[COSTO REAL]]-CATEGORIAS[[#This Row],[PROYECCION
TOTAL DE COSTO]]</f>
        <v>-57863135.426066712</v>
      </c>
    </row>
    <row r="435" spans="1:33" x14ac:dyDescent="0.25">
      <c r="A435" s="245"/>
      <c r="B435" s="245"/>
      <c r="C435" s="245"/>
      <c r="D435" s="323" t="s">
        <v>2166</v>
      </c>
      <c r="E435" s="244" t="s">
        <v>1214</v>
      </c>
      <c r="F435" s="246" t="s">
        <v>376</v>
      </c>
      <c r="G435" s="279">
        <v>0</v>
      </c>
      <c r="H435" s="279">
        <v>0</v>
      </c>
      <c r="I435" s="132">
        <v>0</v>
      </c>
      <c r="J435" s="132">
        <v>0</v>
      </c>
      <c r="K435" s="132">
        <v>0</v>
      </c>
      <c r="L435" s="144">
        <f>CATEGORIAS[[#This Row],[ADICIONALES]]+CATEGORIAS[[#This Row],[POM]]+CATEGORIAS[[#This Row],[REAJUSTE 
PAGADO]]+CATEGORIAS[[#This Row],[REAJUSTE
PROYECTADO]]</f>
        <v>0</v>
      </c>
      <c r="M435" s="133">
        <v>0</v>
      </c>
      <c r="N435" s="222">
        <v>0</v>
      </c>
      <c r="O435" s="142">
        <f>+CATEGORIAS[[#This Row],[PRODUCCION
PARTIDAS
ORIGINALES
ACTUAL]]+CATEGORIAS[[#This Row],[PRODUCCION
ADICIONALES
ACTUAL]]</f>
        <v>0</v>
      </c>
      <c r="P435" s="222">
        <v>0</v>
      </c>
      <c r="Q435" s="222">
        <v>0</v>
      </c>
      <c r="R435" s="141">
        <f>+CATEGORIAS[[#This Row],[PRODUCCION
ANTERIOR]]+CATEGORIAS[[#This Row],[PRODUCCION
ADICIONALES
ANTERIOR]]</f>
        <v>0</v>
      </c>
      <c r="S435" s="135">
        <v>0</v>
      </c>
      <c r="T435" s="135"/>
      <c r="U435" s="135">
        <v>0</v>
      </c>
      <c r="V435" s="262">
        <f>SUM(CATEGORIAS[[#This Row],[COSTO
ACUMULADO  AX]:[PROVISIONES]])</f>
        <v>0</v>
      </c>
      <c r="W435" s="264">
        <v>0</v>
      </c>
      <c r="X435" s="222"/>
      <c r="Y435" s="222">
        <v>0</v>
      </c>
      <c r="Z435" s="263">
        <f>SUM(CATEGORIAS[[#This Row],[COSTO ACUMULADO
ANTERIOR]:[PROVISIONES
ANTERIOR]])</f>
        <v>0</v>
      </c>
      <c r="AA435" s="338">
        <f>ABS(+CATEGORIAS[[#This Row],[PRESUPUESTO
FINAL
PROYECTADO]]-CATEGORIAS[[#This Row],[TOTAL PRODUCCION
ACTUAL]])</f>
        <v>0</v>
      </c>
      <c r="AB435" s="222"/>
      <c r="AC435" s="134"/>
      <c r="AD435" s="134">
        <v>0</v>
      </c>
      <c r="AE435" s="221">
        <f>SUM(CATEGORIAS[[#This Row],[INVENTARIO]:[PROYECCION
DE COSTO
DEL SALDO]])</f>
        <v>0</v>
      </c>
      <c r="AF435" s="134"/>
      <c r="AG435" s="134">
        <f>+CATEGORIAS[[#This Row],[PRESUPUESTO
FINAL
PROYECTADO]]-CATEGORIAS[[#This Row],[COSTO REAL]]-CATEGORIAS[[#This Row],[PROYECCION
TOTAL DE COSTO]]</f>
        <v>0</v>
      </c>
    </row>
    <row r="436" spans="1:33" x14ac:dyDescent="0.25">
      <c r="A436" s="245"/>
      <c r="B436" s="245"/>
      <c r="C436" s="245"/>
      <c r="D436" s="323" t="s">
        <v>2167</v>
      </c>
      <c r="E436" s="244" t="s">
        <v>1216</v>
      </c>
      <c r="F436" s="246" t="s">
        <v>376</v>
      </c>
      <c r="G436" s="279">
        <v>0</v>
      </c>
      <c r="H436" s="279">
        <v>0</v>
      </c>
      <c r="I436" s="132">
        <v>0</v>
      </c>
      <c r="J436" s="132">
        <v>0</v>
      </c>
      <c r="K436" s="132">
        <v>0</v>
      </c>
      <c r="L436" s="144">
        <f>CATEGORIAS[[#This Row],[ADICIONALES]]+CATEGORIAS[[#This Row],[POM]]+CATEGORIAS[[#This Row],[REAJUSTE 
PAGADO]]+CATEGORIAS[[#This Row],[REAJUSTE
PROYECTADO]]</f>
        <v>0</v>
      </c>
      <c r="M436" s="133">
        <v>0</v>
      </c>
      <c r="N436" s="222">
        <v>0</v>
      </c>
      <c r="O436" s="142">
        <f>+CATEGORIAS[[#This Row],[PRODUCCION
PARTIDAS
ORIGINALES
ACTUAL]]+CATEGORIAS[[#This Row],[PRODUCCION
ADICIONALES
ACTUAL]]</f>
        <v>0</v>
      </c>
      <c r="P436" s="222">
        <v>0</v>
      </c>
      <c r="Q436" s="134">
        <v>0</v>
      </c>
      <c r="R436" s="141">
        <f>+CATEGORIAS[[#This Row],[PRODUCCION
ANTERIOR]]+CATEGORIAS[[#This Row],[PRODUCCION
ADICIONALES
ANTERIOR]]</f>
        <v>0</v>
      </c>
      <c r="S436" s="135">
        <v>0</v>
      </c>
      <c r="T436" s="135"/>
      <c r="U436" s="135">
        <v>0</v>
      </c>
      <c r="V436" s="262">
        <f>SUM(CATEGORIAS[[#This Row],[COSTO
ACUMULADO  AX]:[PROVISIONES]])</f>
        <v>0</v>
      </c>
      <c r="W436" s="264">
        <v>0</v>
      </c>
      <c r="X436" s="222"/>
      <c r="Y436" s="222">
        <v>0</v>
      </c>
      <c r="Z436" s="263">
        <f>SUM(CATEGORIAS[[#This Row],[COSTO ACUMULADO
ANTERIOR]:[PROVISIONES
ANTERIOR]])</f>
        <v>0</v>
      </c>
      <c r="AA436" s="338">
        <f>ABS(+CATEGORIAS[[#This Row],[PRESUPUESTO
FINAL
PROYECTADO]]-CATEGORIAS[[#This Row],[TOTAL PRODUCCION
ACTUAL]])</f>
        <v>0</v>
      </c>
      <c r="AB436" s="222"/>
      <c r="AC436" s="134"/>
      <c r="AD436" s="134">
        <v>0</v>
      </c>
      <c r="AE436" s="221">
        <f>SUM(CATEGORIAS[[#This Row],[INVENTARIO]:[PROYECCION
DE COSTO
DEL SALDO]])</f>
        <v>0</v>
      </c>
      <c r="AF436" s="134"/>
      <c r="AG436" s="134">
        <f>+CATEGORIAS[[#This Row],[PRESUPUESTO
FINAL
PROYECTADO]]-CATEGORIAS[[#This Row],[COSTO REAL]]-CATEGORIAS[[#This Row],[PROYECCION
TOTAL DE COSTO]]</f>
        <v>0</v>
      </c>
    </row>
    <row r="437" spans="1:33" x14ac:dyDescent="0.25">
      <c r="A437" s="245"/>
      <c r="B437" s="245"/>
      <c r="C437" s="245"/>
      <c r="D437" s="323" t="s">
        <v>2168</v>
      </c>
      <c r="E437" s="244" t="s">
        <v>1216</v>
      </c>
      <c r="F437" s="246" t="s">
        <v>376</v>
      </c>
      <c r="G437" s="279">
        <v>0</v>
      </c>
      <c r="H437" s="279">
        <v>0</v>
      </c>
      <c r="I437" s="132">
        <v>0</v>
      </c>
      <c r="J437" s="132">
        <v>0</v>
      </c>
      <c r="K437" s="132">
        <v>0</v>
      </c>
      <c r="L437" s="144">
        <f>CATEGORIAS[[#This Row],[ADICIONALES]]+CATEGORIAS[[#This Row],[POM]]+CATEGORIAS[[#This Row],[REAJUSTE 
PAGADO]]+CATEGORIAS[[#This Row],[REAJUSTE
PROYECTADO]]</f>
        <v>0</v>
      </c>
      <c r="M437" s="133">
        <v>0</v>
      </c>
      <c r="N437" s="222">
        <v>0</v>
      </c>
      <c r="O437" s="142">
        <f>+CATEGORIAS[[#This Row],[PRODUCCION
PARTIDAS
ORIGINALES
ACTUAL]]+CATEGORIAS[[#This Row],[PRODUCCION
ADICIONALES
ACTUAL]]</f>
        <v>0</v>
      </c>
      <c r="P437" s="222">
        <v>0</v>
      </c>
      <c r="Q437" s="222">
        <v>0</v>
      </c>
      <c r="R437" s="141">
        <f>+CATEGORIAS[[#This Row],[PRODUCCION
ANTERIOR]]+CATEGORIAS[[#This Row],[PRODUCCION
ADICIONALES
ANTERIOR]]</f>
        <v>0</v>
      </c>
      <c r="S437" s="135">
        <v>0</v>
      </c>
      <c r="T437" s="135"/>
      <c r="U437" s="135">
        <v>0</v>
      </c>
      <c r="V437" s="262">
        <f>SUM(CATEGORIAS[[#This Row],[COSTO
ACUMULADO  AX]:[PROVISIONES]])</f>
        <v>0</v>
      </c>
      <c r="W437" s="264">
        <v>0</v>
      </c>
      <c r="X437" s="222"/>
      <c r="Y437" s="222">
        <v>0</v>
      </c>
      <c r="Z437" s="263">
        <f>SUM(CATEGORIAS[[#This Row],[COSTO ACUMULADO
ANTERIOR]:[PROVISIONES
ANTERIOR]])</f>
        <v>0</v>
      </c>
      <c r="AA437" s="338">
        <f>ABS(+CATEGORIAS[[#This Row],[PRESUPUESTO
FINAL
PROYECTADO]]-CATEGORIAS[[#This Row],[TOTAL PRODUCCION
ACTUAL]])</f>
        <v>0</v>
      </c>
      <c r="AB437" s="222"/>
      <c r="AC437" s="134"/>
      <c r="AD437" s="134">
        <v>0</v>
      </c>
      <c r="AE437" s="221">
        <f>SUM(CATEGORIAS[[#This Row],[INVENTARIO]:[PROYECCION
DE COSTO
DEL SALDO]])</f>
        <v>0</v>
      </c>
      <c r="AF437" s="134"/>
      <c r="AG437" s="134">
        <f>+CATEGORIAS[[#This Row],[PRESUPUESTO
FINAL
PROYECTADO]]-CATEGORIAS[[#This Row],[COSTO REAL]]-CATEGORIAS[[#This Row],[PROYECCION
TOTAL DE COSTO]]</f>
        <v>0</v>
      </c>
    </row>
    <row r="438" spans="1:33" x14ac:dyDescent="0.25">
      <c r="A438" s="245"/>
      <c r="B438" s="245"/>
      <c r="C438" s="245"/>
      <c r="D438" s="323" t="s">
        <v>2169</v>
      </c>
      <c r="E438" s="244" t="s">
        <v>2170</v>
      </c>
      <c r="F438" s="246" t="s">
        <v>376</v>
      </c>
      <c r="G438" s="279">
        <v>0</v>
      </c>
      <c r="H438" s="279">
        <v>0</v>
      </c>
      <c r="I438" s="132">
        <v>0</v>
      </c>
      <c r="J438" s="132">
        <v>0</v>
      </c>
      <c r="K438" s="132">
        <v>0</v>
      </c>
      <c r="L438" s="144">
        <f>CATEGORIAS[[#This Row],[ADICIONALES]]+CATEGORIAS[[#This Row],[POM]]+CATEGORIAS[[#This Row],[REAJUSTE 
PAGADO]]+CATEGORIAS[[#This Row],[REAJUSTE
PROYECTADO]]</f>
        <v>0</v>
      </c>
      <c r="M438" s="133">
        <v>0</v>
      </c>
      <c r="N438" s="222">
        <v>0</v>
      </c>
      <c r="O438" s="142">
        <f>+CATEGORIAS[[#This Row],[PRODUCCION
PARTIDAS
ORIGINALES
ACTUAL]]+CATEGORIAS[[#This Row],[PRODUCCION
ADICIONALES
ACTUAL]]</f>
        <v>0</v>
      </c>
      <c r="P438" s="222">
        <v>0</v>
      </c>
      <c r="Q438" s="222">
        <v>0</v>
      </c>
      <c r="R438" s="141">
        <f>+CATEGORIAS[[#This Row],[PRODUCCION
ANTERIOR]]+CATEGORIAS[[#This Row],[PRODUCCION
ADICIONALES
ANTERIOR]]</f>
        <v>0</v>
      </c>
      <c r="S438" s="135">
        <v>0</v>
      </c>
      <c r="T438" s="135"/>
      <c r="U438" s="135">
        <v>0</v>
      </c>
      <c r="V438" s="262">
        <f>SUM(CATEGORIAS[[#This Row],[COSTO
ACUMULADO  AX]:[PROVISIONES]])</f>
        <v>0</v>
      </c>
      <c r="W438" s="264">
        <v>0</v>
      </c>
      <c r="X438" s="222"/>
      <c r="Y438" s="222">
        <v>0</v>
      </c>
      <c r="Z438" s="263">
        <f>SUM(CATEGORIAS[[#This Row],[COSTO ACUMULADO
ANTERIOR]:[PROVISIONES
ANTERIOR]])</f>
        <v>0</v>
      </c>
      <c r="AA438" s="338">
        <f>ABS(+CATEGORIAS[[#This Row],[PRESUPUESTO
FINAL
PROYECTADO]]-CATEGORIAS[[#This Row],[TOTAL PRODUCCION
ACTUAL]])</f>
        <v>0</v>
      </c>
      <c r="AB438" s="222"/>
      <c r="AC438" s="134"/>
      <c r="AD438" s="134">
        <v>0</v>
      </c>
      <c r="AE438" s="221">
        <f>SUM(CATEGORIAS[[#This Row],[INVENTARIO]:[PROYECCION
DE COSTO
DEL SALDO]])</f>
        <v>0</v>
      </c>
      <c r="AF438" s="134"/>
      <c r="AG438" s="134">
        <f>+CATEGORIAS[[#This Row],[PRESUPUESTO
FINAL
PROYECTADO]]-CATEGORIAS[[#This Row],[COSTO REAL]]-CATEGORIAS[[#This Row],[PROYECCION
TOTAL DE COSTO]]</f>
        <v>0</v>
      </c>
    </row>
    <row r="439" spans="1:33" x14ac:dyDescent="0.25">
      <c r="A439" s="245" t="s">
        <v>83</v>
      </c>
      <c r="B439" s="245" t="s">
        <v>203</v>
      </c>
      <c r="C439" s="245" t="s">
        <v>84</v>
      </c>
      <c r="D439" s="323" t="s">
        <v>2171</v>
      </c>
      <c r="E439" s="244" t="s">
        <v>1218</v>
      </c>
      <c r="F439" s="246" t="s">
        <v>379</v>
      </c>
      <c r="G439" s="279">
        <v>55882517.030930884</v>
      </c>
      <c r="H439" s="279">
        <v>47866959.248763844</v>
      </c>
      <c r="I439" s="132">
        <v>16854535.771383412</v>
      </c>
      <c r="J439" s="132">
        <v>1687710.2336274909</v>
      </c>
      <c r="K439" s="132">
        <v>0</v>
      </c>
      <c r="L439" s="144">
        <f>CATEGORIAS[[#This Row],[ADICIONALES]]+CATEGORIAS[[#This Row],[POM]]+CATEGORIAS[[#This Row],[REAJUSTE 
PAGADO]]+CATEGORIAS[[#This Row],[REAJUSTE
PROYECTADO]]</f>
        <v>66409205.253774747</v>
      </c>
      <c r="M439" s="133">
        <v>49545273.169034742</v>
      </c>
      <c r="N439" s="222">
        <v>16863932.084740005</v>
      </c>
      <c r="O439" s="142">
        <f>+CATEGORIAS[[#This Row],[PRODUCCION
PARTIDAS
ORIGINALES
ACTUAL]]+CATEGORIAS[[#This Row],[PRODUCCION
ADICIONALES
ACTUAL]]</f>
        <v>66409205.253774747</v>
      </c>
      <c r="P439" s="222">
        <v>49545273.169034742</v>
      </c>
      <c r="Q439" s="222">
        <v>16854535.771383412</v>
      </c>
      <c r="R439" s="141">
        <f>+CATEGORIAS[[#This Row],[PRODUCCION
ANTERIOR]]+CATEGORIAS[[#This Row],[PRODUCCION
ADICIONALES
ANTERIOR]]</f>
        <v>66399808.940418154</v>
      </c>
      <c r="S439" s="135">
        <v>200626601.3666665</v>
      </c>
      <c r="T439" s="135"/>
      <c r="U439" s="135">
        <v>0</v>
      </c>
      <c r="V439" s="262">
        <f>SUM(CATEGORIAS[[#This Row],[COSTO
ACUMULADO  AX]:[PROVISIONES]])</f>
        <v>200626601.3666665</v>
      </c>
      <c r="W439" s="264">
        <v>198675935.16666651</v>
      </c>
      <c r="X439" s="222"/>
      <c r="Y439" s="222">
        <v>1950666.200000003</v>
      </c>
      <c r="Z439" s="263">
        <f>SUM(CATEGORIAS[[#This Row],[COSTO ACUMULADO
ANTERIOR]:[PROVISIONES
ANTERIOR]])</f>
        <v>200626601.3666665</v>
      </c>
      <c r="AA439" s="338">
        <f>ABS(+CATEGORIAS[[#This Row],[PRESUPUESTO
FINAL
PROYECTADO]]-CATEGORIAS[[#This Row],[TOTAL PRODUCCION
ACTUAL]])</f>
        <v>0</v>
      </c>
      <c r="AB439" s="222"/>
      <c r="AC439" s="134"/>
      <c r="AD439" s="134">
        <v>0</v>
      </c>
      <c r="AE439" s="221">
        <f>SUM(CATEGORIAS[[#This Row],[INVENTARIO]:[PROYECCION
DE COSTO
DEL SALDO]])</f>
        <v>0</v>
      </c>
      <c r="AF439" s="134"/>
      <c r="AG439" s="134">
        <f>+CATEGORIAS[[#This Row],[PRESUPUESTO
FINAL
PROYECTADO]]-CATEGORIAS[[#This Row],[COSTO REAL]]-CATEGORIAS[[#This Row],[PROYECCION
TOTAL DE COSTO]]</f>
        <v>-134217396.11289175</v>
      </c>
    </row>
    <row r="440" spans="1:33" x14ac:dyDescent="0.25">
      <c r="A440" s="245"/>
      <c r="B440" s="245"/>
      <c r="C440" s="245"/>
      <c r="D440" s="323" t="s">
        <v>2172</v>
      </c>
      <c r="E440" s="244" t="s">
        <v>1220</v>
      </c>
      <c r="F440" s="246" t="s">
        <v>376</v>
      </c>
      <c r="G440" s="279">
        <v>0</v>
      </c>
      <c r="H440" s="279">
        <v>0</v>
      </c>
      <c r="I440" s="132">
        <v>0</v>
      </c>
      <c r="J440" s="132">
        <v>0</v>
      </c>
      <c r="K440" s="132">
        <v>0</v>
      </c>
      <c r="L440" s="144">
        <f>CATEGORIAS[[#This Row],[ADICIONALES]]+CATEGORIAS[[#This Row],[POM]]+CATEGORIAS[[#This Row],[REAJUSTE 
PAGADO]]+CATEGORIAS[[#This Row],[REAJUSTE
PROYECTADO]]</f>
        <v>0</v>
      </c>
      <c r="M440" s="133">
        <v>0</v>
      </c>
      <c r="N440" s="222">
        <v>0</v>
      </c>
      <c r="O440" s="142">
        <f>+CATEGORIAS[[#This Row],[PRODUCCION
PARTIDAS
ORIGINALES
ACTUAL]]+CATEGORIAS[[#This Row],[PRODUCCION
ADICIONALES
ACTUAL]]</f>
        <v>0</v>
      </c>
      <c r="P440" s="222">
        <v>0</v>
      </c>
      <c r="Q440" s="222">
        <v>0</v>
      </c>
      <c r="R440" s="141">
        <f>+CATEGORIAS[[#This Row],[PRODUCCION
ANTERIOR]]+CATEGORIAS[[#This Row],[PRODUCCION
ADICIONALES
ANTERIOR]]</f>
        <v>0</v>
      </c>
      <c r="S440" s="135">
        <v>0</v>
      </c>
      <c r="T440" s="135"/>
      <c r="U440" s="135">
        <v>0</v>
      </c>
      <c r="V440" s="262">
        <f>SUM(CATEGORIAS[[#This Row],[COSTO
ACUMULADO  AX]:[PROVISIONES]])</f>
        <v>0</v>
      </c>
      <c r="W440" s="264">
        <v>0</v>
      </c>
      <c r="X440" s="222"/>
      <c r="Y440" s="222">
        <v>0</v>
      </c>
      <c r="Z440" s="263">
        <f>SUM(CATEGORIAS[[#This Row],[COSTO ACUMULADO
ANTERIOR]:[PROVISIONES
ANTERIOR]])</f>
        <v>0</v>
      </c>
      <c r="AA440" s="338">
        <f>ABS(+CATEGORIAS[[#This Row],[PRESUPUESTO
FINAL
PROYECTADO]]-CATEGORIAS[[#This Row],[TOTAL PRODUCCION
ACTUAL]])</f>
        <v>0</v>
      </c>
      <c r="AB440" s="222"/>
      <c r="AC440" s="134"/>
      <c r="AD440" s="134">
        <v>0</v>
      </c>
      <c r="AE440" s="221">
        <f>SUM(CATEGORIAS[[#This Row],[INVENTARIO]:[PROYECCION
DE COSTO
DEL SALDO]])</f>
        <v>0</v>
      </c>
      <c r="AF440" s="134"/>
      <c r="AG440" s="134">
        <f>+CATEGORIAS[[#This Row],[PRESUPUESTO
FINAL
PROYECTADO]]-CATEGORIAS[[#This Row],[COSTO REAL]]-CATEGORIAS[[#This Row],[PROYECCION
TOTAL DE COSTO]]</f>
        <v>0</v>
      </c>
    </row>
    <row r="441" spans="1:33" x14ac:dyDescent="0.25">
      <c r="A441" s="245"/>
      <c r="B441" s="245"/>
      <c r="C441" s="245"/>
      <c r="D441" s="323" t="s">
        <v>2173</v>
      </c>
      <c r="E441" s="244" t="s">
        <v>1222</v>
      </c>
      <c r="F441" s="246" t="s">
        <v>376</v>
      </c>
      <c r="G441" s="279">
        <v>0</v>
      </c>
      <c r="H441" s="279">
        <v>0</v>
      </c>
      <c r="I441" s="132">
        <v>0</v>
      </c>
      <c r="J441" s="132">
        <v>0</v>
      </c>
      <c r="K441" s="132">
        <v>0</v>
      </c>
      <c r="L441" s="144">
        <f>CATEGORIAS[[#This Row],[ADICIONALES]]+CATEGORIAS[[#This Row],[POM]]+CATEGORIAS[[#This Row],[REAJUSTE 
PAGADO]]+CATEGORIAS[[#This Row],[REAJUSTE
PROYECTADO]]</f>
        <v>0</v>
      </c>
      <c r="M441" s="133">
        <v>0</v>
      </c>
      <c r="N441" s="222">
        <v>0</v>
      </c>
      <c r="O441" s="142">
        <f>+CATEGORIAS[[#This Row],[PRODUCCION
PARTIDAS
ORIGINALES
ACTUAL]]+CATEGORIAS[[#This Row],[PRODUCCION
ADICIONALES
ACTUAL]]</f>
        <v>0</v>
      </c>
      <c r="P441" s="222">
        <v>0</v>
      </c>
      <c r="Q441" s="134">
        <v>0</v>
      </c>
      <c r="R441" s="141">
        <f>+CATEGORIAS[[#This Row],[PRODUCCION
ANTERIOR]]+CATEGORIAS[[#This Row],[PRODUCCION
ADICIONALES
ANTERIOR]]</f>
        <v>0</v>
      </c>
      <c r="S441" s="135">
        <v>0</v>
      </c>
      <c r="T441" s="135"/>
      <c r="U441" s="135">
        <v>0</v>
      </c>
      <c r="V441" s="262">
        <f>SUM(CATEGORIAS[[#This Row],[COSTO
ACUMULADO  AX]:[PROVISIONES]])</f>
        <v>0</v>
      </c>
      <c r="W441" s="264">
        <v>0</v>
      </c>
      <c r="X441" s="222"/>
      <c r="Y441" s="222">
        <v>0</v>
      </c>
      <c r="Z441" s="263">
        <f>SUM(CATEGORIAS[[#This Row],[COSTO ACUMULADO
ANTERIOR]:[PROVISIONES
ANTERIOR]])</f>
        <v>0</v>
      </c>
      <c r="AA441" s="338">
        <f>ABS(+CATEGORIAS[[#This Row],[PRESUPUESTO
FINAL
PROYECTADO]]-CATEGORIAS[[#This Row],[TOTAL PRODUCCION
ACTUAL]])</f>
        <v>0</v>
      </c>
      <c r="AB441" s="222"/>
      <c r="AC441" s="134"/>
      <c r="AD441" s="134">
        <v>0</v>
      </c>
      <c r="AE441" s="221">
        <f>SUM(CATEGORIAS[[#This Row],[INVENTARIO]:[PROYECCION
DE COSTO
DEL SALDO]])</f>
        <v>0</v>
      </c>
      <c r="AF441" s="134"/>
      <c r="AG441" s="134">
        <f>+CATEGORIAS[[#This Row],[PRESUPUESTO
FINAL
PROYECTADO]]-CATEGORIAS[[#This Row],[COSTO REAL]]-CATEGORIAS[[#This Row],[PROYECCION
TOTAL DE COSTO]]</f>
        <v>0</v>
      </c>
    </row>
    <row r="442" spans="1:33" x14ac:dyDescent="0.25">
      <c r="A442" s="245"/>
      <c r="B442" s="245"/>
      <c r="C442" s="245"/>
      <c r="D442" s="323" t="s">
        <v>2174</v>
      </c>
      <c r="E442" s="244" t="s">
        <v>1222</v>
      </c>
      <c r="F442" s="246" t="s">
        <v>376</v>
      </c>
      <c r="G442" s="279">
        <v>0</v>
      </c>
      <c r="H442" s="279">
        <v>0</v>
      </c>
      <c r="I442" s="132">
        <v>0</v>
      </c>
      <c r="J442" s="132">
        <v>0</v>
      </c>
      <c r="K442" s="132">
        <v>0</v>
      </c>
      <c r="L442" s="144">
        <f>CATEGORIAS[[#This Row],[ADICIONALES]]+CATEGORIAS[[#This Row],[POM]]+CATEGORIAS[[#This Row],[REAJUSTE 
PAGADO]]+CATEGORIAS[[#This Row],[REAJUSTE
PROYECTADO]]</f>
        <v>0</v>
      </c>
      <c r="M442" s="133">
        <v>0</v>
      </c>
      <c r="N442" s="222">
        <v>0</v>
      </c>
      <c r="O442" s="142">
        <f>+CATEGORIAS[[#This Row],[PRODUCCION
PARTIDAS
ORIGINALES
ACTUAL]]+CATEGORIAS[[#This Row],[PRODUCCION
ADICIONALES
ACTUAL]]</f>
        <v>0</v>
      </c>
      <c r="P442" s="222">
        <v>0</v>
      </c>
      <c r="Q442" s="222">
        <v>0</v>
      </c>
      <c r="R442" s="141">
        <f>+CATEGORIAS[[#This Row],[PRODUCCION
ANTERIOR]]+CATEGORIAS[[#This Row],[PRODUCCION
ADICIONALES
ANTERIOR]]</f>
        <v>0</v>
      </c>
      <c r="S442" s="135">
        <v>0</v>
      </c>
      <c r="T442" s="135"/>
      <c r="U442" s="135">
        <v>0</v>
      </c>
      <c r="V442" s="262">
        <f>SUM(CATEGORIAS[[#This Row],[COSTO
ACUMULADO  AX]:[PROVISIONES]])</f>
        <v>0</v>
      </c>
      <c r="W442" s="264">
        <v>0</v>
      </c>
      <c r="X442" s="222"/>
      <c r="Y442" s="222">
        <v>0</v>
      </c>
      <c r="Z442" s="263">
        <f>SUM(CATEGORIAS[[#This Row],[COSTO ACUMULADO
ANTERIOR]:[PROVISIONES
ANTERIOR]])</f>
        <v>0</v>
      </c>
      <c r="AA442" s="338">
        <f>ABS(+CATEGORIAS[[#This Row],[PRESUPUESTO
FINAL
PROYECTADO]]-CATEGORIAS[[#This Row],[TOTAL PRODUCCION
ACTUAL]])</f>
        <v>0</v>
      </c>
      <c r="AB442" s="222"/>
      <c r="AC442" s="134"/>
      <c r="AD442" s="134">
        <v>0</v>
      </c>
      <c r="AE442" s="221">
        <f>SUM(CATEGORIAS[[#This Row],[INVENTARIO]:[PROYECCION
DE COSTO
DEL SALDO]])</f>
        <v>0</v>
      </c>
      <c r="AF442" s="134"/>
      <c r="AG442" s="134">
        <f>+CATEGORIAS[[#This Row],[PRESUPUESTO
FINAL
PROYECTADO]]-CATEGORIAS[[#This Row],[COSTO REAL]]-CATEGORIAS[[#This Row],[PROYECCION
TOTAL DE COSTO]]</f>
        <v>0</v>
      </c>
    </row>
    <row r="443" spans="1:33" x14ac:dyDescent="0.25">
      <c r="A443" s="245" t="s">
        <v>83</v>
      </c>
      <c r="B443" s="245" t="s">
        <v>203</v>
      </c>
      <c r="C443" s="245" t="s">
        <v>84</v>
      </c>
      <c r="D443" s="323" t="s">
        <v>2175</v>
      </c>
      <c r="E443" s="244" t="s">
        <v>1225</v>
      </c>
      <c r="F443" s="246" t="s">
        <v>376</v>
      </c>
      <c r="G443" s="279">
        <v>77372266.295214429</v>
      </c>
      <c r="H443" s="279">
        <v>66414889.004830703</v>
      </c>
      <c r="I443" s="132">
        <v>3173255.7912068348</v>
      </c>
      <c r="J443" s="132">
        <v>2341679.722251866</v>
      </c>
      <c r="K443" s="132">
        <v>0</v>
      </c>
      <c r="L443" s="144">
        <f>CATEGORIAS[[#This Row],[ADICIONALES]]+CATEGORIAS[[#This Row],[POM]]+CATEGORIAS[[#This Row],[REAJUSTE 
PAGADO]]+CATEGORIAS[[#This Row],[REAJUSTE
PROYECTADO]]</f>
        <v>71929824.518289402</v>
      </c>
      <c r="M443" s="133">
        <v>68743531.44377844</v>
      </c>
      <c r="N443" s="222">
        <v>3186293.0745109599</v>
      </c>
      <c r="O443" s="142">
        <f>+CATEGORIAS[[#This Row],[PRODUCCION
PARTIDAS
ORIGINALES
ACTUAL]]+CATEGORIAS[[#This Row],[PRODUCCION
ADICIONALES
ACTUAL]]</f>
        <v>71929824.518289402</v>
      </c>
      <c r="P443" s="222">
        <v>68743531.44377844</v>
      </c>
      <c r="Q443" s="222">
        <v>3173255.7912068348</v>
      </c>
      <c r="R443" s="141">
        <f>+CATEGORIAS[[#This Row],[PRODUCCION
ANTERIOR]]+CATEGORIAS[[#This Row],[PRODUCCION
ADICIONALES
ANTERIOR]]</f>
        <v>71916787.234985277</v>
      </c>
      <c r="S443" s="135">
        <v>-1487328</v>
      </c>
      <c r="T443" s="135"/>
      <c r="U443" s="135">
        <v>0</v>
      </c>
      <c r="V443" s="262">
        <f>SUM(CATEGORIAS[[#This Row],[COSTO
ACUMULADO  AX]:[PROVISIONES]])</f>
        <v>-1487328</v>
      </c>
      <c r="W443" s="264">
        <v>-1487328</v>
      </c>
      <c r="X443" s="222"/>
      <c r="Y443" s="222">
        <v>0</v>
      </c>
      <c r="Z443" s="263">
        <f>SUM(CATEGORIAS[[#This Row],[COSTO ACUMULADO
ANTERIOR]:[PROVISIONES
ANTERIOR]])</f>
        <v>-1487328</v>
      </c>
      <c r="AA443" s="338">
        <f>ABS(+CATEGORIAS[[#This Row],[PRESUPUESTO
FINAL
PROYECTADO]]-CATEGORIAS[[#This Row],[TOTAL PRODUCCION
ACTUAL]])</f>
        <v>0</v>
      </c>
      <c r="AB443" s="222"/>
      <c r="AC443" s="134"/>
      <c r="AD443" s="134">
        <v>0</v>
      </c>
      <c r="AE443" s="221">
        <f>SUM(CATEGORIAS[[#This Row],[INVENTARIO]:[PROYECCION
DE COSTO
DEL SALDO]])</f>
        <v>0</v>
      </c>
      <c r="AF443" s="134"/>
      <c r="AG443" s="134">
        <f>+CATEGORIAS[[#This Row],[PRESUPUESTO
FINAL
PROYECTADO]]-CATEGORIAS[[#This Row],[COSTO REAL]]-CATEGORIAS[[#This Row],[PROYECCION
TOTAL DE COSTO]]</f>
        <v>73417152.518289402</v>
      </c>
    </row>
    <row r="444" spans="1:33" x14ac:dyDescent="0.25">
      <c r="A444" s="245"/>
      <c r="B444" s="245"/>
      <c r="C444" s="245"/>
      <c r="D444" s="323" t="s">
        <v>2176</v>
      </c>
      <c r="E444" s="244" t="s">
        <v>1227</v>
      </c>
      <c r="F444" s="246" t="s">
        <v>376</v>
      </c>
      <c r="G444" s="279">
        <v>0</v>
      </c>
      <c r="H444" s="279">
        <v>0</v>
      </c>
      <c r="I444" s="132">
        <v>0</v>
      </c>
      <c r="J444" s="132">
        <v>0</v>
      </c>
      <c r="K444" s="132">
        <v>0</v>
      </c>
      <c r="L444" s="144">
        <f>CATEGORIAS[[#This Row],[ADICIONALES]]+CATEGORIAS[[#This Row],[POM]]+CATEGORIAS[[#This Row],[REAJUSTE 
PAGADO]]+CATEGORIAS[[#This Row],[REAJUSTE
PROYECTADO]]</f>
        <v>0</v>
      </c>
      <c r="M444" s="133">
        <v>0</v>
      </c>
      <c r="N444" s="222">
        <v>0</v>
      </c>
      <c r="O444" s="142">
        <f>+CATEGORIAS[[#This Row],[PRODUCCION
PARTIDAS
ORIGINALES
ACTUAL]]+CATEGORIAS[[#This Row],[PRODUCCION
ADICIONALES
ACTUAL]]</f>
        <v>0</v>
      </c>
      <c r="P444" s="222">
        <v>0</v>
      </c>
      <c r="Q444" s="134">
        <v>0</v>
      </c>
      <c r="R444" s="141">
        <f>+CATEGORIAS[[#This Row],[PRODUCCION
ANTERIOR]]+CATEGORIAS[[#This Row],[PRODUCCION
ADICIONALES
ANTERIOR]]</f>
        <v>0</v>
      </c>
      <c r="S444" s="135">
        <v>0</v>
      </c>
      <c r="T444" s="135"/>
      <c r="U444" s="135">
        <v>0</v>
      </c>
      <c r="V444" s="262">
        <f>SUM(CATEGORIAS[[#This Row],[COSTO
ACUMULADO  AX]:[PROVISIONES]])</f>
        <v>0</v>
      </c>
      <c r="W444" s="264">
        <v>0</v>
      </c>
      <c r="X444" s="222"/>
      <c r="Y444" s="222">
        <v>0</v>
      </c>
      <c r="Z444" s="263">
        <f>SUM(CATEGORIAS[[#This Row],[COSTO ACUMULADO
ANTERIOR]:[PROVISIONES
ANTERIOR]])</f>
        <v>0</v>
      </c>
      <c r="AA444" s="338">
        <f>ABS(+CATEGORIAS[[#This Row],[PRESUPUESTO
FINAL
PROYECTADO]]-CATEGORIAS[[#This Row],[TOTAL PRODUCCION
ACTUAL]])</f>
        <v>0</v>
      </c>
      <c r="AB444" s="222"/>
      <c r="AC444" s="134"/>
      <c r="AD444" s="134">
        <v>0</v>
      </c>
      <c r="AE444" s="221">
        <f>SUM(CATEGORIAS[[#This Row],[INVENTARIO]:[PROYECCION
DE COSTO
DEL SALDO]])</f>
        <v>0</v>
      </c>
      <c r="AF444" s="134"/>
      <c r="AG444" s="134">
        <f>+CATEGORIAS[[#This Row],[PRESUPUESTO
FINAL
PROYECTADO]]-CATEGORIAS[[#This Row],[COSTO REAL]]-CATEGORIAS[[#This Row],[PROYECCION
TOTAL DE COSTO]]</f>
        <v>0</v>
      </c>
    </row>
    <row r="445" spans="1:33" x14ac:dyDescent="0.25">
      <c r="A445" s="245" t="s">
        <v>85</v>
      </c>
      <c r="B445" s="245" t="s">
        <v>204</v>
      </c>
      <c r="C445" s="245" t="s">
        <v>2386</v>
      </c>
      <c r="D445" s="323" t="s">
        <v>2177</v>
      </c>
      <c r="E445" s="244" t="s">
        <v>316</v>
      </c>
      <c r="F445" s="246" t="s">
        <v>379</v>
      </c>
      <c r="G445" s="279">
        <v>55445822.578890182</v>
      </c>
      <c r="H445" s="279">
        <v>47593644.708663382</v>
      </c>
      <c r="I445" s="132">
        <v>14654100.96125003</v>
      </c>
      <c r="J445" s="132">
        <v>1678073.6125935642</v>
      </c>
      <c r="K445" s="132">
        <v>0</v>
      </c>
      <c r="L445" s="144">
        <f>CATEGORIAS[[#This Row],[ADICIONALES]]+CATEGORIAS[[#This Row],[POM]]+CATEGORIAS[[#This Row],[REAJUSTE 
PAGADO]]+CATEGORIAS[[#This Row],[REAJUSTE
PROYECTADO]]</f>
        <v>63925819.282506973</v>
      </c>
      <c r="M445" s="133">
        <v>49262375.659711614</v>
      </c>
      <c r="N445" s="222">
        <v>14663443.622795358</v>
      </c>
      <c r="O445" s="142">
        <f>+CATEGORIAS[[#This Row],[PRODUCCION
PARTIDAS
ORIGINALES
ACTUAL]]+CATEGORIAS[[#This Row],[PRODUCCION
ADICIONALES
ACTUAL]]</f>
        <v>63925819.282506973</v>
      </c>
      <c r="P445" s="222">
        <v>49262375.659711614</v>
      </c>
      <c r="Q445" s="222">
        <v>14654100.96125003</v>
      </c>
      <c r="R445" s="141">
        <f>+CATEGORIAS[[#This Row],[PRODUCCION
ANTERIOR]]+CATEGORIAS[[#This Row],[PRODUCCION
ADICIONALES
ANTERIOR]]</f>
        <v>63916476.620961644</v>
      </c>
      <c r="S445" s="135">
        <v>75162130.599999994</v>
      </c>
      <c r="T445" s="135">
        <v>-22548639.179999996</v>
      </c>
      <c r="U445" s="135">
        <v>2670636</v>
      </c>
      <c r="V445" s="262">
        <f>SUM(CATEGORIAS[[#This Row],[COSTO
ACUMULADO  AX]:[PROVISIONES]])</f>
        <v>55284127.420000002</v>
      </c>
      <c r="W445" s="264">
        <v>75162130.599999994</v>
      </c>
      <c r="X445" s="222">
        <v>-22548639.179999996</v>
      </c>
      <c r="Y445" s="222">
        <v>2670636</v>
      </c>
      <c r="Z445" s="263">
        <f>SUM(CATEGORIAS[[#This Row],[COSTO ACUMULADO
ANTERIOR]:[PROVISIONES
ANTERIOR]])</f>
        <v>55284127.420000002</v>
      </c>
      <c r="AA445" s="338">
        <f>ABS(+CATEGORIAS[[#This Row],[PRESUPUESTO
FINAL
PROYECTADO]]-CATEGORIAS[[#This Row],[TOTAL PRODUCCION
ACTUAL]])</f>
        <v>0</v>
      </c>
      <c r="AB445" s="222"/>
      <c r="AC445" s="134"/>
      <c r="AD445" s="134">
        <v>0</v>
      </c>
      <c r="AE445" s="221">
        <f>SUM(CATEGORIAS[[#This Row],[INVENTARIO]:[PROYECCION
DE COSTO
DEL SALDO]])</f>
        <v>0</v>
      </c>
      <c r="AF445" s="134"/>
      <c r="AG445" s="134">
        <f>+CATEGORIAS[[#This Row],[PRESUPUESTO
FINAL
PROYECTADO]]-CATEGORIAS[[#This Row],[COSTO REAL]]-CATEGORIAS[[#This Row],[PROYECCION
TOTAL DE COSTO]]</f>
        <v>8641691.8625069708</v>
      </c>
    </row>
    <row r="446" spans="1:33" x14ac:dyDescent="0.25">
      <c r="A446" s="245"/>
      <c r="B446" s="245"/>
      <c r="C446" s="245"/>
      <c r="D446" s="323" t="s">
        <v>2178</v>
      </c>
      <c r="E446" s="244" t="s">
        <v>1229</v>
      </c>
      <c r="F446" s="246" t="s">
        <v>376</v>
      </c>
      <c r="G446" s="279">
        <v>0</v>
      </c>
      <c r="H446" s="279">
        <v>0</v>
      </c>
      <c r="I446" s="132">
        <v>0</v>
      </c>
      <c r="J446" s="132">
        <v>0</v>
      </c>
      <c r="K446" s="132">
        <v>0</v>
      </c>
      <c r="L446" s="144">
        <f>CATEGORIAS[[#This Row],[ADICIONALES]]+CATEGORIAS[[#This Row],[POM]]+CATEGORIAS[[#This Row],[REAJUSTE 
PAGADO]]+CATEGORIAS[[#This Row],[REAJUSTE
PROYECTADO]]</f>
        <v>0</v>
      </c>
      <c r="M446" s="133">
        <v>0</v>
      </c>
      <c r="N446" s="222">
        <v>0</v>
      </c>
      <c r="O446" s="142">
        <f>+CATEGORIAS[[#This Row],[PRODUCCION
PARTIDAS
ORIGINALES
ACTUAL]]+CATEGORIAS[[#This Row],[PRODUCCION
ADICIONALES
ACTUAL]]</f>
        <v>0</v>
      </c>
      <c r="P446" s="222">
        <v>0</v>
      </c>
      <c r="Q446" s="134">
        <v>0</v>
      </c>
      <c r="R446" s="141">
        <f>+CATEGORIAS[[#This Row],[PRODUCCION
ANTERIOR]]+CATEGORIAS[[#This Row],[PRODUCCION
ADICIONALES
ANTERIOR]]</f>
        <v>0</v>
      </c>
      <c r="S446" s="135">
        <v>0</v>
      </c>
      <c r="T446" s="135"/>
      <c r="U446" s="135">
        <v>0</v>
      </c>
      <c r="V446" s="262">
        <f>SUM(CATEGORIAS[[#This Row],[COSTO
ACUMULADO  AX]:[PROVISIONES]])</f>
        <v>0</v>
      </c>
      <c r="W446" s="264">
        <v>0</v>
      </c>
      <c r="X446" s="222"/>
      <c r="Y446" s="222">
        <v>0</v>
      </c>
      <c r="Z446" s="263">
        <f>SUM(CATEGORIAS[[#This Row],[COSTO ACUMULADO
ANTERIOR]:[PROVISIONES
ANTERIOR]])</f>
        <v>0</v>
      </c>
      <c r="AA446" s="338">
        <f>ABS(+CATEGORIAS[[#This Row],[PRESUPUESTO
FINAL
PROYECTADO]]-CATEGORIAS[[#This Row],[TOTAL PRODUCCION
ACTUAL]])</f>
        <v>0</v>
      </c>
      <c r="AB446" s="222"/>
      <c r="AC446" s="134"/>
      <c r="AD446" s="134">
        <v>0</v>
      </c>
      <c r="AE446" s="221">
        <f>SUM(CATEGORIAS[[#This Row],[INVENTARIO]:[PROYECCION
DE COSTO
DEL SALDO]])</f>
        <v>0</v>
      </c>
      <c r="AF446" s="134"/>
      <c r="AG446" s="134">
        <f>+CATEGORIAS[[#This Row],[PRESUPUESTO
FINAL
PROYECTADO]]-CATEGORIAS[[#This Row],[COSTO REAL]]-CATEGORIAS[[#This Row],[PROYECCION
TOTAL DE COSTO]]</f>
        <v>0</v>
      </c>
    </row>
    <row r="447" spans="1:33" x14ac:dyDescent="0.25">
      <c r="A447" s="245"/>
      <c r="B447" s="245"/>
      <c r="C447" s="245"/>
      <c r="D447" s="323" t="s">
        <v>2179</v>
      </c>
      <c r="E447" s="244" t="s">
        <v>1231</v>
      </c>
      <c r="F447" s="246" t="s">
        <v>376</v>
      </c>
      <c r="G447" s="279">
        <v>0</v>
      </c>
      <c r="H447" s="279">
        <v>0</v>
      </c>
      <c r="I447" s="132">
        <v>0</v>
      </c>
      <c r="J447" s="132">
        <v>0</v>
      </c>
      <c r="K447" s="132">
        <v>0</v>
      </c>
      <c r="L447" s="144">
        <f>CATEGORIAS[[#This Row],[ADICIONALES]]+CATEGORIAS[[#This Row],[POM]]+CATEGORIAS[[#This Row],[REAJUSTE 
PAGADO]]+CATEGORIAS[[#This Row],[REAJUSTE
PROYECTADO]]</f>
        <v>0</v>
      </c>
      <c r="M447" s="133">
        <v>0</v>
      </c>
      <c r="N447" s="222">
        <v>0</v>
      </c>
      <c r="O447" s="142">
        <f>+CATEGORIAS[[#This Row],[PRODUCCION
PARTIDAS
ORIGINALES
ACTUAL]]+CATEGORIAS[[#This Row],[PRODUCCION
ADICIONALES
ACTUAL]]</f>
        <v>0</v>
      </c>
      <c r="P447" s="222">
        <v>0</v>
      </c>
      <c r="Q447" s="222">
        <v>0</v>
      </c>
      <c r="R447" s="141">
        <f>+CATEGORIAS[[#This Row],[PRODUCCION
ANTERIOR]]+CATEGORIAS[[#This Row],[PRODUCCION
ADICIONALES
ANTERIOR]]</f>
        <v>0</v>
      </c>
      <c r="S447" s="135">
        <v>0</v>
      </c>
      <c r="T447" s="135"/>
      <c r="U447" s="135">
        <v>0</v>
      </c>
      <c r="V447" s="262">
        <f>SUM(CATEGORIAS[[#This Row],[COSTO
ACUMULADO  AX]:[PROVISIONES]])</f>
        <v>0</v>
      </c>
      <c r="W447" s="264">
        <v>0</v>
      </c>
      <c r="X447" s="222"/>
      <c r="Y447" s="222">
        <v>0</v>
      </c>
      <c r="Z447" s="263">
        <f>SUM(CATEGORIAS[[#This Row],[COSTO ACUMULADO
ANTERIOR]:[PROVISIONES
ANTERIOR]])</f>
        <v>0</v>
      </c>
      <c r="AA447" s="338">
        <f>ABS(+CATEGORIAS[[#This Row],[PRESUPUESTO
FINAL
PROYECTADO]]-CATEGORIAS[[#This Row],[TOTAL PRODUCCION
ACTUAL]])</f>
        <v>0</v>
      </c>
      <c r="AB447" s="222"/>
      <c r="AC447" s="134"/>
      <c r="AD447" s="134">
        <v>0</v>
      </c>
      <c r="AE447" s="221">
        <f>SUM(CATEGORIAS[[#This Row],[INVENTARIO]:[PROYECCION
DE COSTO
DEL SALDO]])</f>
        <v>0</v>
      </c>
      <c r="AF447" s="134"/>
      <c r="AG447" s="134">
        <f>+CATEGORIAS[[#This Row],[PRESUPUESTO
FINAL
PROYECTADO]]-CATEGORIAS[[#This Row],[COSTO REAL]]-CATEGORIAS[[#This Row],[PROYECCION
TOTAL DE COSTO]]</f>
        <v>0</v>
      </c>
    </row>
    <row r="448" spans="1:33" x14ac:dyDescent="0.25">
      <c r="A448" s="245"/>
      <c r="B448" s="245"/>
      <c r="C448" s="245"/>
      <c r="D448" s="323" t="s">
        <v>2180</v>
      </c>
      <c r="E448" s="244" t="s">
        <v>1231</v>
      </c>
      <c r="F448" s="246" t="s">
        <v>376</v>
      </c>
      <c r="G448" s="279">
        <v>0</v>
      </c>
      <c r="H448" s="279">
        <v>0</v>
      </c>
      <c r="I448" s="132">
        <v>0</v>
      </c>
      <c r="J448" s="132">
        <v>0</v>
      </c>
      <c r="K448" s="132">
        <v>0</v>
      </c>
      <c r="L448" s="144">
        <f>CATEGORIAS[[#This Row],[ADICIONALES]]+CATEGORIAS[[#This Row],[POM]]+CATEGORIAS[[#This Row],[REAJUSTE 
PAGADO]]+CATEGORIAS[[#This Row],[REAJUSTE
PROYECTADO]]</f>
        <v>0</v>
      </c>
      <c r="M448" s="133">
        <v>0</v>
      </c>
      <c r="N448" s="222">
        <v>0</v>
      </c>
      <c r="O448" s="142">
        <f>+CATEGORIAS[[#This Row],[PRODUCCION
PARTIDAS
ORIGINALES
ACTUAL]]+CATEGORIAS[[#This Row],[PRODUCCION
ADICIONALES
ACTUAL]]</f>
        <v>0</v>
      </c>
      <c r="P448" s="222">
        <v>0</v>
      </c>
      <c r="Q448" s="134">
        <v>0</v>
      </c>
      <c r="R448" s="141">
        <f>+CATEGORIAS[[#This Row],[PRODUCCION
ANTERIOR]]+CATEGORIAS[[#This Row],[PRODUCCION
ADICIONALES
ANTERIOR]]</f>
        <v>0</v>
      </c>
      <c r="S448" s="135">
        <v>0</v>
      </c>
      <c r="T448" s="135"/>
      <c r="U448" s="135">
        <v>0</v>
      </c>
      <c r="V448" s="262">
        <f>SUM(CATEGORIAS[[#This Row],[COSTO
ACUMULADO  AX]:[PROVISIONES]])</f>
        <v>0</v>
      </c>
      <c r="W448" s="264">
        <v>0</v>
      </c>
      <c r="X448" s="222"/>
      <c r="Y448" s="222">
        <v>0</v>
      </c>
      <c r="Z448" s="263">
        <f>SUM(CATEGORIAS[[#This Row],[COSTO ACUMULADO
ANTERIOR]:[PROVISIONES
ANTERIOR]])</f>
        <v>0</v>
      </c>
      <c r="AA448" s="338">
        <f>ABS(+CATEGORIAS[[#This Row],[PRESUPUESTO
FINAL
PROYECTADO]]-CATEGORIAS[[#This Row],[TOTAL PRODUCCION
ACTUAL]])</f>
        <v>0</v>
      </c>
      <c r="AB448" s="222"/>
      <c r="AC448" s="134"/>
      <c r="AD448" s="134">
        <v>0</v>
      </c>
      <c r="AE448" s="221">
        <f>SUM(CATEGORIAS[[#This Row],[INVENTARIO]:[PROYECCION
DE COSTO
DEL SALDO]])</f>
        <v>0</v>
      </c>
      <c r="AF448" s="134"/>
      <c r="AG448" s="134">
        <f>+CATEGORIAS[[#This Row],[PRESUPUESTO
FINAL
PROYECTADO]]-CATEGORIAS[[#This Row],[COSTO REAL]]-CATEGORIAS[[#This Row],[PROYECCION
TOTAL DE COSTO]]</f>
        <v>0</v>
      </c>
    </row>
    <row r="449" spans="1:33" x14ac:dyDescent="0.25">
      <c r="A449" s="245"/>
      <c r="B449" s="245"/>
      <c r="C449" s="245"/>
      <c r="D449" s="323" t="s">
        <v>2181</v>
      </c>
      <c r="E449" s="244" t="s">
        <v>1234</v>
      </c>
      <c r="F449" s="246" t="s">
        <v>376</v>
      </c>
      <c r="G449" s="279">
        <v>0</v>
      </c>
      <c r="H449" s="279">
        <v>0</v>
      </c>
      <c r="I449" s="132">
        <v>0</v>
      </c>
      <c r="J449" s="132">
        <v>0</v>
      </c>
      <c r="K449" s="132">
        <v>0</v>
      </c>
      <c r="L449" s="144">
        <f>CATEGORIAS[[#This Row],[ADICIONALES]]+CATEGORIAS[[#This Row],[POM]]+CATEGORIAS[[#This Row],[REAJUSTE 
PAGADO]]+CATEGORIAS[[#This Row],[REAJUSTE
PROYECTADO]]</f>
        <v>0</v>
      </c>
      <c r="M449" s="133">
        <v>0</v>
      </c>
      <c r="N449" s="222">
        <v>0</v>
      </c>
      <c r="O449" s="142">
        <f>+CATEGORIAS[[#This Row],[PRODUCCION
PARTIDAS
ORIGINALES
ACTUAL]]+CATEGORIAS[[#This Row],[PRODUCCION
ADICIONALES
ACTUAL]]</f>
        <v>0</v>
      </c>
      <c r="P449" s="222">
        <v>0</v>
      </c>
      <c r="Q449" s="222">
        <v>0</v>
      </c>
      <c r="R449" s="141">
        <f>+CATEGORIAS[[#This Row],[PRODUCCION
ANTERIOR]]+CATEGORIAS[[#This Row],[PRODUCCION
ADICIONALES
ANTERIOR]]</f>
        <v>0</v>
      </c>
      <c r="S449" s="135">
        <v>0</v>
      </c>
      <c r="T449" s="135"/>
      <c r="U449" s="135">
        <v>0</v>
      </c>
      <c r="V449" s="262">
        <f>SUM(CATEGORIAS[[#This Row],[COSTO
ACUMULADO  AX]:[PROVISIONES]])</f>
        <v>0</v>
      </c>
      <c r="W449" s="264">
        <v>0</v>
      </c>
      <c r="X449" s="222"/>
      <c r="Y449" s="222">
        <v>0</v>
      </c>
      <c r="Z449" s="263">
        <f>SUM(CATEGORIAS[[#This Row],[COSTO ACUMULADO
ANTERIOR]:[PROVISIONES
ANTERIOR]])</f>
        <v>0</v>
      </c>
      <c r="AA449" s="338">
        <f>ABS(+CATEGORIAS[[#This Row],[PRESUPUESTO
FINAL
PROYECTADO]]-CATEGORIAS[[#This Row],[TOTAL PRODUCCION
ACTUAL]])</f>
        <v>0</v>
      </c>
      <c r="AB449" s="222"/>
      <c r="AC449" s="134"/>
      <c r="AD449" s="134">
        <v>0</v>
      </c>
      <c r="AE449" s="221">
        <f>SUM(CATEGORIAS[[#This Row],[INVENTARIO]:[PROYECCION
DE COSTO
DEL SALDO]])</f>
        <v>0</v>
      </c>
      <c r="AF449" s="134"/>
      <c r="AG449" s="134">
        <f>+CATEGORIAS[[#This Row],[PRESUPUESTO
FINAL
PROYECTADO]]-CATEGORIAS[[#This Row],[COSTO REAL]]-CATEGORIAS[[#This Row],[PROYECCION
TOTAL DE COSTO]]</f>
        <v>0</v>
      </c>
    </row>
    <row r="450" spans="1:33" x14ac:dyDescent="0.25">
      <c r="A450" s="245"/>
      <c r="B450" s="245"/>
      <c r="C450" s="245"/>
      <c r="D450" s="323" t="s">
        <v>2182</v>
      </c>
      <c r="E450" s="244" t="s">
        <v>1236</v>
      </c>
      <c r="F450" s="246" t="s">
        <v>376</v>
      </c>
      <c r="G450" s="279">
        <v>0</v>
      </c>
      <c r="H450" s="279">
        <v>0</v>
      </c>
      <c r="I450" s="132">
        <v>0</v>
      </c>
      <c r="J450" s="132">
        <v>0</v>
      </c>
      <c r="K450" s="132">
        <v>0</v>
      </c>
      <c r="L450" s="144">
        <f>CATEGORIAS[[#This Row],[ADICIONALES]]+CATEGORIAS[[#This Row],[POM]]+CATEGORIAS[[#This Row],[REAJUSTE 
PAGADO]]+CATEGORIAS[[#This Row],[REAJUSTE
PROYECTADO]]</f>
        <v>0</v>
      </c>
      <c r="M450" s="133">
        <v>0</v>
      </c>
      <c r="N450" s="222">
        <v>0</v>
      </c>
      <c r="O450" s="142">
        <f>+CATEGORIAS[[#This Row],[PRODUCCION
PARTIDAS
ORIGINALES
ACTUAL]]+CATEGORIAS[[#This Row],[PRODUCCION
ADICIONALES
ACTUAL]]</f>
        <v>0</v>
      </c>
      <c r="P450" s="222">
        <v>0</v>
      </c>
      <c r="Q450" s="134">
        <v>0</v>
      </c>
      <c r="R450" s="141">
        <f>+CATEGORIAS[[#This Row],[PRODUCCION
ANTERIOR]]+CATEGORIAS[[#This Row],[PRODUCCION
ADICIONALES
ANTERIOR]]</f>
        <v>0</v>
      </c>
      <c r="S450" s="135">
        <v>0</v>
      </c>
      <c r="T450" s="135"/>
      <c r="U450" s="135">
        <v>0</v>
      </c>
      <c r="V450" s="262">
        <f>SUM(CATEGORIAS[[#This Row],[COSTO
ACUMULADO  AX]:[PROVISIONES]])</f>
        <v>0</v>
      </c>
      <c r="W450" s="264">
        <v>0</v>
      </c>
      <c r="X450" s="222"/>
      <c r="Y450" s="222">
        <v>0</v>
      </c>
      <c r="Z450" s="263">
        <f>SUM(CATEGORIAS[[#This Row],[COSTO ACUMULADO
ANTERIOR]:[PROVISIONES
ANTERIOR]])</f>
        <v>0</v>
      </c>
      <c r="AA450" s="338">
        <f>ABS(+CATEGORIAS[[#This Row],[PRESUPUESTO
FINAL
PROYECTADO]]-CATEGORIAS[[#This Row],[TOTAL PRODUCCION
ACTUAL]])</f>
        <v>0</v>
      </c>
      <c r="AB450" s="222"/>
      <c r="AC450" s="134"/>
      <c r="AD450" s="134">
        <v>0</v>
      </c>
      <c r="AE450" s="221">
        <f>SUM(CATEGORIAS[[#This Row],[INVENTARIO]:[PROYECCION
DE COSTO
DEL SALDO]])</f>
        <v>0</v>
      </c>
      <c r="AF450" s="134"/>
      <c r="AG450" s="134">
        <f>+CATEGORIAS[[#This Row],[PRESUPUESTO
FINAL
PROYECTADO]]-CATEGORIAS[[#This Row],[COSTO REAL]]-CATEGORIAS[[#This Row],[PROYECCION
TOTAL DE COSTO]]</f>
        <v>0</v>
      </c>
    </row>
    <row r="451" spans="1:33" x14ac:dyDescent="0.25">
      <c r="A451" s="245"/>
      <c r="B451" s="245"/>
      <c r="C451" s="245"/>
      <c r="D451" s="323" t="s">
        <v>2183</v>
      </c>
      <c r="E451" s="244" t="s">
        <v>1238</v>
      </c>
      <c r="F451" s="246" t="s">
        <v>376</v>
      </c>
      <c r="G451" s="279">
        <v>0</v>
      </c>
      <c r="H451" s="279">
        <v>0</v>
      </c>
      <c r="I451" s="132">
        <v>0</v>
      </c>
      <c r="J451" s="132">
        <v>0</v>
      </c>
      <c r="K451" s="132">
        <v>0</v>
      </c>
      <c r="L451" s="144">
        <f>CATEGORIAS[[#This Row],[ADICIONALES]]+CATEGORIAS[[#This Row],[POM]]+CATEGORIAS[[#This Row],[REAJUSTE 
PAGADO]]+CATEGORIAS[[#This Row],[REAJUSTE
PROYECTADO]]</f>
        <v>0</v>
      </c>
      <c r="M451" s="133">
        <v>0</v>
      </c>
      <c r="N451" s="222">
        <v>0</v>
      </c>
      <c r="O451" s="142">
        <f>+CATEGORIAS[[#This Row],[PRODUCCION
PARTIDAS
ORIGINALES
ACTUAL]]+CATEGORIAS[[#This Row],[PRODUCCION
ADICIONALES
ACTUAL]]</f>
        <v>0</v>
      </c>
      <c r="P451" s="222">
        <v>0</v>
      </c>
      <c r="Q451" s="222">
        <v>0</v>
      </c>
      <c r="R451" s="141">
        <f>+CATEGORIAS[[#This Row],[PRODUCCION
ANTERIOR]]+CATEGORIAS[[#This Row],[PRODUCCION
ADICIONALES
ANTERIOR]]</f>
        <v>0</v>
      </c>
      <c r="S451" s="135">
        <v>0</v>
      </c>
      <c r="T451" s="135"/>
      <c r="U451" s="135">
        <v>0</v>
      </c>
      <c r="V451" s="262">
        <f>SUM(CATEGORIAS[[#This Row],[COSTO
ACUMULADO  AX]:[PROVISIONES]])</f>
        <v>0</v>
      </c>
      <c r="W451" s="264">
        <v>0</v>
      </c>
      <c r="X451" s="222"/>
      <c r="Y451" s="222">
        <v>0</v>
      </c>
      <c r="Z451" s="263">
        <f>SUM(CATEGORIAS[[#This Row],[COSTO ACUMULADO
ANTERIOR]:[PROVISIONES
ANTERIOR]])</f>
        <v>0</v>
      </c>
      <c r="AA451" s="338">
        <f>ABS(+CATEGORIAS[[#This Row],[PRESUPUESTO
FINAL
PROYECTADO]]-CATEGORIAS[[#This Row],[TOTAL PRODUCCION
ACTUAL]])</f>
        <v>0</v>
      </c>
      <c r="AB451" s="222"/>
      <c r="AC451" s="134"/>
      <c r="AD451" s="134">
        <v>0</v>
      </c>
      <c r="AE451" s="221">
        <f>SUM(CATEGORIAS[[#This Row],[INVENTARIO]:[PROYECCION
DE COSTO
DEL SALDO]])</f>
        <v>0</v>
      </c>
      <c r="AF451" s="134"/>
      <c r="AG451" s="134">
        <f>+CATEGORIAS[[#This Row],[PRESUPUESTO
FINAL
PROYECTADO]]-CATEGORIAS[[#This Row],[COSTO REAL]]-CATEGORIAS[[#This Row],[PROYECCION
TOTAL DE COSTO]]</f>
        <v>0</v>
      </c>
    </row>
    <row r="452" spans="1:33" x14ac:dyDescent="0.25">
      <c r="A452" s="245"/>
      <c r="B452" s="245"/>
      <c r="C452" s="245"/>
      <c r="D452" s="323" t="s">
        <v>2184</v>
      </c>
      <c r="E452" s="244" t="s">
        <v>1238</v>
      </c>
      <c r="F452" s="246" t="s">
        <v>376</v>
      </c>
      <c r="G452" s="279">
        <v>0</v>
      </c>
      <c r="H452" s="279">
        <v>0</v>
      </c>
      <c r="I452" s="132">
        <v>0</v>
      </c>
      <c r="J452" s="132">
        <v>0</v>
      </c>
      <c r="K452" s="132">
        <v>0</v>
      </c>
      <c r="L452" s="144">
        <f>CATEGORIAS[[#This Row],[ADICIONALES]]+CATEGORIAS[[#This Row],[POM]]+CATEGORIAS[[#This Row],[REAJUSTE 
PAGADO]]+CATEGORIAS[[#This Row],[REAJUSTE
PROYECTADO]]</f>
        <v>0</v>
      </c>
      <c r="M452" s="133">
        <v>0</v>
      </c>
      <c r="N452" s="222">
        <v>0</v>
      </c>
      <c r="O452" s="142">
        <f>+CATEGORIAS[[#This Row],[PRODUCCION
PARTIDAS
ORIGINALES
ACTUAL]]+CATEGORIAS[[#This Row],[PRODUCCION
ADICIONALES
ACTUAL]]</f>
        <v>0</v>
      </c>
      <c r="P452" s="222">
        <v>0</v>
      </c>
      <c r="Q452" s="222">
        <v>0</v>
      </c>
      <c r="R452" s="141">
        <f>+CATEGORIAS[[#This Row],[PRODUCCION
ANTERIOR]]+CATEGORIAS[[#This Row],[PRODUCCION
ADICIONALES
ANTERIOR]]</f>
        <v>0</v>
      </c>
      <c r="S452" s="135">
        <v>0</v>
      </c>
      <c r="T452" s="135"/>
      <c r="U452" s="135">
        <v>0</v>
      </c>
      <c r="V452" s="262">
        <f>SUM(CATEGORIAS[[#This Row],[COSTO
ACUMULADO  AX]:[PROVISIONES]])</f>
        <v>0</v>
      </c>
      <c r="W452" s="264">
        <v>0</v>
      </c>
      <c r="X452" s="222"/>
      <c r="Y452" s="222">
        <v>0</v>
      </c>
      <c r="Z452" s="263">
        <f>SUM(CATEGORIAS[[#This Row],[COSTO ACUMULADO
ANTERIOR]:[PROVISIONES
ANTERIOR]])</f>
        <v>0</v>
      </c>
      <c r="AA452" s="338">
        <f>ABS(+CATEGORIAS[[#This Row],[PRESUPUESTO
FINAL
PROYECTADO]]-CATEGORIAS[[#This Row],[TOTAL PRODUCCION
ACTUAL]])</f>
        <v>0</v>
      </c>
      <c r="AB452" s="222"/>
      <c r="AC452" s="134"/>
      <c r="AD452" s="134">
        <v>0</v>
      </c>
      <c r="AE452" s="221">
        <f>SUM(CATEGORIAS[[#This Row],[INVENTARIO]:[PROYECCION
DE COSTO
DEL SALDO]])</f>
        <v>0</v>
      </c>
      <c r="AF452" s="134"/>
      <c r="AG452" s="134">
        <f>+CATEGORIAS[[#This Row],[PRESUPUESTO
FINAL
PROYECTADO]]-CATEGORIAS[[#This Row],[COSTO REAL]]-CATEGORIAS[[#This Row],[PROYECCION
TOTAL DE COSTO]]</f>
        <v>0</v>
      </c>
    </row>
    <row r="453" spans="1:33" x14ac:dyDescent="0.25">
      <c r="A453" s="245" t="s">
        <v>97</v>
      </c>
      <c r="B453" s="245" t="s">
        <v>2452</v>
      </c>
      <c r="C453" s="245" t="s">
        <v>2451</v>
      </c>
      <c r="D453" s="323" t="s">
        <v>2185</v>
      </c>
      <c r="E453" s="244" t="s">
        <v>1243</v>
      </c>
      <c r="F453" s="246" t="s">
        <v>376</v>
      </c>
      <c r="G453" s="279">
        <v>180048876.79006767</v>
      </c>
      <c r="H453" s="279">
        <v>154223408.42889392</v>
      </c>
      <c r="I453" s="132">
        <v>42534649.904760443</v>
      </c>
      <c r="J453" s="132">
        <v>5437663.6568381628</v>
      </c>
      <c r="K453" s="132">
        <v>0</v>
      </c>
      <c r="L453" s="144">
        <f>CATEGORIAS[[#This Row],[ADICIONALES]]+CATEGORIAS[[#This Row],[POM]]+CATEGORIAS[[#This Row],[REAJUSTE 
PAGADO]]+CATEGORIAS[[#This Row],[REAJUSTE
PROYECTADO]]</f>
        <v>202195721.99049252</v>
      </c>
      <c r="M453" s="133">
        <v>159630797.93639687</v>
      </c>
      <c r="N453" s="134">
        <v>42564924.054095648</v>
      </c>
      <c r="O453" s="142">
        <f>+CATEGORIAS[[#This Row],[PRODUCCION
PARTIDAS
ORIGINALES
ACTUAL]]+CATEGORIAS[[#This Row],[PRODUCCION
ADICIONALES
ACTUAL]]</f>
        <v>202195721.99049252</v>
      </c>
      <c r="P453" s="222">
        <v>159630797.93639687</v>
      </c>
      <c r="Q453" s="222">
        <v>42534649.904760443</v>
      </c>
      <c r="R453" s="141">
        <f>+CATEGORIAS[[#This Row],[PRODUCCION
ANTERIOR]]+CATEGORIAS[[#This Row],[PRODUCCION
ADICIONALES
ANTERIOR]]</f>
        <v>202165447.84115732</v>
      </c>
      <c r="S453" s="135">
        <v>211932874</v>
      </c>
      <c r="T453" s="135"/>
      <c r="U453" s="135">
        <v>0</v>
      </c>
      <c r="V453" s="262">
        <f>SUM(CATEGORIAS[[#This Row],[COSTO
ACUMULADO  AX]:[PROVISIONES]])</f>
        <v>211932874</v>
      </c>
      <c r="W453" s="264">
        <v>211482474</v>
      </c>
      <c r="X453" s="222"/>
      <c r="Y453" s="222">
        <v>400000</v>
      </c>
      <c r="Z453" s="263">
        <f>SUM(CATEGORIAS[[#This Row],[COSTO ACUMULADO
ANTERIOR]:[PROVISIONES
ANTERIOR]])</f>
        <v>211882474</v>
      </c>
      <c r="AA453" s="338">
        <f>ABS(+CATEGORIAS[[#This Row],[PRESUPUESTO
FINAL
PROYECTADO]]-CATEGORIAS[[#This Row],[TOTAL PRODUCCION
ACTUAL]])</f>
        <v>0</v>
      </c>
      <c r="AB453" s="222"/>
      <c r="AC453" s="134"/>
      <c r="AD453" s="134">
        <v>0</v>
      </c>
      <c r="AE453" s="221">
        <f>SUM(CATEGORIAS[[#This Row],[INVENTARIO]:[PROYECCION
DE COSTO
DEL SALDO]])</f>
        <v>0</v>
      </c>
      <c r="AF453" s="134"/>
      <c r="AG453" s="134">
        <f>+CATEGORIAS[[#This Row],[PRESUPUESTO
FINAL
PROYECTADO]]-CATEGORIAS[[#This Row],[COSTO REAL]]-CATEGORIAS[[#This Row],[PROYECCION
TOTAL DE COSTO]]</f>
        <v>-9737152.0095074773</v>
      </c>
    </row>
    <row r="454" spans="1:33" x14ac:dyDescent="0.25">
      <c r="A454" s="245"/>
      <c r="B454" s="245"/>
      <c r="C454" s="245"/>
      <c r="D454" s="323" t="s">
        <v>2186</v>
      </c>
      <c r="E454" s="244" t="s">
        <v>1245</v>
      </c>
      <c r="F454" s="246" t="s">
        <v>376</v>
      </c>
      <c r="G454" s="279">
        <v>0</v>
      </c>
      <c r="H454" s="279">
        <v>0</v>
      </c>
      <c r="I454" s="132">
        <v>0</v>
      </c>
      <c r="J454" s="132">
        <v>0</v>
      </c>
      <c r="K454" s="132">
        <v>0</v>
      </c>
      <c r="L454" s="144">
        <f>CATEGORIAS[[#This Row],[ADICIONALES]]+CATEGORIAS[[#This Row],[POM]]+CATEGORIAS[[#This Row],[REAJUSTE 
PAGADO]]+CATEGORIAS[[#This Row],[REAJUSTE
PROYECTADO]]</f>
        <v>0</v>
      </c>
      <c r="M454" s="133">
        <v>0</v>
      </c>
      <c r="N454" s="222">
        <v>0</v>
      </c>
      <c r="O454" s="142">
        <f>+CATEGORIAS[[#This Row],[PRODUCCION
PARTIDAS
ORIGINALES
ACTUAL]]+CATEGORIAS[[#This Row],[PRODUCCION
ADICIONALES
ACTUAL]]</f>
        <v>0</v>
      </c>
      <c r="P454" s="222">
        <v>0</v>
      </c>
      <c r="Q454" s="222">
        <v>0</v>
      </c>
      <c r="R454" s="141">
        <f>+CATEGORIAS[[#This Row],[PRODUCCION
ANTERIOR]]+CATEGORIAS[[#This Row],[PRODUCCION
ADICIONALES
ANTERIOR]]</f>
        <v>0</v>
      </c>
      <c r="S454" s="135">
        <v>0</v>
      </c>
      <c r="T454" s="135"/>
      <c r="U454" s="135">
        <v>0</v>
      </c>
      <c r="V454" s="262">
        <f>SUM(CATEGORIAS[[#This Row],[COSTO
ACUMULADO  AX]:[PROVISIONES]])</f>
        <v>0</v>
      </c>
      <c r="W454" s="264">
        <v>0</v>
      </c>
      <c r="X454" s="222"/>
      <c r="Y454" s="222">
        <v>0</v>
      </c>
      <c r="Z454" s="263">
        <f>SUM(CATEGORIAS[[#This Row],[COSTO ACUMULADO
ANTERIOR]:[PROVISIONES
ANTERIOR]])</f>
        <v>0</v>
      </c>
      <c r="AA454" s="338">
        <f>ABS(+CATEGORIAS[[#This Row],[PRESUPUESTO
FINAL
PROYECTADO]]-CATEGORIAS[[#This Row],[TOTAL PRODUCCION
ACTUAL]])</f>
        <v>0</v>
      </c>
      <c r="AB454" s="222"/>
      <c r="AC454" s="134"/>
      <c r="AD454" s="134">
        <v>0</v>
      </c>
      <c r="AE454" s="221">
        <f>SUM(CATEGORIAS[[#This Row],[INVENTARIO]:[PROYECCION
DE COSTO
DEL SALDO]])</f>
        <v>0</v>
      </c>
      <c r="AF454" s="134"/>
      <c r="AG454" s="134">
        <f>+CATEGORIAS[[#This Row],[PRESUPUESTO
FINAL
PROYECTADO]]-CATEGORIAS[[#This Row],[COSTO REAL]]-CATEGORIAS[[#This Row],[PROYECCION
TOTAL DE COSTO]]</f>
        <v>0</v>
      </c>
    </row>
    <row r="455" spans="1:33" x14ac:dyDescent="0.25">
      <c r="A455" s="245"/>
      <c r="B455" s="245"/>
      <c r="C455" s="245"/>
      <c r="D455" s="323" t="s">
        <v>2187</v>
      </c>
      <c r="E455" s="244" t="s">
        <v>2188</v>
      </c>
      <c r="F455" s="246" t="s">
        <v>376</v>
      </c>
      <c r="G455" s="279">
        <v>0</v>
      </c>
      <c r="H455" s="279">
        <v>0</v>
      </c>
      <c r="I455" s="132">
        <v>0</v>
      </c>
      <c r="J455" s="132">
        <v>0</v>
      </c>
      <c r="K455" s="132">
        <v>0</v>
      </c>
      <c r="L455" s="144">
        <f>CATEGORIAS[[#This Row],[ADICIONALES]]+CATEGORIAS[[#This Row],[POM]]+CATEGORIAS[[#This Row],[REAJUSTE 
PAGADO]]+CATEGORIAS[[#This Row],[REAJUSTE
PROYECTADO]]</f>
        <v>0</v>
      </c>
      <c r="M455" s="133">
        <v>0</v>
      </c>
      <c r="N455" s="222">
        <v>0</v>
      </c>
      <c r="O455" s="142">
        <f>+CATEGORIAS[[#This Row],[PRODUCCION
PARTIDAS
ORIGINALES
ACTUAL]]+CATEGORIAS[[#This Row],[PRODUCCION
ADICIONALES
ACTUAL]]</f>
        <v>0</v>
      </c>
      <c r="P455" s="222">
        <v>0</v>
      </c>
      <c r="Q455" s="134">
        <v>0</v>
      </c>
      <c r="R455" s="141">
        <f>+CATEGORIAS[[#This Row],[PRODUCCION
ANTERIOR]]+CATEGORIAS[[#This Row],[PRODUCCION
ADICIONALES
ANTERIOR]]</f>
        <v>0</v>
      </c>
      <c r="S455" s="135">
        <v>0</v>
      </c>
      <c r="T455" s="135"/>
      <c r="U455" s="135">
        <v>0</v>
      </c>
      <c r="V455" s="262">
        <f>SUM(CATEGORIAS[[#This Row],[COSTO
ACUMULADO  AX]:[PROVISIONES]])</f>
        <v>0</v>
      </c>
      <c r="W455" s="264">
        <v>0</v>
      </c>
      <c r="X455" s="222"/>
      <c r="Y455" s="222">
        <v>0</v>
      </c>
      <c r="Z455" s="263">
        <f>SUM(CATEGORIAS[[#This Row],[COSTO ACUMULADO
ANTERIOR]:[PROVISIONES
ANTERIOR]])</f>
        <v>0</v>
      </c>
      <c r="AA455" s="338">
        <f>ABS(+CATEGORIAS[[#This Row],[PRESUPUESTO
FINAL
PROYECTADO]]-CATEGORIAS[[#This Row],[TOTAL PRODUCCION
ACTUAL]])</f>
        <v>0</v>
      </c>
      <c r="AB455" s="222"/>
      <c r="AC455" s="134"/>
      <c r="AD455" s="134">
        <v>0</v>
      </c>
      <c r="AE455" s="221">
        <f>SUM(CATEGORIAS[[#This Row],[INVENTARIO]:[PROYECCION
DE COSTO
DEL SALDO]])</f>
        <v>0</v>
      </c>
      <c r="AF455" s="134"/>
      <c r="AG455" s="134">
        <f>+CATEGORIAS[[#This Row],[PRESUPUESTO
FINAL
PROYECTADO]]-CATEGORIAS[[#This Row],[COSTO REAL]]-CATEGORIAS[[#This Row],[PROYECCION
TOTAL DE COSTO]]</f>
        <v>0</v>
      </c>
    </row>
    <row r="456" spans="1:33" x14ac:dyDescent="0.25">
      <c r="A456" s="245"/>
      <c r="B456" s="245"/>
      <c r="C456" s="245"/>
      <c r="D456" s="323" t="s">
        <v>2189</v>
      </c>
      <c r="E456" s="244" t="s">
        <v>2190</v>
      </c>
      <c r="F456" s="246" t="s">
        <v>376</v>
      </c>
      <c r="G456" s="279">
        <v>0</v>
      </c>
      <c r="H456" s="279">
        <v>0</v>
      </c>
      <c r="I456" s="132">
        <v>0</v>
      </c>
      <c r="J456" s="132">
        <v>0</v>
      </c>
      <c r="K456" s="132">
        <v>0</v>
      </c>
      <c r="L456" s="144">
        <f>CATEGORIAS[[#This Row],[ADICIONALES]]+CATEGORIAS[[#This Row],[POM]]+CATEGORIAS[[#This Row],[REAJUSTE 
PAGADO]]+CATEGORIAS[[#This Row],[REAJUSTE
PROYECTADO]]</f>
        <v>0</v>
      </c>
      <c r="M456" s="133">
        <v>0</v>
      </c>
      <c r="N456" s="222">
        <v>0</v>
      </c>
      <c r="O456" s="142">
        <f>+CATEGORIAS[[#This Row],[PRODUCCION
PARTIDAS
ORIGINALES
ACTUAL]]+CATEGORIAS[[#This Row],[PRODUCCION
ADICIONALES
ACTUAL]]</f>
        <v>0</v>
      </c>
      <c r="P456" s="222">
        <v>0</v>
      </c>
      <c r="Q456" s="222">
        <v>0</v>
      </c>
      <c r="R456" s="141">
        <f>+CATEGORIAS[[#This Row],[PRODUCCION
ANTERIOR]]+CATEGORIAS[[#This Row],[PRODUCCION
ADICIONALES
ANTERIOR]]</f>
        <v>0</v>
      </c>
      <c r="S456" s="135">
        <v>0</v>
      </c>
      <c r="T456" s="135"/>
      <c r="U456" s="135">
        <v>0</v>
      </c>
      <c r="V456" s="262">
        <f>SUM(CATEGORIAS[[#This Row],[COSTO
ACUMULADO  AX]:[PROVISIONES]])</f>
        <v>0</v>
      </c>
      <c r="W456" s="264">
        <v>0</v>
      </c>
      <c r="X456" s="222"/>
      <c r="Y456" s="222">
        <v>0</v>
      </c>
      <c r="Z456" s="263">
        <f>SUM(CATEGORIAS[[#This Row],[COSTO ACUMULADO
ANTERIOR]:[PROVISIONES
ANTERIOR]])</f>
        <v>0</v>
      </c>
      <c r="AA456" s="338">
        <f>ABS(+CATEGORIAS[[#This Row],[PRESUPUESTO
FINAL
PROYECTADO]]-CATEGORIAS[[#This Row],[TOTAL PRODUCCION
ACTUAL]])</f>
        <v>0</v>
      </c>
      <c r="AB456" s="222"/>
      <c r="AC456" s="134"/>
      <c r="AD456" s="134">
        <v>0</v>
      </c>
      <c r="AE456" s="221">
        <f>SUM(CATEGORIAS[[#This Row],[INVENTARIO]:[PROYECCION
DE COSTO
DEL SALDO]])</f>
        <v>0</v>
      </c>
      <c r="AF456" s="134"/>
      <c r="AG456" s="134">
        <f>+CATEGORIAS[[#This Row],[PRESUPUESTO
FINAL
PROYECTADO]]-CATEGORIAS[[#This Row],[COSTO REAL]]-CATEGORIAS[[#This Row],[PROYECCION
TOTAL DE COSTO]]</f>
        <v>0</v>
      </c>
    </row>
    <row r="457" spans="1:33" x14ac:dyDescent="0.25">
      <c r="A457" s="245" t="s">
        <v>106</v>
      </c>
      <c r="B457" s="245" t="s">
        <v>229</v>
      </c>
      <c r="C457" s="245" t="s">
        <v>2394</v>
      </c>
      <c r="D457" s="323" t="s">
        <v>2191</v>
      </c>
      <c r="E457" s="244" t="s">
        <v>332</v>
      </c>
      <c r="F457" s="246" t="s">
        <v>379</v>
      </c>
      <c r="G457" s="279">
        <v>27346689.342590965</v>
      </c>
      <c r="H457" s="279">
        <v>27346689.342590965</v>
      </c>
      <c r="I457" s="132">
        <v>8606046.570919333</v>
      </c>
      <c r="J457" s="132">
        <v>964199.27615340461</v>
      </c>
      <c r="K457" s="132">
        <v>0</v>
      </c>
      <c r="L457" s="144">
        <f>CATEGORIAS[[#This Row],[ADICIONALES]]+CATEGORIAS[[#This Row],[POM]]+CATEGORIAS[[#This Row],[REAJUSTE 
PAGADO]]+CATEGORIAS[[#This Row],[REAJUSTE
PROYECTADO]]</f>
        <v>36916935.189663708</v>
      </c>
      <c r="M457" s="133">
        <v>28305520.446912248</v>
      </c>
      <c r="N457" s="222">
        <v>8611414.7427514624</v>
      </c>
      <c r="O457" s="142">
        <f>+CATEGORIAS[[#This Row],[PRODUCCION
PARTIDAS
ORIGINALES
ACTUAL]]+CATEGORIAS[[#This Row],[PRODUCCION
ADICIONALES
ACTUAL]]</f>
        <v>36916935.189663708</v>
      </c>
      <c r="P457" s="222">
        <v>28305520.446912248</v>
      </c>
      <c r="Q457" s="134">
        <v>8606046.570919333</v>
      </c>
      <c r="R457" s="141">
        <f>+CATEGORIAS[[#This Row],[PRODUCCION
ANTERIOR]]+CATEGORIAS[[#This Row],[PRODUCCION
ADICIONALES
ANTERIOR]]</f>
        <v>36911567.017831579</v>
      </c>
      <c r="S457" s="135">
        <v>887591</v>
      </c>
      <c r="T457" s="222">
        <v>19509421</v>
      </c>
      <c r="U457" s="135">
        <v>0</v>
      </c>
      <c r="V457" s="262">
        <f>SUM(CATEGORIAS[[#This Row],[COSTO
ACUMULADO  AX]:[PROVISIONES]])</f>
        <v>20397012</v>
      </c>
      <c r="W457" s="264">
        <v>887591</v>
      </c>
      <c r="X457" s="222">
        <v>19509421</v>
      </c>
      <c r="Y457" s="222">
        <v>0</v>
      </c>
      <c r="Z457" s="263">
        <f>SUM(CATEGORIAS[[#This Row],[COSTO ACUMULADO
ANTERIOR]:[PROVISIONES
ANTERIOR]])</f>
        <v>20397012</v>
      </c>
      <c r="AA457" s="338">
        <f>ABS(+CATEGORIAS[[#This Row],[PRESUPUESTO
FINAL
PROYECTADO]]-CATEGORIAS[[#This Row],[TOTAL PRODUCCION
ACTUAL]])</f>
        <v>0</v>
      </c>
      <c r="AB457" s="222"/>
      <c r="AC457" s="134"/>
      <c r="AD457" s="134">
        <v>0</v>
      </c>
      <c r="AE457" s="221">
        <f>SUM(CATEGORIAS[[#This Row],[INVENTARIO]:[PROYECCION
DE COSTO
DEL SALDO]])</f>
        <v>0</v>
      </c>
      <c r="AF457" s="134"/>
      <c r="AG457" s="134">
        <f>+CATEGORIAS[[#This Row],[PRESUPUESTO
FINAL
PROYECTADO]]-CATEGORIAS[[#This Row],[COSTO REAL]]-CATEGORIAS[[#This Row],[PROYECCION
TOTAL DE COSTO]]</f>
        <v>16519923.189663708</v>
      </c>
    </row>
    <row r="458" spans="1:33" x14ac:dyDescent="0.25">
      <c r="A458" s="245" t="s">
        <v>106</v>
      </c>
      <c r="B458" s="245" t="s">
        <v>2400</v>
      </c>
      <c r="C458" s="245" t="s">
        <v>2449</v>
      </c>
      <c r="D458" s="323" t="s">
        <v>2192</v>
      </c>
      <c r="E458" s="244" t="s">
        <v>1250</v>
      </c>
      <c r="F458" s="246" t="s">
        <v>376</v>
      </c>
      <c r="G458" s="279">
        <v>16500000</v>
      </c>
      <c r="H458" s="279">
        <v>16500000</v>
      </c>
      <c r="I458" s="132">
        <v>5192576.2069857633</v>
      </c>
      <c r="J458" s="132">
        <v>581762.85462655022</v>
      </c>
      <c r="K458" s="132">
        <v>0</v>
      </c>
      <c r="L458" s="144">
        <f>CATEGORIAS[[#This Row],[ADICIONALES]]+CATEGORIAS[[#This Row],[POM]]+CATEGORIAS[[#This Row],[REAJUSTE 
PAGADO]]+CATEGORIAS[[#This Row],[REAJUSTE
PROYECTADO]]</f>
        <v>22274339.061612315</v>
      </c>
      <c r="M458" s="133">
        <v>17078523.894541826</v>
      </c>
      <c r="N458" s="222">
        <v>5195815.1670704884</v>
      </c>
      <c r="O458" s="142">
        <f>+CATEGORIAS[[#This Row],[PRODUCCION
PARTIDAS
ORIGINALES
ACTUAL]]+CATEGORIAS[[#This Row],[PRODUCCION
ADICIONALES
ACTUAL]]</f>
        <v>22274339.061612315</v>
      </c>
      <c r="P458" s="222">
        <v>17078523.894541826</v>
      </c>
      <c r="Q458" s="134">
        <v>5192576.2069857633</v>
      </c>
      <c r="R458" s="141">
        <f>+CATEGORIAS[[#This Row],[PRODUCCION
ANTERIOR]]+CATEGORIAS[[#This Row],[PRODUCCION
ADICIONALES
ANTERIOR]]</f>
        <v>22271100.10152759</v>
      </c>
      <c r="S458" s="135">
        <v>3040935</v>
      </c>
      <c r="T458" s="135"/>
      <c r="U458" s="135">
        <v>0</v>
      </c>
      <c r="V458" s="262">
        <f>SUM(CATEGORIAS[[#This Row],[COSTO
ACUMULADO  AX]:[PROVISIONES]])</f>
        <v>3040935</v>
      </c>
      <c r="W458" s="264">
        <v>3040935</v>
      </c>
      <c r="X458" s="222"/>
      <c r="Y458" s="222">
        <v>0</v>
      </c>
      <c r="Z458" s="263">
        <f>SUM(CATEGORIAS[[#This Row],[COSTO ACUMULADO
ANTERIOR]:[PROVISIONES
ANTERIOR]])</f>
        <v>3040935</v>
      </c>
      <c r="AA458" s="338">
        <f>ABS(+CATEGORIAS[[#This Row],[PRESUPUESTO
FINAL
PROYECTADO]]-CATEGORIAS[[#This Row],[TOTAL PRODUCCION
ACTUAL]])</f>
        <v>0</v>
      </c>
      <c r="AB458" s="222"/>
      <c r="AC458" s="134"/>
      <c r="AD458" s="134">
        <v>0</v>
      </c>
      <c r="AE458" s="221">
        <f>SUM(CATEGORIAS[[#This Row],[INVENTARIO]:[PROYECCION
DE COSTO
DEL SALDO]])</f>
        <v>0</v>
      </c>
      <c r="AF458" s="134"/>
      <c r="AG458" s="134">
        <f>+CATEGORIAS[[#This Row],[PRESUPUESTO
FINAL
PROYECTADO]]-CATEGORIAS[[#This Row],[COSTO REAL]]-CATEGORIAS[[#This Row],[PROYECCION
TOTAL DE COSTO]]</f>
        <v>19233404.061612315</v>
      </c>
    </row>
    <row r="459" spans="1:33" x14ac:dyDescent="0.25">
      <c r="A459" s="245" t="s">
        <v>106</v>
      </c>
      <c r="B459" s="245" t="s">
        <v>231</v>
      </c>
      <c r="C459" s="245" t="s">
        <v>2395</v>
      </c>
      <c r="D459" s="323" t="s">
        <v>2193</v>
      </c>
      <c r="E459" s="244" t="s">
        <v>325</v>
      </c>
      <c r="F459" s="246" t="s">
        <v>379</v>
      </c>
      <c r="G459" s="279">
        <v>6230000</v>
      </c>
      <c r="H459" s="279">
        <v>6230000</v>
      </c>
      <c r="I459" s="132">
        <v>3442555.6137737734</v>
      </c>
      <c r="J459" s="132">
        <v>219659.55056505499</v>
      </c>
      <c r="K459" s="132">
        <v>0</v>
      </c>
      <c r="L459" s="144">
        <f>CATEGORIAS[[#This Row],[ADICIONALES]]+CATEGORIAS[[#This Row],[POM]]+CATEGORIAS[[#This Row],[REAJUSTE 
PAGADO]]+CATEGORIAS[[#This Row],[REAJUSTE
PROYECTADO]]</f>
        <v>9892215.164338829</v>
      </c>
      <c r="M459" s="133">
        <v>6448436.5977573078</v>
      </c>
      <c r="N459" s="222">
        <v>3443778.5665815221</v>
      </c>
      <c r="O459" s="142">
        <f>+CATEGORIAS[[#This Row],[PRODUCCION
PARTIDAS
ORIGINALES
ACTUAL]]+CATEGORIAS[[#This Row],[PRODUCCION
ADICIONALES
ACTUAL]]</f>
        <v>9892215.1643388309</v>
      </c>
      <c r="P459" s="222">
        <v>6448436.5977573078</v>
      </c>
      <c r="Q459" s="222">
        <v>3442555.6137737734</v>
      </c>
      <c r="R459" s="141">
        <f>+CATEGORIAS[[#This Row],[PRODUCCION
ANTERIOR]]+CATEGORIAS[[#This Row],[PRODUCCION
ADICIONALES
ANTERIOR]]</f>
        <v>9890992.2115310803</v>
      </c>
      <c r="S459" s="135">
        <v>11679827</v>
      </c>
      <c r="T459" s="135"/>
      <c r="U459" s="135">
        <v>0</v>
      </c>
      <c r="V459" s="262">
        <f>SUM(CATEGORIAS[[#This Row],[COSTO
ACUMULADO  AX]:[PROVISIONES]])</f>
        <v>11679827</v>
      </c>
      <c r="W459" s="264">
        <v>11543827</v>
      </c>
      <c r="X459" s="222"/>
      <c r="Y459" s="222">
        <v>600000</v>
      </c>
      <c r="Z459" s="263">
        <f>SUM(CATEGORIAS[[#This Row],[COSTO ACUMULADO
ANTERIOR]:[PROVISIONES
ANTERIOR]])</f>
        <v>12143827</v>
      </c>
      <c r="AA459" s="338">
        <f>ABS(+CATEGORIAS[[#This Row],[PRESUPUESTO
FINAL
PROYECTADO]]-CATEGORIAS[[#This Row],[TOTAL PRODUCCION
ACTUAL]])</f>
        <v>1.862645149230957E-9</v>
      </c>
      <c r="AB459" s="222"/>
      <c r="AC459" s="134"/>
      <c r="AD459" s="134">
        <v>0</v>
      </c>
      <c r="AE459" s="221">
        <f>SUM(CATEGORIAS[[#This Row],[INVENTARIO]:[PROYECCION
DE COSTO
DEL SALDO]])</f>
        <v>0</v>
      </c>
      <c r="AF459" s="134"/>
      <c r="AG459" s="134">
        <f>+CATEGORIAS[[#This Row],[PRESUPUESTO
FINAL
PROYECTADO]]-CATEGORIAS[[#This Row],[COSTO REAL]]-CATEGORIAS[[#This Row],[PROYECCION
TOTAL DE COSTO]]</f>
        <v>-1787611.835661171</v>
      </c>
    </row>
    <row r="460" spans="1:33" x14ac:dyDescent="0.25">
      <c r="A460" s="245"/>
      <c r="B460" s="245"/>
      <c r="C460" s="245"/>
      <c r="D460" s="323" t="s">
        <v>2194</v>
      </c>
      <c r="E460" s="244" t="s">
        <v>1253</v>
      </c>
      <c r="F460" s="246" t="s">
        <v>376</v>
      </c>
      <c r="G460" s="279">
        <v>0</v>
      </c>
      <c r="H460" s="279">
        <v>0</v>
      </c>
      <c r="I460" s="132">
        <v>0</v>
      </c>
      <c r="J460" s="132">
        <v>0</v>
      </c>
      <c r="K460" s="132">
        <v>0</v>
      </c>
      <c r="L460" s="144">
        <f>CATEGORIAS[[#This Row],[ADICIONALES]]+CATEGORIAS[[#This Row],[POM]]+CATEGORIAS[[#This Row],[REAJUSTE 
PAGADO]]+CATEGORIAS[[#This Row],[REAJUSTE
PROYECTADO]]</f>
        <v>0</v>
      </c>
      <c r="M460" s="133">
        <v>0</v>
      </c>
      <c r="N460" s="222">
        <v>0</v>
      </c>
      <c r="O460" s="142">
        <f>+CATEGORIAS[[#This Row],[PRODUCCION
PARTIDAS
ORIGINALES
ACTUAL]]+CATEGORIAS[[#This Row],[PRODUCCION
ADICIONALES
ACTUAL]]</f>
        <v>0</v>
      </c>
      <c r="P460" s="222">
        <v>0</v>
      </c>
      <c r="Q460" s="222">
        <v>0</v>
      </c>
      <c r="R460" s="141">
        <f>+CATEGORIAS[[#This Row],[PRODUCCION
ANTERIOR]]+CATEGORIAS[[#This Row],[PRODUCCION
ADICIONALES
ANTERIOR]]</f>
        <v>0</v>
      </c>
      <c r="S460" s="135">
        <v>0</v>
      </c>
      <c r="T460" s="135"/>
      <c r="U460" s="135">
        <v>0</v>
      </c>
      <c r="V460" s="262">
        <f>SUM(CATEGORIAS[[#This Row],[COSTO
ACUMULADO  AX]:[PROVISIONES]])</f>
        <v>0</v>
      </c>
      <c r="W460" s="264">
        <v>0</v>
      </c>
      <c r="X460" s="222"/>
      <c r="Y460" s="222">
        <v>0</v>
      </c>
      <c r="Z460" s="263">
        <f>SUM(CATEGORIAS[[#This Row],[COSTO ACUMULADO
ANTERIOR]:[PROVISIONES
ANTERIOR]])</f>
        <v>0</v>
      </c>
      <c r="AA460" s="338">
        <f>ABS(+CATEGORIAS[[#This Row],[PRESUPUESTO
FINAL
PROYECTADO]]-CATEGORIAS[[#This Row],[TOTAL PRODUCCION
ACTUAL]])</f>
        <v>0</v>
      </c>
      <c r="AB460" s="222"/>
      <c r="AC460" s="134"/>
      <c r="AD460" s="134">
        <v>0</v>
      </c>
      <c r="AE460" s="221">
        <f>SUM(CATEGORIAS[[#This Row],[INVENTARIO]:[PROYECCION
DE COSTO
DEL SALDO]])</f>
        <v>0</v>
      </c>
      <c r="AF460" s="134"/>
      <c r="AG460" s="134">
        <f>+CATEGORIAS[[#This Row],[PRESUPUESTO
FINAL
PROYECTADO]]-CATEGORIAS[[#This Row],[COSTO REAL]]-CATEGORIAS[[#This Row],[PROYECCION
TOTAL DE COSTO]]</f>
        <v>0</v>
      </c>
    </row>
    <row r="461" spans="1:33" x14ac:dyDescent="0.25">
      <c r="A461" s="245" t="s">
        <v>106</v>
      </c>
      <c r="B461" s="245" t="s">
        <v>232</v>
      </c>
      <c r="C461" s="245" t="s">
        <v>2399</v>
      </c>
      <c r="D461" s="323" t="s">
        <v>2195</v>
      </c>
      <c r="E461" s="244" t="s">
        <v>1255</v>
      </c>
      <c r="F461" s="246" t="s">
        <v>379</v>
      </c>
      <c r="G461" s="279">
        <v>5340000</v>
      </c>
      <c r="H461" s="279">
        <v>5340000</v>
      </c>
      <c r="I461" s="132">
        <v>2240619.1311025582</v>
      </c>
      <c r="J461" s="132">
        <v>188279.61477004713</v>
      </c>
      <c r="K461" s="132">
        <v>0</v>
      </c>
      <c r="L461" s="144">
        <f>CATEGORIAS[[#This Row],[ADICIONALES]]+CATEGORIAS[[#This Row],[POM]]+CATEGORIAS[[#This Row],[REAJUSTE 
PAGADO]]+CATEGORIAS[[#This Row],[REAJUSTE
PROYECTADO]]</f>
        <v>7768898.7458726056</v>
      </c>
      <c r="M461" s="133">
        <v>5527231.3695062632</v>
      </c>
      <c r="N461" s="222">
        <v>2241667.3763663424</v>
      </c>
      <c r="O461" s="142">
        <f>+CATEGORIAS[[#This Row],[PRODUCCION
PARTIDAS
ORIGINALES
ACTUAL]]+CATEGORIAS[[#This Row],[PRODUCCION
ADICIONALES
ACTUAL]]</f>
        <v>7768898.7458726056</v>
      </c>
      <c r="P461" s="222">
        <v>5527231.3695062632</v>
      </c>
      <c r="Q461" s="222">
        <v>2240619.1311025582</v>
      </c>
      <c r="R461" s="141">
        <f>+CATEGORIAS[[#This Row],[PRODUCCION
ANTERIOR]]+CATEGORIAS[[#This Row],[PRODUCCION
ADICIONALES
ANTERIOR]]</f>
        <v>7767850.5006088214</v>
      </c>
      <c r="S461" s="135">
        <v>8330705</v>
      </c>
      <c r="T461" s="135"/>
      <c r="U461" s="135">
        <v>991016</v>
      </c>
      <c r="V461" s="262">
        <f>SUM(CATEGORIAS[[#This Row],[COSTO
ACUMULADO  AX]:[PROVISIONES]])</f>
        <v>9321721</v>
      </c>
      <c r="W461" s="264">
        <v>244293</v>
      </c>
      <c r="X461" s="222"/>
      <c r="Y461" s="222">
        <v>6289031</v>
      </c>
      <c r="Z461" s="263">
        <f>SUM(CATEGORIAS[[#This Row],[COSTO ACUMULADO
ANTERIOR]:[PROVISIONES
ANTERIOR]])</f>
        <v>6533324</v>
      </c>
      <c r="AA461" s="338">
        <f>ABS(+CATEGORIAS[[#This Row],[PRESUPUESTO
FINAL
PROYECTADO]]-CATEGORIAS[[#This Row],[TOTAL PRODUCCION
ACTUAL]])</f>
        <v>0</v>
      </c>
      <c r="AB461" s="222"/>
      <c r="AC461" s="134"/>
      <c r="AD461" s="134">
        <v>0</v>
      </c>
      <c r="AE461" s="221">
        <f>SUM(CATEGORIAS[[#This Row],[INVENTARIO]:[PROYECCION
DE COSTO
DEL SALDO]])</f>
        <v>0</v>
      </c>
      <c r="AF461" s="134"/>
      <c r="AG461" s="134">
        <f>+CATEGORIAS[[#This Row],[PRESUPUESTO
FINAL
PROYECTADO]]-CATEGORIAS[[#This Row],[COSTO REAL]]-CATEGORIAS[[#This Row],[PROYECCION
TOTAL DE COSTO]]</f>
        <v>-1552822.2541273944</v>
      </c>
    </row>
    <row r="462" spans="1:33" x14ac:dyDescent="0.25">
      <c r="A462" s="245"/>
      <c r="B462" s="245"/>
      <c r="C462" s="245"/>
      <c r="D462" s="323" t="s">
        <v>2196</v>
      </c>
      <c r="E462" s="244" t="s">
        <v>1257</v>
      </c>
      <c r="F462" s="246" t="s">
        <v>376</v>
      </c>
      <c r="G462" s="279">
        <v>0</v>
      </c>
      <c r="H462" s="279">
        <v>0</v>
      </c>
      <c r="I462" s="132">
        <v>0</v>
      </c>
      <c r="J462" s="132">
        <v>0</v>
      </c>
      <c r="K462" s="132">
        <v>0</v>
      </c>
      <c r="L462" s="144">
        <f>CATEGORIAS[[#This Row],[ADICIONALES]]+CATEGORIAS[[#This Row],[POM]]+CATEGORIAS[[#This Row],[REAJUSTE 
PAGADO]]+CATEGORIAS[[#This Row],[REAJUSTE
PROYECTADO]]</f>
        <v>0</v>
      </c>
      <c r="M462" s="133">
        <v>0</v>
      </c>
      <c r="N462" s="222">
        <v>0</v>
      </c>
      <c r="O462" s="142">
        <f>+CATEGORIAS[[#This Row],[PRODUCCION
PARTIDAS
ORIGINALES
ACTUAL]]+CATEGORIAS[[#This Row],[PRODUCCION
ADICIONALES
ACTUAL]]</f>
        <v>0</v>
      </c>
      <c r="P462" s="222">
        <v>0</v>
      </c>
      <c r="Q462" s="222">
        <v>0</v>
      </c>
      <c r="R462" s="141">
        <f>+CATEGORIAS[[#This Row],[PRODUCCION
ANTERIOR]]+CATEGORIAS[[#This Row],[PRODUCCION
ADICIONALES
ANTERIOR]]</f>
        <v>0</v>
      </c>
      <c r="S462" s="135">
        <v>0</v>
      </c>
      <c r="T462" s="135"/>
      <c r="U462" s="135">
        <v>0</v>
      </c>
      <c r="V462" s="262">
        <f>SUM(CATEGORIAS[[#This Row],[COSTO
ACUMULADO  AX]:[PROVISIONES]])</f>
        <v>0</v>
      </c>
      <c r="W462" s="264">
        <v>0</v>
      </c>
      <c r="X462" s="222"/>
      <c r="Y462" s="222">
        <v>0</v>
      </c>
      <c r="Z462" s="263">
        <f>SUM(CATEGORIAS[[#This Row],[COSTO ACUMULADO
ANTERIOR]:[PROVISIONES
ANTERIOR]])</f>
        <v>0</v>
      </c>
      <c r="AA462" s="338">
        <f>ABS(+CATEGORIAS[[#This Row],[PRESUPUESTO
FINAL
PROYECTADO]]-CATEGORIAS[[#This Row],[TOTAL PRODUCCION
ACTUAL]])</f>
        <v>0</v>
      </c>
      <c r="AB462" s="222"/>
      <c r="AC462" s="134"/>
      <c r="AD462" s="134">
        <v>0</v>
      </c>
      <c r="AE462" s="221">
        <f>SUM(CATEGORIAS[[#This Row],[INVENTARIO]:[PROYECCION
DE COSTO
DEL SALDO]])</f>
        <v>0</v>
      </c>
      <c r="AF462" s="134"/>
      <c r="AG462" s="134">
        <f>+CATEGORIAS[[#This Row],[PRESUPUESTO
FINAL
PROYECTADO]]-CATEGORIAS[[#This Row],[COSTO REAL]]-CATEGORIAS[[#This Row],[PROYECCION
TOTAL DE COSTO]]</f>
        <v>0</v>
      </c>
    </row>
    <row r="463" spans="1:33" x14ac:dyDescent="0.25">
      <c r="A463" s="245" t="s">
        <v>106</v>
      </c>
      <c r="B463" s="245" t="s">
        <v>233</v>
      </c>
      <c r="C463" s="245" t="s">
        <v>1258</v>
      </c>
      <c r="D463" s="323" t="s">
        <v>2197</v>
      </c>
      <c r="E463" s="244" t="s">
        <v>1260</v>
      </c>
      <c r="F463" s="246" t="s">
        <v>379</v>
      </c>
      <c r="G463" s="279">
        <v>15748843.167042889</v>
      </c>
      <c r="H463" s="279">
        <v>15748843.167042889</v>
      </c>
      <c r="I463" s="132">
        <v>5656326.7705513649</v>
      </c>
      <c r="J463" s="132">
        <v>555278.30048028543</v>
      </c>
      <c r="K463" s="132">
        <v>0</v>
      </c>
      <c r="L463" s="144">
        <f>CATEGORIAS[[#This Row],[ADICIONALES]]+CATEGORIAS[[#This Row],[POM]]+CATEGORIAS[[#This Row],[REAJUSTE 
PAGADO]]+CATEGORIAS[[#This Row],[REAJUSTE
PROYECTADO]]</f>
        <v>21960448.238074537</v>
      </c>
      <c r="M463" s="133">
        <v>16301029.959983863</v>
      </c>
      <c r="N463" s="222">
        <v>5659418.2780906744</v>
      </c>
      <c r="O463" s="142">
        <f>+CATEGORIAS[[#This Row],[PRODUCCION
PARTIDAS
ORIGINALES
ACTUAL]]+CATEGORIAS[[#This Row],[PRODUCCION
ADICIONALES
ACTUAL]]</f>
        <v>21960448.238074537</v>
      </c>
      <c r="P463" s="222">
        <v>16301029.959983863</v>
      </c>
      <c r="Q463" s="222">
        <v>5656326.7705513649</v>
      </c>
      <c r="R463" s="141">
        <f>+CATEGORIAS[[#This Row],[PRODUCCION
ANTERIOR]]+CATEGORIAS[[#This Row],[PRODUCCION
ADICIONALES
ANTERIOR]]</f>
        <v>21957356.730535228</v>
      </c>
      <c r="S463" s="135">
        <v>36186534</v>
      </c>
      <c r="T463" s="135"/>
      <c r="U463" s="135">
        <v>658000</v>
      </c>
      <c r="V463" s="262">
        <f>SUM(CATEGORIAS[[#This Row],[COSTO
ACUMULADO  AX]:[PROVISIONES]])</f>
        <v>36844534</v>
      </c>
      <c r="W463" s="264">
        <v>32745023</v>
      </c>
      <c r="X463" s="222"/>
      <c r="Y463" s="222">
        <v>4099511</v>
      </c>
      <c r="Z463" s="263">
        <f>SUM(CATEGORIAS[[#This Row],[COSTO ACUMULADO
ANTERIOR]:[PROVISIONES
ANTERIOR]])</f>
        <v>36844534</v>
      </c>
      <c r="AA463" s="338">
        <f>ABS(+CATEGORIAS[[#This Row],[PRESUPUESTO
FINAL
PROYECTADO]]-CATEGORIAS[[#This Row],[TOTAL PRODUCCION
ACTUAL]])</f>
        <v>0</v>
      </c>
      <c r="AB463" s="222"/>
      <c r="AC463" s="134"/>
      <c r="AD463" s="134">
        <v>0</v>
      </c>
      <c r="AE463" s="221">
        <f>SUM(CATEGORIAS[[#This Row],[INVENTARIO]:[PROYECCION
DE COSTO
DEL SALDO]])</f>
        <v>0</v>
      </c>
      <c r="AF463" s="134"/>
      <c r="AG463" s="134">
        <f>+CATEGORIAS[[#This Row],[PRESUPUESTO
FINAL
PROYECTADO]]-CATEGORIAS[[#This Row],[COSTO REAL]]-CATEGORIAS[[#This Row],[PROYECCION
TOTAL DE COSTO]]</f>
        <v>-14884085.761925463</v>
      </c>
    </row>
    <row r="464" spans="1:33" x14ac:dyDescent="0.25">
      <c r="A464" s="245"/>
      <c r="B464" s="245"/>
      <c r="C464" s="245"/>
      <c r="D464" s="323" t="s">
        <v>2198</v>
      </c>
      <c r="E464" s="244" t="s">
        <v>1262</v>
      </c>
      <c r="F464" s="246" t="s">
        <v>376</v>
      </c>
      <c r="G464" s="279">
        <v>0</v>
      </c>
      <c r="H464" s="279">
        <v>0</v>
      </c>
      <c r="I464" s="132">
        <v>0</v>
      </c>
      <c r="J464" s="132">
        <v>0</v>
      </c>
      <c r="K464" s="132">
        <v>0</v>
      </c>
      <c r="L464" s="144">
        <f>CATEGORIAS[[#This Row],[ADICIONALES]]+CATEGORIAS[[#This Row],[POM]]+CATEGORIAS[[#This Row],[REAJUSTE 
PAGADO]]+CATEGORIAS[[#This Row],[REAJUSTE
PROYECTADO]]</f>
        <v>0</v>
      </c>
      <c r="M464" s="133">
        <v>0</v>
      </c>
      <c r="N464" s="222">
        <v>0</v>
      </c>
      <c r="O464" s="142">
        <f>+CATEGORIAS[[#This Row],[PRODUCCION
PARTIDAS
ORIGINALES
ACTUAL]]+CATEGORIAS[[#This Row],[PRODUCCION
ADICIONALES
ACTUAL]]</f>
        <v>0</v>
      </c>
      <c r="P464" s="222">
        <v>0</v>
      </c>
      <c r="Q464" s="134">
        <v>0</v>
      </c>
      <c r="R464" s="141">
        <f>+CATEGORIAS[[#This Row],[PRODUCCION
ANTERIOR]]+CATEGORIAS[[#This Row],[PRODUCCION
ADICIONALES
ANTERIOR]]</f>
        <v>0</v>
      </c>
      <c r="S464" s="135">
        <v>0</v>
      </c>
      <c r="T464" s="135"/>
      <c r="U464" s="135">
        <v>0</v>
      </c>
      <c r="V464" s="262">
        <f>SUM(CATEGORIAS[[#This Row],[COSTO
ACUMULADO  AX]:[PROVISIONES]])</f>
        <v>0</v>
      </c>
      <c r="W464" s="264">
        <v>0</v>
      </c>
      <c r="X464" s="222"/>
      <c r="Y464" s="222">
        <v>0</v>
      </c>
      <c r="Z464" s="263">
        <f>SUM(CATEGORIAS[[#This Row],[COSTO ACUMULADO
ANTERIOR]:[PROVISIONES
ANTERIOR]])</f>
        <v>0</v>
      </c>
      <c r="AA464" s="338">
        <f>ABS(+CATEGORIAS[[#This Row],[PRESUPUESTO
FINAL
PROYECTADO]]-CATEGORIAS[[#This Row],[TOTAL PRODUCCION
ACTUAL]])</f>
        <v>0</v>
      </c>
      <c r="AB464" s="222"/>
      <c r="AC464" s="134"/>
      <c r="AD464" s="134">
        <v>0</v>
      </c>
      <c r="AE464" s="221">
        <f>SUM(CATEGORIAS[[#This Row],[INVENTARIO]:[PROYECCION
DE COSTO
DEL SALDO]])</f>
        <v>0</v>
      </c>
      <c r="AF464" s="134"/>
      <c r="AG464" s="134">
        <f>+CATEGORIAS[[#This Row],[PRESUPUESTO
FINAL
PROYECTADO]]-CATEGORIAS[[#This Row],[COSTO REAL]]-CATEGORIAS[[#This Row],[PROYECCION
TOTAL DE COSTO]]</f>
        <v>0</v>
      </c>
    </row>
    <row r="465" spans="1:33" x14ac:dyDescent="0.25">
      <c r="A465" s="245" t="s">
        <v>106</v>
      </c>
      <c r="B465" s="245" t="s">
        <v>2403</v>
      </c>
      <c r="C465" s="245" t="s">
        <v>2392</v>
      </c>
      <c r="D465" s="323" t="s">
        <v>2199</v>
      </c>
      <c r="E465" s="244" t="s">
        <v>1264</v>
      </c>
      <c r="F465" s="246" t="s">
        <v>376</v>
      </c>
      <c r="G465" s="279">
        <v>32733000</v>
      </c>
      <c r="H465" s="279">
        <v>32733000</v>
      </c>
      <c r="I465" s="132">
        <v>14338605.772204608</v>
      </c>
      <c r="J465" s="132">
        <v>1154111.728514598</v>
      </c>
      <c r="K465" s="132">
        <v>0</v>
      </c>
      <c r="L465" s="144">
        <f>CATEGORIAS[[#This Row],[ADICIONALES]]+CATEGORIAS[[#This Row],[POM]]+CATEGORIAS[[#This Row],[REAJUSTE 
PAGADO]]+CATEGORIAS[[#This Row],[REAJUSTE
PROYECTADO]]</f>
        <v>48225717.500719205</v>
      </c>
      <c r="M465" s="133">
        <v>33880686.220608339</v>
      </c>
      <c r="N465" s="222">
        <v>14345031.280110866</v>
      </c>
      <c r="O465" s="142">
        <f>+CATEGORIAS[[#This Row],[PRODUCCION
PARTIDAS
ORIGINALES
ACTUAL]]+CATEGORIAS[[#This Row],[PRODUCCION
ADICIONALES
ACTUAL]]</f>
        <v>48225717.500719205</v>
      </c>
      <c r="P465" s="222">
        <v>33880686.220608339</v>
      </c>
      <c r="Q465" s="222">
        <v>14338605.772204608</v>
      </c>
      <c r="R465" s="141">
        <f>+CATEGORIAS[[#This Row],[PRODUCCION
ANTERIOR]]+CATEGORIAS[[#This Row],[PRODUCCION
ADICIONALES
ANTERIOR]]</f>
        <v>48219291.992812946</v>
      </c>
      <c r="S465" s="135">
        <v>30203549</v>
      </c>
      <c r="T465" s="135"/>
      <c r="U465" s="135">
        <v>0</v>
      </c>
      <c r="V465" s="262">
        <f>SUM(CATEGORIAS[[#This Row],[COSTO
ACUMULADO  AX]:[PROVISIONES]])</f>
        <v>30203549</v>
      </c>
      <c r="W465" s="264">
        <v>25812865</v>
      </c>
      <c r="X465" s="222"/>
      <c r="Y465" s="222">
        <v>3790687</v>
      </c>
      <c r="Z465" s="263">
        <f>SUM(CATEGORIAS[[#This Row],[COSTO ACUMULADO
ANTERIOR]:[PROVISIONES
ANTERIOR]])</f>
        <v>29603552</v>
      </c>
      <c r="AA465" s="338">
        <f>ABS(+CATEGORIAS[[#This Row],[PRESUPUESTO
FINAL
PROYECTADO]]-CATEGORIAS[[#This Row],[TOTAL PRODUCCION
ACTUAL]])</f>
        <v>0</v>
      </c>
      <c r="AB465" s="222"/>
      <c r="AC465" s="134"/>
      <c r="AD465" s="134">
        <v>0</v>
      </c>
      <c r="AE465" s="221">
        <f>SUM(CATEGORIAS[[#This Row],[INVENTARIO]:[PROYECCION
DE COSTO
DEL SALDO]])</f>
        <v>0</v>
      </c>
      <c r="AF465" s="134"/>
      <c r="AG465" s="134">
        <f>+CATEGORIAS[[#This Row],[PRESUPUESTO
FINAL
PROYECTADO]]-CATEGORIAS[[#This Row],[COSTO REAL]]-CATEGORIAS[[#This Row],[PROYECCION
TOTAL DE COSTO]]</f>
        <v>18022168.500719205</v>
      </c>
    </row>
    <row r="466" spans="1:33" x14ac:dyDescent="0.25">
      <c r="A466" s="245"/>
      <c r="B466" s="245"/>
      <c r="C466" s="245"/>
      <c r="D466" s="323" t="s">
        <v>2200</v>
      </c>
      <c r="E466" s="244" t="s">
        <v>1266</v>
      </c>
      <c r="F466" s="246" t="s">
        <v>376</v>
      </c>
      <c r="G466" s="279">
        <v>0</v>
      </c>
      <c r="H466" s="279">
        <v>0</v>
      </c>
      <c r="I466" s="132">
        <v>0</v>
      </c>
      <c r="J466" s="132">
        <v>0</v>
      </c>
      <c r="K466" s="132">
        <v>0</v>
      </c>
      <c r="L466" s="144">
        <f>CATEGORIAS[[#This Row],[ADICIONALES]]+CATEGORIAS[[#This Row],[POM]]+CATEGORIAS[[#This Row],[REAJUSTE 
PAGADO]]+CATEGORIAS[[#This Row],[REAJUSTE
PROYECTADO]]</f>
        <v>0</v>
      </c>
      <c r="M466" s="133">
        <v>0</v>
      </c>
      <c r="N466" s="222">
        <v>0</v>
      </c>
      <c r="O466" s="142">
        <f>+CATEGORIAS[[#This Row],[PRODUCCION
PARTIDAS
ORIGINALES
ACTUAL]]+CATEGORIAS[[#This Row],[PRODUCCION
ADICIONALES
ACTUAL]]</f>
        <v>0</v>
      </c>
      <c r="P466" s="222">
        <v>0</v>
      </c>
      <c r="Q466" s="222">
        <v>0</v>
      </c>
      <c r="R466" s="141">
        <f>+CATEGORIAS[[#This Row],[PRODUCCION
ANTERIOR]]+CATEGORIAS[[#This Row],[PRODUCCION
ADICIONALES
ANTERIOR]]</f>
        <v>0</v>
      </c>
      <c r="S466" s="135">
        <v>0</v>
      </c>
      <c r="T466" s="135"/>
      <c r="U466" s="135">
        <v>0</v>
      </c>
      <c r="V466" s="262">
        <f>SUM(CATEGORIAS[[#This Row],[COSTO
ACUMULADO  AX]:[PROVISIONES]])</f>
        <v>0</v>
      </c>
      <c r="W466" s="264">
        <v>0</v>
      </c>
      <c r="X466" s="222"/>
      <c r="Y466" s="222">
        <v>0</v>
      </c>
      <c r="Z466" s="263">
        <f>SUM(CATEGORIAS[[#This Row],[COSTO ACUMULADO
ANTERIOR]:[PROVISIONES
ANTERIOR]])</f>
        <v>0</v>
      </c>
      <c r="AA466" s="338">
        <f>ABS(+CATEGORIAS[[#This Row],[PRESUPUESTO
FINAL
PROYECTADO]]-CATEGORIAS[[#This Row],[TOTAL PRODUCCION
ACTUAL]])</f>
        <v>0</v>
      </c>
      <c r="AB466" s="222"/>
      <c r="AC466" s="134"/>
      <c r="AD466" s="134">
        <v>0</v>
      </c>
      <c r="AE466" s="221">
        <f>SUM(CATEGORIAS[[#This Row],[INVENTARIO]:[PROYECCION
DE COSTO
DEL SALDO]])</f>
        <v>0</v>
      </c>
      <c r="AF466" s="134"/>
      <c r="AG466" s="134">
        <f>+CATEGORIAS[[#This Row],[PRESUPUESTO
FINAL
PROYECTADO]]-CATEGORIAS[[#This Row],[COSTO REAL]]-CATEGORIAS[[#This Row],[PROYECCION
TOTAL DE COSTO]]</f>
        <v>0</v>
      </c>
    </row>
    <row r="467" spans="1:33" x14ac:dyDescent="0.25">
      <c r="A467" s="245" t="s">
        <v>106</v>
      </c>
      <c r="B467" s="245" t="s">
        <v>230</v>
      </c>
      <c r="C467" s="245" t="s">
        <v>2396</v>
      </c>
      <c r="D467" s="323" t="s">
        <v>2201</v>
      </c>
      <c r="E467" s="244" t="s">
        <v>1268</v>
      </c>
      <c r="F467" s="246" t="s">
        <v>379</v>
      </c>
      <c r="G467" s="279">
        <v>19956000</v>
      </c>
      <c r="H467" s="279">
        <v>19956000</v>
      </c>
      <c r="I467" s="132">
        <v>11675296.601996783</v>
      </c>
      <c r="J467" s="132">
        <v>703615.72890469304</v>
      </c>
      <c r="K467" s="132">
        <v>0</v>
      </c>
      <c r="L467" s="144">
        <f>CATEGORIAS[[#This Row],[ADICIONALES]]+CATEGORIAS[[#This Row],[POM]]+CATEGORIAS[[#This Row],[REAJUSTE 
PAGADO]]+CATEGORIAS[[#This Row],[REAJUSTE
PROYECTADO]]</f>
        <v>32334912.330901477</v>
      </c>
      <c r="M467" s="133">
        <v>20655698.353907675</v>
      </c>
      <c r="N467" s="222">
        <v>11679213.976993803</v>
      </c>
      <c r="O467" s="142">
        <f>+CATEGORIAS[[#This Row],[PRODUCCION
PARTIDAS
ORIGINALES
ACTUAL]]+CATEGORIAS[[#This Row],[PRODUCCION
ADICIONALES
ACTUAL]]</f>
        <v>32334912.330901477</v>
      </c>
      <c r="P467" s="222">
        <v>20655698.353907675</v>
      </c>
      <c r="Q467" s="222">
        <v>11675296.601996783</v>
      </c>
      <c r="R467" s="141">
        <f>+CATEGORIAS[[#This Row],[PRODUCCION
ANTERIOR]]+CATEGORIAS[[#This Row],[PRODUCCION
ADICIONALES
ANTERIOR]]</f>
        <v>32330994.955904458</v>
      </c>
      <c r="S467" s="135">
        <v>-19613371</v>
      </c>
      <c r="T467" s="135"/>
      <c r="U467" s="135">
        <v>0</v>
      </c>
      <c r="V467" s="262">
        <f>SUM(CATEGORIAS[[#This Row],[COSTO
ACUMULADO  AX]:[PROVISIONES]])</f>
        <v>-19613371</v>
      </c>
      <c r="W467" s="264">
        <v>4901425</v>
      </c>
      <c r="X467" s="222"/>
      <c r="Y467" s="222">
        <v>14072246.18</v>
      </c>
      <c r="Z467" s="263">
        <f>SUM(CATEGORIAS[[#This Row],[COSTO ACUMULADO
ANTERIOR]:[PROVISIONES
ANTERIOR]])</f>
        <v>18973671.18</v>
      </c>
      <c r="AA467" s="338">
        <f>ABS(+CATEGORIAS[[#This Row],[PRESUPUESTO
FINAL
PROYECTADO]]-CATEGORIAS[[#This Row],[TOTAL PRODUCCION
ACTUAL]])</f>
        <v>0</v>
      </c>
      <c r="AB467" s="222"/>
      <c r="AC467" s="134"/>
      <c r="AD467" s="134">
        <v>0</v>
      </c>
      <c r="AE467" s="221">
        <f>SUM(CATEGORIAS[[#This Row],[INVENTARIO]:[PROYECCION
DE COSTO
DEL SALDO]])</f>
        <v>0</v>
      </c>
      <c r="AF467" s="134"/>
      <c r="AG467" s="134">
        <f>+CATEGORIAS[[#This Row],[PRESUPUESTO
FINAL
PROYECTADO]]-CATEGORIAS[[#This Row],[COSTO REAL]]-CATEGORIAS[[#This Row],[PROYECCION
TOTAL DE COSTO]]</f>
        <v>51948283.330901474</v>
      </c>
    </row>
    <row r="468" spans="1:33" x14ac:dyDescent="0.25">
      <c r="A468" s="245"/>
      <c r="B468" s="245"/>
      <c r="C468" s="245"/>
      <c r="D468" s="323" t="s">
        <v>2202</v>
      </c>
      <c r="E468" s="244" t="s">
        <v>1270</v>
      </c>
      <c r="F468" s="246" t="s">
        <v>376</v>
      </c>
      <c r="G468" s="279">
        <v>0</v>
      </c>
      <c r="H468" s="279">
        <v>0</v>
      </c>
      <c r="I468" s="132">
        <v>0</v>
      </c>
      <c r="J468" s="132">
        <v>0</v>
      </c>
      <c r="K468" s="132">
        <v>0</v>
      </c>
      <c r="L468" s="144">
        <f>CATEGORIAS[[#This Row],[ADICIONALES]]+CATEGORIAS[[#This Row],[POM]]+CATEGORIAS[[#This Row],[REAJUSTE 
PAGADO]]+CATEGORIAS[[#This Row],[REAJUSTE
PROYECTADO]]</f>
        <v>0</v>
      </c>
      <c r="M468" s="133">
        <v>0</v>
      </c>
      <c r="N468" s="222">
        <v>0</v>
      </c>
      <c r="O468" s="142">
        <f>+CATEGORIAS[[#This Row],[PRODUCCION
PARTIDAS
ORIGINALES
ACTUAL]]+CATEGORIAS[[#This Row],[PRODUCCION
ADICIONALES
ACTUAL]]</f>
        <v>0</v>
      </c>
      <c r="P468" s="222">
        <v>0</v>
      </c>
      <c r="Q468" s="222">
        <v>0</v>
      </c>
      <c r="R468" s="141">
        <f>+CATEGORIAS[[#This Row],[PRODUCCION
ANTERIOR]]+CATEGORIAS[[#This Row],[PRODUCCION
ADICIONALES
ANTERIOR]]</f>
        <v>0</v>
      </c>
      <c r="S468" s="135">
        <v>0</v>
      </c>
      <c r="T468" s="135"/>
      <c r="U468" s="135">
        <v>0</v>
      </c>
      <c r="V468" s="262">
        <f>SUM(CATEGORIAS[[#This Row],[COSTO
ACUMULADO  AX]:[PROVISIONES]])</f>
        <v>0</v>
      </c>
      <c r="W468" s="264">
        <v>0</v>
      </c>
      <c r="X468" s="222"/>
      <c r="Y468" s="222">
        <v>0</v>
      </c>
      <c r="Z468" s="263">
        <f>SUM(CATEGORIAS[[#This Row],[COSTO ACUMULADO
ANTERIOR]:[PROVISIONES
ANTERIOR]])</f>
        <v>0</v>
      </c>
      <c r="AA468" s="338">
        <f>ABS(+CATEGORIAS[[#This Row],[PRESUPUESTO
FINAL
PROYECTADO]]-CATEGORIAS[[#This Row],[TOTAL PRODUCCION
ACTUAL]])</f>
        <v>0</v>
      </c>
      <c r="AB468" s="222"/>
      <c r="AC468" s="134"/>
      <c r="AD468" s="134">
        <v>0</v>
      </c>
      <c r="AE468" s="221">
        <f>SUM(CATEGORIAS[[#This Row],[INVENTARIO]:[PROYECCION
DE COSTO
DEL SALDO]])</f>
        <v>0</v>
      </c>
      <c r="AF468" s="134"/>
      <c r="AG468" s="134">
        <f>+CATEGORIAS[[#This Row],[PRESUPUESTO
FINAL
PROYECTADO]]-CATEGORIAS[[#This Row],[COSTO REAL]]-CATEGORIAS[[#This Row],[PROYECCION
TOTAL DE COSTO]]</f>
        <v>0</v>
      </c>
    </row>
    <row r="469" spans="1:33" x14ac:dyDescent="0.25">
      <c r="A469" s="245"/>
      <c r="B469" s="245"/>
      <c r="C469" s="245"/>
      <c r="D469" s="323" t="s">
        <v>2203</v>
      </c>
      <c r="E469" s="244" t="s">
        <v>1272</v>
      </c>
      <c r="F469" s="246" t="s">
        <v>379</v>
      </c>
      <c r="G469" s="279">
        <v>0</v>
      </c>
      <c r="H469" s="279">
        <v>0</v>
      </c>
      <c r="I469" s="132">
        <v>0</v>
      </c>
      <c r="J469" s="132">
        <v>0</v>
      </c>
      <c r="K469" s="132">
        <v>0</v>
      </c>
      <c r="L469" s="144">
        <f>CATEGORIAS[[#This Row],[ADICIONALES]]+CATEGORIAS[[#This Row],[POM]]+CATEGORIAS[[#This Row],[REAJUSTE 
PAGADO]]+CATEGORIAS[[#This Row],[REAJUSTE
PROYECTADO]]</f>
        <v>0</v>
      </c>
      <c r="M469" s="133">
        <v>0</v>
      </c>
      <c r="N469" s="222">
        <v>0</v>
      </c>
      <c r="O469" s="142">
        <f>+CATEGORIAS[[#This Row],[PRODUCCION
PARTIDAS
ORIGINALES
ACTUAL]]+CATEGORIAS[[#This Row],[PRODUCCION
ADICIONALES
ACTUAL]]</f>
        <v>0</v>
      </c>
      <c r="P469" s="222">
        <v>0</v>
      </c>
      <c r="Q469" s="222">
        <v>0</v>
      </c>
      <c r="R469" s="141">
        <f>+CATEGORIAS[[#This Row],[PRODUCCION
ANTERIOR]]+CATEGORIAS[[#This Row],[PRODUCCION
ADICIONALES
ANTERIOR]]</f>
        <v>0</v>
      </c>
      <c r="S469" s="135">
        <v>0</v>
      </c>
      <c r="T469" s="135"/>
      <c r="U469" s="135">
        <v>0</v>
      </c>
      <c r="V469" s="262">
        <f>SUM(CATEGORIAS[[#This Row],[COSTO
ACUMULADO  AX]:[PROVISIONES]])</f>
        <v>0</v>
      </c>
      <c r="W469" s="264">
        <v>0</v>
      </c>
      <c r="X469" s="222"/>
      <c r="Y469" s="222">
        <v>0</v>
      </c>
      <c r="Z469" s="263">
        <f>SUM(CATEGORIAS[[#This Row],[COSTO ACUMULADO
ANTERIOR]:[PROVISIONES
ANTERIOR]])</f>
        <v>0</v>
      </c>
      <c r="AA469" s="338">
        <f>ABS(+CATEGORIAS[[#This Row],[PRESUPUESTO
FINAL
PROYECTADO]]-CATEGORIAS[[#This Row],[TOTAL PRODUCCION
ACTUAL]])</f>
        <v>0</v>
      </c>
      <c r="AB469" s="222"/>
      <c r="AC469" s="134"/>
      <c r="AD469" s="134">
        <v>0</v>
      </c>
      <c r="AE469" s="221">
        <f>SUM(CATEGORIAS[[#This Row],[INVENTARIO]:[PROYECCION
DE COSTO
DEL SALDO]])</f>
        <v>0</v>
      </c>
      <c r="AF469" s="134"/>
      <c r="AG469" s="134">
        <f>+CATEGORIAS[[#This Row],[PRESUPUESTO
FINAL
PROYECTADO]]-CATEGORIAS[[#This Row],[COSTO REAL]]-CATEGORIAS[[#This Row],[PROYECCION
TOTAL DE COSTO]]</f>
        <v>0</v>
      </c>
    </row>
    <row r="470" spans="1:33" x14ac:dyDescent="0.25">
      <c r="A470" s="245"/>
      <c r="B470" s="245"/>
      <c r="C470" s="245"/>
      <c r="D470" s="323" t="s">
        <v>2204</v>
      </c>
      <c r="E470" s="244" t="s">
        <v>1274</v>
      </c>
      <c r="F470" s="246" t="s">
        <v>376</v>
      </c>
      <c r="G470" s="279">
        <v>0</v>
      </c>
      <c r="H470" s="279">
        <v>0</v>
      </c>
      <c r="I470" s="132">
        <v>0</v>
      </c>
      <c r="J470" s="132">
        <v>0</v>
      </c>
      <c r="K470" s="132">
        <v>0</v>
      </c>
      <c r="L470" s="144">
        <f>CATEGORIAS[[#This Row],[ADICIONALES]]+CATEGORIAS[[#This Row],[POM]]+CATEGORIAS[[#This Row],[REAJUSTE 
PAGADO]]+CATEGORIAS[[#This Row],[REAJUSTE
PROYECTADO]]</f>
        <v>0</v>
      </c>
      <c r="M470" s="133">
        <v>0</v>
      </c>
      <c r="N470" s="222">
        <v>0</v>
      </c>
      <c r="O470" s="142">
        <f>+CATEGORIAS[[#This Row],[PRODUCCION
PARTIDAS
ORIGINALES
ACTUAL]]+CATEGORIAS[[#This Row],[PRODUCCION
ADICIONALES
ACTUAL]]</f>
        <v>0</v>
      </c>
      <c r="P470" s="222">
        <v>0</v>
      </c>
      <c r="Q470" s="222">
        <v>0</v>
      </c>
      <c r="R470" s="141">
        <f>+CATEGORIAS[[#This Row],[PRODUCCION
ANTERIOR]]+CATEGORIAS[[#This Row],[PRODUCCION
ADICIONALES
ANTERIOR]]</f>
        <v>0</v>
      </c>
      <c r="S470" s="135">
        <v>0</v>
      </c>
      <c r="T470" s="135"/>
      <c r="U470" s="135">
        <v>0</v>
      </c>
      <c r="V470" s="262">
        <f>SUM(CATEGORIAS[[#This Row],[COSTO
ACUMULADO  AX]:[PROVISIONES]])</f>
        <v>0</v>
      </c>
      <c r="W470" s="264">
        <v>0</v>
      </c>
      <c r="X470" s="222"/>
      <c r="Y470" s="222">
        <v>0</v>
      </c>
      <c r="Z470" s="263">
        <f>SUM(CATEGORIAS[[#This Row],[COSTO ACUMULADO
ANTERIOR]:[PROVISIONES
ANTERIOR]])</f>
        <v>0</v>
      </c>
      <c r="AA470" s="338">
        <f>ABS(+CATEGORIAS[[#This Row],[PRESUPUESTO
FINAL
PROYECTADO]]-CATEGORIAS[[#This Row],[TOTAL PRODUCCION
ACTUAL]])</f>
        <v>0</v>
      </c>
      <c r="AB470" s="222"/>
      <c r="AC470" s="134"/>
      <c r="AD470" s="134">
        <v>0</v>
      </c>
      <c r="AE470" s="221">
        <f>SUM(CATEGORIAS[[#This Row],[INVENTARIO]:[PROYECCION
DE COSTO
DEL SALDO]])</f>
        <v>0</v>
      </c>
      <c r="AF470" s="134"/>
      <c r="AG470" s="134">
        <f>+CATEGORIAS[[#This Row],[PRESUPUESTO
FINAL
PROYECTADO]]-CATEGORIAS[[#This Row],[COSTO REAL]]-CATEGORIAS[[#This Row],[PROYECCION
TOTAL DE COSTO]]</f>
        <v>0</v>
      </c>
    </row>
    <row r="471" spans="1:33" x14ac:dyDescent="0.25">
      <c r="A471" s="245" t="s">
        <v>106</v>
      </c>
      <c r="B471" s="245" t="s">
        <v>234</v>
      </c>
      <c r="C471" s="245" t="s">
        <v>128</v>
      </c>
      <c r="D471" s="323" t="s">
        <v>2205</v>
      </c>
      <c r="E471" s="244" t="s">
        <v>1276</v>
      </c>
      <c r="F471" s="246" t="s">
        <v>376</v>
      </c>
      <c r="G471" s="279">
        <v>6500000</v>
      </c>
      <c r="H471" s="279">
        <v>6500000</v>
      </c>
      <c r="I471" s="132">
        <v>2045560.3239640887</v>
      </c>
      <c r="J471" s="132">
        <v>229179.30636803492</v>
      </c>
      <c r="K471" s="132">
        <v>0</v>
      </c>
      <c r="L471" s="144">
        <f>CATEGORIAS[[#This Row],[ADICIONALES]]+CATEGORIAS[[#This Row],[POM]]+CATEGORIAS[[#This Row],[REAJUSTE 
PAGADO]]+CATEGORIAS[[#This Row],[REAJUSTE
PROYECTADO]]</f>
        <v>8774739.6303321235</v>
      </c>
      <c r="M471" s="133">
        <v>6727903.3523952654</v>
      </c>
      <c r="N471" s="222">
        <v>2046836.2779368586</v>
      </c>
      <c r="O471" s="142">
        <f>+CATEGORIAS[[#This Row],[PRODUCCION
PARTIDAS
ORIGINALES
ACTUAL]]+CATEGORIAS[[#This Row],[PRODUCCION
ADICIONALES
ACTUAL]]</f>
        <v>8774739.6303321235</v>
      </c>
      <c r="P471" s="222">
        <v>6727903.3523952654</v>
      </c>
      <c r="Q471" s="222">
        <v>2045560.3239640887</v>
      </c>
      <c r="R471" s="141">
        <f>+CATEGORIAS[[#This Row],[PRODUCCION
ANTERIOR]]+CATEGORIAS[[#This Row],[PRODUCCION
ADICIONALES
ANTERIOR]]</f>
        <v>8773463.6763593536</v>
      </c>
      <c r="S471" s="135">
        <v>1522090</v>
      </c>
      <c r="T471" s="135"/>
      <c r="U471" s="135">
        <v>0</v>
      </c>
      <c r="V471" s="262">
        <f>SUM(CATEGORIAS[[#This Row],[COSTO
ACUMULADO  AX]:[PROVISIONES]])</f>
        <v>1522090</v>
      </c>
      <c r="W471" s="264">
        <v>1522090</v>
      </c>
      <c r="X471" s="222"/>
      <c r="Y471" s="222">
        <v>0</v>
      </c>
      <c r="Z471" s="263">
        <f>SUM(CATEGORIAS[[#This Row],[COSTO ACUMULADO
ANTERIOR]:[PROVISIONES
ANTERIOR]])</f>
        <v>1522090</v>
      </c>
      <c r="AA471" s="338">
        <f>ABS(+CATEGORIAS[[#This Row],[PRESUPUESTO
FINAL
PROYECTADO]]-CATEGORIAS[[#This Row],[TOTAL PRODUCCION
ACTUAL]])</f>
        <v>0</v>
      </c>
      <c r="AB471" s="222"/>
      <c r="AC471" s="134"/>
      <c r="AD471" s="134">
        <v>0</v>
      </c>
      <c r="AE471" s="221">
        <f>SUM(CATEGORIAS[[#This Row],[INVENTARIO]:[PROYECCION
DE COSTO
DEL SALDO]])</f>
        <v>0</v>
      </c>
      <c r="AF471" s="134"/>
      <c r="AG471" s="134">
        <f>+CATEGORIAS[[#This Row],[PRESUPUESTO
FINAL
PROYECTADO]]-CATEGORIAS[[#This Row],[COSTO REAL]]-CATEGORIAS[[#This Row],[PROYECCION
TOTAL DE COSTO]]</f>
        <v>7252649.6303321235</v>
      </c>
    </row>
    <row r="472" spans="1:33" x14ac:dyDescent="0.25">
      <c r="A472" s="245"/>
      <c r="B472" s="245"/>
      <c r="C472" s="245"/>
      <c r="D472" s="323" t="s">
        <v>2206</v>
      </c>
      <c r="E472" s="244" t="s">
        <v>1278</v>
      </c>
      <c r="F472" s="246" t="s">
        <v>376</v>
      </c>
      <c r="G472" s="279">
        <v>0</v>
      </c>
      <c r="H472" s="279">
        <v>0</v>
      </c>
      <c r="I472" s="132">
        <v>0</v>
      </c>
      <c r="J472" s="132">
        <v>0</v>
      </c>
      <c r="K472" s="132">
        <v>0</v>
      </c>
      <c r="L472" s="144">
        <f>CATEGORIAS[[#This Row],[ADICIONALES]]+CATEGORIAS[[#This Row],[POM]]+CATEGORIAS[[#This Row],[REAJUSTE 
PAGADO]]+CATEGORIAS[[#This Row],[REAJUSTE
PROYECTADO]]</f>
        <v>0</v>
      </c>
      <c r="M472" s="133">
        <v>0</v>
      </c>
      <c r="N472" s="222">
        <v>0</v>
      </c>
      <c r="O472" s="142">
        <f>+CATEGORIAS[[#This Row],[PRODUCCION
PARTIDAS
ORIGINALES
ACTUAL]]+CATEGORIAS[[#This Row],[PRODUCCION
ADICIONALES
ACTUAL]]</f>
        <v>0</v>
      </c>
      <c r="P472" s="222">
        <v>0</v>
      </c>
      <c r="Q472" s="134">
        <v>0</v>
      </c>
      <c r="R472" s="141">
        <f>+CATEGORIAS[[#This Row],[PRODUCCION
ANTERIOR]]+CATEGORIAS[[#This Row],[PRODUCCION
ADICIONALES
ANTERIOR]]</f>
        <v>0</v>
      </c>
      <c r="S472" s="135">
        <v>0</v>
      </c>
      <c r="T472" s="135"/>
      <c r="U472" s="135">
        <v>0</v>
      </c>
      <c r="V472" s="262">
        <f>SUM(CATEGORIAS[[#This Row],[COSTO
ACUMULADO  AX]:[PROVISIONES]])</f>
        <v>0</v>
      </c>
      <c r="W472" s="264">
        <v>0</v>
      </c>
      <c r="X472" s="222"/>
      <c r="Y472" s="222">
        <v>0</v>
      </c>
      <c r="Z472" s="263">
        <f>SUM(CATEGORIAS[[#This Row],[COSTO ACUMULADO
ANTERIOR]:[PROVISIONES
ANTERIOR]])</f>
        <v>0</v>
      </c>
      <c r="AA472" s="338">
        <f>ABS(+CATEGORIAS[[#This Row],[PRESUPUESTO
FINAL
PROYECTADO]]-CATEGORIAS[[#This Row],[TOTAL PRODUCCION
ACTUAL]])</f>
        <v>0</v>
      </c>
      <c r="AB472" s="222"/>
      <c r="AC472" s="134"/>
      <c r="AD472" s="134">
        <v>0</v>
      </c>
      <c r="AE472" s="221">
        <f>SUM(CATEGORIAS[[#This Row],[INVENTARIO]:[PROYECCION
DE COSTO
DEL SALDO]])</f>
        <v>0</v>
      </c>
      <c r="AF472" s="134"/>
      <c r="AG472" s="134">
        <f>+CATEGORIAS[[#This Row],[PRESUPUESTO
FINAL
PROYECTADO]]-CATEGORIAS[[#This Row],[COSTO REAL]]-CATEGORIAS[[#This Row],[PROYECCION
TOTAL DE COSTO]]</f>
        <v>0</v>
      </c>
    </row>
    <row r="473" spans="1:33" x14ac:dyDescent="0.25">
      <c r="A473" s="245"/>
      <c r="B473" s="245"/>
      <c r="C473" s="245"/>
      <c r="D473" s="323" t="s">
        <v>2207</v>
      </c>
      <c r="E473" s="244" t="s">
        <v>1280</v>
      </c>
      <c r="F473" s="246" t="s">
        <v>379</v>
      </c>
      <c r="G473" s="279">
        <v>0</v>
      </c>
      <c r="H473" s="279">
        <v>0</v>
      </c>
      <c r="I473" s="132">
        <v>0</v>
      </c>
      <c r="J473" s="132">
        <v>0</v>
      </c>
      <c r="K473" s="132">
        <v>0</v>
      </c>
      <c r="L473" s="144">
        <f>CATEGORIAS[[#This Row],[ADICIONALES]]+CATEGORIAS[[#This Row],[POM]]+CATEGORIAS[[#This Row],[REAJUSTE 
PAGADO]]+CATEGORIAS[[#This Row],[REAJUSTE
PROYECTADO]]</f>
        <v>0</v>
      </c>
      <c r="M473" s="133">
        <v>0</v>
      </c>
      <c r="N473" s="222">
        <v>0</v>
      </c>
      <c r="O473" s="142">
        <f>+CATEGORIAS[[#This Row],[PRODUCCION
PARTIDAS
ORIGINALES
ACTUAL]]+CATEGORIAS[[#This Row],[PRODUCCION
ADICIONALES
ACTUAL]]</f>
        <v>0</v>
      </c>
      <c r="P473" s="222">
        <v>0</v>
      </c>
      <c r="Q473" s="222">
        <v>0</v>
      </c>
      <c r="R473" s="141">
        <f>+CATEGORIAS[[#This Row],[PRODUCCION
ANTERIOR]]+CATEGORIAS[[#This Row],[PRODUCCION
ADICIONALES
ANTERIOR]]</f>
        <v>0</v>
      </c>
      <c r="S473" s="135">
        <v>0</v>
      </c>
      <c r="T473" s="135"/>
      <c r="U473" s="135">
        <v>0</v>
      </c>
      <c r="V473" s="262">
        <f>SUM(CATEGORIAS[[#This Row],[COSTO
ACUMULADO  AX]:[PROVISIONES]])</f>
        <v>0</v>
      </c>
      <c r="W473" s="264">
        <v>0</v>
      </c>
      <c r="X473" s="222"/>
      <c r="Y473" s="222">
        <v>0</v>
      </c>
      <c r="Z473" s="263">
        <f>SUM(CATEGORIAS[[#This Row],[COSTO ACUMULADO
ANTERIOR]:[PROVISIONES
ANTERIOR]])</f>
        <v>0</v>
      </c>
      <c r="AA473" s="338">
        <f>ABS(+CATEGORIAS[[#This Row],[PRESUPUESTO
FINAL
PROYECTADO]]-CATEGORIAS[[#This Row],[TOTAL PRODUCCION
ACTUAL]])</f>
        <v>0</v>
      </c>
      <c r="AB473" s="222"/>
      <c r="AC473" s="134"/>
      <c r="AD473" s="134">
        <v>0</v>
      </c>
      <c r="AE473" s="221">
        <f>SUM(CATEGORIAS[[#This Row],[INVENTARIO]:[PROYECCION
DE COSTO
DEL SALDO]])</f>
        <v>0</v>
      </c>
      <c r="AF473" s="134"/>
      <c r="AG473" s="134">
        <f>+CATEGORIAS[[#This Row],[PRESUPUESTO
FINAL
PROYECTADO]]-CATEGORIAS[[#This Row],[COSTO REAL]]-CATEGORIAS[[#This Row],[PROYECCION
TOTAL DE COSTO]]</f>
        <v>0</v>
      </c>
    </row>
    <row r="474" spans="1:33" x14ac:dyDescent="0.25">
      <c r="A474" s="245"/>
      <c r="B474" s="245"/>
      <c r="C474" s="245"/>
      <c r="D474" s="323" t="s">
        <v>2208</v>
      </c>
      <c r="E474" s="244" t="s">
        <v>1282</v>
      </c>
      <c r="F474" s="246" t="s">
        <v>376</v>
      </c>
      <c r="G474" s="279">
        <v>0</v>
      </c>
      <c r="H474" s="279">
        <v>0</v>
      </c>
      <c r="I474" s="132">
        <v>0</v>
      </c>
      <c r="J474" s="132">
        <v>0</v>
      </c>
      <c r="K474" s="132">
        <v>0</v>
      </c>
      <c r="L474" s="144">
        <f>CATEGORIAS[[#This Row],[ADICIONALES]]+CATEGORIAS[[#This Row],[POM]]+CATEGORIAS[[#This Row],[REAJUSTE 
PAGADO]]+CATEGORIAS[[#This Row],[REAJUSTE
PROYECTADO]]</f>
        <v>0</v>
      </c>
      <c r="M474" s="133">
        <v>0</v>
      </c>
      <c r="N474" s="222">
        <v>0</v>
      </c>
      <c r="O474" s="142">
        <f>+CATEGORIAS[[#This Row],[PRODUCCION
PARTIDAS
ORIGINALES
ACTUAL]]+CATEGORIAS[[#This Row],[PRODUCCION
ADICIONALES
ACTUAL]]</f>
        <v>0</v>
      </c>
      <c r="P474" s="222">
        <v>0</v>
      </c>
      <c r="Q474" s="134">
        <v>0</v>
      </c>
      <c r="R474" s="141">
        <f>+CATEGORIAS[[#This Row],[PRODUCCION
ANTERIOR]]+CATEGORIAS[[#This Row],[PRODUCCION
ADICIONALES
ANTERIOR]]</f>
        <v>0</v>
      </c>
      <c r="S474" s="135">
        <v>0</v>
      </c>
      <c r="T474" s="135"/>
      <c r="U474" s="135">
        <v>0</v>
      </c>
      <c r="V474" s="262">
        <f>SUM(CATEGORIAS[[#This Row],[COSTO
ACUMULADO  AX]:[PROVISIONES]])</f>
        <v>0</v>
      </c>
      <c r="W474" s="264">
        <v>0</v>
      </c>
      <c r="X474" s="222"/>
      <c r="Y474" s="222">
        <v>0</v>
      </c>
      <c r="Z474" s="263">
        <f>SUM(CATEGORIAS[[#This Row],[COSTO ACUMULADO
ANTERIOR]:[PROVISIONES
ANTERIOR]])</f>
        <v>0</v>
      </c>
      <c r="AA474" s="338">
        <f>ABS(+CATEGORIAS[[#This Row],[PRESUPUESTO
FINAL
PROYECTADO]]-CATEGORIAS[[#This Row],[TOTAL PRODUCCION
ACTUAL]])</f>
        <v>0</v>
      </c>
      <c r="AB474" s="222"/>
      <c r="AC474" s="134"/>
      <c r="AD474" s="134">
        <v>0</v>
      </c>
      <c r="AE474" s="221">
        <f>SUM(CATEGORIAS[[#This Row],[INVENTARIO]:[PROYECCION
DE COSTO
DEL SALDO]])</f>
        <v>0</v>
      </c>
      <c r="AF474" s="134"/>
      <c r="AG474" s="134">
        <f>+CATEGORIAS[[#This Row],[PRESUPUESTO
FINAL
PROYECTADO]]-CATEGORIAS[[#This Row],[COSTO REAL]]-CATEGORIAS[[#This Row],[PROYECCION
TOTAL DE COSTO]]</f>
        <v>0</v>
      </c>
    </row>
    <row r="475" spans="1:33" x14ac:dyDescent="0.25">
      <c r="A475" s="245"/>
      <c r="B475" s="245"/>
      <c r="C475" s="245"/>
      <c r="D475" s="323" t="s">
        <v>2209</v>
      </c>
      <c r="E475" s="244" t="s">
        <v>1284</v>
      </c>
      <c r="F475" s="246" t="s">
        <v>379</v>
      </c>
      <c r="G475" s="279">
        <v>0</v>
      </c>
      <c r="H475" s="279">
        <v>0</v>
      </c>
      <c r="I475" s="132">
        <v>0</v>
      </c>
      <c r="J475" s="132">
        <v>0</v>
      </c>
      <c r="K475" s="132">
        <v>0</v>
      </c>
      <c r="L475" s="144">
        <f>CATEGORIAS[[#This Row],[ADICIONALES]]+CATEGORIAS[[#This Row],[POM]]+CATEGORIAS[[#This Row],[REAJUSTE 
PAGADO]]+CATEGORIAS[[#This Row],[REAJUSTE
PROYECTADO]]</f>
        <v>0</v>
      </c>
      <c r="M475" s="133">
        <v>0</v>
      </c>
      <c r="N475" s="222">
        <v>0</v>
      </c>
      <c r="O475" s="142">
        <f>+CATEGORIAS[[#This Row],[PRODUCCION
PARTIDAS
ORIGINALES
ACTUAL]]+CATEGORIAS[[#This Row],[PRODUCCION
ADICIONALES
ACTUAL]]</f>
        <v>0</v>
      </c>
      <c r="P475" s="222">
        <v>0</v>
      </c>
      <c r="Q475" s="222">
        <v>0</v>
      </c>
      <c r="R475" s="141">
        <f>+CATEGORIAS[[#This Row],[PRODUCCION
ANTERIOR]]+CATEGORIAS[[#This Row],[PRODUCCION
ADICIONALES
ANTERIOR]]</f>
        <v>0</v>
      </c>
      <c r="S475" s="135">
        <v>0</v>
      </c>
      <c r="T475" s="135"/>
      <c r="U475" s="135">
        <v>0</v>
      </c>
      <c r="V475" s="262">
        <f>SUM(CATEGORIAS[[#This Row],[COSTO
ACUMULADO  AX]:[PROVISIONES]])</f>
        <v>0</v>
      </c>
      <c r="W475" s="264">
        <v>0</v>
      </c>
      <c r="X475" s="222"/>
      <c r="Y475" s="222">
        <v>0</v>
      </c>
      <c r="Z475" s="263">
        <f>SUM(CATEGORIAS[[#This Row],[COSTO ACUMULADO
ANTERIOR]:[PROVISIONES
ANTERIOR]])</f>
        <v>0</v>
      </c>
      <c r="AA475" s="338">
        <f>ABS(+CATEGORIAS[[#This Row],[PRESUPUESTO
FINAL
PROYECTADO]]-CATEGORIAS[[#This Row],[TOTAL PRODUCCION
ACTUAL]])</f>
        <v>0</v>
      </c>
      <c r="AB475" s="222"/>
      <c r="AC475" s="134"/>
      <c r="AD475" s="134">
        <v>0</v>
      </c>
      <c r="AE475" s="221">
        <f>SUM(CATEGORIAS[[#This Row],[INVENTARIO]:[PROYECCION
DE COSTO
DEL SALDO]])</f>
        <v>0</v>
      </c>
      <c r="AF475" s="134"/>
      <c r="AG475" s="134">
        <f>+CATEGORIAS[[#This Row],[PRESUPUESTO
FINAL
PROYECTADO]]-CATEGORIAS[[#This Row],[COSTO REAL]]-CATEGORIAS[[#This Row],[PROYECCION
TOTAL DE COSTO]]</f>
        <v>0</v>
      </c>
    </row>
    <row r="476" spans="1:33" x14ac:dyDescent="0.25">
      <c r="A476" s="245"/>
      <c r="B476" s="245"/>
      <c r="C476" s="245"/>
      <c r="D476" s="323" t="s">
        <v>2210</v>
      </c>
      <c r="E476" s="244" t="s">
        <v>1286</v>
      </c>
      <c r="F476" s="246" t="s">
        <v>376</v>
      </c>
      <c r="G476" s="279">
        <v>0</v>
      </c>
      <c r="H476" s="279">
        <v>0</v>
      </c>
      <c r="I476" s="132">
        <v>0</v>
      </c>
      <c r="J476" s="132">
        <v>0</v>
      </c>
      <c r="K476" s="132">
        <v>0</v>
      </c>
      <c r="L476" s="144">
        <f>CATEGORIAS[[#This Row],[ADICIONALES]]+CATEGORIAS[[#This Row],[POM]]+CATEGORIAS[[#This Row],[REAJUSTE 
PAGADO]]+CATEGORIAS[[#This Row],[REAJUSTE
PROYECTADO]]</f>
        <v>0</v>
      </c>
      <c r="M476" s="133">
        <v>0</v>
      </c>
      <c r="N476" s="222">
        <v>0</v>
      </c>
      <c r="O476" s="142">
        <f>+CATEGORIAS[[#This Row],[PRODUCCION
PARTIDAS
ORIGINALES
ACTUAL]]+CATEGORIAS[[#This Row],[PRODUCCION
ADICIONALES
ACTUAL]]</f>
        <v>0</v>
      </c>
      <c r="P476" s="222">
        <v>0</v>
      </c>
      <c r="Q476" s="222">
        <v>0</v>
      </c>
      <c r="R476" s="141">
        <f>+CATEGORIAS[[#This Row],[PRODUCCION
ANTERIOR]]+CATEGORIAS[[#This Row],[PRODUCCION
ADICIONALES
ANTERIOR]]</f>
        <v>0</v>
      </c>
      <c r="S476" s="135">
        <v>0</v>
      </c>
      <c r="T476" s="135"/>
      <c r="U476" s="135">
        <v>0</v>
      </c>
      <c r="V476" s="262">
        <f>SUM(CATEGORIAS[[#This Row],[COSTO
ACUMULADO  AX]:[PROVISIONES]])</f>
        <v>0</v>
      </c>
      <c r="W476" s="264">
        <v>0</v>
      </c>
      <c r="X476" s="222"/>
      <c r="Y476" s="222">
        <v>0</v>
      </c>
      <c r="Z476" s="263">
        <f>SUM(CATEGORIAS[[#This Row],[COSTO ACUMULADO
ANTERIOR]:[PROVISIONES
ANTERIOR]])</f>
        <v>0</v>
      </c>
      <c r="AA476" s="338">
        <f>ABS(+CATEGORIAS[[#This Row],[PRESUPUESTO
FINAL
PROYECTADO]]-CATEGORIAS[[#This Row],[TOTAL PRODUCCION
ACTUAL]])</f>
        <v>0</v>
      </c>
      <c r="AB476" s="222"/>
      <c r="AC476" s="134"/>
      <c r="AD476" s="134">
        <v>0</v>
      </c>
      <c r="AE476" s="221">
        <f>SUM(CATEGORIAS[[#This Row],[INVENTARIO]:[PROYECCION
DE COSTO
DEL SALDO]])</f>
        <v>0</v>
      </c>
      <c r="AF476" s="134"/>
      <c r="AG476" s="134">
        <f>+CATEGORIAS[[#This Row],[PRESUPUESTO
FINAL
PROYECTADO]]-CATEGORIAS[[#This Row],[COSTO REAL]]-CATEGORIAS[[#This Row],[PROYECCION
TOTAL DE COSTO]]</f>
        <v>0</v>
      </c>
    </row>
    <row r="477" spans="1:33" x14ac:dyDescent="0.25">
      <c r="A477" s="245" t="s">
        <v>106</v>
      </c>
      <c r="B477" s="245" t="s">
        <v>235</v>
      </c>
      <c r="C477" s="245" t="s">
        <v>2398</v>
      </c>
      <c r="D477" s="323" t="s">
        <v>2211</v>
      </c>
      <c r="E477" s="244" t="s">
        <v>1288</v>
      </c>
      <c r="F477" s="246" t="s">
        <v>379</v>
      </c>
      <c r="G477" s="279">
        <v>5400000</v>
      </c>
      <c r="H477" s="279">
        <v>5400000</v>
      </c>
      <c r="I477" s="132">
        <v>3099670.2007541647</v>
      </c>
      <c r="J477" s="132">
        <v>190395.11605959822</v>
      </c>
      <c r="K477" s="132">
        <v>0</v>
      </c>
      <c r="L477" s="144">
        <f>CATEGORIAS[[#This Row],[ADICIONALES]]+CATEGORIAS[[#This Row],[POM]]+CATEGORIAS[[#This Row],[REAJUSTE 
PAGADO]]+CATEGORIAS[[#This Row],[REAJUSTE
PROYECTADO]]</f>
        <v>8690065.3168137632</v>
      </c>
      <c r="M477" s="133">
        <v>5589335.0927591426</v>
      </c>
      <c r="N477" s="222">
        <v>3100730.2240546206</v>
      </c>
      <c r="O477" s="142">
        <f>+CATEGORIAS[[#This Row],[PRODUCCION
PARTIDAS
ORIGINALES
ACTUAL]]+CATEGORIAS[[#This Row],[PRODUCCION
ADICIONALES
ACTUAL]]</f>
        <v>8690065.3168137632</v>
      </c>
      <c r="P477" s="222">
        <v>5589335.0927591426</v>
      </c>
      <c r="Q477" s="222">
        <v>3099670.2007541647</v>
      </c>
      <c r="R477" s="141">
        <f>+CATEGORIAS[[#This Row],[PRODUCCION
ANTERIOR]]+CATEGORIAS[[#This Row],[PRODUCCION
ADICIONALES
ANTERIOR]]</f>
        <v>8689005.2935133073</v>
      </c>
      <c r="S477" s="135">
        <v>11477630</v>
      </c>
      <c r="T477" s="135"/>
      <c r="U477" s="135">
        <v>0</v>
      </c>
      <c r="V477" s="262">
        <f>SUM(CATEGORIAS[[#This Row],[COSTO
ACUMULADO  AX]:[PROVISIONES]])</f>
        <v>11477630</v>
      </c>
      <c r="W477" s="264">
        <v>11477630</v>
      </c>
      <c r="X477" s="222"/>
      <c r="Y477" s="222">
        <v>0</v>
      </c>
      <c r="Z477" s="263">
        <f>SUM(CATEGORIAS[[#This Row],[COSTO ACUMULADO
ANTERIOR]:[PROVISIONES
ANTERIOR]])</f>
        <v>11477630</v>
      </c>
      <c r="AA477" s="338">
        <f>ABS(+CATEGORIAS[[#This Row],[PRESUPUESTO
FINAL
PROYECTADO]]-CATEGORIAS[[#This Row],[TOTAL PRODUCCION
ACTUAL]])</f>
        <v>0</v>
      </c>
      <c r="AB477" s="222"/>
      <c r="AC477" s="134"/>
      <c r="AD477" s="134">
        <v>0</v>
      </c>
      <c r="AE477" s="221">
        <f>SUM(CATEGORIAS[[#This Row],[INVENTARIO]:[PROYECCION
DE COSTO
DEL SALDO]])</f>
        <v>0</v>
      </c>
      <c r="AF477" s="134"/>
      <c r="AG477" s="134">
        <f>+CATEGORIAS[[#This Row],[PRESUPUESTO
FINAL
PROYECTADO]]-CATEGORIAS[[#This Row],[COSTO REAL]]-CATEGORIAS[[#This Row],[PROYECCION
TOTAL DE COSTO]]</f>
        <v>-2787564.6831862368</v>
      </c>
    </row>
    <row r="478" spans="1:33" x14ac:dyDescent="0.25">
      <c r="A478" s="245"/>
      <c r="B478" s="245"/>
      <c r="C478" s="245"/>
      <c r="D478" s="323" t="s">
        <v>2212</v>
      </c>
      <c r="E478" s="244" t="s">
        <v>1290</v>
      </c>
      <c r="F478" s="246" t="s">
        <v>376</v>
      </c>
      <c r="G478" s="279">
        <v>0</v>
      </c>
      <c r="H478" s="279">
        <v>0</v>
      </c>
      <c r="I478" s="132">
        <v>0</v>
      </c>
      <c r="J478" s="132">
        <v>0</v>
      </c>
      <c r="K478" s="132">
        <v>0</v>
      </c>
      <c r="L478" s="144">
        <f>CATEGORIAS[[#This Row],[ADICIONALES]]+CATEGORIAS[[#This Row],[POM]]+CATEGORIAS[[#This Row],[REAJUSTE 
PAGADO]]+CATEGORIAS[[#This Row],[REAJUSTE
PROYECTADO]]</f>
        <v>0</v>
      </c>
      <c r="M478" s="133">
        <v>0</v>
      </c>
      <c r="N478" s="222">
        <v>0</v>
      </c>
      <c r="O478" s="142">
        <f>+CATEGORIAS[[#This Row],[PRODUCCION
PARTIDAS
ORIGINALES
ACTUAL]]+CATEGORIAS[[#This Row],[PRODUCCION
ADICIONALES
ACTUAL]]</f>
        <v>0</v>
      </c>
      <c r="P478" s="222">
        <v>0</v>
      </c>
      <c r="Q478" s="134">
        <v>0</v>
      </c>
      <c r="R478" s="141">
        <f>+CATEGORIAS[[#This Row],[PRODUCCION
ANTERIOR]]+CATEGORIAS[[#This Row],[PRODUCCION
ADICIONALES
ANTERIOR]]</f>
        <v>0</v>
      </c>
      <c r="S478" s="135">
        <v>0</v>
      </c>
      <c r="T478" s="135"/>
      <c r="U478" s="135">
        <v>0</v>
      </c>
      <c r="V478" s="262">
        <f>SUM(CATEGORIAS[[#This Row],[COSTO
ACUMULADO  AX]:[PROVISIONES]])</f>
        <v>0</v>
      </c>
      <c r="W478" s="264">
        <v>0</v>
      </c>
      <c r="X478" s="222"/>
      <c r="Y478" s="222">
        <v>0</v>
      </c>
      <c r="Z478" s="263">
        <f>SUM(CATEGORIAS[[#This Row],[COSTO ACUMULADO
ANTERIOR]:[PROVISIONES
ANTERIOR]])</f>
        <v>0</v>
      </c>
      <c r="AA478" s="338">
        <f>ABS(+CATEGORIAS[[#This Row],[PRESUPUESTO
FINAL
PROYECTADO]]-CATEGORIAS[[#This Row],[TOTAL PRODUCCION
ACTUAL]])</f>
        <v>0</v>
      </c>
      <c r="AB478" s="222"/>
      <c r="AC478" s="134"/>
      <c r="AD478" s="134">
        <v>0</v>
      </c>
      <c r="AE478" s="221">
        <f>SUM(CATEGORIAS[[#This Row],[INVENTARIO]:[PROYECCION
DE COSTO
DEL SALDO]])</f>
        <v>0</v>
      </c>
      <c r="AF478" s="134"/>
      <c r="AG478" s="134">
        <f>+CATEGORIAS[[#This Row],[PRESUPUESTO
FINAL
PROYECTADO]]-CATEGORIAS[[#This Row],[COSTO REAL]]-CATEGORIAS[[#This Row],[PROYECCION
TOTAL DE COSTO]]</f>
        <v>0</v>
      </c>
    </row>
    <row r="479" spans="1:33" x14ac:dyDescent="0.25">
      <c r="A479" s="245"/>
      <c r="B479" s="245"/>
      <c r="C479" s="245"/>
      <c r="D479" s="323" t="s">
        <v>2213</v>
      </c>
      <c r="E479" s="244" t="s">
        <v>1292</v>
      </c>
      <c r="F479" s="246" t="s">
        <v>376</v>
      </c>
      <c r="G479" s="279">
        <v>0</v>
      </c>
      <c r="H479" s="279">
        <v>0</v>
      </c>
      <c r="I479" s="132">
        <v>0</v>
      </c>
      <c r="J479" s="132">
        <v>0</v>
      </c>
      <c r="K479" s="132">
        <v>0</v>
      </c>
      <c r="L479" s="144">
        <f>CATEGORIAS[[#This Row],[ADICIONALES]]+CATEGORIAS[[#This Row],[POM]]+CATEGORIAS[[#This Row],[REAJUSTE 
PAGADO]]+CATEGORIAS[[#This Row],[REAJUSTE
PROYECTADO]]</f>
        <v>0</v>
      </c>
      <c r="M479" s="133">
        <v>0</v>
      </c>
      <c r="N479" s="222">
        <v>0</v>
      </c>
      <c r="O479" s="142">
        <f>+CATEGORIAS[[#This Row],[PRODUCCION
PARTIDAS
ORIGINALES
ACTUAL]]+CATEGORIAS[[#This Row],[PRODUCCION
ADICIONALES
ACTUAL]]</f>
        <v>0</v>
      </c>
      <c r="P479" s="222">
        <v>0</v>
      </c>
      <c r="Q479" s="222">
        <v>0</v>
      </c>
      <c r="R479" s="141">
        <f>+CATEGORIAS[[#This Row],[PRODUCCION
ANTERIOR]]+CATEGORIAS[[#This Row],[PRODUCCION
ADICIONALES
ANTERIOR]]</f>
        <v>0</v>
      </c>
      <c r="S479" s="135">
        <v>0</v>
      </c>
      <c r="T479" s="135"/>
      <c r="U479" s="135">
        <v>0</v>
      </c>
      <c r="V479" s="262">
        <f>SUM(CATEGORIAS[[#This Row],[COSTO
ACUMULADO  AX]:[PROVISIONES]])</f>
        <v>0</v>
      </c>
      <c r="W479" s="264">
        <v>0</v>
      </c>
      <c r="X479" s="222"/>
      <c r="Y479" s="222">
        <v>0</v>
      </c>
      <c r="Z479" s="263">
        <f>SUM(CATEGORIAS[[#This Row],[COSTO ACUMULADO
ANTERIOR]:[PROVISIONES
ANTERIOR]])</f>
        <v>0</v>
      </c>
      <c r="AA479" s="338">
        <f>ABS(+CATEGORIAS[[#This Row],[PRESUPUESTO
FINAL
PROYECTADO]]-CATEGORIAS[[#This Row],[TOTAL PRODUCCION
ACTUAL]])</f>
        <v>0</v>
      </c>
      <c r="AB479" s="222"/>
      <c r="AC479" s="134"/>
      <c r="AD479" s="134">
        <v>0</v>
      </c>
      <c r="AE479" s="221">
        <f>SUM(CATEGORIAS[[#This Row],[INVENTARIO]:[PROYECCION
DE COSTO
DEL SALDO]])</f>
        <v>0</v>
      </c>
      <c r="AF479" s="134"/>
      <c r="AG479" s="134">
        <f>+CATEGORIAS[[#This Row],[PRESUPUESTO
FINAL
PROYECTADO]]-CATEGORIAS[[#This Row],[COSTO REAL]]-CATEGORIAS[[#This Row],[PROYECCION
TOTAL DE COSTO]]</f>
        <v>0</v>
      </c>
    </row>
    <row r="480" spans="1:33" x14ac:dyDescent="0.25">
      <c r="A480" s="245"/>
      <c r="B480" s="245"/>
      <c r="C480" s="245"/>
      <c r="D480" s="323" t="s">
        <v>2214</v>
      </c>
      <c r="E480" s="244" t="s">
        <v>1294</v>
      </c>
      <c r="F480" s="246" t="s">
        <v>376</v>
      </c>
      <c r="G480" s="279">
        <v>0</v>
      </c>
      <c r="H480" s="279">
        <v>0</v>
      </c>
      <c r="I480" s="132">
        <v>0</v>
      </c>
      <c r="J480" s="132">
        <v>0</v>
      </c>
      <c r="K480" s="132">
        <v>0</v>
      </c>
      <c r="L480" s="144">
        <f>CATEGORIAS[[#This Row],[ADICIONALES]]+CATEGORIAS[[#This Row],[POM]]+CATEGORIAS[[#This Row],[REAJUSTE 
PAGADO]]+CATEGORIAS[[#This Row],[REAJUSTE
PROYECTADO]]</f>
        <v>0</v>
      </c>
      <c r="M480" s="133">
        <v>0</v>
      </c>
      <c r="N480" s="222">
        <v>0</v>
      </c>
      <c r="O480" s="142">
        <f>+CATEGORIAS[[#This Row],[PRODUCCION
PARTIDAS
ORIGINALES
ACTUAL]]+CATEGORIAS[[#This Row],[PRODUCCION
ADICIONALES
ACTUAL]]</f>
        <v>0</v>
      </c>
      <c r="P480" s="222">
        <v>0</v>
      </c>
      <c r="Q480" s="134">
        <v>0</v>
      </c>
      <c r="R480" s="141">
        <f>+CATEGORIAS[[#This Row],[PRODUCCION
ANTERIOR]]+CATEGORIAS[[#This Row],[PRODUCCION
ADICIONALES
ANTERIOR]]</f>
        <v>0</v>
      </c>
      <c r="S480" s="135">
        <v>0</v>
      </c>
      <c r="T480" s="135"/>
      <c r="U480" s="135">
        <v>0</v>
      </c>
      <c r="V480" s="262">
        <f>SUM(CATEGORIAS[[#This Row],[COSTO
ACUMULADO  AX]:[PROVISIONES]])</f>
        <v>0</v>
      </c>
      <c r="W480" s="264">
        <v>0</v>
      </c>
      <c r="X480" s="222"/>
      <c r="Y480" s="222">
        <v>0</v>
      </c>
      <c r="Z480" s="263">
        <f>SUM(CATEGORIAS[[#This Row],[COSTO ACUMULADO
ANTERIOR]:[PROVISIONES
ANTERIOR]])</f>
        <v>0</v>
      </c>
      <c r="AA480" s="338">
        <f>ABS(+CATEGORIAS[[#This Row],[PRESUPUESTO
FINAL
PROYECTADO]]-CATEGORIAS[[#This Row],[TOTAL PRODUCCION
ACTUAL]])</f>
        <v>0</v>
      </c>
      <c r="AB480" s="222"/>
      <c r="AC480" s="134"/>
      <c r="AD480" s="134">
        <v>0</v>
      </c>
      <c r="AE480" s="221">
        <f>SUM(CATEGORIAS[[#This Row],[INVENTARIO]:[PROYECCION
DE COSTO
DEL SALDO]])</f>
        <v>0</v>
      </c>
      <c r="AF480" s="134"/>
      <c r="AG480" s="134">
        <f>+CATEGORIAS[[#This Row],[PRESUPUESTO
FINAL
PROYECTADO]]-CATEGORIAS[[#This Row],[COSTO REAL]]-CATEGORIAS[[#This Row],[PROYECCION
TOTAL DE COSTO]]</f>
        <v>0</v>
      </c>
    </row>
    <row r="481" spans="1:33" x14ac:dyDescent="0.25">
      <c r="A481" s="245"/>
      <c r="B481" s="245"/>
      <c r="C481" s="245"/>
      <c r="D481" s="323" t="s">
        <v>2215</v>
      </c>
      <c r="E481" s="244" t="s">
        <v>1296</v>
      </c>
      <c r="F481" s="246" t="s">
        <v>376</v>
      </c>
      <c r="G481" s="279">
        <v>0</v>
      </c>
      <c r="H481" s="279">
        <v>0</v>
      </c>
      <c r="I481" s="132">
        <v>0</v>
      </c>
      <c r="J481" s="132">
        <v>0</v>
      </c>
      <c r="K481" s="132">
        <v>0</v>
      </c>
      <c r="L481" s="144">
        <f>CATEGORIAS[[#This Row],[ADICIONALES]]+CATEGORIAS[[#This Row],[POM]]+CATEGORIAS[[#This Row],[REAJUSTE 
PAGADO]]+CATEGORIAS[[#This Row],[REAJUSTE
PROYECTADO]]</f>
        <v>0</v>
      </c>
      <c r="M481" s="133">
        <v>0</v>
      </c>
      <c r="N481" s="222">
        <v>0</v>
      </c>
      <c r="O481" s="142">
        <f>+CATEGORIAS[[#This Row],[PRODUCCION
PARTIDAS
ORIGINALES
ACTUAL]]+CATEGORIAS[[#This Row],[PRODUCCION
ADICIONALES
ACTUAL]]</f>
        <v>0</v>
      </c>
      <c r="P481" s="222">
        <v>0</v>
      </c>
      <c r="Q481" s="222">
        <v>0</v>
      </c>
      <c r="R481" s="141">
        <f>+CATEGORIAS[[#This Row],[PRODUCCION
ANTERIOR]]+CATEGORIAS[[#This Row],[PRODUCCION
ADICIONALES
ANTERIOR]]</f>
        <v>0</v>
      </c>
      <c r="S481" s="135">
        <v>0</v>
      </c>
      <c r="T481" s="135"/>
      <c r="U481" s="135">
        <v>0</v>
      </c>
      <c r="V481" s="262">
        <f>SUM(CATEGORIAS[[#This Row],[COSTO
ACUMULADO  AX]:[PROVISIONES]])</f>
        <v>0</v>
      </c>
      <c r="W481" s="264">
        <v>0</v>
      </c>
      <c r="X481" s="222"/>
      <c r="Y481" s="222">
        <v>0</v>
      </c>
      <c r="Z481" s="263">
        <f>SUM(CATEGORIAS[[#This Row],[COSTO ACUMULADO
ANTERIOR]:[PROVISIONES
ANTERIOR]])</f>
        <v>0</v>
      </c>
      <c r="AA481" s="338">
        <f>ABS(+CATEGORIAS[[#This Row],[PRESUPUESTO
FINAL
PROYECTADO]]-CATEGORIAS[[#This Row],[TOTAL PRODUCCION
ACTUAL]])</f>
        <v>0</v>
      </c>
      <c r="AB481" s="222"/>
      <c r="AC481" s="134"/>
      <c r="AD481" s="134">
        <v>0</v>
      </c>
      <c r="AE481" s="221">
        <f>SUM(CATEGORIAS[[#This Row],[INVENTARIO]:[PROYECCION
DE COSTO
DEL SALDO]])</f>
        <v>0</v>
      </c>
      <c r="AF481" s="134"/>
      <c r="AG481" s="134">
        <f>+CATEGORIAS[[#This Row],[PRESUPUESTO
FINAL
PROYECTADO]]-CATEGORIAS[[#This Row],[COSTO REAL]]-CATEGORIAS[[#This Row],[PROYECCION
TOTAL DE COSTO]]</f>
        <v>0</v>
      </c>
    </row>
    <row r="482" spans="1:33" x14ac:dyDescent="0.25">
      <c r="A482" s="245"/>
      <c r="B482" s="245"/>
      <c r="C482" s="245"/>
      <c r="D482" s="323" t="s">
        <v>2216</v>
      </c>
      <c r="E482" s="244" t="s">
        <v>1298</v>
      </c>
      <c r="F482" s="246" t="s">
        <v>376</v>
      </c>
      <c r="G482" s="279">
        <v>0</v>
      </c>
      <c r="H482" s="279">
        <v>0</v>
      </c>
      <c r="I482" s="132">
        <v>0</v>
      </c>
      <c r="J482" s="132">
        <v>0</v>
      </c>
      <c r="K482" s="132">
        <v>0</v>
      </c>
      <c r="L482" s="144">
        <f>CATEGORIAS[[#This Row],[ADICIONALES]]+CATEGORIAS[[#This Row],[POM]]+CATEGORIAS[[#This Row],[REAJUSTE 
PAGADO]]+CATEGORIAS[[#This Row],[REAJUSTE
PROYECTADO]]</f>
        <v>0</v>
      </c>
      <c r="M482" s="133">
        <v>0</v>
      </c>
      <c r="N482" s="222">
        <v>0</v>
      </c>
      <c r="O482" s="142">
        <f>+CATEGORIAS[[#This Row],[PRODUCCION
PARTIDAS
ORIGINALES
ACTUAL]]+CATEGORIAS[[#This Row],[PRODUCCION
ADICIONALES
ACTUAL]]</f>
        <v>0</v>
      </c>
      <c r="P482" s="222">
        <v>0</v>
      </c>
      <c r="Q482" s="134">
        <v>0</v>
      </c>
      <c r="R482" s="141">
        <f>+CATEGORIAS[[#This Row],[PRODUCCION
ANTERIOR]]+CATEGORIAS[[#This Row],[PRODUCCION
ADICIONALES
ANTERIOR]]</f>
        <v>0</v>
      </c>
      <c r="S482" s="135">
        <v>0</v>
      </c>
      <c r="T482" s="135"/>
      <c r="U482" s="135">
        <v>0</v>
      </c>
      <c r="V482" s="262">
        <f>SUM(CATEGORIAS[[#This Row],[COSTO
ACUMULADO  AX]:[PROVISIONES]])</f>
        <v>0</v>
      </c>
      <c r="W482" s="264">
        <v>0</v>
      </c>
      <c r="X482" s="222"/>
      <c r="Y482" s="222">
        <v>0</v>
      </c>
      <c r="Z482" s="263">
        <f>SUM(CATEGORIAS[[#This Row],[COSTO ACUMULADO
ANTERIOR]:[PROVISIONES
ANTERIOR]])</f>
        <v>0</v>
      </c>
      <c r="AA482" s="338">
        <f>ABS(+CATEGORIAS[[#This Row],[PRESUPUESTO
FINAL
PROYECTADO]]-CATEGORIAS[[#This Row],[TOTAL PRODUCCION
ACTUAL]])</f>
        <v>0</v>
      </c>
      <c r="AB482" s="222"/>
      <c r="AC482" s="134"/>
      <c r="AD482" s="134">
        <v>0</v>
      </c>
      <c r="AE482" s="221">
        <f>SUM(CATEGORIAS[[#This Row],[INVENTARIO]:[PROYECCION
DE COSTO
DEL SALDO]])</f>
        <v>0</v>
      </c>
      <c r="AF482" s="134"/>
      <c r="AG482" s="134">
        <f>+CATEGORIAS[[#This Row],[PRESUPUESTO
FINAL
PROYECTADO]]-CATEGORIAS[[#This Row],[COSTO REAL]]-CATEGORIAS[[#This Row],[PROYECCION
TOTAL DE COSTO]]</f>
        <v>0</v>
      </c>
    </row>
    <row r="483" spans="1:33" x14ac:dyDescent="0.25">
      <c r="A483" s="245"/>
      <c r="B483" s="245"/>
      <c r="C483" s="245"/>
      <c r="D483" s="323" t="s">
        <v>2356</v>
      </c>
      <c r="E483" s="244" t="s">
        <v>2357</v>
      </c>
      <c r="F483" s="246" t="s">
        <v>376</v>
      </c>
      <c r="G483" s="279">
        <v>0</v>
      </c>
      <c r="H483" s="279">
        <v>0</v>
      </c>
      <c r="I483" s="132">
        <v>0</v>
      </c>
      <c r="J483" s="132">
        <v>0</v>
      </c>
      <c r="K483" s="132">
        <v>0</v>
      </c>
      <c r="L483" s="144">
        <f>CATEGORIAS[[#This Row],[ADICIONALES]]+CATEGORIAS[[#This Row],[POM]]+CATEGORIAS[[#This Row],[REAJUSTE 
PAGADO]]+CATEGORIAS[[#This Row],[REAJUSTE
PROYECTADO]]</f>
        <v>0</v>
      </c>
      <c r="M483" s="133">
        <v>0</v>
      </c>
      <c r="N483" s="222">
        <v>0</v>
      </c>
      <c r="O483" s="142">
        <f>+CATEGORIAS[[#This Row],[PRODUCCION
PARTIDAS
ORIGINALES
ACTUAL]]+CATEGORIAS[[#This Row],[PRODUCCION
ADICIONALES
ACTUAL]]</f>
        <v>0</v>
      </c>
      <c r="P483" s="222">
        <v>0</v>
      </c>
      <c r="Q483" s="222">
        <v>0</v>
      </c>
      <c r="R483" s="141">
        <f>+CATEGORIAS[[#This Row],[PRODUCCION
ANTERIOR]]+CATEGORIAS[[#This Row],[PRODUCCION
ADICIONALES
ANTERIOR]]</f>
        <v>0</v>
      </c>
      <c r="S483" s="135">
        <v>0</v>
      </c>
      <c r="T483" s="135"/>
      <c r="U483" s="135">
        <v>0</v>
      </c>
      <c r="V483" s="262">
        <f>SUM(CATEGORIAS[[#This Row],[COSTO
ACUMULADO  AX]:[PROVISIONES]])</f>
        <v>0</v>
      </c>
      <c r="W483" s="264">
        <v>0</v>
      </c>
      <c r="X483" s="222"/>
      <c r="Y483" s="222">
        <v>0</v>
      </c>
      <c r="Z483" s="263">
        <f>SUM(CATEGORIAS[[#This Row],[COSTO ACUMULADO
ANTERIOR]:[PROVISIONES
ANTERIOR]])</f>
        <v>0</v>
      </c>
      <c r="AA483" s="338">
        <f>ABS(+CATEGORIAS[[#This Row],[PRESUPUESTO
FINAL
PROYECTADO]]-CATEGORIAS[[#This Row],[TOTAL PRODUCCION
ACTUAL]])</f>
        <v>0</v>
      </c>
      <c r="AB483" s="222"/>
      <c r="AC483" s="134"/>
      <c r="AD483" s="134">
        <v>0</v>
      </c>
      <c r="AE483" s="221">
        <f>SUM(CATEGORIAS[[#This Row],[INVENTARIO]:[PROYECCION
DE COSTO
DEL SALDO]])</f>
        <v>0</v>
      </c>
      <c r="AF483" s="134"/>
      <c r="AG483" s="134">
        <f>+CATEGORIAS[[#This Row],[PRESUPUESTO
FINAL
PROYECTADO]]-CATEGORIAS[[#This Row],[COSTO REAL]]-CATEGORIAS[[#This Row],[PROYECCION
TOTAL DE COSTO]]</f>
        <v>0</v>
      </c>
    </row>
    <row r="484" spans="1:33" x14ac:dyDescent="0.25">
      <c r="A484" s="245"/>
      <c r="B484" s="245"/>
      <c r="C484" s="245"/>
      <c r="D484" s="323" t="s">
        <v>2358</v>
      </c>
      <c r="E484" s="244" t="s">
        <v>2357</v>
      </c>
      <c r="F484" s="246" t="s">
        <v>376</v>
      </c>
      <c r="G484" s="279">
        <v>0</v>
      </c>
      <c r="H484" s="279">
        <v>0</v>
      </c>
      <c r="I484" s="132">
        <v>0</v>
      </c>
      <c r="J484" s="132">
        <v>0</v>
      </c>
      <c r="K484" s="132">
        <v>0</v>
      </c>
      <c r="L484" s="144">
        <f>CATEGORIAS[[#This Row],[ADICIONALES]]+CATEGORIAS[[#This Row],[POM]]+CATEGORIAS[[#This Row],[REAJUSTE 
PAGADO]]+CATEGORIAS[[#This Row],[REAJUSTE
PROYECTADO]]</f>
        <v>0</v>
      </c>
      <c r="M484" s="133">
        <v>0</v>
      </c>
      <c r="N484" s="222">
        <v>0</v>
      </c>
      <c r="O484" s="142">
        <f>+CATEGORIAS[[#This Row],[PRODUCCION
PARTIDAS
ORIGINALES
ACTUAL]]+CATEGORIAS[[#This Row],[PRODUCCION
ADICIONALES
ACTUAL]]</f>
        <v>0</v>
      </c>
      <c r="P484" s="222">
        <v>0</v>
      </c>
      <c r="Q484" s="134">
        <v>0</v>
      </c>
      <c r="R484" s="141">
        <f>+CATEGORIAS[[#This Row],[PRODUCCION
ANTERIOR]]+CATEGORIAS[[#This Row],[PRODUCCION
ADICIONALES
ANTERIOR]]</f>
        <v>0</v>
      </c>
      <c r="S484" s="135">
        <v>0</v>
      </c>
      <c r="T484" s="135"/>
      <c r="U484" s="135">
        <v>0</v>
      </c>
      <c r="V484" s="262">
        <f>SUM(CATEGORIAS[[#This Row],[COSTO
ACUMULADO  AX]:[PROVISIONES]])</f>
        <v>0</v>
      </c>
      <c r="W484" s="264">
        <v>0</v>
      </c>
      <c r="X484" s="222"/>
      <c r="Y484" s="222">
        <v>0</v>
      </c>
      <c r="Z484" s="263">
        <f>SUM(CATEGORIAS[[#This Row],[COSTO ACUMULADO
ANTERIOR]:[PROVISIONES
ANTERIOR]])</f>
        <v>0</v>
      </c>
      <c r="AA484" s="338">
        <f>ABS(+CATEGORIAS[[#This Row],[PRESUPUESTO
FINAL
PROYECTADO]]-CATEGORIAS[[#This Row],[TOTAL PRODUCCION
ACTUAL]])</f>
        <v>0</v>
      </c>
      <c r="AB484" s="222"/>
      <c r="AC484" s="134"/>
      <c r="AD484" s="134">
        <v>0</v>
      </c>
      <c r="AE484" s="221">
        <f>SUM(CATEGORIAS[[#This Row],[INVENTARIO]:[PROYECCION
DE COSTO
DEL SALDO]])</f>
        <v>0</v>
      </c>
      <c r="AF484" s="134"/>
      <c r="AG484" s="134">
        <f>+CATEGORIAS[[#This Row],[PRESUPUESTO
FINAL
PROYECTADO]]-CATEGORIAS[[#This Row],[COSTO REAL]]-CATEGORIAS[[#This Row],[PROYECCION
TOTAL DE COSTO]]</f>
        <v>0</v>
      </c>
    </row>
    <row r="485" spans="1:33" x14ac:dyDescent="0.25">
      <c r="A485" s="245"/>
      <c r="B485" s="245"/>
      <c r="C485" s="245"/>
      <c r="D485" s="323" t="s">
        <v>2217</v>
      </c>
      <c r="E485" s="244" t="s">
        <v>2307</v>
      </c>
      <c r="F485" s="246" t="s">
        <v>376</v>
      </c>
      <c r="G485" s="279">
        <v>0</v>
      </c>
      <c r="H485" s="279">
        <v>0</v>
      </c>
      <c r="I485" s="132">
        <v>0</v>
      </c>
      <c r="J485" s="132">
        <v>0</v>
      </c>
      <c r="K485" s="132">
        <v>0</v>
      </c>
      <c r="L485" s="144">
        <f>CATEGORIAS[[#This Row],[ADICIONALES]]+CATEGORIAS[[#This Row],[POM]]+CATEGORIAS[[#This Row],[REAJUSTE 
PAGADO]]+CATEGORIAS[[#This Row],[REAJUSTE
PROYECTADO]]</f>
        <v>0</v>
      </c>
      <c r="M485" s="133">
        <v>0</v>
      </c>
      <c r="N485" s="222">
        <v>0</v>
      </c>
      <c r="O485" s="142">
        <f>+CATEGORIAS[[#This Row],[PRODUCCION
PARTIDAS
ORIGINALES
ACTUAL]]+CATEGORIAS[[#This Row],[PRODUCCION
ADICIONALES
ACTUAL]]</f>
        <v>0</v>
      </c>
      <c r="P485" s="222">
        <v>0</v>
      </c>
      <c r="Q485" s="222">
        <v>0</v>
      </c>
      <c r="R485" s="141">
        <f>+CATEGORIAS[[#This Row],[PRODUCCION
ANTERIOR]]+CATEGORIAS[[#This Row],[PRODUCCION
ADICIONALES
ANTERIOR]]</f>
        <v>0</v>
      </c>
      <c r="S485" s="135">
        <v>0</v>
      </c>
      <c r="T485" s="135"/>
      <c r="U485" s="135">
        <v>0</v>
      </c>
      <c r="V485" s="262">
        <f>SUM(CATEGORIAS[[#This Row],[COSTO
ACUMULADO  AX]:[PROVISIONES]])</f>
        <v>0</v>
      </c>
      <c r="W485" s="264">
        <v>0</v>
      </c>
      <c r="X485" s="222"/>
      <c r="Y485" s="222">
        <v>0</v>
      </c>
      <c r="Z485" s="263">
        <f>SUM(CATEGORIAS[[#This Row],[COSTO ACUMULADO
ANTERIOR]:[PROVISIONES
ANTERIOR]])</f>
        <v>0</v>
      </c>
      <c r="AA485" s="338">
        <f>ABS(+CATEGORIAS[[#This Row],[PRESUPUESTO
FINAL
PROYECTADO]]-CATEGORIAS[[#This Row],[TOTAL PRODUCCION
ACTUAL]])</f>
        <v>0</v>
      </c>
      <c r="AB485" s="222"/>
      <c r="AC485" s="134"/>
      <c r="AD485" s="134">
        <v>0</v>
      </c>
      <c r="AE485" s="221">
        <f>SUM(CATEGORIAS[[#This Row],[INVENTARIO]:[PROYECCION
DE COSTO
DEL SALDO]])</f>
        <v>0</v>
      </c>
      <c r="AF485" s="134"/>
      <c r="AG485" s="134">
        <f>+CATEGORIAS[[#This Row],[PRESUPUESTO
FINAL
PROYECTADO]]-CATEGORIAS[[#This Row],[COSTO REAL]]-CATEGORIAS[[#This Row],[PROYECCION
TOTAL DE COSTO]]</f>
        <v>0</v>
      </c>
    </row>
    <row r="486" spans="1:33" x14ac:dyDescent="0.25">
      <c r="A486" s="245"/>
      <c r="B486" s="245"/>
      <c r="C486" s="245"/>
      <c r="D486" s="323" t="s">
        <v>2218</v>
      </c>
      <c r="E486" s="244" t="s">
        <v>2308</v>
      </c>
      <c r="F486" s="246" t="s">
        <v>376</v>
      </c>
      <c r="G486" s="279">
        <v>0</v>
      </c>
      <c r="H486" s="279">
        <v>0</v>
      </c>
      <c r="I486" s="132">
        <v>0</v>
      </c>
      <c r="J486" s="132">
        <v>0</v>
      </c>
      <c r="K486" s="132">
        <v>0</v>
      </c>
      <c r="L486" s="144">
        <f>CATEGORIAS[[#This Row],[ADICIONALES]]+CATEGORIAS[[#This Row],[POM]]+CATEGORIAS[[#This Row],[REAJUSTE 
PAGADO]]+CATEGORIAS[[#This Row],[REAJUSTE
PROYECTADO]]</f>
        <v>0</v>
      </c>
      <c r="M486" s="133">
        <v>0</v>
      </c>
      <c r="N486" s="222">
        <v>0</v>
      </c>
      <c r="O486" s="142">
        <f>+CATEGORIAS[[#This Row],[PRODUCCION
PARTIDAS
ORIGINALES
ACTUAL]]+CATEGORIAS[[#This Row],[PRODUCCION
ADICIONALES
ACTUAL]]</f>
        <v>0</v>
      </c>
      <c r="P486" s="222">
        <v>0</v>
      </c>
      <c r="Q486" s="222">
        <v>0</v>
      </c>
      <c r="R486" s="141">
        <f>+CATEGORIAS[[#This Row],[PRODUCCION
ANTERIOR]]+CATEGORIAS[[#This Row],[PRODUCCION
ADICIONALES
ANTERIOR]]</f>
        <v>0</v>
      </c>
      <c r="S486" s="135">
        <v>0</v>
      </c>
      <c r="T486" s="135"/>
      <c r="U486" s="135">
        <v>0</v>
      </c>
      <c r="V486" s="262">
        <f>SUM(CATEGORIAS[[#This Row],[COSTO
ACUMULADO  AX]:[PROVISIONES]])</f>
        <v>0</v>
      </c>
      <c r="W486" s="264">
        <v>0</v>
      </c>
      <c r="X486" s="222"/>
      <c r="Y486" s="222">
        <v>0</v>
      </c>
      <c r="Z486" s="263">
        <f>SUM(CATEGORIAS[[#This Row],[COSTO ACUMULADO
ANTERIOR]:[PROVISIONES
ANTERIOR]])</f>
        <v>0</v>
      </c>
      <c r="AA486" s="338">
        <f>ABS(+CATEGORIAS[[#This Row],[PRESUPUESTO
FINAL
PROYECTADO]]-CATEGORIAS[[#This Row],[TOTAL PRODUCCION
ACTUAL]])</f>
        <v>0</v>
      </c>
      <c r="AB486" s="222"/>
      <c r="AC486" s="134"/>
      <c r="AD486" s="134">
        <v>0</v>
      </c>
      <c r="AE486" s="221">
        <f>SUM(CATEGORIAS[[#This Row],[INVENTARIO]:[PROYECCION
DE COSTO
DEL SALDO]])</f>
        <v>0</v>
      </c>
      <c r="AF486" s="134"/>
      <c r="AG486" s="134">
        <f>+CATEGORIAS[[#This Row],[PRESUPUESTO
FINAL
PROYECTADO]]-CATEGORIAS[[#This Row],[COSTO REAL]]-CATEGORIAS[[#This Row],[PROYECCION
TOTAL DE COSTO]]</f>
        <v>0</v>
      </c>
    </row>
    <row r="487" spans="1:33" x14ac:dyDescent="0.25">
      <c r="A487" s="245"/>
      <c r="B487" s="245"/>
      <c r="C487" s="245"/>
      <c r="D487" s="323" t="s">
        <v>2359</v>
      </c>
      <c r="E487" s="244" t="s">
        <v>2360</v>
      </c>
      <c r="F487" s="246" t="s">
        <v>376</v>
      </c>
      <c r="G487" s="279">
        <v>0</v>
      </c>
      <c r="H487" s="279">
        <v>0</v>
      </c>
      <c r="I487" s="132">
        <v>0</v>
      </c>
      <c r="J487" s="132">
        <v>0</v>
      </c>
      <c r="K487" s="132">
        <v>0</v>
      </c>
      <c r="L487" s="144">
        <f>CATEGORIAS[[#This Row],[ADICIONALES]]+CATEGORIAS[[#This Row],[POM]]+CATEGORIAS[[#This Row],[REAJUSTE 
PAGADO]]+CATEGORIAS[[#This Row],[REAJUSTE
PROYECTADO]]</f>
        <v>0</v>
      </c>
      <c r="M487" s="133">
        <v>0</v>
      </c>
      <c r="N487" s="222">
        <v>0</v>
      </c>
      <c r="O487" s="142">
        <f>+CATEGORIAS[[#This Row],[PRODUCCION
PARTIDAS
ORIGINALES
ACTUAL]]+CATEGORIAS[[#This Row],[PRODUCCION
ADICIONALES
ACTUAL]]</f>
        <v>0</v>
      </c>
      <c r="P487" s="222">
        <v>0</v>
      </c>
      <c r="Q487" s="222">
        <v>0</v>
      </c>
      <c r="R487" s="141">
        <f>+CATEGORIAS[[#This Row],[PRODUCCION
ANTERIOR]]+CATEGORIAS[[#This Row],[PRODUCCION
ADICIONALES
ANTERIOR]]</f>
        <v>0</v>
      </c>
      <c r="S487" s="135">
        <v>0</v>
      </c>
      <c r="T487" s="135"/>
      <c r="U487" s="135">
        <v>0</v>
      </c>
      <c r="V487" s="262">
        <f>SUM(CATEGORIAS[[#This Row],[COSTO
ACUMULADO  AX]:[PROVISIONES]])</f>
        <v>0</v>
      </c>
      <c r="W487" s="264">
        <v>0</v>
      </c>
      <c r="X487" s="222"/>
      <c r="Y487" s="222">
        <v>0</v>
      </c>
      <c r="Z487" s="263">
        <f>SUM(CATEGORIAS[[#This Row],[COSTO ACUMULADO
ANTERIOR]:[PROVISIONES
ANTERIOR]])</f>
        <v>0</v>
      </c>
      <c r="AA487" s="338">
        <f>ABS(+CATEGORIAS[[#This Row],[PRESUPUESTO
FINAL
PROYECTADO]]-CATEGORIAS[[#This Row],[TOTAL PRODUCCION
ACTUAL]])</f>
        <v>0</v>
      </c>
      <c r="AB487" s="222"/>
      <c r="AC487" s="134"/>
      <c r="AD487" s="134">
        <v>0</v>
      </c>
      <c r="AE487" s="221">
        <f>SUM(CATEGORIAS[[#This Row],[INVENTARIO]:[PROYECCION
DE COSTO
DEL SALDO]])</f>
        <v>0</v>
      </c>
      <c r="AF487" s="134"/>
      <c r="AG487" s="134">
        <f>+CATEGORIAS[[#This Row],[PRESUPUESTO
FINAL
PROYECTADO]]-CATEGORIAS[[#This Row],[COSTO REAL]]-CATEGORIAS[[#This Row],[PROYECCION
TOTAL DE COSTO]]</f>
        <v>0</v>
      </c>
    </row>
    <row r="488" spans="1:33" x14ac:dyDescent="0.25">
      <c r="A488" s="245"/>
      <c r="B488" s="245"/>
      <c r="C488" s="245"/>
      <c r="D488" s="323" t="s">
        <v>2361</v>
      </c>
      <c r="E488" s="244" t="s">
        <v>2360</v>
      </c>
      <c r="F488" s="246" t="s">
        <v>376</v>
      </c>
      <c r="G488" s="279">
        <v>0</v>
      </c>
      <c r="H488" s="279">
        <v>0</v>
      </c>
      <c r="I488" s="132">
        <v>0</v>
      </c>
      <c r="J488" s="132">
        <v>0</v>
      </c>
      <c r="K488" s="132">
        <v>0</v>
      </c>
      <c r="L488" s="144">
        <f>CATEGORIAS[[#This Row],[ADICIONALES]]+CATEGORIAS[[#This Row],[POM]]+CATEGORIAS[[#This Row],[REAJUSTE 
PAGADO]]+CATEGORIAS[[#This Row],[REAJUSTE
PROYECTADO]]</f>
        <v>0</v>
      </c>
      <c r="M488" s="133">
        <v>0</v>
      </c>
      <c r="N488" s="222">
        <v>0</v>
      </c>
      <c r="O488" s="142">
        <f>+CATEGORIAS[[#This Row],[PRODUCCION
PARTIDAS
ORIGINALES
ACTUAL]]+CATEGORIAS[[#This Row],[PRODUCCION
ADICIONALES
ACTUAL]]</f>
        <v>0</v>
      </c>
      <c r="P488" s="222">
        <v>0</v>
      </c>
      <c r="Q488" s="222">
        <v>0</v>
      </c>
      <c r="R488" s="141">
        <f>+CATEGORIAS[[#This Row],[PRODUCCION
ANTERIOR]]+CATEGORIAS[[#This Row],[PRODUCCION
ADICIONALES
ANTERIOR]]</f>
        <v>0</v>
      </c>
      <c r="S488" s="135">
        <v>0</v>
      </c>
      <c r="T488" s="135"/>
      <c r="U488" s="135">
        <v>0</v>
      </c>
      <c r="V488" s="262">
        <f>SUM(CATEGORIAS[[#This Row],[COSTO
ACUMULADO  AX]:[PROVISIONES]])</f>
        <v>0</v>
      </c>
      <c r="W488" s="264">
        <v>0</v>
      </c>
      <c r="X488" s="222"/>
      <c r="Y488" s="222">
        <v>0</v>
      </c>
      <c r="Z488" s="263">
        <f>SUM(CATEGORIAS[[#This Row],[COSTO ACUMULADO
ANTERIOR]:[PROVISIONES
ANTERIOR]])</f>
        <v>0</v>
      </c>
      <c r="AA488" s="338">
        <f>ABS(+CATEGORIAS[[#This Row],[PRESUPUESTO
FINAL
PROYECTADO]]-CATEGORIAS[[#This Row],[TOTAL PRODUCCION
ACTUAL]])</f>
        <v>0</v>
      </c>
      <c r="AB488" s="222"/>
      <c r="AC488" s="134"/>
      <c r="AD488" s="134">
        <v>0</v>
      </c>
      <c r="AE488" s="221">
        <f>SUM(CATEGORIAS[[#This Row],[INVENTARIO]:[PROYECCION
DE COSTO
DEL SALDO]])</f>
        <v>0</v>
      </c>
      <c r="AF488" s="134"/>
      <c r="AG488" s="134">
        <f>+CATEGORIAS[[#This Row],[PRESUPUESTO
FINAL
PROYECTADO]]-CATEGORIAS[[#This Row],[COSTO REAL]]-CATEGORIAS[[#This Row],[PROYECCION
TOTAL DE COSTO]]</f>
        <v>0</v>
      </c>
    </row>
    <row r="489" spans="1:33" x14ac:dyDescent="0.25">
      <c r="A489" s="245"/>
      <c r="B489" s="245"/>
      <c r="C489" s="245"/>
      <c r="D489" s="323" t="s">
        <v>2362</v>
      </c>
      <c r="E489" s="244" t="s">
        <v>2363</v>
      </c>
      <c r="F489" s="246" t="s">
        <v>376</v>
      </c>
      <c r="G489" s="279">
        <v>0</v>
      </c>
      <c r="H489" s="279">
        <v>0</v>
      </c>
      <c r="I489" s="132">
        <v>0</v>
      </c>
      <c r="J489" s="132">
        <v>0</v>
      </c>
      <c r="K489" s="132">
        <v>0</v>
      </c>
      <c r="L489" s="144">
        <f>CATEGORIAS[[#This Row],[ADICIONALES]]+CATEGORIAS[[#This Row],[POM]]+CATEGORIAS[[#This Row],[REAJUSTE 
PAGADO]]+CATEGORIAS[[#This Row],[REAJUSTE
PROYECTADO]]</f>
        <v>0</v>
      </c>
      <c r="M489" s="133">
        <v>0</v>
      </c>
      <c r="N489" s="222">
        <v>0</v>
      </c>
      <c r="O489" s="142">
        <f>+CATEGORIAS[[#This Row],[PRODUCCION
PARTIDAS
ORIGINALES
ACTUAL]]+CATEGORIAS[[#This Row],[PRODUCCION
ADICIONALES
ACTUAL]]</f>
        <v>0</v>
      </c>
      <c r="P489" s="222">
        <v>0</v>
      </c>
      <c r="Q489" s="134">
        <v>0</v>
      </c>
      <c r="R489" s="141">
        <f>+CATEGORIAS[[#This Row],[PRODUCCION
ANTERIOR]]+CATEGORIAS[[#This Row],[PRODUCCION
ADICIONALES
ANTERIOR]]</f>
        <v>0</v>
      </c>
      <c r="S489" s="135">
        <v>0</v>
      </c>
      <c r="T489" s="135"/>
      <c r="U489" s="135">
        <v>0</v>
      </c>
      <c r="V489" s="262">
        <f>SUM(CATEGORIAS[[#This Row],[COSTO
ACUMULADO  AX]:[PROVISIONES]])</f>
        <v>0</v>
      </c>
      <c r="W489" s="264">
        <v>0</v>
      </c>
      <c r="X489" s="222"/>
      <c r="Y489" s="222">
        <v>0</v>
      </c>
      <c r="Z489" s="263">
        <f>SUM(CATEGORIAS[[#This Row],[COSTO ACUMULADO
ANTERIOR]:[PROVISIONES
ANTERIOR]])</f>
        <v>0</v>
      </c>
      <c r="AA489" s="338">
        <f>ABS(+CATEGORIAS[[#This Row],[PRESUPUESTO
FINAL
PROYECTADO]]-CATEGORIAS[[#This Row],[TOTAL PRODUCCION
ACTUAL]])</f>
        <v>0</v>
      </c>
      <c r="AB489" s="222"/>
      <c r="AC489" s="134"/>
      <c r="AD489" s="134">
        <v>0</v>
      </c>
      <c r="AE489" s="221">
        <f>SUM(CATEGORIAS[[#This Row],[INVENTARIO]:[PROYECCION
DE COSTO
DEL SALDO]])</f>
        <v>0</v>
      </c>
      <c r="AF489" s="134"/>
      <c r="AG489" s="134">
        <f>+CATEGORIAS[[#This Row],[PRESUPUESTO
FINAL
PROYECTADO]]-CATEGORIAS[[#This Row],[COSTO REAL]]-CATEGORIAS[[#This Row],[PROYECCION
TOTAL DE COSTO]]</f>
        <v>0</v>
      </c>
    </row>
    <row r="490" spans="1:33" x14ac:dyDescent="0.25">
      <c r="A490" s="245"/>
      <c r="B490" s="245"/>
      <c r="C490" s="245"/>
      <c r="D490" s="323" t="s">
        <v>2364</v>
      </c>
      <c r="E490" s="244" t="s">
        <v>2363</v>
      </c>
      <c r="F490" s="246" t="s">
        <v>376</v>
      </c>
      <c r="G490" s="279">
        <v>0</v>
      </c>
      <c r="H490" s="279">
        <v>0</v>
      </c>
      <c r="I490" s="132">
        <v>0</v>
      </c>
      <c r="J490" s="132">
        <v>0</v>
      </c>
      <c r="K490" s="132">
        <v>0</v>
      </c>
      <c r="L490" s="144">
        <f>CATEGORIAS[[#This Row],[ADICIONALES]]+CATEGORIAS[[#This Row],[POM]]+CATEGORIAS[[#This Row],[REAJUSTE 
PAGADO]]+CATEGORIAS[[#This Row],[REAJUSTE
PROYECTADO]]</f>
        <v>0</v>
      </c>
      <c r="M490" s="133">
        <v>0</v>
      </c>
      <c r="N490" s="222">
        <v>0</v>
      </c>
      <c r="O490" s="142">
        <f>+CATEGORIAS[[#This Row],[PRODUCCION
PARTIDAS
ORIGINALES
ACTUAL]]+CATEGORIAS[[#This Row],[PRODUCCION
ADICIONALES
ACTUAL]]</f>
        <v>0</v>
      </c>
      <c r="P490" s="222">
        <v>0</v>
      </c>
      <c r="Q490" s="222">
        <v>0</v>
      </c>
      <c r="R490" s="141">
        <f>+CATEGORIAS[[#This Row],[PRODUCCION
ANTERIOR]]+CATEGORIAS[[#This Row],[PRODUCCION
ADICIONALES
ANTERIOR]]</f>
        <v>0</v>
      </c>
      <c r="S490" s="135">
        <v>0</v>
      </c>
      <c r="T490" s="135"/>
      <c r="U490" s="135">
        <v>0</v>
      </c>
      <c r="V490" s="262">
        <f>SUM(CATEGORIAS[[#This Row],[COSTO
ACUMULADO  AX]:[PROVISIONES]])</f>
        <v>0</v>
      </c>
      <c r="W490" s="264">
        <v>0</v>
      </c>
      <c r="X490" s="222"/>
      <c r="Y490" s="222">
        <v>0</v>
      </c>
      <c r="Z490" s="263">
        <f>SUM(CATEGORIAS[[#This Row],[COSTO ACUMULADO
ANTERIOR]:[PROVISIONES
ANTERIOR]])</f>
        <v>0</v>
      </c>
      <c r="AA490" s="338">
        <f>ABS(+CATEGORIAS[[#This Row],[PRESUPUESTO
FINAL
PROYECTADO]]-CATEGORIAS[[#This Row],[TOTAL PRODUCCION
ACTUAL]])</f>
        <v>0</v>
      </c>
      <c r="AB490" s="222"/>
      <c r="AC490" s="134"/>
      <c r="AD490" s="134">
        <v>0</v>
      </c>
      <c r="AE490" s="221">
        <f>SUM(CATEGORIAS[[#This Row],[INVENTARIO]:[PROYECCION
DE COSTO
DEL SALDO]])</f>
        <v>0</v>
      </c>
      <c r="AF490" s="134"/>
      <c r="AG490" s="134">
        <f>+CATEGORIAS[[#This Row],[PRESUPUESTO
FINAL
PROYECTADO]]-CATEGORIAS[[#This Row],[COSTO REAL]]-CATEGORIAS[[#This Row],[PROYECCION
TOTAL DE COSTO]]</f>
        <v>0</v>
      </c>
    </row>
    <row r="491" spans="1:33" x14ac:dyDescent="0.25">
      <c r="A491" s="245"/>
      <c r="B491" s="245"/>
      <c r="C491" s="245"/>
      <c r="D491" s="323" t="s">
        <v>2365</v>
      </c>
      <c r="E491" s="244" t="s">
        <v>2366</v>
      </c>
      <c r="F491" s="246" t="s">
        <v>376</v>
      </c>
      <c r="G491" s="279">
        <v>0</v>
      </c>
      <c r="H491" s="279">
        <v>0</v>
      </c>
      <c r="I491" s="132">
        <v>0</v>
      </c>
      <c r="J491" s="132">
        <v>0</v>
      </c>
      <c r="K491" s="132">
        <v>0</v>
      </c>
      <c r="L491" s="144">
        <f>CATEGORIAS[[#This Row],[ADICIONALES]]+CATEGORIAS[[#This Row],[POM]]+CATEGORIAS[[#This Row],[REAJUSTE 
PAGADO]]+CATEGORIAS[[#This Row],[REAJUSTE
PROYECTADO]]</f>
        <v>0</v>
      </c>
      <c r="M491" s="133">
        <v>0</v>
      </c>
      <c r="N491" s="222">
        <v>0</v>
      </c>
      <c r="O491" s="142">
        <f>+CATEGORIAS[[#This Row],[PRODUCCION
PARTIDAS
ORIGINALES
ACTUAL]]+CATEGORIAS[[#This Row],[PRODUCCION
ADICIONALES
ACTUAL]]</f>
        <v>0</v>
      </c>
      <c r="P491" s="222">
        <v>0</v>
      </c>
      <c r="Q491" s="134">
        <v>0</v>
      </c>
      <c r="R491" s="141">
        <f>+CATEGORIAS[[#This Row],[PRODUCCION
ANTERIOR]]+CATEGORIAS[[#This Row],[PRODUCCION
ADICIONALES
ANTERIOR]]</f>
        <v>0</v>
      </c>
      <c r="S491" s="135">
        <v>0</v>
      </c>
      <c r="T491" s="135"/>
      <c r="U491" s="135">
        <v>0</v>
      </c>
      <c r="V491" s="262">
        <f>SUM(CATEGORIAS[[#This Row],[COSTO
ACUMULADO  AX]:[PROVISIONES]])</f>
        <v>0</v>
      </c>
      <c r="W491" s="264">
        <v>0</v>
      </c>
      <c r="X491" s="222"/>
      <c r="Y491" s="222">
        <v>0</v>
      </c>
      <c r="Z491" s="263">
        <f>SUM(CATEGORIAS[[#This Row],[COSTO ACUMULADO
ANTERIOR]:[PROVISIONES
ANTERIOR]])</f>
        <v>0</v>
      </c>
      <c r="AA491" s="338">
        <f>ABS(+CATEGORIAS[[#This Row],[PRESUPUESTO
FINAL
PROYECTADO]]-CATEGORIAS[[#This Row],[TOTAL PRODUCCION
ACTUAL]])</f>
        <v>0</v>
      </c>
      <c r="AB491" s="222"/>
      <c r="AC491" s="134"/>
      <c r="AD491" s="134">
        <v>0</v>
      </c>
      <c r="AE491" s="221">
        <f>SUM(CATEGORIAS[[#This Row],[INVENTARIO]:[PROYECCION
DE COSTO
DEL SALDO]])</f>
        <v>0</v>
      </c>
      <c r="AF491" s="134"/>
      <c r="AG491" s="134">
        <f>+CATEGORIAS[[#This Row],[PRESUPUESTO
FINAL
PROYECTADO]]-CATEGORIAS[[#This Row],[COSTO REAL]]-CATEGORIAS[[#This Row],[PROYECCION
TOTAL DE COSTO]]</f>
        <v>0</v>
      </c>
    </row>
    <row r="492" spans="1:33" x14ac:dyDescent="0.25">
      <c r="A492" s="245"/>
      <c r="B492" s="245"/>
      <c r="C492" s="245"/>
      <c r="D492" s="323" t="s">
        <v>2367</v>
      </c>
      <c r="E492" s="244" t="s">
        <v>2366</v>
      </c>
      <c r="F492" s="246" t="s">
        <v>376</v>
      </c>
      <c r="G492" s="279">
        <v>0</v>
      </c>
      <c r="H492" s="279">
        <v>0</v>
      </c>
      <c r="I492" s="132">
        <v>0</v>
      </c>
      <c r="J492" s="132">
        <v>0</v>
      </c>
      <c r="K492" s="132">
        <v>0</v>
      </c>
      <c r="L492" s="144">
        <f>CATEGORIAS[[#This Row],[ADICIONALES]]+CATEGORIAS[[#This Row],[POM]]+CATEGORIAS[[#This Row],[REAJUSTE 
PAGADO]]+CATEGORIAS[[#This Row],[REAJUSTE
PROYECTADO]]</f>
        <v>0</v>
      </c>
      <c r="M492" s="133">
        <v>0</v>
      </c>
      <c r="N492" s="222">
        <v>0</v>
      </c>
      <c r="O492" s="142">
        <f>+CATEGORIAS[[#This Row],[PRODUCCION
PARTIDAS
ORIGINALES
ACTUAL]]+CATEGORIAS[[#This Row],[PRODUCCION
ADICIONALES
ACTUAL]]</f>
        <v>0</v>
      </c>
      <c r="P492" s="222">
        <v>0</v>
      </c>
      <c r="Q492" s="222">
        <v>0</v>
      </c>
      <c r="R492" s="141">
        <f>+CATEGORIAS[[#This Row],[PRODUCCION
ANTERIOR]]+CATEGORIAS[[#This Row],[PRODUCCION
ADICIONALES
ANTERIOR]]</f>
        <v>0</v>
      </c>
      <c r="S492" s="135">
        <v>0</v>
      </c>
      <c r="T492" s="135"/>
      <c r="U492" s="135">
        <v>0</v>
      </c>
      <c r="V492" s="262">
        <f>SUM(CATEGORIAS[[#This Row],[COSTO
ACUMULADO  AX]:[PROVISIONES]])</f>
        <v>0</v>
      </c>
      <c r="W492" s="264">
        <v>0</v>
      </c>
      <c r="X492" s="222"/>
      <c r="Y492" s="222">
        <v>0</v>
      </c>
      <c r="Z492" s="263">
        <f>SUM(CATEGORIAS[[#This Row],[COSTO ACUMULADO
ANTERIOR]:[PROVISIONES
ANTERIOR]])</f>
        <v>0</v>
      </c>
      <c r="AA492" s="338">
        <f>ABS(+CATEGORIAS[[#This Row],[PRESUPUESTO
FINAL
PROYECTADO]]-CATEGORIAS[[#This Row],[TOTAL PRODUCCION
ACTUAL]])</f>
        <v>0</v>
      </c>
      <c r="AB492" s="222"/>
      <c r="AC492" s="134"/>
      <c r="AD492" s="134">
        <v>0</v>
      </c>
      <c r="AE492" s="221">
        <f>SUM(CATEGORIAS[[#This Row],[INVENTARIO]:[PROYECCION
DE COSTO
DEL SALDO]])</f>
        <v>0</v>
      </c>
      <c r="AF492" s="134"/>
      <c r="AG492" s="134">
        <f>+CATEGORIAS[[#This Row],[PRESUPUESTO
FINAL
PROYECTADO]]-CATEGORIAS[[#This Row],[COSTO REAL]]-CATEGORIAS[[#This Row],[PROYECCION
TOTAL DE COSTO]]</f>
        <v>0</v>
      </c>
    </row>
    <row r="493" spans="1:33" x14ac:dyDescent="0.25">
      <c r="A493" s="245"/>
      <c r="B493" s="245"/>
      <c r="C493" s="245"/>
      <c r="D493" s="323" t="s">
        <v>2368</v>
      </c>
      <c r="E493" s="244" t="s">
        <v>2369</v>
      </c>
      <c r="F493" s="246" t="s">
        <v>376</v>
      </c>
      <c r="G493" s="279">
        <v>0</v>
      </c>
      <c r="H493" s="279">
        <v>0</v>
      </c>
      <c r="I493" s="132">
        <v>0</v>
      </c>
      <c r="J493" s="132">
        <v>0</v>
      </c>
      <c r="K493" s="132">
        <v>0</v>
      </c>
      <c r="L493" s="144">
        <f>CATEGORIAS[[#This Row],[ADICIONALES]]+CATEGORIAS[[#This Row],[POM]]+CATEGORIAS[[#This Row],[REAJUSTE 
PAGADO]]+CATEGORIAS[[#This Row],[REAJUSTE
PROYECTADO]]</f>
        <v>0</v>
      </c>
      <c r="M493" s="133">
        <v>0</v>
      </c>
      <c r="N493" s="222">
        <v>0</v>
      </c>
      <c r="O493" s="142">
        <f>+CATEGORIAS[[#This Row],[PRODUCCION
PARTIDAS
ORIGINALES
ACTUAL]]+CATEGORIAS[[#This Row],[PRODUCCION
ADICIONALES
ACTUAL]]</f>
        <v>0</v>
      </c>
      <c r="P493" s="222">
        <v>0</v>
      </c>
      <c r="Q493" s="134">
        <v>0</v>
      </c>
      <c r="R493" s="141">
        <f>+CATEGORIAS[[#This Row],[PRODUCCION
ANTERIOR]]+CATEGORIAS[[#This Row],[PRODUCCION
ADICIONALES
ANTERIOR]]</f>
        <v>0</v>
      </c>
      <c r="S493" s="135">
        <v>0</v>
      </c>
      <c r="T493" s="135"/>
      <c r="U493" s="135">
        <v>0</v>
      </c>
      <c r="V493" s="262">
        <f>SUM(CATEGORIAS[[#This Row],[COSTO
ACUMULADO  AX]:[PROVISIONES]])</f>
        <v>0</v>
      </c>
      <c r="W493" s="264">
        <v>0</v>
      </c>
      <c r="X493" s="222"/>
      <c r="Y493" s="222">
        <v>0</v>
      </c>
      <c r="Z493" s="263">
        <f>SUM(CATEGORIAS[[#This Row],[COSTO ACUMULADO
ANTERIOR]:[PROVISIONES
ANTERIOR]])</f>
        <v>0</v>
      </c>
      <c r="AA493" s="338">
        <f>ABS(+CATEGORIAS[[#This Row],[PRESUPUESTO
FINAL
PROYECTADO]]-CATEGORIAS[[#This Row],[TOTAL PRODUCCION
ACTUAL]])</f>
        <v>0</v>
      </c>
      <c r="AB493" s="222"/>
      <c r="AC493" s="134"/>
      <c r="AD493" s="134">
        <v>0</v>
      </c>
      <c r="AE493" s="221">
        <f>SUM(CATEGORIAS[[#This Row],[INVENTARIO]:[PROYECCION
DE COSTO
DEL SALDO]])</f>
        <v>0</v>
      </c>
      <c r="AF493" s="134"/>
      <c r="AG493" s="134">
        <f>+CATEGORIAS[[#This Row],[PRESUPUESTO
FINAL
PROYECTADO]]-CATEGORIAS[[#This Row],[COSTO REAL]]-CATEGORIAS[[#This Row],[PROYECCION
TOTAL DE COSTO]]</f>
        <v>0</v>
      </c>
    </row>
    <row r="494" spans="1:33" x14ac:dyDescent="0.25">
      <c r="A494" s="245"/>
      <c r="B494" s="245"/>
      <c r="C494" s="245"/>
      <c r="D494" s="323" t="s">
        <v>2370</v>
      </c>
      <c r="E494" s="244" t="s">
        <v>2369</v>
      </c>
      <c r="F494" s="246" t="s">
        <v>376</v>
      </c>
      <c r="G494" s="279">
        <v>0</v>
      </c>
      <c r="H494" s="279">
        <v>0</v>
      </c>
      <c r="I494" s="132">
        <v>0</v>
      </c>
      <c r="J494" s="132">
        <v>0</v>
      </c>
      <c r="K494" s="132">
        <v>0</v>
      </c>
      <c r="L494" s="144">
        <f>CATEGORIAS[[#This Row],[ADICIONALES]]+CATEGORIAS[[#This Row],[POM]]+CATEGORIAS[[#This Row],[REAJUSTE 
PAGADO]]+CATEGORIAS[[#This Row],[REAJUSTE
PROYECTADO]]</f>
        <v>0</v>
      </c>
      <c r="M494" s="133">
        <v>0</v>
      </c>
      <c r="N494" s="222">
        <v>0</v>
      </c>
      <c r="O494" s="142">
        <f>+CATEGORIAS[[#This Row],[PRODUCCION
PARTIDAS
ORIGINALES
ACTUAL]]+CATEGORIAS[[#This Row],[PRODUCCION
ADICIONALES
ACTUAL]]</f>
        <v>0</v>
      </c>
      <c r="P494" s="222">
        <v>0</v>
      </c>
      <c r="Q494" s="134">
        <v>0</v>
      </c>
      <c r="R494" s="141">
        <f>+CATEGORIAS[[#This Row],[PRODUCCION
ANTERIOR]]+CATEGORIAS[[#This Row],[PRODUCCION
ADICIONALES
ANTERIOR]]</f>
        <v>0</v>
      </c>
      <c r="S494" s="135">
        <v>0</v>
      </c>
      <c r="T494" s="135"/>
      <c r="U494" s="135">
        <v>0</v>
      </c>
      <c r="V494" s="262">
        <f>SUM(CATEGORIAS[[#This Row],[COSTO
ACUMULADO  AX]:[PROVISIONES]])</f>
        <v>0</v>
      </c>
      <c r="W494" s="264">
        <v>0</v>
      </c>
      <c r="X494" s="222"/>
      <c r="Y494" s="222">
        <v>0</v>
      </c>
      <c r="Z494" s="263">
        <f>SUM(CATEGORIAS[[#This Row],[COSTO ACUMULADO
ANTERIOR]:[PROVISIONES
ANTERIOR]])</f>
        <v>0</v>
      </c>
      <c r="AA494" s="338">
        <f>ABS(+CATEGORIAS[[#This Row],[PRESUPUESTO
FINAL
PROYECTADO]]-CATEGORIAS[[#This Row],[TOTAL PRODUCCION
ACTUAL]])</f>
        <v>0</v>
      </c>
      <c r="AB494" s="222"/>
      <c r="AC494" s="134"/>
      <c r="AD494" s="134">
        <v>0</v>
      </c>
      <c r="AE494" s="221">
        <f>SUM(CATEGORIAS[[#This Row],[INVENTARIO]:[PROYECCION
DE COSTO
DEL SALDO]])</f>
        <v>0</v>
      </c>
      <c r="AF494" s="134"/>
      <c r="AG494" s="134">
        <f>+CATEGORIAS[[#This Row],[PRESUPUESTO
FINAL
PROYECTADO]]-CATEGORIAS[[#This Row],[COSTO REAL]]-CATEGORIAS[[#This Row],[PROYECCION
TOTAL DE COSTO]]</f>
        <v>0</v>
      </c>
    </row>
    <row r="495" spans="1:33" x14ac:dyDescent="0.25">
      <c r="A495" s="245"/>
      <c r="B495" s="245"/>
      <c r="C495" s="245"/>
      <c r="D495" s="323" t="s">
        <v>2371</v>
      </c>
      <c r="E495" s="244" t="s">
        <v>2372</v>
      </c>
      <c r="F495" s="246" t="s">
        <v>376</v>
      </c>
      <c r="G495" s="279">
        <v>0</v>
      </c>
      <c r="H495" s="279">
        <v>0</v>
      </c>
      <c r="I495" s="132">
        <v>0</v>
      </c>
      <c r="J495" s="132">
        <v>0</v>
      </c>
      <c r="K495" s="132">
        <v>0</v>
      </c>
      <c r="L495" s="144">
        <f>CATEGORIAS[[#This Row],[ADICIONALES]]+CATEGORIAS[[#This Row],[POM]]+CATEGORIAS[[#This Row],[REAJUSTE 
PAGADO]]+CATEGORIAS[[#This Row],[REAJUSTE
PROYECTADO]]</f>
        <v>0</v>
      </c>
      <c r="M495" s="133">
        <v>0</v>
      </c>
      <c r="N495" s="222">
        <v>0</v>
      </c>
      <c r="O495" s="142">
        <f>+CATEGORIAS[[#This Row],[PRODUCCION
PARTIDAS
ORIGINALES
ACTUAL]]+CATEGORIAS[[#This Row],[PRODUCCION
ADICIONALES
ACTUAL]]</f>
        <v>0</v>
      </c>
      <c r="P495" s="222">
        <v>0</v>
      </c>
      <c r="Q495" s="222">
        <v>0</v>
      </c>
      <c r="R495" s="141">
        <f>+CATEGORIAS[[#This Row],[PRODUCCION
ANTERIOR]]+CATEGORIAS[[#This Row],[PRODUCCION
ADICIONALES
ANTERIOR]]</f>
        <v>0</v>
      </c>
      <c r="S495" s="135">
        <v>0</v>
      </c>
      <c r="T495" s="135"/>
      <c r="U495" s="135">
        <v>0</v>
      </c>
      <c r="V495" s="262">
        <f>SUM(CATEGORIAS[[#This Row],[COSTO
ACUMULADO  AX]:[PROVISIONES]])</f>
        <v>0</v>
      </c>
      <c r="W495" s="264">
        <v>0</v>
      </c>
      <c r="X495" s="222"/>
      <c r="Y495" s="222">
        <v>0</v>
      </c>
      <c r="Z495" s="263">
        <f>SUM(CATEGORIAS[[#This Row],[COSTO ACUMULADO
ANTERIOR]:[PROVISIONES
ANTERIOR]])</f>
        <v>0</v>
      </c>
      <c r="AA495" s="338">
        <f>ABS(+CATEGORIAS[[#This Row],[PRESUPUESTO
FINAL
PROYECTADO]]-CATEGORIAS[[#This Row],[TOTAL PRODUCCION
ACTUAL]])</f>
        <v>0</v>
      </c>
      <c r="AB495" s="222"/>
      <c r="AC495" s="134"/>
      <c r="AD495" s="134">
        <v>0</v>
      </c>
      <c r="AE495" s="221">
        <f>SUM(CATEGORIAS[[#This Row],[INVENTARIO]:[PROYECCION
DE COSTO
DEL SALDO]])</f>
        <v>0</v>
      </c>
      <c r="AF495" s="134"/>
      <c r="AG495" s="134">
        <f>+CATEGORIAS[[#This Row],[PRESUPUESTO
FINAL
PROYECTADO]]-CATEGORIAS[[#This Row],[COSTO REAL]]-CATEGORIAS[[#This Row],[PROYECCION
TOTAL DE COSTO]]</f>
        <v>0</v>
      </c>
    </row>
    <row r="496" spans="1:33" x14ac:dyDescent="0.25">
      <c r="A496" s="245"/>
      <c r="B496" s="245"/>
      <c r="C496" s="245"/>
      <c r="D496" s="323" t="s">
        <v>2373</v>
      </c>
      <c r="E496" s="244" t="s">
        <v>2372</v>
      </c>
      <c r="F496" s="246" t="s">
        <v>376</v>
      </c>
      <c r="G496" s="279">
        <v>0</v>
      </c>
      <c r="H496" s="279">
        <v>0</v>
      </c>
      <c r="I496" s="132">
        <v>0</v>
      </c>
      <c r="J496" s="132">
        <v>0</v>
      </c>
      <c r="K496" s="132">
        <v>0</v>
      </c>
      <c r="L496" s="144">
        <f>CATEGORIAS[[#This Row],[ADICIONALES]]+CATEGORIAS[[#This Row],[POM]]+CATEGORIAS[[#This Row],[REAJUSTE 
PAGADO]]+CATEGORIAS[[#This Row],[REAJUSTE
PROYECTADO]]</f>
        <v>0</v>
      </c>
      <c r="M496" s="133">
        <v>0</v>
      </c>
      <c r="N496" s="222">
        <v>0</v>
      </c>
      <c r="O496" s="142">
        <f>+CATEGORIAS[[#This Row],[PRODUCCION
PARTIDAS
ORIGINALES
ACTUAL]]+CATEGORIAS[[#This Row],[PRODUCCION
ADICIONALES
ACTUAL]]</f>
        <v>0</v>
      </c>
      <c r="P496" s="222">
        <v>0</v>
      </c>
      <c r="Q496" s="222">
        <v>0</v>
      </c>
      <c r="R496" s="141">
        <f>+CATEGORIAS[[#This Row],[PRODUCCION
ANTERIOR]]+CATEGORIAS[[#This Row],[PRODUCCION
ADICIONALES
ANTERIOR]]</f>
        <v>0</v>
      </c>
      <c r="S496" s="135">
        <v>0</v>
      </c>
      <c r="T496" s="135"/>
      <c r="U496" s="135">
        <v>0</v>
      </c>
      <c r="V496" s="262">
        <f>SUM(CATEGORIAS[[#This Row],[COSTO
ACUMULADO  AX]:[PROVISIONES]])</f>
        <v>0</v>
      </c>
      <c r="W496" s="264">
        <v>0</v>
      </c>
      <c r="X496" s="222"/>
      <c r="Y496" s="222">
        <v>0</v>
      </c>
      <c r="Z496" s="263">
        <f>SUM(CATEGORIAS[[#This Row],[COSTO ACUMULADO
ANTERIOR]:[PROVISIONES
ANTERIOR]])</f>
        <v>0</v>
      </c>
      <c r="AA496" s="338">
        <f>ABS(+CATEGORIAS[[#This Row],[PRESUPUESTO
FINAL
PROYECTADO]]-CATEGORIAS[[#This Row],[TOTAL PRODUCCION
ACTUAL]])</f>
        <v>0</v>
      </c>
      <c r="AB496" s="222"/>
      <c r="AC496" s="134"/>
      <c r="AD496" s="134">
        <v>0</v>
      </c>
      <c r="AE496" s="221">
        <f>SUM(CATEGORIAS[[#This Row],[INVENTARIO]:[PROYECCION
DE COSTO
DEL SALDO]])</f>
        <v>0</v>
      </c>
      <c r="AF496" s="134"/>
      <c r="AG496" s="134">
        <f>+CATEGORIAS[[#This Row],[PRESUPUESTO
FINAL
PROYECTADO]]-CATEGORIAS[[#This Row],[COSTO REAL]]-CATEGORIAS[[#This Row],[PROYECCION
TOTAL DE COSTO]]</f>
        <v>0</v>
      </c>
    </row>
    <row r="497" spans="1:33" x14ac:dyDescent="0.25">
      <c r="A497" s="245"/>
      <c r="B497" s="245"/>
      <c r="C497" s="245"/>
      <c r="D497" s="323" t="s">
        <v>2374</v>
      </c>
      <c r="E497" s="244" t="s">
        <v>2375</v>
      </c>
      <c r="F497" s="246" t="s">
        <v>376</v>
      </c>
      <c r="G497" s="279">
        <v>0</v>
      </c>
      <c r="H497" s="279">
        <v>0</v>
      </c>
      <c r="I497" s="132">
        <v>0</v>
      </c>
      <c r="J497" s="132">
        <v>0</v>
      </c>
      <c r="K497" s="132">
        <v>0</v>
      </c>
      <c r="L497" s="144">
        <f>CATEGORIAS[[#This Row],[ADICIONALES]]+CATEGORIAS[[#This Row],[POM]]+CATEGORIAS[[#This Row],[REAJUSTE 
PAGADO]]+CATEGORIAS[[#This Row],[REAJUSTE
PROYECTADO]]</f>
        <v>0</v>
      </c>
      <c r="M497" s="133">
        <v>0</v>
      </c>
      <c r="N497" s="222">
        <v>0</v>
      </c>
      <c r="O497" s="142">
        <f>+CATEGORIAS[[#This Row],[PRODUCCION
PARTIDAS
ORIGINALES
ACTUAL]]+CATEGORIAS[[#This Row],[PRODUCCION
ADICIONALES
ACTUAL]]</f>
        <v>0</v>
      </c>
      <c r="P497" s="222">
        <v>0</v>
      </c>
      <c r="Q497" s="134">
        <v>0</v>
      </c>
      <c r="R497" s="141">
        <f>+CATEGORIAS[[#This Row],[PRODUCCION
ANTERIOR]]+CATEGORIAS[[#This Row],[PRODUCCION
ADICIONALES
ANTERIOR]]</f>
        <v>0</v>
      </c>
      <c r="S497" s="135">
        <v>0</v>
      </c>
      <c r="T497" s="135"/>
      <c r="U497" s="135">
        <v>0</v>
      </c>
      <c r="V497" s="262">
        <f>SUM(CATEGORIAS[[#This Row],[COSTO
ACUMULADO  AX]:[PROVISIONES]])</f>
        <v>0</v>
      </c>
      <c r="W497" s="264">
        <v>0</v>
      </c>
      <c r="X497" s="222"/>
      <c r="Y497" s="222">
        <v>0</v>
      </c>
      <c r="Z497" s="263">
        <f>SUM(CATEGORIAS[[#This Row],[COSTO ACUMULADO
ANTERIOR]:[PROVISIONES
ANTERIOR]])</f>
        <v>0</v>
      </c>
      <c r="AA497" s="338">
        <f>ABS(+CATEGORIAS[[#This Row],[PRESUPUESTO
FINAL
PROYECTADO]]-CATEGORIAS[[#This Row],[TOTAL PRODUCCION
ACTUAL]])</f>
        <v>0</v>
      </c>
      <c r="AB497" s="222"/>
      <c r="AC497" s="134"/>
      <c r="AD497" s="134">
        <v>0</v>
      </c>
      <c r="AE497" s="221">
        <f>SUM(CATEGORIAS[[#This Row],[INVENTARIO]:[PROYECCION
DE COSTO
DEL SALDO]])</f>
        <v>0</v>
      </c>
      <c r="AF497" s="134"/>
      <c r="AG497" s="134">
        <f>+CATEGORIAS[[#This Row],[PRESUPUESTO
FINAL
PROYECTADO]]-CATEGORIAS[[#This Row],[COSTO REAL]]-CATEGORIAS[[#This Row],[PROYECCION
TOTAL DE COSTO]]</f>
        <v>0</v>
      </c>
    </row>
    <row r="498" spans="1:33" x14ac:dyDescent="0.25">
      <c r="A498" s="245"/>
      <c r="B498" s="245"/>
      <c r="C498" s="245"/>
      <c r="D498" s="323" t="s">
        <v>2376</v>
      </c>
      <c r="E498" s="244" t="s">
        <v>2375</v>
      </c>
      <c r="F498" s="246" t="s">
        <v>376</v>
      </c>
      <c r="G498" s="279">
        <v>0</v>
      </c>
      <c r="H498" s="279">
        <v>0</v>
      </c>
      <c r="I498" s="132">
        <v>0</v>
      </c>
      <c r="J498" s="132">
        <v>0</v>
      </c>
      <c r="K498" s="132">
        <v>0</v>
      </c>
      <c r="L498" s="144">
        <f>CATEGORIAS[[#This Row],[ADICIONALES]]+CATEGORIAS[[#This Row],[POM]]+CATEGORIAS[[#This Row],[REAJUSTE 
PAGADO]]+CATEGORIAS[[#This Row],[REAJUSTE
PROYECTADO]]</f>
        <v>0</v>
      </c>
      <c r="M498" s="133">
        <v>0</v>
      </c>
      <c r="N498" s="222">
        <v>0</v>
      </c>
      <c r="O498" s="142">
        <f>+CATEGORIAS[[#This Row],[PRODUCCION
PARTIDAS
ORIGINALES
ACTUAL]]+CATEGORIAS[[#This Row],[PRODUCCION
ADICIONALES
ACTUAL]]</f>
        <v>0</v>
      </c>
      <c r="P498" s="222">
        <v>0</v>
      </c>
      <c r="Q498" s="222">
        <v>0</v>
      </c>
      <c r="R498" s="141">
        <f>+CATEGORIAS[[#This Row],[PRODUCCION
ANTERIOR]]+CATEGORIAS[[#This Row],[PRODUCCION
ADICIONALES
ANTERIOR]]</f>
        <v>0</v>
      </c>
      <c r="S498" s="135">
        <v>0</v>
      </c>
      <c r="T498" s="135"/>
      <c r="U498" s="135">
        <v>0</v>
      </c>
      <c r="V498" s="262">
        <f>SUM(CATEGORIAS[[#This Row],[COSTO
ACUMULADO  AX]:[PROVISIONES]])</f>
        <v>0</v>
      </c>
      <c r="W498" s="264">
        <v>0</v>
      </c>
      <c r="X498" s="222"/>
      <c r="Y498" s="222">
        <v>0</v>
      </c>
      <c r="Z498" s="263">
        <f>SUM(CATEGORIAS[[#This Row],[COSTO ACUMULADO
ANTERIOR]:[PROVISIONES
ANTERIOR]])</f>
        <v>0</v>
      </c>
      <c r="AA498" s="338">
        <f>ABS(+CATEGORIAS[[#This Row],[PRESUPUESTO
FINAL
PROYECTADO]]-CATEGORIAS[[#This Row],[TOTAL PRODUCCION
ACTUAL]])</f>
        <v>0</v>
      </c>
      <c r="AB498" s="222"/>
      <c r="AC498" s="134"/>
      <c r="AD498" s="134">
        <v>0</v>
      </c>
      <c r="AE498" s="221">
        <f>SUM(CATEGORIAS[[#This Row],[INVENTARIO]:[PROYECCION
DE COSTO
DEL SALDO]])</f>
        <v>0</v>
      </c>
      <c r="AF498" s="134"/>
      <c r="AG498" s="134">
        <f>+CATEGORIAS[[#This Row],[PRESUPUESTO
FINAL
PROYECTADO]]-CATEGORIAS[[#This Row],[COSTO REAL]]-CATEGORIAS[[#This Row],[PROYECCION
TOTAL DE COSTO]]</f>
        <v>0</v>
      </c>
    </row>
    <row r="499" spans="1:33" x14ac:dyDescent="0.25">
      <c r="A499" s="245"/>
      <c r="B499" s="245"/>
      <c r="C499" s="245"/>
      <c r="D499" s="323" t="s">
        <v>2219</v>
      </c>
      <c r="E499" s="244" t="s">
        <v>1307</v>
      </c>
      <c r="F499" s="246" t="s">
        <v>376</v>
      </c>
      <c r="G499" s="279">
        <v>0</v>
      </c>
      <c r="H499" s="279">
        <v>0</v>
      </c>
      <c r="I499" s="132">
        <v>0</v>
      </c>
      <c r="J499" s="132">
        <v>0</v>
      </c>
      <c r="K499" s="132">
        <v>0</v>
      </c>
      <c r="L499" s="144">
        <f>CATEGORIAS[[#This Row],[ADICIONALES]]+CATEGORIAS[[#This Row],[POM]]+CATEGORIAS[[#This Row],[REAJUSTE 
PAGADO]]+CATEGORIAS[[#This Row],[REAJUSTE
PROYECTADO]]</f>
        <v>0</v>
      </c>
      <c r="M499" s="133">
        <v>0</v>
      </c>
      <c r="N499" s="222">
        <v>0</v>
      </c>
      <c r="O499" s="142">
        <f>+CATEGORIAS[[#This Row],[PRODUCCION
PARTIDAS
ORIGINALES
ACTUAL]]+CATEGORIAS[[#This Row],[PRODUCCION
ADICIONALES
ACTUAL]]</f>
        <v>0</v>
      </c>
      <c r="P499" s="222">
        <v>0</v>
      </c>
      <c r="Q499" s="222">
        <v>0</v>
      </c>
      <c r="R499" s="141">
        <f>+CATEGORIAS[[#This Row],[PRODUCCION
ANTERIOR]]+CATEGORIAS[[#This Row],[PRODUCCION
ADICIONALES
ANTERIOR]]</f>
        <v>0</v>
      </c>
      <c r="S499" s="135">
        <v>0</v>
      </c>
      <c r="T499" s="135"/>
      <c r="U499" s="135">
        <v>0</v>
      </c>
      <c r="V499" s="262">
        <f>SUM(CATEGORIAS[[#This Row],[COSTO
ACUMULADO  AX]:[PROVISIONES]])</f>
        <v>0</v>
      </c>
      <c r="W499" s="264">
        <v>0</v>
      </c>
      <c r="X499" s="222"/>
      <c r="Y499" s="222">
        <v>0</v>
      </c>
      <c r="Z499" s="263">
        <f>SUM(CATEGORIAS[[#This Row],[COSTO ACUMULADO
ANTERIOR]:[PROVISIONES
ANTERIOR]])</f>
        <v>0</v>
      </c>
      <c r="AA499" s="338">
        <f>ABS(+CATEGORIAS[[#This Row],[PRESUPUESTO
FINAL
PROYECTADO]]-CATEGORIAS[[#This Row],[TOTAL PRODUCCION
ACTUAL]])</f>
        <v>0</v>
      </c>
      <c r="AB499" s="222"/>
      <c r="AC499" s="134"/>
      <c r="AD499" s="134">
        <v>0</v>
      </c>
      <c r="AE499" s="221">
        <f>SUM(CATEGORIAS[[#This Row],[INVENTARIO]:[PROYECCION
DE COSTO
DEL SALDO]])</f>
        <v>0</v>
      </c>
      <c r="AF499" s="134"/>
      <c r="AG499" s="134">
        <f>+CATEGORIAS[[#This Row],[PRESUPUESTO
FINAL
PROYECTADO]]-CATEGORIAS[[#This Row],[COSTO REAL]]-CATEGORIAS[[#This Row],[PROYECCION
TOTAL DE COSTO]]</f>
        <v>0</v>
      </c>
    </row>
    <row r="500" spans="1:33" x14ac:dyDescent="0.25">
      <c r="A500" s="245"/>
      <c r="B500" s="245"/>
      <c r="C500" s="245"/>
      <c r="D500" s="323" t="s">
        <v>2220</v>
      </c>
      <c r="E500" s="244" t="s">
        <v>1309</v>
      </c>
      <c r="F500" s="246" t="s">
        <v>376</v>
      </c>
      <c r="G500" s="279">
        <v>0</v>
      </c>
      <c r="H500" s="279">
        <v>0</v>
      </c>
      <c r="I500" s="132">
        <v>0</v>
      </c>
      <c r="J500" s="132">
        <v>0</v>
      </c>
      <c r="K500" s="132">
        <v>0</v>
      </c>
      <c r="L500" s="144">
        <f>CATEGORIAS[[#This Row],[ADICIONALES]]+CATEGORIAS[[#This Row],[POM]]+CATEGORIAS[[#This Row],[REAJUSTE 
PAGADO]]+CATEGORIAS[[#This Row],[REAJUSTE
PROYECTADO]]</f>
        <v>0</v>
      </c>
      <c r="M500" s="133">
        <v>0</v>
      </c>
      <c r="N500" s="222">
        <v>0</v>
      </c>
      <c r="O500" s="142">
        <f>+CATEGORIAS[[#This Row],[PRODUCCION
PARTIDAS
ORIGINALES
ACTUAL]]+CATEGORIAS[[#This Row],[PRODUCCION
ADICIONALES
ACTUAL]]</f>
        <v>0</v>
      </c>
      <c r="P500" s="222">
        <v>0</v>
      </c>
      <c r="Q500" s="222">
        <v>0</v>
      </c>
      <c r="R500" s="141">
        <f>+CATEGORIAS[[#This Row],[PRODUCCION
ANTERIOR]]+CATEGORIAS[[#This Row],[PRODUCCION
ADICIONALES
ANTERIOR]]</f>
        <v>0</v>
      </c>
      <c r="S500" s="135">
        <v>0</v>
      </c>
      <c r="T500" s="135"/>
      <c r="U500" s="135">
        <v>0</v>
      </c>
      <c r="V500" s="262">
        <f>SUM(CATEGORIAS[[#This Row],[COSTO
ACUMULADO  AX]:[PROVISIONES]])</f>
        <v>0</v>
      </c>
      <c r="W500" s="264">
        <v>0</v>
      </c>
      <c r="X500" s="222"/>
      <c r="Y500" s="222">
        <v>0</v>
      </c>
      <c r="Z500" s="263">
        <f>SUM(CATEGORIAS[[#This Row],[COSTO ACUMULADO
ANTERIOR]:[PROVISIONES
ANTERIOR]])</f>
        <v>0</v>
      </c>
      <c r="AA500" s="338">
        <f>ABS(+CATEGORIAS[[#This Row],[PRESUPUESTO
FINAL
PROYECTADO]]-CATEGORIAS[[#This Row],[TOTAL PRODUCCION
ACTUAL]])</f>
        <v>0</v>
      </c>
      <c r="AB500" s="222"/>
      <c r="AC500" s="134"/>
      <c r="AD500" s="134">
        <v>0</v>
      </c>
      <c r="AE500" s="221">
        <f>SUM(CATEGORIAS[[#This Row],[INVENTARIO]:[PROYECCION
DE COSTO
DEL SALDO]])</f>
        <v>0</v>
      </c>
      <c r="AF500" s="134"/>
      <c r="AG500" s="134">
        <f>+CATEGORIAS[[#This Row],[PRESUPUESTO
FINAL
PROYECTADO]]-CATEGORIAS[[#This Row],[COSTO REAL]]-CATEGORIAS[[#This Row],[PROYECCION
TOTAL DE COSTO]]</f>
        <v>0</v>
      </c>
    </row>
    <row r="501" spans="1:33" x14ac:dyDescent="0.25">
      <c r="A501" s="245" t="s">
        <v>139</v>
      </c>
      <c r="B501" s="245" t="s">
        <v>240</v>
      </c>
      <c r="C501" s="245" t="s">
        <v>2454</v>
      </c>
      <c r="D501" s="323" t="s">
        <v>2221</v>
      </c>
      <c r="E501" s="244" t="s">
        <v>1311</v>
      </c>
      <c r="F501" s="246" t="s">
        <v>379</v>
      </c>
      <c r="G501" s="279">
        <v>1675000</v>
      </c>
      <c r="H501" s="279">
        <v>1675000</v>
      </c>
      <c r="I501" s="132">
        <v>233380.27065374327</v>
      </c>
      <c r="J501" s="132">
        <v>59057.7443333013</v>
      </c>
      <c r="K501" s="132">
        <v>0</v>
      </c>
      <c r="L501" s="144">
        <f>CATEGORIAS[[#This Row],[ADICIONALES]]+CATEGORIAS[[#This Row],[POM]]+CATEGORIAS[[#This Row],[REAJUSTE 
PAGADO]]+CATEGORIAS[[#This Row],[REAJUSTE
PROYECTADO]]</f>
        <v>1967438.0149870445</v>
      </c>
      <c r="M501" s="133">
        <v>1733728.9408095491</v>
      </c>
      <c r="N501" s="222">
        <v>233709.07417749541</v>
      </c>
      <c r="O501" s="142">
        <f>+CATEGORIAS[[#This Row],[PRODUCCION
PARTIDAS
ORIGINALES
ACTUAL]]+CATEGORIAS[[#This Row],[PRODUCCION
ADICIONALES
ACTUAL]]</f>
        <v>1967438.0149870445</v>
      </c>
      <c r="P501" s="222">
        <v>1733728.9408095491</v>
      </c>
      <c r="Q501" s="222">
        <v>233380.27065374327</v>
      </c>
      <c r="R501" s="141">
        <f>+CATEGORIAS[[#This Row],[PRODUCCION
ANTERIOR]]+CATEGORIAS[[#This Row],[PRODUCCION
ADICIONALES
ANTERIOR]]</f>
        <v>1967109.2114632924</v>
      </c>
      <c r="S501" s="135">
        <v>1232634</v>
      </c>
      <c r="T501" s="135"/>
      <c r="U501" s="135">
        <v>0</v>
      </c>
      <c r="V501" s="262">
        <f>SUM(CATEGORIAS[[#This Row],[COSTO
ACUMULADO  AX]:[PROVISIONES]])</f>
        <v>1232634</v>
      </c>
      <c r="W501" s="264">
        <v>1160604</v>
      </c>
      <c r="X501" s="222"/>
      <c r="Y501" s="222">
        <v>0</v>
      </c>
      <c r="Z501" s="263">
        <f>SUM(CATEGORIAS[[#This Row],[COSTO ACUMULADO
ANTERIOR]:[PROVISIONES
ANTERIOR]])</f>
        <v>1160604</v>
      </c>
      <c r="AA501" s="338">
        <f>ABS(+CATEGORIAS[[#This Row],[PRESUPUESTO
FINAL
PROYECTADO]]-CATEGORIAS[[#This Row],[TOTAL PRODUCCION
ACTUAL]])</f>
        <v>0</v>
      </c>
      <c r="AB501" s="222"/>
      <c r="AC501" s="134"/>
      <c r="AD501" s="134">
        <v>0</v>
      </c>
      <c r="AE501" s="221">
        <f>SUM(CATEGORIAS[[#This Row],[INVENTARIO]:[PROYECCION
DE COSTO
DEL SALDO]])</f>
        <v>0</v>
      </c>
      <c r="AF501" s="134"/>
      <c r="AG501" s="134">
        <f>+CATEGORIAS[[#This Row],[PRESUPUESTO
FINAL
PROYECTADO]]-CATEGORIAS[[#This Row],[COSTO REAL]]-CATEGORIAS[[#This Row],[PROYECCION
TOTAL DE COSTO]]</f>
        <v>734804.0149870445</v>
      </c>
    </row>
    <row r="502" spans="1:33" x14ac:dyDescent="0.25">
      <c r="A502" s="245"/>
      <c r="B502" s="245"/>
      <c r="C502" s="245"/>
      <c r="D502" s="323" t="s">
        <v>2222</v>
      </c>
      <c r="E502" s="244" t="s">
        <v>1313</v>
      </c>
      <c r="F502" s="246" t="s">
        <v>376</v>
      </c>
      <c r="G502" s="279">
        <v>0</v>
      </c>
      <c r="H502" s="279">
        <v>0</v>
      </c>
      <c r="I502" s="132">
        <v>0</v>
      </c>
      <c r="J502" s="132">
        <v>0</v>
      </c>
      <c r="K502" s="132">
        <v>0</v>
      </c>
      <c r="L502" s="144">
        <f>CATEGORIAS[[#This Row],[ADICIONALES]]+CATEGORIAS[[#This Row],[POM]]+CATEGORIAS[[#This Row],[REAJUSTE 
PAGADO]]+CATEGORIAS[[#This Row],[REAJUSTE
PROYECTADO]]</f>
        <v>0</v>
      </c>
      <c r="M502" s="133">
        <v>0</v>
      </c>
      <c r="N502" s="222">
        <v>0</v>
      </c>
      <c r="O502" s="142">
        <f>+CATEGORIAS[[#This Row],[PRODUCCION
PARTIDAS
ORIGINALES
ACTUAL]]+CATEGORIAS[[#This Row],[PRODUCCION
ADICIONALES
ACTUAL]]</f>
        <v>0</v>
      </c>
      <c r="P502" s="222">
        <v>0</v>
      </c>
      <c r="Q502" s="222">
        <v>0</v>
      </c>
      <c r="R502" s="141">
        <f>+CATEGORIAS[[#This Row],[PRODUCCION
ANTERIOR]]+CATEGORIAS[[#This Row],[PRODUCCION
ADICIONALES
ANTERIOR]]</f>
        <v>0</v>
      </c>
      <c r="S502" s="135">
        <v>0</v>
      </c>
      <c r="T502" s="135"/>
      <c r="U502" s="135">
        <v>0</v>
      </c>
      <c r="V502" s="262">
        <f>SUM(CATEGORIAS[[#This Row],[COSTO
ACUMULADO  AX]:[PROVISIONES]])</f>
        <v>0</v>
      </c>
      <c r="W502" s="264">
        <v>0</v>
      </c>
      <c r="X502" s="222"/>
      <c r="Y502" s="222">
        <v>0</v>
      </c>
      <c r="Z502" s="263">
        <f>SUM(CATEGORIAS[[#This Row],[COSTO ACUMULADO
ANTERIOR]:[PROVISIONES
ANTERIOR]])</f>
        <v>0</v>
      </c>
      <c r="AA502" s="338">
        <f>ABS(+CATEGORIAS[[#This Row],[PRESUPUESTO
FINAL
PROYECTADO]]-CATEGORIAS[[#This Row],[TOTAL PRODUCCION
ACTUAL]])</f>
        <v>0</v>
      </c>
      <c r="AB502" s="222"/>
      <c r="AC502" s="134"/>
      <c r="AD502" s="134">
        <v>0</v>
      </c>
      <c r="AE502" s="221">
        <f>SUM(CATEGORIAS[[#This Row],[INVENTARIO]:[PROYECCION
DE COSTO
DEL SALDO]])</f>
        <v>0</v>
      </c>
      <c r="AF502" s="134"/>
      <c r="AG502" s="134">
        <f>+CATEGORIAS[[#This Row],[PRESUPUESTO
FINAL
PROYECTADO]]-CATEGORIAS[[#This Row],[COSTO REAL]]-CATEGORIAS[[#This Row],[PROYECCION
TOTAL DE COSTO]]</f>
        <v>0</v>
      </c>
    </row>
    <row r="503" spans="1:33" x14ac:dyDescent="0.25">
      <c r="A503" s="245" t="s">
        <v>139</v>
      </c>
      <c r="B503" s="14" t="s">
        <v>2413</v>
      </c>
      <c r="C503" s="14" t="s">
        <v>2404</v>
      </c>
      <c r="D503" s="323" t="s">
        <v>2223</v>
      </c>
      <c r="E503" s="244" t="s">
        <v>310</v>
      </c>
      <c r="F503" s="246" t="s">
        <v>379</v>
      </c>
      <c r="G503" s="279">
        <v>7200000</v>
      </c>
      <c r="H503" s="279">
        <v>7200000</v>
      </c>
      <c r="I503" s="132">
        <v>1039768.8596956539</v>
      </c>
      <c r="J503" s="132">
        <v>253860.15474613095</v>
      </c>
      <c r="K503" s="132">
        <v>0</v>
      </c>
      <c r="L503" s="144">
        <f>CATEGORIAS[[#This Row],[ADICIONALES]]+CATEGORIAS[[#This Row],[POM]]+CATEGORIAS[[#This Row],[REAJUSTE 
PAGADO]]+CATEGORIAS[[#This Row],[REAJUSTE
PROYECTADO]]</f>
        <v>8493629.0144417845</v>
      </c>
      <c r="M503" s="133">
        <v>7452446.7903455235</v>
      </c>
      <c r="N503" s="222">
        <v>1041182.2240962605</v>
      </c>
      <c r="O503" s="142">
        <f>+CATEGORIAS[[#This Row],[PRODUCCION
PARTIDAS
ORIGINALES
ACTUAL]]+CATEGORIAS[[#This Row],[PRODUCCION
ADICIONALES
ACTUAL]]</f>
        <v>8493629.0144417845</v>
      </c>
      <c r="P503" s="222">
        <v>7452446.7903455235</v>
      </c>
      <c r="Q503" s="134">
        <v>1039768.8596956539</v>
      </c>
      <c r="R503" s="141">
        <f>+CATEGORIAS[[#This Row],[PRODUCCION
ANTERIOR]]+CATEGORIAS[[#This Row],[PRODUCCION
ADICIONALES
ANTERIOR]]</f>
        <v>8492215.6500411779</v>
      </c>
      <c r="S503" s="135">
        <v>7233514</v>
      </c>
      <c r="T503" s="135"/>
      <c r="U503" s="135">
        <v>0</v>
      </c>
      <c r="V503" s="262">
        <f>SUM(CATEGORIAS[[#This Row],[COSTO
ACUMULADO  AX]:[PROVISIONES]])</f>
        <v>7233514</v>
      </c>
      <c r="W503" s="264">
        <v>6797434</v>
      </c>
      <c r="X503" s="222"/>
      <c r="Y503" s="222">
        <v>0</v>
      </c>
      <c r="Z503" s="263">
        <f>SUM(CATEGORIAS[[#This Row],[COSTO ACUMULADO
ANTERIOR]:[PROVISIONES
ANTERIOR]])</f>
        <v>6797434</v>
      </c>
      <c r="AA503" s="338">
        <f>ABS(+CATEGORIAS[[#This Row],[PRESUPUESTO
FINAL
PROYECTADO]]-CATEGORIAS[[#This Row],[TOTAL PRODUCCION
ACTUAL]])</f>
        <v>0</v>
      </c>
      <c r="AB503" s="222"/>
      <c r="AC503" s="134"/>
      <c r="AD503" s="134">
        <v>0</v>
      </c>
      <c r="AE503" s="221">
        <f>SUM(CATEGORIAS[[#This Row],[INVENTARIO]:[PROYECCION
DE COSTO
DEL SALDO]])</f>
        <v>0</v>
      </c>
      <c r="AF503" s="134"/>
      <c r="AG503" s="134">
        <f>+CATEGORIAS[[#This Row],[PRESUPUESTO
FINAL
PROYECTADO]]-CATEGORIAS[[#This Row],[COSTO REAL]]-CATEGORIAS[[#This Row],[PROYECCION
TOTAL DE COSTO]]</f>
        <v>1260115.0144417845</v>
      </c>
    </row>
    <row r="504" spans="1:33" x14ac:dyDescent="0.25">
      <c r="A504" s="245"/>
      <c r="B504" s="245"/>
      <c r="C504" s="245"/>
      <c r="D504" s="323" t="s">
        <v>2224</v>
      </c>
      <c r="E504" s="244" t="s">
        <v>1315</v>
      </c>
      <c r="F504" s="246" t="s">
        <v>376</v>
      </c>
      <c r="G504" s="279">
        <v>0</v>
      </c>
      <c r="H504" s="279">
        <v>0</v>
      </c>
      <c r="I504" s="132">
        <v>0</v>
      </c>
      <c r="J504" s="132">
        <v>0</v>
      </c>
      <c r="K504" s="132">
        <v>0</v>
      </c>
      <c r="L504" s="144">
        <f>CATEGORIAS[[#This Row],[ADICIONALES]]+CATEGORIAS[[#This Row],[POM]]+CATEGORIAS[[#This Row],[REAJUSTE 
PAGADO]]+CATEGORIAS[[#This Row],[REAJUSTE
PROYECTADO]]</f>
        <v>0</v>
      </c>
      <c r="M504" s="133">
        <v>0</v>
      </c>
      <c r="N504" s="222">
        <v>0</v>
      </c>
      <c r="O504" s="142">
        <f>+CATEGORIAS[[#This Row],[PRODUCCION
PARTIDAS
ORIGINALES
ACTUAL]]+CATEGORIAS[[#This Row],[PRODUCCION
ADICIONALES
ACTUAL]]</f>
        <v>0</v>
      </c>
      <c r="P504" s="222">
        <v>0</v>
      </c>
      <c r="Q504" s="222">
        <v>0</v>
      </c>
      <c r="R504" s="141">
        <f>+CATEGORIAS[[#This Row],[PRODUCCION
ANTERIOR]]+CATEGORIAS[[#This Row],[PRODUCCION
ADICIONALES
ANTERIOR]]</f>
        <v>0</v>
      </c>
      <c r="S504" s="135">
        <v>0</v>
      </c>
      <c r="T504" s="135"/>
      <c r="U504" s="135">
        <v>0</v>
      </c>
      <c r="V504" s="262">
        <f>SUM(CATEGORIAS[[#This Row],[COSTO
ACUMULADO  AX]:[PROVISIONES]])</f>
        <v>0</v>
      </c>
      <c r="W504" s="264">
        <v>0</v>
      </c>
      <c r="X504" s="222"/>
      <c r="Y504" s="222">
        <v>0</v>
      </c>
      <c r="Z504" s="263">
        <f>SUM(CATEGORIAS[[#This Row],[COSTO ACUMULADO
ANTERIOR]:[PROVISIONES
ANTERIOR]])</f>
        <v>0</v>
      </c>
      <c r="AA504" s="338">
        <f>ABS(+CATEGORIAS[[#This Row],[PRESUPUESTO
FINAL
PROYECTADO]]-CATEGORIAS[[#This Row],[TOTAL PRODUCCION
ACTUAL]])</f>
        <v>0</v>
      </c>
      <c r="AB504" s="222"/>
      <c r="AC504" s="134"/>
      <c r="AD504" s="134">
        <v>0</v>
      </c>
      <c r="AE504" s="221">
        <f>SUM(CATEGORIAS[[#This Row],[INVENTARIO]:[PROYECCION
DE COSTO
DEL SALDO]])</f>
        <v>0</v>
      </c>
      <c r="AF504" s="134"/>
      <c r="AG504" s="134">
        <f>+CATEGORIAS[[#This Row],[PRESUPUESTO
FINAL
PROYECTADO]]-CATEGORIAS[[#This Row],[COSTO REAL]]-CATEGORIAS[[#This Row],[PROYECCION
TOTAL DE COSTO]]</f>
        <v>0</v>
      </c>
    </row>
    <row r="505" spans="1:33" x14ac:dyDescent="0.25">
      <c r="A505" s="245" t="s">
        <v>139</v>
      </c>
      <c r="B505" s="245" t="s">
        <v>240</v>
      </c>
      <c r="C505" s="245" t="s">
        <v>2454</v>
      </c>
      <c r="D505" s="323" t="s">
        <v>2225</v>
      </c>
      <c r="E505" s="244" t="s">
        <v>1317</v>
      </c>
      <c r="F505" s="246" t="s">
        <v>379</v>
      </c>
      <c r="G505" s="279">
        <v>5936063.4056433411</v>
      </c>
      <c r="H505" s="279">
        <v>5936063.4056433411</v>
      </c>
      <c r="I505" s="132">
        <v>2179686.2845474603</v>
      </c>
      <c r="J505" s="132">
        <v>209295.82982492552</v>
      </c>
      <c r="K505" s="132">
        <v>0</v>
      </c>
      <c r="L505" s="144">
        <f>CATEGORIAS[[#This Row],[ADICIONALES]]+CATEGORIAS[[#This Row],[POM]]+CATEGORIAS[[#This Row],[REAJUSTE 
PAGADO]]+CATEGORIAS[[#This Row],[REAJUSTE
PROYECTADO]]</f>
        <v>8325045.5200157268</v>
      </c>
      <c r="M505" s="133">
        <v>6144193.9825936435</v>
      </c>
      <c r="N505" s="222">
        <v>2180851.5374220833</v>
      </c>
      <c r="O505" s="142">
        <f>+CATEGORIAS[[#This Row],[PRODUCCION
PARTIDAS
ORIGINALES
ACTUAL]]+CATEGORIAS[[#This Row],[PRODUCCION
ADICIONALES
ACTUAL]]</f>
        <v>8325045.5200157268</v>
      </c>
      <c r="P505" s="222">
        <v>6144193.9825936435</v>
      </c>
      <c r="Q505" s="222">
        <v>2179686.2845474603</v>
      </c>
      <c r="R505" s="141">
        <f>+CATEGORIAS[[#This Row],[PRODUCCION
ANTERIOR]]+CATEGORIAS[[#This Row],[PRODUCCION
ADICIONALES
ANTERIOR]]</f>
        <v>8323880.2671411037</v>
      </c>
      <c r="S505" s="135">
        <v>0</v>
      </c>
      <c r="T505" s="135"/>
      <c r="U505" s="135">
        <v>0</v>
      </c>
      <c r="V505" s="262">
        <f>SUM(CATEGORIAS[[#This Row],[COSTO
ACUMULADO  AX]:[PROVISIONES]])</f>
        <v>0</v>
      </c>
      <c r="W505" s="264">
        <v>0</v>
      </c>
      <c r="X505" s="222"/>
      <c r="Y505" s="222">
        <v>511308</v>
      </c>
      <c r="Z505" s="263">
        <f>SUM(CATEGORIAS[[#This Row],[COSTO ACUMULADO
ANTERIOR]:[PROVISIONES
ANTERIOR]])</f>
        <v>511308</v>
      </c>
      <c r="AA505" s="338">
        <f>ABS(+CATEGORIAS[[#This Row],[PRESUPUESTO
FINAL
PROYECTADO]]-CATEGORIAS[[#This Row],[TOTAL PRODUCCION
ACTUAL]])</f>
        <v>0</v>
      </c>
      <c r="AB505" s="222"/>
      <c r="AC505" s="134"/>
      <c r="AD505" s="134">
        <v>0</v>
      </c>
      <c r="AE505" s="221">
        <f>SUM(CATEGORIAS[[#This Row],[INVENTARIO]:[PROYECCION
DE COSTO
DEL SALDO]])</f>
        <v>0</v>
      </c>
      <c r="AF505" s="134"/>
      <c r="AG505" s="134">
        <f>+CATEGORIAS[[#This Row],[PRESUPUESTO
FINAL
PROYECTADO]]-CATEGORIAS[[#This Row],[COSTO REAL]]-CATEGORIAS[[#This Row],[PROYECCION
TOTAL DE COSTO]]</f>
        <v>8325045.5200157268</v>
      </c>
    </row>
    <row r="506" spans="1:33" x14ac:dyDescent="0.25">
      <c r="A506" s="245"/>
      <c r="B506" s="245"/>
      <c r="C506" s="245"/>
      <c r="D506" s="323" t="s">
        <v>2226</v>
      </c>
      <c r="E506" s="244" t="s">
        <v>1319</v>
      </c>
      <c r="F506" s="246" t="s">
        <v>376</v>
      </c>
      <c r="G506" s="279">
        <v>0</v>
      </c>
      <c r="H506" s="279">
        <v>0</v>
      </c>
      <c r="I506" s="132">
        <v>0</v>
      </c>
      <c r="J506" s="132">
        <v>0</v>
      </c>
      <c r="K506" s="132">
        <v>0</v>
      </c>
      <c r="L506" s="144">
        <f>CATEGORIAS[[#This Row],[ADICIONALES]]+CATEGORIAS[[#This Row],[POM]]+CATEGORIAS[[#This Row],[REAJUSTE 
PAGADO]]+CATEGORIAS[[#This Row],[REAJUSTE
PROYECTADO]]</f>
        <v>0</v>
      </c>
      <c r="M506" s="133">
        <v>0</v>
      </c>
      <c r="N506" s="222">
        <v>0</v>
      </c>
      <c r="O506" s="142">
        <f>+CATEGORIAS[[#This Row],[PRODUCCION
PARTIDAS
ORIGINALES
ACTUAL]]+CATEGORIAS[[#This Row],[PRODUCCION
ADICIONALES
ACTUAL]]</f>
        <v>0</v>
      </c>
      <c r="P506" s="222">
        <v>0</v>
      </c>
      <c r="Q506" s="222">
        <v>0</v>
      </c>
      <c r="R506" s="141">
        <f>+CATEGORIAS[[#This Row],[PRODUCCION
ANTERIOR]]+CATEGORIAS[[#This Row],[PRODUCCION
ADICIONALES
ANTERIOR]]</f>
        <v>0</v>
      </c>
      <c r="S506" s="135">
        <v>0</v>
      </c>
      <c r="T506" s="135"/>
      <c r="U506" s="135">
        <v>0</v>
      </c>
      <c r="V506" s="262">
        <f>SUM(CATEGORIAS[[#This Row],[COSTO
ACUMULADO  AX]:[PROVISIONES]])</f>
        <v>0</v>
      </c>
      <c r="W506" s="264">
        <v>0</v>
      </c>
      <c r="X506" s="222"/>
      <c r="Y506" s="222">
        <v>0</v>
      </c>
      <c r="Z506" s="263">
        <f>SUM(CATEGORIAS[[#This Row],[COSTO ACUMULADO
ANTERIOR]:[PROVISIONES
ANTERIOR]])</f>
        <v>0</v>
      </c>
      <c r="AA506" s="338">
        <f>ABS(+CATEGORIAS[[#This Row],[PRESUPUESTO
FINAL
PROYECTADO]]-CATEGORIAS[[#This Row],[TOTAL PRODUCCION
ACTUAL]])</f>
        <v>0</v>
      </c>
      <c r="AB506" s="222"/>
      <c r="AC506" s="134"/>
      <c r="AD506" s="134">
        <v>0</v>
      </c>
      <c r="AE506" s="221">
        <f>SUM(CATEGORIAS[[#This Row],[INVENTARIO]:[PROYECCION
DE COSTO
DEL SALDO]])</f>
        <v>0</v>
      </c>
      <c r="AF506" s="134"/>
      <c r="AG506" s="134">
        <f>+CATEGORIAS[[#This Row],[PRESUPUESTO
FINAL
PROYECTADO]]-CATEGORIAS[[#This Row],[COSTO REAL]]-CATEGORIAS[[#This Row],[PROYECCION
TOTAL DE COSTO]]</f>
        <v>0</v>
      </c>
    </row>
    <row r="507" spans="1:33" x14ac:dyDescent="0.25">
      <c r="A507" s="245" t="s">
        <v>139</v>
      </c>
      <c r="B507" s="245" t="s">
        <v>2414</v>
      </c>
      <c r="C507" s="245" t="s">
        <v>2405</v>
      </c>
      <c r="D507" s="323" t="s">
        <v>2227</v>
      </c>
      <c r="E507" s="244" t="s">
        <v>334</v>
      </c>
      <c r="F507" s="246" t="s">
        <v>379</v>
      </c>
      <c r="G507" s="279">
        <v>9839991.2000000011</v>
      </c>
      <c r="H507" s="279">
        <v>9839991.2000000011</v>
      </c>
      <c r="I507" s="132">
        <v>1484417.9107846147</v>
      </c>
      <c r="J507" s="132">
        <v>346941.90121285652</v>
      </c>
      <c r="K507" s="132">
        <v>0</v>
      </c>
      <c r="L507" s="144">
        <f>CATEGORIAS[[#This Row],[ADICIONALES]]+CATEGORIAS[[#This Row],[POM]]+CATEGORIAS[[#This Row],[REAJUSTE 
PAGADO]]+CATEGORIAS[[#This Row],[REAJUSTE
PROYECTADO]]</f>
        <v>11671351.011997472</v>
      </c>
      <c r="M507" s="133">
        <v>10185001.504926139</v>
      </c>
      <c r="N507" s="222">
        <v>1486349.5070713325</v>
      </c>
      <c r="O507" s="142">
        <f>+CATEGORIAS[[#This Row],[PRODUCCION
PARTIDAS
ORIGINALES
ACTUAL]]+CATEGORIAS[[#This Row],[PRODUCCION
ADICIONALES
ACTUAL]]</f>
        <v>11671351.011997472</v>
      </c>
      <c r="P507" s="222">
        <v>10185001.504926139</v>
      </c>
      <c r="Q507" s="134">
        <v>1484417.9107846147</v>
      </c>
      <c r="R507" s="141">
        <f>+CATEGORIAS[[#This Row],[PRODUCCION
ANTERIOR]]+CATEGORIAS[[#This Row],[PRODUCCION
ADICIONALES
ANTERIOR]]</f>
        <v>11669419.415710755</v>
      </c>
      <c r="S507" s="135">
        <v>30559796</v>
      </c>
      <c r="T507" s="135"/>
      <c r="U507" s="135">
        <v>0</v>
      </c>
      <c r="V507" s="262">
        <f>SUM(CATEGORIAS[[#This Row],[COSTO
ACUMULADO  AX]:[PROVISIONES]])</f>
        <v>30559796</v>
      </c>
      <c r="W507" s="264">
        <v>27644767</v>
      </c>
      <c r="X507" s="222"/>
      <c r="Y507" s="222">
        <v>508851</v>
      </c>
      <c r="Z507" s="263">
        <f>SUM(CATEGORIAS[[#This Row],[COSTO ACUMULADO
ANTERIOR]:[PROVISIONES
ANTERIOR]])</f>
        <v>28153618</v>
      </c>
      <c r="AA507" s="338">
        <f>ABS(+CATEGORIAS[[#This Row],[PRESUPUESTO
FINAL
PROYECTADO]]-CATEGORIAS[[#This Row],[TOTAL PRODUCCION
ACTUAL]])</f>
        <v>0</v>
      </c>
      <c r="AB507" s="222"/>
      <c r="AC507" s="134"/>
      <c r="AD507" s="134">
        <v>0</v>
      </c>
      <c r="AE507" s="221">
        <f>SUM(CATEGORIAS[[#This Row],[INVENTARIO]:[PROYECCION
DE COSTO
DEL SALDO]])</f>
        <v>0</v>
      </c>
      <c r="AF507" s="134"/>
      <c r="AG507" s="134">
        <f>+CATEGORIAS[[#This Row],[PRESUPUESTO
FINAL
PROYECTADO]]-CATEGORIAS[[#This Row],[COSTO REAL]]-CATEGORIAS[[#This Row],[PROYECCION
TOTAL DE COSTO]]</f>
        <v>-18888444.988002528</v>
      </c>
    </row>
    <row r="508" spans="1:33" x14ac:dyDescent="0.25">
      <c r="A508" s="245"/>
      <c r="B508" s="245"/>
      <c r="C508" s="245"/>
      <c r="D508" s="323" t="s">
        <v>2228</v>
      </c>
      <c r="E508" s="244" t="s">
        <v>1321</v>
      </c>
      <c r="F508" s="246" t="s">
        <v>376</v>
      </c>
      <c r="G508" s="279">
        <v>0</v>
      </c>
      <c r="H508" s="279">
        <v>0</v>
      </c>
      <c r="I508" s="132">
        <v>0</v>
      </c>
      <c r="J508" s="132">
        <v>0</v>
      </c>
      <c r="K508" s="132">
        <v>0</v>
      </c>
      <c r="L508" s="144">
        <f>CATEGORIAS[[#This Row],[ADICIONALES]]+CATEGORIAS[[#This Row],[POM]]+CATEGORIAS[[#This Row],[REAJUSTE 
PAGADO]]+CATEGORIAS[[#This Row],[REAJUSTE
PROYECTADO]]</f>
        <v>0</v>
      </c>
      <c r="M508" s="133">
        <v>0</v>
      </c>
      <c r="N508" s="222">
        <v>0</v>
      </c>
      <c r="O508" s="142">
        <f>+CATEGORIAS[[#This Row],[PRODUCCION
PARTIDAS
ORIGINALES
ACTUAL]]+CATEGORIAS[[#This Row],[PRODUCCION
ADICIONALES
ACTUAL]]</f>
        <v>0</v>
      </c>
      <c r="P508" s="222">
        <v>0</v>
      </c>
      <c r="Q508" s="222">
        <v>0</v>
      </c>
      <c r="R508" s="141">
        <f>+CATEGORIAS[[#This Row],[PRODUCCION
ANTERIOR]]+CATEGORIAS[[#This Row],[PRODUCCION
ADICIONALES
ANTERIOR]]</f>
        <v>0</v>
      </c>
      <c r="S508" s="135">
        <v>0</v>
      </c>
      <c r="T508" s="135"/>
      <c r="U508" s="135">
        <v>0</v>
      </c>
      <c r="V508" s="262">
        <f>SUM(CATEGORIAS[[#This Row],[COSTO
ACUMULADO  AX]:[PROVISIONES]])</f>
        <v>0</v>
      </c>
      <c r="W508" s="264">
        <v>0</v>
      </c>
      <c r="X508" s="222"/>
      <c r="Y508" s="222">
        <v>0</v>
      </c>
      <c r="Z508" s="263">
        <f>SUM(CATEGORIAS[[#This Row],[COSTO ACUMULADO
ANTERIOR]:[PROVISIONES
ANTERIOR]])</f>
        <v>0</v>
      </c>
      <c r="AA508" s="338">
        <f>ABS(+CATEGORIAS[[#This Row],[PRESUPUESTO
FINAL
PROYECTADO]]-CATEGORIAS[[#This Row],[TOTAL PRODUCCION
ACTUAL]])</f>
        <v>0</v>
      </c>
      <c r="AB508" s="222"/>
      <c r="AC508" s="134"/>
      <c r="AD508" s="134">
        <v>0</v>
      </c>
      <c r="AE508" s="221">
        <f>SUM(CATEGORIAS[[#This Row],[INVENTARIO]:[PROYECCION
DE COSTO
DEL SALDO]])</f>
        <v>0</v>
      </c>
      <c r="AF508" s="134"/>
      <c r="AG508" s="134">
        <f>+CATEGORIAS[[#This Row],[PRESUPUESTO
FINAL
PROYECTADO]]-CATEGORIAS[[#This Row],[COSTO REAL]]-CATEGORIAS[[#This Row],[PROYECCION
TOTAL DE COSTO]]</f>
        <v>0</v>
      </c>
    </row>
    <row r="509" spans="1:33" x14ac:dyDescent="0.25">
      <c r="A509" s="245" t="s">
        <v>139</v>
      </c>
      <c r="B509" s="14" t="s">
        <v>241</v>
      </c>
      <c r="C509" s="14" t="s">
        <v>2455</v>
      </c>
      <c r="D509" s="323" t="s">
        <v>2229</v>
      </c>
      <c r="E509" s="244" t="s">
        <v>1323</v>
      </c>
      <c r="F509" s="246" t="s">
        <v>379</v>
      </c>
      <c r="G509" s="279">
        <v>200000</v>
      </c>
      <c r="H509" s="279">
        <v>200000</v>
      </c>
      <c r="I509" s="132">
        <v>1046660.8132697152</v>
      </c>
      <c r="J509" s="132">
        <v>7051.670965170304</v>
      </c>
      <c r="K509" s="132">
        <v>0</v>
      </c>
      <c r="L509" s="144">
        <f>CATEGORIAS[[#This Row],[ADICIONALES]]+CATEGORIAS[[#This Row],[POM]]+CATEGORIAS[[#This Row],[REAJUSTE 
PAGADO]]+CATEGORIAS[[#This Row],[REAJUSTE
PROYECTADO]]</f>
        <v>1253712.4842348855</v>
      </c>
      <c r="M509" s="133">
        <v>207012.41084293122</v>
      </c>
      <c r="N509" s="222">
        <v>1046700.0733919543</v>
      </c>
      <c r="O509" s="142">
        <f>+CATEGORIAS[[#This Row],[PRODUCCION
PARTIDAS
ORIGINALES
ACTUAL]]+CATEGORIAS[[#This Row],[PRODUCCION
ADICIONALES
ACTUAL]]</f>
        <v>1253712.4842348855</v>
      </c>
      <c r="P509" s="222">
        <v>207012.41084293122</v>
      </c>
      <c r="Q509" s="134">
        <v>1046660.8132697152</v>
      </c>
      <c r="R509" s="141">
        <f>+CATEGORIAS[[#This Row],[PRODUCCION
ANTERIOR]]+CATEGORIAS[[#This Row],[PRODUCCION
ADICIONALES
ANTERIOR]]</f>
        <v>1253673.2241126464</v>
      </c>
      <c r="S509" s="135">
        <v>5704519</v>
      </c>
      <c r="T509" s="135"/>
      <c r="U509" s="135">
        <v>0</v>
      </c>
      <c r="V509" s="262">
        <f>SUM(CATEGORIAS[[#This Row],[COSTO
ACUMULADO  AX]:[PROVISIONES]])</f>
        <v>5704519</v>
      </c>
      <c r="W509" s="264">
        <v>4364519</v>
      </c>
      <c r="X509" s="222"/>
      <c r="Y509" s="222">
        <v>1413605</v>
      </c>
      <c r="Z509" s="263">
        <f>SUM(CATEGORIAS[[#This Row],[COSTO ACUMULADO
ANTERIOR]:[PROVISIONES
ANTERIOR]])</f>
        <v>5778124</v>
      </c>
      <c r="AA509" s="338">
        <f>ABS(+CATEGORIAS[[#This Row],[PRESUPUESTO
FINAL
PROYECTADO]]-CATEGORIAS[[#This Row],[TOTAL PRODUCCION
ACTUAL]])</f>
        <v>0</v>
      </c>
      <c r="AB509" s="222"/>
      <c r="AC509" s="134"/>
      <c r="AD509" s="134">
        <v>0</v>
      </c>
      <c r="AE509" s="221">
        <f>SUM(CATEGORIAS[[#This Row],[INVENTARIO]:[PROYECCION
DE COSTO
DEL SALDO]])</f>
        <v>0</v>
      </c>
      <c r="AF509" s="134"/>
      <c r="AG509" s="134">
        <f>+CATEGORIAS[[#This Row],[PRESUPUESTO
FINAL
PROYECTADO]]-CATEGORIAS[[#This Row],[COSTO REAL]]-CATEGORIAS[[#This Row],[PROYECCION
TOTAL DE COSTO]]</f>
        <v>-4450806.5157651147</v>
      </c>
    </row>
    <row r="510" spans="1:33" x14ac:dyDescent="0.25">
      <c r="A510" s="245"/>
      <c r="B510" s="245"/>
      <c r="C510" s="245"/>
      <c r="D510" s="323" t="s">
        <v>2230</v>
      </c>
      <c r="E510" s="244" t="s">
        <v>1325</v>
      </c>
      <c r="F510" s="246" t="s">
        <v>376</v>
      </c>
      <c r="G510" s="279">
        <v>0</v>
      </c>
      <c r="H510" s="279">
        <v>0</v>
      </c>
      <c r="I510" s="132">
        <v>0</v>
      </c>
      <c r="J510" s="132">
        <v>0</v>
      </c>
      <c r="K510" s="132">
        <v>0</v>
      </c>
      <c r="L510" s="144">
        <f>CATEGORIAS[[#This Row],[ADICIONALES]]+CATEGORIAS[[#This Row],[POM]]+CATEGORIAS[[#This Row],[REAJUSTE 
PAGADO]]+CATEGORIAS[[#This Row],[REAJUSTE
PROYECTADO]]</f>
        <v>0</v>
      </c>
      <c r="M510" s="133">
        <v>0</v>
      </c>
      <c r="N510" s="222">
        <v>0</v>
      </c>
      <c r="O510" s="142">
        <f>+CATEGORIAS[[#This Row],[PRODUCCION
PARTIDAS
ORIGINALES
ACTUAL]]+CATEGORIAS[[#This Row],[PRODUCCION
ADICIONALES
ACTUAL]]</f>
        <v>0</v>
      </c>
      <c r="P510" s="222">
        <v>0</v>
      </c>
      <c r="Q510" s="222">
        <v>0</v>
      </c>
      <c r="R510" s="141">
        <f>+CATEGORIAS[[#This Row],[PRODUCCION
ANTERIOR]]+CATEGORIAS[[#This Row],[PRODUCCION
ADICIONALES
ANTERIOR]]</f>
        <v>0</v>
      </c>
      <c r="S510" s="135">
        <v>0</v>
      </c>
      <c r="T510" s="135"/>
      <c r="U510" s="135">
        <v>0</v>
      </c>
      <c r="V510" s="262">
        <f>SUM(CATEGORIAS[[#This Row],[COSTO
ACUMULADO  AX]:[PROVISIONES]])</f>
        <v>0</v>
      </c>
      <c r="W510" s="264">
        <v>0</v>
      </c>
      <c r="X510" s="222"/>
      <c r="Y510" s="222">
        <v>0</v>
      </c>
      <c r="Z510" s="263">
        <f>SUM(CATEGORIAS[[#This Row],[COSTO ACUMULADO
ANTERIOR]:[PROVISIONES
ANTERIOR]])</f>
        <v>0</v>
      </c>
      <c r="AA510" s="338">
        <f>ABS(+CATEGORIAS[[#This Row],[PRESUPUESTO
FINAL
PROYECTADO]]-CATEGORIAS[[#This Row],[TOTAL PRODUCCION
ACTUAL]])</f>
        <v>0</v>
      </c>
      <c r="AB510" s="222"/>
      <c r="AC510" s="134"/>
      <c r="AD510" s="134">
        <v>0</v>
      </c>
      <c r="AE510" s="221">
        <f>SUM(CATEGORIAS[[#This Row],[INVENTARIO]:[PROYECCION
DE COSTO
DEL SALDO]])</f>
        <v>0</v>
      </c>
      <c r="AF510" s="134"/>
      <c r="AG510" s="134">
        <f>+CATEGORIAS[[#This Row],[PRESUPUESTO
FINAL
PROYECTADO]]-CATEGORIAS[[#This Row],[COSTO REAL]]-CATEGORIAS[[#This Row],[PROYECCION
TOTAL DE COSTO]]</f>
        <v>0</v>
      </c>
    </row>
    <row r="511" spans="1:33" x14ac:dyDescent="0.25">
      <c r="A511" s="245"/>
      <c r="B511" s="245"/>
      <c r="C511" s="245"/>
      <c r="D511" s="323" t="s">
        <v>2231</v>
      </c>
      <c r="E511" s="244" t="s">
        <v>1327</v>
      </c>
      <c r="F511" s="246" t="s">
        <v>376</v>
      </c>
      <c r="G511" s="279">
        <v>0</v>
      </c>
      <c r="H511" s="279">
        <v>0</v>
      </c>
      <c r="I511" s="132">
        <v>0</v>
      </c>
      <c r="J511" s="132">
        <v>0</v>
      </c>
      <c r="K511" s="132">
        <v>0</v>
      </c>
      <c r="L511" s="144">
        <f>CATEGORIAS[[#This Row],[ADICIONALES]]+CATEGORIAS[[#This Row],[POM]]+CATEGORIAS[[#This Row],[REAJUSTE 
PAGADO]]+CATEGORIAS[[#This Row],[REAJUSTE
PROYECTADO]]</f>
        <v>0</v>
      </c>
      <c r="M511" s="133">
        <v>0</v>
      </c>
      <c r="N511" s="222">
        <v>0</v>
      </c>
      <c r="O511" s="142">
        <f>+CATEGORIAS[[#This Row],[PRODUCCION
PARTIDAS
ORIGINALES
ACTUAL]]+CATEGORIAS[[#This Row],[PRODUCCION
ADICIONALES
ACTUAL]]</f>
        <v>0</v>
      </c>
      <c r="P511" s="222">
        <v>0</v>
      </c>
      <c r="Q511" s="134">
        <v>0</v>
      </c>
      <c r="R511" s="141">
        <f>+CATEGORIAS[[#This Row],[PRODUCCION
ANTERIOR]]+CATEGORIAS[[#This Row],[PRODUCCION
ADICIONALES
ANTERIOR]]</f>
        <v>0</v>
      </c>
      <c r="S511" s="135">
        <v>0</v>
      </c>
      <c r="T511" s="135"/>
      <c r="U511" s="135">
        <v>0</v>
      </c>
      <c r="V511" s="262">
        <f>SUM(CATEGORIAS[[#This Row],[COSTO
ACUMULADO  AX]:[PROVISIONES]])</f>
        <v>0</v>
      </c>
      <c r="W511" s="264">
        <v>0</v>
      </c>
      <c r="X511" s="222"/>
      <c r="Y511" s="222">
        <v>0</v>
      </c>
      <c r="Z511" s="263">
        <f>SUM(CATEGORIAS[[#This Row],[COSTO ACUMULADO
ANTERIOR]:[PROVISIONES
ANTERIOR]])</f>
        <v>0</v>
      </c>
      <c r="AA511" s="338">
        <f>ABS(+CATEGORIAS[[#This Row],[PRESUPUESTO
FINAL
PROYECTADO]]-CATEGORIAS[[#This Row],[TOTAL PRODUCCION
ACTUAL]])</f>
        <v>0</v>
      </c>
      <c r="AB511" s="222"/>
      <c r="AC511" s="134"/>
      <c r="AD511" s="134">
        <v>0</v>
      </c>
      <c r="AE511" s="221">
        <f>SUM(CATEGORIAS[[#This Row],[INVENTARIO]:[PROYECCION
DE COSTO
DEL SALDO]])</f>
        <v>0</v>
      </c>
      <c r="AF511" s="134"/>
      <c r="AG511" s="134">
        <f>+CATEGORIAS[[#This Row],[PRESUPUESTO
FINAL
PROYECTADO]]-CATEGORIAS[[#This Row],[COSTO REAL]]-CATEGORIAS[[#This Row],[PROYECCION
TOTAL DE COSTO]]</f>
        <v>0</v>
      </c>
    </row>
    <row r="512" spans="1:33" x14ac:dyDescent="0.25">
      <c r="A512" s="245"/>
      <c r="B512" s="245"/>
      <c r="C512" s="245"/>
      <c r="D512" s="323" t="s">
        <v>2232</v>
      </c>
      <c r="E512" s="244" t="s">
        <v>1329</v>
      </c>
      <c r="F512" s="246" t="s">
        <v>376</v>
      </c>
      <c r="G512" s="279">
        <v>0</v>
      </c>
      <c r="H512" s="279">
        <v>0</v>
      </c>
      <c r="I512" s="132">
        <v>0</v>
      </c>
      <c r="J512" s="132">
        <v>0</v>
      </c>
      <c r="K512" s="132">
        <v>0</v>
      </c>
      <c r="L512" s="144">
        <f>CATEGORIAS[[#This Row],[ADICIONALES]]+CATEGORIAS[[#This Row],[POM]]+CATEGORIAS[[#This Row],[REAJUSTE 
PAGADO]]+CATEGORIAS[[#This Row],[REAJUSTE
PROYECTADO]]</f>
        <v>0</v>
      </c>
      <c r="M512" s="133">
        <v>0</v>
      </c>
      <c r="N512" s="222">
        <v>0</v>
      </c>
      <c r="O512" s="142">
        <f>+CATEGORIAS[[#This Row],[PRODUCCION
PARTIDAS
ORIGINALES
ACTUAL]]+CATEGORIAS[[#This Row],[PRODUCCION
ADICIONALES
ACTUAL]]</f>
        <v>0</v>
      </c>
      <c r="P512" s="222">
        <v>0</v>
      </c>
      <c r="Q512" s="222">
        <v>0</v>
      </c>
      <c r="R512" s="141">
        <f>+CATEGORIAS[[#This Row],[PRODUCCION
ANTERIOR]]+CATEGORIAS[[#This Row],[PRODUCCION
ADICIONALES
ANTERIOR]]</f>
        <v>0</v>
      </c>
      <c r="S512" s="135">
        <v>0</v>
      </c>
      <c r="T512" s="135"/>
      <c r="U512" s="135">
        <v>0</v>
      </c>
      <c r="V512" s="262">
        <f>SUM(CATEGORIAS[[#This Row],[COSTO
ACUMULADO  AX]:[PROVISIONES]])</f>
        <v>0</v>
      </c>
      <c r="W512" s="264">
        <v>0</v>
      </c>
      <c r="X512" s="222"/>
      <c r="Y512" s="222">
        <v>0</v>
      </c>
      <c r="Z512" s="263">
        <f>SUM(CATEGORIAS[[#This Row],[COSTO ACUMULADO
ANTERIOR]:[PROVISIONES
ANTERIOR]])</f>
        <v>0</v>
      </c>
      <c r="AA512" s="338">
        <f>ABS(+CATEGORIAS[[#This Row],[PRESUPUESTO
FINAL
PROYECTADO]]-CATEGORIAS[[#This Row],[TOTAL PRODUCCION
ACTUAL]])</f>
        <v>0</v>
      </c>
      <c r="AB512" s="222"/>
      <c r="AC512" s="134"/>
      <c r="AD512" s="134">
        <v>0</v>
      </c>
      <c r="AE512" s="221">
        <f>SUM(CATEGORIAS[[#This Row],[INVENTARIO]:[PROYECCION
DE COSTO
DEL SALDO]])</f>
        <v>0</v>
      </c>
      <c r="AF512" s="134"/>
      <c r="AG512" s="134">
        <f>+CATEGORIAS[[#This Row],[PRESUPUESTO
FINAL
PROYECTADO]]-CATEGORIAS[[#This Row],[COSTO REAL]]-CATEGORIAS[[#This Row],[PROYECCION
TOTAL DE COSTO]]</f>
        <v>0</v>
      </c>
    </row>
    <row r="513" spans="1:33" x14ac:dyDescent="0.25">
      <c r="A513" s="245"/>
      <c r="B513" s="245"/>
      <c r="C513" s="245"/>
      <c r="D513" s="323" t="s">
        <v>2233</v>
      </c>
      <c r="E513" s="244" t="s">
        <v>1331</v>
      </c>
      <c r="F513" s="246" t="s">
        <v>376</v>
      </c>
      <c r="G513" s="279">
        <v>0</v>
      </c>
      <c r="H513" s="279">
        <v>0</v>
      </c>
      <c r="I513" s="132">
        <v>0</v>
      </c>
      <c r="J513" s="132">
        <v>0</v>
      </c>
      <c r="K513" s="132">
        <v>0</v>
      </c>
      <c r="L513" s="144">
        <f>CATEGORIAS[[#This Row],[ADICIONALES]]+CATEGORIAS[[#This Row],[POM]]+CATEGORIAS[[#This Row],[REAJUSTE 
PAGADO]]+CATEGORIAS[[#This Row],[REAJUSTE
PROYECTADO]]</f>
        <v>0</v>
      </c>
      <c r="M513" s="133">
        <v>0</v>
      </c>
      <c r="N513" s="222">
        <v>0</v>
      </c>
      <c r="O513" s="142">
        <f>+CATEGORIAS[[#This Row],[PRODUCCION
PARTIDAS
ORIGINALES
ACTUAL]]+CATEGORIAS[[#This Row],[PRODUCCION
ADICIONALES
ACTUAL]]</f>
        <v>0</v>
      </c>
      <c r="P513" s="222">
        <v>0</v>
      </c>
      <c r="Q513" s="222">
        <v>0</v>
      </c>
      <c r="R513" s="141">
        <f>+CATEGORIAS[[#This Row],[PRODUCCION
ANTERIOR]]+CATEGORIAS[[#This Row],[PRODUCCION
ADICIONALES
ANTERIOR]]</f>
        <v>0</v>
      </c>
      <c r="S513" s="135">
        <v>0</v>
      </c>
      <c r="T513" s="135"/>
      <c r="U513" s="135">
        <v>0</v>
      </c>
      <c r="V513" s="262">
        <f>SUM(CATEGORIAS[[#This Row],[COSTO
ACUMULADO  AX]:[PROVISIONES]])</f>
        <v>0</v>
      </c>
      <c r="W513" s="264">
        <v>0</v>
      </c>
      <c r="X513" s="222"/>
      <c r="Y513" s="222">
        <v>0</v>
      </c>
      <c r="Z513" s="263">
        <f>SUM(CATEGORIAS[[#This Row],[COSTO ACUMULADO
ANTERIOR]:[PROVISIONES
ANTERIOR]])</f>
        <v>0</v>
      </c>
      <c r="AA513" s="338">
        <f>ABS(+CATEGORIAS[[#This Row],[PRESUPUESTO
FINAL
PROYECTADO]]-CATEGORIAS[[#This Row],[TOTAL PRODUCCION
ACTUAL]])</f>
        <v>0</v>
      </c>
      <c r="AB513" s="222"/>
      <c r="AC513" s="134"/>
      <c r="AD513" s="134">
        <v>0</v>
      </c>
      <c r="AE513" s="221">
        <f>SUM(CATEGORIAS[[#This Row],[INVENTARIO]:[PROYECCION
DE COSTO
DEL SALDO]])</f>
        <v>0</v>
      </c>
      <c r="AF513" s="134"/>
      <c r="AG513" s="134">
        <f>+CATEGORIAS[[#This Row],[PRESUPUESTO
FINAL
PROYECTADO]]-CATEGORIAS[[#This Row],[COSTO REAL]]-CATEGORIAS[[#This Row],[PROYECCION
TOTAL DE COSTO]]</f>
        <v>0</v>
      </c>
    </row>
    <row r="514" spans="1:33" x14ac:dyDescent="0.25">
      <c r="A514" s="245"/>
      <c r="B514" s="245"/>
      <c r="C514" s="245"/>
      <c r="D514" s="323" t="s">
        <v>2234</v>
      </c>
      <c r="E514" s="244" t="s">
        <v>1331</v>
      </c>
      <c r="F514" s="246" t="s">
        <v>376</v>
      </c>
      <c r="G514" s="279">
        <v>0</v>
      </c>
      <c r="H514" s="279">
        <v>0</v>
      </c>
      <c r="I514" s="132">
        <v>0</v>
      </c>
      <c r="J514" s="132">
        <v>0</v>
      </c>
      <c r="K514" s="132">
        <v>0</v>
      </c>
      <c r="L514" s="144">
        <f>CATEGORIAS[[#This Row],[ADICIONALES]]+CATEGORIAS[[#This Row],[POM]]+CATEGORIAS[[#This Row],[REAJUSTE 
PAGADO]]+CATEGORIAS[[#This Row],[REAJUSTE
PROYECTADO]]</f>
        <v>0</v>
      </c>
      <c r="M514" s="133">
        <v>0</v>
      </c>
      <c r="N514" s="222">
        <v>0</v>
      </c>
      <c r="O514" s="142">
        <f>+CATEGORIAS[[#This Row],[PRODUCCION
PARTIDAS
ORIGINALES
ACTUAL]]+CATEGORIAS[[#This Row],[PRODUCCION
ADICIONALES
ACTUAL]]</f>
        <v>0</v>
      </c>
      <c r="P514" s="222">
        <v>0</v>
      </c>
      <c r="Q514" s="222">
        <v>0</v>
      </c>
      <c r="R514" s="141">
        <f>+CATEGORIAS[[#This Row],[PRODUCCION
ANTERIOR]]+CATEGORIAS[[#This Row],[PRODUCCION
ADICIONALES
ANTERIOR]]</f>
        <v>0</v>
      </c>
      <c r="S514" s="135">
        <v>0</v>
      </c>
      <c r="T514" s="135"/>
      <c r="U514" s="135">
        <v>0</v>
      </c>
      <c r="V514" s="262">
        <f>SUM(CATEGORIAS[[#This Row],[COSTO
ACUMULADO  AX]:[PROVISIONES]])</f>
        <v>0</v>
      </c>
      <c r="W514" s="264">
        <v>0</v>
      </c>
      <c r="X514" s="222"/>
      <c r="Y514" s="222">
        <v>0</v>
      </c>
      <c r="Z514" s="263">
        <f>SUM(CATEGORIAS[[#This Row],[COSTO ACUMULADO
ANTERIOR]:[PROVISIONES
ANTERIOR]])</f>
        <v>0</v>
      </c>
      <c r="AA514" s="338">
        <f>ABS(+CATEGORIAS[[#This Row],[PRESUPUESTO
FINAL
PROYECTADO]]-CATEGORIAS[[#This Row],[TOTAL PRODUCCION
ACTUAL]])</f>
        <v>0</v>
      </c>
      <c r="AB514" s="222"/>
      <c r="AC514" s="134"/>
      <c r="AD514" s="134">
        <v>0</v>
      </c>
      <c r="AE514" s="221">
        <f>SUM(CATEGORIAS[[#This Row],[INVENTARIO]:[PROYECCION
DE COSTO
DEL SALDO]])</f>
        <v>0</v>
      </c>
      <c r="AF514" s="134"/>
      <c r="AG514" s="134">
        <f>+CATEGORIAS[[#This Row],[PRESUPUESTO
FINAL
PROYECTADO]]-CATEGORIAS[[#This Row],[COSTO REAL]]-CATEGORIAS[[#This Row],[PROYECCION
TOTAL DE COSTO]]</f>
        <v>0</v>
      </c>
    </row>
    <row r="515" spans="1:33" x14ac:dyDescent="0.25">
      <c r="A515" s="245"/>
      <c r="B515" s="245"/>
      <c r="C515" s="245"/>
      <c r="D515" s="323" t="s">
        <v>2235</v>
      </c>
      <c r="E515" s="244" t="s">
        <v>1334</v>
      </c>
      <c r="F515" s="246" t="s">
        <v>376</v>
      </c>
      <c r="G515" s="279">
        <v>0</v>
      </c>
      <c r="H515" s="279">
        <v>0</v>
      </c>
      <c r="I515" s="132">
        <v>0</v>
      </c>
      <c r="J515" s="132">
        <v>0</v>
      </c>
      <c r="K515" s="132">
        <v>0</v>
      </c>
      <c r="L515" s="144">
        <f>CATEGORIAS[[#This Row],[ADICIONALES]]+CATEGORIAS[[#This Row],[POM]]+CATEGORIAS[[#This Row],[REAJUSTE 
PAGADO]]+CATEGORIAS[[#This Row],[REAJUSTE
PROYECTADO]]</f>
        <v>0</v>
      </c>
      <c r="M515" s="133">
        <v>0</v>
      </c>
      <c r="N515" s="222">
        <v>0</v>
      </c>
      <c r="O515" s="142">
        <f>+CATEGORIAS[[#This Row],[PRODUCCION
PARTIDAS
ORIGINALES
ACTUAL]]+CATEGORIAS[[#This Row],[PRODUCCION
ADICIONALES
ACTUAL]]</f>
        <v>0</v>
      </c>
      <c r="P515" s="222">
        <v>0</v>
      </c>
      <c r="Q515" s="134">
        <v>0</v>
      </c>
      <c r="R515" s="141">
        <f>+CATEGORIAS[[#This Row],[PRODUCCION
ANTERIOR]]+CATEGORIAS[[#This Row],[PRODUCCION
ADICIONALES
ANTERIOR]]</f>
        <v>0</v>
      </c>
      <c r="S515" s="135">
        <v>0</v>
      </c>
      <c r="T515" s="135"/>
      <c r="U515" s="135">
        <v>0</v>
      </c>
      <c r="V515" s="262">
        <f>SUM(CATEGORIAS[[#This Row],[COSTO
ACUMULADO  AX]:[PROVISIONES]])</f>
        <v>0</v>
      </c>
      <c r="W515" s="264">
        <v>0</v>
      </c>
      <c r="X515" s="222"/>
      <c r="Y515" s="222">
        <v>0</v>
      </c>
      <c r="Z515" s="263">
        <f>SUM(CATEGORIAS[[#This Row],[COSTO ACUMULADO
ANTERIOR]:[PROVISIONES
ANTERIOR]])</f>
        <v>0</v>
      </c>
      <c r="AA515" s="338">
        <f>ABS(+CATEGORIAS[[#This Row],[PRESUPUESTO
FINAL
PROYECTADO]]-CATEGORIAS[[#This Row],[TOTAL PRODUCCION
ACTUAL]])</f>
        <v>0</v>
      </c>
      <c r="AB515" s="222"/>
      <c r="AC515" s="134"/>
      <c r="AD515" s="134">
        <v>0</v>
      </c>
      <c r="AE515" s="221">
        <f>SUM(CATEGORIAS[[#This Row],[INVENTARIO]:[PROYECCION
DE COSTO
DEL SALDO]])</f>
        <v>0</v>
      </c>
      <c r="AF515" s="134"/>
      <c r="AG515" s="134">
        <f>+CATEGORIAS[[#This Row],[PRESUPUESTO
FINAL
PROYECTADO]]-CATEGORIAS[[#This Row],[COSTO REAL]]-CATEGORIAS[[#This Row],[PROYECCION
TOTAL DE COSTO]]</f>
        <v>0</v>
      </c>
    </row>
    <row r="516" spans="1:33" x14ac:dyDescent="0.25">
      <c r="A516" s="245"/>
      <c r="B516" s="245"/>
      <c r="C516" s="245"/>
      <c r="D516" s="323" t="s">
        <v>2236</v>
      </c>
      <c r="E516" s="244" t="s">
        <v>1336</v>
      </c>
      <c r="F516" s="246" t="s">
        <v>376</v>
      </c>
      <c r="G516" s="279">
        <v>0</v>
      </c>
      <c r="H516" s="279">
        <v>0</v>
      </c>
      <c r="I516" s="132">
        <v>0</v>
      </c>
      <c r="J516" s="132">
        <v>0</v>
      </c>
      <c r="K516" s="132">
        <v>0</v>
      </c>
      <c r="L516" s="144">
        <f>CATEGORIAS[[#This Row],[ADICIONALES]]+CATEGORIAS[[#This Row],[POM]]+CATEGORIAS[[#This Row],[REAJUSTE 
PAGADO]]+CATEGORIAS[[#This Row],[REAJUSTE
PROYECTADO]]</f>
        <v>0</v>
      </c>
      <c r="M516" s="133">
        <v>0</v>
      </c>
      <c r="N516" s="222">
        <v>0</v>
      </c>
      <c r="O516" s="142">
        <f>+CATEGORIAS[[#This Row],[PRODUCCION
PARTIDAS
ORIGINALES
ACTUAL]]+CATEGORIAS[[#This Row],[PRODUCCION
ADICIONALES
ACTUAL]]</f>
        <v>0</v>
      </c>
      <c r="P516" s="222">
        <v>0</v>
      </c>
      <c r="Q516" s="222">
        <v>0</v>
      </c>
      <c r="R516" s="141">
        <f>+CATEGORIAS[[#This Row],[PRODUCCION
ANTERIOR]]+CATEGORIAS[[#This Row],[PRODUCCION
ADICIONALES
ANTERIOR]]</f>
        <v>0</v>
      </c>
      <c r="S516" s="135">
        <v>0</v>
      </c>
      <c r="T516" s="135"/>
      <c r="U516" s="135">
        <v>0</v>
      </c>
      <c r="V516" s="262">
        <f>SUM(CATEGORIAS[[#This Row],[COSTO
ACUMULADO  AX]:[PROVISIONES]])</f>
        <v>0</v>
      </c>
      <c r="W516" s="264">
        <v>0</v>
      </c>
      <c r="X516" s="222"/>
      <c r="Y516" s="222">
        <v>0</v>
      </c>
      <c r="Z516" s="263">
        <f>SUM(CATEGORIAS[[#This Row],[COSTO ACUMULADO
ANTERIOR]:[PROVISIONES
ANTERIOR]])</f>
        <v>0</v>
      </c>
      <c r="AA516" s="338">
        <f>ABS(+CATEGORIAS[[#This Row],[PRESUPUESTO
FINAL
PROYECTADO]]-CATEGORIAS[[#This Row],[TOTAL PRODUCCION
ACTUAL]])</f>
        <v>0</v>
      </c>
      <c r="AB516" s="222"/>
      <c r="AC516" s="134"/>
      <c r="AD516" s="134">
        <v>0</v>
      </c>
      <c r="AE516" s="221">
        <f>SUM(CATEGORIAS[[#This Row],[INVENTARIO]:[PROYECCION
DE COSTO
DEL SALDO]])</f>
        <v>0</v>
      </c>
      <c r="AF516" s="134"/>
      <c r="AG516" s="134">
        <f>+CATEGORIAS[[#This Row],[PRESUPUESTO
FINAL
PROYECTADO]]-CATEGORIAS[[#This Row],[COSTO REAL]]-CATEGORIAS[[#This Row],[PROYECCION
TOTAL DE COSTO]]</f>
        <v>0</v>
      </c>
    </row>
    <row r="517" spans="1:33" x14ac:dyDescent="0.25">
      <c r="A517" s="245" t="s">
        <v>139</v>
      </c>
      <c r="B517" s="14" t="s">
        <v>241</v>
      </c>
      <c r="C517" s="14" t="s">
        <v>2455</v>
      </c>
      <c r="D517" s="323" t="s">
        <v>2237</v>
      </c>
      <c r="E517" s="244" t="s">
        <v>1338</v>
      </c>
      <c r="F517" s="246" t="s">
        <v>379</v>
      </c>
      <c r="G517" s="279">
        <v>6788715.5472142855</v>
      </c>
      <c r="H517" s="279">
        <v>6613603.0602142857</v>
      </c>
      <c r="I517" s="132">
        <v>700466.48452434654</v>
      </c>
      <c r="J517" s="132">
        <v>233184.76337437276</v>
      </c>
      <c r="K517" s="132">
        <v>0</v>
      </c>
      <c r="L517" s="144">
        <f>CATEGORIAS[[#This Row],[ADICIONALES]]+CATEGORIAS[[#This Row],[POM]]+CATEGORIAS[[#This Row],[REAJUSTE 
PAGADO]]+CATEGORIAS[[#This Row],[REAJUSTE
PROYECTADO]]</f>
        <v>7547254.308113005</v>
      </c>
      <c r="M517" s="133">
        <v>6845489.5692657344</v>
      </c>
      <c r="N517" s="222">
        <v>701764.73884727026</v>
      </c>
      <c r="O517" s="142">
        <f>+CATEGORIAS[[#This Row],[PRODUCCION
PARTIDAS
ORIGINALES
ACTUAL]]+CATEGORIAS[[#This Row],[PRODUCCION
ADICIONALES
ACTUAL]]</f>
        <v>7547254.308113005</v>
      </c>
      <c r="P517" s="222">
        <v>6845489.5692657344</v>
      </c>
      <c r="Q517" s="222">
        <v>700466.48452434654</v>
      </c>
      <c r="R517" s="141">
        <f>+CATEGORIAS[[#This Row],[PRODUCCION
ANTERIOR]]+CATEGORIAS[[#This Row],[PRODUCCION
ADICIONALES
ANTERIOR]]</f>
        <v>7545956.0537900813</v>
      </c>
      <c r="S517" s="135">
        <v>4132264</v>
      </c>
      <c r="T517" s="135"/>
      <c r="U517" s="135">
        <v>0</v>
      </c>
      <c r="V517" s="193">
        <f>SUM(CATEGORIAS[[#This Row],[COSTO
ACUMULADO  AX]:[PROVISIONES]])</f>
        <v>4132264</v>
      </c>
      <c r="W517" s="264">
        <v>4132264</v>
      </c>
      <c r="X517" s="222"/>
      <c r="Y517" s="222">
        <v>348615</v>
      </c>
      <c r="Z517" s="263">
        <f>SUM(CATEGORIAS[[#This Row],[COSTO ACUMULADO
ANTERIOR]:[PROVISIONES
ANTERIOR]])</f>
        <v>4480879</v>
      </c>
      <c r="AA517" s="338">
        <f>ABS(+CATEGORIAS[[#This Row],[PRESUPUESTO
FINAL
PROYECTADO]]-CATEGORIAS[[#This Row],[TOTAL PRODUCCION
ACTUAL]])</f>
        <v>0</v>
      </c>
      <c r="AB517" s="222"/>
      <c r="AC517" s="134"/>
      <c r="AD517" s="134">
        <v>0</v>
      </c>
      <c r="AE517" s="221">
        <f>SUM(CATEGORIAS[[#This Row],[INVENTARIO]:[PROYECCION
DE COSTO
DEL SALDO]])</f>
        <v>0</v>
      </c>
      <c r="AF517" s="134"/>
      <c r="AG517" s="134">
        <f>+CATEGORIAS[[#This Row],[PRESUPUESTO
FINAL
PROYECTADO]]-CATEGORIAS[[#This Row],[COSTO REAL]]-CATEGORIAS[[#This Row],[PROYECCION
TOTAL DE COSTO]]</f>
        <v>3414990.308113005</v>
      </c>
    </row>
    <row r="518" spans="1:33" x14ac:dyDescent="0.25">
      <c r="A518" s="245"/>
      <c r="B518" s="245"/>
      <c r="C518" s="245"/>
      <c r="D518" s="323" t="s">
        <v>2238</v>
      </c>
      <c r="E518" s="244" t="s">
        <v>1338</v>
      </c>
      <c r="F518" s="246" t="s">
        <v>376</v>
      </c>
      <c r="G518" s="279">
        <v>0</v>
      </c>
      <c r="H518" s="279">
        <v>0</v>
      </c>
      <c r="I518" s="132">
        <v>0</v>
      </c>
      <c r="J518" s="132">
        <v>0</v>
      </c>
      <c r="K518" s="132">
        <v>0</v>
      </c>
      <c r="L518" s="144">
        <f>CATEGORIAS[[#This Row],[ADICIONALES]]+CATEGORIAS[[#This Row],[POM]]+CATEGORIAS[[#This Row],[REAJUSTE 
PAGADO]]+CATEGORIAS[[#This Row],[REAJUSTE
PROYECTADO]]</f>
        <v>0</v>
      </c>
      <c r="M518" s="133">
        <v>0</v>
      </c>
      <c r="N518" s="222">
        <v>0</v>
      </c>
      <c r="O518" s="142">
        <f>+CATEGORIAS[[#This Row],[PRODUCCION
PARTIDAS
ORIGINALES
ACTUAL]]+CATEGORIAS[[#This Row],[PRODUCCION
ADICIONALES
ACTUAL]]</f>
        <v>0</v>
      </c>
      <c r="P518" s="222">
        <v>0</v>
      </c>
      <c r="Q518" s="222">
        <v>0</v>
      </c>
      <c r="R518" s="141">
        <f>+CATEGORIAS[[#This Row],[PRODUCCION
ANTERIOR]]+CATEGORIAS[[#This Row],[PRODUCCION
ADICIONALES
ANTERIOR]]</f>
        <v>0</v>
      </c>
      <c r="S518" s="135">
        <v>0</v>
      </c>
      <c r="T518" s="135"/>
      <c r="U518" s="135">
        <v>0</v>
      </c>
      <c r="V518" s="193">
        <f>SUM(CATEGORIAS[[#This Row],[COSTO
ACUMULADO  AX]:[PROVISIONES]])</f>
        <v>0</v>
      </c>
      <c r="W518" s="264">
        <v>0</v>
      </c>
      <c r="X518" s="222"/>
      <c r="Y518" s="222">
        <v>0</v>
      </c>
      <c r="Z518" s="263">
        <f>SUM(CATEGORIAS[[#This Row],[COSTO ACUMULADO
ANTERIOR]:[PROVISIONES
ANTERIOR]])</f>
        <v>0</v>
      </c>
      <c r="AA518" s="338">
        <f>ABS(+CATEGORIAS[[#This Row],[PRESUPUESTO
FINAL
PROYECTADO]]-CATEGORIAS[[#This Row],[TOTAL PRODUCCION
ACTUAL]])</f>
        <v>0</v>
      </c>
      <c r="AB518" s="222"/>
      <c r="AC518" s="134"/>
      <c r="AD518" s="134">
        <v>0</v>
      </c>
      <c r="AE518" s="221">
        <f>SUM(CATEGORIAS[[#This Row],[INVENTARIO]:[PROYECCION
DE COSTO
DEL SALDO]])</f>
        <v>0</v>
      </c>
      <c r="AF518" s="134"/>
      <c r="AG518" s="134">
        <f>+CATEGORIAS[[#This Row],[PRESUPUESTO
FINAL
PROYECTADO]]-CATEGORIAS[[#This Row],[COSTO REAL]]-CATEGORIAS[[#This Row],[PROYECCION
TOTAL DE COSTO]]</f>
        <v>0</v>
      </c>
    </row>
    <row r="519" spans="1:33" x14ac:dyDescent="0.25">
      <c r="A519" s="245" t="s">
        <v>139</v>
      </c>
      <c r="B519" s="245" t="s">
        <v>243</v>
      </c>
      <c r="C519" s="245" t="s">
        <v>2406</v>
      </c>
      <c r="D519" s="323" t="s">
        <v>2239</v>
      </c>
      <c r="E519" s="244" t="s">
        <v>1341</v>
      </c>
      <c r="F519" s="246" t="s">
        <v>379</v>
      </c>
      <c r="G519" s="279">
        <v>5117633.4354056884</v>
      </c>
      <c r="H519" s="279">
        <v>5117633.4354056884</v>
      </c>
      <c r="I519" s="132">
        <v>1552899.2112707954</v>
      </c>
      <c r="J519" s="132">
        <v>180439.33553417528</v>
      </c>
      <c r="K519" s="132">
        <v>0</v>
      </c>
      <c r="L519" s="144">
        <f>CATEGORIAS[[#This Row],[ADICIONALES]]+CATEGORIAS[[#This Row],[POM]]+CATEGORIAS[[#This Row],[REAJUSTE 
PAGADO]]+CATEGORIAS[[#This Row],[REAJUSTE
PROYECTADO]]</f>
        <v>6850971.9822106585</v>
      </c>
      <c r="M519" s="133">
        <v>5297068.1763686193</v>
      </c>
      <c r="N519" s="222">
        <v>1553903.8058420394</v>
      </c>
      <c r="O519" s="142">
        <f>+CATEGORIAS[[#This Row],[PRODUCCION
PARTIDAS
ORIGINALES
ACTUAL]]+CATEGORIAS[[#This Row],[PRODUCCION
ADICIONALES
ACTUAL]]</f>
        <v>6850971.9822106585</v>
      </c>
      <c r="P519" s="222">
        <v>5297068.1763686193</v>
      </c>
      <c r="Q519" s="222">
        <v>1552899.2112707954</v>
      </c>
      <c r="R519" s="141">
        <f>+CATEGORIAS[[#This Row],[PRODUCCION
ANTERIOR]]+CATEGORIAS[[#This Row],[PRODUCCION
ADICIONALES
ANTERIOR]]</f>
        <v>6849967.3876394145</v>
      </c>
      <c r="S519" s="135">
        <v>2439332</v>
      </c>
      <c r="T519" s="135"/>
      <c r="U519" s="135">
        <v>0</v>
      </c>
      <c r="V519" s="193">
        <f>SUM(CATEGORIAS[[#This Row],[COSTO
ACUMULADO  AX]:[PROVISIONES]])</f>
        <v>2439332</v>
      </c>
      <c r="W519" s="264">
        <v>2083832</v>
      </c>
      <c r="X519" s="222"/>
      <c r="Y519" s="222">
        <v>0</v>
      </c>
      <c r="Z519" s="263">
        <f>SUM(CATEGORIAS[[#This Row],[COSTO ACUMULADO
ANTERIOR]:[PROVISIONES
ANTERIOR]])</f>
        <v>2083832</v>
      </c>
      <c r="AA519" s="338">
        <f>ABS(+CATEGORIAS[[#This Row],[PRESUPUESTO
FINAL
PROYECTADO]]-CATEGORIAS[[#This Row],[TOTAL PRODUCCION
ACTUAL]])</f>
        <v>0</v>
      </c>
      <c r="AB519" s="222"/>
      <c r="AC519" s="134"/>
      <c r="AD519" s="134">
        <v>2000000</v>
      </c>
      <c r="AE519" s="221">
        <f>SUM(CATEGORIAS[[#This Row],[INVENTARIO]:[PROYECCION
DE COSTO
DEL SALDO]])</f>
        <v>2000000</v>
      </c>
      <c r="AF519" s="134"/>
      <c r="AG519" s="134">
        <f>+CATEGORIAS[[#This Row],[PRESUPUESTO
FINAL
PROYECTADO]]-CATEGORIAS[[#This Row],[COSTO REAL]]-CATEGORIAS[[#This Row],[PROYECCION
TOTAL DE COSTO]]</f>
        <v>2411639.9822106585</v>
      </c>
    </row>
    <row r="520" spans="1:33" x14ac:dyDescent="0.25">
      <c r="A520" s="245"/>
      <c r="B520" s="245"/>
      <c r="C520" s="245"/>
      <c r="D520" s="323" t="s">
        <v>2240</v>
      </c>
      <c r="E520" s="244" t="s">
        <v>1343</v>
      </c>
      <c r="F520" s="246" t="s">
        <v>376</v>
      </c>
      <c r="G520" s="279">
        <v>0</v>
      </c>
      <c r="H520" s="279">
        <v>0</v>
      </c>
      <c r="I520" s="132">
        <v>0</v>
      </c>
      <c r="J520" s="132">
        <v>0</v>
      </c>
      <c r="K520" s="132">
        <v>0</v>
      </c>
      <c r="L520" s="144">
        <f>CATEGORIAS[[#This Row],[ADICIONALES]]+CATEGORIAS[[#This Row],[POM]]+CATEGORIAS[[#This Row],[REAJUSTE 
PAGADO]]+CATEGORIAS[[#This Row],[REAJUSTE
PROYECTADO]]</f>
        <v>0</v>
      </c>
      <c r="M520" s="133">
        <v>0</v>
      </c>
      <c r="N520" s="222">
        <v>0</v>
      </c>
      <c r="O520" s="142">
        <f>+CATEGORIAS[[#This Row],[PRODUCCION
PARTIDAS
ORIGINALES
ACTUAL]]+CATEGORIAS[[#This Row],[PRODUCCION
ADICIONALES
ACTUAL]]</f>
        <v>0</v>
      </c>
      <c r="P520" s="222">
        <v>0</v>
      </c>
      <c r="Q520" s="222">
        <v>0</v>
      </c>
      <c r="R520" s="141">
        <f>+CATEGORIAS[[#This Row],[PRODUCCION
ANTERIOR]]+CATEGORIAS[[#This Row],[PRODUCCION
ADICIONALES
ANTERIOR]]</f>
        <v>0</v>
      </c>
      <c r="S520" s="135">
        <v>0</v>
      </c>
      <c r="T520" s="135"/>
      <c r="U520" s="135">
        <v>0</v>
      </c>
      <c r="V520" s="193">
        <f>SUM(CATEGORIAS[[#This Row],[COSTO
ACUMULADO  AX]:[PROVISIONES]])</f>
        <v>0</v>
      </c>
      <c r="W520" s="264">
        <v>0</v>
      </c>
      <c r="X520" s="222"/>
      <c r="Y520" s="222">
        <v>0</v>
      </c>
      <c r="Z520" s="263">
        <f>SUM(CATEGORIAS[[#This Row],[COSTO ACUMULADO
ANTERIOR]:[PROVISIONES
ANTERIOR]])</f>
        <v>0</v>
      </c>
      <c r="AA520" s="338">
        <f>ABS(+CATEGORIAS[[#This Row],[PRESUPUESTO
FINAL
PROYECTADO]]-CATEGORIAS[[#This Row],[TOTAL PRODUCCION
ACTUAL]])</f>
        <v>0</v>
      </c>
      <c r="AB520" s="222"/>
      <c r="AC520" s="134"/>
      <c r="AD520" s="134">
        <v>0</v>
      </c>
      <c r="AE520" s="221">
        <f>SUM(CATEGORIAS[[#This Row],[INVENTARIO]:[PROYECCION
DE COSTO
DEL SALDO]])</f>
        <v>0</v>
      </c>
      <c r="AF520" s="134"/>
      <c r="AG520" s="134">
        <f>+CATEGORIAS[[#This Row],[PRESUPUESTO
FINAL
PROYECTADO]]-CATEGORIAS[[#This Row],[COSTO REAL]]-CATEGORIAS[[#This Row],[PROYECCION
TOTAL DE COSTO]]</f>
        <v>0</v>
      </c>
    </row>
    <row r="521" spans="1:33" x14ac:dyDescent="0.25">
      <c r="A521" s="245" t="s">
        <v>139</v>
      </c>
      <c r="B521" s="245" t="s">
        <v>238</v>
      </c>
      <c r="C521" s="245" t="s">
        <v>2388</v>
      </c>
      <c r="D521" s="323" t="s">
        <v>2241</v>
      </c>
      <c r="E521" s="244" t="s">
        <v>1345</v>
      </c>
      <c r="F521" s="246" t="s">
        <v>376</v>
      </c>
      <c r="G521" s="279">
        <v>17800000</v>
      </c>
      <c r="H521" s="279">
        <v>17800000</v>
      </c>
      <c r="I521" s="132">
        <v>6868671.5009945771</v>
      </c>
      <c r="J521" s="132">
        <v>627598.71590015711</v>
      </c>
      <c r="K521" s="132">
        <v>0</v>
      </c>
      <c r="L521" s="144">
        <f>CATEGORIAS[[#This Row],[ADICIONALES]]+CATEGORIAS[[#This Row],[POM]]+CATEGORIAS[[#This Row],[REAJUSTE 
PAGADO]]+CATEGORIAS[[#This Row],[REAJUSTE
PROYECTADO]]</f>
        <v>25296270.216894735</v>
      </c>
      <c r="M521" s="133">
        <v>18424104.565020878</v>
      </c>
      <c r="N521" s="222">
        <v>6872165.6518738559</v>
      </c>
      <c r="O521" s="142">
        <f>+CATEGORIAS[[#This Row],[PRODUCCION
PARTIDAS
ORIGINALES
ACTUAL]]+CATEGORIAS[[#This Row],[PRODUCCION
ADICIONALES
ACTUAL]]</f>
        <v>25296270.216894735</v>
      </c>
      <c r="P521" s="222">
        <v>18424104.565020878</v>
      </c>
      <c r="Q521" s="222">
        <v>6868671.5009945771</v>
      </c>
      <c r="R521" s="141">
        <f>+CATEGORIAS[[#This Row],[PRODUCCION
ANTERIOR]]+CATEGORIAS[[#This Row],[PRODUCCION
ADICIONALES
ANTERIOR]]</f>
        <v>25292776.066015456</v>
      </c>
      <c r="S521" s="135">
        <v>1809785</v>
      </c>
      <c r="T521" s="135"/>
      <c r="U521" s="135">
        <v>0</v>
      </c>
      <c r="V521" s="193">
        <f>SUM(CATEGORIAS[[#This Row],[COSTO
ACUMULADO  AX]:[PROVISIONES]])</f>
        <v>1809785</v>
      </c>
      <c r="W521" s="264">
        <v>1809785</v>
      </c>
      <c r="X521" s="222"/>
      <c r="Y521" s="222">
        <v>0</v>
      </c>
      <c r="Z521" s="263">
        <f>SUM(CATEGORIAS[[#This Row],[COSTO ACUMULADO
ANTERIOR]:[PROVISIONES
ANTERIOR]])</f>
        <v>1809785</v>
      </c>
      <c r="AA521" s="338">
        <f>ABS(+CATEGORIAS[[#This Row],[PRESUPUESTO
FINAL
PROYECTADO]]-CATEGORIAS[[#This Row],[TOTAL PRODUCCION
ACTUAL]])</f>
        <v>0</v>
      </c>
      <c r="AB521" s="222"/>
      <c r="AC521" s="134"/>
      <c r="AD521" s="134">
        <v>0</v>
      </c>
      <c r="AE521" s="221">
        <f>SUM(CATEGORIAS[[#This Row],[INVENTARIO]:[PROYECCION
DE COSTO
DEL SALDO]])</f>
        <v>0</v>
      </c>
      <c r="AF521" s="134"/>
      <c r="AG521" s="134">
        <f>+CATEGORIAS[[#This Row],[PRESUPUESTO
FINAL
PROYECTADO]]-CATEGORIAS[[#This Row],[COSTO REAL]]-CATEGORIAS[[#This Row],[PROYECCION
TOTAL DE COSTO]]</f>
        <v>23486485.216894735</v>
      </c>
    </row>
    <row r="522" spans="1:33" x14ac:dyDescent="0.25">
      <c r="A522" s="245"/>
      <c r="B522" s="245"/>
      <c r="C522" s="245"/>
      <c r="D522" s="323" t="s">
        <v>2242</v>
      </c>
      <c r="E522" s="244" t="s">
        <v>1347</v>
      </c>
      <c r="F522" s="246" t="s">
        <v>376</v>
      </c>
      <c r="G522" s="279">
        <v>0</v>
      </c>
      <c r="H522" s="279">
        <v>0</v>
      </c>
      <c r="I522" s="132">
        <v>0</v>
      </c>
      <c r="J522" s="132">
        <v>0</v>
      </c>
      <c r="K522" s="132">
        <v>0</v>
      </c>
      <c r="L522" s="144">
        <f>CATEGORIAS[[#This Row],[ADICIONALES]]+CATEGORIAS[[#This Row],[POM]]+CATEGORIAS[[#This Row],[REAJUSTE 
PAGADO]]+CATEGORIAS[[#This Row],[REAJUSTE
PROYECTADO]]</f>
        <v>0</v>
      </c>
      <c r="M522" s="133">
        <v>0</v>
      </c>
      <c r="N522" s="222">
        <v>0</v>
      </c>
      <c r="O522" s="142">
        <f>+CATEGORIAS[[#This Row],[PRODUCCION
PARTIDAS
ORIGINALES
ACTUAL]]+CATEGORIAS[[#This Row],[PRODUCCION
ADICIONALES
ACTUAL]]</f>
        <v>0</v>
      </c>
      <c r="P522" s="222">
        <v>0</v>
      </c>
      <c r="Q522" s="222">
        <v>0</v>
      </c>
      <c r="R522" s="141">
        <f>+CATEGORIAS[[#This Row],[PRODUCCION
ANTERIOR]]+CATEGORIAS[[#This Row],[PRODUCCION
ADICIONALES
ANTERIOR]]</f>
        <v>0</v>
      </c>
      <c r="S522" s="135">
        <v>0</v>
      </c>
      <c r="T522" s="135"/>
      <c r="U522" s="135">
        <v>0</v>
      </c>
      <c r="V522" s="143">
        <f>SUM(CATEGORIAS[[#This Row],[COSTO
ACUMULADO  AX]:[PROVISIONES]])</f>
        <v>0</v>
      </c>
      <c r="W522" s="264">
        <v>0</v>
      </c>
      <c r="X522" s="222"/>
      <c r="Y522" s="222">
        <v>0</v>
      </c>
      <c r="Z522" s="263">
        <f>SUM(CATEGORIAS[[#This Row],[COSTO ACUMULADO
ANTERIOR]:[PROVISIONES
ANTERIOR]])</f>
        <v>0</v>
      </c>
      <c r="AA522" s="338">
        <f>ABS(+CATEGORIAS[[#This Row],[PRESUPUESTO
FINAL
PROYECTADO]]-CATEGORIAS[[#This Row],[TOTAL PRODUCCION
ACTUAL]])</f>
        <v>0</v>
      </c>
      <c r="AB522" s="222"/>
      <c r="AC522" s="134"/>
      <c r="AD522" s="134">
        <v>0</v>
      </c>
      <c r="AE522" s="221">
        <f>SUM(CATEGORIAS[[#This Row],[INVENTARIO]:[PROYECCION
DE COSTO
DEL SALDO]])</f>
        <v>0</v>
      </c>
      <c r="AF522" s="134"/>
      <c r="AG522" s="134">
        <f>+CATEGORIAS[[#This Row],[PRESUPUESTO
FINAL
PROYECTADO]]-CATEGORIAS[[#This Row],[COSTO REAL]]-CATEGORIAS[[#This Row],[PROYECCION
TOTAL DE COSTO]]</f>
        <v>0</v>
      </c>
    </row>
    <row r="523" spans="1:33" x14ac:dyDescent="0.25">
      <c r="A523" s="245"/>
      <c r="B523" s="245"/>
      <c r="C523" s="245"/>
      <c r="D523" s="323" t="s">
        <v>2243</v>
      </c>
      <c r="E523" s="244" t="s">
        <v>1349</v>
      </c>
      <c r="F523" s="246" t="s">
        <v>379</v>
      </c>
      <c r="G523" s="279">
        <v>0</v>
      </c>
      <c r="H523" s="279">
        <v>0</v>
      </c>
      <c r="I523" s="132">
        <v>0</v>
      </c>
      <c r="J523" s="132">
        <v>0</v>
      </c>
      <c r="K523" s="132">
        <v>0</v>
      </c>
      <c r="L523" s="144">
        <f>CATEGORIAS[[#This Row],[ADICIONALES]]+CATEGORIAS[[#This Row],[POM]]+CATEGORIAS[[#This Row],[REAJUSTE 
PAGADO]]+CATEGORIAS[[#This Row],[REAJUSTE
PROYECTADO]]</f>
        <v>0</v>
      </c>
      <c r="M523" s="133">
        <v>0</v>
      </c>
      <c r="N523" s="222">
        <v>0</v>
      </c>
      <c r="O523" s="142">
        <f>+CATEGORIAS[[#This Row],[PRODUCCION
PARTIDAS
ORIGINALES
ACTUAL]]+CATEGORIAS[[#This Row],[PRODUCCION
ADICIONALES
ACTUAL]]</f>
        <v>0</v>
      </c>
      <c r="P523" s="222">
        <v>0</v>
      </c>
      <c r="Q523" s="222">
        <v>0</v>
      </c>
      <c r="R523" s="141">
        <f>+CATEGORIAS[[#This Row],[PRODUCCION
ANTERIOR]]+CATEGORIAS[[#This Row],[PRODUCCION
ADICIONALES
ANTERIOR]]</f>
        <v>0</v>
      </c>
      <c r="S523" s="135">
        <v>0</v>
      </c>
      <c r="T523" s="135"/>
      <c r="U523" s="135">
        <v>0</v>
      </c>
      <c r="V523" s="262">
        <f>SUM(CATEGORIAS[[#This Row],[COSTO
ACUMULADO  AX]:[PROVISIONES]])</f>
        <v>0</v>
      </c>
      <c r="W523" s="264">
        <v>0</v>
      </c>
      <c r="X523" s="222"/>
      <c r="Y523" s="222">
        <v>0</v>
      </c>
      <c r="Z523" s="263">
        <f>SUM(CATEGORIAS[[#This Row],[COSTO ACUMULADO
ANTERIOR]:[PROVISIONES
ANTERIOR]])</f>
        <v>0</v>
      </c>
      <c r="AA523" s="338">
        <f>ABS(+CATEGORIAS[[#This Row],[PRESUPUESTO
FINAL
PROYECTADO]]-CATEGORIAS[[#This Row],[TOTAL PRODUCCION
ACTUAL]])</f>
        <v>0</v>
      </c>
      <c r="AB523" s="222"/>
      <c r="AC523" s="134"/>
      <c r="AD523" s="134">
        <v>0</v>
      </c>
      <c r="AE523" s="221">
        <f>SUM(CATEGORIAS[[#This Row],[INVENTARIO]:[PROYECCION
DE COSTO
DEL SALDO]])</f>
        <v>0</v>
      </c>
      <c r="AF523" s="134"/>
      <c r="AG523" s="134">
        <f>+CATEGORIAS[[#This Row],[PRESUPUESTO
FINAL
PROYECTADO]]-CATEGORIAS[[#This Row],[COSTO REAL]]-CATEGORIAS[[#This Row],[PROYECCION
TOTAL DE COSTO]]</f>
        <v>0</v>
      </c>
    </row>
    <row r="524" spans="1:33" x14ac:dyDescent="0.25">
      <c r="A524" s="245"/>
      <c r="B524" s="245"/>
      <c r="C524" s="245"/>
      <c r="D524" s="323" t="s">
        <v>2244</v>
      </c>
      <c r="E524" s="244" t="s">
        <v>1351</v>
      </c>
      <c r="F524" s="246" t="s">
        <v>376</v>
      </c>
      <c r="G524" s="279">
        <v>0</v>
      </c>
      <c r="H524" s="279">
        <v>0</v>
      </c>
      <c r="I524" s="132">
        <v>0</v>
      </c>
      <c r="J524" s="132">
        <v>0</v>
      </c>
      <c r="K524" s="132">
        <v>0</v>
      </c>
      <c r="L524" s="144">
        <f>CATEGORIAS[[#This Row],[ADICIONALES]]+CATEGORIAS[[#This Row],[POM]]+CATEGORIAS[[#This Row],[REAJUSTE 
PAGADO]]+CATEGORIAS[[#This Row],[REAJUSTE
PROYECTADO]]</f>
        <v>0</v>
      </c>
      <c r="M524" s="133">
        <v>0</v>
      </c>
      <c r="N524" s="222">
        <v>0</v>
      </c>
      <c r="O524" s="142">
        <f>+CATEGORIAS[[#This Row],[PRODUCCION
PARTIDAS
ORIGINALES
ACTUAL]]+CATEGORIAS[[#This Row],[PRODUCCION
ADICIONALES
ACTUAL]]</f>
        <v>0</v>
      </c>
      <c r="P524" s="222">
        <v>0</v>
      </c>
      <c r="Q524" s="222">
        <v>0</v>
      </c>
      <c r="R524" s="141">
        <f>+CATEGORIAS[[#This Row],[PRODUCCION
ANTERIOR]]+CATEGORIAS[[#This Row],[PRODUCCION
ADICIONALES
ANTERIOR]]</f>
        <v>0</v>
      </c>
      <c r="S524" s="135">
        <v>0</v>
      </c>
      <c r="T524" s="135"/>
      <c r="U524" s="135">
        <v>0</v>
      </c>
      <c r="V524" s="262">
        <f>SUM(CATEGORIAS[[#This Row],[COSTO
ACUMULADO  AX]:[PROVISIONES]])</f>
        <v>0</v>
      </c>
      <c r="W524" s="264">
        <v>0</v>
      </c>
      <c r="X524" s="222"/>
      <c r="Y524" s="222">
        <v>0</v>
      </c>
      <c r="Z524" s="263">
        <f>SUM(CATEGORIAS[[#This Row],[COSTO ACUMULADO
ANTERIOR]:[PROVISIONES
ANTERIOR]])</f>
        <v>0</v>
      </c>
      <c r="AA524" s="338">
        <f>ABS(+CATEGORIAS[[#This Row],[PRESUPUESTO
FINAL
PROYECTADO]]-CATEGORIAS[[#This Row],[TOTAL PRODUCCION
ACTUAL]])</f>
        <v>0</v>
      </c>
      <c r="AB524" s="222"/>
      <c r="AC524" s="134"/>
      <c r="AD524" s="134">
        <v>0</v>
      </c>
      <c r="AE524" s="221">
        <f>SUM(CATEGORIAS[[#This Row],[INVENTARIO]:[PROYECCION
DE COSTO
DEL SALDO]])</f>
        <v>0</v>
      </c>
      <c r="AF524" s="134"/>
      <c r="AG524" s="134">
        <f>+CATEGORIAS[[#This Row],[PRESUPUESTO
FINAL
PROYECTADO]]-CATEGORIAS[[#This Row],[COSTO REAL]]-CATEGORIAS[[#This Row],[PROYECCION
TOTAL DE COSTO]]</f>
        <v>0</v>
      </c>
    </row>
    <row r="525" spans="1:33" x14ac:dyDescent="0.25">
      <c r="A525" s="245" t="s">
        <v>139</v>
      </c>
      <c r="B525" s="245" t="s">
        <v>2415</v>
      </c>
      <c r="C525" s="245" t="s">
        <v>2407</v>
      </c>
      <c r="D525" s="323" t="s">
        <v>2245</v>
      </c>
      <c r="E525" s="244" t="s">
        <v>1353</v>
      </c>
      <c r="F525" s="246" t="s">
        <v>379</v>
      </c>
      <c r="G525" s="279">
        <v>14137964.285714285</v>
      </c>
      <c r="H525" s="279">
        <v>14137964.285714285</v>
      </c>
      <c r="I525" s="132">
        <v>4623521.281258218</v>
      </c>
      <c r="J525" s="132">
        <v>498481.36130093073</v>
      </c>
      <c r="K525" s="132">
        <v>0</v>
      </c>
      <c r="L525" s="144">
        <f>CATEGORIAS[[#This Row],[ADICIONALES]]+CATEGORIAS[[#This Row],[POM]]+CATEGORIAS[[#This Row],[REAJUSTE 
PAGADO]]+CATEGORIAS[[#This Row],[REAJUSTE
PROYECTADO]]</f>
        <v>19259966.928273432</v>
      </c>
      <c r="M525" s="133">
        <v>14633670.355984872</v>
      </c>
      <c r="N525" s="222">
        <v>4626296.5722885579</v>
      </c>
      <c r="O525" s="142">
        <f>+CATEGORIAS[[#This Row],[PRODUCCION
PARTIDAS
ORIGINALES
ACTUAL]]+CATEGORIAS[[#This Row],[PRODUCCION
ADICIONALES
ACTUAL]]</f>
        <v>19259966.928273432</v>
      </c>
      <c r="P525" s="222">
        <v>14633670.355984872</v>
      </c>
      <c r="Q525" s="134">
        <v>4623521.281258218</v>
      </c>
      <c r="R525" s="141">
        <f>+CATEGORIAS[[#This Row],[PRODUCCION
ANTERIOR]]+CATEGORIAS[[#This Row],[PRODUCCION
ADICIONALES
ANTERIOR]]</f>
        <v>19257191.637243092</v>
      </c>
      <c r="S525" s="135">
        <v>10592171</v>
      </c>
      <c r="T525" s="135"/>
      <c r="U525" s="135">
        <v>0</v>
      </c>
      <c r="V525" s="262">
        <f>SUM(CATEGORIAS[[#This Row],[COSTO
ACUMULADO  AX]:[PROVISIONES]])</f>
        <v>10592171</v>
      </c>
      <c r="W525" s="264">
        <v>9903041</v>
      </c>
      <c r="X525" s="222"/>
      <c r="Y525" s="222">
        <v>1734924</v>
      </c>
      <c r="Z525" s="263">
        <f>SUM(CATEGORIAS[[#This Row],[COSTO ACUMULADO
ANTERIOR]:[PROVISIONES
ANTERIOR]])</f>
        <v>11637965</v>
      </c>
      <c r="AA525" s="338">
        <f>ABS(+CATEGORIAS[[#This Row],[PRESUPUESTO
FINAL
PROYECTADO]]-CATEGORIAS[[#This Row],[TOTAL PRODUCCION
ACTUAL]])</f>
        <v>0</v>
      </c>
      <c r="AB525" s="222"/>
      <c r="AC525" s="134"/>
      <c r="AD525" s="134">
        <v>0</v>
      </c>
      <c r="AE525" s="221">
        <f>SUM(CATEGORIAS[[#This Row],[INVENTARIO]:[PROYECCION
DE COSTO
DEL SALDO]])</f>
        <v>0</v>
      </c>
      <c r="AF525" s="134"/>
      <c r="AG525" s="134">
        <f>+CATEGORIAS[[#This Row],[PRESUPUESTO
FINAL
PROYECTADO]]-CATEGORIAS[[#This Row],[COSTO REAL]]-CATEGORIAS[[#This Row],[PROYECCION
TOTAL DE COSTO]]</f>
        <v>8667795.928273432</v>
      </c>
    </row>
    <row r="526" spans="1:33" x14ac:dyDescent="0.25">
      <c r="A526" s="245"/>
      <c r="B526" s="245"/>
      <c r="C526" s="245"/>
      <c r="D526" s="323" t="s">
        <v>2246</v>
      </c>
      <c r="E526" s="244" t="s">
        <v>1355</v>
      </c>
      <c r="F526" s="246" t="s">
        <v>376</v>
      </c>
      <c r="G526" s="279">
        <v>0</v>
      </c>
      <c r="H526" s="279">
        <v>0</v>
      </c>
      <c r="I526" s="132">
        <v>0</v>
      </c>
      <c r="J526" s="132">
        <v>0</v>
      </c>
      <c r="K526" s="132">
        <v>0</v>
      </c>
      <c r="L526" s="144">
        <f>CATEGORIAS[[#This Row],[ADICIONALES]]+CATEGORIAS[[#This Row],[POM]]+CATEGORIAS[[#This Row],[REAJUSTE 
PAGADO]]+CATEGORIAS[[#This Row],[REAJUSTE
PROYECTADO]]</f>
        <v>0</v>
      </c>
      <c r="M526" s="133">
        <v>0</v>
      </c>
      <c r="N526" s="222">
        <v>0</v>
      </c>
      <c r="O526" s="142">
        <f>+CATEGORIAS[[#This Row],[PRODUCCION
PARTIDAS
ORIGINALES
ACTUAL]]+CATEGORIAS[[#This Row],[PRODUCCION
ADICIONALES
ACTUAL]]</f>
        <v>0</v>
      </c>
      <c r="P526" s="222">
        <v>0</v>
      </c>
      <c r="Q526" s="222">
        <v>0</v>
      </c>
      <c r="R526" s="141">
        <f>+CATEGORIAS[[#This Row],[PRODUCCION
ANTERIOR]]+CATEGORIAS[[#This Row],[PRODUCCION
ADICIONALES
ANTERIOR]]</f>
        <v>0</v>
      </c>
      <c r="S526" s="135">
        <v>0</v>
      </c>
      <c r="T526" s="135"/>
      <c r="U526" s="135">
        <v>0</v>
      </c>
      <c r="V526" s="262">
        <f>SUM(CATEGORIAS[[#This Row],[COSTO
ACUMULADO  AX]:[PROVISIONES]])</f>
        <v>0</v>
      </c>
      <c r="W526" s="264">
        <v>0</v>
      </c>
      <c r="X526" s="222"/>
      <c r="Y526" s="222">
        <v>0</v>
      </c>
      <c r="Z526" s="263">
        <f>SUM(CATEGORIAS[[#This Row],[COSTO ACUMULADO
ANTERIOR]:[PROVISIONES
ANTERIOR]])</f>
        <v>0</v>
      </c>
      <c r="AA526" s="338">
        <f>ABS(+CATEGORIAS[[#This Row],[PRESUPUESTO
FINAL
PROYECTADO]]-CATEGORIAS[[#This Row],[TOTAL PRODUCCION
ACTUAL]])</f>
        <v>0</v>
      </c>
      <c r="AB526" s="222"/>
      <c r="AC526" s="134"/>
      <c r="AD526" s="134">
        <v>0</v>
      </c>
      <c r="AE526" s="221">
        <f>SUM(CATEGORIAS[[#This Row],[INVENTARIO]:[PROYECCION
DE COSTO
DEL SALDO]])</f>
        <v>0</v>
      </c>
      <c r="AF526" s="134"/>
      <c r="AG526" s="134">
        <f>+CATEGORIAS[[#This Row],[PRESUPUESTO
FINAL
PROYECTADO]]-CATEGORIAS[[#This Row],[COSTO REAL]]-CATEGORIAS[[#This Row],[PROYECCION
TOTAL DE COSTO]]</f>
        <v>0</v>
      </c>
    </row>
    <row r="527" spans="1:33" x14ac:dyDescent="0.25">
      <c r="A527" s="245" t="s">
        <v>139</v>
      </c>
      <c r="B527" s="14" t="s">
        <v>2412</v>
      </c>
      <c r="C527" s="14" t="s">
        <v>2428</v>
      </c>
      <c r="D527" s="323" t="s">
        <v>2247</v>
      </c>
      <c r="E527" s="244" t="s">
        <v>1357</v>
      </c>
      <c r="F527" s="246" t="s">
        <v>379</v>
      </c>
      <c r="G527" s="279">
        <v>39447434.040254258</v>
      </c>
      <c r="H527" s="279">
        <v>38513500.776254259</v>
      </c>
      <c r="I527" s="132">
        <v>21349593.680842672</v>
      </c>
      <c r="J527" s="132">
        <v>1357922.6759548807</v>
      </c>
      <c r="K527" s="132">
        <v>0</v>
      </c>
      <c r="L527" s="144">
        <f>CATEGORIAS[[#This Row],[ADICIONALES]]+CATEGORIAS[[#This Row],[POM]]+CATEGORIAS[[#This Row],[REAJUSTE 
PAGADO]]+CATEGORIAS[[#This Row],[REAJUSTE
PROYECTADO]]</f>
        <v>61221017.133051813</v>
      </c>
      <c r="M527" s="133">
        <v>39863863.228467487</v>
      </c>
      <c r="N527" s="222">
        <v>21357153.904584322</v>
      </c>
      <c r="O527" s="142">
        <f>+CATEGORIAS[[#This Row],[PRODUCCION
PARTIDAS
ORIGINALES
ACTUAL]]+CATEGORIAS[[#This Row],[PRODUCCION
ADICIONALES
ACTUAL]]</f>
        <v>61221017.133051813</v>
      </c>
      <c r="P527" s="222">
        <v>39863863.228467487</v>
      </c>
      <c r="Q527" s="222">
        <v>21349593.680842672</v>
      </c>
      <c r="R527" s="141">
        <f>+CATEGORIAS[[#This Row],[PRODUCCION
ANTERIOR]]+CATEGORIAS[[#This Row],[PRODUCCION
ADICIONALES
ANTERIOR]]</f>
        <v>61213456.909310162</v>
      </c>
      <c r="S527" s="135">
        <v>10309403</v>
      </c>
      <c r="T527" s="135"/>
      <c r="U527" s="135">
        <v>2315701</v>
      </c>
      <c r="V527" s="262">
        <f>SUM(CATEGORIAS[[#This Row],[COSTO
ACUMULADO  AX]:[PROVISIONES]])</f>
        <v>12625104</v>
      </c>
      <c r="W527" s="264">
        <v>10309403</v>
      </c>
      <c r="X527" s="222"/>
      <c r="Y527" s="222">
        <v>2315701</v>
      </c>
      <c r="Z527" s="263">
        <f>SUM(CATEGORIAS[[#This Row],[COSTO ACUMULADO
ANTERIOR]:[PROVISIONES
ANTERIOR]])</f>
        <v>12625104</v>
      </c>
      <c r="AA527" s="338">
        <f>ABS(+CATEGORIAS[[#This Row],[PRESUPUESTO
FINAL
PROYECTADO]]-CATEGORIAS[[#This Row],[TOTAL PRODUCCION
ACTUAL]])</f>
        <v>0</v>
      </c>
      <c r="AB527" s="222"/>
      <c r="AC527" s="134"/>
      <c r="AD527" s="134">
        <v>0</v>
      </c>
      <c r="AE527" s="221">
        <f>SUM(CATEGORIAS[[#This Row],[INVENTARIO]:[PROYECCION
DE COSTO
DEL SALDO]])</f>
        <v>0</v>
      </c>
      <c r="AF527" s="134"/>
      <c r="AG527" s="134">
        <f>+CATEGORIAS[[#This Row],[PRESUPUESTO
FINAL
PROYECTADO]]-CATEGORIAS[[#This Row],[COSTO REAL]]-CATEGORIAS[[#This Row],[PROYECCION
TOTAL DE COSTO]]</f>
        <v>48595913.133051813</v>
      </c>
    </row>
    <row r="528" spans="1:33" x14ac:dyDescent="0.25">
      <c r="A528" s="245"/>
      <c r="B528" s="245"/>
      <c r="C528" s="245"/>
      <c r="D528" s="323" t="s">
        <v>2248</v>
      </c>
      <c r="E528" s="244" t="s">
        <v>1359</v>
      </c>
      <c r="F528" s="246" t="s">
        <v>376</v>
      </c>
      <c r="G528" s="279">
        <v>0</v>
      </c>
      <c r="H528" s="279">
        <v>0</v>
      </c>
      <c r="I528" s="132">
        <v>0</v>
      </c>
      <c r="J528" s="132">
        <v>0</v>
      </c>
      <c r="K528" s="132">
        <v>0</v>
      </c>
      <c r="L528" s="144">
        <f>CATEGORIAS[[#This Row],[ADICIONALES]]+CATEGORIAS[[#This Row],[POM]]+CATEGORIAS[[#This Row],[REAJUSTE 
PAGADO]]+CATEGORIAS[[#This Row],[REAJUSTE
PROYECTADO]]</f>
        <v>0</v>
      </c>
      <c r="M528" s="133">
        <v>0</v>
      </c>
      <c r="N528" s="222">
        <v>0</v>
      </c>
      <c r="O528" s="142">
        <f>+CATEGORIAS[[#This Row],[PRODUCCION
PARTIDAS
ORIGINALES
ACTUAL]]+CATEGORIAS[[#This Row],[PRODUCCION
ADICIONALES
ACTUAL]]</f>
        <v>0</v>
      </c>
      <c r="P528" s="222">
        <v>0</v>
      </c>
      <c r="Q528" s="222">
        <v>0</v>
      </c>
      <c r="R528" s="141">
        <f>+CATEGORIAS[[#This Row],[PRODUCCION
ANTERIOR]]+CATEGORIAS[[#This Row],[PRODUCCION
ADICIONALES
ANTERIOR]]</f>
        <v>0</v>
      </c>
      <c r="S528" s="135">
        <v>0</v>
      </c>
      <c r="T528" s="135"/>
      <c r="U528" s="135">
        <v>0</v>
      </c>
      <c r="V528" s="262">
        <f>SUM(CATEGORIAS[[#This Row],[COSTO
ACUMULADO  AX]:[PROVISIONES]])</f>
        <v>0</v>
      </c>
      <c r="W528" s="264">
        <v>0</v>
      </c>
      <c r="X528" s="222"/>
      <c r="Y528" s="222">
        <v>0</v>
      </c>
      <c r="Z528" s="263">
        <f>SUM(CATEGORIAS[[#This Row],[COSTO ACUMULADO
ANTERIOR]:[PROVISIONES
ANTERIOR]])</f>
        <v>0</v>
      </c>
      <c r="AA528" s="338">
        <f>ABS(+CATEGORIAS[[#This Row],[PRESUPUESTO
FINAL
PROYECTADO]]-CATEGORIAS[[#This Row],[TOTAL PRODUCCION
ACTUAL]])</f>
        <v>0</v>
      </c>
      <c r="AB528" s="222"/>
      <c r="AC528" s="134"/>
      <c r="AD528" s="134">
        <v>0</v>
      </c>
      <c r="AE528" s="221">
        <f>SUM(CATEGORIAS[[#This Row],[INVENTARIO]:[PROYECCION
DE COSTO
DEL SALDO]])</f>
        <v>0</v>
      </c>
      <c r="AF528" s="134"/>
      <c r="AG528" s="134">
        <f>+CATEGORIAS[[#This Row],[PRESUPUESTO
FINAL
PROYECTADO]]-CATEGORIAS[[#This Row],[COSTO REAL]]-CATEGORIAS[[#This Row],[PROYECCION
TOTAL DE COSTO]]</f>
        <v>0</v>
      </c>
    </row>
    <row r="529" spans="1:33" x14ac:dyDescent="0.25">
      <c r="A529" s="245"/>
      <c r="B529" s="245"/>
      <c r="C529" s="245"/>
      <c r="D529" s="323" t="s">
        <v>2249</v>
      </c>
      <c r="E529" s="244" t="s">
        <v>1361</v>
      </c>
      <c r="F529" s="246" t="s">
        <v>376</v>
      </c>
      <c r="G529" s="279">
        <v>0</v>
      </c>
      <c r="H529" s="279">
        <v>0</v>
      </c>
      <c r="I529" s="132">
        <v>0</v>
      </c>
      <c r="J529" s="132">
        <v>0</v>
      </c>
      <c r="K529" s="132">
        <v>0</v>
      </c>
      <c r="L529" s="144">
        <f>CATEGORIAS[[#This Row],[ADICIONALES]]+CATEGORIAS[[#This Row],[POM]]+CATEGORIAS[[#This Row],[REAJUSTE 
PAGADO]]+CATEGORIAS[[#This Row],[REAJUSTE
PROYECTADO]]</f>
        <v>0</v>
      </c>
      <c r="M529" s="133">
        <v>0</v>
      </c>
      <c r="N529" s="222">
        <v>0</v>
      </c>
      <c r="O529" s="142">
        <f>+CATEGORIAS[[#This Row],[PRODUCCION
PARTIDAS
ORIGINALES
ACTUAL]]+CATEGORIAS[[#This Row],[PRODUCCION
ADICIONALES
ACTUAL]]</f>
        <v>0</v>
      </c>
      <c r="P529" s="222">
        <v>0</v>
      </c>
      <c r="Q529" s="134">
        <v>0</v>
      </c>
      <c r="R529" s="141">
        <f>+CATEGORIAS[[#This Row],[PRODUCCION
ANTERIOR]]+CATEGORIAS[[#This Row],[PRODUCCION
ADICIONALES
ANTERIOR]]</f>
        <v>0</v>
      </c>
      <c r="S529" s="135">
        <v>0</v>
      </c>
      <c r="T529" s="135"/>
      <c r="U529" s="135">
        <v>0</v>
      </c>
      <c r="V529" s="262">
        <f>SUM(CATEGORIAS[[#This Row],[COSTO
ACUMULADO  AX]:[PROVISIONES]])</f>
        <v>0</v>
      </c>
      <c r="W529" s="264">
        <v>0</v>
      </c>
      <c r="X529" s="222"/>
      <c r="Y529" s="222">
        <v>0</v>
      </c>
      <c r="Z529" s="263">
        <f>SUM(CATEGORIAS[[#This Row],[COSTO ACUMULADO
ANTERIOR]:[PROVISIONES
ANTERIOR]])</f>
        <v>0</v>
      </c>
      <c r="AA529" s="338">
        <f>ABS(+CATEGORIAS[[#This Row],[PRESUPUESTO
FINAL
PROYECTADO]]-CATEGORIAS[[#This Row],[TOTAL PRODUCCION
ACTUAL]])</f>
        <v>0</v>
      </c>
      <c r="AB529" s="222"/>
      <c r="AC529" s="134"/>
      <c r="AD529" s="134">
        <v>0</v>
      </c>
      <c r="AE529" s="221">
        <f>SUM(CATEGORIAS[[#This Row],[INVENTARIO]:[PROYECCION
DE COSTO
DEL SALDO]])</f>
        <v>0</v>
      </c>
      <c r="AF529" s="134"/>
      <c r="AG529" s="134">
        <f>+CATEGORIAS[[#This Row],[PRESUPUESTO
FINAL
PROYECTADO]]-CATEGORIAS[[#This Row],[COSTO REAL]]-CATEGORIAS[[#This Row],[PROYECCION
TOTAL DE COSTO]]</f>
        <v>0</v>
      </c>
    </row>
    <row r="530" spans="1:33" x14ac:dyDescent="0.25">
      <c r="A530" s="245" t="s">
        <v>139</v>
      </c>
      <c r="B530" s="14" t="s">
        <v>242</v>
      </c>
      <c r="C530" s="14" t="s">
        <v>2450</v>
      </c>
      <c r="D530" s="323" t="s">
        <v>2250</v>
      </c>
      <c r="E530" s="244" t="s">
        <v>1363</v>
      </c>
      <c r="F530" s="246" t="s">
        <v>376</v>
      </c>
      <c r="G530" s="279">
        <v>30843363.248571426</v>
      </c>
      <c r="H530" s="279">
        <v>28508530.088571429</v>
      </c>
      <c r="I530" s="132">
        <v>4523054.4004322197</v>
      </c>
      <c r="J530" s="132">
        <v>1005163.8694263158</v>
      </c>
      <c r="K530" s="132">
        <v>0</v>
      </c>
      <c r="L530" s="144">
        <f>CATEGORIAS[[#This Row],[ADICIONALES]]+CATEGORIAS[[#This Row],[POM]]+CATEGORIAS[[#This Row],[REAJUSTE 
PAGADO]]+CATEGORIAS[[#This Row],[REAJUSTE
PROYECTADO]]</f>
        <v>34036748.358429968</v>
      </c>
      <c r="M530" s="133">
        <v>29508097.716117077</v>
      </c>
      <c r="N530" s="222">
        <v>4528650.6423128899</v>
      </c>
      <c r="O530" s="142">
        <f>+CATEGORIAS[[#This Row],[PRODUCCION
PARTIDAS
ORIGINALES
ACTUAL]]+CATEGORIAS[[#This Row],[PRODUCCION
ADICIONALES
ACTUAL]]</f>
        <v>34036748.358429968</v>
      </c>
      <c r="P530" s="222">
        <v>29508097.716117077</v>
      </c>
      <c r="Q530" s="222">
        <v>4534798.4004322169</v>
      </c>
      <c r="R530" s="141">
        <f>+CATEGORIAS[[#This Row],[PRODUCCION
ANTERIOR]]+CATEGORIAS[[#This Row],[PRODUCCION
ADICIONALES
ANTERIOR]]</f>
        <v>34042896.116549291</v>
      </c>
      <c r="S530" s="135">
        <v>4544089</v>
      </c>
      <c r="T530" s="135"/>
      <c r="U530" s="135">
        <v>0</v>
      </c>
      <c r="V530" s="262">
        <f>SUM(CATEGORIAS[[#This Row],[COSTO
ACUMULADO  AX]:[PROVISIONES]])</f>
        <v>4544089</v>
      </c>
      <c r="W530" s="264">
        <v>4544089</v>
      </c>
      <c r="X530" s="222"/>
      <c r="Y530" s="222">
        <v>0</v>
      </c>
      <c r="Z530" s="263">
        <f>SUM(CATEGORIAS[[#This Row],[COSTO ACUMULADO
ANTERIOR]:[PROVISIONES
ANTERIOR]])</f>
        <v>4544089</v>
      </c>
      <c r="AA530" s="338">
        <f>ABS(+CATEGORIAS[[#This Row],[PRESUPUESTO
FINAL
PROYECTADO]]-CATEGORIAS[[#This Row],[TOTAL PRODUCCION
ACTUAL]])</f>
        <v>0</v>
      </c>
      <c r="AB530" s="222"/>
      <c r="AC530" s="134"/>
      <c r="AD530" s="134">
        <v>0</v>
      </c>
      <c r="AE530" s="221">
        <f>SUM(CATEGORIAS[[#This Row],[INVENTARIO]:[PROYECCION
DE COSTO
DEL SALDO]])</f>
        <v>0</v>
      </c>
      <c r="AF530" s="134"/>
      <c r="AG530" s="134">
        <f>+CATEGORIAS[[#This Row],[PRESUPUESTO
FINAL
PROYECTADO]]-CATEGORIAS[[#This Row],[COSTO REAL]]-CATEGORIAS[[#This Row],[PROYECCION
TOTAL DE COSTO]]</f>
        <v>29492659.358429968</v>
      </c>
    </row>
    <row r="531" spans="1:33" x14ac:dyDescent="0.25">
      <c r="A531" s="245" t="s">
        <v>139</v>
      </c>
      <c r="B531" s="245" t="s">
        <v>239</v>
      </c>
      <c r="C531" s="245" t="s">
        <v>1365</v>
      </c>
      <c r="D531" s="323" t="s">
        <v>2251</v>
      </c>
      <c r="E531" s="244" t="s">
        <v>1366</v>
      </c>
      <c r="F531" s="246" t="s">
        <v>379</v>
      </c>
      <c r="G531" s="279">
        <v>27440623.725000001</v>
      </c>
      <c r="H531" s="279">
        <v>18892845.44529843</v>
      </c>
      <c r="I531" s="132">
        <v>3651454.3017686037</v>
      </c>
      <c r="J531" s="132">
        <v>666130.64838030492</v>
      </c>
      <c r="K531" s="132">
        <v>0</v>
      </c>
      <c r="L531" s="144">
        <f>CATEGORIAS[[#This Row],[ADICIONALES]]+CATEGORIAS[[#This Row],[POM]]+CATEGORIAS[[#This Row],[REAJUSTE 
PAGADO]]+CATEGORIAS[[#This Row],[REAJUSTE
PROYECTADO]]</f>
        <v>23210430.39544734</v>
      </c>
      <c r="M531" s="133">
        <v>19555267.4165706</v>
      </c>
      <c r="N531" s="222">
        <v>3655162.9788767388</v>
      </c>
      <c r="O531" s="142">
        <f>+CATEGORIAS[[#This Row],[PRODUCCION
PARTIDAS
ORIGINALES
ACTUAL]]+CATEGORIAS[[#This Row],[PRODUCCION
ADICIONALES
ACTUAL]]</f>
        <v>23210430.39544734</v>
      </c>
      <c r="P531" s="222">
        <v>19555267.4165706</v>
      </c>
      <c r="Q531" s="222">
        <v>3651454.3017686037</v>
      </c>
      <c r="R531" s="141">
        <f>+CATEGORIAS[[#This Row],[PRODUCCION
ANTERIOR]]+CATEGORIAS[[#This Row],[PRODUCCION
ADICIONALES
ANTERIOR]]</f>
        <v>23206721.718339205</v>
      </c>
      <c r="S531" s="135">
        <v>18195059</v>
      </c>
      <c r="T531" s="135"/>
      <c r="U531" s="135">
        <v>0</v>
      </c>
      <c r="V531" s="262">
        <f>SUM(CATEGORIAS[[#This Row],[COSTO
ACUMULADO  AX]:[PROVISIONES]])</f>
        <v>18195059</v>
      </c>
      <c r="W531" s="264">
        <v>18177827</v>
      </c>
      <c r="X531" s="222"/>
      <c r="Y531" s="222">
        <v>0</v>
      </c>
      <c r="Z531" s="263">
        <f>SUM(CATEGORIAS[[#This Row],[COSTO ACUMULADO
ANTERIOR]:[PROVISIONES
ANTERIOR]])</f>
        <v>18177827</v>
      </c>
      <c r="AA531" s="338">
        <f>ABS(+CATEGORIAS[[#This Row],[PRESUPUESTO
FINAL
PROYECTADO]]-CATEGORIAS[[#This Row],[TOTAL PRODUCCION
ACTUAL]])</f>
        <v>0</v>
      </c>
      <c r="AB531" s="222"/>
      <c r="AC531" s="134"/>
      <c r="AD531" s="134">
        <v>0</v>
      </c>
      <c r="AE531" s="221">
        <f>SUM(CATEGORIAS[[#This Row],[INVENTARIO]:[PROYECCION
DE COSTO
DEL SALDO]])</f>
        <v>0</v>
      </c>
      <c r="AF531" s="134"/>
      <c r="AG531" s="134">
        <f>+CATEGORIAS[[#This Row],[PRESUPUESTO
FINAL
PROYECTADO]]-CATEGORIAS[[#This Row],[COSTO REAL]]-CATEGORIAS[[#This Row],[PROYECCION
TOTAL DE COSTO]]</f>
        <v>5015371.3954473399</v>
      </c>
    </row>
    <row r="532" spans="1:33" x14ac:dyDescent="0.25">
      <c r="A532" s="245"/>
      <c r="B532" s="245"/>
      <c r="C532" s="245"/>
      <c r="D532" s="323" t="s">
        <v>2252</v>
      </c>
      <c r="E532" s="244" t="s">
        <v>1368</v>
      </c>
      <c r="F532" s="246" t="s">
        <v>376</v>
      </c>
      <c r="G532" s="279">
        <v>0</v>
      </c>
      <c r="H532" s="279">
        <v>0</v>
      </c>
      <c r="I532" s="132">
        <v>0</v>
      </c>
      <c r="J532" s="132">
        <v>0</v>
      </c>
      <c r="K532" s="132">
        <v>0</v>
      </c>
      <c r="L532" s="144">
        <f>CATEGORIAS[[#This Row],[ADICIONALES]]+CATEGORIAS[[#This Row],[POM]]+CATEGORIAS[[#This Row],[REAJUSTE 
PAGADO]]+CATEGORIAS[[#This Row],[REAJUSTE
PROYECTADO]]</f>
        <v>0</v>
      </c>
      <c r="M532" s="133">
        <v>0</v>
      </c>
      <c r="N532" s="222">
        <v>0</v>
      </c>
      <c r="O532" s="142">
        <f>+CATEGORIAS[[#This Row],[PRODUCCION
PARTIDAS
ORIGINALES
ACTUAL]]+CATEGORIAS[[#This Row],[PRODUCCION
ADICIONALES
ACTUAL]]</f>
        <v>0</v>
      </c>
      <c r="P532" s="222">
        <v>0</v>
      </c>
      <c r="Q532" s="222">
        <v>0</v>
      </c>
      <c r="R532" s="141">
        <f>+CATEGORIAS[[#This Row],[PRODUCCION
ANTERIOR]]+CATEGORIAS[[#This Row],[PRODUCCION
ADICIONALES
ANTERIOR]]</f>
        <v>0</v>
      </c>
      <c r="S532" s="135">
        <v>0</v>
      </c>
      <c r="T532" s="135"/>
      <c r="U532" s="135">
        <v>0</v>
      </c>
      <c r="V532" s="262">
        <f>SUM(CATEGORIAS[[#This Row],[COSTO
ACUMULADO  AX]:[PROVISIONES]])</f>
        <v>0</v>
      </c>
      <c r="W532" s="264">
        <v>0</v>
      </c>
      <c r="X532" s="222"/>
      <c r="Y532" s="222">
        <v>0</v>
      </c>
      <c r="Z532" s="263">
        <f>SUM(CATEGORIAS[[#This Row],[COSTO ACUMULADO
ANTERIOR]:[PROVISIONES
ANTERIOR]])</f>
        <v>0</v>
      </c>
      <c r="AA532" s="338">
        <f>ABS(+CATEGORIAS[[#This Row],[PRESUPUESTO
FINAL
PROYECTADO]]-CATEGORIAS[[#This Row],[TOTAL PRODUCCION
ACTUAL]])</f>
        <v>0</v>
      </c>
      <c r="AB532" s="222"/>
      <c r="AC532" s="134"/>
      <c r="AD532" s="134">
        <v>0</v>
      </c>
      <c r="AE532" s="221">
        <f>SUM(CATEGORIAS[[#This Row],[INVENTARIO]:[PROYECCION
DE COSTO
DEL SALDO]])</f>
        <v>0</v>
      </c>
      <c r="AF532" s="134"/>
      <c r="AG532" s="134">
        <f>+CATEGORIAS[[#This Row],[PRESUPUESTO
FINAL
PROYECTADO]]-CATEGORIAS[[#This Row],[COSTO REAL]]-CATEGORIAS[[#This Row],[PROYECCION
TOTAL DE COSTO]]</f>
        <v>0</v>
      </c>
    </row>
    <row r="533" spans="1:33" x14ac:dyDescent="0.25">
      <c r="A533" s="245"/>
      <c r="B533" s="245"/>
      <c r="C533" s="245"/>
      <c r="D533" s="323" t="s">
        <v>2253</v>
      </c>
      <c r="E533" s="244" t="s">
        <v>1370</v>
      </c>
      <c r="F533" s="246" t="s">
        <v>376</v>
      </c>
      <c r="G533" s="279">
        <v>0</v>
      </c>
      <c r="H533" s="279">
        <v>0</v>
      </c>
      <c r="I533" s="132">
        <v>0</v>
      </c>
      <c r="J533" s="132">
        <v>0</v>
      </c>
      <c r="K533" s="132">
        <v>0</v>
      </c>
      <c r="L533" s="144">
        <f>CATEGORIAS[[#This Row],[ADICIONALES]]+CATEGORIAS[[#This Row],[POM]]+CATEGORIAS[[#This Row],[REAJUSTE 
PAGADO]]+CATEGORIAS[[#This Row],[REAJUSTE
PROYECTADO]]</f>
        <v>0</v>
      </c>
      <c r="M533" s="133">
        <v>0</v>
      </c>
      <c r="N533" s="222">
        <v>0</v>
      </c>
      <c r="O533" s="142">
        <f>+CATEGORIAS[[#This Row],[PRODUCCION
PARTIDAS
ORIGINALES
ACTUAL]]+CATEGORIAS[[#This Row],[PRODUCCION
ADICIONALES
ACTUAL]]</f>
        <v>0</v>
      </c>
      <c r="P533" s="222">
        <v>0</v>
      </c>
      <c r="Q533" s="222">
        <v>0</v>
      </c>
      <c r="R533" s="141">
        <f>+CATEGORIAS[[#This Row],[PRODUCCION
ANTERIOR]]+CATEGORIAS[[#This Row],[PRODUCCION
ADICIONALES
ANTERIOR]]</f>
        <v>0</v>
      </c>
      <c r="S533" s="135">
        <v>0</v>
      </c>
      <c r="T533" s="135"/>
      <c r="U533" s="135">
        <v>0</v>
      </c>
      <c r="V533" s="262">
        <f>SUM(CATEGORIAS[[#This Row],[COSTO
ACUMULADO  AX]:[PROVISIONES]])</f>
        <v>0</v>
      </c>
      <c r="W533" s="264">
        <v>0</v>
      </c>
      <c r="X533" s="222"/>
      <c r="Y533" s="222">
        <v>0</v>
      </c>
      <c r="Z533" s="263">
        <f>SUM(CATEGORIAS[[#This Row],[COSTO ACUMULADO
ANTERIOR]:[PROVISIONES
ANTERIOR]])</f>
        <v>0</v>
      </c>
      <c r="AA533" s="338">
        <f>ABS(+CATEGORIAS[[#This Row],[PRESUPUESTO
FINAL
PROYECTADO]]-CATEGORIAS[[#This Row],[TOTAL PRODUCCION
ACTUAL]])</f>
        <v>0</v>
      </c>
      <c r="AB533" s="222"/>
      <c r="AC533" s="134"/>
      <c r="AD533" s="134">
        <v>0</v>
      </c>
      <c r="AE533" s="221">
        <f>SUM(CATEGORIAS[[#This Row],[INVENTARIO]:[PROYECCION
DE COSTO
DEL SALDO]])</f>
        <v>0</v>
      </c>
      <c r="AF533" s="134"/>
      <c r="AG533" s="134">
        <f>+CATEGORIAS[[#This Row],[PRESUPUESTO
FINAL
PROYECTADO]]-CATEGORIAS[[#This Row],[COSTO REAL]]-CATEGORIAS[[#This Row],[PROYECCION
TOTAL DE COSTO]]</f>
        <v>0</v>
      </c>
    </row>
    <row r="534" spans="1:33" x14ac:dyDescent="0.25">
      <c r="A534" s="245"/>
      <c r="B534" s="245"/>
      <c r="C534" s="245"/>
      <c r="D534" s="323" t="s">
        <v>2254</v>
      </c>
      <c r="E534" s="244" t="s">
        <v>1372</v>
      </c>
      <c r="F534" s="246" t="s">
        <v>376</v>
      </c>
      <c r="G534" s="279">
        <v>0</v>
      </c>
      <c r="H534" s="279">
        <v>0</v>
      </c>
      <c r="I534" s="132">
        <v>0</v>
      </c>
      <c r="J534" s="132">
        <v>0</v>
      </c>
      <c r="K534" s="132">
        <v>0</v>
      </c>
      <c r="L534" s="144">
        <f>CATEGORIAS[[#This Row],[ADICIONALES]]+CATEGORIAS[[#This Row],[POM]]+CATEGORIAS[[#This Row],[REAJUSTE 
PAGADO]]+CATEGORIAS[[#This Row],[REAJUSTE
PROYECTADO]]</f>
        <v>0</v>
      </c>
      <c r="M534" s="133">
        <v>0</v>
      </c>
      <c r="N534" s="222">
        <v>0</v>
      </c>
      <c r="O534" s="142">
        <f>+CATEGORIAS[[#This Row],[PRODUCCION
PARTIDAS
ORIGINALES
ACTUAL]]+CATEGORIAS[[#This Row],[PRODUCCION
ADICIONALES
ACTUAL]]</f>
        <v>0</v>
      </c>
      <c r="P534" s="222">
        <v>0</v>
      </c>
      <c r="Q534" s="222">
        <v>0</v>
      </c>
      <c r="R534" s="141">
        <f>+CATEGORIAS[[#This Row],[PRODUCCION
ANTERIOR]]+CATEGORIAS[[#This Row],[PRODUCCION
ADICIONALES
ANTERIOR]]</f>
        <v>0</v>
      </c>
      <c r="S534" s="135">
        <v>0</v>
      </c>
      <c r="T534" s="135"/>
      <c r="U534" s="135">
        <v>0</v>
      </c>
      <c r="V534" s="262">
        <f>SUM(CATEGORIAS[[#This Row],[COSTO
ACUMULADO  AX]:[PROVISIONES]])</f>
        <v>0</v>
      </c>
      <c r="W534" s="264">
        <v>0</v>
      </c>
      <c r="X534" s="222"/>
      <c r="Y534" s="222">
        <v>0</v>
      </c>
      <c r="Z534" s="263">
        <f>SUM(CATEGORIAS[[#This Row],[COSTO ACUMULADO
ANTERIOR]:[PROVISIONES
ANTERIOR]])</f>
        <v>0</v>
      </c>
      <c r="AA534" s="338">
        <f>ABS(+CATEGORIAS[[#This Row],[PRESUPUESTO
FINAL
PROYECTADO]]-CATEGORIAS[[#This Row],[TOTAL PRODUCCION
ACTUAL]])</f>
        <v>0</v>
      </c>
      <c r="AB534" s="222"/>
      <c r="AC534" s="134"/>
      <c r="AD534" s="134">
        <v>0</v>
      </c>
      <c r="AE534" s="221">
        <f>SUM(CATEGORIAS[[#This Row],[INVENTARIO]:[PROYECCION
DE COSTO
DEL SALDO]])</f>
        <v>0</v>
      </c>
      <c r="AF534" s="134"/>
      <c r="AG534" s="134">
        <f>+CATEGORIAS[[#This Row],[PRESUPUESTO
FINAL
PROYECTADO]]-CATEGORIAS[[#This Row],[COSTO REAL]]-CATEGORIAS[[#This Row],[PROYECCION
TOTAL DE COSTO]]</f>
        <v>0</v>
      </c>
    </row>
    <row r="535" spans="1:33" x14ac:dyDescent="0.25">
      <c r="A535" s="245"/>
      <c r="B535" s="245"/>
      <c r="C535" s="245"/>
      <c r="D535" s="323" t="s">
        <v>2255</v>
      </c>
      <c r="E535" s="244" t="s">
        <v>1374</v>
      </c>
      <c r="F535" s="246" t="s">
        <v>376</v>
      </c>
      <c r="G535" s="279">
        <v>0</v>
      </c>
      <c r="H535" s="279">
        <v>0</v>
      </c>
      <c r="I535" s="132">
        <v>0</v>
      </c>
      <c r="J535" s="132">
        <v>0</v>
      </c>
      <c r="K535" s="132">
        <v>0</v>
      </c>
      <c r="L535" s="144">
        <f>CATEGORIAS[[#This Row],[ADICIONALES]]+CATEGORIAS[[#This Row],[POM]]+CATEGORIAS[[#This Row],[REAJUSTE 
PAGADO]]+CATEGORIAS[[#This Row],[REAJUSTE
PROYECTADO]]</f>
        <v>0</v>
      </c>
      <c r="M535" s="133">
        <v>0</v>
      </c>
      <c r="N535" s="222">
        <v>0</v>
      </c>
      <c r="O535" s="142">
        <f>+CATEGORIAS[[#This Row],[PRODUCCION
PARTIDAS
ORIGINALES
ACTUAL]]+CATEGORIAS[[#This Row],[PRODUCCION
ADICIONALES
ACTUAL]]</f>
        <v>0</v>
      </c>
      <c r="P535" s="222">
        <v>0</v>
      </c>
      <c r="Q535" s="222">
        <v>0</v>
      </c>
      <c r="R535" s="141">
        <f>+CATEGORIAS[[#This Row],[PRODUCCION
ANTERIOR]]+CATEGORIAS[[#This Row],[PRODUCCION
ADICIONALES
ANTERIOR]]</f>
        <v>0</v>
      </c>
      <c r="S535" s="135">
        <v>0</v>
      </c>
      <c r="T535" s="135"/>
      <c r="U535" s="135">
        <v>0</v>
      </c>
      <c r="V535" s="262">
        <f>SUM(CATEGORIAS[[#This Row],[COSTO
ACUMULADO  AX]:[PROVISIONES]])</f>
        <v>0</v>
      </c>
      <c r="W535" s="264">
        <v>0</v>
      </c>
      <c r="X535" s="222"/>
      <c r="Y535" s="222">
        <v>0</v>
      </c>
      <c r="Z535" s="263">
        <f>SUM(CATEGORIAS[[#This Row],[COSTO ACUMULADO
ANTERIOR]:[PROVISIONES
ANTERIOR]])</f>
        <v>0</v>
      </c>
      <c r="AA535" s="338">
        <f>ABS(+CATEGORIAS[[#This Row],[PRESUPUESTO
FINAL
PROYECTADO]]-CATEGORIAS[[#This Row],[TOTAL PRODUCCION
ACTUAL]])</f>
        <v>0</v>
      </c>
      <c r="AB535" s="222"/>
      <c r="AC535" s="134"/>
      <c r="AD535" s="134">
        <v>0</v>
      </c>
      <c r="AE535" s="221">
        <f>SUM(CATEGORIAS[[#This Row],[INVENTARIO]:[PROYECCION
DE COSTO
DEL SALDO]])</f>
        <v>0</v>
      </c>
      <c r="AF535" s="134"/>
      <c r="AG535" s="134">
        <f>+CATEGORIAS[[#This Row],[PRESUPUESTO
FINAL
PROYECTADO]]-CATEGORIAS[[#This Row],[COSTO REAL]]-CATEGORIAS[[#This Row],[PROYECCION
TOTAL DE COSTO]]</f>
        <v>0</v>
      </c>
    </row>
    <row r="536" spans="1:33" x14ac:dyDescent="0.25">
      <c r="A536" s="245"/>
      <c r="B536" s="245"/>
      <c r="C536" s="245"/>
      <c r="D536" s="323" t="s">
        <v>2256</v>
      </c>
      <c r="E536" s="244" t="s">
        <v>1376</v>
      </c>
      <c r="F536" s="246" t="s">
        <v>376</v>
      </c>
      <c r="G536" s="279">
        <v>0</v>
      </c>
      <c r="H536" s="279">
        <v>0</v>
      </c>
      <c r="I536" s="132">
        <v>0</v>
      </c>
      <c r="J536" s="132">
        <v>0</v>
      </c>
      <c r="K536" s="132">
        <v>0</v>
      </c>
      <c r="L536" s="144">
        <f>CATEGORIAS[[#This Row],[ADICIONALES]]+CATEGORIAS[[#This Row],[POM]]+CATEGORIAS[[#This Row],[REAJUSTE 
PAGADO]]+CATEGORIAS[[#This Row],[REAJUSTE
PROYECTADO]]</f>
        <v>0</v>
      </c>
      <c r="M536" s="133">
        <v>0</v>
      </c>
      <c r="N536" s="222">
        <v>0</v>
      </c>
      <c r="O536" s="142">
        <f>+CATEGORIAS[[#This Row],[PRODUCCION
PARTIDAS
ORIGINALES
ACTUAL]]+CATEGORIAS[[#This Row],[PRODUCCION
ADICIONALES
ACTUAL]]</f>
        <v>0</v>
      </c>
      <c r="P536" s="222">
        <v>0</v>
      </c>
      <c r="Q536" s="222">
        <v>0</v>
      </c>
      <c r="R536" s="141">
        <f>+CATEGORIAS[[#This Row],[PRODUCCION
ANTERIOR]]+CATEGORIAS[[#This Row],[PRODUCCION
ADICIONALES
ANTERIOR]]</f>
        <v>0</v>
      </c>
      <c r="S536" s="135">
        <v>0</v>
      </c>
      <c r="T536" s="135"/>
      <c r="U536" s="135">
        <v>0</v>
      </c>
      <c r="V536" s="262">
        <f>SUM(CATEGORIAS[[#This Row],[COSTO
ACUMULADO  AX]:[PROVISIONES]])</f>
        <v>0</v>
      </c>
      <c r="W536" s="264">
        <v>0</v>
      </c>
      <c r="X536" s="222"/>
      <c r="Y536" s="222">
        <v>0</v>
      </c>
      <c r="Z536" s="263">
        <f>SUM(CATEGORIAS[[#This Row],[COSTO ACUMULADO
ANTERIOR]:[PROVISIONES
ANTERIOR]])</f>
        <v>0</v>
      </c>
      <c r="AA536" s="338">
        <f>ABS(+CATEGORIAS[[#This Row],[PRESUPUESTO
FINAL
PROYECTADO]]-CATEGORIAS[[#This Row],[TOTAL PRODUCCION
ACTUAL]])</f>
        <v>0</v>
      </c>
      <c r="AB536" s="222"/>
      <c r="AC536" s="134"/>
      <c r="AD536" s="134">
        <v>0</v>
      </c>
      <c r="AE536" s="221">
        <f>SUM(CATEGORIAS[[#This Row],[INVENTARIO]:[PROYECCION
DE COSTO
DEL SALDO]])</f>
        <v>0</v>
      </c>
      <c r="AF536" s="134"/>
      <c r="AG536" s="134">
        <f>+CATEGORIAS[[#This Row],[PRESUPUESTO
FINAL
PROYECTADO]]-CATEGORIAS[[#This Row],[COSTO REAL]]-CATEGORIAS[[#This Row],[PROYECCION
TOTAL DE COSTO]]</f>
        <v>0</v>
      </c>
    </row>
    <row r="537" spans="1:33" x14ac:dyDescent="0.25">
      <c r="A537" s="245"/>
      <c r="B537" s="245"/>
      <c r="C537" s="245"/>
      <c r="D537" s="323" t="s">
        <v>2257</v>
      </c>
      <c r="E537" s="244" t="s">
        <v>1378</v>
      </c>
      <c r="F537" s="246" t="s">
        <v>376</v>
      </c>
      <c r="G537" s="279">
        <v>0</v>
      </c>
      <c r="H537" s="279">
        <v>0</v>
      </c>
      <c r="I537" s="132">
        <v>0</v>
      </c>
      <c r="J537" s="132">
        <v>0</v>
      </c>
      <c r="K537" s="132">
        <v>0</v>
      </c>
      <c r="L537" s="144">
        <f>CATEGORIAS[[#This Row],[ADICIONALES]]+CATEGORIAS[[#This Row],[POM]]+CATEGORIAS[[#This Row],[REAJUSTE 
PAGADO]]+CATEGORIAS[[#This Row],[REAJUSTE
PROYECTADO]]</f>
        <v>0</v>
      </c>
      <c r="M537" s="133">
        <v>0</v>
      </c>
      <c r="N537" s="222">
        <v>0</v>
      </c>
      <c r="O537" s="142">
        <f>+CATEGORIAS[[#This Row],[PRODUCCION
PARTIDAS
ORIGINALES
ACTUAL]]+CATEGORIAS[[#This Row],[PRODUCCION
ADICIONALES
ACTUAL]]</f>
        <v>0</v>
      </c>
      <c r="P537" s="222">
        <v>0</v>
      </c>
      <c r="Q537" s="222">
        <v>0</v>
      </c>
      <c r="R537" s="141">
        <f>+CATEGORIAS[[#This Row],[PRODUCCION
ANTERIOR]]+CATEGORIAS[[#This Row],[PRODUCCION
ADICIONALES
ANTERIOR]]</f>
        <v>0</v>
      </c>
      <c r="S537" s="135">
        <v>0</v>
      </c>
      <c r="T537" s="135"/>
      <c r="U537" s="135">
        <v>0</v>
      </c>
      <c r="V537" s="262">
        <f>SUM(CATEGORIAS[[#This Row],[COSTO
ACUMULADO  AX]:[PROVISIONES]])</f>
        <v>0</v>
      </c>
      <c r="W537" s="264">
        <v>0</v>
      </c>
      <c r="X537" s="222"/>
      <c r="Y537" s="222">
        <v>0</v>
      </c>
      <c r="Z537" s="263">
        <f>SUM(CATEGORIAS[[#This Row],[COSTO ACUMULADO
ANTERIOR]:[PROVISIONES
ANTERIOR]])</f>
        <v>0</v>
      </c>
      <c r="AA537" s="338">
        <f>ABS(+CATEGORIAS[[#This Row],[PRESUPUESTO
FINAL
PROYECTADO]]-CATEGORIAS[[#This Row],[TOTAL PRODUCCION
ACTUAL]])</f>
        <v>0</v>
      </c>
      <c r="AB537" s="222"/>
      <c r="AC537" s="134"/>
      <c r="AD537" s="134">
        <v>0</v>
      </c>
      <c r="AE537" s="221">
        <f>SUM(CATEGORIAS[[#This Row],[INVENTARIO]:[PROYECCION
DE COSTO
DEL SALDO]])</f>
        <v>0</v>
      </c>
      <c r="AF537" s="134"/>
      <c r="AG537" s="134">
        <f>+CATEGORIAS[[#This Row],[PRESUPUESTO
FINAL
PROYECTADO]]-CATEGORIAS[[#This Row],[COSTO REAL]]-CATEGORIAS[[#This Row],[PROYECCION
TOTAL DE COSTO]]</f>
        <v>0</v>
      </c>
    </row>
    <row r="538" spans="1:33" x14ac:dyDescent="0.25">
      <c r="A538" s="245"/>
      <c r="B538" s="245"/>
      <c r="C538" s="245"/>
      <c r="D538" s="323" t="s">
        <v>2258</v>
      </c>
      <c r="E538" s="244" t="s">
        <v>1380</v>
      </c>
      <c r="F538" s="246" t="s">
        <v>376</v>
      </c>
      <c r="G538" s="279">
        <v>0</v>
      </c>
      <c r="H538" s="279">
        <v>0</v>
      </c>
      <c r="I538" s="132">
        <v>0</v>
      </c>
      <c r="J538" s="132">
        <v>0</v>
      </c>
      <c r="K538" s="132">
        <v>0</v>
      </c>
      <c r="L538" s="144">
        <f>CATEGORIAS[[#This Row],[ADICIONALES]]+CATEGORIAS[[#This Row],[POM]]+CATEGORIAS[[#This Row],[REAJUSTE 
PAGADO]]+CATEGORIAS[[#This Row],[REAJUSTE
PROYECTADO]]</f>
        <v>0</v>
      </c>
      <c r="M538" s="133">
        <v>0</v>
      </c>
      <c r="N538" s="222">
        <v>0</v>
      </c>
      <c r="O538" s="142">
        <f>+CATEGORIAS[[#This Row],[PRODUCCION
PARTIDAS
ORIGINALES
ACTUAL]]+CATEGORIAS[[#This Row],[PRODUCCION
ADICIONALES
ACTUAL]]</f>
        <v>0</v>
      </c>
      <c r="P538" s="222">
        <v>0</v>
      </c>
      <c r="Q538" s="134">
        <v>0</v>
      </c>
      <c r="R538" s="141">
        <f>+CATEGORIAS[[#This Row],[PRODUCCION
ANTERIOR]]+CATEGORIAS[[#This Row],[PRODUCCION
ADICIONALES
ANTERIOR]]</f>
        <v>0</v>
      </c>
      <c r="S538" s="135">
        <v>0</v>
      </c>
      <c r="T538" s="135"/>
      <c r="U538" s="135">
        <v>0</v>
      </c>
      <c r="V538" s="262">
        <f>SUM(CATEGORIAS[[#This Row],[COSTO
ACUMULADO  AX]:[PROVISIONES]])</f>
        <v>0</v>
      </c>
      <c r="W538" s="264">
        <v>0</v>
      </c>
      <c r="X538" s="222"/>
      <c r="Y538" s="222">
        <v>0</v>
      </c>
      <c r="Z538" s="263">
        <f>SUM(CATEGORIAS[[#This Row],[COSTO ACUMULADO
ANTERIOR]:[PROVISIONES
ANTERIOR]])</f>
        <v>0</v>
      </c>
      <c r="AA538" s="338">
        <f>ABS(+CATEGORIAS[[#This Row],[PRESUPUESTO
FINAL
PROYECTADO]]-CATEGORIAS[[#This Row],[TOTAL PRODUCCION
ACTUAL]])</f>
        <v>0</v>
      </c>
      <c r="AB538" s="222"/>
      <c r="AC538" s="134"/>
      <c r="AD538" s="134">
        <v>0</v>
      </c>
      <c r="AE538" s="221">
        <f>SUM(CATEGORIAS[[#This Row],[INVENTARIO]:[PROYECCION
DE COSTO
DEL SALDO]])</f>
        <v>0</v>
      </c>
      <c r="AF538" s="134"/>
      <c r="AG538" s="134">
        <f>+CATEGORIAS[[#This Row],[PRESUPUESTO
FINAL
PROYECTADO]]-CATEGORIAS[[#This Row],[COSTO REAL]]-CATEGORIAS[[#This Row],[PROYECCION
TOTAL DE COSTO]]</f>
        <v>0</v>
      </c>
    </row>
    <row r="539" spans="1:33" x14ac:dyDescent="0.25">
      <c r="A539" s="245"/>
      <c r="B539" s="245"/>
      <c r="C539" s="245"/>
      <c r="D539" s="323" t="s">
        <v>2259</v>
      </c>
      <c r="E539" s="244" t="s">
        <v>1382</v>
      </c>
      <c r="F539" s="246" t="s">
        <v>376</v>
      </c>
      <c r="G539" s="279">
        <v>0</v>
      </c>
      <c r="H539" s="279">
        <v>0</v>
      </c>
      <c r="I539" s="132">
        <v>0</v>
      </c>
      <c r="J539" s="132">
        <v>0</v>
      </c>
      <c r="K539" s="132">
        <v>0</v>
      </c>
      <c r="L539" s="144">
        <f>CATEGORIAS[[#This Row],[ADICIONALES]]+CATEGORIAS[[#This Row],[POM]]+CATEGORIAS[[#This Row],[REAJUSTE 
PAGADO]]+CATEGORIAS[[#This Row],[REAJUSTE
PROYECTADO]]</f>
        <v>0</v>
      </c>
      <c r="M539" s="133">
        <v>0</v>
      </c>
      <c r="N539" s="222">
        <v>0</v>
      </c>
      <c r="O539" s="142">
        <f>+CATEGORIAS[[#This Row],[PRODUCCION
PARTIDAS
ORIGINALES
ACTUAL]]+CATEGORIAS[[#This Row],[PRODUCCION
ADICIONALES
ACTUAL]]</f>
        <v>0</v>
      </c>
      <c r="P539" s="222">
        <v>0</v>
      </c>
      <c r="Q539" s="222">
        <v>0</v>
      </c>
      <c r="R539" s="141">
        <f>+CATEGORIAS[[#This Row],[PRODUCCION
ANTERIOR]]+CATEGORIAS[[#This Row],[PRODUCCION
ADICIONALES
ANTERIOR]]</f>
        <v>0</v>
      </c>
      <c r="S539" s="135">
        <v>0</v>
      </c>
      <c r="T539" s="135"/>
      <c r="U539" s="135">
        <v>0</v>
      </c>
      <c r="V539" s="262">
        <f>SUM(CATEGORIAS[[#This Row],[COSTO
ACUMULADO  AX]:[PROVISIONES]])</f>
        <v>0</v>
      </c>
      <c r="W539" s="264">
        <v>0</v>
      </c>
      <c r="X539" s="222"/>
      <c r="Y539" s="222">
        <v>0</v>
      </c>
      <c r="Z539" s="263">
        <f>SUM(CATEGORIAS[[#This Row],[COSTO ACUMULADO
ANTERIOR]:[PROVISIONES
ANTERIOR]])</f>
        <v>0</v>
      </c>
      <c r="AA539" s="338">
        <f>ABS(+CATEGORIAS[[#This Row],[PRESUPUESTO
FINAL
PROYECTADO]]-CATEGORIAS[[#This Row],[TOTAL PRODUCCION
ACTUAL]])</f>
        <v>0</v>
      </c>
      <c r="AB539" s="222"/>
      <c r="AC539" s="134"/>
      <c r="AD539" s="134">
        <v>0</v>
      </c>
      <c r="AE539" s="221">
        <f>SUM(CATEGORIAS[[#This Row],[INVENTARIO]:[PROYECCION
DE COSTO
DEL SALDO]])</f>
        <v>0</v>
      </c>
      <c r="AF539" s="134"/>
      <c r="AG539" s="134">
        <f>+CATEGORIAS[[#This Row],[PRESUPUESTO
FINAL
PROYECTADO]]-CATEGORIAS[[#This Row],[COSTO REAL]]-CATEGORIAS[[#This Row],[PROYECCION
TOTAL DE COSTO]]</f>
        <v>0</v>
      </c>
    </row>
    <row r="540" spans="1:33" x14ac:dyDescent="0.25">
      <c r="A540" s="245"/>
      <c r="B540" s="245"/>
      <c r="C540" s="245"/>
      <c r="D540" s="323" t="s">
        <v>2260</v>
      </c>
      <c r="E540" s="244" t="s">
        <v>1384</v>
      </c>
      <c r="F540" s="246" t="s">
        <v>379</v>
      </c>
      <c r="G540" s="279">
        <v>0</v>
      </c>
      <c r="H540" s="279">
        <v>0</v>
      </c>
      <c r="I540" s="132">
        <v>0</v>
      </c>
      <c r="J540" s="132">
        <v>0</v>
      </c>
      <c r="K540" s="132">
        <v>0</v>
      </c>
      <c r="L540" s="144">
        <f>CATEGORIAS[[#This Row],[ADICIONALES]]+CATEGORIAS[[#This Row],[POM]]+CATEGORIAS[[#This Row],[REAJUSTE 
PAGADO]]+CATEGORIAS[[#This Row],[REAJUSTE
PROYECTADO]]</f>
        <v>0</v>
      </c>
      <c r="M540" s="133">
        <v>0</v>
      </c>
      <c r="N540" s="222">
        <v>0</v>
      </c>
      <c r="O540" s="142">
        <f>+CATEGORIAS[[#This Row],[PRODUCCION
PARTIDAS
ORIGINALES
ACTUAL]]+CATEGORIAS[[#This Row],[PRODUCCION
ADICIONALES
ACTUAL]]</f>
        <v>0</v>
      </c>
      <c r="P540" s="222">
        <v>0</v>
      </c>
      <c r="Q540" s="222">
        <v>0</v>
      </c>
      <c r="R540" s="141">
        <f>+CATEGORIAS[[#This Row],[PRODUCCION
ANTERIOR]]+CATEGORIAS[[#This Row],[PRODUCCION
ADICIONALES
ANTERIOR]]</f>
        <v>0</v>
      </c>
      <c r="S540" s="135">
        <v>0</v>
      </c>
      <c r="T540" s="135"/>
      <c r="U540" s="135">
        <v>0</v>
      </c>
      <c r="V540" s="262">
        <f>SUM(CATEGORIAS[[#This Row],[COSTO
ACUMULADO  AX]:[PROVISIONES]])</f>
        <v>0</v>
      </c>
      <c r="W540" s="264">
        <v>0</v>
      </c>
      <c r="X540" s="222"/>
      <c r="Y540" s="222">
        <v>0</v>
      </c>
      <c r="Z540" s="263">
        <f>SUM(CATEGORIAS[[#This Row],[COSTO ACUMULADO
ANTERIOR]:[PROVISIONES
ANTERIOR]])</f>
        <v>0</v>
      </c>
      <c r="AA540" s="338">
        <f>ABS(+CATEGORIAS[[#This Row],[PRESUPUESTO
FINAL
PROYECTADO]]-CATEGORIAS[[#This Row],[TOTAL PRODUCCION
ACTUAL]])</f>
        <v>0</v>
      </c>
      <c r="AB540" s="222"/>
      <c r="AC540" s="134"/>
      <c r="AD540" s="134">
        <v>0</v>
      </c>
      <c r="AE540" s="221">
        <f>SUM(CATEGORIAS[[#This Row],[INVENTARIO]:[PROYECCION
DE COSTO
DEL SALDO]])</f>
        <v>0</v>
      </c>
      <c r="AF540" s="134"/>
      <c r="AG540" s="134">
        <f>+CATEGORIAS[[#This Row],[PRESUPUESTO
FINAL
PROYECTADO]]-CATEGORIAS[[#This Row],[COSTO REAL]]-CATEGORIAS[[#This Row],[PROYECCION
TOTAL DE COSTO]]</f>
        <v>0</v>
      </c>
    </row>
    <row r="541" spans="1:33" x14ac:dyDescent="0.25">
      <c r="A541" s="245"/>
      <c r="B541" s="245"/>
      <c r="C541" s="245"/>
      <c r="D541" s="323" t="s">
        <v>2261</v>
      </c>
      <c r="E541" s="244" t="s">
        <v>1386</v>
      </c>
      <c r="F541" s="246" t="s">
        <v>376</v>
      </c>
      <c r="G541" s="279">
        <v>0</v>
      </c>
      <c r="H541" s="279">
        <v>0</v>
      </c>
      <c r="I541" s="132">
        <v>0</v>
      </c>
      <c r="J541" s="132">
        <v>0</v>
      </c>
      <c r="K541" s="132">
        <v>0</v>
      </c>
      <c r="L541" s="144">
        <f>CATEGORIAS[[#This Row],[ADICIONALES]]+CATEGORIAS[[#This Row],[POM]]+CATEGORIAS[[#This Row],[REAJUSTE 
PAGADO]]+CATEGORIAS[[#This Row],[REAJUSTE
PROYECTADO]]</f>
        <v>0</v>
      </c>
      <c r="M541" s="133">
        <v>0</v>
      </c>
      <c r="N541" s="222">
        <v>0</v>
      </c>
      <c r="O541" s="142">
        <f>+CATEGORIAS[[#This Row],[PRODUCCION
PARTIDAS
ORIGINALES
ACTUAL]]+CATEGORIAS[[#This Row],[PRODUCCION
ADICIONALES
ACTUAL]]</f>
        <v>0</v>
      </c>
      <c r="P541" s="134">
        <v>0</v>
      </c>
      <c r="Q541" s="134">
        <v>0</v>
      </c>
      <c r="R541" s="141">
        <f>+CATEGORIAS[[#This Row],[PRODUCCION
ANTERIOR]]+CATEGORIAS[[#This Row],[PRODUCCION
ADICIONALES
ANTERIOR]]</f>
        <v>0</v>
      </c>
      <c r="S541" s="135">
        <v>0</v>
      </c>
      <c r="T541" s="135"/>
      <c r="U541" s="135">
        <v>0</v>
      </c>
      <c r="V541" s="142">
        <f>SUM(CATEGORIAS[[#This Row],[COSTO
ACUMULADO  AX]:[PROVISIONES]])</f>
        <v>0</v>
      </c>
      <c r="W541" s="136">
        <v>0</v>
      </c>
      <c r="X541" s="134"/>
      <c r="Y541" s="134">
        <v>0</v>
      </c>
      <c r="Z541" s="141">
        <f>SUM(CATEGORIAS[[#This Row],[COSTO ACUMULADO
ANTERIOR]:[PROVISIONES
ANTERIOR]])</f>
        <v>0</v>
      </c>
      <c r="AA541" s="338">
        <f>ABS(+CATEGORIAS[[#This Row],[PRESUPUESTO
FINAL
PROYECTADO]]-CATEGORIAS[[#This Row],[TOTAL PRODUCCION
ACTUAL]])</f>
        <v>0</v>
      </c>
      <c r="AB541" s="222"/>
      <c r="AC541" s="134"/>
      <c r="AD541" s="134">
        <v>0</v>
      </c>
      <c r="AE541" s="139">
        <f>SUM(CATEGORIAS[[#This Row],[INVENTARIO]:[PROYECCION
DE COSTO
DEL SALDO]])</f>
        <v>0</v>
      </c>
      <c r="AF541" s="134"/>
      <c r="AG541" s="134">
        <f>+CATEGORIAS[[#This Row],[PRESUPUESTO
FINAL
PROYECTADO]]-CATEGORIAS[[#This Row],[COSTO REAL]]-CATEGORIAS[[#This Row],[PROYECCION
TOTAL DE COSTO]]</f>
        <v>0</v>
      </c>
    </row>
    <row r="542" spans="1:33" x14ac:dyDescent="0.25">
      <c r="A542" s="245"/>
      <c r="B542" s="245"/>
      <c r="C542" s="245"/>
      <c r="D542" s="323" t="s">
        <v>2262</v>
      </c>
      <c r="E542" s="244" t="s">
        <v>1388</v>
      </c>
      <c r="F542" s="246" t="s">
        <v>376</v>
      </c>
      <c r="G542" s="279">
        <v>0</v>
      </c>
      <c r="H542" s="279">
        <v>0</v>
      </c>
      <c r="I542" s="132">
        <v>0</v>
      </c>
      <c r="J542" s="132">
        <v>0</v>
      </c>
      <c r="K542" s="132">
        <v>0</v>
      </c>
      <c r="L542" s="144">
        <f>CATEGORIAS[[#This Row],[ADICIONALES]]+CATEGORIAS[[#This Row],[POM]]+CATEGORIAS[[#This Row],[REAJUSTE 
PAGADO]]+CATEGORIAS[[#This Row],[REAJUSTE
PROYECTADO]]</f>
        <v>0</v>
      </c>
      <c r="M542" s="133">
        <v>0</v>
      </c>
      <c r="N542" s="222">
        <v>0</v>
      </c>
      <c r="O542" s="142">
        <f>+CATEGORIAS[[#This Row],[PRODUCCION
PARTIDAS
ORIGINALES
ACTUAL]]+CATEGORIAS[[#This Row],[PRODUCCION
ADICIONALES
ACTUAL]]</f>
        <v>0</v>
      </c>
      <c r="P542" s="134">
        <v>0</v>
      </c>
      <c r="Q542" s="222">
        <v>0</v>
      </c>
      <c r="R542" s="141">
        <f>+CATEGORIAS[[#This Row],[PRODUCCION
ANTERIOR]]+CATEGORIAS[[#This Row],[PRODUCCION
ADICIONALES
ANTERIOR]]</f>
        <v>0</v>
      </c>
      <c r="S542" s="135">
        <v>0</v>
      </c>
      <c r="T542" s="135"/>
      <c r="U542" s="135">
        <v>0</v>
      </c>
      <c r="V542" s="142">
        <f>SUM(CATEGORIAS[[#This Row],[COSTO
ACUMULADO  AX]:[PROVISIONES]])</f>
        <v>0</v>
      </c>
      <c r="W542" s="136">
        <v>0</v>
      </c>
      <c r="X542" s="134"/>
      <c r="Y542" s="134">
        <v>0</v>
      </c>
      <c r="Z542" s="141">
        <f>SUM(CATEGORIAS[[#This Row],[COSTO ACUMULADO
ANTERIOR]:[PROVISIONES
ANTERIOR]])</f>
        <v>0</v>
      </c>
      <c r="AA542" s="338">
        <f>ABS(+CATEGORIAS[[#This Row],[PRESUPUESTO
FINAL
PROYECTADO]]-CATEGORIAS[[#This Row],[TOTAL PRODUCCION
ACTUAL]])</f>
        <v>0</v>
      </c>
      <c r="AB542" s="222"/>
      <c r="AC542" s="134"/>
      <c r="AD542" s="134">
        <v>0</v>
      </c>
      <c r="AE542" s="139">
        <f>SUM(CATEGORIAS[[#This Row],[INVENTARIO]:[PROYECCION
DE COSTO
DEL SALDO]])</f>
        <v>0</v>
      </c>
      <c r="AF542" s="134"/>
      <c r="AG542" s="134">
        <f>+CATEGORIAS[[#This Row],[PRESUPUESTO
FINAL
PROYECTADO]]-CATEGORIAS[[#This Row],[COSTO REAL]]-CATEGORIAS[[#This Row],[PROYECCION
TOTAL DE COSTO]]</f>
        <v>0</v>
      </c>
    </row>
    <row r="543" spans="1:33" x14ac:dyDescent="0.25">
      <c r="A543" s="245" t="s">
        <v>139</v>
      </c>
      <c r="B543" s="245" t="s">
        <v>238</v>
      </c>
      <c r="C543" s="245" t="s">
        <v>2388</v>
      </c>
      <c r="D543" s="323" t="s">
        <v>2263</v>
      </c>
      <c r="E543" s="246" t="s">
        <v>1390</v>
      </c>
      <c r="F543" s="246" t="s">
        <v>379</v>
      </c>
      <c r="G543" s="280">
        <v>28117952.319629576</v>
      </c>
      <c r="H543" s="280">
        <v>28117952.319629576</v>
      </c>
      <c r="I543" s="132">
        <v>9505437.3686913811</v>
      </c>
      <c r="J543" s="132">
        <v>991392.73986187449</v>
      </c>
      <c r="K543" s="132">
        <v>0</v>
      </c>
      <c r="L543" s="144">
        <f>CATEGORIAS[[#This Row],[ADICIONALES]]+CATEGORIAS[[#This Row],[POM]]+CATEGORIAS[[#This Row],[REAJUSTE 
PAGADO]]+CATEGORIAS[[#This Row],[REAJUSTE
PROYECTADO]]</f>
        <v>38614782.428182833</v>
      </c>
      <c r="M543" s="133">
        <v>29103825.48826554</v>
      </c>
      <c r="N543" s="222">
        <v>9510956.9399172924</v>
      </c>
      <c r="O543" s="142">
        <f>+CATEGORIAS[[#This Row],[PRODUCCION
PARTIDAS
ORIGINALES
ACTUAL]]+CATEGORIAS[[#This Row],[PRODUCCION
ADICIONALES
ACTUAL]]</f>
        <v>38614782.428182833</v>
      </c>
      <c r="P543" s="222">
        <v>29103825.48826554</v>
      </c>
      <c r="Q543" s="222">
        <v>9505437.3686913811</v>
      </c>
      <c r="R543" s="141">
        <f>+CATEGORIAS[[#This Row],[PRODUCCION
ANTERIOR]]+CATEGORIAS[[#This Row],[PRODUCCION
ADICIONALES
ANTERIOR]]</f>
        <v>38609262.856956922</v>
      </c>
      <c r="S543" s="135">
        <v>74384999</v>
      </c>
      <c r="T543" s="135"/>
      <c r="U543" s="135">
        <v>1128000</v>
      </c>
      <c r="V543" s="142">
        <f>SUM(CATEGORIAS[[#This Row],[COSTO
ACUMULADO  AX]:[PROVISIONES]])</f>
        <v>75512999</v>
      </c>
      <c r="W543" s="136">
        <v>68045781</v>
      </c>
      <c r="X543" s="134"/>
      <c r="Y543" s="134">
        <v>1880000</v>
      </c>
      <c r="Z543" s="141">
        <f>SUM(CATEGORIAS[[#This Row],[COSTO ACUMULADO
ANTERIOR]:[PROVISIONES
ANTERIOR]])</f>
        <v>69925781</v>
      </c>
      <c r="AA543" s="338">
        <f>ABS(+CATEGORIAS[[#This Row],[PRESUPUESTO
FINAL
PROYECTADO]]-CATEGORIAS[[#This Row],[TOTAL PRODUCCION
ACTUAL]])</f>
        <v>0</v>
      </c>
      <c r="AB543" s="222"/>
      <c r="AC543" s="134"/>
      <c r="AD543" s="134">
        <v>0</v>
      </c>
      <c r="AE543" s="139">
        <f>SUM(CATEGORIAS[[#This Row],[INVENTARIO]:[PROYECCION
DE COSTO
DEL SALDO]])</f>
        <v>0</v>
      </c>
      <c r="AF543" s="134"/>
      <c r="AG543" s="134">
        <f>+CATEGORIAS[[#This Row],[PRESUPUESTO
FINAL
PROYECTADO]]-CATEGORIAS[[#This Row],[COSTO REAL]]-CATEGORIAS[[#This Row],[PROYECCION
TOTAL DE COSTO]]</f>
        <v>-36898216.571817167</v>
      </c>
    </row>
    <row r="544" spans="1:33" x14ac:dyDescent="0.25">
      <c r="A544" s="245"/>
      <c r="B544" s="245"/>
      <c r="C544" s="245"/>
      <c r="D544" s="323" t="s">
        <v>2264</v>
      </c>
      <c r="E544" s="244" t="s">
        <v>1392</v>
      </c>
      <c r="F544" s="246" t="s">
        <v>376</v>
      </c>
      <c r="G544" s="279">
        <v>0</v>
      </c>
      <c r="H544" s="279">
        <v>0</v>
      </c>
      <c r="I544" s="132">
        <v>0</v>
      </c>
      <c r="J544" s="132">
        <v>0</v>
      </c>
      <c r="K544" s="132">
        <v>0</v>
      </c>
      <c r="L544" s="144">
        <f>CATEGORIAS[[#This Row],[ADICIONALES]]+CATEGORIAS[[#This Row],[POM]]+CATEGORIAS[[#This Row],[REAJUSTE 
PAGADO]]+CATEGORIAS[[#This Row],[REAJUSTE
PROYECTADO]]</f>
        <v>0</v>
      </c>
      <c r="M544" s="133">
        <v>0</v>
      </c>
      <c r="N544" s="222">
        <v>0</v>
      </c>
      <c r="O544" s="142">
        <f>+CATEGORIAS[[#This Row],[PRODUCCION
PARTIDAS
ORIGINALES
ACTUAL]]+CATEGORIAS[[#This Row],[PRODUCCION
ADICIONALES
ACTUAL]]</f>
        <v>0</v>
      </c>
      <c r="P544" s="222">
        <v>0</v>
      </c>
      <c r="Q544" s="134">
        <v>0</v>
      </c>
      <c r="R544" s="141">
        <f>+CATEGORIAS[[#This Row],[PRODUCCION
ANTERIOR]]+CATEGORIAS[[#This Row],[PRODUCCION
ADICIONALES
ANTERIOR]]</f>
        <v>0</v>
      </c>
      <c r="S544" s="135">
        <v>0</v>
      </c>
      <c r="T544" s="135"/>
      <c r="U544" s="135">
        <v>0</v>
      </c>
      <c r="V544" s="142">
        <f>SUM(CATEGORIAS[[#This Row],[COSTO
ACUMULADO  AX]:[PROVISIONES]])</f>
        <v>0</v>
      </c>
      <c r="W544" s="136">
        <v>0</v>
      </c>
      <c r="X544" s="134"/>
      <c r="Y544" s="134">
        <v>0</v>
      </c>
      <c r="Z544" s="141">
        <f>SUM(CATEGORIAS[[#This Row],[COSTO ACUMULADO
ANTERIOR]:[PROVISIONES
ANTERIOR]])</f>
        <v>0</v>
      </c>
      <c r="AA544" s="338">
        <f>ABS(+CATEGORIAS[[#This Row],[PRESUPUESTO
FINAL
PROYECTADO]]-CATEGORIAS[[#This Row],[TOTAL PRODUCCION
ACTUAL]])</f>
        <v>0</v>
      </c>
      <c r="AB544" s="222"/>
      <c r="AC544" s="134"/>
      <c r="AD544" s="134">
        <v>0</v>
      </c>
      <c r="AE544" s="139">
        <f>SUM(CATEGORIAS[[#This Row],[INVENTARIO]:[PROYECCION
DE COSTO
DEL SALDO]])</f>
        <v>0</v>
      </c>
      <c r="AF544" s="134"/>
      <c r="AG544" s="134">
        <f>+CATEGORIAS[[#This Row],[PRESUPUESTO
FINAL
PROYECTADO]]-CATEGORIAS[[#This Row],[COSTO REAL]]-CATEGORIAS[[#This Row],[PROYECCION
TOTAL DE COSTO]]</f>
        <v>0</v>
      </c>
    </row>
    <row r="545" spans="1:33" x14ac:dyDescent="0.25">
      <c r="A545" s="245"/>
      <c r="B545" s="245"/>
      <c r="C545" s="245"/>
      <c r="D545" s="323" t="s">
        <v>2265</v>
      </c>
      <c r="E545" s="244" t="s">
        <v>2327</v>
      </c>
      <c r="F545" s="246" t="s">
        <v>376</v>
      </c>
      <c r="G545" s="279">
        <v>0</v>
      </c>
      <c r="H545" s="279">
        <v>0</v>
      </c>
      <c r="I545" s="132">
        <v>0</v>
      </c>
      <c r="J545" s="132">
        <v>0</v>
      </c>
      <c r="K545" s="132">
        <v>0</v>
      </c>
      <c r="L545" s="144">
        <f>CATEGORIAS[[#This Row],[ADICIONALES]]+CATEGORIAS[[#This Row],[POM]]+CATEGORIAS[[#This Row],[REAJUSTE 
PAGADO]]+CATEGORIAS[[#This Row],[REAJUSTE
PROYECTADO]]</f>
        <v>0</v>
      </c>
      <c r="M545" s="133">
        <v>0</v>
      </c>
      <c r="N545" s="222">
        <v>0</v>
      </c>
      <c r="O545" s="142">
        <f>+CATEGORIAS[[#This Row],[PRODUCCION
PARTIDAS
ORIGINALES
ACTUAL]]+CATEGORIAS[[#This Row],[PRODUCCION
ADICIONALES
ACTUAL]]</f>
        <v>0</v>
      </c>
      <c r="P545" s="134">
        <v>0</v>
      </c>
      <c r="Q545" s="222">
        <v>0</v>
      </c>
      <c r="R545" s="141">
        <f>+CATEGORIAS[[#This Row],[PRODUCCION
ANTERIOR]]+CATEGORIAS[[#This Row],[PRODUCCION
ADICIONALES
ANTERIOR]]</f>
        <v>0</v>
      </c>
      <c r="S545" s="135">
        <v>0</v>
      </c>
      <c r="T545" s="135"/>
      <c r="U545" s="135">
        <v>0</v>
      </c>
      <c r="V545" s="142">
        <f>SUM(CATEGORIAS[[#This Row],[COSTO
ACUMULADO  AX]:[PROVISIONES]])</f>
        <v>0</v>
      </c>
      <c r="W545" s="136">
        <v>0</v>
      </c>
      <c r="X545" s="134"/>
      <c r="Y545" s="134">
        <v>0</v>
      </c>
      <c r="Z545" s="141">
        <f>SUM(CATEGORIAS[[#This Row],[COSTO ACUMULADO
ANTERIOR]:[PROVISIONES
ANTERIOR]])</f>
        <v>0</v>
      </c>
      <c r="AA545" s="338">
        <f>ABS(+CATEGORIAS[[#This Row],[PRESUPUESTO
FINAL
PROYECTADO]]-CATEGORIAS[[#This Row],[TOTAL PRODUCCION
ACTUAL]])</f>
        <v>0</v>
      </c>
      <c r="AB545" s="222"/>
      <c r="AC545" s="134"/>
      <c r="AD545" s="134">
        <v>0</v>
      </c>
      <c r="AE545" s="139">
        <f>SUM(CATEGORIAS[[#This Row],[INVENTARIO]:[PROYECCION
DE COSTO
DEL SALDO]])</f>
        <v>0</v>
      </c>
      <c r="AF545" s="134"/>
      <c r="AG545" s="134">
        <f>+CATEGORIAS[[#This Row],[PRESUPUESTO
FINAL
PROYECTADO]]-CATEGORIAS[[#This Row],[COSTO REAL]]-CATEGORIAS[[#This Row],[PROYECCION
TOTAL DE COSTO]]</f>
        <v>0</v>
      </c>
    </row>
    <row r="546" spans="1:33" x14ac:dyDescent="0.25">
      <c r="A546" s="245"/>
      <c r="B546" s="245"/>
      <c r="C546" s="245"/>
      <c r="D546" s="323" t="s">
        <v>2266</v>
      </c>
      <c r="E546" s="244" t="s">
        <v>2309</v>
      </c>
      <c r="F546" s="246" t="s">
        <v>376</v>
      </c>
      <c r="G546" s="279">
        <v>0</v>
      </c>
      <c r="H546" s="279">
        <v>0</v>
      </c>
      <c r="I546" s="132">
        <v>0</v>
      </c>
      <c r="J546" s="132">
        <v>0</v>
      </c>
      <c r="K546" s="132">
        <v>0</v>
      </c>
      <c r="L546" s="144">
        <f>CATEGORIAS[[#This Row],[ADICIONALES]]+CATEGORIAS[[#This Row],[POM]]+CATEGORIAS[[#This Row],[REAJUSTE 
PAGADO]]+CATEGORIAS[[#This Row],[REAJUSTE
PROYECTADO]]</f>
        <v>0</v>
      </c>
      <c r="M546" s="133">
        <v>0</v>
      </c>
      <c r="N546" s="222">
        <v>0</v>
      </c>
      <c r="O546" s="142">
        <f>+CATEGORIAS[[#This Row],[PRODUCCION
PARTIDAS
ORIGINALES
ACTUAL]]+CATEGORIAS[[#This Row],[PRODUCCION
ADICIONALES
ACTUAL]]</f>
        <v>0</v>
      </c>
      <c r="P546" s="134">
        <v>0</v>
      </c>
      <c r="Q546" s="134">
        <v>0</v>
      </c>
      <c r="R546" s="141">
        <f>+CATEGORIAS[[#This Row],[PRODUCCION
ANTERIOR]]+CATEGORIAS[[#This Row],[PRODUCCION
ADICIONALES
ANTERIOR]]</f>
        <v>0</v>
      </c>
      <c r="S546" s="135">
        <v>0</v>
      </c>
      <c r="T546" s="135"/>
      <c r="U546" s="135">
        <v>0</v>
      </c>
      <c r="V546" s="142">
        <f>SUM(CATEGORIAS[[#This Row],[COSTO
ACUMULADO  AX]:[PROVISIONES]])</f>
        <v>0</v>
      </c>
      <c r="W546" s="136">
        <v>0</v>
      </c>
      <c r="X546" s="134"/>
      <c r="Y546" s="134">
        <v>0</v>
      </c>
      <c r="Z546" s="141">
        <f>SUM(CATEGORIAS[[#This Row],[COSTO ACUMULADO
ANTERIOR]:[PROVISIONES
ANTERIOR]])</f>
        <v>0</v>
      </c>
      <c r="AA546" s="338">
        <f>ABS(+CATEGORIAS[[#This Row],[PRESUPUESTO
FINAL
PROYECTADO]]-CATEGORIAS[[#This Row],[TOTAL PRODUCCION
ACTUAL]])</f>
        <v>0</v>
      </c>
      <c r="AB546" s="222"/>
      <c r="AC546" s="134"/>
      <c r="AD546" s="134">
        <v>0</v>
      </c>
      <c r="AE546" s="139">
        <f>SUM(CATEGORIAS[[#This Row],[INVENTARIO]:[PROYECCION
DE COSTO
DEL SALDO]])</f>
        <v>0</v>
      </c>
      <c r="AF546" s="134"/>
      <c r="AG546" s="134">
        <f>+CATEGORIAS[[#This Row],[PRESUPUESTO
FINAL
PROYECTADO]]-CATEGORIAS[[#This Row],[COSTO REAL]]-CATEGORIAS[[#This Row],[PROYECCION
TOTAL DE COSTO]]</f>
        <v>0</v>
      </c>
    </row>
    <row r="547" spans="1:33" x14ac:dyDescent="0.25">
      <c r="A547" s="245"/>
      <c r="B547" s="245"/>
      <c r="C547" s="245"/>
      <c r="D547" s="323" t="s">
        <v>2328</v>
      </c>
      <c r="E547" s="244" t="s">
        <v>2329</v>
      </c>
      <c r="F547" s="246" t="s">
        <v>376</v>
      </c>
      <c r="G547" s="279">
        <v>0</v>
      </c>
      <c r="H547" s="279">
        <v>0</v>
      </c>
      <c r="I547" s="132">
        <v>0</v>
      </c>
      <c r="J547" s="132">
        <v>0</v>
      </c>
      <c r="K547" s="132">
        <v>0</v>
      </c>
      <c r="L547" s="144">
        <f>CATEGORIAS[[#This Row],[ADICIONALES]]+CATEGORIAS[[#This Row],[POM]]+CATEGORIAS[[#This Row],[REAJUSTE 
PAGADO]]+CATEGORIAS[[#This Row],[REAJUSTE
PROYECTADO]]</f>
        <v>0</v>
      </c>
      <c r="M547" s="133">
        <v>0</v>
      </c>
      <c r="N547" s="222">
        <v>0</v>
      </c>
      <c r="O547" s="142">
        <f>+CATEGORIAS[[#This Row],[PRODUCCION
PARTIDAS
ORIGINALES
ACTUAL]]+CATEGORIAS[[#This Row],[PRODUCCION
ADICIONALES
ACTUAL]]</f>
        <v>0</v>
      </c>
      <c r="P547" s="134">
        <v>0</v>
      </c>
      <c r="Q547" s="222">
        <v>0</v>
      </c>
      <c r="R547" s="141">
        <f>+CATEGORIAS[[#This Row],[PRODUCCION
ANTERIOR]]+CATEGORIAS[[#This Row],[PRODUCCION
ADICIONALES
ANTERIOR]]</f>
        <v>0</v>
      </c>
      <c r="S547" s="135">
        <v>0</v>
      </c>
      <c r="T547" s="135"/>
      <c r="U547" s="135">
        <v>0</v>
      </c>
      <c r="V547" s="142">
        <f>SUM(CATEGORIAS[[#This Row],[COSTO
ACUMULADO  AX]:[PROVISIONES]])</f>
        <v>0</v>
      </c>
      <c r="W547" s="136">
        <v>0</v>
      </c>
      <c r="X547" s="134"/>
      <c r="Y547" s="134">
        <v>0</v>
      </c>
      <c r="Z547" s="141">
        <f>SUM(CATEGORIAS[[#This Row],[COSTO ACUMULADO
ANTERIOR]:[PROVISIONES
ANTERIOR]])</f>
        <v>0</v>
      </c>
      <c r="AA547" s="338">
        <f>ABS(+CATEGORIAS[[#This Row],[PRESUPUESTO
FINAL
PROYECTADO]]-CATEGORIAS[[#This Row],[TOTAL PRODUCCION
ACTUAL]])</f>
        <v>0</v>
      </c>
      <c r="AB547" s="222"/>
      <c r="AC547" s="134"/>
      <c r="AD547" s="134">
        <v>0</v>
      </c>
      <c r="AE547" s="139">
        <f>SUM(CATEGORIAS[[#This Row],[INVENTARIO]:[PROYECCION
DE COSTO
DEL SALDO]])</f>
        <v>0</v>
      </c>
      <c r="AF547" s="134"/>
      <c r="AG547" s="134">
        <f>+CATEGORIAS[[#This Row],[PRESUPUESTO
FINAL
PROYECTADO]]-CATEGORIAS[[#This Row],[COSTO REAL]]-CATEGORIAS[[#This Row],[PROYECCION
TOTAL DE COSTO]]</f>
        <v>0</v>
      </c>
    </row>
    <row r="548" spans="1:33" x14ac:dyDescent="0.25">
      <c r="A548" s="245" t="s">
        <v>131</v>
      </c>
      <c r="B548" s="245" t="s">
        <v>131</v>
      </c>
      <c r="C548" s="245" t="s">
        <v>84</v>
      </c>
      <c r="D548" s="323" t="s">
        <v>2310</v>
      </c>
      <c r="E548" s="246" t="s">
        <v>455</v>
      </c>
      <c r="F548" s="246" t="s">
        <v>379</v>
      </c>
      <c r="G548" s="279">
        <v>17775000</v>
      </c>
      <c r="H548" s="279">
        <v>17775000</v>
      </c>
      <c r="I548" s="132">
        <v>8810339.2046024725</v>
      </c>
      <c r="J548" s="132">
        <v>626717.2570295108</v>
      </c>
      <c r="K548" s="132">
        <v>0</v>
      </c>
      <c r="L548" s="144">
        <f>CATEGORIAS[[#This Row],[ADICIONALES]]+CATEGORIAS[[#This Row],[POM]]+CATEGORIAS[[#This Row],[REAJUSTE 
PAGADO]]+CATEGORIAS[[#This Row],[REAJUSTE
PROYECTADO]]</f>
        <v>27212056.461631984</v>
      </c>
      <c r="M548" s="133">
        <v>18398228.013665512</v>
      </c>
      <c r="N548" s="222">
        <v>8813828.4479664713</v>
      </c>
      <c r="O548" s="142">
        <f>+CATEGORIAS[[#This Row],[PRODUCCION
PARTIDAS
ORIGINALES
ACTUAL]]+CATEGORIAS[[#This Row],[PRODUCCION
ADICIONALES
ACTUAL]]</f>
        <v>27212056.461631984</v>
      </c>
      <c r="P548" s="134">
        <v>18398228.013665512</v>
      </c>
      <c r="Q548" s="134">
        <v>8810339.2046024725</v>
      </c>
      <c r="R548" s="141">
        <f>+CATEGORIAS[[#This Row],[PRODUCCION
ANTERIOR]]+CATEGORIAS[[#This Row],[PRODUCCION
ADICIONALES
ANTERIOR]]</f>
        <v>27208567.218267985</v>
      </c>
      <c r="S548" s="135">
        <v>79403794</v>
      </c>
      <c r="T548" s="135"/>
      <c r="U548" s="135">
        <v>0</v>
      </c>
      <c r="V548" s="142">
        <f>SUM(CATEGORIAS[[#This Row],[COSTO
ACUMULADO  AX]:[PROVISIONES]])</f>
        <v>79403794</v>
      </c>
      <c r="W548" s="136">
        <v>78885144</v>
      </c>
      <c r="X548" s="134"/>
      <c r="Y548" s="134">
        <v>0</v>
      </c>
      <c r="Z548" s="141">
        <f>SUM(CATEGORIAS[[#This Row],[COSTO ACUMULADO
ANTERIOR]:[PROVISIONES
ANTERIOR]])</f>
        <v>78885144</v>
      </c>
      <c r="AA548" s="338">
        <f>ABS(+CATEGORIAS[[#This Row],[PRESUPUESTO
FINAL
PROYECTADO]]-CATEGORIAS[[#This Row],[TOTAL PRODUCCION
ACTUAL]])</f>
        <v>0</v>
      </c>
      <c r="AB548" s="222"/>
      <c r="AC548" s="134"/>
      <c r="AD548" s="134">
        <v>0</v>
      </c>
      <c r="AE548" s="139">
        <f>SUM(CATEGORIAS[[#This Row],[INVENTARIO]:[PROYECCION
DE COSTO
DEL SALDO]])</f>
        <v>0</v>
      </c>
      <c r="AF548" s="134"/>
      <c r="AG548" s="134">
        <f>+CATEGORIAS[[#This Row],[PRESUPUESTO
FINAL
PROYECTADO]]-CATEGORIAS[[#This Row],[COSTO REAL]]-CATEGORIAS[[#This Row],[PROYECCION
TOTAL DE COSTO]]</f>
        <v>-52191737.538368016</v>
      </c>
    </row>
    <row r="549" spans="1:33" x14ac:dyDescent="0.25">
      <c r="A549" s="245"/>
      <c r="B549" s="245"/>
      <c r="C549" s="245"/>
      <c r="D549" s="323" t="s">
        <v>2311</v>
      </c>
      <c r="E549" s="244" t="s">
        <v>457</v>
      </c>
      <c r="F549" s="246" t="s">
        <v>376</v>
      </c>
      <c r="G549" s="279">
        <v>0</v>
      </c>
      <c r="H549" s="279">
        <v>0</v>
      </c>
      <c r="I549" s="132">
        <v>0</v>
      </c>
      <c r="J549" s="132">
        <v>0</v>
      </c>
      <c r="K549" s="132">
        <v>0</v>
      </c>
      <c r="L549" s="144">
        <f>CATEGORIAS[[#This Row],[ADICIONALES]]+CATEGORIAS[[#This Row],[POM]]+CATEGORIAS[[#This Row],[REAJUSTE 
PAGADO]]+CATEGORIAS[[#This Row],[REAJUSTE
PROYECTADO]]</f>
        <v>0</v>
      </c>
      <c r="M549" s="133">
        <v>0</v>
      </c>
      <c r="N549" s="222">
        <v>0</v>
      </c>
      <c r="O549" s="142">
        <f>+CATEGORIAS[[#This Row],[PRODUCCION
PARTIDAS
ORIGINALES
ACTUAL]]+CATEGORIAS[[#This Row],[PRODUCCION
ADICIONALES
ACTUAL]]</f>
        <v>0</v>
      </c>
      <c r="P549" s="134">
        <v>0</v>
      </c>
      <c r="Q549" s="222">
        <v>0</v>
      </c>
      <c r="R549" s="141">
        <f>+CATEGORIAS[[#This Row],[PRODUCCION
ANTERIOR]]+CATEGORIAS[[#This Row],[PRODUCCION
ADICIONALES
ANTERIOR]]</f>
        <v>0</v>
      </c>
      <c r="S549" s="135">
        <v>0</v>
      </c>
      <c r="T549" s="135"/>
      <c r="U549" s="135">
        <v>0</v>
      </c>
      <c r="V549" s="142">
        <f>SUM(CATEGORIAS[[#This Row],[COSTO
ACUMULADO  AX]:[PROVISIONES]])</f>
        <v>0</v>
      </c>
      <c r="W549" s="136">
        <v>0</v>
      </c>
      <c r="X549" s="134"/>
      <c r="Y549" s="134">
        <v>0</v>
      </c>
      <c r="Z549" s="141">
        <f>SUM(CATEGORIAS[[#This Row],[COSTO ACUMULADO
ANTERIOR]:[PROVISIONES
ANTERIOR]])</f>
        <v>0</v>
      </c>
      <c r="AA549" s="338">
        <f>ABS(+CATEGORIAS[[#This Row],[PRESUPUESTO
FINAL
PROYECTADO]]-CATEGORIAS[[#This Row],[TOTAL PRODUCCION
ACTUAL]])</f>
        <v>0</v>
      </c>
      <c r="AB549" s="222"/>
      <c r="AC549" s="134"/>
      <c r="AD549" s="134">
        <v>0</v>
      </c>
      <c r="AE549" s="139">
        <f>SUM(CATEGORIAS[[#This Row],[INVENTARIO]:[PROYECCION
DE COSTO
DEL SALDO]])</f>
        <v>0</v>
      </c>
      <c r="AF549" s="134"/>
      <c r="AG549" s="134">
        <f>+CATEGORIAS[[#This Row],[PRESUPUESTO
FINAL
PROYECTADO]]-CATEGORIAS[[#This Row],[COSTO REAL]]-CATEGORIAS[[#This Row],[PROYECCION
TOTAL DE COSTO]]</f>
        <v>0</v>
      </c>
    </row>
    <row r="550" spans="1:33" x14ac:dyDescent="0.25">
      <c r="A550" s="245"/>
      <c r="B550" s="245"/>
      <c r="C550" s="245"/>
      <c r="D550" s="323" t="s">
        <v>2312</v>
      </c>
      <c r="E550" s="244" t="s">
        <v>459</v>
      </c>
      <c r="F550" s="246" t="s">
        <v>376</v>
      </c>
      <c r="G550" s="279">
        <v>0</v>
      </c>
      <c r="H550" s="279">
        <v>0</v>
      </c>
      <c r="I550" s="132">
        <v>0</v>
      </c>
      <c r="J550" s="132">
        <v>0</v>
      </c>
      <c r="K550" s="132">
        <v>0</v>
      </c>
      <c r="L550" s="144">
        <f>CATEGORIAS[[#This Row],[ADICIONALES]]+CATEGORIAS[[#This Row],[POM]]+CATEGORIAS[[#This Row],[REAJUSTE 
PAGADO]]+CATEGORIAS[[#This Row],[REAJUSTE
PROYECTADO]]</f>
        <v>0</v>
      </c>
      <c r="M550" s="133">
        <v>0</v>
      </c>
      <c r="N550" s="222">
        <v>0</v>
      </c>
      <c r="O550" s="142">
        <f>+CATEGORIAS[[#This Row],[PRODUCCION
PARTIDAS
ORIGINALES
ACTUAL]]+CATEGORIAS[[#This Row],[PRODUCCION
ADICIONALES
ACTUAL]]</f>
        <v>0</v>
      </c>
      <c r="P550" s="134">
        <v>0</v>
      </c>
      <c r="Q550" s="134">
        <v>0</v>
      </c>
      <c r="R550" s="141">
        <f>+CATEGORIAS[[#This Row],[PRODUCCION
ANTERIOR]]+CATEGORIAS[[#This Row],[PRODUCCION
ADICIONALES
ANTERIOR]]</f>
        <v>0</v>
      </c>
      <c r="S550" s="135">
        <v>0</v>
      </c>
      <c r="T550" s="135"/>
      <c r="U550" s="135">
        <v>0</v>
      </c>
      <c r="V550" s="142">
        <f>SUM(CATEGORIAS[[#This Row],[COSTO
ACUMULADO  AX]:[PROVISIONES]])</f>
        <v>0</v>
      </c>
      <c r="W550" s="136">
        <v>0</v>
      </c>
      <c r="X550" s="134"/>
      <c r="Y550" s="134">
        <v>0</v>
      </c>
      <c r="Z550" s="141">
        <f>SUM(CATEGORIAS[[#This Row],[COSTO ACUMULADO
ANTERIOR]:[PROVISIONES
ANTERIOR]])</f>
        <v>0</v>
      </c>
      <c r="AA550" s="338">
        <f>ABS(+CATEGORIAS[[#This Row],[PRESUPUESTO
FINAL
PROYECTADO]]-CATEGORIAS[[#This Row],[TOTAL PRODUCCION
ACTUAL]])</f>
        <v>0</v>
      </c>
      <c r="AB550" s="222"/>
      <c r="AC550" s="134"/>
      <c r="AD550" s="134">
        <v>0</v>
      </c>
      <c r="AE550" s="139">
        <f>SUM(CATEGORIAS[[#This Row],[INVENTARIO]:[PROYECCION
DE COSTO
DEL SALDO]])</f>
        <v>0</v>
      </c>
      <c r="AF550" s="134"/>
      <c r="AG550" s="134">
        <f>+CATEGORIAS[[#This Row],[PRESUPUESTO
FINAL
PROYECTADO]]-CATEGORIAS[[#This Row],[COSTO REAL]]-CATEGORIAS[[#This Row],[PROYECCION
TOTAL DE COSTO]]</f>
        <v>0</v>
      </c>
    </row>
    <row r="551" spans="1:33" x14ac:dyDescent="0.25">
      <c r="A551" s="245"/>
      <c r="B551" s="245"/>
      <c r="C551" s="245"/>
      <c r="D551" s="323" t="s">
        <v>2313</v>
      </c>
      <c r="E551" s="244" t="s">
        <v>459</v>
      </c>
      <c r="F551" s="246" t="s">
        <v>376</v>
      </c>
      <c r="G551" s="279">
        <v>0</v>
      </c>
      <c r="H551" s="279">
        <v>0</v>
      </c>
      <c r="I551" s="132">
        <v>0</v>
      </c>
      <c r="J551" s="132">
        <v>0</v>
      </c>
      <c r="K551" s="132">
        <v>0</v>
      </c>
      <c r="L551" s="144">
        <f>CATEGORIAS[[#This Row],[ADICIONALES]]+CATEGORIAS[[#This Row],[POM]]+CATEGORIAS[[#This Row],[REAJUSTE 
PAGADO]]+CATEGORIAS[[#This Row],[REAJUSTE
PROYECTADO]]</f>
        <v>0</v>
      </c>
      <c r="M551" s="133">
        <v>0</v>
      </c>
      <c r="N551" s="222">
        <v>0</v>
      </c>
      <c r="O551" s="142">
        <f>+CATEGORIAS[[#This Row],[PRODUCCION
PARTIDAS
ORIGINALES
ACTUAL]]+CATEGORIAS[[#This Row],[PRODUCCION
ADICIONALES
ACTUAL]]</f>
        <v>0</v>
      </c>
      <c r="P551" s="134">
        <v>0</v>
      </c>
      <c r="Q551" s="222">
        <v>0</v>
      </c>
      <c r="R551" s="141">
        <f>+CATEGORIAS[[#This Row],[PRODUCCION
ANTERIOR]]+CATEGORIAS[[#This Row],[PRODUCCION
ADICIONALES
ANTERIOR]]</f>
        <v>0</v>
      </c>
      <c r="S551" s="135">
        <v>0</v>
      </c>
      <c r="T551" s="135"/>
      <c r="U551" s="135">
        <v>0</v>
      </c>
      <c r="V551" s="142">
        <f>SUM(CATEGORIAS[[#This Row],[COSTO
ACUMULADO  AX]:[PROVISIONES]])</f>
        <v>0</v>
      </c>
      <c r="W551" s="136">
        <v>0</v>
      </c>
      <c r="X551" s="134"/>
      <c r="Y551" s="134">
        <v>0</v>
      </c>
      <c r="Z551" s="141">
        <f>SUM(CATEGORIAS[[#This Row],[COSTO ACUMULADO
ANTERIOR]:[PROVISIONES
ANTERIOR]])</f>
        <v>0</v>
      </c>
      <c r="AA551" s="338">
        <f>ABS(+CATEGORIAS[[#This Row],[PRESUPUESTO
FINAL
PROYECTADO]]-CATEGORIAS[[#This Row],[TOTAL PRODUCCION
ACTUAL]])</f>
        <v>0</v>
      </c>
      <c r="AB551" s="222"/>
      <c r="AC551" s="134"/>
      <c r="AD551" s="134">
        <v>0</v>
      </c>
      <c r="AE551" s="139">
        <f>SUM(CATEGORIAS[[#This Row],[INVENTARIO]:[PROYECCION
DE COSTO
DEL SALDO]])</f>
        <v>0</v>
      </c>
      <c r="AF551" s="134"/>
      <c r="AG551" s="134">
        <f>+CATEGORIAS[[#This Row],[PRESUPUESTO
FINAL
PROYECTADO]]-CATEGORIAS[[#This Row],[COSTO REAL]]-CATEGORIAS[[#This Row],[PROYECCION
TOTAL DE COSTO]]</f>
        <v>0</v>
      </c>
    </row>
    <row r="552" spans="1:33" x14ac:dyDescent="0.25">
      <c r="A552" s="245"/>
      <c r="B552" s="245"/>
      <c r="C552" s="245"/>
      <c r="D552" s="323" t="s">
        <v>2314</v>
      </c>
      <c r="E552" s="244" t="s">
        <v>462</v>
      </c>
      <c r="F552" s="246" t="s">
        <v>376</v>
      </c>
      <c r="G552" s="279">
        <v>0</v>
      </c>
      <c r="H552" s="279">
        <v>0</v>
      </c>
      <c r="I552" s="132">
        <v>0</v>
      </c>
      <c r="J552" s="132">
        <v>0</v>
      </c>
      <c r="K552" s="132">
        <v>0</v>
      </c>
      <c r="L552" s="144">
        <f>CATEGORIAS[[#This Row],[ADICIONALES]]+CATEGORIAS[[#This Row],[POM]]+CATEGORIAS[[#This Row],[REAJUSTE 
PAGADO]]+CATEGORIAS[[#This Row],[REAJUSTE
PROYECTADO]]</f>
        <v>0</v>
      </c>
      <c r="M552" s="133">
        <v>0</v>
      </c>
      <c r="N552" s="222">
        <v>0</v>
      </c>
      <c r="O552" s="142">
        <f>+CATEGORIAS[[#This Row],[PRODUCCION
PARTIDAS
ORIGINALES
ACTUAL]]+CATEGORIAS[[#This Row],[PRODUCCION
ADICIONALES
ACTUAL]]</f>
        <v>0</v>
      </c>
      <c r="P552" s="222">
        <v>0</v>
      </c>
      <c r="Q552" s="222">
        <v>0</v>
      </c>
      <c r="R552" s="141">
        <f>+CATEGORIAS[[#This Row],[PRODUCCION
ANTERIOR]]+CATEGORIAS[[#This Row],[PRODUCCION
ADICIONALES
ANTERIOR]]</f>
        <v>0</v>
      </c>
      <c r="S552" s="135">
        <v>0</v>
      </c>
      <c r="T552" s="264"/>
      <c r="U552" s="135">
        <v>0</v>
      </c>
      <c r="V552" s="262">
        <f>SUM(CATEGORIAS[[#This Row],[COSTO
ACUMULADO  AX]:[PROVISIONES]])</f>
        <v>0</v>
      </c>
      <c r="W552" s="264">
        <v>0</v>
      </c>
      <c r="X552" s="222"/>
      <c r="Y552" s="222">
        <v>0</v>
      </c>
      <c r="Z552" s="263">
        <f>SUM(CATEGORIAS[[#This Row],[COSTO ACUMULADO
ANTERIOR]:[PROVISIONES
ANTERIOR]])</f>
        <v>0</v>
      </c>
      <c r="AA552" s="338">
        <f>ABS(+CATEGORIAS[[#This Row],[PRESUPUESTO
FINAL
PROYECTADO]]-CATEGORIAS[[#This Row],[TOTAL PRODUCCION
ACTUAL]])</f>
        <v>0</v>
      </c>
      <c r="AB552" s="222"/>
      <c r="AC552" s="134"/>
      <c r="AD552" s="134">
        <v>0</v>
      </c>
      <c r="AE552" s="221">
        <f>SUM(CATEGORIAS[[#This Row],[INVENTARIO]:[PROYECCION
DE COSTO
DEL SALDO]])</f>
        <v>0</v>
      </c>
      <c r="AF552" s="134"/>
      <c r="AG552" s="134">
        <f>+CATEGORIAS[[#This Row],[PRESUPUESTO
FINAL
PROYECTADO]]-CATEGORIAS[[#This Row],[COSTO REAL]]-CATEGORIAS[[#This Row],[PROYECCION
TOTAL DE COSTO]]</f>
        <v>0</v>
      </c>
    </row>
    <row r="553" spans="1:33" x14ac:dyDescent="0.25">
      <c r="A553" s="245"/>
      <c r="B553" s="245"/>
      <c r="C553" s="245"/>
      <c r="D553" s="323" t="s">
        <v>2315</v>
      </c>
      <c r="E553" s="244" t="s">
        <v>464</v>
      </c>
      <c r="F553" s="246" t="s">
        <v>376</v>
      </c>
      <c r="G553" s="279">
        <v>0</v>
      </c>
      <c r="H553" s="279">
        <v>0</v>
      </c>
      <c r="I553" s="132">
        <v>0</v>
      </c>
      <c r="J553" s="132">
        <v>0</v>
      </c>
      <c r="K553" s="132">
        <v>0</v>
      </c>
      <c r="L553" s="144">
        <f>CATEGORIAS[[#This Row],[ADICIONALES]]+CATEGORIAS[[#This Row],[POM]]+CATEGORIAS[[#This Row],[REAJUSTE 
PAGADO]]+CATEGORIAS[[#This Row],[REAJUSTE
PROYECTADO]]</f>
        <v>0</v>
      </c>
      <c r="M553" s="133">
        <v>0</v>
      </c>
      <c r="N553" s="222">
        <v>0</v>
      </c>
      <c r="O553" s="142">
        <f>+CATEGORIAS[[#This Row],[PRODUCCION
PARTIDAS
ORIGINALES
ACTUAL]]+CATEGORIAS[[#This Row],[PRODUCCION
ADICIONALES
ACTUAL]]</f>
        <v>0</v>
      </c>
      <c r="P553" s="134">
        <v>0</v>
      </c>
      <c r="Q553" s="134">
        <v>0</v>
      </c>
      <c r="R553" s="141">
        <f>+CATEGORIAS[[#This Row],[PRODUCCION
ANTERIOR]]+CATEGORIAS[[#This Row],[PRODUCCION
ADICIONALES
ANTERIOR]]</f>
        <v>0</v>
      </c>
      <c r="S553" s="135">
        <v>0</v>
      </c>
      <c r="T553" s="135"/>
      <c r="U553" s="135">
        <v>0</v>
      </c>
      <c r="V553" s="142">
        <f>SUM(CATEGORIAS[[#This Row],[COSTO
ACUMULADO  AX]:[PROVISIONES]])</f>
        <v>0</v>
      </c>
      <c r="W553" s="136">
        <v>0</v>
      </c>
      <c r="X553" s="134"/>
      <c r="Y553" s="134">
        <v>0</v>
      </c>
      <c r="Z553" s="141">
        <f>SUM(CATEGORIAS[[#This Row],[COSTO ACUMULADO
ANTERIOR]:[PROVISIONES
ANTERIOR]])</f>
        <v>0</v>
      </c>
      <c r="AA553" s="338">
        <f>ABS(+CATEGORIAS[[#This Row],[PRESUPUESTO
FINAL
PROYECTADO]]-CATEGORIAS[[#This Row],[TOTAL PRODUCCION
ACTUAL]])</f>
        <v>0</v>
      </c>
      <c r="AB553" s="222"/>
      <c r="AC553" s="134"/>
      <c r="AD553" s="134">
        <v>0</v>
      </c>
      <c r="AE553" s="139">
        <f>SUM(CATEGORIAS[[#This Row],[INVENTARIO]:[PROYECCION
DE COSTO
DEL SALDO]])</f>
        <v>0</v>
      </c>
      <c r="AF553" s="134"/>
      <c r="AG553" s="134">
        <f>+CATEGORIAS[[#This Row],[PRESUPUESTO
FINAL
PROYECTADO]]-CATEGORIAS[[#This Row],[COSTO REAL]]-CATEGORIAS[[#This Row],[PROYECCION
TOTAL DE COSTO]]</f>
        <v>0</v>
      </c>
    </row>
    <row r="554" spans="1:33" x14ac:dyDescent="0.25">
      <c r="A554" s="245" t="s">
        <v>132</v>
      </c>
      <c r="B554" s="245" t="s">
        <v>134</v>
      </c>
      <c r="C554" s="245" t="s">
        <v>2386</v>
      </c>
      <c r="D554" s="323" t="s">
        <v>2316</v>
      </c>
      <c r="E554" s="244" t="s">
        <v>468</v>
      </c>
      <c r="F554" s="246" t="s">
        <v>376</v>
      </c>
      <c r="G554" s="279">
        <v>23518100.418080352</v>
      </c>
      <c r="H554" s="279">
        <v>23518100.418080352</v>
      </c>
      <c r="I554" s="132">
        <v>12675300.608894581</v>
      </c>
      <c r="J554" s="132">
        <v>829209.52937068406</v>
      </c>
      <c r="K554" s="132">
        <v>0</v>
      </c>
      <c r="L554" s="144">
        <f>CATEGORIAS[[#This Row],[ADICIONALES]]+CATEGORIAS[[#This Row],[POM]]+CATEGORIAS[[#This Row],[REAJUSTE 
PAGADO]]+CATEGORIAS[[#This Row],[REAJUSTE
PROYECTADO]]</f>
        <v>37022610.556345612</v>
      </c>
      <c r="M554" s="133">
        <v>24342693.329964809</v>
      </c>
      <c r="N554" s="222">
        <v>12679917.226380805</v>
      </c>
      <c r="O554" s="142">
        <f>+CATEGORIAS[[#This Row],[PRODUCCION
PARTIDAS
ORIGINALES
ACTUAL]]+CATEGORIAS[[#This Row],[PRODUCCION
ADICIONALES
ACTUAL]]</f>
        <v>37022610.556345612</v>
      </c>
      <c r="P554" s="134">
        <v>24342693.329964809</v>
      </c>
      <c r="Q554" s="222">
        <v>12675300.608894581</v>
      </c>
      <c r="R554" s="141">
        <f>+CATEGORIAS[[#This Row],[PRODUCCION
ANTERIOR]]+CATEGORIAS[[#This Row],[PRODUCCION
ADICIONALES
ANTERIOR]]</f>
        <v>37017993.938859388</v>
      </c>
      <c r="S554" s="135">
        <v>24766633.399999999</v>
      </c>
      <c r="T554" s="135">
        <v>22548639.179999996</v>
      </c>
      <c r="U554" s="135">
        <v>0</v>
      </c>
      <c r="V554" s="142">
        <f>SUM(CATEGORIAS[[#This Row],[COSTO
ACUMULADO  AX]:[PROVISIONES]])</f>
        <v>47315272.579999998</v>
      </c>
      <c r="W554" s="136">
        <v>24766633.399999999</v>
      </c>
      <c r="X554" s="134">
        <v>22548639.179999996</v>
      </c>
      <c r="Y554" s="134">
        <v>0</v>
      </c>
      <c r="Z554" s="141">
        <f>SUM(CATEGORIAS[[#This Row],[COSTO ACUMULADO
ANTERIOR]:[PROVISIONES
ANTERIOR]])</f>
        <v>47315272.579999998</v>
      </c>
      <c r="AA554" s="338">
        <f>ABS(+CATEGORIAS[[#This Row],[PRESUPUESTO
FINAL
PROYECTADO]]-CATEGORIAS[[#This Row],[TOTAL PRODUCCION
ACTUAL]])</f>
        <v>0</v>
      </c>
      <c r="AB554" s="222"/>
      <c r="AC554" s="134"/>
      <c r="AD554" s="134">
        <v>49500</v>
      </c>
      <c r="AE554" s="139">
        <f>SUM(CATEGORIAS[[#This Row],[INVENTARIO]:[PROYECCION
DE COSTO
DEL SALDO]])</f>
        <v>49500</v>
      </c>
      <c r="AF554" s="134"/>
      <c r="AG554" s="134">
        <f>+CATEGORIAS[[#This Row],[PRESUPUESTO
FINAL
PROYECTADO]]-CATEGORIAS[[#This Row],[COSTO REAL]]-CATEGORIAS[[#This Row],[PROYECCION
TOTAL DE COSTO]]</f>
        <v>-10342162.023654386</v>
      </c>
    </row>
    <row r="555" spans="1:33" x14ac:dyDescent="0.25">
      <c r="A555" s="245"/>
      <c r="B555" s="245"/>
      <c r="C555" s="245"/>
      <c r="D555" s="323" t="s">
        <v>2317</v>
      </c>
      <c r="E555" s="244" t="s">
        <v>468</v>
      </c>
      <c r="F555" s="246" t="s">
        <v>376</v>
      </c>
      <c r="G555" s="279">
        <v>0</v>
      </c>
      <c r="H555" s="279">
        <v>0</v>
      </c>
      <c r="I555" s="132">
        <v>0</v>
      </c>
      <c r="J555" s="132">
        <v>0</v>
      </c>
      <c r="K555" s="132">
        <v>0</v>
      </c>
      <c r="L555" s="144">
        <f>CATEGORIAS[[#This Row],[ADICIONALES]]+CATEGORIAS[[#This Row],[POM]]+CATEGORIAS[[#This Row],[REAJUSTE 
PAGADO]]+CATEGORIAS[[#This Row],[REAJUSTE
PROYECTADO]]</f>
        <v>0</v>
      </c>
      <c r="M555" s="133">
        <v>0</v>
      </c>
      <c r="N555" s="222">
        <v>0</v>
      </c>
      <c r="O555" s="142">
        <f>+CATEGORIAS[[#This Row],[PRODUCCION
PARTIDAS
ORIGINALES
ACTUAL]]+CATEGORIAS[[#This Row],[PRODUCCION
ADICIONALES
ACTUAL]]</f>
        <v>0</v>
      </c>
      <c r="P555" s="134">
        <v>0</v>
      </c>
      <c r="Q555" s="134">
        <v>0</v>
      </c>
      <c r="R555" s="141">
        <f>+CATEGORIAS[[#This Row],[PRODUCCION
ANTERIOR]]+CATEGORIAS[[#This Row],[PRODUCCION
ADICIONALES
ANTERIOR]]</f>
        <v>0</v>
      </c>
      <c r="S555" s="135">
        <v>0</v>
      </c>
      <c r="T555" s="135"/>
      <c r="U555" s="135">
        <v>0</v>
      </c>
      <c r="V555" s="142">
        <f>SUM(CATEGORIAS[[#This Row],[COSTO
ACUMULADO  AX]:[PROVISIONES]])</f>
        <v>0</v>
      </c>
      <c r="W555" s="136">
        <v>0</v>
      </c>
      <c r="X555" s="134"/>
      <c r="Y555" s="134">
        <v>0</v>
      </c>
      <c r="Z555" s="141">
        <f>SUM(CATEGORIAS[[#This Row],[COSTO ACUMULADO
ANTERIOR]:[PROVISIONES
ANTERIOR]])</f>
        <v>0</v>
      </c>
      <c r="AA555" s="338">
        <f>ABS(+CATEGORIAS[[#This Row],[PRESUPUESTO
FINAL
PROYECTADO]]-CATEGORIAS[[#This Row],[TOTAL PRODUCCION
ACTUAL]])</f>
        <v>0</v>
      </c>
      <c r="AB555" s="222"/>
      <c r="AC555" s="134"/>
      <c r="AD555" s="134">
        <v>0</v>
      </c>
      <c r="AE555" s="139">
        <f>SUM(CATEGORIAS[[#This Row],[INVENTARIO]:[PROYECCION
DE COSTO
DEL SALDO]])</f>
        <v>0</v>
      </c>
      <c r="AF555" s="134"/>
      <c r="AG555" s="134">
        <f>+CATEGORIAS[[#This Row],[PRESUPUESTO
FINAL
PROYECTADO]]-CATEGORIAS[[#This Row],[COSTO REAL]]-CATEGORIAS[[#This Row],[PROYECCION
TOTAL DE COSTO]]</f>
        <v>0</v>
      </c>
    </row>
    <row r="556" spans="1:33" x14ac:dyDescent="0.25">
      <c r="A556" s="245" t="s">
        <v>132</v>
      </c>
      <c r="B556" s="245" t="s">
        <v>132</v>
      </c>
      <c r="C556" s="245" t="s">
        <v>2451</v>
      </c>
      <c r="D556" s="323" t="s">
        <v>2318</v>
      </c>
      <c r="E556" s="246" t="s">
        <v>471</v>
      </c>
      <c r="F556" s="246" t="s">
        <v>379</v>
      </c>
      <c r="G556" s="279">
        <v>62225000</v>
      </c>
      <c r="H556" s="279">
        <v>62225000</v>
      </c>
      <c r="I556" s="132">
        <v>28898393.590566523</v>
      </c>
      <c r="J556" s="132">
        <v>2193951.129038611</v>
      </c>
      <c r="K556" s="132">
        <v>0</v>
      </c>
      <c r="L556" s="144">
        <f>CATEGORIAS[[#This Row],[ADICIONALES]]+CATEGORIAS[[#This Row],[POM]]+CATEGORIAS[[#This Row],[REAJUSTE 
PAGADO]]+CATEGORIAS[[#This Row],[REAJUSTE
PROYECTADO]]</f>
        <v>93317344.719605133</v>
      </c>
      <c r="M556" s="133">
        <v>64406736.323506974</v>
      </c>
      <c r="N556" s="222">
        <v>28910608.396098159</v>
      </c>
      <c r="O556" s="142">
        <f>+CATEGORIAS[[#This Row],[PRODUCCION
PARTIDAS
ORIGINALES
ACTUAL]]+CATEGORIAS[[#This Row],[PRODUCCION
ADICIONALES
ACTUAL]]</f>
        <v>93317344.719605133</v>
      </c>
      <c r="P556" s="134">
        <v>64406736.323506974</v>
      </c>
      <c r="Q556" s="222">
        <v>28898393.590566523</v>
      </c>
      <c r="R556" s="141">
        <f>+CATEGORIAS[[#This Row],[PRODUCCION
ANTERIOR]]+CATEGORIAS[[#This Row],[PRODUCCION
ADICIONALES
ANTERIOR]]</f>
        <v>93305129.914073497</v>
      </c>
      <c r="S556" s="135">
        <v>118923482</v>
      </c>
      <c r="T556" s="135"/>
      <c r="U556" s="135">
        <v>0</v>
      </c>
      <c r="V556" s="142">
        <f>SUM(CATEGORIAS[[#This Row],[COSTO
ACUMULADO  AX]:[PROVISIONES]])</f>
        <v>118923482</v>
      </c>
      <c r="W556" s="136">
        <v>117984349</v>
      </c>
      <c r="X556" s="134"/>
      <c r="Y556" s="134">
        <v>0</v>
      </c>
      <c r="Z556" s="141">
        <f>SUM(CATEGORIAS[[#This Row],[COSTO ACUMULADO
ANTERIOR]:[PROVISIONES
ANTERIOR]])</f>
        <v>117984349</v>
      </c>
      <c r="AA556" s="338">
        <f>ABS(+CATEGORIAS[[#This Row],[PRESUPUESTO
FINAL
PROYECTADO]]-CATEGORIAS[[#This Row],[TOTAL PRODUCCION
ACTUAL]])</f>
        <v>0</v>
      </c>
      <c r="AB556" s="222"/>
      <c r="AC556" s="134"/>
      <c r="AD556" s="134">
        <v>200000</v>
      </c>
      <c r="AE556" s="139">
        <f>SUM(CATEGORIAS[[#This Row],[INVENTARIO]:[PROYECCION
DE COSTO
DEL SALDO]])</f>
        <v>200000</v>
      </c>
      <c r="AF556" s="134"/>
      <c r="AG556" s="134">
        <f>+CATEGORIAS[[#This Row],[PRESUPUESTO
FINAL
PROYECTADO]]-CATEGORIAS[[#This Row],[COSTO REAL]]-CATEGORIAS[[#This Row],[PROYECCION
TOTAL DE COSTO]]</f>
        <v>-25806137.280394867</v>
      </c>
    </row>
    <row r="557" spans="1:33" x14ac:dyDescent="0.25">
      <c r="A557" s="245"/>
      <c r="B557" s="245"/>
      <c r="C557" s="245"/>
      <c r="D557" s="323" t="s">
        <v>2319</v>
      </c>
      <c r="E557" s="244" t="s">
        <v>473</v>
      </c>
      <c r="F557" s="246" t="s">
        <v>376</v>
      </c>
      <c r="G557" s="279">
        <v>0</v>
      </c>
      <c r="H557" s="279">
        <v>0</v>
      </c>
      <c r="I557" s="132">
        <v>0</v>
      </c>
      <c r="J557" s="132">
        <v>0</v>
      </c>
      <c r="K557" s="132">
        <v>0</v>
      </c>
      <c r="L557" s="144">
        <f>CATEGORIAS[[#This Row],[ADICIONALES]]+CATEGORIAS[[#This Row],[POM]]+CATEGORIAS[[#This Row],[REAJUSTE 
PAGADO]]+CATEGORIAS[[#This Row],[REAJUSTE
PROYECTADO]]</f>
        <v>0</v>
      </c>
      <c r="M557" s="133">
        <v>0</v>
      </c>
      <c r="N557" s="222">
        <v>0</v>
      </c>
      <c r="O557" s="142">
        <f>+CATEGORIAS[[#This Row],[PRODUCCION
PARTIDAS
ORIGINALES
ACTUAL]]+CATEGORIAS[[#This Row],[PRODUCCION
ADICIONALES
ACTUAL]]</f>
        <v>0</v>
      </c>
      <c r="P557" s="222">
        <v>0</v>
      </c>
      <c r="Q557" s="222">
        <v>0</v>
      </c>
      <c r="R557" s="141">
        <f>+CATEGORIAS[[#This Row],[PRODUCCION
ANTERIOR]]+CATEGORIAS[[#This Row],[PRODUCCION
ADICIONALES
ANTERIOR]]</f>
        <v>0</v>
      </c>
      <c r="S557" s="135">
        <v>0</v>
      </c>
      <c r="T557" s="135"/>
      <c r="U557" s="135">
        <v>0</v>
      </c>
      <c r="V557" s="142">
        <f>SUM(CATEGORIAS[[#This Row],[COSTO
ACUMULADO  AX]:[PROVISIONES]])</f>
        <v>0</v>
      </c>
      <c r="W557" s="136">
        <v>0</v>
      </c>
      <c r="X557" s="134"/>
      <c r="Y557" s="134">
        <v>0</v>
      </c>
      <c r="Z557" s="141">
        <f>SUM(CATEGORIAS[[#This Row],[COSTO ACUMULADO
ANTERIOR]:[PROVISIONES
ANTERIOR]])</f>
        <v>0</v>
      </c>
      <c r="AA557" s="338">
        <f>ABS(+CATEGORIAS[[#This Row],[PRESUPUESTO
FINAL
PROYECTADO]]-CATEGORIAS[[#This Row],[TOTAL PRODUCCION
ACTUAL]])</f>
        <v>0</v>
      </c>
      <c r="AB557" s="222"/>
      <c r="AC557" s="134"/>
      <c r="AD557" s="134">
        <v>0</v>
      </c>
      <c r="AE557" s="139">
        <f>SUM(CATEGORIAS[[#This Row],[INVENTARIO]:[PROYECCION
DE COSTO
DEL SALDO]])</f>
        <v>0</v>
      </c>
      <c r="AF557" s="134"/>
      <c r="AG557" s="134">
        <f>+CATEGORIAS[[#This Row],[PRESUPUESTO
FINAL
PROYECTADO]]-CATEGORIAS[[#This Row],[COSTO REAL]]-CATEGORIAS[[#This Row],[PROYECCION
TOTAL DE COSTO]]</f>
        <v>0</v>
      </c>
    </row>
    <row r="558" spans="1:33" x14ac:dyDescent="0.25">
      <c r="A558" s="245"/>
      <c r="B558" s="245"/>
      <c r="C558" s="245"/>
      <c r="D558" s="323" t="s">
        <v>2330</v>
      </c>
      <c r="E558" s="244" t="s">
        <v>2320</v>
      </c>
      <c r="F558" s="246" t="s">
        <v>376</v>
      </c>
      <c r="G558" s="279">
        <v>0</v>
      </c>
      <c r="H558" s="279">
        <v>0</v>
      </c>
      <c r="I558" s="132">
        <v>0</v>
      </c>
      <c r="J558" s="132">
        <v>0</v>
      </c>
      <c r="K558" s="132">
        <v>0</v>
      </c>
      <c r="L558" s="144">
        <f>CATEGORIAS[[#This Row],[ADICIONALES]]+CATEGORIAS[[#This Row],[POM]]+CATEGORIAS[[#This Row],[REAJUSTE 
PAGADO]]+CATEGORIAS[[#This Row],[REAJUSTE
PROYECTADO]]</f>
        <v>0</v>
      </c>
      <c r="M558" s="133">
        <v>0</v>
      </c>
      <c r="N558" s="222">
        <v>0</v>
      </c>
      <c r="O558" s="142">
        <f>+CATEGORIAS[[#This Row],[PRODUCCION
PARTIDAS
ORIGINALES
ACTUAL]]+CATEGORIAS[[#This Row],[PRODUCCION
ADICIONALES
ACTUAL]]</f>
        <v>0</v>
      </c>
      <c r="P558" s="134">
        <v>0</v>
      </c>
      <c r="Q558" s="134">
        <v>0</v>
      </c>
      <c r="R558" s="141">
        <f>+CATEGORIAS[[#This Row],[PRODUCCION
ANTERIOR]]+CATEGORIAS[[#This Row],[PRODUCCION
ADICIONALES
ANTERIOR]]</f>
        <v>0</v>
      </c>
      <c r="S558" s="135">
        <v>0</v>
      </c>
      <c r="T558" s="135"/>
      <c r="U558" s="135">
        <v>0</v>
      </c>
      <c r="V558" s="142">
        <f>SUM(CATEGORIAS[[#This Row],[COSTO
ACUMULADO  AX]:[PROVISIONES]])</f>
        <v>0</v>
      </c>
      <c r="W558" s="136">
        <v>0</v>
      </c>
      <c r="X558" s="134"/>
      <c r="Y558" s="134">
        <v>0</v>
      </c>
      <c r="Z558" s="141">
        <f>SUM(CATEGORIAS[[#This Row],[COSTO ACUMULADO
ANTERIOR]:[PROVISIONES
ANTERIOR]])</f>
        <v>0</v>
      </c>
      <c r="AA558" s="338">
        <f>ABS(+CATEGORIAS[[#This Row],[PRESUPUESTO
FINAL
PROYECTADO]]-CATEGORIAS[[#This Row],[TOTAL PRODUCCION
ACTUAL]])</f>
        <v>0</v>
      </c>
      <c r="AB558" s="222"/>
      <c r="AC558" s="134"/>
      <c r="AD558" s="134">
        <v>0</v>
      </c>
      <c r="AE558" s="139">
        <f>SUM(CATEGORIAS[[#This Row],[INVENTARIO]:[PROYECCION
DE COSTO
DEL SALDO]])</f>
        <v>0</v>
      </c>
      <c r="AF558" s="134"/>
      <c r="AG558" s="134">
        <f>+CATEGORIAS[[#This Row],[PRESUPUESTO
FINAL
PROYECTADO]]-CATEGORIAS[[#This Row],[COSTO REAL]]-CATEGORIAS[[#This Row],[PROYECCION
TOTAL DE COSTO]]</f>
        <v>0</v>
      </c>
    </row>
    <row r="559" spans="1:33" x14ac:dyDescent="0.25">
      <c r="A559" s="245"/>
      <c r="B559" s="245"/>
      <c r="C559" s="245"/>
      <c r="D559" s="323" t="s">
        <v>2331</v>
      </c>
      <c r="E559" s="244" t="s">
        <v>2332</v>
      </c>
      <c r="F559" s="246" t="s">
        <v>376</v>
      </c>
      <c r="G559" s="279">
        <v>0</v>
      </c>
      <c r="H559" s="279">
        <v>0</v>
      </c>
      <c r="I559" s="132">
        <v>0</v>
      </c>
      <c r="J559" s="132">
        <v>0</v>
      </c>
      <c r="K559" s="132">
        <v>0</v>
      </c>
      <c r="L559" s="144">
        <f>CATEGORIAS[[#This Row],[ADICIONALES]]+CATEGORIAS[[#This Row],[POM]]+CATEGORIAS[[#This Row],[REAJUSTE 
PAGADO]]+CATEGORIAS[[#This Row],[REAJUSTE
PROYECTADO]]</f>
        <v>0</v>
      </c>
      <c r="M559" s="133">
        <v>0</v>
      </c>
      <c r="N559" s="222">
        <v>0</v>
      </c>
      <c r="O559" s="142">
        <f>+CATEGORIAS[[#This Row],[PRODUCCION
PARTIDAS
ORIGINALES
ACTUAL]]+CATEGORIAS[[#This Row],[PRODUCCION
ADICIONALES
ACTUAL]]</f>
        <v>0</v>
      </c>
      <c r="P559" s="222">
        <v>0</v>
      </c>
      <c r="Q559" s="222">
        <v>0</v>
      </c>
      <c r="R559" s="141">
        <f>+CATEGORIAS[[#This Row],[PRODUCCION
ANTERIOR]]+CATEGORIAS[[#This Row],[PRODUCCION
ADICIONALES
ANTERIOR]]</f>
        <v>0</v>
      </c>
      <c r="S559" s="135">
        <v>0</v>
      </c>
      <c r="T559" s="264"/>
      <c r="U559" s="135">
        <v>0</v>
      </c>
      <c r="V559" s="262">
        <f>SUM(CATEGORIAS[[#This Row],[COSTO
ACUMULADO  AX]:[PROVISIONES]])</f>
        <v>0</v>
      </c>
      <c r="W559" s="264">
        <v>0</v>
      </c>
      <c r="X559" s="222"/>
      <c r="Y559" s="222">
        <v>0</v>
      </c>
      <c r="Z559" s="263">
        <f>SUM(CATEGORIAS[[#This Row],[COSTO ACUMULADO
ANTERIOR]:[PROVISIONES
ANTERIOR]])</f>
        <v>0</v>
      </c>
      <c r="AA559" s="338">
        <f>ABS(+CATEGORIAS[[#This Row],[PRESUPUESTO
FINAL
PROYECTADO]]-CATEGORIAS[[#This Row],[TOTAL PRODUCCION
ACTUAL]])</f>
        <v>0</v>
      </c>
      <c r="AB559" s="222"/>
      <c r="AC559" s="134"/>
      <c r="AD559" s="134">
        <v>0</v>
      </c>
      <c r="AE559" s="221">
        <f>SUM(CATEGORIAS[[#This Row],[INVENTARIO]:[PROYECCION
DE COSTO
DEL SALDO]])</f>
        <v>0</v>
      </c>
      <c r="AF559" s="134"/>
      <c r="AG559" s="134">
        <f>+CATEGORIAS[[#This Row],[PRESUPUESTO
FINAL
PROYECTADO]]-CATEGORIAS[[#This Row],[COSTO REAL]]-CATEGORIAS[[#This Row],[PROYECCION
TOTAL DE COSTO]]</f>
        <v>0</v>
      </c>
    </row>
    <row r="560" spans="1:33" x14ac:dyDescent="0.25">
      <c r="A560" s="245"/>
      <c r="B560" s="245"/>
      <c r="C560" s="245"/>
      <c r="D560" s="323" t="s">
        <v>2267</v>
      </c>
      <c r="E560" s="244" t="s">
        <v>1402</v>
      </c>
      <c r="F560" s="246" t="s">
        <v>376</v>
      </c>
      <c r="G560" s="280">
        <v>0</v>
      </c>
      <c r="H560" s="280">
        <v>0</v>
      </c>
      <c r="I560" s="132">
        <v>0</v>
      </c>
      <c r="J560" s="132">
        <v>0</v>
      </c>
      <c r="K560" s="132">
        <v>0</v>
      </c>
      <c r="L560" s="144">
        <f>CATEGORIAS[[#This Row],[ADICIONALES]]+CATEGORIAS[[#This Row],[POM]]+CATEGORIAS[[#This Row],[REAJUSTE 
PAGADO]]+CATEGORIAS[[#This Row],[REAJUSTE
PROYECTADO]]</f>
        <v>0</v>
      </c>
      <c r="M560" s="133">
        <v>0</v>
      </c>
      <c r="N560" s="222">
        <v>0</v>
      </c>
      <c r="O560" s="142">
        <f>+CATEGORIAS[[#This Row],[PRODUCCION
PARTIDAS
ORIGINALES
ACTUAL]]+CATEGORIAS[[#This Row],[PRODUCCION
ADICIONALES
ACTUAL]]</f>
        <v>0</v>
      </c>
      <c r="P560" s="222">
        <v>0</v>
      </c>
      <c r="Q560" s="222">
        <v>0</v>
      </c>
      <c r="R560" s="141">
        <f>+CATEGORIAS[[#This Row],[PRODUCCION
ANTERIOR]]+CATEGORIAS[[#This Row],[PRODUCCION
ADICIONALES
ANTERIOR]]</f>
        <v>0</v>
      </c>
      <c r="S560" s="297">
        <v>0</v>
      </c>
      <c r="T560" s="135"/>
      <c r="U560" s="135">
        <v>0</v>
      </c>
      <c r="V560" s="142">
        <f>SUM(CATEGORIAS[[#This Row],[COSTO
ACUMULADO  AX]:[PROVISIONES]])</f>
        <v>0</v>
      </c>
      <c r="W560" s="136">
        <v>0</v>
      </c>
      <c r="X560" s="134"/>
      <c r="Y560" s="134">
        <v>0</v>
      </c>
      <c r="Z560" s="141">
        <f>SUM(CATEGORIAS[[#This Row],[COSTO ACUMULADO
ANTERIOR]:[PROVISIONES
ANTERIOR]])</f>
        <v>0</v>
      </c>
      <c r="AA560" s="338">
        <f>ABS(+CATEGORIAS[[#This Row],[PRESUPUESTO
FINAL
PROYECTADO]]-CATEGORIAS[[#This Row],[TOTAL PRODUCCION
ACTUAL]])</f>
        <v>0</v>
      </c>
      <c r="AB560" s="222"/>
      <c r="AC560" s="134"/>
      <c r="AD560" s="134">
        <v>0</v>
      </c>
      <c r="AE560" s="139">
        <f>SUM(CATEGORIAS[[#This Row],[INVENTARIO]:[PROYECCION
DE COSTO
DEL SALDO]])</f>
        <v>0</v>
      </c>
      <c r="AF560" s="134"/>
      <c r="AG560" s="134">
        <f>+CATEGORIAS[[#This Row],[PRESUPUESTO
FINAL
PROYECTADO]]-CATEGORIAS[[#This Row],[COSTO REAL]]-CATEGORIAS[[#This Row],[PROYECCION
TOTAL DE COSTO]]</f>
        <v>0</v>
      </c>
    </row>
    <row r="561" spans="1:33" x14ac:dyDescent="0.25">
      <c r="A561" s="245"/>
      <c r="B561" s="245"/>
      <c r="C561" s="245"/>
      <c r="D561" s="323" t="s">
        <v>2268</v>
      </c>
      <c r="E561" s="244" t="s">
        <v>2269</v>
      </c>
      <c r="F561" s="246" t="s">
        <v>376</v>
      </c>
      <c r="G561" s="279">
        <v>0</v>
      </c>
      <c r="H561" s="279">
        <v>0</v>
      </c>
      <c r="I561" s="132">
        <v>0</v>
      </c>
      <c r="J561" s="132">
        <v>0</v>
      </c>
      <c r="K561" s="132">
        <v>0</v>
      </c>
      <c r="L561" s="144">
        <f>CATEGORIAS[[#This Row],[ADICIONALES]]+CATEGORIAS[[#This Row],[POM]]+CATEGORIAS[[#This Row],[REAJUSTE 
PAGADO]]+CATEGORIAS[[#This Row],[REAJUSTE
PROYECTADO]]</f>
        <v>0</v>
      </c>
      <c r="M561" s="133">
        <v>0</v>
      </c>
      <c r="N561" s="222">
        <v>0</v>
      </c>
      <c r="O561" s="142">
        <f>+CATEGORIAS[[#This Row],[PRODUCCION
PARTIDAS
ORIGINALES
ACTUAL]]+CATEGORIAS[[#This Row],[PRODUCCION
ADICIONALES
ACTUAL]]</f>
        <v>0</v>
      </c>
      <c r="P561" s="134">
        <v>0</v>
      </c>
      <c r="Q561" s="222">
        <v>0</v>
      </c>
      <c r="R561" s="141">
        <f>+CATEGORIAS[[#This Row],[PRODUCCION
ANTERIOR]]+CATEGORIAS[[#This Row],[PRODUCCION
ADICIONALES
ANTERIOR]]</f>
        <v>0</v>
      </c>
      <c r="S561" s="297">
        <v>0</v>
      </c>
      <c r="T561" s="135"/>
      <c r="U561" s="135">
        <v>0</v>
      </c>
      <c r="V561" s="142">
        <f>SUM(CATEGORIAS[[#This Row],[COSTO
ACUMULADO  AX]:[PROVISIONES]])</f>
        <v>0</v>
      </c>
      <c r="W561" s="136">
        <v>0</v>
      </c>
      <c r="X561" s="134"/>
      <c r="Y561" s="134">
        <v>0</v>
      </c>
      <c r="Z561" s="141">
        <f>SUM(CATEGORIAS[[#This Row],[COSTO ACUMULADO
ANTERIOR]:[PROVISIONES
ANTERIOR]])</f>
        <v>0</v>
      </c>
      <c r="AA561" s="338">
        <f>ABS(+CATEGORIAS[[#This Row],[PRESUPUESTO
FINAL
PROYECTADO]]-CATEGORIAS[[#This Row],[TOTAL PRODUCCION
ACTUAL]])</f>
        <v>0</v>
      </c>
      <c r="AB561" s="222"/>
      <c r="AC561" s="134"/>
      <c r="AD561" s="134">
        <v>0</v>
      </c>
      <c r="AE561" s="139">
        <f>SUM(CATEGORIAS[[#This Row],[INVENTARIO]:[PROYECCION
DE COSTO
DEL SALDO]])</f>
        <v>0</v>
      </c>
      <c r="AF561" s="134"/>
      <c r="AG561" s="134">
        <f>+CATEGORIAS[[#This Row],[PRESUPUESTO
FINAL
PROYECTADO]]-CATEGORIAS[[#This Row],[COSTO REAL]]-CATEGORIAS[[#This Row],[PROYECCION
TOTAL DE COSTO]]</f>
        <v>0</v>
      </c>
    </row>
    <row r="562" spans="1:33" x14ac:dyDescent="0.25">
      <c r="A562" s="245"/>
      <c r="B562" s="245"/>
      <c r="C562" s="245"/>
      <c r="D562" s="323" t="s">
        <v>2270</v>
      </c>
      <c r="E562" s="244" t="s">
        <v>1405</v>
      </c>
      <c r="F562" s="246" t="s">
        <v>376</v>
      </c>
      <c r="G562" s="280">
        <v>0</v>
      </c>
      <c r="H562" s="280">
        <v>0</v>
      </c>
      <c r="I562" s="132">
        <v>0</v>
      </c>
      <c r="J562" s="132">
        <v>0</v>
      </c>
      <c r="K562" s="132">
        <v>0</v>
      </c>
      <c r="L562" s="144">
        <f>CATEGORIAS[[#This Row],[ADICIONALES]]+CATEGORIAS[[#This Row],[POM]]+CATEGORIAS[[#This Row],[REAJUSTE 
PAGADO]]+CATEGORIAS[[#This Row],[REAJUSTE
PROYECTADO]]</f>
        <v>0</v>
      </c>
      <c r="M562" s="133">
        <v>0</v>
      </c>
      <c r="N562" s="222">
        <v>0</v>
      </c>
      <c r="O562" s="142">
        <f>+CATEGORIAS[[#This Row],[PRODUCCION
PARTIDAS
ORIGINALES
ACTUAL]]+CATEGORIAS[[#This Row],[PRODUCCION
ADICIONALES
ACTUAL]]</f>
        <v>0</v>
      </c>
      <c r="P562" s="222">
        <v>0</v>
      </c>
      <c r="Q562" s="222">
        <v>0</v>
      </c>
      <c r="R562" s="141">
        <f>+CATEGORIAS[[#This Row],[PRODUCCION
ANTERIOR]]+CATEGORIAS[[#This Row],[PRODUCCION
ADICIONALES
ANTERIOR]]</f>
        <v>0</v>
      </c>
      <c r="S562" s="135">
        <v>0</v>
      </c>
      <c r="T562" s="135"/>
      <c r="U562" s="135">
        <v>0</v>
      </c>
      <c r="V562" s="142">
        <f>SUM(CATEGORIAS[[#This Row],[COSTO
ACUMULADO  AX]:[PROVISIONES]])</f>
        <v>0</v>
      </c>
      <c r="W562" s="136">
        <v>0</v>
      </c>
      <c r="X562" s="134"/>
      <c r="Y562" s="134">
        <v>0</v>
      </c>
      <c r="Z562" s="141">
        <f>SUM(CATEGORIAS[[#This Row],[COSTO ACUMULADO
ANTERIOR]:[PROVISIONES
ANTERIOR]])</f>
        <v>0</v>
      </c>
      <c r="AA562" s="338">
        <f>ABS(+CATEGORIAS[[#This Row],[PRESUPUESTO
FINAL
PROYECTADO]]-CATEGORIAS[[#This Row],[TOTAL PRODUCCION
ACTUAL]])</f>
        <v>0</v>
      </c>
      <c r="AB562" s="222"/>
      <c r="AC562" s="134"/>
      <c r="AD562" s="134">
        <v>0</v>
      </c>
      <c r="AE562" s="139">
        <f>SUM(CATEGORIAS[[#This Row],[INVENTARIO]:[PROYECCION
DE COSTO
DEL SALDO]])</f>
        <v>0</v>
      </c>
      <c r="AF562" s="134"/>
      <c r="AG562" s="134">
        <f>+CATEGORIAS[[#This Row],[PRESUPUESTO
FINAL
PROYECTADO]]-CATEGORIAS[[#This Row],[COSTO REAL]]-CATEGORIAS[[#This Row],[PROYECCION
TOTAL DE COSTO]]</f>
        <v>0</v>
      </c>
    </row>
    <row r="563" spans="1:33" x14ac:dyDescent="0.25">
      <c r="A563" s="245" t="s">
        <v>142</v>
      </c>
      <c r="B563" s="245" t="s">
        <v>2429</v>
      </c>
      <c r="C563" s="245" t="s">
        <v>2436</v>
      </c>
      <c r="D563" s="323" t="s">
        <v>2271</v>
      </c>
      <c r="E563" s="244" t="s">
        <v>1408</v>
      </c>
      <c r="F563" s="246" t="s">
        <v>376</v>
      </c>
      <c r="G563" s="279">
        <v>8312500.000160668</v>
      </c>
      <c r="H563" s="279">
        <v>8312500.000160668</v>
      </c>
      <c r="I563" s="132">
        <v>0</v>
      </c>
      <c r="J563" s="132">
        <v>293085.07449555572</v>
      </c>
      <c r="K563" s="132">
        <v>0</v>
      </c>
      <c r="L563" s="144">
        <f>CATEGORIAS[[#This Row],[ADICIONALES]]+CATEGORIAS[[#This Row],[POM]]+CATEGORIAS[[#This Row],[REAJUSTE 
PAGADO]]+CATEGORIAS[[#This Row],[REAJUSTE
PROYECTADO]]</f>
        <v>8605585.0746562239</v>
      </c>
      <c r="M563" s="133">
        <v>8605585.0758256298</v>
      </c>
      <c r="N563" s="222">
        <v>0</v>
      </c>
      <c r="O563" s="142">
        <f>+CATEGORIAS[[#This Row],[PRODUCCION
PARTIDAS
ORIGINALES
ACTUAL]]+CATEGORIAS[[#This Row],[PRODUCCION
ADICIONALES
ACTUAL]]</f>
        <v>8605585.0758256298</v>
      </c>
      <c r="P563" s="134">
        <v>8603953.3258256298</v>
      </c>
      <c r="Q563" s="134">
        <v>0</v>
      </c>
      <c r="R563" s="141">
        <f>+CATEGORIAS[[#This Row],[PRODUCCION
ANTERIOR]]+CATEGORIAS[[#This Row],[PRODUCCION
ADICIONALES
ANTERIOR]]</f>
        <v>8603953.3258256298</v>
      </c>
      <c r="S563" s="135">
        <v>42897990</v>
      </c>
      <c r="T563" s="135"/>
      <c r="U563" s="135">
        <v>0</v>
      </c>
      <c r="V563" s="142">
        <f>SUM(CATEGORIAS[[#This Row],[COSTO
ACUMULADO  AX]:[PROVISIONES]])</f>
        <v>42897990</v>
      </c>
      <c r="W563" s="136">
        <v>42857359</v>
      </c>
      <c r="X563" s="134"/>
      <c r="Y563" s="134">
        <v>0</v>
      </c>
      <c r="Z563" s="141">
        <f>SUM(CATEGORIAS[[#This Row],[COSTO ACUMULADO
ANTERIOR]:[PROVISIONES
ANTERIOR]])</f>
        <v>42857359</v>
      </c>
      <c r="AA563" s="339">
        <f>ABS(+CATEGORIAS[[#This Row],[PRESUPUESTO
FINAL
PROYECTADO]]-CATEGORIAS[[#This Row],[TOTAL PRODUCCION
ACTUAL]])</f>
        <v>1.1694058775901794E-3</v>
      </c>
      <c r="AB563" s="222"/>
      <c r="AC563" s="134"/>
      <c r="AD563" s="134">
        <v>0</v>
      </c>
      <c r="AE563" s="139">
        <f>SUM(CATEGORIAS[[#This Row],[INVENTARIO]:[PROYECCION
DE COSTO
DEL SALDO]])</f>
        <v>0</v>
      </c>
      <c r="AF563" s="134"/>
      <c r="AG563" s="134">
        <f>+CATEGORIAS[[#This Row],[PRESUPUESTO
FINAL
PROYECTADO]]-CATEGORIAS[[#This Row],[COSTO REAL]]-CATEGORIAS[[#This Row],[PROYECCION
TOTAL DE COSTO]]</f>
        <v>-34292404.925343774</v>
      </c>
    </row>
    <row r="564" spans="1:33" x14ac:dyDescent="0.25">
      <c r="A564" s="245"/>
      <c r="B564" s="245"/>
      <c r="C564" s="245"/>
      <c r="D564" s="323" t="s">
        <v>2272</v>
      </c>
      <c r="E564" s="244" t="s">
        <v>1410</v>
      </c>
      <c r="F564" s="246" t="s">
        <v>376</v>
      </c>
      <c r="G564" s="280">
        <v>0</v>
      </c>
      <c r="H564" s="280">
        <v>0</v>
      </c>
      <c r="I564" s="132">
        <v>0</v>
      </c>
      <c r="J564" s="132">
        <v>0</v>
      </c>
      <c r="K564" s="132">
        <v>0</v>
      </c>
      <c r="L564" s="144">
        <f>CATEGORIAS[[#This Row],[ADICIONALES]]+CATEGORIAS[[#This Row],[POM]]+CATEGORIAS[[#This Row],[REAJUSTE 
PAGADO]]+CATEGORIAS[[#This Row],[REAJUSTE
PROYECTADO]]</f>
        <v>0</v>
      </c>
      <c r="M564" s="133">
        <v>0</v>
      </c>
      <c r="N564" s="222">
        <v>0</v>
      </c>
      <c r="O564" s="142">
        <f>+CATEGORIAS[[#This Row],[PRODUCCION
PARTIDAS
ORIGINALES
ACTUAL]]+CATEGORIAS[[#This Row],[PRODUCCION
ADICIONALES
ACTUAL]]</f>
        <v>0</v>
      </c>
      <c r="P564" s="222">
        <v>0</v>
      </c>
      <c r="Q564" s="222">
        <v>0</v>
      </c>
      <c r="R564" s="141">
        <f>+CATEGORIAS[[#This Row],[PRODUCCION
ANTERIOR]]+CATEGORIAS[[#This Row],[PRODUCCION
ADICIONALES
ANTERIOR]]</f>
        <v>0</v>
      </c>
      <c r="S564" s="297">
        <v>0</v>
      </c>
      <c r="T564" s="135"/>
      <c r="U564" s="135">
        <v>0</v>
      </c>
      <c r="V564" s="142">
        <f>SUM(CATEGORIAS[[#This Row],[COSTO
ACUMULADO  AX]:[PROVISIONES]])</f>
        <v>0</v>
      </c>
      <c r="W564" s="136">
        <v>0</v>
      </c>
      <c r="X564" s="134"/>
      <c r="Y564" s="134">
        <v>0</v>
      </c>
      <c r="Z564" s="141">
        <f>SUM(CATEGORIAS[[#This Row],[COSTO ACUMULADO
ANTERIOR]:[PROVISIONES
ANTERIOR]])</f>
        <v>0</v>
      </c>
      <c r="AA564" s="338">
        <f>ABS(+CATEGORIAS[[#This Row],[PRESUPUESTO
FINAL
PROYECTADO]]-CATEGORIAS[[#This Row],[TOTAL PRODUCCION
ACTUAL]])</f>
        <v>0</v>
      </c>
      <c r="AB564" s="222"/>
      <c r="AC564" s="134"/>
      <c r="AD564" s="134">
        <v>0</v>
      </c>
      <c r="AE564" s="139">
        <f>SUM(CATEGORIAS[[#This Row],[INVENTARIO]:[PROYECCION
DE COSTO
DEL SALDO]])</f>
        <v>0</v>
      </c>
      <c r="AF564" s="134"/>
      <c r="AG564" s="134">
        <f>+CATEGORIAS[[#This Row],[PRESUPUESTO
FINAL
PROYECTADO]]-CATEGORIAS[[#This Row],[COSTO REAL]]-CATEGORIAS[[#This Row],[PROYECCION
TOTAL DE COSTO]]</f>
        <v>0</v>
      </c>
    </row>
    <row r="565" spans="1:33" x14ac:dyDescent="0.25">
      <c r="A565" s="245" t="s">
        <v>145</v>
      </c>
      <c r="B565" s="245" t="s">
        <v>246</v>
      </c>
      <c r="C565" s="245" t="s">
        <v>2389</v>
      </c>
      <c r="D565" s="323" t="s">
        <v>2273</v>
      </c>
      <c r="E565" s="244" t="s">
        <v>1413</v>
      </c>
      <c r="F565" s="246" t="s">
        <v>379</v>
      </c>
      <c r="G565" s="279">
        <v>12191666.666902319</v>
      </c>
      <c r="H565" s="279">
        <v>12191666.666902319</v>
      </c>
      <c r="I565" s="132">
        <v>0</v>
      </c>
      <c r="J565" s="132">
        <v>429858.10926014849</v>
      </c>
      <c r="K565" s="132">
        <v>0</v>
      </c>
      <c r="L565" s="144">
        <f>CATEGORIAS[[#This Row],[ADICIONALES]]+CATEGORIAS[[#This Row],[POM]]+CATEGORIAS[[#This Row],[REAJUSTE 
PAGADO]]+CATEGORIAS[[#This Row],[REAJUSTE
PROYECTADO]]</f>
        <v>12621524.776162468</v>
      </c>
      <c r="M565" s="133">
        <v>12621524.774544301</v>
      </c>
      <c r="N565" s="222">
        <v>0</v>
      </c>
      <c r="O565" s="142">
        <f>+CATEGORIAS[[#This Row],[PRODUCCION
PARTIDAS
ORIGINALES
ACTUAL]]+CATEGORIAS[[#This Row],[PRODUCCION
ADICIONALES
ACTUAL]]</f>
        <v>12621524.774544301</v>
      </c>
      <c r="P565" s="134">
        <v>12619131.544544263</v>
      </c>
      <c r="Q565" s="222">
        <v>0</v>
      </c>
      <c r="R565" s="141">
        <f>+CATEGORIAS[[#This Row],[PRODUCCION
ANTERIOR]]+CATEGORIAS[[#This Row],[PRODUCCION
ADICIONALES
ANTERIOR]]</f>
        <v>12619131.544544263</v>
      </c>
      <c r="S565" s="135">
        <v>10424583</v>
      </c>
      <c r="T565" s="135"/>
      <c r="U565" s="135">
        <v>0</v>
      </c>
      <c r="V565" s="142">
        <f>SUM(CATEGORIAS[[#This Row],[COSTO
ACUMULADO  AX]:[PROVISIONES]])</f>
        <v>10424583</v>
      </c>
      <c r="W565" s="136">
        <v>10424583</v>
      </c>
      <c r="X565" s="134"/>
      <c r="Y565" s="134">
        <v>0</v>
      </c>
      <c r="Z565" s="141">
        <f>SUM(CATEGORIAS[[#This Row],[COSTO ACUMULADO
ANTERIOR]:[PROVISIONES
ANTERIOR]])</f>
        <v>10424583</v>
      </c>
      <c r="AA565" s="339">
        <f>ABS(+CATEGORIAS[[#This Row],[PRESUPUESTO
FINAL
PROYECTADO]]-CATEGORIAS[[#This Row],[TOTAL PRODUCCION
ACTUAL]])</f>
        <v>1.6181673854589462E-3</v>
      </c>
      <c r="AB565" s="222"/>
      <c r="AC565" s="134"/>
      <c r="AD565" s="134">
        <v>0</v>
      </c>
      <c r="AE565" s="139">
        <f>SUM(CATEGORIAS[[#This Row],[INVENTARIO]:[PROYECCION
DE COSTO
DEL SALDO]])</f>
        <v>0</v>
      </c>
      <c r="AF565" s="134"/>
      <c r="AG565" s="134">
        <f>+CATEGORIAS[[#This Row],[PRESUPUESTO
FINAL
PROYECTADO]]-CATEGORIAS[[#This Row],[COSTO REAL]]-CATEGORIAS[[#This Row],[PROYECCION
TOTAL DE COSTO]]</f>
        <v>2196941.7761624679</v>
      </c>
    </row>
    <row r="566" spans="1:33" x14ac:dyDescent="0.25">
      <c r="A566" s="245" t="s">
        <v>145</v>
      </c>
      <c r="B566" s="245" t="s">
        <v>247</v>
      </c>
      <c r="C566" s="245" t="s">
        <v>2390</v>
      </c>
      <c r="D566" s="323" t="s">
        <v>2274</v>
      </c>
      <c r="E566" s="244" t="s">
        <v>1415</v>
      </c>
      <c r="F566" s="246" t="s">
        <v>376</v>
      </c>
      <c r="G566" s="280">
        <v>39324470.949226037</v>
      </c>
      <c r="H566" s="280">
        <v>39324470.949226037</v>
      </c>
      <c r="I566" s="132">
        <v>0</v>
      </c>
      <c r="J566" s="132">
        <v>1386516.1500667019</v>
      </c>
      <c r="K566" s="132">
        <v>0</v>
      </c>
      <c r="L566" s="144">
        <f>CATEGORIAS[[#This Row],[ADICIONALES]]+CATEGORIAS[[#This Row],[POM]]+CATEGORIAS[[#This Row],[REAJUSTE 
PAGADO]]+CATEGORIAS[[#This Row],[REAJUSTE
PROYECTADO]]</f>
        <v>40710987.09929274</v>
      </c>
      <c r="M566" s="133">
        <v>40710987.101610504</v>
      </c>
      <c r="N566" s="222">
        <v>0</v>
      </c>
      <c r="O566" s="142">
        <f>+CATEGORIAS[[#This Row],[PRODUCCION
PARTIDAS
ORIGINALES
ACTUAL]]+CATEGORIAS[[#This Row],[PRODUCCION
ADICIONALES
ACTUAL]]</f>
        <v>40710987.101610504</v>
      </c>
      <c r="P566" s="222">
        <v>40703267.681610473</v>
      </c>
      <c r="Q566" s="222">
        <v>0</v>
      </c>
      <c r="R566" s="141">
        <f>+CATEGORIAS[[#This Row],[PRODUCCION
ANTERIOR]]+CATEGORIAS[[#This Row],[PRODUCCION
ADICIONALES
ANTERIOR]]</f>
        <v>40703267.681610473</v>
      </c>
      <c r="S566" s="135">
        <v>42161778</v>
      </c>
      <c r="T566" s="135">
        <v>0</v>
      </c>
      <c r="U566" s="135">
        <v>1869832</v>
      </c>
      <c r="V566" s="142">
        <f>SUM(CATEGORIAS[[#This Row],[COSTO
ACUMULADO  AX]:[PROVISIONES]])</f>
        <v>44031610</v>
      </c>
      <c r="W566" s="136">
        <v>42475051</v>
      </c>
      <c r="X566" s="134">
        <v>0</v>
      </c>
      <c r="Y566" s="134">
        <v>2400967</v>
      </c>
      <c r="Z566" s="141">
        <f>SUM(CATEGORIAS[[#This Row],[COSTO ACUMULADO
ANTERIOR]:[PROVISIONES
ANTERIOR]])</f>
        <v>44876018</v>
      </c>
      <c r="AA566" s="339">
        <f>ABS(+CATEGORIAS[[#This Row],[PRESUPUESTO
FINAL
PROYECTADO]]-CATEGORIAS[[#This Row],[TOTAL PRODUCCION
ACTUAL]])</f>
        <v>2.3177638649940491E-3</v>
      </c>
      <c r="AB566" s="222"/>
      <c r="AC566" s="134"/>
      <c r="AD566" s="134">
        <v>0</v>
      </c>
      <c r="AE566" s="139">
        <f>SUM(CATEGORIAS[[#This Row],[INVENTARIO]:[PROYECCION
DE COSTO
DEL SALDO]])</f>
        <v>0</v>
      </c>
      <c r="AF566" s="134"/>
      <c r="AG566" s="134">
        <f>+CATEGORIAS[[#This Row],[PRESUPUESTO
FINAL
PROYECTADO]]-CATEGORIAS[[#This Row],[COSTO REAL]]-CATEGORIAS[[#This Row],[PROYECCION
TOTAL DE COSTO]]</f>
        <v>-3320622.9007072598</v>
      </c>
    </row>
    <row r="567" spans="1:33" x14ac:dyDescent="0.25">
      <c r="A567" s="245"/>
      <c r="B567" s="245"/>
      <c r="C567" s="245"/>
      <c r="D567" s="323" t="s">
        <v>2275</v>
      </c>
      <c r="E567" s="244" t="s">
        <v>1417</v>
      </c>
      <c r="F567" s="246" t="s">
        <v>379</v>
      </c>
      <c r="G567" s="279">
        <v>0</v>
      </c>
      <c r="H567" s="279">
        <v>0</v>
      </c>
      <c r="I567" s="132">
        <v>0</v>
      </c>
      <c r="J567" s="132">
        <v>0</v>
      </c>
      <c r="K567" s="132">
        <v>0</v>
      </c>
      <c r="L567" s="144">
        <f>CATEGORIAS[[#This Row],[ADICIONALES]]+CATEGORIAS[[#This Row],[POM]]+CATEGORIAS[[#This Row],[REAJUSTE 
PAGADO]]+CATEGORIAS[[#This Row],[REAJUSTE
PROYECTADO]]</f>
        <v>0</v>
      </c>
      <c r="M567" s="133">
        <v>0</v>
      </c>
      <c r="N567" s="222">
        <v>0</v>
      </c>
      <c r="O567" s="142">
        <f>+CATEGORIAS[[#This Row],[PRODUCCION
PARTIDAS
ORIGINALES
ACTUAL]]+CATEGORIAS[[#This Row],[PRODUCCION
ADICIONALES
ACTUAL]]</f>
        <v>0</v>
      </c>
      <c r="P567" s="134">
        <v>0</v>
      </c>
      <c r="Q567" s="134">
        <v>0</v>
      </c>
      <c r="R567" s="141">
        <f>+CATEGORIAS[[#This Row],[PRODUCCION
ANTERIOR]]+CATEGORIAS[[#This Row],[PRODUCCION
ADICIONALES
ANTERIOR]]</f>
        <v>0</v>
      </c>
      <c r="S567" s="135">
        <v>0</v>
      </c>
      <c r="T567" s="264"/>
      <c r="U567" s="135">
        <v>0</v>
      </c>
      <c r="V567" s="193">
        <f>SUM(CATEGORIAS[[#This Row],[COSTO
ACUMULADO  AX]:[PROVISIONES]])</f>
        <v>0</v>
      </c>
      <c r="W567" s="136">
        <v>0</v>
      </c>
      <c r="X567" s="134"/>
      <c r="Y567" s="134">
        <v>0</v>
      </c>
      <c r="Z567" s="141">
        <f>SUM(CATEGORIAS[[#This Row],[COSTO ACUMULADO
ANTERIOR]:[PROVISIONES
ANTERIOR]])</f>
        <v>0</v>
      </c>
      <c r="AA567" s="338">
        <f>ABS(+CATEGORIAS[[#This Row],[PRESUPUESTO
FINAL
PROYECTADO]]-CATEGORIAS[[#This Row],[TOTAL PRODUCCION
ACTUAL]])</f>
        <v>0</v>
      </c>
      <c r="AB567" s="222"/>
      <c r="AC567" s="134"/>
      <c r="AD567" s="134">
        <v>0</v>
      </c>
      <c r="AE567" s="139">
        <f>SUM(CATEGORIAS[[#This Row],[INVENTARIO]:[PROYECCION
DE COSTO
DEL SALDO]])</f>
        <v>0</v>
      </c>
      <c r="AF567" s="134"/>
      <c r="AG567" s="134">
        <f>+CATEGORIAS[[#This Row],[PRESUPUESTO
FINAL
PROYECTADO]]-CATEGORIAS[[#This Row],[COSTO REAL]]-CATEGORIAS[[#This Row],[PROYECCION
TOTAL DE COSTO]]</f>
        <v>0</v>
      </c>
    </row>
    <row r="568" spans="1:33" x14ac:dyDescent="0.25">
      <c r="A568" s="245" t="s">
        <v>152</v>
      </c>
      <c r="B568" s="14" t="s">
        <v>155</v>
      </c>
      <c r="C568" s="14" t="s">
        <v>156</v>
      </c>
      <c r="D568" s="323" t="s">
        <v>2276</v>
      </c>
      <c r="E568" s="244" t="s">
        <v>1419</v>
      </c>
      <c r="F568" s="246" t="s">
        <v>376</v>
      </c>
      <c r="G568" s="280">
        <v>190000000.00367245</v>
      </c>
      <c r="H568" s="280">
        <v>190000000.00367245</v>
      </c>
      <c r="I568" s="132">
        <v>0</v>
      </c>
      <c r="J568" s="132">
        <v>0</v>
      </c>
      <c r="K568" s="132">
        <v>0</v>
      </c>
      <c r="L568" s="144">
        <f>CATEGORIAS[[#This Row],[ADICIONALES]]+CATEGORIAS[[#This Row],[POM]]+CATEGORIAS[[#This Row],[REAJUSTE 
PAGADO]]+CATEGORIAS[[#This Row],[REAJUSTE
PROYECTADO]]</f>
        <v>190000000.00367245</v>
      </c>
      <c r="M568" s="133">
        <v>190000000.00367245</v>
      </c>
      <c r="N568" s="222">
        <v>0</v>
      </c>
      <c r="O568" s="142">
        <f>+CATEGORIAS[[#This Row],[PRODUCCION
PARTIDAS
ORIGINALES
ACTUAL]]+CATEGORIAS[[#This Row],[PRODUCCION
ADICIONALES
ACTUAL]]</f>
        <v>190000000.00367245</v>
      </c>
      <c r="P568" s="134">
        <v>190000000.00367245</v>
      </c>
      <c r="Q568" s="222">
        <v>0</v>
      </c>
      <c r="R568" s="141">
        <f>+CATEGORIAS[[#This Row],[PRODUCCION
ANTERIOR]]+CATEGORIAS[[#This Row],[PRODUCCION
ADICIONALES
ANTERIOR]]</f>
        <v>190000000.00367245</v>
      </c>
      <c r="S568" s="135">
        <v>190000000.00367245</v>
      </c>
      <c r="T568" s="135"/>
      <c r="U568" s="135">
        <v>0</v>
      </c>
      <c r="V568" s="142">
        <f>SUM(CATEGORIAS[[#This Row],[COSTO
ACUMULADO  AX]:[PROVISIONES]])</f>
        <v>190000000.00367245</v>
      </c>
      <c r="W568" s="136">
        <v>190000000.00367245</v>
      </c>
      <c r="X568" s="134"/>
      <c r="Y568" s="134">
        <v>0</v>
      </c>
      <c r="Z568" s="141">
        <f>SUM(CATEGORIAS[[#This Row],[COSTO ACUMULADO
ANTERIOR]:[PROVISIONES
ANTERIOR]])</f>
        <v>190000000.00367245</v>
      </c>
      <c r="AA568" s="338">
        <f>ABS(+CATEGORIAS[[#This Row],[PRESUPUESTO
FINAL
PROYECTADO]]-CATEGORIAS[[#This Row],[TOTAL PRODUCCION
ACTUAL]])</f>
        <v>0</v>
      </c>
      <c r="AB568" s="222"/>
      <c r="AC568" s="134"/>
      <c r="AD568" s="134">
        <f>+CATEGORIAS[[#This Row],[PRESUPUESTO
FINAL
PROYECTADO]]-CATEGORIAS[[#This Row],[PRODUCCION
PARTIDAS
ORIGINALES
ACTUAL]]</f>
        <v>0</v>
      </c>
      <c r="AE568" s="139">
        <f>SUM(CATEGORIAS[[#This Row],[INVENTARIO]:[PROYECCION
DE COSTO
DEL SALDO]])</f>
        <v>0</v>
      </c>
      <c r="AF568" s="134"/>
      <c r="AG568" s="134">
        <f>+CATEGORIAS[[#This Row],[PRESUPUESTO
FINAL
PROYECTADO]]-CATEGORIAS[[#This Row],[COSTO REAL]]-CATEGORIAS[[#This Row],[PROYECCION
TOTAL DE COSTO]]</f>
        <v>0</v>
      </c>
    </row>
    <row r="569" spans="1:33" x14ac:dyDescent="0.25">
      <c r="A569" s="245" t="s">
        <v>152</v>
      </c>
      <c r="B569" s="14" t="s">
        <v>155</v>
      </c>
      <c r="C569" s="14" t="s">
        <v>156</v>
      </c>
      <c r="D569" s="323" t="s">
        <v>2277</v>
      </c>
      <c r="E569" s="246" t="s">
        <v>1421</v>
      </c>
      <c r="F569" s="246" t="s">
        <v>379</v>
      </c>
      <c r="G569" s="279">
        <v>0</v>
      </c>
      <c r="H569" s="279">
        <v>0</v>
      </c>
      <c r="I569" s="132">
        <v>0</v>
      </c>
      <c r="J569" s="132">
        <v>0</v>
      </c>
      <c r="K569" s="132">
        <v>0</v>
      </c>
      <c r="L569" s="144">
        <f>CATEGORIAS[[#This Row],[ADICIONALES]]+CATEGORIAS[[#This Row],[POM]]+CATEGORIAS[[#This Row],[REAJUSTE 
PAGADO]]+CATEGORIAS[[#This Row],[REAJUSTE
PROYECTADO]]</f>
        <v>0</v>
      </c>
      <c r="M569" s="133">
        <v>0</v>
      </c>
      <c r="N569" s="222">
        <v>0</v>
      </c>
      <c r="O569" s="142">
        <f>+CATEGORIAS[[#This Row],[PRODUCCION
PARTIDAS
ORIGINALES
ACTUAL]]+CATEGORIAS[[#This Row],[PRODUCCION
ADICIONALES
ACTUAL]]</f>
        <v>0</v>
      </c>
      <c r="P569" s="222">
        <v>0</v>
      </c>
      <c r="Q569" s="222">
        <v>0</v>
      </c>
      <c r="R569" s="141">
        <f>+CATEGORIAS[[#This Row],[PRODUCCION
ANTERIOR]]+CATEGORIAS[[#This Row],[PRODUCCION
ADICIONALES
ANTERIOR]]</f>
        <v>0</v>
      </c>
      <c r="S569" s="135">
        <v>0</v>
      </c>
      <c r="T569" s="264"/>
      <c r="U569" s="264">
        <v>0</v>
      </c>
      <c r="V569" s="262">
        <f>SUM(CATEGORIAS[[#This Row],[COSTO
ACUMULADO  AX]:[PROVISIONES]])</f>
        <v>0</v>
      </c>
      <c r="W569" s="264">
        <v>0</v>
      </c>
      <c r="X569" s="222"/>
      <c r="Y569" s="222">
        <v>0</v>
      </c>
      <c r="Z569" s="263">
        <f>SUM(CATEGORIAS[[#This Row],[COSTO ACUMULADO
ANTERIOR]:[PROVISIONES
ANTERIOR]])</f>
        <v>0</v>
      </c>
      <c r="AA569" s="338">
        <f>ABS(+CATEGORIAS[[#This Row],[PRESUPUESTO
FINAL
PROYECTADO]]-CATEGORIAS[[#This Row],[TOTAL PRODUCCION
ACTUAL]])</f>
        <v>0</v>
      </c>
      <c r="AB569" s="222"/>
      <c r="AC569" s="134"/>
      <c r="AD569" s="134">
        <v>0</v>
      </c>
      <c r="AE569" s="221">
        <f>SUM(CATEGORIAS[[#This Row],[INVENTARIO]:[PROYECCION
DE COSTO
DEL SALDO]])</f>
        <v>0</v>
      </c>
      <c r="AF569" s="134"/>
      <c r="AG569" s="134">
        <f>+CATEGORIAS[[#This Row],[PRESUPUESTO
FINAL
PROYECTADO]]-CATEGORIAS[[#This Row],[COSTO REAL]]-CATEGORIAS[[#This Row],[PROYECCION
TOTAL DE COSTO]]</f>
        <v>0</v>
      </c>
    </row>
    <row r="570" spans="1:33" x14ac:dyDescent="0.25">
      <c r="A570" s="245" t="s">
        <v>152</v>
      </c>
      <c r="B570" s="245" t="s">
        <v>157</v>
      </c>
      <c r="C570" s="245" t="s">
        <v>158</v>
      </c>
      <c r="D570" s="323" t="s">
        <v>2278</v>
      </c>
      <c r="E570" s="244" t="s">
        <v>1423</v>
      </c>
      <c r="F570" s="246" t="s">
        <v>376</v>
      </c>
      <c r="G570" s="279">
        <v>47500000.000918113</v>
      </c>
      <c r="H570" s="279">
        <v>47500000.000918113</v>
      </c>
      <c r="I570" s="132">
        <v>0</v>
      </c>
      <c r="J570" s="132">
        <v>0</v>
      </c>
      <c r="K570" s="132">
        <v>0</v>
      </c>
      <c r="L570" s="144">
        <f>CATEGORIAS[[#This Row],[ADICIONALES]]+CATEGORIAS[[#This Row],[POM]]+CATEGORIAS[[#This Row],[REAJUSTE 
PAGADO]]+CATEGORIAS[[#This Row],[REAJUSTE
PROYECTADO]]</f>
        <v>47500000.000918113</v>
      </c>
      <c r="M570" s="133">
        <v>47500000.000918113</v>
      </c>
      <c r="N570" s="222">
        <v>0</v>
      </c>
      <c r="O570" s="142">
        <f>+CATEGORIAS[[#This Row],[PRODUCCION
PARTIDAS
ORIGINALES
ACTUAL]]+CATEGORIAS[[#This Row],[PRODUCCION
ADICIONALES
ACTUAL]]</f>
        <v>47500000.000918113</v>
      </c>
      <c r="P570" s="222">
        <v>47500000.000918113</v>
      </c>
      <c r="Q570" s="222">
        <v>0</v>
      </c>
      <c r="R570" s="141">
        <f>+CATEGORIAS[[#This Row],[PRODUCCION
ANTERIOR]]+CATEGORIAS[[#This Row],[PRODUCCION
ADICIONALES
ANTERIOR]]</f>
        <v>47500000.000918113</v>
      </c>
      <c r="S570" s="135">
        <v>47500000.000918113</v>
      </c>
      <c r="T570" s="264"/>
      <c r="U570" s="264">
        <v>0</v>
      </c>
      <c r="V570" s="262">
        <f>SUM(CATEGORIAS[[#This Row],[COSTO
ACUMULADO  AX]:[PROVISIONES]])</f>
        <v>47500000.000918113</v>
      </c>
      <c r="W570" s="264">
        <v>47500000.000918113</v>
      </c>
      <c r="X570" s="222"/>
      <c r="Y570" s="222">
        <v>0</v>
      </c>
      <c r="Z570" s="263">
        <f>SUM(CATEGORIAS[[#This Row],[COSTO ACUMULADO
ANTERIOR]:[PROVISIONES
ANTERIOR]])</f>
        <v>47500000.000918113</v>
      </c>
      <c r="AA570" s="338">
        <f>ABS(+CATEGORIAS[[#This Row],[PRESUPUESTO
FINAL
PROYECTADO]]-CATEGORIAS[[#This Row],[TOTAL PRODUCCION
ACTUAL]])</f>
        <v>0</v>
      </c>
      <c r="AB570" s="222"/>
      <c r="AC570" s="134"/>
      <c r="AD570" s="134">
        <f>+CATEGORIAS[[#This Row],[PRESUPUESTO
FINAL
PROYECTADO]]-CATEGORIAS[[#This Row],[PRODUCCION
PARTIDAS
ORIGINALES
ACTUAL]]</f>
        <v>0</v>
      </c>
      <c r="AE570" s="221">
        <f>SUM(CATEGORIAS[[#This Row],[INVENTARIO]:[PROYECCION
DE COSTO
DEL SALDO]])</f>
        <v>0</v>
      </c>
      <c r="AF570" s="134"/>
      <c r="AG570" s="134">
        <f>+CATEGORIAS[[#This Row],[PRESUPUESTO
FINAL
PROYECTADO]]-CATEGORIAS[[#This Row],[COSTO REAL]]-CATEGORIAS[[#This Row],[PROYECCION
TOTAL DE COSTO]]</f>
        <v>0</v>
      </c>
    </row>
    <row r="571" spans="1:33" x14ac:dyDescent="0.25">
      <c r="A571" s="245" t="s">
        <v>152</v>
      </c>
      <c r="B571" s="245" t="s">
        <v>157</v>
      </c>
      <c r="C571" s="245" t="s">
        <v>158</v>
      </c>
      <c r="D571" s="323" t="s">
        <v>2279</v>
      </c>
      <c r="E571" s="244" t="s">
        <v>1425</v>
      </c>
      <c r="F571" s="246" t="s">
        <v>379</v>
      </c>
      <c r="G571" s="279">
        <v>0</v>
      </c>
      <c r="H571" s="279">
        <v>0</v>
      </c>
      <c r="I571" s="132">
        <v>0</v>
      </c>
      <c r="J571" s="132">
        <v>0</v>
      </c>
      <c r="K571" s="132">
        <v>0</v>
      </c>
      <c r="L571" s="144">
        <f>CATEGORIAS[[#This Row],[ADICIONALES]]+CATEGORIAS[[#This Row],[POM]]+CATEGORIAS[[#This Row],[REAJUSTE 
PAGADO]]+CATEGORIAS[[#This Row],[REAJUSTE
PROYECTADO]]</f>
        <v>0</v>
      </c>
      <c r="M571" s="133">
        <v>0</v>
      </c>
      <c r="N571" s="222">
        <v>0</v>
      </c>
      <c r="O571" s="142">
        <f>+CATEGORIAS[[#This Row],[PRODUCCION
PARTIDAS
ORIGINALES
ACTUAL]]+CATEGORIAS[[#This Row],[PRODUCCION
ADICIONALES
ACTUAL]]</f>
        <v>0</v>
      </c>
      <c r="P571" s="222">
        <v>0</v>
      </c>
      <c r="Q571" s="222">
        <v>0</v>
      </c>
      <c r="R571" s="141">
        <f>+CATEGORIAS[[#This Row],[PRODUCCION
ANTERIOR]]+CATEGORIAS[[#This Row],[PRODUCCION
ADICIONALES
ANTERIOR]]</f>
        <v>0</v>
      </c>
      <c r="S571" s="135">
        <v>0</v>
      </c>
      <c r="T571" s="264"/>
      <c r="U571" s="264">
        <v>0</v>
      </c>
      <c r="V571" s="262">
        <f>SUM(CATEGORIAS[[#This Row],[COSTO
ACUMULADO  AX]:[PROVISIONES]])</f>
        <v>0</v>
      </c>
      <c r="W571" s="264">
        <v>0</v>
      </c>
      <c r="X571" s="222"/>
      <c r="Y571" s="222">
        <v>0</v>
      </c>
      <c r="Z571" s="263">
        <f>SUM(CATEGORIAS[[#This Row],[COSTO ACUMULADO
ANTERIOR]:[PROVISIONES
ANTERIOR]])</f>
        <v>0</v>
      </c>
      <c r="AA571" s="338">
        <f>ABS(+CATEGORIAS[[#This Row],[PRESUPUESTO
FINAL
PROYECTADO]]-CATEGORIAS[[#This Row],[TOTAL PRODUCCION
ACTUAL]])</f>
        <v>0</v>
      </c>
      <c r="AB571" s="222"/>
      <c r="AC571" s="134"/>
      <c r="AD571" s="134">
        <v>0</v>
      </c>
      <c r="AE571" s="221">
        <f>SUM(CATEGORIAS[[#This Row],[INVENTARIO]:[PROYECCION
DE COSTO
DEL SALDO]])</f>
        <v>0</v>
      </c>
      <c r="AF571" s="134"/>
      <c r="AG571" s="134">
        <f>+CATEGORIAS[[#This Row],[PRESUPUESTO
FINAL
PROYECTADO]]-CATEGORIAS[[#This Row],[COSTO REAL]]-CATEGORIAS[[#This Row],[PROYECCION
TOTAL DE COSTO]]</f>
        <v>0</v>
      </c>
    </row>
    <row r="572" spans="1:33" x14ac:dyDescent="0.25">
      <c r="A572" s="245" t="s">
        <v>152</v>
      </c>
      <c r="B572" s="245" t="s">
        <v>159</v>
      </c>
      <c r="C572" s="245" t="s">
        <v>1428</v>
      </c>
      <c r="D572" s="323" t="s">
        <v>2280</v>
      </c>
      <c r="E572" s="244" t="s">
        <v>1427</v>
      </c>
      <c r="F572" s="246" t="s">
        <v>376</v>
      </c>
      <c r="G572" s="279">
        <v>142500000.00275433</v>
      </c>
      <c r="H572" s="279">
        <v>142500000.00275433</v>
      </c>
      <c r="I572" s="132">
        <v>0</v>
      </c>
      <c r="J572" s="132">
        <v>0</v>
      </c>
      <c r="K572" s="132">
        <v>0</v>
      </c>
      <c r="L572" s="144">
        <f>CATEGORIAS[[#This Row],[ADICIONALES]]+CATEGORIAS[[#This Row],[POM]]+CATEGORIAS[[#This Row],[REAJUSTE 
PAGADO]]+CATEGORIAS[[#This Row],[REAJUSTE
PROYECTADO]]</f>
        <v>142500000.00275433</v>
      </c>
      <c r="M572" s="133">
        <v>142500000.00275433</v>
      </c>
      <c r="N572" s="222">
        <v>0</v>
      </c>
      <c r="O572" s="142">
        <f>+CATEGORIAS[[#This Row],[PRODUCCION
PARTIDAS
ORIGINALES
ACTUAL]]+CATEGORIAS[[#This Row],[PRODUCCION
ADICIONALES
ACTUAL]]</f>
        <v>142500000.00275433</v>
      </c>
      <c r="P572" s="134">
        <v>142500000.00275433</v>
      </c>
      <c r="Q572" s="134">
        <v>0</v>
      </c>
      <c r="R572" s="141">
        <f>+CATEGORIAS[[#This Row],[PRODUCCION
ANTERIOR]]+CATEGORIAS[[#This Row],[PRODUCCION
ADICIONALES
ANTERIOR]]</f>
        <v>142500000.00275433</v>
      </c>
      <c r="S572" s="135">
        <v>142500000.00275433</v>
      </c>
      <c r="T572" s="135"/>
      <c r="U572" s="264">
        <v>0</v>
      </c>
      <c r="V572" s="142">
        <f>SUM(CATEGORIAS[[#This Row],[COSTO
ACUMULADO  AX]:[PROVISIONES]])</f>
        <v>142500000.00275433</v>
      </c>
      <c r="W572" s="136">
        <v>142500000.00275433</v>
      </c>
      <c r="X572" s="134"/>
      <c r="Y572" s="134">
        <v>0</v>
      </c>
      <c r="Z572" s="141">
        <f>SUM(CATEGORIAS[[#This Row],[COSTO ACUMULADO
ANTERIOR]:[PROVISIONES
ANTERIOR]])</f>
        <v>142500000.00275433</v>
      </c>
      <c r="AA572" s="338">
        <f>ABS(+CATEGORIAS[[#This Row],[PRESUPUESTO
FINAL
PROYECTADO]]-CATEGORIAS[[#This Row],[TOTAL PRODUCCION
ACTUAL]])</f>
        <v>0</v>
      </c>
      <c r="AB572" s="222"/>
      <c r="AC572" s="134"/>
      <c r="AD572" s="134">
        <f>+CATEGORIAS[[#This Row],[PRESUPUESTO
FINAL
PROYECTADO]]-CATEGORIAS[[#This Row],[PRODUCCION
PARTIDAS
ORIGINALES
ACTUAL]]</f>
        <v>0</v>
      </c>
      <c r="AE572" s="139">
        <f>SUM(CATEGORIAS[[#This Row],[INVENTARIO]:[PROYECCION
DE COSTO
DEL SALDO]])</f>
        <v>0</v>
      </c>
      <c r="AF572" s="134"/>
      <c r="AG572" s="134">
        <f>+CATEGORIAS[[#This Row],[PRESUPUESTO
FINAL
PROYECTADO]]-CATEGORIAS[[#This Row],[COSTO REAL]]-CATEGORIAS[[#This Row],[PROYECCION
TOTAL DE COSTO]]</f>
        <v>0</v>
      </c>
    </row>
    <row r="573" spans="1:33" x14ac:dyDescent="0.25">
      <c r="A573" s="245" t="s">
        <v>152</v>
      </c>
      <c r="B573" s="245" t="s">
        <v>159</v>
      </c>
      <c r="C573" s="245" t="s">
        <v>1428</v>
      </c>
      <c r="D573" s="323" t="s">
        <v>2281</v>
      </c>
      <c r="E573" s="244" t="s">
        <v>1430</v>
      </c>
      <c r="F573" s="246" t="s">
        <v>379</v>
      </c>
      <c r="G573" s="279">
        <v>0</v>
      </c>
      <c r="H573" s="279">
        <v>0</v>
      </c>
      <c r="I573" s="132">
        <v>0</v>
      </c>
      <c r="J573" s="132">
        <v>0</v>
      </c>
      <c r="K573" s="132">
        <v>0</v>
      </c>
      <c r="L573" s="144">
        <f>CATEGORIAS[[#This Row],[ADICIONALES]]+CATEGORIAS[[#This Row],[POM]]+CATEGORIAS[[#This Row],[REAJUSTE 
PAGADO]]+CATEGORIAS[[#This Row],[REAJUSTE
PROYECTADO]]</f>
        <v>0</v>
      </c>
      <c r="M573" s="133">
        <v>0</v>
      </c>
      <c r="N573" s="222">
        <v>0</v>
      </c>
      <c r="O573" s="142">
        <f>+CATEGORIAS[[#This Row],[PRODUCCION
PARTIDAS
ORIGINALES
ACTUAL]]+CATEGORIAS[[#This Row],[PRODUCCION
ADICIONALES
ACTUAL]]</f>
        <v>0</v>
      </c>
      <c r="P573" s="222">
        <v>0</v>
      </c>
      <c r="Q573" s="222">
        <v>0</v>
      </c>
      <c r="R573" s="141">
        <f>+CATEGORIAS[[#This Row],[PRODUCCION
ANTERIOR]]+CATEGORIAS[[#This Row],[PRODUCCION
ADICIONALES
ANTERIOR]]</f>
        <v>0</v>
      </c>
      <c r="S573" s="135">
        <v>0</v>
      </c>
      <c r="T573" s="135"/>
      <c r="U573" s="264">
        <v>0</v>
      </c>
      <c r="V573" s="142">
        <f>SUM(CATEGORIAS[[#This Row],[COSTO
ACUMULADO  AX]:[PROVISIONES]])</f>
        <v>0</v>
      </c>
      <c r="W573" s="136">
        <v>0</v>
      </c>
      <c r="X573" s="134"/>
      <c r="Y573" s="134">
        <v>0</v>
      </c>
      <c r="Z573" s="141">
        <f>SUM(CATEGORIAS[[#This Row],[COSTO ACUMULADO
ANTERIOR]:[PROVISIONES
ANTERIOR]])</f>
        <v>0</v>
      </c>
      <c r="AA573" s="338">
        <f>ABS(+CATEGORIAS[[#This Row],[PRESUPUESTO
FINAL
PROYECTADO]]-CATEGORIAS[[#This Row],[TOTAL PRODUCCION
ACTUAL]])</f>
        <v>0</v>
      </c>
      <c r="AB573" s="222"/>
      <c r="AC573" s="134"/>
      <c r="AD573" s="134">
        <v>0</v>
      </c>
      <c r="AE573" s="139">
        <f>SUM(CATEGORIAS[[#This Row],[INVENTARIO]:[PROYECCION
DE COSTO
DEL SALDO]])</f>
        <v>0</v>
      </c>
      <c r="AF573" s="134"/>
      <c r="AG573" s="134">
        <f>+CATEGORIAS[[#This Row],[PRESUPUESTO
FINAL
PROYECTADO]]-CATEGORIAS[[#This Row],[COSTO REAL]]-CATEGORIAS[[#This Row],[PROYECCION
TOTAL DE COSTO]]</f>
        <v>0</v>
      </c>
    </row>
    <row r="574" spans="1:33" x14ac:dyDescent="0.25">
      <c r="A574" s="245"/>
      <c r="B574" s="245"/>
      <c r="C574" s="245"/>
      <c r="D574" s="323" t="s">
        <v>2282</v>
      </c>
      <c r="E574" s="244" t="s">
        <v>1433</v>
      </c>
      <c r="F574" s="246" t="s">
        <v>376</v>
      </c>
      <c r="G574" s="279">
        <v>0</v>
      </c>
      <c r="H574" s="279">
        <v>0</v>
      </c>
      <c r="I574" s="132">
        <v>0</v>
      </c>
      <c r="J574" s="132">
        <v>0</v>
      </c>
      <c r="K574" s="132">
        <v>0</v>
      </c>
      <c r="L574" s="144">
        <f>CATEGORIAS[[#This Row],[ADICIONALES]]+CATEGORIAS[[#This Row],[POM]]+CATEGORIAS[[#This Row],[REAJUSTE 
PAGADO]]+CATEGORIAS[[#This Row],[REAJUSTE
PROYECTADO]]</f>
        <v>0</v>
      </c>
      <c r="M574" s="133">
        <v>0</v>
      </c>
      <c r="N574" s="222">
        <v>0</v>
      </c>
      <c r="O574" s="142">
        <f>+CATEGORIAS[[#This Row],[PRODUCCION
PARTIDAS
ORIGINALES
ACTUAL]]+CATEGORIAS[[#This Row],[PRODUCCION
ADICIONALES
ACTUAL]]</f>
        <v>0</v>
      </c>
      <c r="P574" s="134">
        <v>0</v>
      </c>
      <c r="Q574" s="222">
        <v>0</v>
      </c>
      <c r="R574" s="141">
        <f>+CATEGORIAS[[#This Row],[PRODUCCION
ANTERIOR]]+CATEGORIAS[[#This Row],[PRODUCCION
ADICIONALES
ANTERIOR]]</f>
        <v>0</v>
      </c>
      <c r="S574" s="135">
        <v>0</v>
      </c>
      <c r="T574" s="135"/>
      <c r="U574" s="264">
        <v>0</v>
      </c>
      <c r="V574" s="142">
        <f>SUM(CATEGORIAS[[#This Row],[COSTO
ACUMULADO  AX]:[PROVISIONES]])</f>
        <v>0</v>
      </c>
      <c r="W574" s="136">
        <v>0</v>
      </c>
      <c r="X574" s="134"/>
      <c r="Y574" s="134">
        <v>0</v>
      </c>
      <c r="Z574" s="141">
        <f>SUM(CATEGORIAS[[#This Row],[COSTO ACUMULADO
ANTERIOR]:[PROVISIONES
ANTERIOR]])</f>
        <v>0</v>
      </c>
      <c r="AA574" s="338">
        <f>ABS(+CATEGORIAS[[#This Row],[PRESUPUESTO
FINAL
PROYECTADO]]-CATEGORIAS[[#This Row],[TOTAL PRODUCCION
ACTUAL]])</f>
        <v>0</v>
      </c>
      <c r="AB574" s="222"/>
      <c r="AC574" s="134"/>
      <c r="AD574" s="134">
        <v>0</v>
      </c>
      <c r="AE574" s="139">
        <f>SUM(CATEGORIAS[[#This Row],[INVENTARIO]:[PROYECCION
DE COSTO
DEL SALDO]])</f>
        <v>0</v>
      </c>
      <c r="AF574" s="134"/>
      <c r="AG574" s="134">
        <f>+CATEGORIAS[[#This Row],[PRESUPUESTO
FINAL
PROYECTADO]]-CATEGORIAS[[#This Row],[COSTO REAL]]-CATEGORIAS[[#This Row],[PROYECCION
TOTAL DE COSTO]]</f>
        <v>0</v>
      </c>
    </row>
    <row r="575" spans="1:33" x14ac:dyDescent="0.25">
      <c r="A575" s="245"/>
      <c r="B575" s="245"/>
      <c r="C575" s="245"/>
      <c r="D575" s="323" t="s">
        <v>2283</v>
      </c>
      <c r="E575" s="244" t="s">
        <v>1435</v>
      </c>
      <c r="F575" s="246" t="s">
        <v>376</v>
      </c>
      <c r="G575" s="279">
        <v>0</v>
      </c>
      <c r="H575" s="279">
        <v>0</v>
      </c>
      <c r="I575" s="132">
        <v>0</v>
      </c>
      <c r="J575" s="132">
        <v>0</v>
      </c>
      <c r="K575" s="132">
        <v>0</v>
      </c>
      <c r="L575" s="144">
        <f>CATEGORIAS[[#This Row],[ADICIONALES]]+CATEGORIAS[[#This Row],[POM]]+CATEGORIAS[[#This Row],[REAJUSTE 
PAGADO]]+CATEGORIAS[[#This Row],[REAJUSTE
PROYECTADO]]</f>
        <v>0</v>
      </c>
      <c r="M575" s="133">
        <v>0</v>
      </c>
      <c r="N575" s="222">
        <v>0</v>
      </c>
      <c r="O575" s="142">
        <f>+CATEGORIAS[[#This Row],[PRODUCCION
PARTIDAS
ORIGINALES
ACTUAL]]+CATEGORIAS[[#This Row],[PRODUCCION
ADICIONALES
ACTUAL]]</f>
        <v>0</v>
      </c>
      <c r="P575" s="222">
        <v>0</v>
      </c>
      <c r="Q575" s="222">
        <v>0</v>
      </c>
      <c r="R575" s="141">
        <f>+CATEGORIAS[[#This Row],[PRODUCCION
ANTERIOR]]+CATEGORIAS[[#This Row],[PRODUCCION
ADICIONALES
ANTERIOR]]</f>
        <v>0</v>
      </c>
      <c r="S575" s="135">
        <v>0</v>
      </c>
      <c r="T575" s="264"/>
      <c r="U575" s="264">
        <v>0</v>
      </c>
      <c r="V575" s="262">
        <f>SUM(CATEGORIAS[[#This Row],[COSTO
ACUMULADO  AX]:[PROVISIONES]])</f>
        <v>0</v>
      </c>
      <c r="W575" s="264">
        <v>0</v>
      </c>
      <c r="X575" s="222"/>
      <c r="Y575" s="222">
        <v>0</v>
      </c>
      <c r="Z575" s="263">
        <f>SUM(CATEGORIAS[[#This Row],[COSTO ACUMULADO
ANTERIOR]:[PROVISIONES
ANTERIOR]])</f>
        <v>0</v>
      </c>
      <c r="AA575" s="338">
        <f>ABS(+CATEGORIAS[[#This Row],[PRESUPUESTO
FINAL
PROYECTADO]]-CATEGORIAS[[#This Row],[TOTAL PRODUCCION
ACTUAL]])</f>
        <v>0</v>
      </c>
      <c r="AB575" s="222"/>
      <c r="AC575" s="134"/>
      <c r="AD575" s="134">
        <v>0</v>
      </c>
      <c r="AE575" s="221">
        <f>SUM(CATEGORIAS[[#This Row],[INVENTARIO]:[PROYECCION
DE COSTO
DEL SALDO]])</f>
        <v>0</v>
      </c>
      <c r="AF575" s="134"/>
      <c r="AG575" s="134">
        <f>+CATEGORIAS[[#This Row],[PRESUPUESTO
FINAL
PROYECTADO]]-CATEGORIAS[[#This Row],[COSTO REAL]]-CATEGORIAS[[#This Row],[PROYECCION
TOTAL DE COSTO]]</f>
        <v>0</v>
      </c>
    </row>
    <row r="576" spans="1:33" x14ac:dyDescent="0.25">
      <c r="A576" s="245"/>
      <c r="B576" s="245"/>
      <c r="C576" s="245"/>
      <c r="D576" s="323" t="s">
        <v>2284</v>
      </c>
      <c r="E576" s="244" t="s">
        <v>1436</v>
      </c>
      <c r="F576" s="246" t="s">
        <v>376</v>
      </c>
      <c r="G576" s="279">
        <v>0</v>
      </c>
      <c r="H576" s="279">
        <v>0</v>
      </c>
      <c r="I576" s="132">
        <v>0</v>
      </c>
      <c r="J576" s="132">
        <v>0</v>
      </c>
      <c r="K576" s="132">
        <v>0</v>
      </c>
      <c r="L576" s="144">
        <f>CATEGORIAS[[#This Row],[ADICIONALES]]+CATEGORIAS[[#This Row],[POM]]+CATEGORIAS[[#This Row],[REAJUSTE 
PAGADO]]+CATEGORIAS[[#This Row],[REAJUSTE
PROYECTADO]]</f>
        <v>0</v>
      </c>
      <c r="M576" s="133">
        <v>0</v>
      </c>
      <c r="N576" s="222">
        <v>0</v>
      </c>
      <c r="O576" s="142">
        <f>+CATEGORIAS[[#This Row],[PRODUCCION
PARTIDAS
ORIGINALES
ACTUAL]]+CATEGORIAS[[#This Row],[PRODUCCION
ADICIONALES
ACTUAL]]</f>
        <v>0</v>
      </c>
      <c r="P576" s="222">
        <v>0</v>
      </c>
      <c r="Q576" s="222">
        <v>0</v>
      </c>
      <c r="R576" s="141">
        <f>+CATEGORIAS[[#This Row],[PRODUCCION
ANTERIOR]]+CATEGORIAS[[#This Row],[PRODUCCION
ADICIONALES
ANTERIOR]]</f>
        <v>0</v>
      </c>
      <c r="S576" s="135">
        <v>0</v>
      </c>
      <c r="T576" s="264"/>
      <c r="U576" s="264">
        <v>0</v>
      </c>
      <c r="V576" s="262">
        <f>SUM(CATEGORIAS[[#This Row],[COSTO
ACUMULADO  AX]:[PROVISIONES]])</f>
        <v>0</v>
      </c>
      <c r="W576" s="264">
        <v>0</v>
      </c>
      <c r="X576" s="222"/>
      <c r="Y576" s="222">
        <v>0</v>
      </c>
      <c r="Z576" s="263">
        <f>SUM(CATEGORIAS[[#This Row],[COSTO ACUMULADO
ANTERIOR]:[PROVISIONES
ANTERIOR]])</f>
        <v>0</v>
      </c>
      <c r="AA576" s="338">
        <f>ABS(+CATEGORIAS[[#This Row],[PRESUPUESTO
FINAL
PROYECTADO]]-CATEGORIAS[[#This Row],[TOTAL PRODUCCION
ACTUAL]])</f>
        <v>0</v>
      </c>
      <c r="AB576" s="222"/>
      <c r="AC576" s="134"/>
      <c r="AD576" s="134">
        <v>0</v>
      </c>
      <c r="AE576" s="221">
        <f>SUM(CATEGORIAS[[#This Row],[INVENTARIO]:[PROYECCION
DE COSTO
DEL SALDO]])</f>
        <v>0</v>
      </c>
      <c r="AF576" s="134"/>
      <c r="AG576" s="134">
        <f>+CATEGORIAS[[#This Row],[PRESUPUESTO
FINAL
PROYECTADO]]-CATEGORIAS[[#This Row],[COSTO REAL]]-CATEGORIAS[[#This Row],[PROYECCION
TOTAL DE COSTO]]</f>
        <v>0</v>
      </c>
    </row>
    <row r="577" spans="1:33" x14ac:dyDescent="0.25">
      <c r="A577" s="245"/>
      <c r="B577" s="245"/>
      <c r="C577" s="245"/>
      <c r="D577" s="323" t="s">
        <v>2285</v>
      </c>
      <c r="E577" s="244" t="s">
        <v>1438</v>
      </c>
      <c r="F577" s="246" t="s">
        <v>376</v>
      </c>
      <c r="G577" s="279">
        <v>0</v>
      </c>
      <c r="H577" s="279">
        <v>0</v>
      </c>
      <c r="I577" s="132">
        <v>0</v>
      </c>
      <c r="J577" s="132">
        <v>0</v>
      </c>
      <c r="K577" s="132">
        <v>0</v>
      </c>
      <c r="L577" s="144">
        <f>CATEGORIAS[[#This Row],[ADICIONALES]]+CATEGORIAS[[#This Row],[POM]]+CATEGORIAS[[#This Row],[REAJUSTE 
PAGADO]]+CATEGORIAS[[#This Row],[REAJUSTE
PROYECTADO]]</f>
        <v>0</v>
      </c>
      <c r="M577" s="133">
        <v>0</v>
      </c>
      <c r="N577" s="222">
        <v>0</v>
      </c>
      <c r="O577" s="142">
        <f>+CATEGORIAS[[#This Row],[PRODUCCION
PARTIDAS
ORIGINALES
ACTUAL]]+CATEGORIAS[[#This Row],[PRODUCCION
ADICIONALES
ACTUAL]]</f>
        <v>0</v>
      </c>
      <c r="P577" s="222">
        <v>0</v>
      </c>
      <c r="Q577" s="222">
        <v>0</v>
      </c>
      <c r="R577" s="141">
        <f>+CATEGORIAS[[#This Row],[PRODUCCION
ANTERIOR]]+CATEGORIAS[[#This Row],[PRODUCCION
ADICIONALES
ANTERIOR]]</f>
        <v>0</v>
      </c>
      <c r="S577" s="135">
        <v>0</v>
      </c>
      <c r="T577" s="264"/>
      <c r="U577" s="264">
        <v>0</v>
      </c>
      <c r="V577" s="262">
        <f>SUM(CATEGORIAS[[#This Row],[COSTO
ACUMULADO  AX]:[PROVISIONES]])</f>
        <v>0</v>
      </c>
      <c r="W577" s="264">
        <v>0</v>
      </c>
      <c r="X577" s="222"/>
      <c r="Y577" s="222">
        <v>0</v>
      </c>
      <c r="Z577" s="263">
        <f>SUM(CATEGORIAS[[#This Row],[COSTO ACUMULADO
ANTERIOR]:[PROVISIONES
ANTERIOR]])</f>
        <v>0</v>
      </c>
      <c r="AA577" s="338">
        <f>ABS(+CATEGORIAS[[#This Row],[PRESUPUESTO
FINAL
PROYECTADO]]-CATEGORIAS[[#This Row],[TOTAL PRODUCCION
ACTUAL]])</f>
        <v>0</v>
      </c>
      <c r="AB577" s="222"/>
      <c r="AC577" s="134"/>
      <c r="AD577" s="134">
        <v>0</v>
      </c>
      <c r="AE577" s="221">
        <f>SUM(CATEGORIAS[[#This Row],[INVENTARIO]:[PROYECCION
DE COSTO
DEL SALDO]])</f>
        <v>0</v>
      </c>
      <c r="AF577" s="134"/>
      <c r="AG577" s="134">
        <f>+CATEGORIAS[[#This Row],[PRESUPUESTO
FINAL
PROYECTADO]]-CATEGORIAS[[#This Row],[COSTO REAL]]-CATEGORIAS[[#This Row],[PROYECCION
TOTAL DE COSTO]]</f>
        <v>0</v>
      </c>
    </row>
    <row r="578" spans="1:33" x14ac:dyDescent="0.25">
      <c r="A578" s="245"/>
      <c r="B578" s="245"/>
      <c r="C578" s="245"/>
      <c r="D578" s="323" t="s">
        <v>2333</v>
      </c>
      <c r="E578" s="244" t="s">
        <v>2334</v>
      </c>
      <c r="F578" s="246" t="s">
        <v>376</v>
      </c>
      <c r="G578" s="279">
        <v>0</v>
      </c>
      <c r="H578" s="279">
        <v>0</v>
      </c>
      <c r="I578" s="132">
        <v>0</v>
      </c>
      <c r="J578" s="132">
        <v>0</v>
      </c>
      <c r="K578" s="132">
        <v>0</v>
      </c>
      <c r="L578" s="144">
        <f>CATEGORIAS[[#This Row],[ADICIONALES]]+CATEGORIAS[[#This Row],[POM]]+CATEGORIAS[[#This Row],[REAJUSTE 
PAGADO]]+CATEGORIAS[[#This Row],[REAJUSTE
PROYECTADO]]</f>
        <v>0</v>
      </c>
      <c r="M578" s="133">
        <v>0</v>
      </c>
      <c r="N578" s="222">
        <v>0</v>
      </c>
      <c r="O578" s="142">
        <f>+CATEGORIAS[[#This Row],[PRODUCCION
PARTIDAS
ORIGINALES
ACTUAL]]+CATEGORIAS[[#This Row],[PRODUCCION
ADICIONALES
ACTUAL]]</f>
        <v>0</v>
      </c>
      <c r="P578" s="222">
        <v>0</v>
      </c>
      <c r="Q578" s="222">
        <v>0</v>
      </c>
      <c r="R578" s="141">
        <f>+CATEGORIAS[[#This Row],[PRODUCCION
ANTERIOR]]+CATEGORIAS[[#This Row],[PRODUCCION
ADICIONALES
ANTERIOR]]</f>
        <v>0</v>
      </c>
      <c r="S578" s="297">
        <v>0</v>
      </c>
      <c r="T578" s="264"/>
      <c r="U578" s="264">
        <v>0</v>
      </c>
      <c r="V578" s="262">
        <f>SUM(CATEGORIAS[[#This Row],[COSTO
ACUMULADO  AX]:[PROVISIONES]])</f>
        <v>0</v>
      </c>
      <c r="W578" s="264">
        <v>0</v>
      </c>
      <c r="X578" s="222"/>
      <c r="Y578" s="222">
        <v>0</v>
      </c>
      <c r="Z578" s="263">
        <f>SUM(CATEGORIAS[[#This Row],[COSTO ACUMULADO
ANTERIOR]:[PROVISIONES
ANTERIOR]])</f>
        <v>0</v>
      </c>
      <c r="AA578" s="338">
        <f>ABS(+CATEGORIAS[[#This Row],[PRESUPUESTO
FINAL
PROYECTADO]]-CATEGORIAS[[#This Row],[TOTAL PRODUCCION
ACTUAL]])</f>
        <v>0</v>
      </c>
      <c r="AB578" s="222"/>
      <c r="AC578" s="134"/>
      <c r="AD578" s="134">
        <v>0</v>
      </c>
      <c r="AE578" s="221">
        <f>SUM(CATEGORIAS[[#This Row],[INVENTARIO]:[PROYECCION
DE COSTO
DEL SALDO]])</f>
        <v>0</v>
      </c>
      <c r="AF578" s="134"/>
      <c r="AG578" s="134">
        <f>+CATEGORIAS[[#This Row],[PRESUPUESTO
FINAL
PROYECTADO]]-CATEGORIAS[[#This Row],[COSTO REAL]]-CATEGORIAS[[#This Row],[PROYECCION
TOTAL DE COSTO]]</f>
        <v>0</v>
      </c>
    </row>
    <row r="579" spans="1:33" x14ac:dyDescent="0.25">
      <c r="A579" s="245"/>
      <c r="B579" s="245"/>
      <c r="C579" s="245"/>
      <c r="D579" s="323" t="s">
        <v>2335</v>
      </c>
      <c r="E579" s="244" t="s">
        <v>2336</v>
      </c>
      <c r="F579" s="246" t="s">
        <v>376</v>
      </c>
      <c r="G579" s="279">
        <v>0</v>
      </c>
      <c r="H579" s="279">
        <v>0</v>
      </c>
      <c r="I579" s="132">
        <v>0</v>
      </c>
      <c r="J579" s="132">
        <v>0</v>
      </c>
      <c r="K579" s="132">
        <v>0</v>
      </c>
      <c r="L579" s="144">
        <f>CATEGORIAS[[#This Row],[ADICIONALES]]+CATEGORIAS[[#This Row],[POM]]+CATEGORIAS[[#This Row],[REAJUSTE 
PAGADO]]+CATEGORIAS[[#This Row],[REAJUSTE
PROYECTADO]]</f>
        <v>0</v>
      </c>
      <c r="M579" s="133">
        <v>0</v>
      </c>
      <c r="N579" s="222">
        <v>0</v>
      </c>
      <c r="O579" s="142">
        <f>+CATEGORIAS[[#This Row],[PRODUCCION
PARTIDAS
ORIGINALES
ACTUAL]]+CATEGORIAS[[#This Row],[PRODUCCION
ADICIONALES
ACTUAL]]</f>
        <v>0</v>
      </c>
      <c r="P579" s="134">
        <v>0</v>
      </c>
      <c r="Q579" s="134">
        <v>0</v>
      </c>
      <c r="R579" s="141">
        <f>+CATEGORIAS[[#This Row],[PRODUCCION
ANTERIOR]]+CATEGORIAS[[#This Row],[PRODUCCION
ADICIONALES
ANTERIOR]]</f>
        <v>0</v>
      </c>
      <c r="S579" s="297">
        <v>0</v>
      </c>
      <c r="T579" s="135"/>
      <c r="U579" s="264">
        <v>0</v>
      </c>
      <c r="V579" s="142">
        <f>SUM(CATEGORIAS[[#This Row],[COSTO
ACUMULADO  AX]:[PROVISIONES]])</f>
        <v>0</v>
      </c>
      <c r="W579" s="136">
        <v>0</v>
      </c>
      <c r="X579" s="134"/>
      <c r="Y579" s="134">
        <v>0</v>
      </c>
      <c r="Z579" s="141">
        <f>SUM(CATEGORIAS[[#This Row],[COSTO ACUMULADO
ANTERIOR]:[PROVISIONES
ANTERIOR]])</f>
        <v>0</v>
      </c>
      <c r="AA579" s="338">
        <f>ABS(+CATEGORIAS[[#This Row],[PRESUPUESTO
FINAL
PROYECTADO]]-CATEGORIAS[[#This Row],[TOTAL PRODUCCION
ACTUAL]])</f>
        <v>0</v>
      </c>
      <c r="AB579" s="222"/>
      <c r="AC579" s="134"/>
      <c r="AD579" s="134">
        <v>0</v>
      </c>
      <c r="AE579" s="139">
        <f>SUM(CATEGORIAS[[#This Row],[INVENTARIO]:[PROYECCION
DE COSTO
DEL SALDO]])</f>
        <v>0</v>
      </c>
      <c r="AF579" s="134"/>
      <c r="AG579" s="134">
        <f>+CATEGORIAS[[#This Row],[PRESUPUESTO
FINAL
PROYECTADO]]-CATEGORIAS[[#This Row],[COSTO REAL]]-CATEGORIAS[[#This Row],[PROYECCION
TOTAL DE COSTO]]</f>
        <v>0</v>
      </c>
    </row>
    <row r="580" spans="1:33" x14ac:dyDescent="0.25">
      <c r="A580" s="245"/>
      <c r="B580" s="245"/>
      <c r="C580" s="245"/>
      <c r="D580" s="323" t="s">
        <v>2286</v>
      </c>
      <c r="E580" s="244" t="s">
        <v>2337</v>
      </c>
      <c r="F580" s="246" t="s">
        <v>376</v>
      </c>
      <c r="G580" s="279">
        <v>0</v>
      </c>
      <c r="H580" s="279">
        <v>0</v>
      </c>
      <c r="I580" s="132">
        <v>0</v>
      </c>
      <c r="J580" s="132">
        <v>0</v>
      </c>
      <c r="K580" s="132">
        <v>0</v>
      </c>
      <c r="L580" s="144">
        <f>CATEGORIAS[[#This Row],[ADICIONALES]]+CATEGORIAS[[#This Row],[POM]]+CATEGORIAS[[#This Row],[REAJUSTE 
PAGADO]]+CATEGORIAS[[#This Row],[REAJUSTE
PROYECTADO]]</f>
        <v>0</v>
      </c>
      <c r="M580" s="133">
        <v>0</v>
      </c>
      <c r="N580" s="222">
        <v>0</v>
      </c>
      <c r="O580" s="142">
        <f>+CATEGORIAS[[#This Row],[PRODUCCION
PARTIDAS
ORIGINALES
ACTUAL]]+CATEGORIAS[[#This Row],[PRODUCCION
ADICIONALES
ACTUAL]]</f>
        <v>0</v>
      </c>
      <c r="P580" s="222">
        <v>0</v>
      </c>
      <c r="Q580" s="222">
        <v>0</v>
      </c>
      <c r="R580" s="141">
        <f>+CATEGORIAS[[#This Row],[PRODUCCION
ANTERIOR]]+CATEGORIAS[[#This Row],[PRODUCCION
ADICIONALES
ANTERIOR]]</f>
        <v>0</v>
      </c>
      <c r="S580" s="297">
        <v>0</v>
      </c>
      <c r="T580" s="264"/>
      <c r="U580" s="264">
        <v>0</v>
      </c>
      <c r="V580" s="262">
        <f>SUM(CATEGORIAS[[#This Row],[COSTO
ACUMULADO  AX]:[PROVISIONES]])</f>
        <v>0</v>
      </c>
      <c r="W580" s="264">
        <v>0</v>
      </c>
      <c r="X580" s="222"/>
      <c r="Y580" s="222">
        <v>0</v>
      </c>
      <c r="Z580" s="263">
        <f>SUM(CATEGORIAS[[#This Row],[COSTO ACUMULADO
ANTERIOR]:[PROVISIONES
ANTERIOR]])</f>
        <v>0</v>
      </c>
      <c r="AA580" s="338">
        <f>ABS(+CATEGORIAS[[#This Row],[PRESUPUESTO
FINAL
PROYECTADO]]-CATEGORIAS[[#This Row],[TOTAL PRODUCCION
ACTUAL]])</f>
        <v>0</v>
      </c>
      <c r="AB580" s="222"/>
      <c r="AC580" s="134"/>
      <c r="AD580" s="134">
        <v>0</v>
      </c>
      <c r="AE580" s="221">
        <f>SUM(CATEGORIAS[[#This Row],[INVENTARIO]:[PROYECCION
DE COSTO
DEL SALDO]])</f>
        <v>0</v>
      </c>
      <c r="AF580" s="134"/>
      <c r="AG580" s="134">
        <f>+CATEGORIAS[[#This Row],[PRESUPUESTO
FINAL
PROYECTADO]]-CATEGORIAS[[#This Row],[COSTO REAL]]-CATEGORIAS[[#This Row],[PROYECCION
TOTAL DE COSTO]]</f>
        <v>0</v>
      </c>
    </row>
    <row r="581" spans="1:33" x14ac:dyDescent="0.25">
      <c r="A581" s="245"/>
      <c r="B581" s="245"/>
      <c r="C581" s="245"/>
      <c r="D581" s="323" t="s">
        <v>2287</v>
      </c>
      <c r="E581" s="244" t="s">
        <v>1440</v>
      </c>
      <c r="F581" s="246" t="s">
        <v>376</v>
      </c>
      <c r="G581" s="279">
        <v>0</v>
      </c>
      <c r="H581" s="279">
        <v>0</v>
      </c>
      <c r="I581" s="132">
        <v>0</v>
      </c>
      <c r="J581" s="132">
        <v>0</v>
      </c>
      <c r="K581" s="132">
        <v>0</v>
      </c>
      <c r="L581" s="144">
        <f>CATEGORIAS[[#This Row],[ADICIONALES]]+CATEGORIAS[[#This Row],[POM]]+CATEGORIAS[[#This Row],[REAJUSTE 
PAGADO]]+CATEGORIAS[[#This Row],[REAJUSTE
PROYECTADO]]</f>
        <v>0</v>
      </c>
      <c r="M581" s="133">
        <v>0</v>
      </c>
      <c r="N581" s="222">
        <v>0</v>
      </c>
      <c r="O581" s="142">
        <f>+CATEGORIAS[[#This Row],[PRODUCCION
PARTIDAS
ORIGINALES
ACTUAL]]+CATEGORIAS[[#This Row],[PRODUCCION
ADICIONALES
ACTUAL]]</f>
        <v>0</v>
      </c>
      <c r="P581" s="134">
        <v>0</v>
      </c>
      <c r="Q581" s="222">
        <v>0</v>
      </c>
      <c r="R581" s="141">
        <f>+CATEGORIAS[[#This Row],[PRODUCCION
ANTERIOR]]+CATEGORIAS[[#This Row],[PRODUCCION
ADICIONALES
ANTERIOR]]</f>
        <v>0</v>
      </c>
      <c r="S581" s="135">
        <v>0</v>
      </c>
      <c r="T581" s="135"/>
      <c r="U581" s="264">
        <v>0</v>
      </c>
      <c r="V581" s="142">
        <f>SUM(CATEGORIAS[[#This Row],[COSTO
ACUMULADO  AX]:[PROVISIONES]])</f>
        <v>0</v>
      </c>
      <c r="W581" s="136">
        <v>0</v>
      </c>
      <c r="X581" s="134"/>
      <c r="Y581" s="134">
        <v>0</v>
      </c>
      <c r="Z581" s="141">
        <f>SUM(CATEGORIAS[[#This Row],[COSTO ACUMULADO
ANTERIOR]:[PROVISIONES
ANTERIOR]])</f>
        <v>0</v>
      </c>
      <c r="AA581" s="338">
        <f>ABS(+CATEGORIAS[[#This Row],[PRESUPUESTO
FINAL
PROYECTADO]]-CATEGORIAS[[#This Row],[TOTAL PRODUCCION
ACTUAL]])</f>
        <v>0</v>
      </c>
      <c r="AB581" s="222"/>
      <c r="AC581" s="134"/>
      <c r="AD581" s="134">
        <v>0</v>
      </c>
      <c r="AE581" s="139">
        <f>SUM(CATEGORIAS[[#This Row],[INVENTARIO]:[PROYECCION
DE COSTO
DEL SALDO]])</f>
        <v>0</v>
      </c>
      <c r="AF581" s="134"/>
      <c r="AG581" s="134">
        <f>+CATEGORIAS[[#This Row],[PRESUPUESTO
FINAL
PROYECTADO]]-CATEGORIAS[[#This Row],[COSTO REAL]]-CATEGORIAS[[#This Row],[PROYECCION
TOTAL DE COSTO]]</f>
        <v>0</v>
      </c>
    </row>
    <row r="582" spans="1:33" x14ac:dyDescent="0.25">
      <c r="A582" s="245"/>
      <c r="B582" s="245"/>
      <c r="C582" s="245"/>
      <c r="D582" s="323" t="s">
        <v>2321</v>
      </c>
      <c r="E582" s="244" t="s">
        <v>1442</v>
      </c>
      <c r="F582" s="246" t="s">
        <v>376</v>
      </c>
      <c r="G582" s="279">
        <v>0</v>
      </c>
      <c r="H582" s="279">
        <v>0</v>
      </c>
      <c r="I582" s="132">
        <v>0</v>
      </c>
      <c r="J582" s="132">
        <v>0</v>
      </c>
      <c r="K582" s="132">
        <v>0</v>
      </c>
      <c r="L582" s="144">
        <f>CATEGORIAS[[#This Row],[ADICIONALES]]+CATEGORIAS[[#This Row],[POM]]+CATEGORIAS[[#This Row],[REAJUSTE 
PAGADO]]+CATEGORIAS[[#This Row],[REAJUSTE
PROYECTADO]]</f>
        <v>0</v>
      </c>
      <c r="M582" s="133">
        <v>0</v>
      </c>
      <c r="N582" s="222">
        <v>0</v>
      </c>
      <c r="O582" s="142">
        <f>+CATEGORIAS[[#This Row],[PRODUCCION
PARTIDAS
ORIGINALES
ACTUAL]]+CATEGORIAS[[#This Row],[PRODUCCION
ADICIONALES
ACTUAL]]</f>
        <v>0</v>
      </c>
      <c r="P582" s="222">
        <v>0</v>
      </c>
      <c r="Q582" s="222">
        <v>0</v>
      </c>
      <c r="R582" s="141">
        <f>+CATEGORIAS[[#This Row],[PRODUCCION
ANTERIOR]]+CATEGORIAS[[#This Row],[PRODUCCION
ADICIONALES
ANTERIOR]]</f>
        <v>0</v>
      </c>
      <c r="S582" s="135">
        <v>0</v>
      </c>
      <c r="T582" s="264"/>
      <c r="U582" s="264">
        <v>0</v>
      </c>
      <c r="V582" s="262">
        <f>SUM(CATEGORIAS[[#This Row],[COSTO
ACUMULADO  AX]:[PROVISIONES]])</f>
        <v>0</v>
      </c>
      <c r="W582" s="264">
        <v>0</v>
      </c>
      <c r="X582" s="222"/>
      <c r="Y582" s="222">
        <v>0</v>
      </c>
      <c r="Z582" s="263">
        <f>SUM(CATEGORIAS[[#This Row],[COSTO ACUMULADO
ANTERIOR]:[PROVISIONES
ANTERIOR]])</f>
        <v>0</v>
      </c>
      <c r="AA582" s="338">
        <f>ABS(+CATEGORIAS[[#This Row],[PRESUPUESTO
FINAL
PROYECTADO]]-CATEGORIAS[[#This Row],[TOTAL PRODUCCION
ACTUAL]])</f>
        <v>0</v>
      </c>
      <c r="AB582" s="222"/>
      <c r="AC582" s="134"/>
      <c r="AD582" s="134">
        <v>0</v>
      </c>
      <c r="AE582" s="221">
        <f>SUM(CATEGORIAS[[#This Row],[INVENTARIO]:[PROYECCION
DE COSTO
DEL SALDO]])</f>
        <v>0</v>
      </c>
      <c r="AF582" s="134"/>
      <c r="AG582" s="134">
        <f>+CATEGORIAS[[#This Row],[PRESUPUESTO
FINAL
PROYECTADO]]-CATEGORIAS[[#This Row],[COSTO REAL]]-CATEGORIAS[[#This Row],[PROYECCION
TOTAL DE COSTO]]</f>
        <v>0</v>
      </c>
    </row>
    <row r="583" spans="1:33" x14ac:dyDescent="0.25">
      <c r="A583" s="245"/>
      <c r="B583" s="245"/>
      <c r="C583" s="245"/>
      <c r="D583" s="323" t="s">
        <v>2322</v>
      </c>
      <c r="E583" s="244" t="s">
        <v>1446</v>
      </c>
      <c r="F583" s="246" t="s">
        <v>376</v>
      </c>
      <c r="G583" s="279">
        <v>0</v>
      </c>
      <c r="H583" s="279">
        <v>0</v>
      </c>
      <c r="I583" s="132">
        <v>0</v>
      </c>
      <c r="J583" s="132">
        <v>0</v>
      </c>
      <c r="K583" s="132">
        <v>0</v>
      </c>
      <c r="L583" s="144">
        <f>CATEGORIAS[[#This Row],[ADICIONALES]]+CATEGORIAS[[#This Row],[POM]]+CATEGORIAS[[#This Row],[REAJUSTE 
PAGADO]]+CATEGORIAS[[#This Row],[REAJUSTE
PROYECTADO]]</f>
        <v>0</v>
      </c>
      <c r="M583" s="133">
        <v>0</v>
      </c>
      <c r="N583" s="222">
        <v>0</v>
      </c>
      <c r="O583" s="142">
        <f>+CATEGORIAS[[#This Row],[PRODUCCION
PARTIDAS
ORIGINALES
ACTUAL]]+CATEGORIAS[[#This Row],[PRODUCCION
ADICIONALES
ACTUAL]]</f>
        <v>0</v>
      </c>
      <c r="P583" s="222">
        <v>0</v>
      </c>
      <c r="Q583" s="222">
        <v>0</v>
      </c>
      <c r="R583" s="141">
        <f>+CATEGORIAS[[#This Row],[PRODUCCION
ANTERIOR]]+CATEGORIAS[[#This Row],[PRODUCCION
ADICIONALES
ANTERIOR]]</f>
        <v>0</v>
      </c>
      <c r="S583" s="135">
        <v>0</v>
      </c>
      <c r="T583" s="264"/>
      <c r="U583" s="264">
        <v>0</v>
      </c>
      <c r="V583" s="262">
        <f>SUM(CATEGORIAS[[#This Row],[COSTO
ACUMULADO  AX]:[PROVISIONES]])</f>
        <v>0</v>
      </c>
      <c r="W583" s="264">
        <v>0</v>
      </c>
      <c r="X583" s="222"/>
      <c r="Y583" s="222">
        <v>0</v>
      </c>
      <c r="Z583" s="263">
        <f>SUM(CATEGORIAS[[#This Row],[COSTO ACUMULADO
ANTERIOR]:[PROVISIONES
ANTERIOR]])</f>
        <v>0</v>
      </c>
      <c r="AA583" s="338">
        <f>ABS(+CATEGORIAS[[#This Row],[PRESUPUESTO
FINAL
PROYECTADO]]-CATEGORIAS[[#This Row],[TOTAL PRODUCCION
ACTUAL]])</f>
        <v>0</v>
      </c>
      <c r="AB583" s="222"/>
      <c r="AC583" s="134"/>
      <c r="AD583" s="134">
        <v>0</v>
      </c>
      <c r="AE583" s="221">
        <f>SUM(CATEGORIAS[[#This Row],[INVENTARIO]:[PROYECCION
DE COSTO
DEL SALDO]])</f>
        <v>0</v>
      </c>
      <c r="AF583" s="134"/>
      <c r="AG583" s="134">
        <f>+CATEGORIAS[[#This Row],[PRESUPUESTO
FINAL
PROYECTADO]]-CATEGORIAS[[#This Row],[COSTO REAL]]-CATEGORIAS[[#This Row],[PROYECCION
TOTAL DE COSTO]]</f>
        <v>0</v>
      </c>
    </row>
    <row r="584" spans="1:33" x14ac:dyDescent="0.25">
      <c r="A584" s="245"/>
      <c r="B584" s="245"/>
      <c r="C584" s="245"/>
      <c r="D584" s="323" t="s">
        <v>2323</v>
      </c>
      <c r="E584" s="244" t="s">
        <v>1441</v>
      </c>
      <c r="F584" s="246" t="s">
        <v>376</v>
      </c>
      <c r="G584" s="279">
        <v>0</v>
      </c>
      <c r="H584" s="279">
        <v>0</v>
      </c>
      <c r="I584" s="132">
        <v>0</v>
      </c>
      <c r="J584" s="132">
        <v>0</v>
      </c>
      <c r="K584" s="132">
        <v>0</v>
      </c>
      <c r="L584" s="144">
        <f>CATEGORIAS[[#This Row],[ADICIONALES]]+CATEGORIAS[[#This Row],[POM]]+CATEGORIAS[[#This Row],[REAJUSTE 
PAGADO]]+CATEGORIAS[[#This Row],[REAJUSTE
PROYECTADO]]</f>
        <v>0</v>
      </c>
      <c r="M584" s="133">
        <v>0</v>
      </c>
      <c r="N584" s="222">
        <v>0</v>
      </c>
      <c r="O584" s="142">
        <f>+CATEGORIAS[[#This Row],[PRODUCCION
PARTIDAS
ORIGINALES
ACTUAL]]+CATEGORIAS[[#This Row],[PRODUCCION
ADICIONALES
ACTUAL]]</f>
        <v>0</v>
      </c>
      <c r="P584" s="222">
        <v>0</v>
      </c>
      <c r="Q584" s="222">
        <v>0</v>
      </c>
      <c r="R584" s="141">
        <f>+CATEGORIAS[[#This Row],[PRODUCCION
ANTERIOR]]+CATEGORIAS[[#This Row],[PRODUCCION
ADICIONALES
ANTERIOR]]</f>
        <v>0</v>
      </c>
      <c r="S584" s="135">
        <v>0</v>
      </c>
      <c r="T584" s="264"/>
      <c r="U584" s="264">
        <v>0</v>
      </c>
      <c r="V584" s="262">
        <f>SUM(CATEGORIAS[[#This Row],[COSTO
ACUMULADO  AX]:[PROVISIONES]])</f>
        <v>0</v>
      </c>
      <c r="W584" s="264">
        <v>0</v>
      </c>
      <c r="X584" s="222"/>
      <c r="Y584" s="222">
        <v>0</v>
      </c>
      <c r="Z584" s="263">
        <f>SUM(CATEGORIAS[[#This Row],[COSTO ACUMULADO
ANTERIOR]:[PROVISIONES
ANTERIOR]])</f>
        <v>0</v>
      </c>
      <c r="AA584" s="338">
        <f>ABS(+CATEGORIAS[[#This Row],[PRESUPUESTO
FINAL
PROYECTADO]]-CATEGORIAS[[#This Row],[TOTAL PRODUCCION
ACTUAL]])</f>
        <v>0</v>
      </c>
      <c r="AB584" s="222"/>
      <c r="AC584" s="134"/>
      <c r="AD584" s="134">
        <v>0</v>
      </c>
      <c r="AE584" s="221">
        <f>SUM(CATEGORIAS[[#This Row],[INVENTARIO]:[PROYECCION
DE COSTO
DEL SALDO]])</f>
        <v>0</v>
      </c>
      <c r="AF584" s="134"/>
      <c r="AG584" s="134">
        <f>+CATEGORIAS[[#This Row],[PRESUPUESTO
FINAL
PROYECTADO]]-CATEGORIAS[[#This Row],[COSTO REAL]]-CATEGORIAS[[#This Row],[PROYECCION
TOTAL DE COSTO]]</f>
        <v>0</v>
      </c>
    </row>
    <row r="585" spans="1:33" x14ac:dyDescent="0.25">
      <c r="A585" s="245"/>
      <c r="B585" s="245"/>
      <c r="C585" s="245"/>
      <c r="D585" s="323" t="s">
        <v>2324</v>
      </c>
      <c r="E585" s="244" t="s">
        <v>2338</v>
      </c>
      <c r="F585" s="246" t="s">
        <v>376</v>
      </c>
      <c r="G585" s="279">
        <v>0</v>
      </c>
      <c r="H585" s="279">
        <v>0</v>
      </c>
      <c r="I585" s="132">
        <v>0</v>
      </c>
      <c r="J585" s="132">
        <v>0</v>
      </c>
      <c r="K585" s="132">
        <v>0</v>
      </c>
      <c r="L585" s="144">
        <f>CATEGORIAS[[#This Row],[ADICIONALES]]+CATEGORIAS[[#This Row],[POM]]+CATEGORIAS[[#This Row],[REAJUSTE 
PAGADO]]+CATEGORIAS[[#This Row],[REAJUSTE
PROYECTADO]]</f>
        <v>0</v>
      </c>
      <c r="M585" s="133">
        <v>0</v>
      </c>
      <c r="N585" s="222">
        <v>0</v>
      </c>
      <c r="O585" s="142">
        <f>+CATEGORIAS[[#This Row],[PRODUCCION
PARTIDAS
ORIGINALES
ACTUAL]]+CATEGORIAS[[#This Row],[PRODUCCION
ADICIONALES
ACTUAL]]</f>
        <v>0</v>
      </c>
      <c r="P585" s="222">
        <v>0</v>
      </c>
      <c r="Q585" s="222">
        <v>0</v>
      </c>
      <c r="R585" s="141">
        <f>+CATEGORIAS[[#This Row],[PRODUCCION
ANTERIOR]]+CATEGORIAS[[#This Row],[PRODUCCION
ADICIONALES
ANTERIOR]]</f>
        <v>0</v>
      </c>
      <c r="S585" s="135">
        <v>0</v>
      </c>
      <c r="T585" s="264"/>
      <c r="U585" s="264">
        <v>0</v>
      </c>
      <c r="V585" s="262">
        <f>SUM(CATEGORIAS[[#This Row],[COSTO
ACUMULADO  AX]:[PROVISIONES]])</f>
        <v>0</v>
      </c>
      <c r="W585" s="264">
        <v>0</v>
      </c>
      <c r="X585" s="222"/>
      <c r="Y585" s="222">
        <v>0</v>
      </c>
      <c r="Z585" s="263">
        <f>SUM(CATEGORIAS[[#This Row],[COSTO ACUMULADO
ANTERIOR]:[PROVISIONES
ANTERIOR]])</f>
        <v>0</v>
      </c>
      <c r="AA585" s="338">
        <f>ABS(+CATEGORIAS[[#This Row],[PRESUPUESTO
FINAL
PROYECTADO]]-CATEGORIAS[[#This Row],[TOTAL PRODUCCION
ACTUAL]])</f>
        <v>0</v>
      </c>
      <c r="AB585" s="222"/>
      <c r="AC585" s="134"/>
      <c r="AD585" s="134">
        <v>0</v>
      </c>
      <c r="AE585" s="221">
        <f>SUM(CATEGORIAS[[#This Row],[INVENTARIO]:[PROYECCION
DE COSTO
DEL SALDO]])</f>
        <v>0</v>
      </c>
      <c r="AF585" s="134"/>
      <c r="AG585" s="134">
        <f>+CATEGORIAS[[#This Row],[PRESUPUESTO
FINAL
PROYECTADO]]-CATEGORIAS[[#This Row],[COSTO REAL]]-CATEGORIAS[[#This Row],[PROYECCION
TOTAL DE COSTO]]</f>
        <v>0</v>
      </c>
    </row>
    <row r="586" spans="1:33" x14ac:dyDescent="0.25">
      <c r="A586" s="245"/>
      <c r="B586" s="245"/>
      <c r="C586" s="245"/>
      <c r="D586" s="323" t="s">
        <v>2325</v>
      </c>
      <c r="E586" s="244" t="s">
        <v>1443</v>
      </c>
      <c r="F586" s="246" t="s">
        <v>376</v>
      </c>
      <c r="G586" s="279">
        <v>0</v>
      </c>
      <c r="H586" s="279">
        <v>0</v>
      </c>
      <c r="I586" s="132">
        <v>0</v>
      </c>
      <c r="J586" s="132">
        <v>0</v>
      </c>
      <c r="K586" s="132">
        <v>0</v>
      </c>
      <c r="L586" s="144">
        <f>CATEGORIAS[[#This Row],[ADICIONALES]]+CATEGORIAS[[#This Row],[POM]]+CATEGORIAS[[#This Row],[REAJUSTE 
PAGADO]]+CATEGORIAS[[#This Row],[REAJUSTE
PROYECTADO]]</f>
        <v>0</v>
      </c>
      <c r="M586" s="133">
        <v>0</v>
      </c>
      <c r="N586" s="222">
        <v>0</v>
      </c>
      <c r="O586" s="142">
        <f>+CATEGORIAS[[#This Row],[PRODUCCION
PARTIDAS
ORIGINALES
ACTUAL]]+CATEGORIAS[[#This Row],[PRODUCCION
ADICIONALES
ACTUAL]]</f>
        <v>0</v>
      </c>
      <c r="P586" s="222">
        <v>0</v>
      </c>
      <c r="Q586" s="222">
        <v>0</v>
      </c>
      <c r="R586" s="141">
        <f>+CATEGORIAS[[#This Row],[PRODUCCION
ANTERIOR]]+CATEGORIAS[[#This Row],[PRODUCCION
ADICIONALES
ANTERIOR]]</f>
        <v>0</v>
      </c>
      <c r="S586" s="135">
        <v>0</v>
      </c>
      <c r="T586" s="264"/>
      <c r="U586" s="264">
        <v>0</v>
      </c>
      <c r="V586" s="262">
        <f>SUM(CATEGORIAS[[#This Row],[COSTO
ACUMULADO  AX]:[PROVISIONES]])</f>
        <v>0</v>
      </c>
      <c r="W586" s="264">
        <v>0</v>
      </c>
      <c r="X586" s="222"/>
      <c r="Y586" s="222">
        <v>0</v>
      </c>
      <c r="Z586" s="263">
        <f>SUM(CATEGORIAS[[#This Row],[COSTO ACUMULADO
ANTERIOR]:[PROVISIONES
ANTERIOR]])</f>
        <v>0</v>
      </c>
      <c r="AA586" s="338">
        <f>ABS(+CATEGORIAS[[#This Row],[PRESUPUESTO
FINAL
PROYECTADO]]-CATEGORIAS[[#This Row],[TOTAL PRODUCCION
ACTUAL]])</f>
        <v>0</v>
      </c>
      <c r="AB586" s="222"/>
      <c r="AC586" s="134"/>
      <c r="AD586" s="134">
        <v>0</v>
      </c>
      <c r="AE586" s="221">
        <f>SUM(CATEGORIAS[[#This Row],[INVENTARIO]:[PROYECCION
DE COSTO
DEL SALDO]])</f>
        <v>0</v>
      </c>
      <c r="AF586" s="134"/>
      <c r="AG586" s="134">
        <f>+CATEGORIAS[[#This Row],[PRESUPUESTO
FINAL
PROYECTADO]]-CATEGORIAS[[#This Row],[COSTO REAL]]-CATEGORIAS[[#This Row],[PROYECCION
TOTAL DE COSTO]]</f>
        <v>0</v>
      </c>
    </row>
    <row r="587" spans="1:33" x14ac:dyDescent="0.25">
      <c r="A587" s="245"/>
      <c r="B587" s="245"/>
      <c r="C587" s="245"/>
      <c r="D587" s="323" t="s">
        <v>2326</v>
      </c>
      <c r="E587" s="244" t="s">
        <v>1444</v>
      </c>
      <c r="F587" s="246" t="s">
        <v>376</v>
      </c>
      <c r="G587" s="279">
        <v>0</v>
      </c>
      <c r="H587" s="279">
        <v>0</v>
      </c>
      <c r="I587" s="132">
        <v>0</v>
      </c>
      <c r="J587" s="132">
        <v>0</v>
      </c>
      <c r="K587" s="132">
        <v>0</v>
      </c>
      <c r="L587" s="144">
        <f>CATEGORIAS[[#This Row],[ADICIONALES]]+CATEGORIAS[[#This Row],[POM]]+CATEGORIAS[[#This Row],[REAJUSTE 
PAGADO]]+CATEGORIAS[[#This Row],[REAJUSTE
PROYECTADO]]</f>
        <v>0</v>
      </c>
      <c r="M587" s="133">
        <v>0</v>
      </c>
      <c r="N587" s="222">
        <v>0</v>
      </c>
      <c r="O587" s="142">
        <f>+CATEGORIAS[[#This Row],[PRODUCCION
PARTIDAS
ORIGINALES
ACTUAL]]+CATEGORIAS[[#This Row],[PRODUCCION
ADICIONALES
ACTUAL]]</f>
        <v>0</v>
      </c>
      <c r="P587" s="222">
        <v>0</v>
      </c>
      <c r="Q587" s="222">
        <v>0</v>
      </c>
      <c r="R587" s="141">
        <f>+CATEGORIAS[[#This Row],[PRODUCCION
ANTERIOR]]+CATEGORIAS[[#This Row],[PRODUCCION
ADICIONALES
ANTERIOR]]</f>
        <v>0</v>
      </c>
      <c r="S587" s="135">
        <v>0</v>
      </c>
      <c r="T587" s="264"/>
      <c r="U587" s="264">
        <v>0</v>
      </c>
      <c r="V587" s="262">
        <f>SUM(CATEGORIAS[[#This Row],[COSTO
ACUMULADO  AX]:[PROVISIONES]])</f>
        <v>0</v>
      </c>
      <c r="W587" s="264">
        <v>0</v>
      </c>
      <c r="X587" s="222"/>
      <c r="Y587" s="222">
        <v>0</v>
      </c>
      <c r="Z587" s="263">
        <f>SUM(CATEGORIAS[[#This Row],[COSTO ACUMULADO
ANTERIOR]:[PROVISIONES
ANTERIOR]])</f>
        <v>0</v>
      </c>
      <c r="AA587" s="338">
        <f>ABS(+CATEGORIAS[[#This Row],[PRESUPUESTO
FINAL
PROYECTADO]]-CATEGORIAS[[#This Row],[TOTAL PRODUCCION
ACTUAL]])</f>
        <v>0</v>
      </c>
      <c r="AB587" s="222"/>
      <c r="AC587" s="134"/>
      <c r="AD587" s="134">
        <v>0</v>
      </c>
      <c r="AE587" s="221">
        <f>SUM(CATEGORIAS[[#This Row],[INVENTARIO]:[PROYECCION
DE COSTO
DEL SALDO]])</f>
        <v>0</v>
      </c>
      <c r="AF587" s="134"/>
      <c r="AG587" s="134">
        <f>+CATEGORIAS[[#This Row],[PRESUPUESTO
FINAL
PROYECTADO]]-CATEGORIAS[[#This Row],[COSTO REAL]]-CATEGORIAS[[#This Row],[PROYECCION
TOTAL DE COSTO]]</f>
        <v>0</v>
      </c>
    </row>
    <row r="588" spans="1:33" x14ac:dyDescent="0.25">
      <c r="A588" s="245"/>
      <c r="B588" s="245"/>
      <c r="C588" s="245"/>
      <c r="D588" s="323" t="s">
        <v>2339</v>
      </c>
      <c r="E588" s="244" t="s">
        <v>1445</v>
      </c>
      <c r="F588" s="246" t="s">
        <v>376</v>
      </c>
      <c r="G588" s="279">
        <v>0</v>
      </c>
      <c r="H588" s="279">
        <v>0</v>
      </c>
      <c r="I588" s="132">
        <v>0</v>
      </c>
      <c r="J588" s="132">
        <v>0</v>
      </c>
      <c r="K588" s="132">
        <v>0</v>
      </c>
      <c r="L588" s="144">
        <f>CATEGORIAS[[#This Row],[ADICIONALES]]+CATEGORIAS[[#This Row],[POM]]+CATEGORIAS[[#This Row],[REAJUSTE 
PAGADO]]+CATEGORIAS[[#This Row],[REAJUSTE
PROYECTADO]]</f>
        <v>0</v>
      </c>
      <c r="M588" s="133">
        <v>0</v>
      </c>
      <c r="N588" s="222">
        <v>0</v>
      </c>
      <c r="O588" s="142">
        <f>+CATEGORIAS[[#This Row],[PRODUCCION
PARTIDAS
ORIGINALES
ACTUAL]]+CATEGORIAS[[#This Row],[PRODUCCION
ADICIONALES
ACTUAL]]</f>
        <v>0</v>
      </c>
      <c r="P588" s="222">
        <v>0</v>
      </c>
      <c r="Q588" s="222">
        <v>0</v>
      </c>
      <c r="R588" s="141">
        <f>+CATEGORIAS[[#This Row],[PRODUCCION
ANTERIOR]]+CATEGORIAS[[#This Row],[PRODUCCION
ADICIONALES
ANTERIOR]]</f>
        <v>0</v>
      </c>
      <c r="S588" s="135">
        <v>0</v>
      </c>
      <c r="T588" s="264"/>
      <c r="U588" s="264">
        <v>0</v>
      </c>
      <c r="V588" s="262">
        <f>SUM(CATEGORIAS[[#This Row],[COSTO
ACUMULADO  AX]:[PROVISIONES]])</f>
        <v>0</v>
      </c>
      <c r="W588" s="264">
        <v>0</v>
      </c>
      <c r="X588" s="222"/>
      <c r="Y588" s="222">
        <v>0</v>
      </c>
      <c r="Z588" s="263">
        <f>SUM(CATEGORIAS[[#This Row],[COSTO ACUMULADO
ANTERIOR]:[PROVISIONES
ANTERIOR]])</f>
        <v>0</v>
      </c>
      <c r="AA588" s="338">
        <f>ABS(+CATEGORIAS[[#This Row],[PRESUPUESTO
FINAL
PROYECTADO]]-CATEGORIAS[[#This Row],[TOTAL PRODUCCION
ACTUAL]])</f>
        <v>0</v>
      </c>
      <c r="AB588" s="222"/>
      <c r="AC588" s="134"/>
      <c r="AD588" s="134">
        <v>0</v>
      </c>
      <c r="AE588" s="221">
        <f>SUM(CATEGORIAS[[#This Row],[INVENTARIO]:[PROYECCION
DE COSTO
DEL SALDO]])</f>
        <v>0</v>
      </c>
      <c r="AF588" s="134"/>
      <c r="AG588" s="134">
        <f>+CATEGORIAS[[#This Row],[PRESUPUESTO
FINAL
PROYECTADO]]-CATEGORIAS[[#This Row],[COSTO REAL]]-CATEGORIAS[[#This Row],[PROYECCION
TOTAL DE COSTO]]</f>
        <v>0</v>
      </c>
    </row>
    <row r="589" spans="1:33" x14ac:dyDescent="0.25">
      <c r="A589" s="245"/>
      <c r="B589" s="245"/>
      <c r="C589" s="245"/>
      <c r="D589" s="323" t="s">
        <v>2377</v>
      </c>
      <c r="E589" s="244" t="s">
        <v>2378</v>
      </c>
      <c r="F589" s="246" t="s">
        <v>376</v>
      </c>
      <c r="G589" s="279">
        <v>0</v>
      </c>
      <c r="H589" s="279">
        <v>0</v>
      </c>
      <c r="I589" s="132">
        <v>0</v>
      </c>
      <c r="J589" s="132">
        <v>0</v>
      </c>
      <c r="K589" s="132">
        <v>0</v>
      </c>
      <c r="L589" s="144">
        <f>CATEGORIAS[[#This Row],[ADICIONALES]]+CATEGORIAS[[#This Row],[POM]]+CATEGORIAS[[#This Row],[REAJUSTE 
PAGADO]]+CATEGORIAS[[#This Row],[REAJUSTE
PROYECTADO]]</f>
        <v>0</v>
      </c>
      <c r="M589" s="133">
        <v>0</v>
      </c>
      <c r="N589" s="222">
        <v>0</v>
      </c>
      <c r="O589" s="142">
        <f>+CATEGORIAS[[#This Row],[PRODUCCION
PARTIDAS
ORIGINALES
ACTUAL]]+CATEGORIAS[[#This Row],[PRODUCCION
ADICIONALES
ACTUAL]]</f>
        <v>0</v>
      </c>
      <c r="P589" s="222">
        <v>0</v>
      </c>
      <c r="Q589" s="222">
        <v>0</v>
      </c>
      <c r="R589" s="141">
        <f>+CATEGORIAS[[#This Row],[PRODUCCION
ANTERIOR]]+CATEGORIAS[[#This Row],[PRODUCCION
ADICIONALES
ANTERIOR]]</f>
        <v>0</v>
      </c>
      <c r="S589" s="135">
        <v>0</v>
      </c>
      <c r="T589" s="264"/>
      <c r="U589" s="264">
        <v>0</v>
      </c>
      <c r="V589" s="262">
        <f>SUM(CATEGORIAS[[#This Row],[COSTO
ACUMULADO  AX]:[PROVISIONES]])</f>
        <v>0</v>
      </c>
      <c r="W589" s="264">
        <v>0</v>
      </c>
      <c r="X589" s="222"/>
      <c r="Y589" s="222">
        <v>0</v>
      </c>
      <c r="Z589" s="263">
        <f>SUM(CATEGORIAS[[#This Row],[COSTO ACUMULADO
ANTERIOR]:[PROVISIONES
ANTERIOR]])</f>
        <v>0</v>
      </c>
      <c r="AA589" s="338">
        <f>ABS(+CATEGORIAS[[#This Row],[PRESUPUESTO
FINAL
PROYECTADO]]-CATEGORIAS[[#This Row],[TOTAL PRODUCCION
ACTUAL]])</f>
        <v>0</v>
      </c>
      <c r="AB589" s="222"/>
      <c r="AC589" s="134"/>
      <c r="AD589" s="134">
        <v>0</v>
      </c>
      <c r="AE589" s="221">
        <f>SUM(CATEGORIAS[[#This Row],[INVENTARIO]:[PROYECCION
DE COSTO
DEL SALDO]])</f>
        <v>0</v>
      </c>
      <c r="AF589" s="134"/>
      <c r="AG589" s="134">
        <f>+CATEGORIAS[[#This Row],[PRESUPUESTO
FINAL
PROYECTADO]]-CATEGORIAS[[#This Row],[COSTO REAL]]-CATEGORIAS[[#This Row],[PROYECCION
TOTAL DE COSTO]]</f>
        <v>0</v>
      </c>
    </row>
    <row r="590" spans="1:33" x14ac:dyDescent="0.25">
      <c r="A590" s="245"/>
      <c r="B590" s="245"/>
      <c r="C590" s="245"/>
      <c r="D590" s="323" t="s">
        <v>2379</v>
      </c>
      <c r="E590" s="244" t="s">
        <v>2380</v>
      </c>
      <c r="F590" s="246" t="s">
        <v>376</v>
      </c>
      <c r="G590" s="279">
        <v>0</v>
      </c>
      <c r="H590" s="279">
        <v>0</v>
      </c>
      <c r="I590" s="132">
        <v>0</v>
      </c>
      <c r="J590" s="132">
        <v>0</v>
      </c>
      <c r="K590" s="132">
        <v>0</v>
      </c>
      <c r="L590" s="144">
        <f>CATEGORIAS[[#This Row],[ADICIONALES]]+CATEGORIAS[[#This Row],[POM]]+CATEGORIAS[[#This Row],[REAJUSTE 
PAGADO]]+CATEGORIAS[[#This Row],[REAJUSTE
PROYECTADO]]</f>
        <v>0</v>
      </c>
      <c r="M590" s="133">
        <v>0</v>
      </c>
      <c r="N590" s="222">
        <v>0</v>
      </c>
      <c r="O590" s="142">
        <f>+CATEGORIAS[[#This Row],[PRODUCCION
PARTIDAS
ORIGINALES
ACTUAL]]+CATEGORIAS[[#This Row],[PRODUCCION
ADICIONALES
ACTUAL]]</f>
        <v>0</v>
      </c>
      <c r="P590" s="222">
        <v>0</v>
      </c>
      <c r="Q590" s="222">
        <v>0</v>
      </c>
      <c r="R590" s="141">
        <f>+CATEGORIAS[[#This Row],[PRODUCCION
ANTERIOR]]+CATEGORIAS[[#This Row],[PRODUCCION
ADICIONALES
ANTERIOR]]</f>
        <v>0</v>
      </c>
      <c r="S590" s="135">
        <v>0</v>
      </c>
      <c r="T590" s="264"/>
      <c r="U590" s="264">
        <v>0</v>
      </c>
      <c r="V590" s="262">
        <f>SUM(CATEGORIAS[[#This Row],[COSTO
ACUMULADO  AX]:[PROVISIONES]])</f>
        <v>0</v>
      </c>
      <c r="W590" s="264">
        <v>0</v>
      </c>
      <c r="X590" s="222"/>
      <c r="Y590" s="222">
        <v>0</v>
      </c>
      <c r="Z590" s="263">
        <f>SUM(CATEGORIAS[[#This Row],[COSTO ACUMULADO
ANTERIOR]:[PROVISIONES
ANTERIOR]])</f>
        <v>0</v>
      </c>
      <c r="AA590" s="338">
        <f>ABS(+CATEGORIAS[[#This Row],[PRESUPUESTO
FINAL
PROYECTADO]]-CATEGORIAS[[#This Row],[TOTAL PRODUCCION
ACTUAL]])</f>
        <v>0</v>
      </c>
      <c r="AB590" s="222"/>
      <c r="AC590" s="134"/>
      <c r="AD590" s="134">
        <v>0</v>
      </c>
      <c r="AE590" s="221">
        <f>SUM(CATEGORIAS[[#This Row],[INVENTARIO]:[PROYECCION
DE COSTO
DEL SALDO]])</f>
        <v>0</v>
      </c>
      <c r="AF590" s="134"/>
      <c r="AG590" s="134">
        <f>+CATEGORIAS[[#This Row],[PRESUPUESTO
FINAL
PROYECTADO]]-CATEGORIAS[[#This Row],[COSTO REAL]]-CATEGORIAS[[#This Row],[PROYECCION
TOTAL DE COSTO]]</f>
        <v>0</v>
      </c>
    </row>
    <row r="591" spans="1:33" x14ac:dyDescent="0.25">
      <c r="A591" s="245"/>
      <c r="B591" s="245"/>
      <c r="C591" s="245"/>
      <c r="D591" s="323" t="s">
        <v>2288</v>
      </c>
      <c r="E591" s="244" t="s">
        <v>1448</v>
      </c>
      <c r="F591" s="246" t="s">
        <v>376</v>
      </c>
      <c r="G591" s="279">
        <v>0</v>
      </c>
      <c r="H591" s="279">
        <v>0</v>
      </c>
      <c r="I591" s="132">
        <v>0</v>
      </c>
      <c r="J591" s="132">
        <v>0</v>
      </c>
      <c r="K591" s="132">
        <v>0</v>
      </c>
      <c r="L591" s="144">
        <f>CATEGORIAS[[#This Row],[ADICIONALES]]+CATEGORIAS[[#This Row],[POM]]+CATEGORIAS[[#This Row],[REAJUSTE 
PAGADO]]+CATEGORIAS[[#This Row],[REAJUSTE
PROYECTADO]]</f>
        <v>0</v>
      </c>
      <c r="M591" s="133">
        <v>0</v>
      </c>
      <c r="N591" s="222">
        <v>0</v>
      </c>
      <c r="O591" s="142">
        <f>+CATEGORIAS[[#This Row],[PRODUCCION
PARTIDAS
ORIGINALES
ACTUAL]]+CATEGORIAS[[#This Row],[PRODUCCION
ADICIONALES
ACTUAL]]</f>
        <v>0</v>
      </c>
      <c r="P591" s="222">
        <v>0</v>
      </c>
      <c r="Q591" s="222">
        <v>0</v>
      </c>
      <c r="R591" s="141">
        <f>+CATEGORIAS[[#This Row],[PRODUCCION
ANTERIOR]]+CATEGORIAS[[#This Row],[PRODUCCION
ADICIONALES
ANTERIOR]]</f>
        <v>0</v>
      </c>
      <c r="S591" s="297">
        <v>0</v>
      </c>
      <c r="T591" s="264"/>
      <c r="U591" s="264">
        <v>0</v>
      </c>
      <c r="V591" s="262">
        <f>SUM(CATEGORIAS[[#This Row],[COSTO
ACUMULADO  AX]:[PROVISIONES]])</f>
        <v>0</v>
      </c>
      <c r="W591" s="264">
        <v>0</v>
      </c>
      <c r="X591" s="222"/>
      <c r="Y591" s="222">
        <v>0</v>
      </c>
      <c r="Z591" s="263">
        <f>SUM(CATEGORIAS[[#This Row],[COSTO ACUMULADO
ANTERIOR]:[PROVISIONES
ANTERIOR]])</f>
        <v>0</v>
      </c>
      <c r="AA591" s="338">
        <f>ABS(+CATEGORIAS[[#This Row],[PRESUPUESTO
FINAL
PROYECTADO]]-CATEGORIAS[[#This Row],[TOTAL PRODUCCION
ACTUAL]])</f>
        <v>0</v>
      </c>
      <c r="AB591" s="222"/>
      <c r="AC591" s="134"/>
      <c r="AD591" s="134">
        <v>0</v>
      </c>
      <c r="AE591" s="221">
        <f>SUM(CATEGORIAS[[#This Row],[INVENTARIO]:[PROYECCION
DE COSTO
DEL SALDO]])</f>
        <v>0</v>
      </c>
      <c r="AF591" s="134"/>
      <c r="AG591" s="134">
        <f>+CATEGORIAS[[#This Row],[PRESUPUESTO
FINAL
PROYECTADO]]-CATEGORIAS[[#This Row],[COSTO REAL]]-CATEGORIAS[[#This Row],[PROYECCION
TOTAL DE COSTO]]</f>
        <v>0</v>
      </c>
    </row>
    <row r="592" spans="1:33" x14ac:dyDescent="0.25">
      <c r="A592" s="245" t="s">
        <v>86</v>
      </c>
      <c r="B592" s="245" t="s">
        <v>86</v>
      </c>
      <c r="C592" s="245" t="s">
        <v>86</v>
      </c>
      <c r="D592" s="323" t="s">
        <v>2289</v>
      </c>
      <c r="E592" s="244" t="s">
        <v>2290</v>
      </c>
      <c r="F592" s="246" t="s">
        <v>376</v>
      </c>
      <c r="G592" s="279">
        <v>0</v>
      </c>
      <c r="H592" s="279">
        <v>0</v>
      </c>
      <c r="I592" s="132">
        <v>0</v>
      </c>
      <c r="J592" s="132">
        <v>0</v>
      </c>
      <c r="K592" s="132">
        <v>0</v>
      </c>
      <c r="L592" s="144">
        <f>CATEGORIAS[[#This Row],[ADICIONALES]]+CATEGORIAS[[#This Row],[POM]]+CATEGORIAS[[#This Row],[REAJUSTE 
PAGADO]]+CATEGORIAS[[#This Row],[REAJUSTE
PROYECTADO]]</f>
        <v>0</v>
      </c>
      <c r="M592" s="133">
        <v>0</v>
      </c>
      <c r="N592" s="222">
        <v>0</v>
      </c>
      <c r="O592" s="142">
        <f>+CATEGORIAS[[#This Row],[PRODUCCION
PARTIDAS
ORIGINALES
ACTUAL]]+CATEGORIAS[[#This Row],[PRODUCCION
ADICIONALES
ACTUAL]]</f>
        <v>0</v>
      </c>
      <c r="P592" s="222">
        <v>0</v>
      </c>
      <c r="Q592" s="222">
        <v>0</v>
      </c>
      <c r="R592" s="141">
        <f>+CATEGORIAS[[#This Row],[PRODUCCION
ANTERIOR]]+CATEGORIAS[[#This Row],[PRODUCCION
ADICIONALES
ANTERIOR]]</f>
        <v>0</v>
      </c>
      <c r="S592" s="135">
        <v>0</v>
      </c>
      <c r="T592" s="264"/>
      <c r="U592" s="264">
        <v>0</v>
      </c>
      <c r="V592" s="262">
        <f>SUM(CATEGORIAS[[#This Row],[COSTO
ACUMULADO  AX]:[PROVISIONES]])</f>
        <v>0</v>
      </c>
      <c r="W592" s="264">
        <v>0</v>
      </c>
      <c r="X592" s="222"/>
      <c r="Y592" s="222">
        <v>0</v>
      </c>
      <c r="Z592" s="263">
        <f>SUM(CATEGORIAS[[#This Row],[COSTO ACUMULADO
ANTERIOR]:[PROVISIONES
ANTERIOR]])</f>
        <v>0</v>
      </c>
      <c r="AA592" s="338">
        <f>ABS(+CATEGORIAS[[#This Row],[PRESUPUESTO
FINAL
PROYECTADO]]-CATEGORIAS[[#This Row],[TOTAL PRODUCCION
ACTUAL]])</f>
        <v>0</v>
      </c>
      <c r="AB592" s="222"/>
      <c r="AC592" s="134"/>
      <c r="AD592" s="134">
        <v>0</v>
      </c>
      <c r="AE592" s="221">
        <f>SUM(CATEGORIAS[[#This Row],[INVENTARIO]:[PROYECCION
DE COSTO
DEL SALDO]])</f>
        <v>0</v>
      </c>
      <c r="AF592" s="134"/>
      <c r="AG592" s="134">
        <f>+CATEGORIAS[[#This Row],[PRESUPUESTO
FINAL
PROYECTADO]]-CATEGORIAS[[#This Row],[COSTO REAL]]-CATEGORIAS[[#This Row],[PROYECCION
TOTAL DE COSTO]]</f>
        <v>0</v>
      </c>
    </row>
    <row r="593" spans="1:33" x14ac:dyDescent="0.25">
      <c r="A593" s="245" t="s">
        <v>86</v>
      </c>
      <c r="B593" s="245" t="s">
        <v>86</v>
      </c>
      <c r="C593" s="245" t="s">
        <v>86</v>
      </c>
      <c r="D593" s="323" t="s">
        <v>2291</v>
      </c>
      <c r="E593" s="244" t="s">
        <v>2292</v>
      </c>
      <c r="F593" s="246" t="s">
        <v>376</v>
      </c>
      <c r="G593" s="279">
        <v>0</v>
      </c>
      <c r="H593" s="279">
        <v>0</v>
      </c>
      <c r="I593" s="132">
        <v>0</v>
      </c>
      <c r="J593" s="132">
        <v>0</v>
      </c>
      <c r="K593" s="132">
        <v>0</v>
      </c>
      <c r="L593" s="144">
        <f>CATEGORIAS[[#This Row],[ADICIONALES]]+CATEGORIAS[[#This Row],[POM]]+CATEGORIAS[[#This Row],[REAJUSTE 
PAGADO]]+CATEGORIAS[[#This Row],[REAJUSTE
PROYECTADO]]</f>
        <v>0</v>
      </c>
      <c r="M593" s="133">
        <v>0</v>
      </c>
      <c r="N593" s="222">
        <v>0</v>
      </c>
      <c r="O593" s="142">
        <f>+CATEGORIAS[[#This Row],[PRODUCCION
PARTIDAS
ORIGINALES
ACTUAL]]+CATEGORIAS[[#This Row],[PRODUCCION
ADICIONALES
ACTUAL]]</f>
        <v>0</v>
      </c>
      <c r="P593" s="222">
        <v>0</v>
      </c>
      <c r="Q593" s="222">
        <v>0</v>
      </c>
      <c r="R593" s="141">
        <f>+CATEGORIAS[[#This Row],[PRODUCCION
ANTERIOR]]+CATEGORIAS[[#This Row],[PRODUCCION
ADICIONALES
ANTERIOR]]</f>
        <v>0</v>
      </c>
      <c r="S593" s="135">
        <v>0</v>
      </c>
      <c r="T593" s="264"/>
      <c r="U593" s="264">
        <v>0</v>
      </c>
      <c r="V593" s="262">
        <f>SUM(CATEGORIAS[[#This Row],[COSTO
ACUMULADO  AX]:[PROVISIONES]])</f>
        <v>0</v>
      </c>
      <c r="W593" s="264">
        <v>0</v>
      </c>
      <c r="X593" s="222"/>
      <c r="Y593" s="222">
        <v>0</v>
      </c>
      <c r="Z593" s="263">
        <f>SUM(CATEGORIAS[[#This Row],[COSTO ACUMULADO
ANTERIOR]:[PROVISIONES
ANTERIOR]])</f>
        <v>0</v>
      </c>
      <c r="AA593" s="338">
        <f>ABS(+CATEGORIAS[[#This Row],[PRESUPUESTO
FINAL
PROYECTADO]]-CATEGORIAS[[#This Row],[TOTAL PRODUCCION
ACTUAL]])</f>
        <v>0</v>
      </c>
      <c r="AB593" s="222"/>
      <c r="AC593" s="134"/>
      <c r="AD593" s="134">
        <v>0</v>
      </c>
      <c r="AE593" s="221">
        <f>SUM(CATEGORIAS[[#This Row],[INVENTARIO]:[PROYECCION
DE COSTO
DEL SALDO]])</f>
        <v>0</v>
      </c>
      <c r="AF593" s="134"/>
      <c r="AG593" s="134">
        <f>+CATEGORIAS[[#This Row],[PRESUPUESTO
FINAL
PROYECTADO]]-CATEGORIAS[[#This Row],[COSTO REAL]]-CATEGORIAS[[#This Row],[PROYECCION
TOTAL DE COSTO]]</f>
        <v>0</v>
      </c>
    </row>
    <row r="594" spans="1:33" x14ac:dyDescent="0.25">
      <c r="A594" s="245"/>
      <c r="B594" s="245"/>
      <c r="C594" s="245"/>
      <c r="D594" s="323" t="s">
        <v>2293</v>
      </c>
      <c r="E594" s="244" t="s">
        <v>2294</v>
      </c>
      <c r="F594" s="246" t="s">
        <v>376</v>
      </c>
      <c r="G594" s="279">
        <v>0</v>
      </c>
      <c r="H594" s="279">
        <v>0</v>
      </c>
      <c r="I594" s="132">
        <v>0</v>
      </c>
      <c r="J594" s="132">
        <v>0</v>
      </c>
      <c r="K594" s="132">
        <v>0</v>
      </c>
      <c r="L594" s="144">
        <f>CATEGORIAS[[#This Row],[ADICIONALES]]+CATEGORIAS[[#This Row],[POM]]+CATEGORIAS[[#This Row],[REAJUSTE 
PAGADO]]+CATEGORIAS[[#This Row],[REAJUSTE
PROYECTADO]]</f>
        <v>0</v>
      </c>
      <c r="M594" s="133">
        <v>0</v>
      </c>
      <c r="N594" s="222">
        <v>0</v>
      </c>
      <c r="O594" s="142">
        <f>+CATEGORIAS[[#This Row],[PRODUCCION
PARTIDAS
ORIGINALES
ACTUAL]]+CATEGORIAS[[#This Row],[PRODUCCION
ADICIONALES
ACTUAL]]</f>
        <v>0</v>
      </c>
      <c r="P594" s="222">
        <v>0</v>
      </c>
      <c r="Q594" s="222">
        <v>0</v>
      </c>
      <c r="R594" s="141">
        <f>+CATEGORIAS[[#This Row],[PRODUCCION
ANTERIOR]]+CATEGORIAS[[#This Row],[PRODUCCION
ADICIONALES
ANTERIOR]]</f>
        <v>0</v>
      </c>
      <c r="S594" s="135">
        <v>0</v>
      </c>
      <c r="T594" s="264"/>
      <c r="U594" s="264">
        <v>0</v>
      </c>
      <c r="V594" s="262">
        <f>SUM(CATEGORIAS[[#This Row],[COSTO
ACUMULADO  AX]:[PROVISIONES]])</f>
        <v>0</v>
      </c>
      <c r="W594" s="264">
        <v>0</v>
      </c>
      <c r="X594" s="222"/>
      <c r="Y594" s="222">
        <v>0</v>
      </c>
      <c r="Z594" s="263">
        <f>SUM(CATEGORIAS[[#This Row],[COSTO ACUMULADO
ANTERIOR]:[PROVISIONES
ANTERIOR]])</f>
        <v>0</v>
      </c>
      <c r="AA594" s="338">
        <f>ABS(+CATEGORIAS[[#This Row],[PRESUPUESTO
FINAL
PROYECTADO]]-CATEGORIAS[[#This Row],[TOTAL PRODUCCION
ACTUAL]])</f>
        <v>0</v>
      </c>
      <c r="AB594" s="222"/>
      <c r="AC594" s="134"/>
      <c r="AD594" s="134">
        <v>0</v>
      </c>
      <c r="AE594" s="221">
        <f>SUM(CATEGORIAS[[#This Row],[INVENTARIO]:[PROYECCION
DE COSTO
DEL SALDO]])</f>
        <v>0</v>
      </c>
      <c r="AF594" s="134"/>
      <c r="AG594" s="134">
        <f>+CATEGORIAS[[#This Row],[PRESUPUESTO
FINAL
PROYECTADO]]-CATEGORIAS[[#This Row],[COSTO REAL]]-CATEGORIAS[[#This Row],[PROYECCION
TOTAL DE COSTO]]</f>
        <v>0</v>
      </c>
    </row>
    <row r="595" spans="1:33" x14ac:dyDescent="0.25">
      <c r="A595" s="245"/>
      <c r="B595" s="245"/>
      <c r="C595" s="245"/>
      <c r="D595" s="323" t="s">
        <v>2295</v>
      </c>
      <c r="E595" s="244" t="s">
        <v>2296</v>
      </c>
      <c r="F595" s="246" t="s">
        <v>376</v>
      </c>
      <c r="G595" s="279">
        <v>0</v>
      </c>
      <c r="H595" s="279">
        <v>0</v>
      </c>
      <c r="I595" s="132">
        <v>0</v>
      </c>
      <c r="J595" s="132">
        <v>0</v>
      </c>
      <c r="K595" s="132">
        <v>0</v>
      </c>
      <c r="L595" s="144">
        <f>CATEGORIAS[[#This Row],[ADICIONALES]]+CATEGORIAS[[#This Row],[POM]]+CATEGORIAS[[#This Row],[REAJUSTE 
PAGADO]]+CATEGORIAS[[#This Row],[REAJUSTE
PROYECTADO]]</f>
        <v>0</v>
      </c>
      <c r="M595" s="133">
        <v>0</v>
      </c>
      <c r="N595" s="222">
        <v>0</v>
      </c>
      <c r="O595" s="142">
        <f>+CATEGORIAS[[#This Row],[PRODUCCION
PARTIDAS
ORIGINALES
ACTUAL]]+CATEGORIAS[[#This Row],[PRODUCCION
ADICIONALES
ACTUAL]]</f>
        <v>0</v>
      </c>
      <c r="P595" s="222">
        <v>0</v>
      </c>
      <c r="Q595" s="222">
        <v>0</v>
      </c>
      <c r="R595" s="141">
        <f>+CATEGORIAS[[#This Row],[PRODUCCION
ANTERIOR]]+CATEGORIAS[[#This Row],[PRODUCCION
ADICIONALES
ANTERIOR]]</f>
        <v>0</v>
      </c>
      <c r="S595" s="135">
        <v>0</v>
      </c>
      <c r="T595" s="264"/>
      <c r="U595" s="264">
        <v>0</v>
      </c>
      <c r="V595" s="262">
        <f>SUM(CATEGORIAS[[#This Row],[COSTO
ACUMULADO  AX]:[PROVISIONES]])</f>
        <v>0</v>
      </c>
      <c r="W595" s="264">
        <v>0</v>
      </c>
      <c r="X595" s="222"/>
      <c r="Y595" s="222">
        <v>0</v>
      </c>
      <c r="Z595" s="263">
        <f>SUM(CATEGORIAS[[#This Row],[COSTO ACUMULADO
ANTERIOR]:[PROVISIONES
ANTERIOR]])</f>
        <v>0</v>
      </c>
      <c r="AA595" s="338">
        <f>ABS(+CATEGORIAS[[#This Row],[PRESUPUESTO
FINAL
PROYECTADO]]-CATEGORIAS[[#This Row],[TOTAL PRODUCCION
ACTUAL]])</f>
        <v>0</v>
      </c>
      <c r="AB595" s="222"/>
      <c r="AC595" s="134"/>
      <c r="AD595" s="134">
        <v>0</v>
      </c>
      <c r="AE595" s="221">
        <f>SUM(CATEGORIAS[[#This Row],[INVENTARIO]:[PROYECCION
DE COSTO
DEL SALDO]])</f>
        <v>0</v>
      </c>
      <c r="AF595" s="134"/>
      <c r="AG595" s="134">
        <f>+CATEGORIAS[[#This Row],[PRESUPUESTO
FINAL
PROYECTADO]]-CATEGORIAS[[#This Row],[COSTO REAL]]-CATEGORIAS[[#This Row],[PROYECCION
TOTAL DE COSTO]]</f>
        <v>0</v>
      </c>
    </row>
    <row r="596" spans="1:33" x14ac:dyDescent="0.25">
      <c r="A596" s="245"/>
      <c r="B596" s="245"/>
      <c r="C596" s="245"/>
      <c r="D596" s="323"/>
      <c r="E596" s="244"/>
      <c r="F596" s="246"/>
      <c r="G596" s="279"/>
      <c r="H596" s="279">
        <v>0</v>
      </c>
      <c r="I596" s="132">
        <v>0</v>
      </c>
      <c r="J596" s="132">
        <v>0</v>
      </c>
      <c r="K596" s="132">
        <v>0</v>
      </c>
      <c r="L596" s="144">
        <f>CATEGORIAS[[#This Row],[ADICIONALES]]+CATEGORIAS[[#This Row],[POM]]+CATEGORIAS[[#This Row],[REAJUSTE 
PAGADO]]+CATEGORIAS[[#This Row],[REAJUSTE
PROYECTADO]]</f>
        <v>0</v>
      </c>
      <c r="M596" s="133">
        <v>0</v>
      </c>
      <c r="N596" s="222">
        <v>0</v>
      </c>
      <c r="O596" s="262"/>
      <c r="P596" s="222">
        <v>0</v>
      </c>
      <c r="Q596" s="222">
        <v>0</v>
      </c>
      <c r="R596" s="263"/>
      <c r="S596" s="264">
        <v>0</v>
      </c>
      <c r="T596" s="264"/>
      <c r="U596" s="264">
        <v>0</v>
      </c>
      <c r="V596" s="262"/>
      <c r="W596" s="264">
        <v>0</v>
      </c>
      <c r="X596" s="222"/>
      <c r="Y596" s="222">
        <v>0</v>
      </c>
      <c r="Z596" s="263"/>
      <c r="AA596" s="265"/>
      <c r="AB596" s="222"/>
      <c r="AC596" s="134"/>
      <c r="AD596" s="134"/>
      <c r="AE596" s="221"/>
      <c r="AF596" s="134"/>
      <c r="AG596" s="134"/>
    </row>
    <row r="597" spans="1:33" x14ac:dyDescent="0.25">
      <c r="A597" s="245"/>
      <c r="B597" s="245"/>
      <c r="C597" s="245"/>
      <c r="D597" s="323"/>
      <c r="E597" s="244"/>
      <c r="F597" s="244"/>
      <c r="G597" s="279"/>
      <c r="H597" s="279">
        <v>0</v>
      </c>
      <c r="I597" s="132">
        <v>0</v>
      </c>
      <c r="J597" s="132">
        <v>0</v>
      </c>
      <c r="K597" s="132">
        <v>0</v>
      </c>
      <c r="L597" s="144">
        <f>CATEGORIAS[[#This Row],[ADICIONALES]]+CATEGORIAS[[#This Row],[POM]]+CATEGORIAS[[#This Row],[REAJUSTE 
PAGADO]]+CATEGORIAS[[#This Row],[REAJUSTE
PROYECTADO]]</f>
        <v>0</v>
      </c>
      <c r="M597" s="133">
        <v>0</v>
      </c>
      <c r="N597" s="222">
        <v>0</v>
      </c>
      <c r="O597" s="262"/>
      <c r="P597" s="222">
        <v>0</v>
      </c>
      <c r="Q597" s="222">
        <v>0</v>
      </c>
      <c r="R597" s="263"/>
      <c r="S597" s="264">
        <v>0</v>
      </c>
      <c r="T597" s="264"/>
      <c r="U597" s="264">
        <v>0</v>
      </c>
      <c r="V597" s="262"/>
      <c r="W597" s="264">
        <v>0</v>
      </c>
      <c r="X597" s="222"/>
      <c r="Y597" s="222">
        <v>0</v>
      </c>
      <c r="Z597" s="263"/>
      <c r="AA597" s="265"/>
      <c r="AB597" s="222"/>
      <c r="AC597" s="134"/>
      <c r="AD597" s="134"/>
      <c r="AE597" s="221"/>
      <c r="AF597" s="134"/>
      <c r="AG597" s="134"/>
    </row>
    <row r="598" spans="1:33" x14ac:dyDescent="0.25">
      <c r="A598" s="285"/>
      <c r="B598" s="245"/>
      <c r="C598" s="245"/>
      <c r="D598" s="323"/>
      <c r="E598" s="244"/>
      <c r="F598" s="286"/>
      <c r="G598" s="287"/>
      <c r="H598" s="287">
        <v>0</v>
      </c>
      <c r="I598" s="288">
        <v>0</v>
      </c>
      <c r="J598" s="288">
        <v>0</v>
      </c>
      <c r="K598" s="288">
        <v>0</v>
      </c>
      <c r="L598" s="144">
        <f>CATEGORIAS[[#This Row],[ADICIONALES]]+CATEGORIAS[[#This Row],[POM]]+CATEGORIAS[[#This Row],[REAJUSTE 
PAGADO]]+CATEGORIAS[[#This Row],[REAJUSTE
PROYECTADO]]</f>
        <v>0</v>
      </c>
      <c r="M598" s="289">
        <v>0</v>
      </c>
      <c r="N598" s="290">
        <v>0</v>
      </c>
      <c r="O598" s="291"/>
      <c r="P598" s="292">
        <v>0</v>
      </c>
      <c r="Q598" s="292">
        <v>0</v>
      </c>
      <c r="R598" s="293"/>
      <c r="S598" s="294">
        <v>0</v>
      </c>
      <c r="T598" s="294"/>
      <c r="U598" s="294">
        <v>0</v>
      </c>
      <c r="V598" s="291"/>
      <c r="W598" s="294">
        <v>0</v>
      </c>
      <c r="X598" s="292"/>
      <c r="Y598" s="292">
        <v>0</v>
      </c>
      <c r="Z598" s="293"/>
      <c r="AA598" s="295"/>
      <c r="AB598" s="292"/>
      <c r="AC598" s="292"/>
      <c r="AD598" s="292"/>
      <c r="AE598" s="296"/>
      <c r="AF598" s="292"/>
      <c r="AG598" s="292"/>
    </row>
    <row r="599" spans="1:33" x14ac:dyDescent="0.25">
      <c r="G599" s="233"/>
      <c r="O599" s="229"/>
      <c r="P599" s="223"/>
      <c r="V599" s="229"/>
    </row>
    <row r="600" spans="1:33" x14ac:dyDescent="0.25">
      <c r="M600" s="283"/>
      <c r="O600" s="229"/>
      <c r="P600" s="223"/>
      <c r="V600" s="229"/>
      <c r="X600" s="223"/>
      <c r="Z600" s="229"/>
    </row>
    <row r="601" spans="1:33" x14ac:dyDescent="0.25">
      <c r="N601" s="283"/>
      <c r="O601" s="229"/>
      <c r="S601" s="218"/>
      <c r="U601" s="218"/>
      <c r="V601" s="229"/>
      <c r="Y601" s="223"/>
    </row>
    <row r="602" spans="1:33" x14ac:dyDescent="0.25">
      <c r="L602" s="102"/>
      <c r="M602" s="284"/>
      <c r="N602" s="284"/>
      <c r="O602" s="229"/>
      <c r="P602" s="223"/>
      <c r="S602" s="223"/>
      <c r="T602" s="223"/>
      <c r="U602" s="218"/>
      <c r="V602" s="229"/>
      <c r="W602" s="223"/>
      <c r="Z602" s="229"/>
    </row>
    <row r="603" spans="1:33" x14ac:dyDescent="0.25">
      <c r="L603" s="102"/>
      <c r="M603" s="284"/>
      <c r="N603" s="223"/>
      <c r="O603" s="229"/>
      <c r="S603" s="223"/>
      <c r="U603" s="223"/>
      <c r="V603" s="329"/>
      <c r="W603" s="328"/>
      <c r="X603" s="328"/>
      <c r="Z603" s="229"/>
    </row>
    <row r="604" spans="1:33" x14ac:dyDescent="0.25">
      <c r="M604" s="282"/>
      <c r="N604" s="223"/>
      <c r="O604" s="229"/>
      <c r="P604" s="328"/>
      <c r="Q604" s="223"/>
      <c r="S604" s="223"/>
      <c r="U604" s="223"/>
      <c r="V604" s="329"/>
      <c r="W604" s="328"/>
      <c r="X604" s="328"/>
      <c r="Z604" s="229"/>
    </row>
    <row r="605" spans="1:33" x14ac:dyDescent="0.25">
      <c r="M605" s="223"/>
      <c r="O605" s="229"/>
      <c r="U605" s="223"/>
      <c r="V605" s="329"/>
      <c r="W605" s="328"/>
      <c r="X605" s="328"/>
      <c r="Z605" s="229"/>
    </row>
    <row r="606" spans="1:33" x14ac:dyDescent="0.25">
      <c r="M606" s="223"/>
      <c r="O606" s="229"/>
      <c r="U606" s="223"/>
      <c r="V606" s="329"/>
      <c r="W606" s="328"/>
      <c r="X606" s="328"/>
    </row>
    <row r="607" spans="1:33" x14ac:dyDescent="0.25">
      <c r="O607" s="229"/>
      <c r="P607" s="223"/>
      <c r="V607" s="329"/>
      <c r="W607" s="328"/>
      <c r="X607" s="328"/>
    </row>
    <row r="608" spans="1:33" x14ac:dyDescent="0.25">
      <c r="V608" s="329"/>
      <c r="W608" s="328"/>
      <c r="X608" s="328"/>
    </row>
    <row r="609" spans="13:24" x14ac:dyDescent="0.25">
      <c r="V609" s="329"/>
      <c r="W609" s="328"/>
      <c r="X609" s="328"/>
    </row>
    <row r="610" spans="13:24" x14ac:dyDescent="0.25">
      <c r="M610" s="223"/>
      <c r="V610" s="329"/>
      <c r="W610" s="328"/>
      <c r="X610" s="328"/>
    </row>
    <row r="612" spans="13:24" x14ac:dyDescent="0.25">
      <c r="M612" s="223"/>
    </row>
  </sheetData>
  <sheetProtection selectLockedCells="1" autoFilter="0"/>
  <sortState xmlns:xlrd2="http://schemas.microsoft.com/office/spreadsheetml/2017/richdata2" ref="D578:D1128">
    <sortCondition sortBy="cellColor" ref="D578:D1128" dxfId="65"/>
  </sortState>
  <mergeCells count="8">
    <mergeCell ref="M3:R3"/>
    <mergeCell ref="S3:Z3"/>
    <mergeCell ref="AA3:AE3"/>
    <mergeCell ref="M4:O4"/>
    <mergeCell ref="P4:R4"/>
    <mergeCell ref="S4:V4"/>
    <mergeCell ref="W4:Z4"/>
    <mergeCell ref="AB4:AE4"/>
  </mergeCells>
  <phoneticPr fontId="35" type="noConversion"/>
  <conditionalFormatting sqref="D592">
    <cfRule type="duplicateValues" dxfId="10" priority="40"/>
  </conditionalFormatting>
  <conditionalFormatting sqref="D600:D1048576 D1:D591 D593:D595">
    <cfRule type="duplicateValues" dxfId="9" priority="59"/>
  </conditionalFormatting>
  <conditionalFormatting sqref="AD7:AD597">
    <cfRule type="expression" dxfId="1" priority="80">
      <formula>AND($AA7=$AD7,OR($B7="1K01",$B7="1K02",$B7="1K03"))</formula>
    </cfRule>
  </conditionalFormatting>
  <conditionalFormatting sqref="AE7 AD7:AD597 AD8:AE594">
    <cfRule type="expression" dxfId="0" priority="81">
      <formula>AND($F7 &lt;&gt;"SI",OR( $AE7 &lt;&gt;0 ))</formula>
    </cfRule>
  </conditionalFormatting>
  <pageMargins left="0.25" right="0.25" top="0.75" bottom="0.75" header="0.3" footer="0.3"/>
  <pageSetup scale="19" fitToHeight="0" orientation="landscape" r:id="rId1"/>
  <ignoredErrors>
    <ignoredError sqref="H4" unlockedFormula="1"/>
  </ignoredErrors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U131"/>
  <sheetViews>
    <sheetView zoomScale="85" zoomScaleNormal="85" workbookViewId="0">
      <pane xSplit="5" ySplit="5" topLeftCell="F127" activePane="bottomRight" state="frozenSplit"/>
      <selection activeCell="R21" sqref="R21"/>
      <selection pane="topRight" activeCell="R21" sqref="R21"/>
      <selection pane="bottomLeft" activeCell="R21" sqref="R21"/>
      <selection pane="bottomRight" activeCell="A5" sqref="A5:E129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7109375" style="14" customWidth="1"/>
    <col min="6" max="6" width="1.42578125" style="14" customWidth="1"/>
    <col min="7" max="8" width="15.7109375" style="14" customWidth="1"/>
    <col min="9" max="9" width="17.42578125" style="14" bestFit="1" customWidth="1"/>
    <col min="10" max="10" width="1.42578125" style="14" customWidth="1"/>
    <col min="11" max="13" width="15.7109375" style="14" customWidth="1"/>
    <col min="14" max="14" width="1.42578125" style="14" customWidth="1"/>
    <col min="15" max="17" width="15.7109375" style="14" customWidth="1"/>
    <col min="18" max="18" width="13.7109375" style="125" bestFit="1" customWidth="1"/>
    <col min="19" max="16384" width="11.42578125" style="14"/>
  </cols>
  <sheetData>
    <row r="1" spans="1:18" ht="49.5" customHeight="1" x14ac:dyDescent="0.25">
      <c r="B1" s="344"/>
      <c r="C1" s="344"/>
      <c r="D1" s="344"/>
      <c r="E1" s="100"/>
      <c r="G1" s="343" t="s">
        <v>169</v>
      </c>
      <c r="H1" s="343"/>
      <c r="I1" s="343"/>
      <c r="J1" s="343"/>
      <c r="K1" s="343"/>
      <c r="L1" s="343"/>
      <c r="M1" s="343"/>
      <c r="O1" s="344" t="str">
        <f>Indice!H2</f>
        <v>CC: EIMI00398
ARAUCO</v>
      </c>
      <c r="P1" s="344"/>
      <c r="Q1" s="344"/>
    </row>
    <row r="2" spans="1:18" ht="20.25" customHeight="1" x14ac:dyDescent="0.3">
      <c r="B2" s="64" t="str">
        <f>Indice!C4</f>
        <v>INFORME DE COSTOS N° 01</v>
      </c>
      <c r="G2" s="345" t="str">
        <f>"Periodo : " &amp; TEXT(Indice!I12,"MMMM yyyy")</f>
        <v>Periodo : enero 2026</v>
      </c>
      <c r="H2" s="345"/>
      <c r="I2" s="345"/>
      <c r="J2" s="345"/>
      <c r="K2" s="345"/>
      <c r="L2" s="345"/>
      <c r="M2" s="345"/>
      <c r="O2" s="346" t="s">
        <v>170</v>
      </c>
      <c r="P2" s="346"/>
      <c r="Q2" s="64" t="s">
        <v>171</v>
      </c>
    </row>
    <row r="3" spans="1:18" ht="8.25" customHeight="1" x14ac:dyDescent="0.3">
      <c r="G3" s="79"/>
      <c r="H3" s="79"/>
      <c r="I3" s="79"/>
      <c r="J3" s="79"/>
      <c r="K3" s="79"/>
      <c r="L3" s="79"/>
      <c r="M3" s="79"/>
      <c r="N3" s="79"/>
    </row>
    <row r="4" spans="1:18" ht="15" customHeight="1" x14ac:dyDescent="0.3">
      <c r="B4" s="80" t="s">
        <v>86</v>
      </c>
      <c r="D4" s="80" t="s">
        <v>86</v>
      </c>
      <c r="E4" s="80" t="s">
        <v>86</v>
      </c>
      <c r="G4" s="340" t="s">
        <v>172</v>
      </c>
      <c r="H4" s="341"/>
      <c r="I4" s="342"/>
      <c r="J4" s="79"/>
      <c r="K4" s="340" t="s">
        <v>173</v>
      </c>
      <c r="L4" s="341"/>
      <c r="M4" s="342"/>
      <c r="N4" s="79"/>
      <c r="O4" s="340" t="s">
        <v>174</v>
      </c>
      <c r="P4" s="341"/>
      <c r="Q4" s="342"/>
    </row>
    <row r="5" spans="1:18" s="92" customFormat="1" ht="36.75" customHeight="1" x14ac:dyDescent="0.25">
      <c r="B5" s="93" t="s">
        <v>175</v>
      </c>
      <c r="D5" s="93" t="s">
        <v>176</v>
      </c>
      <c r="E5" s="93" t="s">
        <v>177</v>
      </c>
      <c r="G5" s="94" t="s">
        <v>178</v>
      </c>
      <c r="H5" s="94" t="s">
        <v>179</v>
      </c>
      <c r="I5" s="94" t="s">
        <v>180</v>
      </c>
      <c r="J5" s="95"/>
      <c r="K5" s="94" t="s">
        <v>178</v>
      </c>
      <c r="L5" s="94" t="s">
        <v>179</v>
      </c>
      <c r="M5" s="94" t="s">
        <v>181</v>
      </c>
      <c r="N5" s="95"/>
      <c r="O5" s="94" t="s">
        <v>178</v>
      </c>
      <c r="P5" s="94" t="s">
        <v>179</v>
      </c>
      <c r="Q5" s="94" t="s">
        <v>182</v>
      </c>
      <c r="R5" s="126"/>
    </row>
    <row r="6" spans="1:18" ht="8.25" customHeight="1" x14ac:dyDescent="0.3">
      <c r="J6" s="79"/>
      <c r="N6" s="79"/>
    </row>
    <row r="7" spans="1:18" ht="15" customHeight="1" x14ac:dyDescent="0.3">
      <c r="B7" s="8" t="s">
        <v>183</v>
      </c>
      <c r="D7" s="1">
        <f>SUM(D119:D123)</f>
        <v>3017729863.2570324</v>
      </c>
      <c r="E7" s="1">
        <f>SUM(E119:E123)</f>
        <v>3658673350.3445153</v>
      </c>
      <c r="G7" s="12">
        <f>SUM(G119:G123)</f>
        <v>2684601031.3448453</v>
      </c>
      <c r="H7" s="12">
        <f>SUM(H119:H123)</f>
        <v>974072318.99967027</v>
      </c>
      <c r="I7" s="12">
        <f>SUM(I119:I123)</f>
        <v>3658673350.3445158</v>
      </c>
      <c r="J7" s="79"/>
      <c r="K7" s="12">
        <f>SUM(K119:K123)</f>
        <v>2684601031.3448453</v>
      </c>
      <c r="L7" s="12">
        <f>SUM(L119:L123)</f>
        <v>953531336.5802052</v>
      </c>
      <c r="M7" s="12">
        <f>SUM(M119:M123)</f>
        <v>3638132367.9250503</v>
      </c>
      <c r="N7" s="79"/>
      <c r="O7" s="12">
        <f>SUM(O119:O123)</f>
        <v>0</v>
      </c>
      <c r="P7" s="12">
        <f>SUM(P119:P123)</f>
        <v>20540982.419465162</v>
      </c>
      <c r="Q7" s="12">
        <f>SUM(Q119:Q123)</f>
        <v>20540982.419465162</v>
      </c>
      <c r="R7" s="127">
        <f t="shared" ref="R7:R73" si="0">SUM(D7:Q7)</f>
        <v>21311096614.979603</v>
      </c>
    </row>
    <row r="8" spans="1:18" ht="8.25" customHeight="1" x14ac:dyDescent="0.3">
      <c r="J8" s="79"/>
      <c r="N8" s="79"/>
      <c r="R8" s="127">
        <f t="shared" si="0"/>
        <v>0</v>
      </c>
    </row>
    <row r="9" spans="1:18" ht="15" customHeight="1" x14ac:dyDescent="0.3">
      <c r="A9" s="14" t="s">
        <v>184</v>
      </c>
      <c r="B9" s="81" t="s">
        <v>185</v>
      </c>
      <c r="D9" s="82">
        <f>SUM(D10:D17)</f>
        <v>989503980.44566989</v>
      </c>
      <c r="E9" s="82">
        <f>SUM(E10:E17)</f>
        <v>1239884575.233088</v>
      </c>
      <c r="G9" s="83">
        <f>SUM(G10:G17)</f>
        <v>897845946.52434623</v>
      </c>
      <c r="H9" s="83">
        <f t="shared" ref="H9:I9" si="1">SUM(H10:H17)</f>
        <v>342038628.70874131</v>
      </c>
      <c r="I9" s="83">
        <f t="shared" si="1"/>
        <v>1239884575.2330875</v>
      </c>
      <c r="J9" s="79"/>
      <c r="K9" s="83">
        <f>SUM(K10:K17)</f>
        <v>897845946.52434623</v>
      </c>
      <c r="L9" s="83">
        <f t="shared" ref="L9" si="2">SUM(L10:L17)</f>
        <v>343984632.27721453</v>
      </c>
      <c r="M9" s="83">
        <f t="shared" ref="M9" si="3">SUM(M10:M17)</f>
        <v>1241830578.8015609</v>
      </c>
      <c r="N9" s="79"/>
      <c r="O9" s="83">
        <f>SUM(O10:O17)</f>
        <v>0</v>
      </c>
      <c r="P9" s="83">
        <f t="shared" ref="P9" si="4">SUM(P10:P17)</f>
        <v>-1946003.5684732581</v>
      </c>
      <c r="Q9" s="83">
        <f t="shared" ref="Q9" si="5">SUM(Q10:Q17)</f>
        <v>-1946003.5684732283</v>
      </c>
      <c r="R9" s="127">
        <f t="shared" si="0"/>
        <v>7188926856.6111088</v>
      </c>
    </row>
    <row r="10" spans="1:18" ht="15" customHeight="1" x14ac:dyDescent="0.3">
      <c r="A10" s="14" t="s">
        <v>26</v>
      </c>
      <c r="B10" s="6" t="s">
        <v>186</v>
      </c>
      <c r="D10" s="3">
        <f>SUMIF(CATEGORIAS[[#All],[SUBGRUPO]],A10,CATEGORIAS[[#All],[PRESUPUESTO
(ORIGINAL)]])</f>
        <v>249347566.42085752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198803332.67654666</v>
      </c>
      <c r="G10" s="71">
        <f>+SUMIF(CATEGORIAS[[#All],[SUBGRUPO]],A10,CATEGORIAS[[#All],[PRODUCCION
PARTIDAS
ORIGINALES
ACTUAL]])</f>
        <v>153564671.98540756</v>
      </c>
      <c r="H10" s="71">
        <f>+SUMIF(CATEGORIAS[[#All],[SUBGRUPO]],A10,CATEGORIAS[[#All],[PRODUCCION
ADICIONALES
ACTUAL]])</f>
        <v>45238660.691139102</v>
      </c>
      <c r="I10" s="71">
        <f t="shared" ref="I10:I16" si="6">G10+H10</f>
        <v>198803332.67654666</v>
      </c>
      <c r="J10" s="79"/>
      <c r="K10" s="71">
        <f>+SUMIF(CATEGORIAS[[#All],[SUBGRUPO]],A10,CATEGORIAS[[#All],[PRODUCCION
ANTERIOR]])</f>
        <v>153564671.98540756</v>
      </c>
      <c r="L10" s="71">
        <f>+SUMIF(CATEGORIAS[[#All],[SUBGRUPO]],A10,CATEGORIAS[[#All],[PRODUCCION
ADICIONALES
ANTERIOR]])</f>
        <v>45209536.988993883</v>
      </c>
      <c r="M10" s="71">
        <f t="shared" ref="M10:M16" si="7">K10+L10</f>
        <v>198774208.97440144</v>
      </c>
      <c r="N10" s="79"/>
      <c r="O10" s="71">
        <f t="shared" ref="O10:Q15" si="8">G10-K10</f>
        <v>0</v>
      </c>
      <c r="P10" s="71">
        <f t="shared" si="8"/>
        <v>29123.702145218849</v>
      </c>
      <c r="Q10" s="71">
        <f t="shared" si="8"/>
        <v>29123.702145218849</v>
      </c>
      <c r="R10" s="127">
        <f t="shared" si="0"/>
        <v>1243364229.8035908</v>
      </c>
    </row>
    <row r="11" spans="1:18" ht="15" customHeight="1" x14ac:dyDescent="0.3">
      <c r="A11" s="14" t="s">
        <v>28</v>
      </c>
      <c r="B11" s="6" t="s">
        <v>187</v>
      </c>
      <c r="D11" s="3">
        <f>SUMIF(CATEGORIAS[[#All],[SUBGRUPO]],A11,CATEGORIAS[[#All],[PRESUPUESTO
(ORIGINAL)]])</f>
        <v>9107425.3160245083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6205931.11177509</v>
      </c>
      <c r="G11" s="71">
        <f>+SUMIF(CATEGORIAS[[#All],[SUBGRUPO]],A11,CATEGORIAS[[#All],[PRODUCCION
PARTIDAS
ORIGINALES
ACTUAL]])</f>
        <v>6204754.3735583927</v>
      </c>
      <c r="H11" s="71">
        <f>+SUMIF(CATEGORIAS[[#All],[SUBGRUPO]],A11,CATEGORIAS[[#All],[PRODUCCION
ADICIONALES
ACTUAL]])</f>
        <v>1176.7382166972384</v>
      </c>
      <c r="I11" s="71">
        <f t="shared" si="6"/>
        <v>6205931.11177509</v>
      </c>
      <c r="J11" s="79"/>
      <c r="K11" s="71">
        <f>+SUMIF(CATEGORIAS[[#All],[SUBGRUPO]],A11,CATEGORIAS[[#All],[PRODUCCION
ANTERIOR]])</f>
        <v>6204754.3735583927</v>
      </c>
      <c r="L11" s="71">
        <f>+SUMIF(CATEGORIAS[[#All],[SUBGRUPO]],A11,CATEGORIAS[[#All],[PRODUCCION
ADICIONALES
ANTERIOR]])</f>
        <v>0</v>
      </c>
      <c r="M11" s="71">
        <f t="shared" si="7"/>
        <v>6204754.3735583927</v>
      </c>
      <c r="N11" s="79"/>
      <c r="O11" s="71">
        <f t="shared" ref="O11" si="9">G11-K11</f>
        <v>0</v>
      </c>
      <c r="P11" s="71">
        <f t="shared" ref="P11" si="10">H11-L11</f>
        <v>1176.7382166972384</v>
      </c>
      <c r="Q11" s="71">
        <f t="shared" ref="Q11" si="11">I11-M11</f>
        <v>1176.7382166972384</v>
      </c>
      <c r="R11" s="127">
        <f t="shared" ref="R11" si="12">SUM(D11:Q11)</f>
        <v>40137080.874899961</v>
      </c>
    </row>
    <row r="12" spans="1:18" ht="15" customHeight="1" x14ac:dyDescent="0.3">
      <c r="A12" s="14" t="s">
        <v>188</v>
      </c>
      <c r="B12" s="6" t="str">
        <f>VLOOKUP(A12,'Analisis por Categorias'!B:C,2,FALSE)</f>
        <v>Mecanica</v>
      </c>
      <c r="D12" s="3">
        <f>SUMIF(CATEGORIAS[[#All],[SUBGRUPO]],A12,CATEGORIAS[[#All],[PRESUPUESTO
(ORIGINAL)]])</f>
        <v>648232300.96841526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841801119.14748919</v>
      </c>
      <c r="G12" s="71">
        <f>+SUMIF(CATEGORIAS[[#All],[SUBGRUPO]],A12,CATEGORIAS[[#All],[PRODUCCION
PARTIDAS
ORIGINALES
ACTUAL]])</f>
        <v>686914619.32506871</v>
      </c>
      <c r="H12" s="71">
        <f>+SUMIF(CATEGORIAS[[#All],[SUBGRUPO]],A12,CATEGORIAS[[#All],[PRODUCCION
ADICIONALES
ACTUAL]])</f>
        <v>154886499.82242</v>
      </c>
      <c r="I12" s="71">
        <f t="shared" si="6"/>
        <v>841801119.14748871</v>
      </c>
      <c r="J12" s="79"/>
      <c r="K12" s="71">
        <f>+SUMIF(CATEGORIAS[[#All],[SUBGRUPO]],A12,CATEGORIAS[[#All],[PRODUCCION
ANTERIOR]])</f>
        <v>686914619.32506871</v>
      </c>
      <c r="L12" s="71">
        <f>+SUMIF(CATEGORIAS[[#All],[SUBGRUPO]],A12,CATEGORIAS[[#All],[PRODUCCION
ADICIONALES
ANTERIOR]])</f>
        <v>156872506.73975614</v>
      </c>
      <c r="M12" s="71">
        <f t="shared" si="7"/>
        <v>843787126.06482482</v>
      </c>
      <c r="N12" s="79"/>
      <c r="O12" s="71">
        <f t="shared" si="8"/>
        <v>0</v>
      </c>
      <c r="P12" s="71">
        <f t="shared" si="8"/>
        <v>-1986006.9173361361</v>
      </c>
      <c r="Q12" s="71">
        <f t="shared" si="8"/>
        <v>-1986006.9173361063</v>
      </c>
      <c r="R12" s="127">
        <f t="shared" si="0"/>
        <v>4857237896.7058582</v>
      </c>
    </row>
    <row r="13" spans="1:18" ht="15" customHeight="1" x14ac:dyDescent="0.3">
      <c r="A13" s="14" t="s">
        <v>189</v>
      </c>
      <c r="B13" s="6" t="str">
        <f>VLOOKUP(A13,'Analisis por Categorias'!B:C,2,FALSE)</f>
        <v>Cañería</v>
      </c>
      <c r="D13" s="3">
        <f>SUMIF(CATEGORIAS[[#All],[SUBGRUPO]],A13,CATEGORIAS[[#All],[PRESUPUESTO
(ORIGINAL)]])</f>
        <v>37872374.345846228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18825990.20282159</v>
      </c>
      <c r="G13" s="71">
        <f>+SUMIF(CATEGORIAS[[#All],[SUBGRUPO]],A13,CATEGORIAS[[#All],[PRODUCCION
PARTIDAS
ORIGINALES
ACTUAL]])</f>
        <v>9663482.8008251414</v>
      </c>
      <c r="H13" s="71">
        <f>+SUMIF(CATEGORIAS[[#All],[SUBGRUPO]],A13,CATEGORIAS[[#All],[PRODUCCION
ADICIONALES
ACTUAL]])</f>
        <v>9162507.4019964505</v>
      </c>
      <c r="I13" s="71">
        <f t="shared" si="6"/>
        <v>18825990.20282159</v>
      </c>
      <c r="J13" s="79"/>
      <c r="K13" s="71">
        <f>+SUMIF(CATEGORIAS[[#All],[SUBGRUPO]],A13,CATEGORIAS[[#All],[PRODUCCION
ANTERIOR]])</f>
        <v>9663482.8008251414</v>
      </c>
      <c r="L13" s="71">
        <f>+SUMIF(CATEGORIAS[[#All],[SUBGRUPO]],A13,CATEGORIAS[[#All],[PRODUCCION
ADICIONALES
ANTERIOR]])</f>
        <v>9160674.7122824807</v>
      </c>
      <c r="M13" s="71">
        <f t="shared" si="7"/>
        <v>18824157.51310762</v>
      </c>
      <c r="N13" s="79"/>
      <c r="O13" s="71">
        <f t="shared" si="8"/>
        <v>0</v>
      </c>
      <c r="P13" s="71">
        <f t="shared" si="8"/>
        <v>1832.6897139698267</v>
      </c>
      <c r="Q13" s="71">
        <f t="shared" si="8"/>
        <v>1832.6897139698267</v>
      </c>
      <c r="R13" s="127">
        <f t="shared" si="0"/>
        <v>132002325.35995421</v>
      </c>
    </row>
    <row r="14" spans="1:18" ht="15" customHeight="1" x14ac:dyDescent="0.3">
      <c r="A14" s="14" t="s">
        <v>191</v>
      </c>
      <c r="B14" s="6" t="str">
        <f>VLOOKUP(A14,'Analisis por Categorias'!B:C,2,FALSE)</f>
        <v>Electricidad &amp; Instrumentacion</v>
      </c>
      <c r="D14" s="3">
        <f>SUMIF(CATEGORIAS[[#All],[SUBGRUPO]],A14,CATEGORIAS[[#All],[PRESUPUESTO
(ORIGINAL)]])</f>
        <v>4909779.3548685564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119615192.39635754</v>
      </c>
      <c r="G14" s="71">
        <f>+SUMIF(CATEGORIAS[[#All],[SUBGRUPO]],A14,CATEGORIAS[[#All],[PRODUCCION
PARTIDAS
ORIGINALES
ACTUAL]])</f>
        <v>3934123.0769700189</v>
      </c>
      <c r="H14" s="71">
        <f>+SUMIF(CATEGORIAS[[#All],[SUBGRUPO]],A14,CATEGORIAS[[#All],[PRODUCCION
ADICIONALES
ACTUAL]])</f>
        <v>115681069.31938751</v>
      </c>
      <c r="I14" s="71">
        <f t="shared" si="6"/>
        <v>119615192.39635754</v>
      </c>
      <c r="J14" s="79"/>
      <c r="K14" s="71">
        <f>+SUMIF(CATEGORIAS[[#All],[SUBGRUPO]],A14,CATEGORIAS[[#All],[PRODUCCION
ANTERIOR]])</f>
        <v>3934123.0769700189</v>
      </c>
      <c r="L14" s="71">
        <f>+SUMIF(CATEGORIAS[[#All],[SUBGRUPO]],A14,CATEGORIAS[[#All],[PRODUCCION
ADICIONALES
ANTERIOR]])</f>
        <v>115680323.2087931</v>
      </c>
      <c r="M14" s="71">
        <f t="shared" si="7"/>
        <v>119614446.28576313</v>
      </c>
      <c r="N14" s="79"/>
      <c r="O14" s="71">
        <f t="shared" si="8"/>
        <v>0</v>
      </c>
      <c r="P14" s="71">
        <f t="shared" si="8"/>
        <v>746.11059440672398</v>
      </c>
      <c r="Q14" s="71">
        <f t="shared" si="8"/>
        <v>746.11059440672398</v>
      </c>
      <c r="R14" s="127">
        <f t="shared" si="0"/>
        <v>602985741.33665621</v>
      </c>
    </row>
    <row r="15" spans="1:18" ht="15" hidden="1" customHeight="1" x14ac:dyDescent="0.3">
      <c r="A15" s="14" t="s">
        <v>193</v>
      </c>
      <c r="B15" s="6" t="e">
        <f>VLOOKUP(A15,'Analisis por Categorias'!B:C,2,FALSE)</f>
        <v>#N/A</v>
      </c>
      <c r="D15" s="3">
        <f>SUMIF(CATEGORIAS[[#All],[SUBGRUPO]],A15,CATEGORIAS[[#All],[PRESUPUESTO
(ORIGINAL)]])</f>
        <v>0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0</v>
      </c>
      <c r="G15" s="71">
        <f>+SUMIF(CATEGORIAS[[#All],[SUBGRUPO]],A15,CATEGORIAS[[#All],[PRODUCCION
PARTIDAS
ORIGINALES
ACTUAL]])</f>
        <v>0</v>
      </c>
      <c r="H15" s="71">
        <f>+SUMIF(CATEGORIAS[[#All],[SUBGRUPO]],A15,CATEGORIAS[[#All],[PRODUCCION
ADICIONALES
ACTUAL]])</f>
        <v>0</v>
      </c>
      <c r="I15" s="71">
        <f t="shared" si="6"/>
        <v>0</v>
      </c>
      <c r="J15" s="79"/>
      <c r="K15" s="71">
        <f>+SUMIF(CATEGORIAS[[#All],[SUBGRUPO]],A15,CATEGORIAS[[#All],[PRODUCCION
ANTERIOR]])</f>
        <v>0</v>
      </c>
      <c r="L15" s="71">
        <f>+SUMIF(CATEGORIAS[[#All],[SUBGRUPO]],A15,CATEGORIAS[[#All],[PRODUCCION
ADICIONALES
ANTERIOR]])</f>
        <v>0</v>
      </c>
      <c r="M15" s="71">
        <f t="shared" si="7"/>
        <v>0</v>
      </c>
      <c r="N15" s="79"/>
      <c r="O15" s="71">
        <f t="shared" si="8"/>
        <v>0</v>
      </c>
      <c r="P15" s="71">
        <f t="shared" si="8"/>
        <v>0</v>
      </c>
      <c r="Q15" s="71">
        <f t="shared" si="8"/>
        <v>0</v>
      </c>
      <c r="R15" s="127">
        <f t="shared" si="0"/>
        <v>0</v>
      </c>
    </row>
    <row r="16" spans="1:18" ht="15" hidden="1" customHeight="1" x14ac:dyDescent="0.3">
      <c r="A16" s="14" t="s">
        <v>194</v>
      </c>
      <c r="B16" s="6" t="e">
        <f>VLOOKUP(A16,'Analisis por Categorias'!B:C,2,FALSE)</f>
        <v>#N/A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</f>
        <v>0</v>
      </c>
      <c r="H16" s="71">
        <f>+SUMIF(CATEGORIAS[[#All],[SUBGRUPO]],A16,CATEGORIAS[[#All],[PRODUCCION
ADICIONALES
ACTUAL]])</f>
        <v>0</v>
      </c>
      <c r="I16" s="71">
        <f t="shared" si="6"/>
        <v>0</v>
      </c>
      <c r="J16" s="79"/>
      <c r="K16" s="71">
        <f>+SUMIF(CATEGORIAS[[#All],[SUBGRUPO]],A16,CATEGORIAS[[#All],[PRODUCCION
ANTERIOR]])</f>
        <v>0</v>
      </c>
      <c r="L16" s="71">
        <f>+SUMIF(CATEGORIAS[[#All],[SUBGRUPO]],A16,CATEGORIAS[[#All],[PRODUCCION
ADICIONALES
ANTERIOR]])</f>
        <v>0</v>
      </c>
      <c r="M16" s="71">
        <f t="shared" si="7"/>
        <v>0</v>
      </c>
      <c r="N16" s="79"/>
      <c r="O16" s="71">
        <f t="shared" ref="O16" si="13">G16-K16</f>
        <v>0</v>
      </c>
      <c r="P16" s="71">
        <f t="shared" ref="P16" si="14">H16-L16</f>
        <v>0</v>
      </c>
      <c r="Q16" s="71">
        <f t="shared" ref="Q16" si="15">I16-M16</f>
        <v>0</v>
      </c>
      <c r="R16" s="127">
        <f t="shared" ref="R16" si="16">SUM(D16:Q16)</f>
        <v>0</v>
      </c>
    </row>
    <row r="17" spans="1:21" ht="15" customHeight="1" x14ac:dyDescent="0.3">
      <c r="A17" s="14" t="s">
        <v>2383</v>
      </c>
      <c r="B17" s="6" t="s">
        <v>423</v>
      </c>
      <c r="D17" s="3">
        <f>SUMIF(CATEGORIAS[[#All],[SUBGRUPO]],A17,CATEGORIAS[[#All],[PRESUPUESTO
(ORIGINAL)]])</f>
        <v>40034534.039657995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54633009.698097989</v>
      </c>
      <c r="G17" s="71">
        <f>+SUMIF(CATEGORIAS[[#All],[SUBGRUPO]],A17,CATEGORIAS[[#All],[PRODUCCION
PARTIDAS
ORIGINALES
ACTUAL]])</f>
        <v>37564294.962516442</v>
      </c>
      <c r="H17" s="71">
        <f>+SUMIF(CATEGORIAS[[#All],[SUBGRUPO]],A17,CATEGORIAS[[#All],[PRODUCCION
ADICIONALES
ACTUAL]])</f>
        <v>17068714.735581547</v>
      </c>
      <c r="I17" s="71">
        <f t="shared" ref="I17" si="17">G17+H17</f>
        <v>54633009.698097989</v>
      </c>
      <c r="J17" s="79"/>
      <c r="K17" s="71">
        <f>+SUMIF(CATEGORIAS[[#All],[SUBGRUPO]],A17,CATEGORIAS[[#All],[PRODUCCION
ANTERIOR]])</f>
        <v>37564294.962516442</v>
      </c>
      <c r="L17" s="71">
        <f>+SUMIF(CATEGORIAS[[#All],[SUBGRUPO]],A17,CATEGORIAS[[#All],[PRODUCCION
ADICIONALES
ANTERIOR]])</f>
        <v>17061590.627388962</v>
      </c>
      <c r="M17" s="71">
        <f t="shared" ref="M17" si="18">K17+L17</f>
        <v>54625885.589905404</v>
      </c>
      <c r="N17" s="79"/>
      <c r="O17" s="71">
        <f t="shared" ref="O17" si="19">G17-K17</f>
        <v>0</v>
      </c>
      <c r="P17" s="71">
        <f t="shared" ref="P17" si="20">H17-L17</f>
        <v>7124.1081925854087</v>
      </c>
      <c r="Q17" s="71">
        <f t="shared" ref="Q17" si="21">I17-M17</f>
        <v>7124.1081925854087</v>
      </c>
      <c r="R17" s="127"/>
    </row>
    <row r="18" spans="1:21" ht="8.25" customHeight="1" x14ac:dyDescent="0.3">
      <c r="J18" s="79"/>
      <c r="N18" s="79"/>
      <c r="R18" s="127">
        <f t="shared" si="0"/>
        <v>0</v>
      </c>
    </row>
    <row r="19" spans="1:21" ht="15" customHeight="1" x14ac:dyDescent="0.3">
      <c r="A19" s="14" t="s">
        <v>195</v>
      </c>
      <c r="B19" s="81" t="s">
        <v>196</v>
      </c>
      <c r="D19" s="82">
        <f>SUM(D20:D28)</f>
        <v>654136807.94229996</v>
      </c>
      <c r="E19" s="82">
        <f>SUM(E20:E28)</f>
        <v>679183187.46936965</v>
      </c>
      <c r="G19" s="83">
        <f>SUM(G20:G27)</f>
        <v>582060970.20638669</v>
      </c>
      <c r="H19" s="83">
        <f>SUM(H20:H27)</f>
        <v>97122217.262983099</v>
      </c>
      <c r="I19" s="83">
        <f>SUM(I20:I27)</f>
        <v>679183187.46936965</v>
      </c>
      <c r="J19" s="79"/>
      <c r="K19" s="83">
        <f>SUM(K20:K27)</f>
        <v>582060970.20638669</v>
      </c>
      <c r="L19" s="83">
        <f t="shared" ref="L19" si="22">SUM(L20:L27)</f>
        <v>97011828.785558715</v>
      </c>
      <c r="M19" s="83">
        <f t="shared" ref="M19" si="23">SUM(M20:M27)</f>
        <v>679072798.99194527</v>
      </c>
      <c r="N19" s="79"/>
      <c r="O19" s="83">
        <f>SUM(O20:O27)</f>
        <v>0</v>
      </c>
      <c r="P19" s="83">
        <f t="shared" ref="P19" si="24">SUM(P20:P27)</f>
        <v>110388.47742438642</v>
      </c>
      <c r="Q19" s="83">
        <f t="shared" ref="Q19" si="25">SUM(Q20:Q27)</f>
        <v>110388.47742438642</v>
      </c>
      <c r="R19" s="127">
        <f t="shared" si="0"/>
        <v>4050052745.2891488</v>
      </c>
    </row>
    <row r="20" spans="1:21" ht="15" customHeight="1" x14ac:dyDescent="0.3">
      <c r="A20" s="14" t="s">
        <v>32</v>
      </c>
      <c r="B20" s="6" t="str">
        <f>VLOOKUP(A20,'Analisis por Categorias'!B:C,2,FALSE)</f>
        <v>Civil</v>
      </c>
      <c r="D20" s="3">
        <f>SUMIF(CATEGORIAS[[#All],[SUBGRUPO]],A20,CATEGORIAS[[#All],[PRESUPUESTO
(ORIGINAL)]])</f>
        <v>504953712.21710002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452452831.12783277</v>
      </c>
      <c r="G20" s="71">
        <f>+SUMIF(CATEGORIAS[[#All],[SUBGRUPO]],A20,CATEGORIAS[[#All],[PRODUCCION
PARTIDAS
ORIGINALES
ACTUAL]])</f>
        <v>436680717.14670575</v>
      </c>
      <c r="H20" s="71">
        <f>+SUMIF(CATEGORIAS[[#All],[SUBGRUPO]],A20,CATEGORIAS[[#All],[PRODUCCION
ADICIONALES
ACTUAL]])</f>
        <v>15772113.981127026</v>
      </c>
      <c r="I20" s="85">
        <f>G20+H20</f>
        <v>452452831.12783277</v>
      </c>
      <c r="J20" s="79"/>
      <c r="K20" s="71">
        <f>+SUMIF(CATEGORIAS[[#All],[SUBGRUPO]],A20,CATEGORIAS[[#All],[PRODUCCION
ANTERIOR]])</f>
        <v>436680717.14670575</v>
      </c>
      <c r="L20" s="71">
        <f>+SUMIF(CATEGORIAS[[#All],[SUBGRUPO]],A20,CATEGORIAS[[#All],[PRODUCCION
ADICIONALES
ANTERIOR]])</f>
        <v>15689297.022159101</v>
      </c>
      <c r="M20" s="71">
        <f>K20+L20</f>
        <v>452370014.16886485</v>
      </c>
      <c r="N20" s="79"/>
      <c r="O20" s="71">
        <f t="shared" ref="O20:Q24" si="26">G20-K20</f>
        <v>0</v>
      </c>
      <c r="P20" s="71">
        <f t="shared" si="26"/>
        <v>82816.958967924118</v>
      </c>
      <c r="Q20" s="71">
        <f t="shared" si="26"/>
        <v>82816.958967924118</v>
      </c>
      <c r="R20" s="127">
        <f t="shared" si="0"/>
        <v>2767217867.8562641</v>
      </c>
    </row>
    <row r="21" spans="1:21" ht="15" hidden="1" customHeight="1" x14ac:dyDescent="0.3">
      <c r="A21" s="14" t="s">
        <v>33</v>
      </c>
      <c r="B21" s="6" t="e">
        <f>VLOOKUP(A21,'Analisis por Categorias'!B:C,2,FALSE)</f>
        <v>#N/A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</f>
        <v>0</v>
      </c>
      <c r="H21" s="71">
        <f>+SUMIF(CATEGORIAS[[#All],[SUBGRUPO]],A21,CATEGORIAS[[#All],[PRODUCCION
ADICIONALES
ACTUAL]])</f>
        <v>0</v>
      </c>
      <c r="I21" s="85">
        <f>G21+H21</f>
        <v>0</v>
      </c>
      <c r="J21" s="79"/>
      <c r="K21" s="71">
        <f>+SUMIF(CATEGORIAS[[#All],[SUBGRUPO]],A21,CATEGORIAS[[#All],[PRODUCCION
ANTERIOR]])</f>
        <v>0</v>
      </c>
      <c r="L21" s="71">
        <f>+SUMIF(CATEGORIAS[[#All],[SUBGRUPO]],A21,CATEGORIAS[[#All],[PRODUCCION
ADICIONALES
ANTERIOR]])</f>
        <v>0</v>
      </c>
      <c r="M21" s="85">
        <f>K21+L21</f>
        <v>0</v>
      </c>
      <c r="N21" s="79"/>
      <c r="O21" s="85">
        <f t="shared" ref="O21" si="27">G21-K21</f>
        <v>0</v>
      </c>
      <c r="P21" s="71">
        <f t="shared" ref="P21" si="28">H21-L21</f>
        <v>0</v>
      </c>
      <c r="Q21" s="71">
        <f t="shared" ref="Q21" si="29">I21-M21</f>
        <v>0</v>
      </c>
      <c r="R21" s="127">
        <f>SUM(D21:Q21)</f>
        <v>0</v>
      </c>
    </row>
    <row r="22" spans="1:21" ht="15" hidden="1" customHeight="1" x14ac:dyDescent="0.3">
      <c r="A22" s="14" t="s">
        <v>197</v>
      </c>
      <c r="B22" s="6" t="e">
        <f>VLOOKUP(A22,'Analisis por Categorias'!B:C,2,FALSE)</f>
        <v>#N/A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</f>
        <v>0</v>
      </c>
      <c r="H22" s="71">
        <f>+SUMIF(CATEGORIAS[[#All],[SUBGRUPO]],A22,CATEGORIAS[[#All],[PRODUCCION
ADICIONALES
ACTUAL]])</f>
        <v>0</v>
      </c>
      <c r="I22" s="85">
        <f>G22+H22</f>
        <v>0</v>
      </c>
      <c r="J22" s="79"/>
      <c r="K22" s="71">
        <f>+SUMIF(CATEGORIAS[[#All],[SUBGRUPO]],A22,CATEGORIAS[[#All],[PRODUCCION
ANTERIOR]])</f>
        <v>0</v>
      </c>
      <c r="L22" s="71">
        <f>+SUMIF(CATEGORIAS[[#All],[SUBGRUPO]],A22,CATEGORIAS[[#All],[PRODUCCION
ADICIONALES
ANTERIOR]])</f>
        <v>0</v>
      </c>
      <c r="M22" s="85">
        <f>K22+L22</f>
        <v>0</v>
      </c>
      <c r="N22" s="79"/>
      <c r="O22" s="85">
        <f t="shared" si="26"/>
        <v>0</v>
      </c>
      <c r="P22" s="71">
        <f t="shared" si="26"/>
        <v>0</v>
      </c>
      <c r="Q22" s="71">
        <f t="shared" si="26"/>
        <v>0</v>
      </c>
      <c r="R22" s="127">
        <f>SUM(D22:Q22)</f>
        <v>0</v>
      </c>
    </row>
    <row r="23" spans="1:21" ht="15" customHeight="1" x14ac:dyDescent="0.3">
      <c r="A23" s="14" t="s">
        <v>198</v>
      </c>
      <c r="B23" s="6" t="str">
        <f>VLOOKUP(A23,'Analisis por Categorias'!B:C,2,FALSE)</f>
        <v>Mecánica</v>
      </c>
      <c r="D23" s="3">
        <f>SUMIF(CATEGORIAS[[#All],[SUBGRUPO]],A23,CATEGORIAS[[#All],[PRESUPUESTO
(ORIGINAL)]])</f>
        <v>144330783.15279999</v>
      </c>
      <c r="E23" s="3">
        <f>+SUMIF(CATEGORIAS[[#All],[SUBGRUPO]],A23,CATEGORIAS[[#All],[PRODUCCION
PARTIDAS
ORIGINALES
ACTUAL]])
+SUMIF(CATEGORIAS[[#All],[SUBGRUPO]],A23,CATEGORIAS[[#All],[PRODUCCION
ADICIONALES
ACTUAL]])
+SUMIF(CATEGORIAS[[#All],[SUBGRUPO]],A23,CATEGORIAS[[#All],[PROYECCION
DE INGRESO
DEL SALDO]])</f>
        <v>224694827.39911288</v>
      </c>
      <c r="G23" s="71">
        <f>+SUMIF(CATEGORIAS[[#All],[SUBGRUPO]],A23,CATEGORIAS[[#All],[PRODUCCION
PARTIDAS
ORIGINALES
ACTUAL]])</f>
        <v>143510573.10174501</v>
      </c>
      <c r="H23" s="71">
        <f>+SUMIF(CATEGORIAS[[#All],[SUBGRUPO]],A23,CATEGORIAS[[#All],[PRODUCCION
ADICIONALES
ACTUAL]])</f>
        <v>81184254.297367871</v>
      </c>
      <c r="I23" s="85">
        <f>G23+H23</f>
        <v>224694827.39911288</v>
      </c>
      <c r="J23" s="79"/>
      <c r="K23" s="71">
        <f>+SUMIF(CATEGORIAS[[#All],[SUBGRUPO]],A23,CATEGORIAS[[#All],[PRODUCCION
ANTERIOR]])</f>
        <v>143510573.10174501</v>
      </c>
      <c r="L23" s="71">
        <f>+SUMIF(CATEGORIAS[[#All],[SUBGRUPO]],A23,CATEGORIAS[[#All],[PRODUCCION
ADICIONALES
ANTERIOR]])</f>
        <v>81157037.365689069</v>
      </c>
      <c r="M23" s="71">
        <f>K23+L23</f>
        <v>224667610.46743408</v>
      </c>
      <c r="N23" s="79"/>
      <c r="O23" s="71">
        <f t="shared" si="26"/>
        <v>0</v>
      </c>
      <c r="P23" s="71">
        <f t="shared" si="26"/>
        <v>27216.931678801775</v>
      </c>
      <c r="Q23" s="71">
        <f t="shared" si="26"/>
        <v>27216.931678801775</v>
      </c>
      <c r="R23" s="127">
        <f>SUM(D23:Q23)</f>
        <v>1267804920.1483643</v>
      </c>
    </row>
    <row r="24" spans="1:21" ht="15" customHeight="1" x14ac:dyDescent="0.3">
      <c r="A24" s="14" t="s">
        <v>199</v>
      </c>
      <c r="B24" s="6" t="str">
        <f>VLOOKUP(A24,'Analisis por Categorias'!B:C,2,FALSE)</f>
        <v>Cañería</v>
      </c>
      <c r="D24" s="3">
        <f>SUMIF(CATEGORIAS[[#All],[SUBGRUPO]],A24,CATEGORIAS[[#All],[PRESUPUESTO
(ORIGINAL)]])</f>
        <v>3653812.5723999999</v>
      </c>
      <c r="E24" s="3">
        <f>+SUMIF(CATEGORIAS[[#All],[SUBGRUPO]],A24,CATEGORIAS[[#All],[PRODUCCION
PARTIDAS
ORIGINALES
ACTUAL]])
+SUMIF(CATEGORIAS[[#All],[SUBGRUPO]],A24,CATEGORIAS[[#All],[PRODUCCION
ADICIONALES
ACTUAL]])
+SUMIF(CATEGORIAS[[#All],[SUBGRUPO]],A24,CATEGORIAS[[#All],[PROYECCION
DE INGRESO
DEL SALDO]])</f>
        <v>1069762.3046658658</v>
      </c>
      <c r="G24" s="71">
        <f>+SUMIF(CATEGORIAS[[#All],[SUBGRUPO]],A24,CATEGORIAS[[#All],[PRODUCCION
PARTIDAS
ORIGINALES
ACTUAL]])</f>
        <v>904096.44411033473</v>
      </c>
      <c r="H24" s="71">
        <f>+SUMIF(CATEGORIAS[[#All],[SUBGRUPO]],A24,CATEGORIAS[[#All],[PRODUCCION
ADICIONALES
ACTUAL]])</f>
        <v>165665.86055553111</v>
      </c>
      <c r="I24" s="85">
        <f>G24+H24</f>
        <v>1069762.3046658658</v>
      </c>
      <c r="J24" s="79"/>
      <c r="K24" s="71">
        <f>+SUMIF(CATEGORIAS[[#All],[SUBGRUPO]],A24,CATEGORIAS[[#All],[PRODUCCION
ANTERIOR]])</f>
        <v>904096.44411033473</v>
      </c>
      <c r="L24" s="71">
        <f>+SUMIF(CATEGORIAS[[#All],[SUBGRUPO]],A24,CATEGORIAS[[#All],[PRODUCCION
ADICIONALES
ANTERIOR]])</f>
        <v>165494.39771053952</v>
      </c>
      <c r="M24" s="85">
        <f>K24+L24</f>
        <v>1069590.8418208743</v>
      </c>
      <c r="N24" s="79"/>
      <c r="O24" s="85">
        <f t="shared" si="26"/>
        <v>0</v>
      </c>
      <c r="P24" s="71">
        <f t="shared" si="26"/>
        <v>171.46284499159083</v>
      </c>
      <c r="Q24" s="71">
        <f>I24-M24</f>
        <v>171.46284499159083</v>
      </c>
      <c r="R24" s="127">
        <f>SUM(D24:Q24)</f>
        <v>9002624.0957293306</v>
      </c>
    </row>
    <row r="25" spans="1:21" ht="15" customHeight="1" x14ac:dyDescent="0.3">
      <c r="A25" s="14" t="s">
        <v>2421</v>
      </c>
      <c r="B25" s="6" t="str">
        <f>VLOOKUP(A25,'Analisis por Categorias'!B:C,2,FALSE)</f>
        <v>Electricidad</v>
      </c>
      <c r="D25" s="3">
        <f>SUMIF(CATEGORIAS[[#All],[SUBGRUPO]],A25,CATEGORIAS[[#All],[PRESUPUESTO
(ORIGINAL)]])</f>
        <v>1198500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965766.6377581663</v>
      </c>
      <c r="G25" s="71">
        <f>+SUMIF(CATEGORIAS[[#All],[SUBGRUPO]],A25,CATEGORIAS[[#All],[PRODUCCION
PARTIDAS
ORIGINALES
ACTUAL]])</f>
        <v>965583.51382549736</v>
      </c>
      <c r="H25" s="71">
        <f>+SUMIF(CATEGORIAS[[#All],[SUBGRUPO]],A25,CATEGORIAS[[#All],[PRODUCCION
ADICIONALES
ACTUAL]])</f>
        <v>183.12393266893923</v>
      </c>
      <c r="I25" s="85">
        <f t="shared" ref="I25:I26" si="30">G25+H25</f>
        <v>965766.6377581663</v>
      </c>
      <c r="J25" s="79"/>
      <c r="K25" s="71">
        <f>+SUMIF(CATEGORIAS[[#All],[SUBGRUPO]],A25,CATEGORIAS[[#All],[PRODUCCION
ANTERIOR]])</f>
        <v>965583.51382549736</v>
      </c>
      <c r="L25" s="71">
        <f>+SUMIF(CATEGORIAS[[#All],[SUBGRUPO]],A25,CATEGORIAS[[#All],[PRODUCCION
ADICIONALES
ANTERIOR]])</f>
        <v>0</v>
      </c>
      <c r="M25" s="85">
        <f t="shared" ref="M25:M26" si="31">K25+L25</f>
        <v>965583.51382549736</v>
      </c>
      <c r="N25" s="79"/>
      <c r="O25" s="85">
        <f t="shared" ref="O25:O26" si="32">G25-K25</f>
        <v>0</v>
      </c>
      <c r="P25" s="71">
        <f t="shared" ref="P25:P26" si="33">H25-L25</f>
        <v>183.12393266893923</v>
      </c>
      <c r="Q25" s="71">
        <f t="shared" ref="Q25:Q26" si="34">I25-M25</f>
        <v>183.12393266893923</v>
      </c>
      <c r="R25" s="127">
        <f t="shared" ref="R25:R26" si="35">SUM(D25:Q25)</f>
        <v>6027333.1887908326</v>
      </c>
    </row>
    <row r="26" spans="1:21" ht="15" hidden="1" customHeight="1" x14ac:dyDescent="0.3">
      <c r="A26" s="14" t="s">
        <v>2422</v>
      </c>
      <c r="B26" s="6" t="e">
        <f>VLOOKUP(A26,'Analisis por Categorias'!B:C,2,FALSE)</f>
        <v>#N/A</v>
      </c>
      <c r="D26" s="3">
        <f>SUMIF(CATEGORIAS[[#All],[SUBGRUPO]],A26,CATEGORIAS[[#All],[PRESUPUESTO
(ORIGINAL)]])</f>
        <v>0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0</v>
      </c>
      <c r="G26" s="71">
        <f>+SUMIF(CATEGORIAS[[#All],[SUBGRUPO]],A26,CATEGORIAS[[#All],[PRODUCCION
PARTIDAS
ORIGINALES
ACTUAL]])</f>
        <v>0</v>
      </c>
      <c r="H26" s="71">
        <f>+SUMIF(CATEGORIAS[[#All],[SUBGRUPO]],A26,CATEGORIAS[[#All],[PRODUCCION
ADICIONALES
ACTUAL]])</f>
        <v>0</v>
      </c>
      <c r="I26" s="85">
        <f t="shared" si="30"/>
        <v>0</v>
      </c>
      <c r="J26" s="79"/>
      <c r="K26" s="71">
        <f>+SUMIF(CATEGORIAS[[#All],[SUBGRUPO]],A26,CATEGORIAS[[#All],[PRODUCCION
ANTERIOR]])</f>
        <v>0</v>
      </c>
      <c r="L26" s="71">
        <f>+SUMIF(CATEGORIAS[[#All],[SUBGRUPO]],A26,CATEGORIAS[[#All],[PRODUCCION
ADICIONALES
ANTERIOR]])</f>
        <v>0</v>
      </c>
      <c r="M26" s="85">
        <f t="shared" si="31"/>
        <v>0</v>
      </c>
      <c r="N26" s="79"/>
      <c r="O26" s="85">
        <f t="shared" si="32"/>
        <v>0</v>
      </c>
      <c r="P26" s="71">
        <f t="shared" si="33"/>
        <v>0</v>
      </c>
      <c r="Q26" s="71">
        <f t="shared" si="34"/>
        <v>0</v>
      </c>
      <c r="R26" s="127">
        <f t="shared" si="35"/>
        <v>0</v>
      </c>
    </row>
    <row r="27" spans="1:21" ht="15" hidden="1" customHeight="1" x14ac:dyDescent="0.3">
      <c r="A27" s="14" t="s">
        <v>2423</v>
      </c>
      <c r="B27" s="6" t="e">
        <f>VLOOKUP(A27,'Analisis por Categorias'!B:C,2,FALSE)</f>
        <v>#N/A</v>
      </c>
      <c r="D27" s="3">
        <f>SUMIF(CATEGORIAS[[#All],[SUBGRUPO]],A27,CATEGORIAS[[#All],[PRESUPUESTO
(ORIGINAL)]])</f>
        <v>0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0</v>
      </c>
      <c r="G27" s="71">
        <f>+SUMIF(CATEGORIAS[[#All],[SUBGRUPO]],A27,CATEGORIAS[[#All],[PRODUCCION
PARTIDAS
ORIGINALES
ACTUAL]])</f>
        <v>0</v>
      </c>
      <c r="H27" s="71">
        <f>+SUMIF(CATEGORIAS[[#All],[SUBGRUPO]],A27,CATEGORIAS[[#All],[PRODUCCION
ADICIONALES
ACTUAL]])</f>
        <v>0</v>
      </c>
      <c r="I27" s="85">
        <f t="shared" ref="I27:I28" si="36">G27+H27</f>
        <v>0</v>
      </c>
      <c r="J27" s="79"/>
      <c r="K27" s="71">
        <f>+SUMIF(CATEGORIAS[[#All],[SUBGRUPO]],A27,CATEGORIAS[[#All],[PRODUCCION
ANTERIOR]])</f>
        <v>0</v>
      </c>
      <c r="L27" s="71">
        <f>+SUMIF(CATEGORIAS[[#All],[SUBGRUPO]],A27,CATEGORIAS[[#All],[PRODUCCION
ADICIONALES
ANTERIOR]])</f>
        <v>0</v>
      </c>
      <c r="M27" s="85">
        <f t="shared" ref="M27:M28" si="37">K27+L27</f>
        <v>0</v>
      </c>
      <c r="N27" s="79"/>
      <c r="O27" s="85">
        <f t="shared" ref="O27:O28" si="38">G27-K27</f>
        <v>0</v>
      </c>
      <c r="P27" s="71">
        <f t="shared" ref="P27:P28" si="39">H27-L27</f>
        <v>0</v>
      </c>
      <c r="Q27" s="71">
        <f t="shared" ref="Q27:Q28" si="40">I27-M27</f>
        <v>0</v>
      </c>
      <c r="R27" s="127">
        <f t="shared" ref="R27:R28" si="41">SUM(D27:Q27)</f>
        <v>0</v>
      </c>
    </row>
    <row r="28" spans="1:21" ht="15" hidden="1" customHeight="1" x14ac:dyDescent="0.3">
      <c r="A28" s="14" t="s">
        <v>2424</v>
      </c>
      <c r="B28" s="6" t="e">
        <f>VLOOKUP(A28,'Analisis por Categorias'!B:C,2,FALSE)</f>
        <v>#N/A</v>
      </c>
      <c r="D28" s="3">
        <f>SUMIF(CATEGORIAS[[#All],[SUBGRUPO]],A28,CATEGORIAS[[#All],[PRESUPUESTO
(ORIGINAL)]])</f>
        <v>0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0</v>
      </c>
      <c r="G28" s="71">
        <f>+SUMIF(CATEGORIAS[[#All],[SUBGRUPO]],A28,CATEGORIAS[[#All],[PRODUCCION
PARTIDAS
ORIGINALES
ACTUAL]])</f>
        <v>0</v>
      </c>
      <c r="H28" s="71">
        <f>+SUMIF(CATEGORIAS[[#All],[SUBGRUPO]],A28,CATEGORIAS[[#All],[PRODUCCION
ADICIONALES
ACTUAL]])</f>
        <v>0</v>
      </c>
      <c r="I28" s="85">
        <f t="shared" si="36"/>
        <v>0</v>
      </c>
      <c r="J28" s="79"/>
      <c r="K28" s="71">
        <f>+SUMIF(CATEGORIAS[[#All],[SUBGRUPO]],A28,CATEGORIAS[[#All],[PRODUCCION
ANTERIOR]])</f>
        <v>0</v>
      </c>
      <c r="L28" s="71">
        <f>+SUMIF(CATEGORIAS[[#All],[SUBGRUPO]],A28,CATEGORIAS[[#All],[PRODUCCION
ADICIONALES
ANTERIOR]])</f>
        <v>0</v>
      </c>
      <c r="M28" s="85">
        <f t="shared" si="37"/>
        <v>0</v>
      </c>
      <c r="N28" s="79"/>
      <c r="O28" s="85">
        <f t="shared" si="38"/>
        <v>0</v>
      </c>
      <c r="P28" s="71">
        <f t="shared" si="39"/>
        <v>0</v>
      </c>
      <c r="Q28" s="71">
        <f t="shared" si="40"/>
        <v>0</v>
      </c>
      <c r="R28" s="127">
        <f t="shared" si="41"/>
        <v>0</v>
      </c>
    </row>
    <row r="29" spans="1:21" ht="8.25" customHeight="1" x14ac:dyDescent="0.3">
      <c r="J29" s="79"/>
      <c r="N29" s="79"/>
      <c r="R29" s="127">
        <f t="shared" si="0"/>
        <v>0</v>
      </c>
      <c r="U29" s="42"/>
    </row>
    <row r="30" spans="1:21" ht="15" customHeight="1" x14ac:dyDescent="0.3">
      <c r="A30" s="14" t="s">
        <v>200</v>
      </c>
      <c r="B30" s="81" t="s">
        <v>201</v>
      </c>
      <c r="D30" s="82">
        <f>SUM(D31:D36)</f>
        <v>438661457.75153172</v>
      </c>
      <c r="E30" s="82">
        <f>SUM(E31:E36)</f>
        <v>495177817.53729898</v>
      </c>
      <c r="G30" s="83">
        <f>SUM(G31:G36)</f>
        <v>389274247.59597051</v>
      </c>
      <c r="H30" s="83">
        <f>SUM(H31:H36)</f>
        <v>105903569.94132847</v>
      </c>
      <c r="I30" s="83">
        <f>SUM(I31:I36)</f>
        <v>495177817.53729898</v>
      </c>
      <c r="J30" s="79"/>
      <c r="K30" s="83">
        <f>SUM(K31:K36)</f>
        <v>389274247.59597051</v>
      </c>
      <c r="L30" s="83">
        <f>SUM(L31:L36)</f>
        <v>103681617.66935323</v>
      </c>
      <c r="M30" s="83">
        <f>SUM(M31:M36)</f>
        <v>492955865.26532376</v>
      </c>
      <c r="N30" s="79"/>
      <c r="O30" s="83">
        <f>SUM(O31:O36)</f>
        <v>0</v>
      </c>
      <c r="P30" s="83">
        <f>SUM(P31:P36)</f>
        <v>2221952.2719752267</v>
      </c>
      <c r="Q30" s="83">
        <f>SUM(Q31:Q36)</f>
        <v>2221952.2719752416</v>
      </c>
      <c r="R30" s="127">
        <f t="shared" si="0"/>
        <v>2914550545.438026</v>
      </c>
    </row>
    <row r="31" spans="1:21" ht="15" customHeight="1" x14ac:dyDescent="0.3">
      <c r="A31" s="14" t="s">
        <v>37</v>
      </c>
      <c r="B31" s="6" t="str">
        <f>VLOOKUP(A31,'Analisis por Categorias'!B:C,2,FALSE)</f>
        <v>Seguridad</v>
      </c>
      <c r="D31" s="3">
        <f>SUMIF(CATEGORIAS[[#All],[SUBGRUPO]],A31,CATEGORIAS[[#All],[PRESUPUESTO
(ORIGINAL)]])</f>
        <v>49460193.317142844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58579091.682807788</v>
      </c>
      <c r="G31" s="71">
        <f>+SUMIF(CATEGORIAS[[#All],[SUBGRUPO]],A31,CATEGORIAS[[#All],[PRODUCCION
PARTIDAS
ORIGINALES
ACTUAL]])</f>
        <v>43944277.676181607</v>
      </c>
      <c r="H31" s="71">
        <f>+SUMIF(CATEGORIAS[[#All],[SUBGRUPO]],A31,CATEGORIAS[[#All],[PRODUCCION
ADICIONALES
ACTUAL]])</f>
        <v>14634814.006626185</v>
      </c>
      <c r="I31" s="85">
        <f t="shared" ref="I31:I36" si="42">G31+H31</f>
        <v>58579091.682807788</v>
      </c>
      <c r="J31" s="79"/>
      <c r="K31" s="71">
        <f>+SUMIF(CATEGORIAS[[#All],[SUBGRUPO]],A31,CATEGORIAS[[#All],[PRODUCCION
ANTERIOR]])</f>
        <v>43944277.676181607</v>
      </c>
      <c r="L31" s="71">
        <f>+SUMIF(CATEGORIAS[[#All],[SUBGRUPO]],A31,CATEGORIAS[[#All],[PRODUCCION
ADICIONALES
ANTERIOR]])</f>
        <v>14626479.92797723</v>
      </c>
      <c r="M31" s="71">
        <f t="shared" ref="M31:M36" si="43">K31+L31</f>
        <v>58570757.604158834</v>
      </c>
      <c r="N31" s="79"/>
      <c r="O31" s="71">
        <f t="shared" ref="O31:Q36" si="44">G31-K31</f>
        <v>0</v>
      </c>
      <c r="P31" s="71">
        <f t="shared" si="44"/>
        <v>8334.0786489546299</v>
      </c>
      <c r="Q31" s="71">
        <f t="shared" si="44"/>
        <v>8334.0786489546299</v>
      </c>
      <c r="R31" s="127">
        <f t="shared" si="0"/>
        <v>342355651.73118174</v>
      </c>
    </row>
    <row r="32" spans="1:21" ht="15" customHeight="1" x14ac:dyDescent="0.3">
      <c r="A32" s="14" t="s">
        <v>38</v>
      </c>
      <c r="B32" s="6" t="str">
        <f>VLOOKUP(A32,'Analisis por Categorias'!B:C,2,FALSE)</f>
        <v>Materiales de Consumo</v>
      </c>
      <c r="D32" s="3">
        <f>SUMIF(CATEGORIAS[[#All],[SUBGRUPO]],A32,CATEGORIAS[[#All],[PRESUPUESTO
(ORIGINAL)]])</f>
        <v>12103994.75785714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13621052.235494256</v>
      </c>
      <c r="G32" s="71">
        <f>+SUMIF(CATEGORIAS[[#All],[SUBGRUPO]],A32,CATEGORIAS[[#All],[PRODUCCION
PARTIDAS
ORIGINALES
ACTUAL]])</f>
        <v>10715862.773142474</v>
      </c>
      <c r="H32" s="71">
        <f>+SUMIF(CATEGORIAS[[#All],[SUBGRUPO]],A32,CATEGORIAS[[#All],[PRODUCCION
ADICIONALES
ACTUAL]])</f>
        <v>2905189.4623517818</v>
      </c>
      <c r="I32" s="85">
        <f t="shared" si="42"/>
        <v>13621052.235494256</v>
      </c>
      <c r="J32" s="79"/>
      <c r="K32" s="71">
        <f>+SUMIF(CATEGORIAS[[#All],[SUBGRUPO]],A32,CATEGORIAS[[#All],[PRODUCCION
ANTERIOR]])</f>
        <v>10715862.773142474</v>
      </c>
      <c r="L32" s="71">
        <f>+SUMIF(CATEGORIAS[[#All],[SUBGRUPO]],A32,CATEGORIAS[[#All],[PRODUCCION
ADICIONALES
ANTERIOR]])</f>
        <v>2903157.1876651696</v>
      </c>
      <c r="M32" s="85">
        <f t="shared" si="43"/>
        <v>13619019.960807644</v>
      </c>
      <c r="N32" s="79"/>
      <c r="O32" s="85">
        <f t="shared" si="44"/>
        <v>0</v>
      </c>
      <c r="P32" s="71">
        <f t="shared" si="44"/>
        <v>2032.2746866121888</v>
      </c>
      <c r="Q32" s="71">
        <f t="shared" si="44"/>
        <v>2032.2746866121888</v>
      </c>
      <c r="R32" s="127">
        <f t="shared" si="0"/>
        <v>80209255.935328424</v>
      </c>
    </row>
    <row r="33" spans="1:18" ht="15" customHeight="1" x14ac:dyDescent="0.3">
      <c r="A33" s="14" t="s">
        <v>202</v>
      </c>
      <c r="B33" s="6" t="str">
        <f>VLOOKUP(A33,'Analisis por Categorias'!B:C,2,FALSE)</f>
        <v>Herramienta Menor</v>
      </c>
      <c r="D33" s="3">
        <f>SUMIF(CATEGORIAS[[#All],[SUBGRUPO]],A33,CATEGORIAS[[#All],[PRESUPUESTO
(ORIGINAL)]])</f>
        <v>8347786.981428571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18517102.573933292</v>
      </c>
      <c r="G33" s="71">
        <f>+SUMIF(CATEGORIAS[[#All],[SUBGRUPO]],A33,CATEGORIAS[[#All],[PRODUCCION
PARTIDAS
ORIGINALES
ACTUAL]])</f>
        <v>7432128.9377247719</v>
      </c>
      <c r="H33" s="71">
        <f>+SUMIF(CATEGORIAS[[#All],[SUBGRUPO]],A33,CATEGORIAS[[#All],[PRODUCCION
ADICIONALES
ACTUAL]])</f>
        <v>11084973.636208521</v>
      </c>
      <c r="I33" s="85">
        <f t="shared" ref="I33" si="45">G33+H33</f>
        <v>18517102.573933292</v>
      </c>
      <c r="J33" s="79"/>
      <c r="K33" s="71">
        <f>+SUMIF(CATEGORIAS[[#All],[SUBGRUPO]],A33,CATEGORIAS[[#All],[PRODUCCION
ANTERIOR]])</f>
        <v>7432128.9377247719</v>
      </c>
      <c r="L33" s="71">
        <f>+SUMIF(CATEGORIAS[[#All],[SUBGRUPO]],A33,CATEGORIAS[[#All],[PRODUCCION
ADICIONALES
ANTERIOR]])</f>
        <v>8935438.125110114</v>
      </c>
      <c r="M33" s="71">
        <f t="shared" ref="M33" si="46">K33+L33</f>
        <v>16367567.062834885</v>
      </c>
      <c r="N33" s="79"/>
      <c r="O33" s="71">
        <f t="shared" ref="O33" si="47">G33-K33</f>
        <v>0</v>
      </c>
      <c r="P33" s="71">
        <f t="shared" ref="P33" si="48">H33-L33</f>
        <v>2149535.5110984072</v>
      </c>
      <c r="Q33" s="71">
        <f t="shared" ref="Q33" si="49">I33-M33</f>
        <v>2149535.5110984072</v>
      </c>
      <c r="R33" s="127">
        <f t="shared" ref="R33" si="50">SUM(D33:Q33)</f>
        <v>100933299.85109505</v>
      </c>
    </row>
    <row r="34" spans="1:18" ht="15" customHeight="1" x14ac:dyDescent="0.3">
      <c r="A34" s="14" t="s">
        <v>203</v>
      </c>
      <c r="B34" s="6" t="str">
        <f>VLOOKUP(A34,'Analisis por Categorias'!B:C,2,FALSE)</f>
        <v>Movilización</v>
      </c>
      <c r="D34" s="3">
        <f>SUMIF(CATEGORIAS[[#All],[SUBGRUPO]],A34,CATEGORIAS[[#All],[PRESUPUESTO
(ORIGINAL)]])</f>
        <v>133254783.32614532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138339029.77206415</v>
      </c>
      <c r="G34" s="71">
        <f>+SUMIF(CATEGORIAS[[#All],[SUBGRUPO]],A34,CATEGORIAS[[#All],[PRODUCCION
PARTIDAS
ORIGINALES
ACTUAL]])</f>
        <v>118288804.61281317</v>
      </c>
      <c r="H34" s="71">
        <f>+SUMIF(CATEGORIAS[[#All],[SUBGRUPO]],A34,CATEGORIAS[[#All],[PRODUCCION
ADICIONALES
ACTUAL]])</f>
        <v>20050225.159250967</v>
      </c>
      <c r="I34" s="85">
        <f t="shared" si="42"/>
        <v>138339029.77206415</v>
      </c>
      <c r="J34" s="79"/>
      <c r="K34" s="71">
        <f>+SUMIF(CATEGORIAS[[#All],[SUBGRUPO]],A34,CATEGORIAS[[#All],[PRODUCCION
ANTERIOR]])</f>
        <v>118288804.61281317</v>
      </c>
      <c r="L34" s="71">
        <f>+SUMIF(CATEGORIAS[[#All],[SUBGRUPO]],A34,CATEGORIAS[[#All],[PRODUCCION
ADICIONALES
ANTERIOR]])</f>
        <v>20027791.562590249</v>
      </c>
      <c r="M34" s="71">
        <f t="shared" si="43"/>
        <v>138316596.17540342</v>
      </c>
      <c r="N34" s="79"/>
      <c r="O34" s="71">
        <f t="shared" si="44"/>
        <v>0</v>
      </c>
      <c r="P34" s="71">
        <f t="shared" si="44"/>
        <v>22433.596660718322</v>
      </c>
      <c r="Q34" s="71">
        <f t="shared" si="44"/>
        <v>22433.596660733223</v>
      </c>
      <c r="R34" s="127">
        <f t="shared" si="0"/>
        <v>824949932.18646622</v>
      </c>
    </row>
    <row r="35" spans="1:18" ht="15" customHeight="1" x14ac:dyDescent="0.3">
      <c r="A35" s="14" t="s">
        <v>204</v>
      </c>
      <c r="B35" s="6" t="str">
        <f>VLOOKUP(A35,'Analisis por Categorias'!B:C,2,FALSE)</f>
        <v>Alimentación</v>
      </c>
      <c r="D35" s="3">
        <f>SUMIF(CATEGORIAS[[#All],[SUBGRUPO]],A35,CATEGORIAS[[#All],[PRESUPUESTO
(ORIGINAL)]])</f>
        <v>55445822.578890182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63925819.282506973</v>
      </c>
      <c r="G35" s="71">
        <f>+SUMIF(CATEGORIAS[[#All],[SUBGRUPO]],A35,CATEGORIAS[[#All],[PRODUCCION
PARTIDAS
ORIGINALES
ACTUAL]])</f>
        <v>49262375.659711614</v>
      </c>
      <c r="H35" s="71">
        <f>+SUMIF(CATEGORIAS[[#All],[SUBGRUPO]],A35,CATEGORIAS[[#All],[PRODUCCION
ADICIONALES
ACTUAL]])</f>
        <v>14663443.622795358</v>
      </c>
      <c r="I35" s="85">
        <f t="shared" ref="I35" si="51">G35+H35</f>
        <v>63925819.282506973</v>
      </c>
      <c r="J35" s="79"/>
      <c r="K35" s="71">
        <f>+SUMIF(CATEGORIAS[[#All],[SUBGRUPO]],A35,CATEGORIAS[[#All],[PRODUCCION
ANTERIOR]])</f>
        <v>49262375.659711614</v>
      </c>
      <c r="L35" s="71">
        <f>+SUMIF(CATEGORIAS[[#All],[SUBGRUPO]],A35,CATEGORIAS[[#All],[PRODUCCION
ADICIONALES
ANTERIOR]])</f>
        <v>14654100.96125003</v>
      </c>
      <c r="M35" s="85">
        <f t="shared" ref="M35" si="52">K35+L35</f>
        <v>63916476.620961644</v>
      </c>
      <c r="N35" s="79"/>
      <c r="O35" s="85">
        <f t="shared" ref="O35" si="53">G35-K35</f>
        <v>0</v>
      </c>
      <c r="P35" s="71">
        <f t="shared" ref="P35" si="54">H35-L35</f>
        <v>9342.6615453287959</v>
      </c>
      <c r="Q35" s="71">
        <f t="shared" ref="Q35" si="55">I35-M35</f>
        <v>9342.6615453287959</v>
      </c>
      <c r="R35" s="127">
        <f>SUM(D35:Q35)</f>
        <v>375074918.99142504</v>
      </c>
    </row>
    <row r="36" spans="1:18" ht="15" customHeight="1" x14ac:dyDescent="0.3">
      <c r="A36" s="14" t="s">
        <v>2452</v>
      </c>
      <c r="B36" s="6" t="str">
        <f>VLOOKUP(A36,'Analisis por Categorias'!B:C,2,FALSE)</f>
        <v>Hoteleria</v>
      </c>
      <c r="D36" s="3">
        <f>SUMIF(CATEGORIAS[[#All],[SUBGRUPO]],A36,CATEGORIAS[[#All],[PRESUPUESTO
(ORIGINAL)]])</f>
        <v>180048876.79006767</v>
      </c>
      <c r="E36" s="3">
        <f>+SUMIF(CATEGORIAS[[#All],[SUBGRUPO]],A36,CATEGORIAS[[#All],[PRODUCCION
PARTIDAS
ORIGINALES
ACTUAL]])
+SUMIF(CATEGORIAS[[#All],[SUBGRUPO]],A36,CATEGORIAS[[#All],[PRODUCCION
ADICIONALES
ACTUAL]])
+SUMIF(CATEGORIAS[[#All],[SUBGRUPO]],A36,CATEGORIAS[[#All],[PROYECCION
DE INGRESO
DEL SALDO]])</f>
        <v>202195721.99049252</v>
      </c>
      <c r="G36" s="71">
        <f>+SUMIF(CATEGORIAS[[#All],[SUBGRUPO]],A36,CATEGORIAS[[#All],[PRODUCCION
PARTIDAS
ORIGINALES
ACTUAL]])</f>
        <v>159630797.93639687</v>
      </c>
      <c r="H36" s="71">
        <f>+SUMIF(CATEGORIAS[[#All],[SUBGRUPO]],A36,CATEGORIAS[[#All],[PRODUCCION
ADICIONALES
ACTUAL]])</f>
        <v>42564924.054095648</v>
      </c>
      <c r="I36" s="85">
        <f t="shared" si="42"/>
        <v>202195721.99049252</v>
      </c>
      <c r="J36" s="79"/>
      <c r="K36" s="71">
        <f>+SUMIF(CATEGORIAS[[#All],[SUBGRUPO]],A36,CATEGORIAS[[#All],[PRODUCCION
ANTERIOR]])</f>
        <v>159630797.93639687</v>
      </c>
      <c r="L36" s="71">
        <f>+SUMIF(CATEGORIAS[[#All],[SUBGRUPO]],A36,CATEGORIAS[[#All],[PRODUCCION
ADICIONALES
ANTERIOR]])</f>
        <v>42534649.904760443</v>
      </c>
      <c r="M36" s="85">
        <f t="shared" si="43"/>
        <v>202165447.84115732</v>
      </c>
      <c r="N36" s="79"/>
      <c r="O36" s="85">
        <f t="shared" si="44"/>
        <v>0</v>
      </c>
      <c r="P36" s="71">
        <f t="shared" si="44"/>
        <v>30274.149335205555</v>
      </c>
      <c r="Q36" s="71">
        <f t="shared" si="44"/>
        <v>30274.149335205555</v>
      </c>
      <c r="R36" s="127">
        <f>SUM(D36:Q36)</f>
        <v>1191027486.7425301</v>
      </c>
    </row>
    <row r="37" spans="1:18" ht="8.25" customHeight="1" x14ac:dyDescent="0.3">
      <c r="J37" s="79"/>
      <c r="N37" s="79"/>
      <c r="R37" s="127">
        <f t="shared" si="0"/>
        <v>0</v>
      </c>
    </row>
    <row r="38" spans="1:18" ht="15" customHeight="1" x14ac:dyDescent="0.3">
      <c r="A38" s="14" t="s">
        <v>205</v>
      </c>
      <c r="B38" s="81" t="s">
        <v>206</v>
      </c>
      <c r="D38" s="82">
        <f>SUM(D39:D47)</f>
        <v>825206144.46633112</v>
      </c>
      <c r="E38" s="82">
        <f>SUM(E39:E47)</f>
        <v>1005746952.9262139</v>
      </c>
      <c r="G38" s="83">
        <f>SUM(G39:G47)</f>
        <v>749513265.97757292</v>
      </c>
      <c r="H38" s="83">
        <f t="shared" ref="H38:I38" si="56">SUM(H39:H47)</f>
        <v>256233686.94864112</v>
      </c>
      <c r="I38" s="83">
        <f t="shared" si="56"/>
        <v>1005746952.9262139</v>
      </c>
      <c r="J38" s="79"/>
      <c r="K38" s="83">
        <f>SUM(K39:K47)</f>
        <v>749513265.97757292</v>
      </c>
      <c r="L38" s="83">
        <f t="shared" ref="L38" si="57">SUM(L39:L47)</f>
        <v>256091540.96656078</v>
      </c>
      <c r="M38" s="83">
        <f t="shared" ref="M38" si="58">SUM(M39:M47)</f>
        <v>1005604806.9441338</v>
      </c>
      <c r="N38" s="79"/>
      <c r="O38" s="83">
        <f>SUM(O39:O47)</f>
        <v>0</v>
      </c>
      <c r="P38" s="83">
        <f t="shared" ref="P38" si="59">SUM(P39:P47)</f>
        <v>142145.98208032269</v>
      </c>
      <c r="Q38" s="83">
        <f t="shared" ref="Q38" si="60">SUM(Q39:Q47)</f>
        <v>142145.98208031058</v>
      </c>
      <c r="R38" s="127">
        <f t="shared" si="0"/>
        <v>5853940909.0974007</v>
      </c>
    </row>
    <row r="39" spans="1:18" ht="15" customHeight="1" x14ac:dyDescent="0.3">
      <c r="A39" s="14" t="s">
        <v>42</v>
      </c>
      <c r="B39" s="6" t="str">
        <f>VLOOKUP(A39,'Analisis por Categorias'!B:C,2,FALSE)</f>
        <v>Equipos Mayores</v>
      </c>
      <c r="D39" s="3">
        <f>SUMIF(CATEGORIAS[[#All],[SUBGRUPO]],A39,CATEGORIAS[[#All],[PRESUPUESTO
(ORIGINAL)]])</f>
        <v>311231352.43199998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416776719.61365134</v>
      </c>
      <c r="G39" s="71">
        <f>+SUMIF(CATEGORIAS[[#All],[SUBGRUPO]],A39,CATEGORIAS[[#All],[PRODUCCION
PARTIDAS
ORIGINALES
ACTUAL]])</f>
        <v>322143762.98427153</v>
      </c>
      <c r="H39" s="71">
        <f>+SUMIF(CATEGORIAS[[#All],[SUBGRUPO]],A39,CATEGORIAS[[#All],[PRODUCCION
ADICIONALES
ACTUAL]])</f>
        <v>94632956.629379824</v>
      </c>
      <c r="I39" s="85">
        <f t="shared" ref="I39:I44" si="61">G39+H39</f>
        <v>416776719.61365134</v>
      </c>
      <c r="J39" s="79"/>
      <c r="K39" s="71">
        <f>+SUMIF(CATEGORIAS[[#All],[SUBGRUPO]],A39,CATEGORIAS[[#All],[PRODUCCION
ANTERIOR]])</f>
        <v>322143762.98427153</v>
      </c>
      <c r="L39" s="71">
        <f>+SUMIF(CATEGORIAS[[#All],[SUBGRUPO]],A39,CATEGORIAS[[#All],[PRODUCCION
ADICIONALES
ANTERIOR]])</f>
        <v>94571861.724674284</v>
      </c>
      <c r="M39" s="71">
        <f t="shared" ref="M39:M44" si="62">K39+L39</f>
        <v>416715624.70894581</v>
      </c>
      <c r="N39" s="79"/>
      <c r="O39" s="71">
        <f t="shared" ref="O39:O44" si="63">G39-K39</f>
        <v>0</v>
      </c>
      <c r="P39" s="71">
        <f t="shared" ref="P39:P44" si="64">H39-L39</f>
        <v>61094.904705539346</v>
      </c>
      <c r="Q39" s="71">
        <f t="shared" ref="Q39:Q44" si="65">I39-M39</f>
        <v>61094.904705524445</v>
      </c>
      <c r="R39" s="127">
        <f t="shared" si="0"/>
        <v>2395114950.5002565</v>
      </c>
    </row>
    <row r="40" spans="1:18" ht="15" customHeight="1" x14ac:dyDescent="0.3">
      <c r="A40" s="14" t="s">
        <v>43</v>
      </c>
      <c r="B40" s="6" t="str">
        <f>VLOOKUP(A40,'Analisis por Categorias'!B:C,2,FALSE)</f>
        <v>Equipos Menores</v>
      </c>
      <c r="D40" s="3">
        <f>SUMIF(CATEGORIAS[[#All],[SUBGRUPO]],A40,CATEGORIAS[[#All],[PRESUPUESTO
(ORIGINAL)]])</f>
        <v>106019661.30159998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106622331.43438119</v>
      </c>
      <c r="G40" s="71">
        <f>+SUMIF(CATEGORIAS[[#All],[SUBGRUPO]],A40,CATEGORIAS[[#All],[PRODUCCION
PARTIDAS
ORIGINALES
ACTUAL]])</f>
        <v>62549843.882433042</v>
      </c>
      <c r="H40" s="71">
        <f>+SUMIF(CATEGORIAS[[#All],[SUBGRUPO]],A40,CATEGORIAS[[#All],[PRODUCCION
ADICIONALES
ACTUAL]])</f>
        <v>44072487.551948145</v>
      </c>
      <c r="I40" s="85">
        <f t="shared" si="61"/>
        <v>106622331.43438119</v>
      </c>
      <c r="J40" s="79"/>
      <c r="K40" s="71">
        <f>+SUMIF(CATEGORIAS[[#All],[SUBGRUPO]],A40,CATEGORIAS[[#All],[PRODUCCION
ANTERIOR]])</f>
        <v>62549843.882433042</v>
      </c>
      <c r="L40" s="71">
        <f>+SUMIF(CATEGORIAS[[#All],[SUBGRUPO]],A40,CATEGORIAS[[#All],[PRODUCCION
ADICIONALES
ANTERIOR]])</f>
        <v>44060624.908028096</v>
      </c>
      <c r="M40" s="71">
        <f t="shared" si="62"/>
        <v>106610468.79046114</v>
      </c>
      <c r="N40" s="79"/>
      <c r="O40" s="71">
        <f t="shared" si="63"/>
        <v>0</v>
      </c>
      <c r="P40" s="71">
        <f t="shared" si="64"/>
        <v>11862.643920049071</v>
      </c>
      <c r="Q40" s="71">
        <f t="shared" si="65"/>
        <v>11862.643920049071</v>
      </c>
      <c r="R40" s="127">
        <f t="shared" ref="R40:R44" si="66">SUM(D40:Q40)</f>
        <v>639131318.47350597</v>
      </c>
    </row>
    <row r="41" spans="1:18" ht="15" customHeight="1" x14ac:dyDescent="0.3">
      <c r="A41" s="14" t="s">
        <v>207</v>
      </c>
      <c r="B41" s="6" t="str">
        <f>VLOOKUP(A41,'Analisis por Categorias'!B:C,2,FALSE)</f>
        <v>Movimiento de tierra</v>
      </c>
      <c r="D41" s="3">
        <f>SUMIF(CATEGORIAS[[#All],[SUBGRUPO]],A41,CATEGORIAS[[#All],[PRESUPUESTO
(ORIGINAL)]])</f>
        <v>128778478.8483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113058927.49045363</v>
      </c>
      <c r="G41" s="71">
        <f>+SUMIF(CATEGORIAS[[#All],[SUBGRUPO]],A41,CATEGORIAS[[#All],[PRODUCCION
PARTIDAS
ORIGINALES
ACTUAL]])</f>
        <v>75966427.213258743</v>
      </c>
      <c r="H41" s="71">
        <f>+SUMIF(CATEGORIAS[[#All],[SUBGRUPO]],A41,CATEGORIAS[[#All],[PRODUCCION
ADICIONALES
ACTUAL]])</f>
        <v>37092500.277194895</v>
      </c>
      <c r="I41" s="85">
        <f t="shared" si="61"/>
        <v>113058927.49045363</v>
      </c>
      <c r="J41" s="79"/>
      <c r="K41" s="71">
        <f>+SUMIF(CATEGORIAS[[#All],[SUBGRUPO]],A41,CATEGORIAS[[#All],[PRODUCCION
ANTERIOR]])</f>
        <v>75966427.213258743</v>
      </c>
      <c r="L41" s="71">
        <f>+SUMIF(CATEGORIAS[[#All],[SUBGRUPO]],A41,CATEGORIAS[[#All],[PRODUCCION
ADICIONALES
ANTERIOR]])</f>
        <v>37078093.164083578</v>
      </c>
      <c r="M41" s="71">
        <f t="shared" si="62"/>
        <v>113044520.37734231</v>
      </c>
      <c r="N41" s="79"/>
      <c r="O41" s="71">
        <f t="shared" si="63"/>
        <v>0</v>
      </c>
      <c r="P41" s="71">
        <f t="shared" si="64"/>
        <v>14407.113111317158</v>
      </c>
      <c r="Q41" s="71">
        <f t="shared" si="65"/>
        <v>14407.113111317158</v>
      </c>
      <c r="R41" s="127">
        <f t="shared" si="66"/>
        <v>694073116.3005681</v>
      </c>
    </row>
    <row r="42" spans="1:18" ht="15" customHeight="1" x14ac:dyDescent="0.3">
      <c r="A42" s="14" t="s">
        <v>208</v>
      </c>
      <c r="B42" s="6" t="str">
        <f>VLOOKUP(A42,'Analisis por Categorias'!B:C,2,FALSE)</f>
        <v>Andamios</v>
      </c>
      <c r="D42" s="3">
        <f>SUMIF(CATEGORIAS[[#All],[SUBGRUPO]],A42,CATEGORIAS[[#All],[PRESUPUESTO
(ORIGINAL)]])</f>
        <v>23667361.039999999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31204227.294636883</v>
      </c>
      <c r="G42" s="71">
        <f>+SUMIF(CATEGORIAS[[#All],[SUBGRUPO]],A42,CATEGORIAS[[#All],[PRODUCCION
PARTIDAS
ORIGINALES
ACTUAL]])</f>
        <v>24385260.445242513</v>
      </c>
      <c r="H42" s="71">
        <f>+SUMIF(CATEGORIAS[[#All],[SUBGRUPO]],A42,CATEGORIAS[[#All],[PRODUCCION
ADICIONALES
ACTUAL]])</f>
        <v>6818966.849394368</v>
      </c>
      <c r="I42" s="85">
        <f t="shared" si="61"/>
        <v>31204227.294636883</v>
      </c>
      <c r="J42" s="79"/>
      <c r="K42" s="71">
        <f>+SUMIF(CATEGORIAS[[#All],[SUBGRUPO]],A42,CATEGORIAS[[#All],[PRODUCCION
ANTERIOR]])</f>
        <v>24385260.445242513</v>
      </c>
      <c r="L42" s="71">
        <f>+SUMIF(CATEGORIAS[[#All],[SUBGRUPO]],A42,CATEGORIAS[[#All],[PRODUCCION
ADICIONALES
ANTERIOR]])</f>
        <v>6814342.1590097966</v>
      </c>
      <c r="M42" s="71">
        <f t="shared" si="62"/>
        <v>31199602.604252309</v>
      </c>
      <c r="N42" s="79"/>
      <c r="O42" s="71">
        <f t="shared" si="63"/>
        <v>0</v>
      </c>
      <c r="P42" s="71">
        <f t="shared" si="64"/>
        <v>4624.6903845714405</v>
      </c>
      <c r="Q42" s="71">
        <f t="shared" si="65"/>
        <v>4624.6903845742345</v>
      </c>
      <c r="R42" s="127">
        <f t="shared" si="66"/>
        <v>179688497.5131844</v>
      </c>
    </row>
    <row r="43" spans="1:18" ht="15" customHeight="1" x14ac:dyDescent="0.3">
      <c r="A43" s="14" t="s">
        <v>209</v>
      </c>
      <c r="B43" s="6" t="str">
        <f>VLOOKUP(A43,'Analisis por Categorias'!B:C,2,FALSE)</f>
        <v>Combustible</v>
      </c>
      <c r="D43" s="3">
        <f>SUMIF(CATEGORIAS[[#All],[SUBGRUPO]],A43,CATEGORIAS[[#All],[PRESUPUESTO
(ORIGINAL)]])</f>
        <v>39200000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51868650.420693725</v>
      </c>
      <c r="G43" s="71">
        <f>+SUMIF(CATEGORIAS[[#All],[SUBGRUPO]],A43,CATEGORIAS[[#All],[PRODUCCION
PARTIDAS
ORIGINALES
ACTUAL]])</f>
        <v>40574432.525214523</v>
      </c>
      <c r="H43" s="71">
        <f>+SUMIF(CATEGORIAS[[#All],[SUBGRUPO]],A43,CATEGORIAS[[#All],[PRODUCCION
ADICIONALES
ACTUAL]])</f>
        <v>11294217.895479204</v>
      </c>
      <c r="I43" s="85">
        <f t="shared" si="61"/>
        <v>51868650.420693725</v>
      </c>
      <c r="J43" s="79"/>
      <c r="K43" s="71">
        <f>+SUMIF(CATEGORIAS[[#All],[SUBGRUPO]],A43,CATEGORIAS[[#All],[PRODUCCION
ANTERIOR]])</f>
        <v>40574432.525214523</v>
      </c>
      <c r="L43" s="71">
        <f>+SUMIF(CATEGORIAS[[#All],[SUBGRUPO]],A43,CATEGORIAS[[#All],[PRODUCCION
ADICIONALES
ANTERIOR]])</f>
        <v>11286522.911520349</v>
      </c>
      <c r="M43" s="71">
        <f t="shared" si="62"/>
        <v>51860955.43673487</v>
      </c>
      <c r="N43" s="79"/>
      <c r="O43" s="71">
        <f t="shared" si="63"/>
        <v>0</v>
      </c>
      <c r="P43" s="71">
        <f t="shared" si="64"/>
        <v>7694.9839588552713</v>
      </c>
      <c r="Q43" s="71">
        <f t="shared" si="65"/>
        <v>7694.9839588552713</v>
      </c>
      <c r="R43" s="127">
        <f t="shared" si="66"/>
        <v>298543252.1034686</v>
      </c>
    </row>
    <row r="44" spans="1:18" ht="15" customHeight="1" x14ac:dyDescent="0.3">
      <c r="A44" s="14" t="s">
        <v>210</v>
      </c>
      <c r="B44" s="6" t="str">
        <f>VLOOKUP(A44,'Analisis por Categorias'!B:C,2,FALSE)</f>
        <v>Fletes</v>
      </c>
      <c r="D44" s="3">
        <f>SUMIF(CATEGORIAS[[#All],[SUBGRUPO]],A44,CATEGORIAS[[#All],[PRESUPUESTO
(ORIGINAL)]])</f>
        <v>36937813.120000005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48875370.30679068</v>
      </c>
      <c r="G44" s="71">
        <f>+SUMIF(CATEGORIAS[[#All],[SUBGRUPO]],A44,CATEGORIAS[[#All],[PRODUCCION
PARTIDAS
ORIGINALES
ACTUAL]])</f>
        <v>38232928.726184286</v>
      </c>
      <c r="H44" s="71">
        <f>+SUMIF(CATEGORIAS[[#All],[SUBGRUPO]],A44,CATEGORIAS[[#All],[PRODUCCION
ADICIONALES
ACTUAL]])</f>
        <v>10642441.580606394</v>
      </c>
      <c r="I44" s="85">
        <f t="shared" si="61"/>
        <v>48875370.30679068</v>
      </c>
      <c r="J44" s="79"/>
      <c r="K44" s="71">
        <f>+SUMIF(CATEGORIAS[[#All],[SUBGRUPO]],A44,CATEGORIAS[[#All],[PRODUCCION
ANTERIOR]])</f>
        <v>38232928.726184286</v>
      </c>
      <c r="L44" s="71">
        <f>+SUMIF(CATEGORIAS[[#All],[SUBGRUPO]],A44,CATEGORIAS[[#All],[PRODUCCION
ADICIONALES
ANTERIOR]])</f>
        <v>10635190.665314719</v>
      </c>
      <c r="M44" s="71">
        <f t="shared" si="62"/>
        <v>48868119.391499005</v>
      </c>
      <c r="N44" s="79"/>
      <c r="O44" s="71">
        <f t="shared" si="63"/>
        <v>0</v>
      </c>
      <c r="P44" s="71">
        <f t="shared" si="64"/>
        <v>7250.9152916744351</v>
      </c>
      <c r="Q44" s="71">
        <f t="shared" si="65"/>
        <v>7250.9152916744351</v>
      </c>
      <c r="R44" s="127">
        <f t="shared" si="66"/>
        <v>281314664.65395337</v>
      </c>
    </row>
    <row r="45" spans="1:18" ht="15" customHeight="1" x14ac:dyDescent="0.3">
      <c r="A45" s="14" t="s">
        <v>2431</v>
      </c>
      <c r="B45" s="6" t="str">
        <f>VLOOKUP(A45,'Analisis por Categorias'!B:C,2,FALSE)</f>
        <v>Operador</v>
      </c>
      <c r="D45" s="3">
        <f>SUMIF(CATEGORIAS[[#All],[SUBGRUPO]],A45,CATEGORIAS[[#All],[PRESUPUESTO
(ORIGINAL)]])</f>
        <v>109544629.7149321</v>
      </c>
      <c r="E45" s="3">
        <f>+SUMIF(CATEGORIAS[[#All],[SUBGRUPO]],A45,CATEGORIAS[[#All],[PRODUCCION
PARTIDAS
ORIGINALES
ACTUAL]])
+SUMIF(CATEGORIAS[[#All],[SUBGRUPO]],A45,CATEGORIAS[[#All],[PRODUCCION
ADICIONALES
ACTUAL]])
+SUMIF(CATEGORIAS[[#All],[SUBGRUPO]],A45,CATEGORIAS[[#All],[PROYECCION
DE INGRESO
DEL SALDO]])</f>
        <v>144947247.55479977</v>
      </c>
      <c r="G45" s="71">
        <f>+SUMIF(CATEGORIAS[[#All],[SUBGRUPO]],A45,CATEGORIAS[[#All],[PRODUCCION
PARTIDAS
ORIGINALES
ACTUAL]])</f>
        <v>113385489.46092148</v>
      </c>
      <c r="H45" s="71">
        <f>+SUMIF(CATEGORIAS[[#All],[SUBGRUPO]],A45,CATEGORIAS[[#All],[PRODUCCION
ADICIONALES
ACTUAL]])</f>
        <v>31561758.093878292</v>
      </c>
      <c r="I45" s="85">
        <f t="shared" ref="I45:I47" si="67">G45+H45</f>
        <v>144947247.55479977</v>
      </c>
      <c r="J45" s="79"/>
      <c r="K45" s="71">
        <f>+SUMIF(CATEGORIAS[[#All],[SUBGRUPO]],A45,CATEGORIAS[[#All],[PRODUCCION
ANTERIOR]])</f>
        <v>113385489.46092148</v>
      </c>
      <c r="L45" s="71">
        <f>+SUMIF(CATEGORIAS[[#All],[SUBGRUPO]],A45,CATEGORIAS[[#All],[PRODUCCION
ADICIONALES
ANTERIOR]])</f>
        <v>31540254.416112088</v>
      </c>
      <c r="M45" s="71">
        <f t="shared" ref="M45:M47" si="68">K45+L45</f>
        <v>144925743.87703356</v>
      </c>
      <c r="N45" s="79"/>
      <c r="O45" s="71">
        <f t="shared" ref="O45:O47" si="69">G45-K45</f>
        <v>0</v>
      </c>
      <c r="P45" s="71">
        <f t="shared" ref="P45:P47" si="70">H45-L45</f>
        <v>21503.67776620388</v>
      </c>
      <c r="Q45" s="71">
        <f t="shared" ref="Q45:Q47" si="71">I45-M45</f>
        <v>21503.67776620388</v>
      </c>
      <c r="R45" s="127"/>
    </row>
    <row r="46" spans="1:18" ht="15" customHeight="1" x14ac:dyDescent="0.3">
      <c r="A46" s="14" t="s">
        <v>2432</v>
      </c>
      <c r="B46" s="6" t="str">
        <f>VLOOKUP(A46,'Analisis por Categorias'!B:C,2,FALSE)</f>
        <v>Rigger</v>
      </c>
      <c r="D46" s="3">
        <f>SUMIF(CATEGORIAS[[#All],[SUBGRUPO]],A46,CATEGORIAS[[#All],[PRESUPUESTO
(ORIGINAL)]])</f>
        <v>69826848.009499088</v>
      </c>
      <c r="E46" s="3">
        <f>+SUMIF(CATEGORIAS[[#All],[SUBGRUPO]],A46,CATEGORIAS[[#All],[PRODUCCION
PARTIDAS
ORIGINALES
ACTUAL]])
+SUMIF(CATEGORIAS[[#All],[SUBGRUPO]],A46,CATEGORIAS[[#All],[PRODUCCION
ADICIONALES
ACTUAL]])
+SUMIF(CATEGORIAS[[#All],[SUBGRUPO]],A46,CATEGORIAS[[#All],[PROYECCION
DE INGRESO
DEL SALDO]])</f>
        <v>92393478.810806677</v>
      </c>
      <c r="G46" s="71">
        <f>+SUMIF(CATEGORIAS[[#All],[SUBGRUPO]],A46,CATEGORIAS[[#All],[PRODUCCION
PARTIDAS
ORIGINALES
ACTUAL]])</f>
        <v>72275120.740046695</v>
      </c>
      <c r="H46" s="71">
        <f>+SUMIF(CATEGORIAS[[#All],[SUBGRUPO]],A46,CATEGORIAS[[#All],[PRODUCCION
ADICIONALES
ACTUAL]])</f>
        <v>20118358.070759986</v>
      </c>
      <c r="I46" s="85">
        <f t="shared" ref="I46" si="72">G46+H46</f>
        <v>92393478.810806677</v>
      </c>
      <c r="J46" s="79"/>
      <c r="K46" s="71">
        <f>+SUMIF(CATEGORIAS[[#All],[SUBGRUPO]],A46,CATEGORIAS[[#All],[PRODUCCION
ANTERIOR]])</f>
        <v>72275120.740046695</v>
      </c>
      <c r="L46" s="71">
        <f>+SUMIF(CATEGORIAS[[#All],[SUBGRUPO]],A46,CATEGORIAS[[#All],[PRODUCCION
ADICIONALES
ANTERIOR]])</f>
        <v>20104651.017817874</v>
      </c>
      <c r="M46" s="71">
        <f t="shared" ref="M46" si="73">K46+L46</f>
        <v>92379771.757864565</v>
      </c>
      <c r="N46" s="79"/>
      <c r="O46" s="71">
        <f t="shared" ref="O46" si="74">G46-K46</f>
        <v>0</v>
      </c>
      <c r="P46" s="71">
        <f t="shared" ref="P46" si="75">H46-L46</f>
        <v>13707.052942112088</v>
      </c>
      <c r="Q46" s="71">
        <f t="shared" ref="Q46" si="76">I46-M46</f>
        <v>13707.052942112088</v>
      </c>
      <c r="R46" s="127"/>
    </row>
    <row r="47" spans="1:18" ht="15" hidden="1" customHeight="1" x14ac:dyDescent="0.3">
      <c r="A47" s="14" t="s">
        <v>2446</v>
      </c>
      <c r="B47" s="6" t="str">
        <f>VLOOKUP(A47,'Analisis por Categorias'!B:C,2,FALSE)</f>
        <v>Maquinas Soldadoras</v>
      </c>
      <c r="D47" s="3">
        <f>SUMIF(CATEGORIAS[[#All],[SUBGRUPO]],A47,CATEGORIAS[[#All],[PRESUPUESTO
(ORIGINAL)]])</f>
        <v>0</v>
      </c>
      <c r="E47" s="3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0</v>
      </c>
      <c r="G47" s="71">
        <f>+SUMIF(CATEGORIAS[[#All],[SUBGRUPO]],A47,CATEGORIAS[[#All],[PRODUCCION
PARTIDAS
ORIGINALES
ACTUAL]])</f>
        <v>0</v>
      </c>
      <c r="H47" s="71">
        <f>+SUMIF(CATEGORIAS[[#All],[SUBGRUPO]],A47,CATEGORIAS[[#All],[PRODUCCION
ADICIONALES
ACTUAL]])</f>
        <v>0</v>
      </c>
      <c r="I47" s="85">
        <f t="shared" si="67"/>
        <v>0</v>
      </c>
      <c r="J47" s="79"/>
      <c r="K47" s="71">
        <f>+SUMIF(CATEGORIAS[[#All],[SUBGRUPO]],A47,CATEGORIAS[[#All],[PRODUCCION
ANTERIOR]])</f>
        <v>0</v>
      </c>
      <c r="L47" s="71">
        <f>+SUMIF(CATEGORIAS[[#All],[SUBGRUPO]],A47,CATEGORIAS[[#All],[PRODUCCION
ADICIONALES
ANTERIOR]])</f>
        <v>0</v>
      </c>
      <c r="M47" s="71">
        <f t="shared" si="68"/>
        <v>0</v>
      </c>
      <c r="N47" s="79"/>
      <c r="O47" s="71">
        <f t="shared" si="69"/>
        <v>0</v>
      </c>
      <c r="P47" s="71">
        <f t="shared" si="70"/>
        <v>0</v>
      </c>
      <c r="Q47" s="71">
        <f t="shared" si="71"/>
        <v>0</v>
      </c>
      <c r="R47" s="127"/>
    </row>
    <row r="48" spans="1:18" ht="8.25" customHeight="1" x14ac:dyDescent="0.3">
      <c r="J48" s="79"/>
      <c r="N48" s="79"/>
      <c r="R48" s="127">
        <f t="shared" si="0"/>
        <v>0</v>
      </c>
    </row>
    <row r="49" spans="1:18" ht="15" customHeight="1" x14ac:dyDescent="0.3">
      <c r="A49" s="211" t="s">
        <v>211</v>
      </c>
      <c r="B49" s="81" t="s">
        <v>212</v>
      </c>
      <c r="D49" s="82">
        <f>SUM(D50:D55)</f>
        <v>110221472.6512</v>
      </c>
      <c r="E49" s="82">
        <f>SUM(E50:E55)</f>
        <v>238680817.17854521</v>
      </c>
      <c r="G49" s="83">
        <f>SUM(G50:G55)</f>
        <v>65906601.040568814</v>
      </c>
      <c r="H49" s="83">
        <f>SUM(H50:H55)</f>
        <v>172774216.13797638</v>
      </c>
      <c r="I49" s="83">
        <f>SUM(I50:I55)</f>
        <v>238680817.17854521</v>
      </c>
      <c r="J49" s="79"/>
      <c r="K49" s="83">
        <f>SUM(K50:K55)</f>
        <v>65906601.040568814</v>
      </c>
      <c r="L49" s="83">
        <f>SUM(L50:L55)</f>
        <v>152761716.88151789</v>
      </c>
      <c r="M49" s="83">
        <f>SUM(M50:M55)</f>
        <v>218668317.92208672</v>
      </c>
      <c r="N49" s="79"/>
      <c r="O49" s="83">
        <f>SUM(O50:O55)</f>
        <v>0</v>
      </c>
      <c r="P49" s="83">
        <f>SUM(P50:P55)</f>
        <v>20012499.256458484</v>
      </c>
      <c r="Q49" s="83">
        <f>SUM(Q50:Q55)</f>
        <v>20012499.256458487</v>
      </c>
      <c r="R49" s="127">
        <f t="shared" si="0"/>
        <v>1303625558.5439262</v>
      </c>
    </row>
    <row r="50" spans="1:18" ht="15.6" customHeight="1" x14ac:dyDescent="0.3">
      <c r="A50" s="211" t="s">
        <v>213</v>
      </c>
      <c r="B50" s="6" t="str">
        <f>VLOOKUP(A50,'Analisis por Categorias'!B:C,2,FALSE)</f>
        <v>Moldajes</v>
      </c>
      <c r="D50" s="3">
        <f>SUMIF(CATEGORIAS[[#All],[SUBGRUPO]],A50,CATEGORIAS[[#All],[PRESUPUESTO
(ORIGINAL)]])</f>
        <v>3419673.7199999997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2045171.5034251469</v>
      </c>
      <c r="G50" s="71">
        <f>+SUMIF(CATEGORIAS[[#All],[SUBGRUPO]],A50,CATEGORIAS[[#All],[PRODUCCION
PARTIDAS
ORIGINALES
ACTUAL]])</f>
        <v>2044783.7080364402</v>
      </c>
      <c r="H50" s="71">
        <f>+SUMIF(CATEGORIAS[[#All],[SUBGRUPO]],A50,CATEGORIAS[[#All],[PRODUCCION
ADICIONALES
ACTUAL]])</f>
        <v>387.79538870672695</v>
      </c>
      <c r="I50" s="85">
        <f t="shared" ref="I50:I55" si="77">G50+H50</f>
        <v>2045171.5034251469</v>
      </c>
      <c r="J50" s="79"/>
      <c r="K50" s="71">
        <f>+SUMIF(CATEGORIAS[[#All],[SUBGRUPO]],A50,CATEGORIAS[[#All],[PRODUCCION
ANTERIOR]])</f>
        <v>2044783.7080364402</v>
      </c>
      <c r="L50" s="71">
        <f>+SUMIF(CATEGORIAS[[#All],[SUBGRUPO]],A50,CATEGORIAS[[#All],[PRODUCCION
ADICIONALES
ANTERIOR]])</f>
        <v>0</v>
      </c>
      <c r="M50" s="71">
        <f t="shared" ref="M50:M55" si="78">K50+L50</f>
        <v>2044783.7080364402</v>
      </c>
      <c r="N50" s="79"/>
      <c r="O50" s="71">
        <f t="shared" ref="O50:Q55" si="79">G50-K50</f>
        <v>0</v>
      </c>
      <c r="P50" s="71">
        <f t="shared" si="79"/>
        <v>387.79538870672695</v>
      </c>
      <c r="Q50" s="71">
        <f t="shared" si="79"/>
        <v>387.79538870672695</v>
      </c>
      <c r="R50" s="127">
        <f t="shared" ref="R50:R55" si="80">SUM(D50:Q50)</f>
        <v>13645531.237125732</v>
      </c>
    </row>
    <row r="51" spans="1:18" ht="15" customHeight="1" x14ac:dyDescent="0.3">
      <c r="A51" s="211" t="s">
        <v>214</v>
      </c>
      <c r="B51" s="6" t="str">
        <f>VLOOKUP(A51,'Analisis por Categorias'!B:C,2,FALSE)</f>
        <v>Laboratorio</v>
      </c>
      <c r="D51" s="3">
        <f>SUMIF(CATEGORIAS[[#All],[SUBGRUPO]],A51,CATEGORIAS[[#All],[PRESUPUESTO
(ORIGINAL)]])</f>
        <v>22923307.425000001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13709522.88099114</v>
      </c>
      <c r="G51" s="71">
        <f>+SUMIF(CATEGORIAS[[#All],[SUBGRUPO]],A51,CATEGORIAS[[#All],[PRODUCCION
PARTIDAS
ORIGINALES
ACTUAL]])</f>
        <v>13706923.34850904</v>
      </c>
      <c r="H51" s="71">
        <f>+SUMIF(CATEGORIAS[[#All],[SUBGRUPO]],A51,CATEGORIAS[[#All],[PRODUCCION
ADICIONALES
ACTUAL]])</f>
        <v>2599.5324821006507</v>
      </c>
      <c r="I51" s="85">
        <f t="shared" si="77"/>
        <v>13709522.88099114</v>
      </c>
      <c r="J51" s="79"/>
      <c r="K51" s="71">
        <f>+SUMIF(CATEGORIAS[[#All],[SUBGRUPO]],A51,CATEGORIAS[[#All],[PRODUCCION
ANTERIOR]])</f>
        <v>13706923.34850904</v>
      </c>
      <c r="L51" s="71">
        <f>+SUMIF(CATEGORIAS[[#All],[SUBGRUPO]],A51,CATEGORIAS[[#All],[PRODUCCION
ADICIONALES
ANTERIOR]])</f>
        <v>0</v>
      </c>
      <c r="M51" s="71">
        <f t="shared" si="78"/>
        <v>13706923.34850904</v>
      </c>
      <c r="N51" s="79"/>
      <c r="O51" s="71">
        <f t="shared" si="79"/>
        <v>0</v>
      </c>
      <c r="P51" s="71">
        <f t="shared" si="79"/>
        <v>2599.5324821006507</v>
      </c>
      <c r="Q51" s="71">
        <f t="shared" si="79"/>
        <v>2599.5324821006507</v>
      </c>
      <c r="R51" s="127">
        <f t="shared" si="80"/>
        <v>91470921.829955712</v>
      </c>
    </row>
    <row r="52" spans="1:18" ht="15" customHeight="1" x14ac:dyDescent="0.3">
      <c r="A52" s="211" t="s">
        <v>215</v>
      </c>
      <c r="B52" s="6" t="str">
        <f>VLOOKUP(A52,'Analisis por Categorias'!B:C,2,FALSE)</f>
        <v>Entibaciones</v>
      </c>
      <c r="D52" s="3">
        <f>SUMIF(CATEGORIAS[[#All],[SUBGRUPO]],A52,CATEGORIAS[[#All],[PRESUPUESTO
(ORIGINAL)]])</f>
        <v>37704331.5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145700907.17624047</v>
      </c>
      <c r="G52" s="71">
        <f>+SUMIF(CATEGORIAS[[#All],[SUBGRUPO]],A52,CATEGORIAS[[#All],[PRODUCCION
PARTIDAS
ORIGINALES
ACTUAL]])</f>
        <v>22545192.637151696</v>
      </c>
      <c r="H52" s="71">
        <f>+SUMIF(CATEGORIAS[[#All],[SUBGRUPO]],A52,CATEGORIAS[[#All],[PRODUCCION
ADICIONALES
ACTUAL]])</f>
        <v>123155714.53908877</v>
      </c>
      <c r="I52" s="85">
        <f t="shared" si="77"/>
        <v>145700907.17624047</v>
      </c>
      <c r="J52" s="79"/>
      <c r="K52" s="71">
        <f>+SUMIF(CATEGORIAS[[#All],[SUBGRUPO]],A52,CATEGORIAS[[#All],[PRODUCCION
ANTERIOR]])</f>
        <v>22545192.637151696</v>
      </c>
      <c r="L52" s="71">
        <f>+SUMIF(CATEGORIAS[[#All],[SUBGRUPO]],A52,CATEGORIAS[[#All],[PRODUCCION
ADICIONALES
ANTERIOR]])</f>
        <v>123151438.81950639</v>
      </c>
      <c r="M52" s="71">
        <f t="shared" si="78"/>
        <v>145696631.4566581</v>
      </c>
      <c r="N52" s="79"/>
      <c r="O52" s="71">
        <f t="shared" si="79"/>
        <v>0</v>
      </c>
      <c r="P52" s="71">
        <f t="shared" si="79"/>
        <v>4275.7195823788643</v>
      </c>
      <c r="Q52" s="71">
        <f t="shared" si="79"/>
        <v>4275.7195823788643</v>
      </c>
      <c r="R52" s="127">
        <f t="shared" si="80"/>
        <v>766208867.38120246</v>
      </c>
    </row>
    <row r="53" spans="1:18" ht="15" customHeight="1" x14ac:dyDescent="0.3">
      <c r="A53" s="211" t="s">
        <v>216</v>
      </c>
      <c r="B53" s="6" t="str">
        <f>VLOOKUP(A53,'Analisis por Categorias'!B:C,2,FALSE)</f>
        <v>Ensayos</v>
      </c>
      <c r="D53" s="3">
        <f>SUMIF(CATEGORIAS[[#All],[SUBGRUPO]],A53,CATEGORIAS[[#All],[PRESUPUESTO
(ORIGINAL)]])</f>
        <v>22686901.279799998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23978248.847821172</v>
      </c>
      <c r="G53" s="71">
        <f>+SUMIF(CATEGORIAS[[#All],[SUBGRUPO]],A53,CATEGORIAS[[#All],[PRODUCCION
PARTIDAS
ORIGINALES
ACTUAL]])</f>
        <v>13565564.998629784</v>
      </c>
      <c r="H53" s="71">
        <f>+SUMIF(CATEGORIAS[[#All],[SUBGRUPO]],A53,CATEGORIAS[[#All],[PRODUCCION
ADICIONALES
ACTUAL]])</f>
        <v>10412683.849191383</v>
      </c>
      <c r="I53" s="85">
        <f t="shared" si="77"/>
        <v>23978248.847821169</v>
      </c>
      <c r="J53" s="79"/>
      <c r="K53" s="71">
        <f>+SUMIF(CATEGORIAS[[#All],[SUBGRUPO]],A53,CATEGORIAS[[#All],[PRODUCCION
ANTERIOR]])</f>
        <v>13565564.998629784</v>
      </c>
      <c r="L53" s="71">
        <f>+SUMIF(CATEGORIAS[[#All],[SUBGRUPO]],A53,CATEGORIAS[[#All],[PRODUCCION
ADICIONALES
ANTERIOR]])</f>
        <v>10410111.125469554</v>
      </c>
      <c r="M53" s="71">
        <f t="shared" si="78"/>
        <v>23975676.124099337</v>
      </c>
      <c r="N53" s="79"/>
      <c r="O53" s="71">
        <f t="shared" si="79"/>
        <v>0</v>
      </c>
      <c r="P53" s="71">
        <f t="shared" si="79"/>
        <v>2572.7237218283117</v>
      </c>
      <c r="Q53" s="71">
        <f t="shared" si="79"/>
        <v>2572.723721832037</v>
      </c>
      <c r="R53" s="127">
        <f t="shared" si="80"/>
        <v>142578145.51890585</v>
      </c>
    </row>
    <row r="54" spans="1:18" ht="15" customHeight="1" x14ac:dyDescent="0.3">
      <c r="A54" s="211" t="s">
        <v>217</v>
      </c>
      <c r="B54" s="6" t="str">
        <f>VLOOKUP(A54,'Analisis por Categorias'!B:C,2,FALSE)</f>
        <v>Termofusion</v>
      </c>
      <c r="D54" s="3">
        <f>SUMIF(CATEGORIAS[[#All],[SUBGRUPO]],A54,CATEGORIAS[[#All],[PRESUPUESTO
(ORIGINAL)]])</f>
        <v>4509885.5999999996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11786768.078961611</v>
      </c>
      <c r="G54" s="71">
        <f>+SUMIF(CATEGORIAS[[#All],[SUBGRUPO]],A54,CATEGORIAS[[#All],[PRODUCCION
PARTIDAS
ORIGINALES
ACTUAL]])</f>
        <v>2696672.6521465168</v>
      </c>
      <c r="H54" s="71">
        <f>+SUMIF(CATEGORIAS[[#All],[SUBGRUPO]],A54,CATEGORIAS[[#All],[PRODUCCION
ADICIONALES
ACTUAL]])</f>
        <v>9090095.4268150944</v>
      </c>
      <c r="I54" s="85">
        <f t="shared" si="77"/>
        <v>11786768.078961611</v>
      </c>
      <c r="J54" s="79"/>
      <c r="K54" s="71">
        <f>+SUMIF(CATEGORIAS[[#All],[SUBGRUPO]],A54,CATEGORIAS[[#All],[PRODUCCION
ANTERIOR]])</f>
        <v>2696672.6521465168</v>
      </c>
      <c r="L54" s="71">
        <f>+SUMIF(CATEGORIAS[[#All],[SUBGRUPO]],A54,CATEGORIAS[[#All],[PRODUCCION
ADICIONALES
ANTERIOR]])</f>
        <v>9089584</v>
      </c>
      <c r="M54" s="71">
        <f t="shared" si="78"/>
        <v>11786256.652146516</v>
      </c>
      <c r="N54" s="79"/>
      <c r="O54" s="71">
        <f t="shared" si="79"/>
        <v>0</v>
      </c>
      <c r="P54" s="71">
        <f t="shared" si="79"/>
        <v>511.42681509442627</v>
      </c>
      <c r="Q54" s="71">
        <f t="shared" si="79"/>
        <v>511.42681509442627</v>
      </c>
      <c r="R54" s="127">
        <f t="shared" si="80"/>
        <v>63443725.994808055</v>
      </c>
    </row>
    <row r="55" spans="1:18" ht="16.899999999999999" customHeight="1" x14ac:dyDescent="0.3">
      <c r="A55" s="211" t="s">
        <v>218</v>
      </c>
      <c r="B55" s="6" t="str">
        <f>VLOOKUP(A55,'Analisis por Categorias'!B:C,2,FALSE)</f>
        <v>Otros Subcontratos</v>
      </c>
      <c r="D55" s="3">
        <f>SUMIF(CATEGORIAS[[#All],[SUBGRUPO]],A55,CATEGORIAS[[#All],[PRESUPUESTO
(ORIGINAL)]])</f>
        <v>18977373.126400001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41460198.691105656</v>
      </c>
      <c r="G55" s="71">
        <f>+SUMIF(CATEGORIAS[[#All],[SUBGRUPO]],A55,CATEGORIAS[[#All],[PRODUCCION
PARTIDAS
ORIGINALES
ACTUAL]])</f>
        <v>11347463.696095336</v>
      </c>
      <c r="H55" s="71">
        <f>+SUMIF(CATEGORIAS[[#All],[SUBGRUPO]],A55,CATEGORIAS[[#All],[PRODUCCION
ADICIONALES
ACTUAL]])</f>
        <v>30112734.99501032</v>
      </c>
      <c r="I55" s="85">
        <f t="shared" si="77"/>
        <v>41460198.691105656</v>
      </c>
      <c r="J55" s="79"/>
      <c r="K55" s="71">
        <f>+SUMIF(CATEGORIAS[[#All],[SUBGRUPO]],A55,CATEGORIAS[[#All],[PRODUCCION
ANTERIOR]])</f>
        <v>11347463.696095336</v>
      </c>
      <c r="L55" s="71">
        <f>+SUMIF(CATEGORIAS[[#All],[SUBGRUPO]],A55,CATEGORIAS[[#All],[PRODUCCION
ADICIONALES
ANTERIOR]])</f>
        <v>10110582.936541945</v>
      </c>
      <c r="M55" s="71">
        <f t="shared" si="78"/>
        <v>21458046.632637281</v>
      </c>
      <c r="N55" s="79"/>
      <c r="O55" s="71">
        <f t="shared" si="79"/>
        <v>0</v>
      </c>
      <c r="P55" s="71">
        <f t="shared" si="79"/>
        <v>20002152.058468375</v>
      </c>
      <c r="Q55" s="71">
        <f t="shared" si="79"/>
        <v>20002152.058468375</v>
      </c>
      <c r="R55" s="127">
        <f t="shared" si="80"/>
        <v>226278366.58192828</v>
      </c>
    </row>
    <row r="56" spans="1:18" ht="8.25" customHeight="1" x14ac:dyDescent="0.3">
      <c r="J56" s="79"/>
      <c r="N56" s="79"/>
      <c r="R56" s="127">
        <f t="shared" si="0"/>
        <v>0</v>
      </c>
    </row>
    <row r="57" spans="1:18" ht="15" customHeight="1" x14ac:dyDescent="0.3">
      <c r="B57" s="8" t="s">
        <v>219</v>
      </c>
      <c r="D57" s="1">
        <f>SUM(D124:D129)</f>
        <v>1732270136.9484823</v>
      </c>
      <c r="E57" s="1">
        <f>SUM(E124:E129)</f>
        <v>2355292767.8075027</v>
      </c>
      <c r="G57" s="12">
        <f t="shared" ref="G57:Q57" si="81">SUM(G124:G129)</f>
        <v>1767283140.8775275</v>
      </c>
      <c r="H57" s="12">
        <f t="shared" si="81"/>
        <v>588009626.92487013</v>
      </c>
      <c r="I57" s="12">
        <f t="shared" si="81"/>
        <v>2355292767.8023973</v>
      </c>
      <c r="J57" s="79"/>
      <c r="K57" s="12">
        <f t="shared" si="81"/>
        <v>1767271396.4775274</v>
      </c>
      <c r="L57" s="12">
        <f t="shared" si="81"/>
        <v>587770017.83825409</v>
      </c>
      <c r="M57" s="12">
        <f t="shared" si="81"/>
        <v>2355041414.3157811</v>
      </c>
      <c r="N57" s="79"/>
      <c r="O57" s="12">
        <f t="shared" si="81"/>
        <v>11744.40000006929</v>
      </c>
      <c r="P57" s="12">
        <f t="shared" si="81"/>
        <v>239609.08661610028</v>
      </c>
      <c r="Q57" s="12">
        <f t="shared" si="81"/>
        <v>251353.48661616957</v>
      </c>
      <c r="R57" s="127">
        <f t="shared" si="0"/>
        <v>13508733975.965576</v>
      </c>
    </row>
    <row r="58" spans="1:18" ht="8.25" customHeight="1" x14ac:dyDescent="0.3">
      <c r="J58" s="79"/>
      <c r="N58" s="79"/>
      <c r="R58" s="127">
        <f t="shared" si="0"/>
        <v>0</v>
      </c>
    </row>
    <row r="59" spans="1:18" ht="15" customHeight="1" x14ac:dyDescent="0.3">
      <c r="A59" s="14" t="s">
        <v>220</v>
      </c>
      <c r="B59" s="81" t="s">
        <v>221</v>
      </c>
      <c r="D59" s="82">
        <f>SUM(D60:D71)</f>
        <v>849346597.24778163</v>
      </c>
      <c r="E59" s="82">
        <f>SUM(E60:E71)</f>
        <v>1307317730.5885222</v>
      </c>
      <c r="G59" s="83">
        <f>SUM(G60:G70)</f>
        <v>879126433.68751705</v>
      </c>
      <c r="H59" s="83">
        <f>SUM(H60:H70)</f>
        <v>428191296.90100491</v>
      </c>
      <c r="I59" s="83">
        <f>SUM(I60:I70)</f>
        <v>1307317730.5885222</v>
      </c>
      <c r="J59" s="79"/>
      <c r="K59" s="83">
        <f>SUM(K60:K70)</f>
        <v>879126433.68751705</v>
      </c>
      <c r="L59" s="83">
        <f>SUM(L60:L70)</f>
        <v>428024569.64484841</v>
      </c>
      <c r="M59" s="83">
        <f>SUM(M60:M70)</f>
        <v>1307151003.3323655</v>
      </c>
      <c r="N59" s="79"/>
      <c r="O59" s="83">
        <f>SUM(O60:O70)</f>
        <v>0</v>
      </c>
      <c r="P59" s="83">
        <f>SUM(P60:P70)</f>
        <v>166727.25615655631</v>
      </c>
      <c r="Q59" s="83">
        <f>SUM(Q60:Q70)</f>
        <v>166727.25615660846</v>
      </c>
      <c r="R59" s="127">
        <f t="shared" si="0"/>
        <v>7385935250.1903934</v>
      </c>
    </row>
    <row r="60" spans="1:18" ht="15" customHeight="1" x14ac:dyDescent="0.3">
      <c r="A60" s="14" t="s">
        <v>115</v>
      </c>
      <c r="B60" s="6" t="str">
        <f>VLOOKUP(A60,'Analisis por Categorias'!B:C,2,FALSE)</f>
        <v>Staff Superior</v>
      </c>
      <c r="D60" s="3">
        <f>SUMIF(CATEGORIAS[[#All],[SUBGRUPO]],A60,CATEGORIAS[[#All],[PRESUPUESTO
(ORIGINAL)]])</f>
        <v>263311370.33350706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389822314.29709446</v>
      </c>
      <c r="G60" s="71">
        <f>+SUMIF(CATEGORIAS[[#All],[SUBGRUPO]],A60,CATEGORIAS[[#All],[PRODUCCION
PARTIDAS
ORIGINALES
ACTUAL]])</f>
        <v>272543607.87547588</v>
      </c>
      <c r="H60" s="71">
        <f>+SUMIF(CATEGORIAS[[#All],[SUBGRUPO]],A60,CATEGORIAS[[#All],[PRODUCCION
ADICIONALES
ACTUAL]])</f>
        <v>117278706.42161855</v>
      </c>
      <c r="I60" s="85">
        <f>G60+H60</f>
        <v>389822314.29709446</v>
      </c>
      <c r="J60" s="79"/>
      <c r="K60" s="71">
        <f>+SUMIF(CATEGORIAS[[#All],[SUBGRUPO]],A60,CATEGORIAS[[#All],[PRODUCCION
ANTERIOR]])</f>
        <v>272543607.87547588</v>
      </c>
      <c r="L60" s="71">
        <f>+SUMIF(CATEGORIAS[[#All],[SUBGRUPO]],A60,CATEGORIAS[[#All],[PRODUCCION
ADICIONALES
ANTERIOR]])</f>
        <v>117227018.23868737</v>
      </c>
      <c r="M60" s="71">
        <f>K60+L60</f>
        <v>389770626.11416328</v>
      </c>
      <c r="N60" s="79"/>
      <c r="O60" s="71">
        <f>G60-K60</f>
        <v>0</v>
      </c>
      <c r="P60" s="71">
        <f>H60-L60</f>
        <v>51688.182931184769</v>
      </c>
      <c r="Q60" s="71">
        <f>I60-M60</f>
        <v>51688.182931184769</v>
      </c>
      <c r="R60" s="127">
        <f t="shared" si="0"/>
        <v>2212422941.8189793</v>
      </c>
    </row>
    <row r="61" spans="1:18" ht="15" customHeight="1" x14ac:dyDescent="0.3">
      <c r="A61" s="14" t="s">
        <v>117</v>
      </c>
      <c r="B61" s="6" t="str">
        <f>VLOOKUP(A61,'Analisis por Categorias'!B:C,2,FALSE)</f>
        <v>Oficina Técnica</v>
      </c>
      <c r="D61" s="3">
        <f>SUMIF(CATEGORIAS[[#All],[SUBGRUPO]],A61,CATEGORIAS[[#All],[PRESUPUESTO
(ORIGINAL)]])</f>
        <v>80469294.782991737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124065984.65281068</v>
      </c>
      <c r="G61" s="71">
        <f>+SUMIF(CATEGORIAS[[#All],[SUBGRUPO]],A61,CATEGORIAS[[#All],[PRODUCCION
PARTIDAS
ORIGINALES
ACTUAL]])</f>
        <v>83290713.559288129</v>
      </c>
      <c r="H61" s="71">
        <f>+SUMIF(CATEGORIAS[[#All],[SUBGRUPO]],A61,CATEGORIAS[[#All],[PRODUCCION
ADICIONALES
ACTUAL]])</f>
        <v>40775271.093522526</v>
      </c>
      <c r="I61" s="85">
        <f>G61+H61</f>
        <v>124065984.65281066</v>
      </c>
      <c r="J61" s="79"/>
      <c r="K61" s="71">
        <f>+SUMIF(CATEGORIAS[[#All],[SUBGRUPO]],A61,CATEGORIAS[[#All],[PRODUCCION
ANTERIOR]])</f>
        <v>83290713.559288129</v>
      </c>
      <c r="L61" s="71">
        <f>+SUMIF(CATEGORIAS[[#All],[SUBGRUPO]],A61,CATEGORIAS[[#All],[PRODUCCION
ADICIONALES
ANTERIOR]])</f>
        <v>40759474.921774141</v>
      </c>
      <c r="M61" s="85">
        <f>K61+L61</f>
        <v>124050188.48106226</v>
      </c>
      <c r="N61" s="79"/>
      <c r="O61" s="85">
        <f>G61-K61</f>
        <v>0</v>
      </c>
      <c r="P61" s="71">
        <f t="shared" ref="P61:P70" si="82">H61-L61</f>
        <v>15796.171748384833</v>
      </c>
      <c r="Q61" s="71">
        <f t="shared" ref="Q61:Q70" si="83">I61-M61</f>
        <v>15796.171748399734</v>
      </c>
      <c r="R61" s="127">
        <f t="shared" si="0"/>
        <v>700799218.04704511</v>
      </c>
    </row>
    <row r="62" spans="1:18" ht="15" customHeight="1" x14ac:dyDescent="0.3">
      <c r="A62" s="14" t="s">
        <v>119</v>
      </c>
      <c r="B62" s="6" t="str">
        <f>VLOOKUP(A62,'Analisis por Categorias'!B:C,2,FALSE)</f>
        <v>Supervisión</v>
      </c>
      <c r="D62" s="3">
        <f>SUMIF(CATEGORIAS[[#All],[SUBGRUPO]],A62,CATEGORIAS[[#All],[PRESUPUESTO
(ORIGINAL)]])</f>
        <v>97274459.021890849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171651892.76443025</v>
      </c>
      <c r="G62" s="71">
        <f>+SUMIF(CATEGORIAS[[#All],[SUBGRUPO]],A62,CATEGORIAS[[#All],[PRODUCCION
PARTIDAS
ORIGINALES
ACTUAL]])</f>
        <v>100685101.37781774</v>
      </c>
      <c r="H62" s="71">
        <f>+SUMIF(CATEGORIAS[[#All],[SUBGRUPO]],A62,CATEGORIAS[[#All],[PRODUCCION
ADICIONALES
ACTUAL]])</f>
        <v>70966791.386612475</v>
      </c>
      <c r="I62" s="85">
        <f>G62+H62</f>
        <v>171651892.76443022</v>
      </c>
      <c r="J62" s="79"/>
      <c r="K62" s="71">
        <f>+SUMIF(CATEGORIAS[[#All],[SUBGRUPO]],A62,CATEGORIAS[[#All],[PRODUCCION
ANTERIOR]])</f>
        <v>100685101.37781774</v>
      </c>
      <c r="L62" s="71">
        <f>+SUMIF(CATEGORIAS[[#All],[SUBGRUPO]],A62,CATEGORIAS[[#All],[PRODUCCION
ADICIONALES
ANTERIOR]])</f>
        <v>70947696.350852758</v>
      </c>
      <c r="M62" s="71">
        <f>K62+L62</f>
        <v>171632797.72867048</v>
      </c>
      <c r="N62" s="79"/>
      <c r="O62" s="71">
        <f>G62-K62</f>
        <v>0</v>
      </c>
      <c r="P62" s="71">
        <f t="shared" si="82"/>
        <v>19095.035759717226</v>
      </c>
      <c r="Q62" s="71">
        <f t="shared" si="83"/>
        <v>19095.035759747028</v>
      </c>
      <c r="R62" s="127">
        <f t="shared" si="0"/>
        <v>955533922.84404182</v>
      </c>
    </row>
    <row r="63" spans="1:18" ht="15" customHeight="1" x14ac:dyDescent="0.3">
      <c r="A63" s="14" t="s">
        <v>121</v>
      </c>
      <c r="B63" s="6" t="str">
        <f>VLOOKUP(A63,'Analisis por Categorias'!B:C,2,FALSE)</f>
        <v>Prevención De Riesgos</v>
      </c>
      <c r="D63" s="3">
        <f>SUMIF(CATEGORIAS[[#All],[SUBGRUPO]],A63,CATEGORIAS[[#All],[PRESUPUESTO
(ORIGINAL)]])</f>
        <v>97189486.687312499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146852330.22688562</v>
      </c>
      <c r="G63" s="71">
        <f>+SUMIF(CATEGORIAS[[#All],[SUBGRUPO]],A63,CATEGORIAS[[#All],[PRODUCCION
PARTIDAS
ORIGINALES
ACTUAL]])</f>
        <v>100597149.73863764</v>
      </c>
      <c r="H63" s="71">
        <f>+SUMIF(CATEGORIAS[[#All],[SUBGRUPO]],A63,CATEGORIAS[[#All],[PRODUCCION
ADICIONALES
ACTUAL]])</f>
        <v>46255180.488247991</v>
      </c>
      <c r="I63" s="85">
        <f>G63+H63</f>
        <v>146852330.22688562</v>
      </c>
      <c r="J63" s="79"/>
      <c r="K63" s="71">
        <f>+SUMIF(CATEGORIAS[[#All],[SUBGRUPO]],A63,CATEGORIAS[[#All],[PRODUCCION
ANTERIOR]])</f>
        <v>100597149.73863764</v>
      </c>
      <c r="L63" s="71">
        <f>+SUMIF(CATEGORIAS[[#All],[SUBGRUPO]],A63,CATEGORIAS[[#All],[PRODUCCION
ADICIONALES
ANTERIOR]])</f>
        <v>46236102.132609487</v>
      </c>
      <c r="M63" s="85">
        <f>K63+L63</f>
        <v>146833251.87124711</v>
      </c>
      <c r="N63" s="79"/>
      <c r="O63" s="85">
        <f>G63-K63</f>
        <v>0</v>
      </c>
      <c r="P63" s="71">
        <f t="shared" si="82"/>
        <v>19078.355638504028</v>
      </c>
      <c r="Q63" s="71">
        <f t="shared" si="83"/>
        <v>19078.355638504028</v>
      </c>
      <c r="R63" s="127">
        <f t="shared" si="0"/>
        <v>831451137.82174063</v>
      </c>
    </row>
    <row r="64" spans="1:18" ht="15" customHeight="1" x14ac:dyDescent="0.3">
      <c r="A64" s="14" t="s">
        <v>123</v>
      </c>
      <c r="B64" s="6" t="str">
        <f>VLOOKUP(A64,'Analisis por Categorias'!B:C,2,FALSE)</f>
        <v>Calidad</v>
      </c>
      <c r="D64" s="3">
        <f>SUMIF(CATEGORIAS[[#All],[SUBGRUPO]],A64,CATEGORIAS[[#All],[PRESUPUESTO
(ORIGINAL)]])</f>
        <v>39901819.760774568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61273201.106175922</v>
      </c>
      <c r="G64" s="71">
        <f>+SUMIF(CATEGORIAS[[#All],[SUBGRUPO]],A64,CATEGORIAS[[#All],[PRODUCCION
PARTIDAS
ORIGINALES
ACTUAL]])</f>
        <v>41300859.528490283</v>
      </c>
      <c r="H64" s="71">
        <f>+SUMIF(CATEGORIAS[[#All],[SUBGRUPO]],A64,CATEGORIAS[[#All],[PRODUCCION
ADICIONALES
ACTUAL]])</f>
        <v>19972341.577685628</v>
      </c>
      <c r="I64" s="85">
        <f t="shared" ref="I64:I70" si="84">G64+H64</f>
        <v>61273201.106175914</v>
      </c>
      <c r="J64" s="79"/>
      <c r="K64" s="71">
        <f>+SUMIF(CATEGORIAS[[#All],[SUBGRUPO]],A64,CATEGORIAS[[#All],[PRODUCCION
ANTERIOR]])</f>
        <v>41300859.528490283</v>
      </c>
      <c r="L64" s="71">
        <f>+SUMIF(CATEGORIAS[[#All],[SUBGRUPO]],A64,CATEGORIAS[[#All],[PRODUCCION
ADICIONALES
ANTERIOR]])</f>
        <v>19964508.826078769</v>
      </c>
      <c r="M64" s="71">
        <f t="shared" ref="M64:M70" si="85">K64+L64</f>
        <v>61265368.354569048</v>
      </c>
      <c r="N64" s="79"/>
      <c r="O64" s="71">
        <f t="shared" ref="O64:O70" si="86">G64-K64</f>
        <v>0</v>
      </c>
      <c r="P64" s="71">
        <f t="shared" si="82"/>
        <v>7832.7516068592668</v>
      </c>
      <c r="Q64" s="71">
        <f t="shared" si="83"/>
        <v>7832.7516068667173</v>
      </c>
      <c r="R64" s="127">
        <f t="shared" si="0"/>
        <v>346267825.29165411</v>
      </c>
    </row>
    <row r="65" spans="1:18" ht="15" customHeight="1" x14ac:dyDescent="0.3">
      <c r="A65" s="14" t="s">
        <v>125</v>
      </c>
      <c r="B65" s="6" t="str">
        <f>VLOOKUP(A65,'Analisis por Categorias'!B:C,2,FALSE)</f>
        <v>Administración</v>
      </c>
      <c r="D65" s="3">
        <f>SUMIF(CATEGORIAS[[#All],[SUBGRUPO]],A65,CATEGORIAS[[#All],[PRESUPUESTO
(ORIGINAL)]])</f>
        <v>55188181.120416395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91474850.636483014</v>
      </c>
      <c r="G65" s="71">
        <f>+SUMIF(CATEGORIAS[[#All],[SUBGRUPO]],A65,CATEGORIAS[[#All],[PRODUCCION
PARTIDAS
ORIGINALES
ACTUAL]])</f>
        <v>57123192.118868694</v>
      </c>
      <c r="H65" s="71">
        <f>+SUMIF(CATEGORIAS[[#All],[SUBGRUPO]],A65,CATEGORIAS[[#All],[PRODUCCION
ADICIONALES
ACTUAL]])</f>
        <v>34351658.517614312</v>
      </c>
      <c r="I65" s="85">
        <f>G65+H65</f>
        <v>91474850.636483014</v>
      </c>
      <c r="J65" s="79"/>
      <c r="K65" s="71">
        <f>+SUMIF(CATEGORIAS[[#All],[SUBGRUPO]],A65,CATEGORIAS[[#All],[PRODUCCION
ANTERIOR]])</f>
        <v>57123192.118868694</v>
      </c>
      <c r="L65" s="71">
        <f>+SUMIF(CATEGORIAS[[#All],[SUBGRUPO]],A65,CATEGORIAS[[#All],[PRODUCCION
ADICIONALES
ANTERIOR]])</f>
        <v>34340825.043929614</v>
      </c>
      <c r="M65" s="85">
        <f>K65+L65</f>
        <v>91464017.162798315</v>
      </c>
      <c r="N65" s="79"/>
      <c r="O65" s="85">
        <f t="shared" ref="O65:Q67" si="87">G65-K65</f>
        <v>0</v>
      </c>
      <c r="P65" s="71">
        <f t="shared" si="87"/>
        <v>10833.473684698343</v>
      </c>
      <c r="Q65" s="71">
        <f t="shared" si="87"/>
        <v>10833.473684698343</v>
      </c>
      <c r="R65" s="127">
        <f t="shared" si="0"/>
        <v>512562434.30283141</v>
      </c>
    </row>
    <row r="66" spans="1:18" ht="15" customHeight="1" x14ac:dyDescent="0.3">
      <c r="A66" s="14" t="s">
        <v>127</v>
      </c>
      <c r="B66" s="6" t="str">
        <f>VLOOKUP(A66,'Analisis por Categorias'!B:C,2,FALSE)</f>
        <v>Servicios</v>
      </c>
      <c r="D66" s="3">
        <f>SUMIF(CATEGORIAS[[#All],[SUBGRUPO]],A66,CATEGORIAS[[#All],[PRESUPUESTO
(ORIGINAL)]])</f>
        <v>67752174.763487533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99686186.714557394</v>
      </c>
      <c r="G66" s="71">
        <f>+SUMIF(CATEGORIAS[[#All],[SUBGRUPO]],A66,CATEGORIAS[[#All],[PRODUCCION
PARTIDAS
ORIGINALES
ACTUAL]])</f>
        <v>70127705.188205793</v>
      </c>
      <c r="H66" s="71">
        <f>+SUMIF(CATEGORIAS[[#All],[SUBGRUPO]],A66,CATEGORIAS[[#All],[PRODUCCION
ADICIONALES
ACTUAL]])</f>
        <v>29558481.526351597</v>
      </c>
      <c r="I66" s="85">
        <f>G66+H66</f>
        <v>99686186.714557394</v>
      </c>
      <c r="J66" s="79"/>
      <c r="K66" s="71">
        <f>+SUMIF(CATEGORIAS[[#All],[SUBGRUPO]],A66,CATEGORIAS[[#All],[PRODUCCION
ANTERIOR]])</f>
        <v>70127705.188205793</v>
      </c>
      <c r="L66" s="71">
        <f>+SUMIF(CATEGORIAS[[#All],[SUBGRUPO]],A66,CATEGORIAS[[#All],[PRODUCCION
ADICIONALES
ANTERIOR]])</f>
        <v>29545181.73303571</v>
      </c>
      <c r="M66" s="85">
        <f>K66+L66</f>
        <v>99672886.921241507</v>
      </c>
      <c r="N66" s="79"/>
      <c r="O66" s="85">
        <f t="shared" si="87"/>
        <v>0</v>
      </c>
      <c r="P66" s="71">
        <f t="shared" si="87"/>
        <v>13299.793315887451</v>
      </c>
      <c r="Q66" s="71">
        <f t="shared" si="87"/>
        <v>13299.793315887451</v>
      </c>
      <c r="R66" s="127">
        <f>SUM(D66:Q66)</f>
        <v>566183108.33627439</v>
      </c>
    </row>
    <row r="67" spans="1:18" ht="15" customHeight="1" x14ac:dyDescent="0.3">
      <c r="A67" s="14" t="s">
        <v>129</v>
      </c>
      <c r="B67" s="6" t="str">
        <f>VLOOKUP(A67,'Analisis por Categorias'!B:C,2,FALSE)</f>
        <v>Topografía</v>
      </c>
      <c r="D67" s="3">
        <f>SUMIF(CATEGORIAS[[#All],[SUBGRUPO]],A67,CATEGORIAS[[#All],[PRESUPUESTO
(ORIGINAL)]])</f>
        <v>44741710.359320536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64938958.4525019</v>
      </c>
      <c r="G67" s="71">
        <f>+SUMIF(CATEGORIAS[[#All],[SUBGRUPO]],A67,CATEGORIAS[[#All],[PRODUCCION
PARTIDAS
ORIGINALES
ACTUAL]])</f>
        <v>46310446.633595474</v>
      </c>
      <c r="H67" s="71">
        <f>+SUMIF(CATEGORIAS[[#All],[SUBGRUPO]],A67,CATEGORIAS[[#All],[PRODUCCION
ADICIONALES
ACTUAL]])</f>
        <v>18628511.818906426</v>
      </c>
      <c r="I67" s="85">
        <f>G67+H67</f>
        <v>64938958.4525019</v>
      </c>
      <c r="J67" s="79"/>
      <c r="K67" s="71">
        <f>+SUMIF(CATEGORIAS[[#All],[SUBGRUPO]],A67,CATEGORIAS[[#All],[PRODUCCION
ANTERIOR]])</f>
        <v>46310446.633595474</v>
      </c>
      <c r="L67" s="71">
        <f>+SUMIF(CATEGORIAS[[#All],[SUBGRUPO]],A67,CATEGORIAS[[#All],[PRODUCCION
ADICIONALES
ANTERIOR]])</f>
        <v>18619728.993816964</v>
      </c>
      <c r="M67" s="85">
        <f>K67+L67</f>
        <v>64930175.627412438</v>
      </c>
      <c r="N67" s="79"/>
      <c r="O67" s="85">
        <f t="shared" si="87"/>
        <v>0</v>
      </c>
      <c r="P67" s="71">
        <f t="shared" si="87"/>
        <v>8782.8250894621015</v>
      </c>
      <c r="Q67" s="71">
        <f t="shared" si="87"/>
        <v>8782.8250894621015</v>
      </c>
      <c r="R67" s="127">
        <f>SUM(D67:Q67)</f>
        <v>369436502.62183005</v>
      </c>
    </row>
    <row r="68" spans="1:18" ht="15" customHeight="1" x14ac:dyDescent="0.3">
      <c r="A68" s="14" t="s">
        <v>131</v>
      </c>
      <c r="B68" s="6" t="str">
        <f>VLOOKUP(A68,'Analisis por Categorias'!B:C,2,FALSE)</f>
        <v>Movilización</v>
      </c>
      <c r="D68" s="3">
        <f>SUMIF(CATEGORIAS[[#All],[SUBGRUPO]],A68,CATEGORIAS[[#All],[PRESUPUESTO
(ORIGINAL)]])</f>
        <v>17775000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27212056.461631984</v>
      </c>
      <c r="G68" s="71">
        <f>+SUMIF(CATEGORIAS[[#All],[SUBGRUPO]],A68,CATEGORIAS[[#All],[PRODUCCION
PARTIDAS
ORIGINALES
ACTUAL]])</f>
        <v>18398228.013665512</v>
      </c>
      <c r="H68" s="71">
        <f>+SUMIF(CATEGORIAS[[#All],[SUBGRUPO]],A68,CATEGORIAS[[#All],[PRODUCCION
ADICIONALES
ACTUAL]])</f>
        <v>8813828.4479664713</v>
      </c>
      <c r="I68" s="85">
        <f t="shared" si="84"/>
        <v>27212056.461631984</v>
      </c>
      <c r="J68" s="79"/>
      <c r="K68" s="71">
        <f>+SUMIF(CATEGORIAS[[#All],[SUBGRUPO]],A68,CATEGORIAS[[#All],[PRODUCCION
ANTERIOR]])</f>
        <v>18398228.013665512</v>
      </c>
      <c r="L68" s="71">
        <f>+SUMIF(CATEGORIAS[[#All],[SUBGRUPO]],A68,CATEGORIAS[[#All],[PRODUCCION
ADICIONALES
ANTERIOR]])</f>
        <v>8810339.2046024725</v>
      </c>
      <c r="M68" s="85">
        <f t="shared" si="85"/>
        <v>27208567.218267985</v>
      </c>
      <c r="N68" s="79"/>
      <c r="O68" s="85">
        <f t="shared" si="86"/>
        <v>0</v>
      </c>
      <c r="P68" s="71">
        <f t="shared" si="82"/>
        <v>3489.2433639988303</v>
      </c>
      <c r="Q68" s="71">
        <f t="shared" si="83"/>
        <v>3489.2433639988303</v>
      </c>
      <c r="R68" s="127">
        <f t="shared" si="0"/>
        <v>153835282.30815992</v>
      </c>
    </row>
    <row r="69" spans="1:18" ht="15" customHeight="1" x14ac:dyDescent="0.3">
      <c r="A69" s="14" t="s">
        <v>132</v>
      </c>
      <c r="B69" s="6" t="str">
        <f>VLOOKUP(A69,'Analisis por Categorias'!B:C,2,FALSE)</f>
        <v>Hoteleria</v>
      </c>
      <c r="D69" s="3">
        <f>SUMIF(CATEGORIAS[[#All],[SUBGRUPO]],A69,CATEGORIAS[[#All],[PRESUPUESTO
(ORIGINAL)]])</f>
        <v>62225000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93317344.719605133</v>
      </c>
      <c r="G69" s="71">
        <f>+SUMIF(CATEGORIAS[[#All],[SUBGRUPO]],A69,CATEGORIAS[[#All],[PRODUCCION
PARTIDAS
ORIGINALES
ACTUAL]])</f>
        <v>64406736.323506974</v>
      </c>
      <c r="H69" s="71">
        <f>+SUMIF(CATEGORIAS[[#All],[SUBGRUPO]],A69,CATEGORIAS[[#All],[PRODUCCION
ADICIONALES
ACTUAL]])</f>
        <v>28910608.396098159</v>
      </c>
      <c r="I69" s="85">
        <f t="shared" ref="I69" si="88">G69+H69</f>
        <v>93317344.719605133</v>
      </c>
      <c r="J69" s="79"/>
      <c r="K69" s="71">
        <f>+SUMIF(CATEGORIAS[[#All],[SUBGRUPO]],A69,CATEGORIAS[[#All],[PRODUCCION
ANTERIOR]])</f>
        <v>64406736.323506974</v>
      </c>
      <c r="L69" s="71">
        <f>+SUMIF(CATEGORIAS[[#All],[SUBGRUPO]],A69,CATEGORIAS[[#All],[PRODUCCION
ADICIONALES
ANTERIOR]])</f>
        <v>28898393.590566523</v>
      </c>
      <c r="M69" s="71">
        <f t="shared" ref="M69" si="89">K69+L69</f>
        <v>93305129.914073497</v>
      </c>
      <c r="N69" s="79"/>
      <c r="O69" s="71">
        <f t="shared" ref="O69" si="90">G69-K69</f>
        <v>0</v>
      </c>
      <c r="P69" s="71">
        <f t="shared" ref="P69" si="91">H69-L69</f>
        <v>12214.80553163588</v>
      </c>
      <c r="Q69" s="71">
        <f t="shared" ref="Q69" si="92">I69-M69</f>
        <v>12214.80553163588</v>
      </c>
      <c r="R69" s="127">
        <f t="shared" ref="R69" si="93">SUM(D69:Q69)</f>
        <v>528811723.59802568</v>
      </c>
    </row>
    <row r="70" spans="1:18" ht="15" customHeight="1" x14ac:dyDescent="0.3">
      <c r="A70" s="14" t="s">
        <v>134</v>
      </c>
      <c r="B70" s="6" t="str">
        <f>VLOOKUP(A70,'Analisis por Categorias'!B:C,2,FALSE)</f>
        <v>Alimentación</v>
      </c>
      <c r="D70" s="3">
        <f>SUMIF(CATEGORIAS[[#All],[SUBGRUPO]],A70,CATEGORIAS[[#All],[PRESUPUESTO
(ORIGINAL)]])</f>
        <v>23518100.418080352</v>
      </c>
      <c r="E70" s="3">
        <f>+SUMIF(CATEGORIAS[[#All],[SUBGRUPO]],A70,CATEGORIAS[[#All],[PRODUCCION
PARTIDAS
ORIGINALES
ACTUAL]])
+SUMIF(CATEGORIAS[[#All],[SUBGRUPO]],A70,CATEGORIAS[[#All],[PRODUCCION
ADICIONALES
ACTUAL]])
+SUMIF(CATEGORIAS[[#All],[SUBGRUPO]],A70,CATEGORIAS[[#All],[PROYECCION
DE INGRESO
DEL SALDO]])</f>
        <v>37022610.556345612</v>
      </c>
      <c r="G70" s="71">
        <f>+SUMIF(CATEGORIAS[[#All],[SUBGRUPO]],A70,CATEGORIAS[[#All],[PRODUCCION
PARTIDAS
ORIGINALES
ACTUAL]])</f>
        <v>24342693.329964809</v>
      </c>
      <c r="H70" s="71">
        <f>+SUMIF(CATEGORIAS[[#All],[SUBGRUPO]],A70,CATEGORIAS[[#All],[PRODUCCION
ADICIONALES
ACTUAL]])</f>
        <v>12679917.226380805</v>
      </c>
      <c r="I70" s="85">
        <f t="shared" si="84"/>
        <v>37022610.556345612</v>
      </c>
      <c r="J70" s="79"/>
      <c r="K70" s="71">
        <f>+SUMIF(CATEGORIAS[[#All],[SUBGRUPO]],A70,CATEGORIAS[[#All],[PRODUCCION
ANTERIOR]])</f>
        <v>24342693.329964809</v>
      </c>
      <c r="L70" s="71">
        <f>+SUMIF(CATEGORIAS[[#All],[SUBGRUPO]],A70,CATEGORIAS[[#All],[PRODUCCION
ADICIONALES
ANTERIOR]])</f>
        <v>12675300.608894581</v>
      </c>
      <c r="M70" s="71">
        <f t="shared" si="85"/>
        <v>37017993.938859388</v>
      </c>
      <c r="N70" s="79"/>
      <c r="O70" s="71">
        <f t="shared" si="86"/>
        <v>0</v>
      </c>
      <c r="P70" s="71">
        <f t="shared" si="82"/>
        <v>4616.6174862235785</v>
      </c>
      <c r="Q70" s="71">
        <f t="shared" si="83"/>
        <v>4616.6174862235785</v>
      </c>
      <c r="R70" s="127">
        <f t="shared" si="0"/>
        <v>208631153.19980848</v>
      </c>
    </row>
    <row r="71" spans="1:18" ht="15" hidden="1" customHeight="1" x14ac:dyDescent="0.3">
      <c r="A71" s="14" t="s">
        <v>2425</v>
      </c>
      <c r="B71" s="6" t="e">
        <f>VLOOKUP(A71,'Analisis por Categorias'!B:C,2,FALSE)</f>
        <v>#N/A</v>
      </c>
      <c r="D71" s="3">
        <f>SUMIF(CATEGORIAS[[#All],[SUBGRUPO]],A71,CATEGORIAS[[#All],[PRESUPUESTO
(ORIGINAL)]])</f>
        <v>0</v>
      </c>
      <c r="E71" s="3">
        <f>+SUMIF(CATEGORIAS[[#All],[SUBGRUPO]],A71,CATEGORIAS[[#All],[PRODUCCION
PARTIDAS
ORIGINALES
ACTUAL]])
+SUMIF(CATEGORIAS[[#All],[SUBGRUPO]],A71,CATEGORIAS[[#All],[PRODUCCION
ADICIONALES
ACTUAL]])
+SUMIF(CATEGORIAS[[#All],[SUBGRUPO]],A71,CATEGORIAS[[#All],[PROYECCION
DE INGRESO
DEL SALDO]])</f>
        <v>0</v>
      </c>
      <c r="G71" s="71">
        <f>+SUMIF(CATEGORIAS[[#All],[SUBGRUPO]],A71,CATEGORIAS[[#All],[PRODUCCION
PARTIDAS
ORIGINALES
ACTUAL]])</f>
        <v>0</v>
      </c>
      <c r="H71" s="71">
        <f>+SUMIF(CATEGORIAS[[#All],[SUBGRUPO]],A71,CATEGORIAS[[#All],[PRODUCCION
ADICIONALES
ACTUAL]])</f>
        <v>0</v>
      </c>
      <c r="I71" s="85">
        <f t="shared" ref="I71" si="94">G71+H71</f>
        <v>0</v>
      </c>
      <c r="J71" s="79"/>
      <c r="K71" s="71">
        <f>+SUMIF(CATEGORIAS[[#All],[SUBGRUPO]],A71,CATEGORIAS[[#All],[PRODUCCION
ANTERIOR]])</f>
        <v>0</v>
      </c>
      <c r="L71" s="71">
        <f>+SUMIF(CATEGORIAS[[#All],[SUBGRUPO]],A71,CATEGORIAS[[#All],[PRODUCCION
ADICIONALES
ANTERIOR]])</f>
        <v>0</v>
      </c>
      <c r="M71" s="71">
        <f t="shared" ref="M71" si="95">K71+L71</f>
        <v>0</v>
      </c>
      <c r="N71" s="79"/>
      <c r="O71" s="71">
        <f t="shared" ref="O71" si="96">G71-K71</f>
        <v>0</v>
      </c>
      <c r="P71" s="71">
        <f t="shared" ref="P71" si="97">H71-L71</f>
        <v>0</v>
      </c>
      <c r="Q71" s="71">
        <f t="shared" ref="Q71" si="98">I71-M71</f>
        <v>0</v>
      </c>
      <c r="R71" s="127">
        <f t="shared" ref="R71" si="99">SUM(D71:Q71)</f>
        <v>0</v>
      </c>
    </row>
    <row r="72" spans="1:18" ht="8.25" customHeight="1" x14ac:dyDescent="0.3">
      <c r="J72" s="79"/>
      <c r="N72" s="79"/>
      <c r="R72" s="127">
        <f t="shared" si="0"/>
        <v>0</v>
      </c>
    </row>
    <row r="73" spans="1:18" ht="15" customHeight="1" x14ac:dyDescent="0.3">
      <c r="A73" s="14" t="s">
        <v>222</v>
      </c>
      <c r="B73" s="81" t="s">
        <v>223</v>
      </c>
      <c r="D73" s="82">
        <f>SUM(D74:D77)</f>
        <v>112795628.36</v>
      </c>
      <c r="E73" s="82">
        <f>SUM(E74:E77)</f>
        <v>161450051.27994096</v>
      </c>
      <c r="G73" s="83">
        <f>SUM(G74:G77)</f>
        <v>116750474.79673453</v>
      </c>
      <c r="H73" s="83">
        <f>SUM(H74:H77)</f>
        <v>44699576.483206451</v>
      </c>
      <c r="I73" s="83">
        <f>SUM(I74:I77)</f>
        <v>161450051.27994096</v>
      </c>
      <c r="J73" s="79"/>
      <c r="K73" s="83">
        <f>SUM(K74:K77)</f>
        <v>116750474.79673453</v>
      </c>
      <c r="L73" s="83">
        <f>SUM(L74:L77)</f>
        <v>44677434.632419206</v>
      </c>
      <c r="M73" s="83">
        <f>SUM(M74:M77)</f>
        <v>161427909.42915371</v>
      </c>
      <c r="N73" s="79"/>
      <c r="O73" s="83">
        <f>SUM(O74:O77)</f>
        <v>0</v>
      </c>
      <c r="P73" s="83">
        <f>SUM(P74:P77)</f>
        <v>22141.850787248462</v>
      </c>
      <c r="Q73" s="83">
        <f>SUM(Q74:Q77)</f>
        <v>22141.850787248462</v>
      </c>
      <c r="R73" s="127">
        <f t="shared" si="0"/>
        <v>920045884.75970495</v>
      </c>
    </row>
    <row r="74" spans="1:18" ht="15" customHeight="1" x14ac:dyDescent="0.3">
      <c r="A74" s="14" t="s">
        <v>224</v>
      </c>
      <c r="B74" s="6" t="str">
        <f>VLOOKUP(A74,'Analisis por Categorias'!B:C,2,FALSE)</f>
        <v>Camioneta</v>
      </c>
      <c r="D74" s="3">
        <f>SUMIF(CATEGORIAS[[#All],[SUBGRUPO]],A74,CATEGORIAS[[#All],[PRESUPUESTO
(ORIGINAL)]])</f>
        <v>24410747.400000002</v>
      </c>
      <c r="E74" s="3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35116724.521139696</v>
      </c>
      <c r="G74" s="71">
        <f>+SUMIF(CATEGORIAS[[#All],[SUBGRUPO]],A74,CATEGORIAS[[#All],[PRODUCCION
PARTIDAS
ORIGINALES
ACTUAL]])</f>
        <v>25266638.348759081</v>
      </c>
      <c r="H74" s="71">
        <f>+SUMIF(CATEGORIAS[[#All],[SUBGRUPO]],A74,CATEGORIAS[[#All],[PRODUCCION
ADICIONALES
ACTUAL]])</f>
        <v>9850086.1723806169</v>
      </c>
      <c r="I74" s="85">
        <f>G74+H74</f>
        <v>35116724.521139696</v>
      </c>
      <c r="J74" s="79"/>
      <c r="K74" s="71">
        <f>+SUMIF(CATEGORIAS[[#All],[SUBGRUPO]],A74,CATEGORIAS[[#All],[PRODUCCION
ANTERIOR]])</f>
        <v>25266638.348759081</v>
      </c>
      <c r="L74" s="71">
        <f>+SUMIF(CATEGORIAS[[#All],[SUBGRUPO]],A74,CATEGORIAS[[#All],[PRODUCCION
ADICIONALES
ANTERIOR]])</f>
        <v>9845294.3277462628</v>
      </c>
      <c r="M74" s="71">
        <f>K74+L74</f>
        <v>35111932.676505342</v>
      </c>
      <c r="N74" s="79"/>
      <c r="O74" s="71">
        <f t="shared" ref="O74:Q77" si="100">G74-K74</f>
        <v>0</v>
      </c>
      <c r="P74" s="71">
        <f t="shared" si="100"/>
        <v>4791.8446343541145</v>
      </c>
      <c r="Q74" s="71">
        <f t="shared" si="100"/>
        <v>4791.8446343541145</v>
      </c>
      <c r="R74" s="127">
        <f t="shared" ref="R74:R128" si="101">SUM(D74:Q74)</f>
        <v>199994370.0056985</v>
      </c>
    </row>
    <row r="75" spans="1:18" ht="15" customHeight="1" x14ac:dyDescent="0.3">
      <c r="A75" s="14" t="s">
        <v>225</v>
      </c>
      <c r="B75" s="6" t="str">
        <f>VLOOKUP(A75,'Analisis por Categorias'!B:C,2,FALSE)</f>
        <v>Movilización</v>
      </c>
      <c r="D75" s="3">
        <f>SUMIF(CATEGORIAS[[#All],[SUBGRUPO]],A75,CATEGORIAS[[#All],[PRESUPUESTO
(ORIGINAL)]])</f>
        <v>57172500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82649541.386906177</v>
      </c>
      <c r="G75" s="71">
        <f>+SUMIF(CATEGORIAS[[#All],[SUBGRUPO]],A75,CATEGORIAS[[#All],[PRODUCCION
PARTIDAS
ORIGINALES
ACTUAL]])</f>
        <v>59177085.294587426</v>
      </c>
      <c r="H75" s="71">
        <f>+SUMIF(CATEGORIAS[[#All],[SUBGRUPO]],A75,CATEGORIAS[[#All],[PRODUCCION
ADICIONALES
ACTUAL]])</f>
        <v>23472456.092318758</v>
      </c>
      <c r="I75" s="85">
        <f>G75+H75</f>
        <v>82649541.386906177</v>
      </c>
      <c r="J75" s="79"/>
      <c r="K75" s="71">
        <f>+SUMIF(CATEGORIAS[[#All],[SUBGRUPO]],A75,CATEGORIAS[[#All],[PRODUCCION
ANTERIOR]])</f>
        <v>59177085.294587426</v>
      </c>
      <c r="L75" s="71">
        <f>+SUMIF(CATEGORIAS[[#All],[SUBGRUPO]],A75,CATEGORIAS[[#All],[PRODUCCION
ADICIONALES
ANTERIOR]])</f>
        <v>23461233.095625177</v>
      </c>
      <c r="M75" s="71">
        <f>K75+L75</f>
        <v>82638318.390212595</v>
      </c>
      <c r="N75" s="79"/>
      <c r="O75" s="71">
        <f t="shared" si="100"/>
        <v>0</v>
      </c>
      <c r="P75" s="71">
        <f t="shared" si="100"/>
        <v>11222.996693581343</v>
      </c>
      <c r="Q75" s="71">
        <f t="shared" si="100"/>
        <v>11222.996693581343</v>
      </c>
      <c r="R75" s="127">
        <f t="shared" si="101"/>
        <v>470420206.93453097</v>
      </c>
    </row>
    <row r="76" spans="1:18" ht="15" customHeight="1" x14ac:dyDescent="0.3">
      <c r="A76" s="14" t="s">
        <v>2453</v>
      </c>
      <c r="B76" s="6" t="str">
        <f>VLOOKUP(A76,'Analisis por Categorias'!B:C,2,FALSE)</f>
        <v>Equipo Topográfico</v>
      </c>
      <c r="D76" s="3">
        <f>SUMIF(CATEGORIAS[[#All],[SUBGRUPO]],A76,CATEGORIAS[[#All],[PRESUPUESTO
(ORIGINAL)]])</f>
        <v>4087380.9600000004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5453141.3240862917</v>
      </c>
      <c r="G76" s="71">
        <f>+SUMIF(CATEGORIAS[[#All],[SUBGRUPO]],A76,CATEGORIAS[[#All],[PRODUCCION
PARTIDAS
ORIGINALES
ACTUAL]])</f>
        <v>4230692.9328154735</v>
      </c>
      <c r="H76" s="71">
        <f>+SUMIF(CATEGORIAS[[#All],[SUBGRUPO]],A76,CATEGORIAS[[#All],[PRODUCCION
ADICIONALES
ACTUAL]])</f>
        <v>1222448.3912708177</v>
      </c>
      <c r="I76" s="85">
        <f>G76+H76</f>
        <v>5453141.3240862917</v>
      </c>
      <c r="J76" s="79"/>
      <c r="K76" s="71">
        <f>+SUMIF(CATEGORIAS[[#All],[SUBGRUPO]],A76,CATEGORIAS[[#All],[PRODUCCION
ANTERIOR]])</f>
        <v>4230692.9328154735</v>
      </c>
      <c r="L76" s="71">
        <f>+SUMIF(CATEGORIAS[[#All],[SUBGRUPO]],A76,CATEGORIAS[[#All],[PRODUCCION
ADICIONALES
ANTERIOR]])</f>
        <v>1221646.035890182</v>
      </c>
      <c r="M76" s="71">
        <f>K76+L76</f>
        <v>5452338.968705656</v>
      </c>
      <c r="N76" s="79"/>
      <c r="O76" s="71">
        <f t="shared" ref="O76" si="102">G76-K76</f>
        <v>0</v>
      </c>
      <c r="P76" s="71">
        <f t="shared" ref="P76" si="103">H76-L76</f>
        <v>802.35538063570857</v>
      </c>
      <c r="Q76" s="71">
        <f t="shared" ref="Q76" si="104">I76-M76</f>
        <v>802.35538063570857</v>
      </c>
      <c r="R76" s="127">
        <f t="shared" ref="R76" si="105">SUM(D76:Q76)</f>
        <v>31353087.580431454</v>
      </c>
    </row>
    <row r="77" spans="1:18" ht="15" customHeight="1" x14ac:dyDescent="0.3">
      <c r="A77" s="14" t="s">
        <v>226</v>
      </c>
      <c r="B77" s="6" t="str">
        <f>VLOOKUP(A77,'Analisis por Categorias'!B:C,2,FALSE)</f>
        <v>Combustibles</v>
      </c>
      <c r="D77" s="3">
        <f>SUMIF(CATEGORIAS[[#All],[SUBGRUPO]],A77,CATEGORIAS[[#All],[PRESUPUESTO
(ORIGINAL)]])</f>
        <v>27125000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38230644.047808804</v>
      </c>
      <c r="G77" s="71">
        <f>+SUMIF(CATEGORIAS[[#All],[SUBGRUPO]],A77,CATEGORIAS[[#All],[PRODUCCION
PARTIDAS
ORIGINALES
ACTUAL]])</f>
        <v>28076058.220572546</v>
      </c>
      <c r="H77" s="71">
        <f>+SUMIF(CATEGORIAS[[#All],[SUBGRUPO]],A77,CATEGORIAS[[#All],[PRODUCCION
ADICIONALES
ACTUAL]])</f>
        <v>10154585.827236257</v>
      </c>
      <c r="I77" s="85">
        <f>G77+H77</f>
        <v>38230644.047808804</v>
      </c>
      <c r="J77" s="79"/>
      <c r="K77" s="71">
        <f>+SUMIF(CATEGORIAS[[#All],[SUBGRUPO]],A77,CATEGORIAS[[#All],[PRODUCCION
ANTERIOR]])</f>
        <v>28076058.220572546</v>
      </c>
      <c r="L77" s="71">
        <f>+SUMIF(CATEGORIAS[[#All],[SUBGRUPO]],A77,CATEGORIAS[[#All],[PRODUCCION
ADICIONALES
ANTERIOR]])</f>
        <v>10149261.17315758</v>
      </c>
      <c r="M77" s="71">
        <f>K77+L77</f>
        <v>38225319.393730126</v>
      </c>
      <c r="N77" s="79"/>
      <c r="O77" s="71">
        <f t="shared" si="100"/>
        <v>0</v>
      </c>
      <c r="P77" s="71">
        <f t="shared" si="100"/>
        <v>5324.6540786772966</v>
      </c>
      <c r="Q77" s="71">
        <f t="shared" si="100"/>
        <v>5324.6540786772966</v>
      </c>
      <c r="R77" s="127">
        <f>SUM(D77:Q77)</f>
        <v>218278220.23904401</v>
      </c>
    </row>
    <row r="78" spans="1:18" ht="8.25" customHeight="1" x14ac:dyDescent="0.3">
      <c r="J78" s="79"/>
      <c r="N78" s="79"/>
      <c r="R78" s="127">
        <f t="shared" si="101"/>
        <v>0</v>
      </c>
    </row>
    <row r="79" spans="1:18" ht="15" customHeight="1" x14ac:dyDescent="0.3">
      <c r="A79" s="14" t="s">
        <v>227</v>
      </c>
      <c r="B79" s="81" t="s">
        <v>228</v>
      </c>
      <c r="D79" s="82">
        <f>SUM(D80:D90)</f>
        <v>135754532.50963384</v>
      </c>
      <c r="E79" s="82">
        <f>SUM(E80:E90)</f>
        <v>196838271.17832854</v>
      </c>
      <c r="G79" s="83">
        <f>SUM(G80:G90)</f>
        <v>140514365.28837192</v>
      </c>
      <c r="H79" s="83">
        <f t="shared" ref="H79:I79" si="106">SUM(H80:H90)</f>
        <v>56323905.889956631</v>
      </c>
      <c r="I79" s="83">
        <f t="shared" si="106"/>
        <v>196838271.17832854</v>
      </c>
      <c r="J79" s="79"/>
      <c r="K79" s="83">
        <f>SUM(K80:K90)</f>
        <v>140514365.28837192</v>
      </c>
      <c r="L79" s="83">
        <f t="shared" ref="L79" si="107">SUM(L80:L90)</f>
        <v>56297257.19225245</v>
      </c>
      <c r="M79" s="83">
        <f t="shared" ref="M79" si="108">SUM(M80:M90)</f>
        <v>196811622.48062438</v>
      </c>
      <c r="N79" s="79"/>
      <c r="O79" s="83">
        <f>SUM(O80:O90)</f>
        <v>0</v>
      </c>
      <c r="P79" s="83">
        <f>SUM(P80:P90)</f>
        <v>26648.697704200633</v>
      </c>
      <c r="Q79" s="83">
        <f t="shared" ref="Q79" si="109">SUM(Q80:Q90)</f>
        <v>26648.697704202496</v>
      </c>
      <c r="R79" s="127">
        <f t="shared" si="101"/>
        <v>1119945888.4012768</v>
      </c>
    </row>
    <row r="80" spans="1:18" ht="15" customHeight="1" x14ac:dyDescent="0.3">
      <c r="A80" s="14" t="s">
        <v>229</v>
      </c>
      <c r="B80" s="6" t="str">
        <f>VLOOKUP(A80,'Analisis por Categorias'!B:C,2,FALSE)</f>
        <v>Mano De Obra</v>
      </c>
      <c r="D80" s="3">
        <f>SUMIF(CATEGORIAS[[#All],[SUBGRUPO]],A80,CATEGORIAS[[#All],[PRESUPUESTO
(ORIGINAL)]])</f>
        <v>27346689.342590965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36916935.189663708</v>
      </c>
      <c r="G80" s="71">
        <f>+SUMIF(CATEGORIAS[[#All],[SUBGRUPO]],A80,CATEGORIAS[[#All],[PRODUCCION
PARTIDAS
ORIGINALES
ACTUAL]])</f>
        <v>28305520.446912248</v>
      </c>
      <c r="H80" s="71">
        <f>+SUMIF(CATEGORIAS[[#All],[SUBGRUPO]],A80,CATEGORIAS[[#All],[PRODUCCION
ADICIONALES
ACTUAL]])</f>
        <v>8611414.7427514624</v>
      </c>
      <c r="I80" s="85">
        <f t="shared" ref="I80" si="110">G80+H80</f>
        <v>36916935.189663708</v>
      </c>
      <c r="J80" s="79"/>
      <c r="K80" s="71">
        <f>+SUMIF(CATEGORIAS[[#All],[SUBGRUPO]],A80,CATEGORIAS[[#All],[PRODUCCION
ANTERIOR]])</f>
        <v>28305520.446912248</v>
      </c>
      <c r="L80" s="71">
        <f>+SUMIF(CATEGORIAS[[#All],[SUBGRUPO]],A80,CATEGORIAS[[#All],[PRODUCCION
ADICIONALES
ANTERIOR]])</f>
        <v>8606046.570919333</v>
      </c>
      <c r="M80" s="71">
        <f t="shared" ref="M80" si="111">K80+L80</f>
        <v>36911567.017831579</v>
      </c>
      <c r="N80" s="79"/>
      <c r="O80" s="71">
        <f t="shared" ref="O80" si="112">G80-K80</f>
        <v>0</v>
      </c>
      <c r="P80" s="71">
        <f t="shared" ref="P80" si="113">H80-L80</f>
        <v>5368.1718321293592</v>
      </c>
      <c r="Q80" s="71">
        <f t="shared" ref="Q80" si="114">I80-M80</f>
        <v>5368.1718321293592</v>
      </c>
      <c r="R80" s="127">
        <f t="shared" si="101"/>
        <v>211931365.29090959</v>
      </c>
    </row>
    <row r="81" spans="1:18" ht="15" customHeight="1" x14ac:dyDescent="0.3">
      <c r="A81" s="14" t="s">
        <v>230</v>
      </c>
      <c r="B81" s="6" t="str">
        <f>VLOOKUP(A81,'Analisis por Categorias'!B:C,2,FALSE)</f>
        <v>Containers</v>
      </c>
      <c r="D81" s="3">
        <f>SUMIF(CATEGORIAS[[#All],[SUBGRUPO]],A81,CATEGORIAS[[#All],[PRESUPUESTO
(ORIGINAL)]])</f>
        <v>19956000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32334912.330901477</v>
      </c>
      <c r="G81" s="71">
        <f>+SUMIF(CATEGORIAS[[#All],[SUBGRUPO]],A81,CATEGORIAS[[#All],[PRODUCCION
PARTIDAS
ORIGINALES
ACTUAL]])</f>
        <v>20655698.353907675</v>
      </c>
      <c r="H81" s="71">
        <f>+SUMIF(CATEGORIAS[[#All],[SUBGRUPO]],A81,CATEGORIAS[[#All],[PRODUCCION
ADICIONALES
ACTUAL]])</f>
        <v>11679213.976993803</v>
      </c>
      <c r="I81" s="85">
        <f t="shared" ref="I81:I86" si="115">G81+H81</f>
        <v>32334912.330901477</v>
      </c>
      <c r="J81" s="79"/>
      <c r="K81" s="71">
        <f>+SUMIF(CATEGORIAS[[#All],[SUBGRUPO]],A81,CATEGORIAS[[#All],[PRODUCCION
ANTERIOR]])</f>
        <v>20655698.353907675</v>
      </c>
      <c r="L81" s="71">
        <f>+SUMIF(CATEGORIAS[[#All],[SUBGRUPO]],A81,CATEGORIAS[[#All],[PRODUCCION
ADICIONALES
ANTERIOR]])</f>
        <v>11675296.601996783</v>
      </c>
      <c r="M81" s="71">
        <f t="shared" ref="M81:M86" si="116">K81+L81</f>
        <v>32330994.955904458</v>
      </c>
      <c r="N81" s="79"/>
      <c r="O81" s="71">
        <f t="shared" ref="O81:O86" si="117">G81-K81</f>
        <v>0</v>
      </c>
      <c r="P81" s="71">
        <f t="shared" ref="P81:P86" si="118">H81-L81</f>
        <v>3917.3749970197678</v>
      </c>
      <c r="Q81" s="71">
        <f t="shared" ref="Q81:Q86" si="119">I81-M81</f>
        <v>3917.3749970197678</v>
      </c>
      <c r="R81" s="127">
        <f t="shared" ref="R81:R86" si="120">SUM(D81:Q81)</f>
        <v>181630561.65450737</v>
      </c>
    </row>
    <row r="82" spans="1:18" ht="15" customHeight="1" x14ac:dyDescent="0.3">
      <c r="A82" s="14" t="s">
        <v>231</v>
      </c>
      <c r="B82" s="6" t="str">
        <f>VLOOKUP(A82,'Analisis por Categorias'!B:C,2,FALSE)</f>
        <v>Materiales</v>
      </c>
      <c r="D82" s="3">
        <f>SUMIF(CATEGORIAS[[#All],[SUBGRUPO]],A82,CATEGORIAS[[#All],[PRESUPUESTO
(ORIGINAL)]])</f>
        <v>6230000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9892215.1643388327</v>
      </c>
      <c r="G82" s="71">
        <f>+SUMIF(CATEGORIAS[[#All],[SUBGRUPO]],A82,CATEGORIAS[[#All],[PRODUCCION
PARTIDAS
ORIGINALES
ACTUAL]])</f>
        <v>6448436.5977573078</v>
      </c>
      <c r="H82" s="71">
        <f>+SUMIF(CATEGORIAS[[#All],[SUBGRUPO]],A82,CATEGORIAS[[#All],[PRODUCCION
ADICIONALES
ACTUAL]])</f>
        <v>3443778.5665815221</v>
      </c>
      <c r="I82" s="85">
        <f>G82+H82</f>
        <v>9892215.1643388309</v>
      </c>
      <c r="J82" s="79"/>
      <c r="K82" s="71">
        <f>+SUMIF(CATEGORIAS[[#All],[SUBGRUPO]],A82,CATEGORIAS[[#All],[PRODUCCION
ANTERIOR]])</f>
        <v>6448436.5977573078</v>
      </c>
      <c r="L82" s="71">
        <f>+SUMIF(CATEGORIAS[[#All],[SUBGRUPO]],A82,CATEGORIAS[[#All],[PRODUCCION
ADICIONALES
ANTERIOR]])</f>
        <v>3442555.6137737734</v>
      </c>
      <c r="M82" s="71">
        <f>K82+L82</f>
        <v>9890992.2115310803</v>
      </c>
      <c r="N82" s="79"/>
      <c r="O82" s="71">
        <f t="shared" ref="O82:Q83" si="121">G82-K82</f>
        <v>0</v>
      </c>
      <c r="P82" s="71">
        <f t="shared" si="121"/>
        <v>1222.9528077486902</v>
      </c>
      <c r="Q82" s="71">
        <f t="shared" si="121"/>
        <v>1222.9528077505529</v>
      </c>
      <c r="R82" s="127">
        <f>SUM(D82:Q82)</f>
        <v>55691075.821694151</v>
      </c>
    </row>
    <row r="83" spans="1:18" ht="15" customHeight="1" x14ac:dyDescent="0.3">
      <c r="A83" s="14" t="s">
        <v>2403</v>
      </c>
      <c r="B83" s="6" t="str">
        <f>VLOOKUP(A83,'Analisis por Categorias'!B:C,2,FALSE)</f>
        <v>Generadores</v>
      </c>
      <c r="D83" s="3">
        <f>SUMIF(CATEGORIAS[[#All],[SUBGRUPO]],A83,CATEGORIAS[[#All],[PRESUPUESTO
(ORIGINAL)]])</f>
        <v>32733000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48225717.500719205</v>
      </c>
      <c r="G83" s="71">
        <f>+SUMIF(CATEGORIAS[[#All],[SUBGRUPO]],A83,CATEGORIAS[[#All],[PRODUCCION
PARTIDAS
ORIGINALES
ACTUAL]])</f>
        <v>33880686.220608339</v>
      </c>
      <c r="H83" s="71">
        <f>+SUMIF(CATEGORIAS[[#All],[SUBGRUPO]],A83,CATEGORIAS[[#All],[PRODUCCION
ADICIONALES
ACTUAL]])</f>
        <v>14345031.280110866</v>
      </c>
      <c r="I83" s="85">
        <f>G83+H83</f>
        <v>48225717.500719205</v>
      </c>
      <c r="J83" s="79"/>
      <c r="K83" s="71">
        <f>+SUMIF(CATEGORIAS[[#All],[SUBGRUPO]],A83,CATEGORIAS[[#All],[PRODUCCION
ANTERIOR]])</f>
        <v>33880686.220608339</v>
      </c>
      <c r="L83" s="71">
        <f>+SUMIF(CATEGORIAS[[#All],[SUBGRUPO]],A83,CATEGORIAS[[#All],[PRODUCCION
ADICIONALES
ANTERIOR]])</f>
        <v>14338605.772204608</v>
      </c>
      <c r="M83" s="71">
        <f>K83+L83</f>
        <v>48219291.992812946</v>
      </c>
      <c r="N83" s="79"/>
      <c r="O83" s="71">
        <f t="shared" si="121"/>
        <v>0</v>
      </c>
      <c r="P83" s="71">
        <f t="shared" si="121"/>
        <v>6425.5079062581062</v>
      </c>
      <c r="Q83" s="71">
        <f t="shared" si="121"/>
        <v>6425.5079062581062</v>
      </c>
      <c r="R83" s="127">
        <f>SUM(D83:Q83)</f>
        <v>273861587.50359607</v>
      </c>
    </row>
    <row r="84" spans="1:18" ht="15" customHeight="1" x14ac:dyDescent="0.3">
      <c r="A84" s="14" t="s">
        <v>232</v>
      </c>
      <c r="B84" s="6" t="str">
        <f>VLOOKUP(A84,'Analisis por Categorias'!B:C,2,FALSE)</f>
        <v>Mobiliarios</v>
      </c>
      <c r="D84" s="3">
        <f>SUMIF(CATEGORIAS[[#All],[SUBGRUPO]],A84,CATEGORIAS[[#All],[PRESUPUESTO
(ORIGINAL)]])</f>
        <v>5340000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7768898.7458726056</v>
      </c>
      <c r="G84" s="71">
        <f>+SUMIF(CATEGORIAS[[#All],[SUBGRUPO]],A84,CATEGORIAS[[#All],[PRODUCCION
PARTIDAS
ORIGINALES
ACTUAL]])</f>
        <v>5527231.3695062632</v>
      </c>
      <c r="H84" s="71">
        <f>+SUMIF(CATEGORIAS[[#All],[SUBGRUPO]],A84,CATEGORIAS[[#All],[PRODUCCION
ADICIONALES
ACTUAL]])</f>
        <v>2241667.3763663424</v>
      </c>
      <c r="I84" s="85">
        <f t="shared" si="115"/>
        <v>7768898.7458726056</v>
      </c>
      <c r="J84" s="79"/>
      <c r="K84" s="71">
        <f>+SUMIF(CATEGORIAS[[#All],[SUBGRUPO]],A84,CATEGORIAS[[#All],[PRODUCCION
ANTERIOR]])</f>
        <v>5527231.3695062632</v>
      </c>
      <c r="L84" s="71">
        <f>+SUMIF(CATEGORIAS[[#All],[SUBGRUPO]],A84,CATEGORIAS[[#All],[PRODUCCION
ADICIONALES
ANTERIOR]])</f>
        <v>2240619.1311025582</v>
      </c>
      <c r="M84" s="71">
        <f t="shared" si="116"/>
        <v>7767850.5006088214</v>
      </c>
      <c r="N84" s="79"/>
      <c r="O84" s="71">
        <f t="shared" si="117"/>
        <v>0</v>
      </c>
      <c r="P84" s="71">
        <f t="shared" si="118"/>
        <v>1048.2452637841925</v>
      </c>
      <c r="Q84" s="71">
        <f t="shared" si="119"/>
        <v>1048.2452637841925</v>
      </c>
      <c r="R84" s="127">
        <f t="shared" si="120"/>
        <v>44184493.729363032</v>
      </c>
    </row>
    <row r="85" spans="1:18" ht="15" customHeight="1" x14ac:dyDescent="0.3">
      <c r="A85" s="14" t="s">
        <v>233</v>
      </c>
      <c r="B85" s="6" t="str">
        <f>VLOOKUP(A85,'Analisis por Categorias'!B:C,2,FALSE)</f>
        <v>Baños Químicos</v>
      </c>
      <c r="D85" s="3">
        <f>SUMIF(CATEGORIAS[[#All],[SUBGRUPO]],A85,CATEGORIAS[[#All],[PRESUPUESTO
(ORIGINAL)]])</f>
        <v>15748843.167042889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21960448.238074537</v>
      </c>
      <c r="G85" s="71">
        <f>+SUMIF(CATEGORIAS[[#All],[SUBGRUPO]],A85,CATEGORIAS[[#All],[PRODUCCION
PARTIDAS
ORIGINALES
ACTUAL]])</f>
        <v>16301029.959983863</v>
      </c>
      <c r="H85" s="71">
        <f>+SUMIF(CATEGORIAS[[#All],[SUBGRUPO]],A85,CATEGORIAS[[#All],[PRODUCCION
ADICIONALES
ACTUAL]])</f>
        <v>5659418.2780906744</v>
      </c>
      <c r="I85" s="85">
        <f t="shared" si="115"/>
        <v>21960448.238074537</v>
      </c>
      <c r="J85" s="79"/>
      <c r="K85" s="71">
        <f>+SUMIF(CATEGORIAS[[#All],[SUBGRUPO]],A85,CATEGORIAS[[#All],[PRODUCCION
ANTERIOR]])</f>
        <v>16301029.959983863</v>
      </c>
      <c r="L85" s="71">
        <f>+SUMIF(CATEGORIAS[[#All],[SUBGRUPO]],A85,CATEGORIAS[[#All],[PRODUCCION
ADICIONALES
ANTERIOR]])</f>
        <v>5656326.7705513649</v>
      </c>
      <c r="M85" s="71">
        <f t="shared" si="116"/>
        <v>21957356.730535228</v>
      </c>
      <c r="N85" s="79"/>
      <c r="O85" s="71">
        <f t="shared" si="117"/>
        <v>0</v>
      </c>
      <c r="P85" s="71">
        <f t="shared" si="118"/>
        <v>3091.5075393095613</v>
      </c>
      <c r="Q85" s="71">
        <f t="shared" si="119"/>
        <v>3091.5075393095613</v>
      </c>
      <c r="R85" s="127">
        <f t="shared" si="120"/>
        <v>125551084.35741556</v>
      </c>
    </row>
    <row r="86" spans="1:18" ht="15" customHeight="1" x14ac:dyDescent="0.3">
      <c r="A86" s="14" t="s">
        <v>234</v>
      </c>
      <c r="B86" s="6" t="str">
        <f>VLOOKUP(A86,'Analisis por Categorias'!B:C,2,FALSE)</f>
        <v>Servicios</v>
      </c>
      <c r="D86" s="3">
        <f>SUMIF(CATEGORIAS[[#All],[SUBGRUPO]],A86,CATEGORIAS[[#All],[PRESUPUESTO
(ORIGINAL)]])</f>
        <v>6500000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8774739.6303321235</v>
      </c>
      <c r="G86" s="71">
        <f>+SUMIF(CATEGORIAS[[#All],[SUBGRUPO]],A86,CATEGORIAS[[#All],[PRODUCCION
PARTIDAS
ORIGINALES
ACTUAL]])</f>
        <v>6727903.3523952654</v>
      </c>
      <c r="H86" s="71">
        <f>+SUMIF(CATEGORIAS[[#All],[SUBGRUPO]],A86,CATEGORIAS[[#All],[PRODUCCION
ADICIONALES
ACTUAL]])</f>
        <v>2046836.2779368586</v>
      </c>
      <c r="I86" s="85">
        <f t="shared" si="115"/>
        <v>8774739.6303321235</v>
      </c>
      <c r="J86" s="79"/>
      <c r="K86" s="71">
        <f>+SUMIF(CATEGORIAS[[#All],[SUBGRUPO]],A86,CATEGORIAS[[#All],[PRODUCCION
ANTERIOR]])</f>
        <v>6727903.3523952654</v>
      </c>
      <c r="L86" s="71">
        <f>+SUMIF(CATEGORIAS[[#All],[SUBGRUPO]],A86,CATEGORIAS[[#All],[PRODUCCION
ADICIONALES
ANTERIOR]])</f>
        <v>2045560.3239640887</v>
      </c>
      <c r="M86" s="71">
        <f t="shared" si="116"/>
        <v>8773463.6763593536</v>
      </c>
      <c r="N86" s="79"/>
      <c r="O86" s="71">
        <f t="shared" si="117"/>
        <v>0</v>
      </c>
      <c r="P86" s="71">
        <f t="shared" si="118"/>
        <v>1275.9539727699012</v>
      </c>
      <c r="Q86" s="71">
        <f t="shared" si="119"/>
        <v>1275.9539727699012</v>
      </c>
      <c r="R86" s="127">
        <f t="shared" si="120"/>
        <v>50373698.151660621</v>
      </c>
    </row>
    <row r="87" spans="1:18" ht="15" customHeight="1" x14ac:dyDescent="0.3">
      <c r="A87" s="14" t="s">
        <v>235</v>
      </c>
      <c r="B87" s="6" t="str">
        <f>VLOOKUP(A87,'Analisis por Categorias'!B:C,2,FALSE)</f>
        <v>IFA Fletes</v>
      </c>
      <c r="D87" s="3">
        <f>SUMIF(CATEGORIAS[[#All],[SUBGRUPO]],A87,CATEGORIAS[[#All],[PRESUPUESTO
(ORIGINAL)]])</f>
        <v>5400000</v>
      </c>
      <c r="E87" s="3">
        <f>+SUMIF(CATEGORIAS[[#All],[SUBGRUPO]],A87,CATEGORIAS[[#All],[PRODUCCION
PARTIDAS
ORIGINALES
ACTUAL]])
+SUMIF(CATEGORIAS[[#All],[SUBGRUPO]],A87,CATEGORIAS[[#All],[PRODUCCION
ADICIONALES
ACTUAL]])
+SUMIF(CATEGORIAS[[#All],[SUBGRUPO]],A87,CATEGORIAS[[#All],[PROYECCION
DE INGRESO
DEL SALDO]])</f>
        <v>8690065.3168137632</v>
      </c>
      <c r="G87" s="71">
        <f>+SUMIF(CATEGORIAS[[#All],[SUBGRUPO]],A87,CATEGORIAS[[#All],[PRODUCCION
PARTIDAS
ORIGINALES
ACTUAL]])</f>
        <v>5589335.0927591426</v>
      </c>
      <c r="H87" s="71">
        <f>+SUMIF(CATEGORIAS[[#All],[SUBGRUPO]],A87,CATEGORIAS[[#All],[PRODUCCION
ADICIONALES
ACTUAL]])</f>
        <v>3100730.2240546206</v>
      </c>
      <c r="I87" s="85">
        <f t="shared" ref="I87:I88" si="122">G87+H87</f>
        <v>8690065.3168137632</v>
      </c>
      <c r="J87" s="79"/>
      <c r="K87" s="71">
        <f>+SUMIF(CATEGORIAS[[#All],[SUBGRUPO]],A87,CATEGORIAS[[#All],[PRODUCCION
ANTERIOR]])</f>
        <v>5589335.0927591426</v>
      </c>
      <c r="L87" s="71">
        <f>+SUMIF(CATEGORIAS[[#All],[SUBGRUPO]],A87,CATEGORIAS[[#All],[PRODUCCION
ADICIONALES
ANTERIOR]])</f>
        <v>3099670.2007541647</v>
      </c>
      <c r="M87" s="71">
        <f t="shared" ref="M87:M88" si="123">K87+L87</f>
        <v>8689005.2935133073</v>
      </c>
      <c r="N87" s="79"/>
      <c r="O87" s="71">
        <f t="shared" ref="O87:O88" si="124">G87-K87</f>
        <v>0</v>
      </c>
      <c r="P87" s="71">
        <f t="shared" ref="P87:P88" si="125">H87-L87</f>
        <v>1060.0233004558831</v>
      </c>
      <c r="Q87" s="71">
        <f t="shared" ref="Q87:Q88" si="126">I87-M87</f>
        <v>1060.0233004558831</v>
      </c>
      <c r="R87" s="127">
        <f t="shared" ref="R87:R88" si="127">SUM(D87:Q87)</f>
        <v>48850326.584068812</v>
      </c>
    </row>
    <row r="88" spans="1:18" ht="15" customHeight="1" x14ac:dyDescent="0.3">
      <c r="A88" s="14" t="s">
        <v>2400</v>
      </c>
      <c r="B88" s="6" t="str">
        <f>VLOOKUP(A88,'Analisis por Categorias'!B:C,2,FALSE)</f>
        <v>Permisos</v>
      </c>
      <c r="D88" s="3">
        <f>SUMIF(CATEGORIAS[[#All],[SUBGRUPO]],A88,CATEGORIAS[[#All],[PRESUPUESTO
(ORIGINAL)]])</f>
        <v>16500000</v>
      </c>
      <c r="E88" s="3">
        <f>+SUMIF(CATEGORIAS[[#All],[SUBGRUPO]],A88,CATEGORIAS[[#All],[PRODUCCION
PARTIDAS
ORIGINALES
ACTUAL]])
+SUMIF(CATEGORIAS[[#All],[SUBGRUPO]],A88,CATEGORIAS[[#All],[PRODUCCION
ADICIONALES
ACTUAL]])
+SUMIF(CATEGORIAS[[#All],[SUBGRUPO]],A88,CATEGORIAS[[#All],[PROYECCION
DE INGRESO
DEL SALDO]])</f>
        <v>22274339.061612315</v>
      </c>
      <c r="G88" s="71">
        <f>+SUMIF(CATEGORIAS[[#All],[SUBGRUPO]],A88,CATEGORIAS[[#All],[PRODUCCION
PARTIDAS
ORIGINALES
ACTUAL]])</f>
        <v>17078523.894541826</v>
      </c>
      <c r="H88" s="71">
        <f>+SUMIF(CATEGORIAS[[#All],[SUBGRUPO]],A88,CATEGORIAS[[#All],[PRODUCCION
ADICIONALES
ACTUAL]])</f>
        <v>5195815.1670704884</v>
      </c>
      <c r="I88" s="85">
        <f t="shared" si="122"/>
        <v>22274339.061612315</v>
      </c>
      <c r="J88" s="79"/>
      <c r="K88" s="71">
        <f>+SUMIF(CATEGORIAS[[#All],[SUBGRUPO]],A88,CATEGORIAS[[#All],[PRODUCCION
ANTERIOR]])</f>
        <v>17078523.894541826</v>
      </c>
      <c r="L88" s="71">
        <f>+SUMIF(CATEGORIAS[[#All],[SUBGRUPO]],A88,CATEGORIAS[[#All],[PRODUCCION
ADICIONALES
ANTERIOR]])</f>
        <v>5192576.2069857633</v>
      </c>
      <c r="M88" s="71">
        <f t="shared" si="123"/>
        <v>22271100.10152759</v>
      </c>
      <c r="N88" s="79"/>
      <c r="O88" s="71">
        <f t="shared" si="124"/>
        <v>0</v>
      </c>
      <c r="P88" s="71">
        <f t="shared" si="125"/>
        <v>3238.9600847251713</v>
      </c>
      <c r="Q88" s="71">
        <f t="shared" si="126"/>
        <v>3238.9600847251713</v>
      </c>
      <c r="R88" s="127">
        <f t="shared" si="127"/>
        <v>127871695.30806156</v>
      </c>
    </row>
    <row r="89" spans="1:18" ht="15" hidden="1" customHeight="1" x14ac:dyDescent="0.3">
      <c r="A89" s="14" t="s">
        <v>2401</v>
      </c>
      <c r="B89" s="6" t="e">
        <f>VLOOKUP(A89,'Analisis por Categorias'!B:C,2,FALSE)</f>
        <v>#N/A</v>
      </c>
      <c r="D89" s="3">
        <f>SUMIF(CATEGORIAS[[#All],[SUBGRUPO]],A89,CATEGORIAS[[#All],[PRESUPUESTO
(ORIGINAL)]])</f>
        <v>0</v>
      </c>
      <c r="E89" s="3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0</v>
      </c>
      <c r="G89" s="71">
        <f>+SUMIF(CATEGORIAS[[#All],[SUBGRUPO]],A89,CATEGORIAS[[#All],[PRODUCCION
PARTIDAS
ORIGINALES
ACTUAL]])</f>
        <v>0</v>
      </c>
      <c r="H89" s="71">
        <f>+SUMIF(CATEGORIAS[[#All],[SUBGRUPO]],A89,CATEGORIAS[[#All],[PRODUCCION
ADICIONALES
ACTUAL]])</f>
        <v>0</v>
      </c>
      <c r="I89" s="85">
        <f t="shared" ref="I89" si="128">G89+H89</f>
        <v>0</v>
      </c>
      <c r="J89" s="79"/>
      <c r="K89" s="71">
        <f>+SUMIF(CATEGORIAS[[#All],[SUBGRUPO]],A89,CATEGORIAS[[#All],[PRODUCCION
ANTERIOR]])</f>
        <v>0</v>
      </c>
      <c r="L89" s="71">
        <f>+SUMIF(CATEGORIAS[[#All],[SUBGRUPO]],A89,CATEGORIAS[[#All],[PRODUCCION
ADICIONALES
ANTERIOR]])</f>
        <v>0</v>
      </c>
      <c r="M89" s="71">
        <f t="shared" ref="M89" si="129">K89+L89</f>
        <v>0</v>
      </c>
      <c r="N89" s="79"/>
      <c r="O89" s="71">
        <f t="shared" ref="O89" si="130">G89-K89</f>
        <v>0</v>
      </c>
      <c r="P89" s="71">
        <f t="shared" ref="P89" si="131">H89-L89</f>
        <v>0</v>
      </c>
      <c r="Q89" s="71">
        <f t="shared" ref="Q89" si="132">I89-M89</f>
        <v>0</v>
      </c>
      <c r="R89" s="127">
        <f t="shared" ref="R89" si="133">SUM(D89:Q89)</f>
        <v>0</v>
      </c>
    </row>
    <row r="90" spans="1:18" ht="15" hidden="1" customHeight="1" x14ac:dyDescent="0.3">
      <c r="A90" s="14" t="s">
        <v>2402</v>
      </c>
      <c r="B90" s="6" t="e">
        <f>VLOOKUP(A90,'Analisis por Categorias'!B:C,2,FALSE)</f>
        <v>#N/A</v>
      </c>
      <c r="D90" s="3">
        <f>SUMIF(CATEGORIAS[[#All],[SUBGRUPO]],A90,CATEGORIAS[[#All],[PRESUPUESTO
(ORIGINAL)]])</f>
        <v>0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71">
        <f>+SUMIF(CATEGORIAS[[#All],[SUBGRUPO]],A90,CATEGORIAS[[#All],[PRODUCCION
PARTIDAS
ORIGINALES
ACTUAL]])</f>
        <v>0</v>
      </c>
      <c r="H90" s="71">
        <f>+SUMIF(CATEGORIAS[[#All],[SUBGRUPO]],A90,CATEGORIAS[[#All],[PRODUCCION
ADICIONALES
ACTUAL]])</f>
        <v>0</v>
      </c>
      <c r="I90" s="85">
        <f t="shared" ref="I90" si="134">G90+H90</f>
        <v>0</v>
      </c>
      <c r="J90" s="79"/>
      <c r="K90" s="71">
        <f>+SUMIF(CATEGORIAS[[#All],[SUBGRUPO]],A90,CATEGORIAS[[#All],[PRODUCCION
ANTERIOR]])</f>
        <v>0</v>
      </c>
      <c r="L90" s="71">
        <f>+SUMIF(CATEGORIAS[[#All],[SUBGRUPO]],A90,CATEGORIAS[[#All],[PRODUCCION
ADICIONALES
ANTERIOR]])</f>
        <v>0</v>
      </c>
      <c r="M90" s="71">
        <f t="shared" ref="M90" si="135">K90+L90</f>
        <v>0</v>
      </c>
      <c r="N90" s="79"/>
      <c r="O90" s="71">
        <f t="shared" ref="O90" si="136">G90-K90</f>
        <v>0</v>
      </c>
      <c r="P90" s="71">
        <f t="shared" ref="P90" si="137">H90-L90</f>
        <v>0</v>
      </c>
      <c r="Q90" s="71">
        <f t="shared" ref="Q90" si="138">I90-M90</f>
        <v>0</v>
      </c>
      <c r="R90" s="127">
        <f t="shared" ref="R90" si="139">SUM(D90:Q90)</f>
        <v>0</v>
      </c>
    </row>
    <row r="91" spans="1:18" ht="8.25" customHeight="1" x14ac:dyDescent="0.3">
      <c r="J91" s="79"/>
      <c r="N91" s="79"/>
      <c r="R91" s="127">
        <f t="shared" si="101"/>
        <v>0</v>
      </c>
    </row>
    <row r="92" spans="1:18" ht="14.25" customHeight="1" x14ac:dyDescent="0.3">
      <c r="A92" s="14" t="s">
        <v>236</v>
      </c>
      <c r="B92" s="81" t="s">
        <v>237</v>
      </c>
      <c r="D92" s="82">
        <f>SUM(D93:D106)</f>
        <v>194544741.2074329</v>
      </c>
      <c r="E92" s="82">
        <f>SUM(E93:E106)</f>
        <v>247748617.79628068</v>
      </c>
      <c r="G92" s="83">
        <f>SUM(G93:G105)</f>
        <v>188953770.14557859</v>
      </c>
      <c r="H92" s="83">
        <f t="shared" ref="H92:I92" si="140">SUM(H93:H105)</f>
        <v>58794847.650702097</v>
      </c>
      <c r="I92" s="83">
        <f t="shared" si="140"/>
        <v>247748617.79628068</v>
      </c>
      <c r="J92" s="79"/>
      <c r="K92" s="83">
        <f>SUM(K93:K105)</f>
        <v>188953770.14557859</v>
      </c>
      <c r="L92" s="83">
        <f t="shared" ref="L92" si="141">SUM(L93:L105)</f>
        <v>58770756.368733987</v>
      </c>
      <c r="M92" s="83">
        <f t="shared" ref="M92" si="142">SUM(M93:M105)</f>
        <v>247724526.51431257</v>
      </c>
      <c r="N92" s="79"/>
      <c r="O92" s="83">
        <f>SUM(O93:O105)</f>
        <v>0</v>
      </c>
      <c r="P92" s="83">
        <f t="shared" ref="P92" si="143">SUM(P93:P105)</f>
        <v>24091.281968094874</v>
      </c>
      <c r="Q92" s="83">
        <f t="shared" ref="Q92" si="144">SUM(Q93:Q105)</f>
        <v>24091.281968101859</v>
      </c>
      <c r="R92" s="127">
        <f t="shared" si="101"/>
        <v>1433287830.1888363</v>
      </c>
    </row>
    <row r="93" spans="1:18" ht="15" customHeight="1" x14ac:dyDescent="0.3">
      <c r="A93" s="14" t="s">
        <v>2412</v>
      </c>
      <c r="B93" s="6" t="str">
        <f>VLOOKUP(A93,'Analisis por Categorias'!B:C,2,FALSE)</f>
        <v>Gastos De Contratación</v>
      </c>
      <c r="D93" s="3">
        <f>SUMIF(CATEGORIAS[[#All],[SUBGRUPO]],A93,CATEGORIAS[[#All],[PRESUPUESTO
(ORIGINAL)]])</f>
        <v>39447434.040254258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61221017.133051813</v>
      </c>
      <c r="G93" s="71">
        <f>+SUMIF(CATEGORIAS[[#All],[SUBGRUPO]],A93,CATEGORIAS[[#All],[PRODUCCION
PARTIDAS
ORIGINALES
ACTUAL]])</f>
        <v>39863863.228467487</v>
      </c>
      <c r="H93" s="71">
        <f>+SUMIF(CATEGORIAS[[#All],[SUBGRUPO]],A93,CATEGORIAS[[#All],[PRODUCCION
ADICIONALES
ACTUAL]])</f>
        <v>21357153.904584322</v>
      </c>
      <c r="I93" s="85">
        <f t="shared" ref="I93:I98" si="145">G93+H93</f>
        <v>61221017.133051813</v>
      </c>
      <c r="J93" s="79"/>
      <c r="K93" s="71">
        <f>+SUMIF(CATEGORIAS[[#All],[SUBGRUPO]],A93,CATEGORIAS[[#All],[PRODUCCION
ANTERIOR]])</f>
        <v>39863863.228467487</v>
      </c>
      <c r="L93" s="71">
        <f>+SUMIF(CATEGORIAS[[#All],[SUBGRUPO]],A93,CATEGORIAS[[#All],[PRODUCCION
ADICIONALES
ANTERIOR]])</f>
        <v>21349593.680842672</v>
      </c>
      <c r="M93" s="71">
        <f t="shared" ref="M93:M98" si="146">K93+L93</f>
        <v>61213456.909310162</v>
      </c>
      <c r="N93" s="79"/>
      <c r="O93" s="71">
        <f t="shared" ref="O93:Q98" si="147">G93-K93</f>
        <v>0</v>
      </c>
      <c r="P93" s="71">
        <f t="shared" si="147"/>
        <v>7560.2237416505814</v>
      </c>
      <c r="Q93" s="71">
        <f t="shared" si="147"/>
        <v>7560.2237416505814</v>
      </c>
      <c r="R93" s="127">
        <f t="shared" si="101"/>
        <v>345552519.70551336</v>
      </c>
    </row>
    <row r="94" spans="1:18" ht="15" customHeight="1" x14ac:dyDescent="0.3">
      <c r="A94" s="14" t="s">
        <v>238</v>
      </c>
      <c r="B94" s="6" t="str">
        <f>VLOOKUP(A94,'Analisis por Categorias'!B:C,2,FALSE)</f>
        <v>Otros gastos generales</v>
      </c>
      <c r="D94" s="3">
        <f>SUMIF(CATEGORIAS[[#All],[SUBGRUPO]],A94,CATEGORIAS[[#All],[PRESUPUESTO
(ORIGINAL)]])</f>
        <v>45917952.31962958</v>
      </c>
      <c r="E94" s="3">
        <f>+SUMIF(CATEGORIAS[[#All],[SUBGRUPO]],A94,CATEGORIAS[[#All],[PRODUCCION
PARTIDAS
ORIGINALES
ACTUAL]])
+SUMIF(CATEGORIAS[[#All],[SUBGRUPO]],A94,CATEGORIAS[[#All],[PRODUCCION
ADICIONALES
ACTUAL]])
+SUMIF(CATEGORIAS[[#All],[SUBGRUPO]],A94,CATEGORIAS[[#All],[PROYECCION
DE INGRESO
DEL SALDO]])</f>
        <v>63911052.645077571</v>
      </c>
      <c r="G94" s="71">
        <f>+SUMIF(CATEGORIAS[[#All],[SUBGRUPO]],A94,CATEGORIAS[[#All],[PRODUCCION
PARTIDAS
ORIGINALES
ACTUAL]])</f>
        <v>47527930.053286418</v>
      </c>
      <c r="H94" s="71">
        <f>+SUMIF(CATEGORIAS[[#All],[SUBGRUPO]],A94,CATEGORIAS[[#All],[PRODUCCION
ADICIONALES
ACTUAL]])</f>
        <v>16383122.591791149</v>
      </c>
      <c r="I94" s="85">
        <f t="shared" si="145"/>
        <v>63911052.645077571</v>
      </c>
      <c r="J94" s="79"/>
      <c r="K94" s="71">
        <f>+SUMIF(CATEGORIAS[[#All],[SUBGRUPO]],A94,CATEGORIAS[[#All],[PRODUCCION
ANTERIOR]])</f>
        <v>47527930.053286418</v>
      </c>
      <c r="L94" s="71">
        <f>+SUMIF(CATEGORIAS[[#All],[SUBGRUPO]],A94,CATEGORIAS[[#All],[PRODUCCION
ADICIONALES
ANTERIOR]])</f>
        <v>16374108.869685959</v>
      </c>
      <c r="M94" s="71">
        <f t="shared" si="146"/>
        <v>63902038.922972381</v>
      </c>
      <c r="N94" s="79"/>
      <c r="O94" s="71">
        <f t="shared" si="147"/>
        <v>0</v>
      </c>
      <c r="P94" s="71">
        <f t="shared" si="147"/>
        <v>9013.7221051901579</v>
      </c>
      <c r="Q94" s="71">
        <f t="shared" si="147"/>
        <v>9013.7221051901579</v>
      </c>
      <c r="R94" s="127">
        <f t="shared" si="101"/>
        <v>365473215.54501748</v>
      </c>
    </row>
    <row r="95" spans="1:18" ht="15" customHeight="1" x14ac:dyDescent="0.3">
      <c r="A95" s="14" t="s">
        <v>2413</v>
      </c>
      <c r="B95" s="6" t="str">
        <f>VLOOKUP(A95,'Analisis por Categorias'!B:C,2,FALSE)</f>
        <v>Enlaces Internet</v>
      </c>
      <c r="D95" s="3">
        <f>SUMIF(CATEGORIAS[[#All],[SUBGRUPO]],A95,CATEGORIAS[[#All],[PRESUPUESTO
(ORIGINAL)]])</f>
        <v>7200000</v>
      </c>
      <c r="E95" s="3">
        <f>+SUMIF(CATEGORIAS[[#All],[SUBGRUPO]],A95,CATEGORIAS[[#All],[PRODUCCION
PARTIDAS
ORIGINALES
ACTUAL]])
+SUMIF(CATEGORIAS[[#All],[SUBGRUPO]],A95,CATEGORIAS[[#All],[PRODUCCION
ADICIONALES
ACTUAL]])
+SUMIF(CATEGORIAS[[#All],[SUBGRUPO]],A95,CATEGORIAS[[#All],[PROYECCION
DE INGRESO
DEL SALDO]])</f>
        <v>8493629.0144417845</v>
      </c>
      <c r="G95" s="71">
        <f>+SUMIF(CATEGORIAS[[#All],[SUBGRUPO]],A95,CATEGORIAS[[#All],[PRODUCCION
PARTIDAS
ORIGINALES
ACTUAL]])</f>
        <v>7452446.7903455235</v>
      </c>
      <c r="H95" s="71">
        <f>+SUMIF(CATEGORIAS[[#All],[SUBGRUPO]],A95,CATEGORIAS[[#All],[PRODUCCION
ADICIONALES
ACTUAL]])</f>
        <v>1041182.2240962605</v>
      </c>
      <c r="I95" s="85">
        <f t="shared" si="145"/>
        <v>8493629.0144417845</v>
      </c>
      <c r="J95" s="79"/>
      <c r="K95" s="71">
        <f>+SUMIF(CATEGORIAS[[#All],[SUBGRUPO]],A95,CATEGORIAS[[#All],[PRODUCCION
ANTERIOR]])</f>
        <v>7452446.7903455235</v>
      </c>
      <c r="L95" s="71">
        <f>+SUMIF(CATEGORIAS[[#All],[SUBGRUPO]],A95,CATEGORIAS[[#All],[PRODUCCION
ADICIONALES
ANTERIOR]])</f>
        <v>1039768.8596956539</v>
      </c>
      <c r="M95" s="85">
        <f t="shared" si="146"/>
        <v>8492215.6500411779</v>
      </c>
      <c r="N95" s="79"/>
      <c r="O95" s="85">
        <f t="shared" si="147"/>
        <v>0</v>
      </c>
      <c r="P95" s="85">
        <f t="shared" si="147"/>
        <v>1413.3644006066024</v>
      </c>
      <c r="Q95" s="85">
        <f t="shared" si="147"/>
        <v>1413.3644006066024</v>
      </c>
      <c r="R95" s="127">
        <f>SUM(D95:Q95)</f>
        <v>49668145.072208926</v>
      </c>
    </row>
    <row r="96" spans="1:18" ht="16.5" customHeight="1" x14ac:dyDescent="0.3">
      <c r="A96" s="14" t="s">
        <v>239</v>
      </c>
      <c r="B96" s="6" t="str">
        <f>VLOOKUP(A96,'Analisis por Categorias'!B:C,2,FALSE)</f>
        <v>Fletes Generales</v>
      </c>
      <c r="D96" s="3">
        <f>SUMIF(CATEGORIAS[[#All],[SUBGRUPO]],A96,CATEGORIAS[[#All],[PRESUPUESTO
(ORIGINAL)]])</f>
        <v>27440623.725000001</v>
      </c>
      <c r="E96" s="3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23210430.39544734</v>
      </c>
      <c r="G96" s="71">
        <f>+SUMIF(CATEGORIAS[[#All],[SUBGRUPO]],A96,CATEGORIAS[[#All],[PRODUCCION
PARTIDAS
ORIGINALES
ACTUAL]])</f>
        <v>19555267.4165706</v>
      </c>
      <c r="H96" s="71">
        <f>+SUMIF(CATEGORIAS[[#All],[SUBGRUPO]],A96,CATEGORIAS[[#All],[PRODUCCION
ADICIONALES
ACTUAL]])</f>
        <v>3655162.9788767388</v>
      </c>
      <c r="I96" s="85">
        <f t="shared" si="145"/>
        <v>23210430.39544734</v>
      </c>
      <c r="J96" s="79"/>
      <c r="K96" s="71">
        <f>+SUMIF(CATEGORIAS[[#All],[SUBGRUPO]],A96,CATEGORIAS[[#All],[PRODUCCION
ANTERIOR]])</f>
        <v>19555267.4165706</v>
      </c>
      <c r="L96" s="71">
        <f>+SUMIF(CATEGORIAS[[#All],[SUBGRUPO]],A96,CATEGORIAS[[#All],[PRODUCCION
ADICIONALES
ANTERIOR]])</f>
        <v>3651454.3017686037</v>
      </c>
      <c r="M96" s="71">
        <f t="shared" si="146"/>
        <v>23206721.718339205</v>
      </c>
      <c r="N96" s="79"/>
      <c r="O96" s="71">
        <f t="shared" si="147"/>
        <v>0</v>
      </c>
      <c r="P96" s="71">
        <f t="shared" si="147"/>
        <v>3708.6771081350744</v>
      </c>
      <c r="Q96" s="71">
        <f t="shared" si="147"/>
        <v>3708.6771081350744</v>
      </c>
      <c r="R96" s="127">
        <f>SUM(D96:Q96)</f>
        <v>143492775.70223671</v>
      </c>
    </row>
    <row r="97" spans="1:18" ht="15" customHeight="1" x14ac:dyDescent="0.3">
      <c r="A97" s="14" t="s">
        <v>240</v>
      </c>
      <c r="B97" s="6" t="str">
        <f>VLOOKUP(A97,'Analisis por Categorias'!B:C,2,FALSE)</f>
        <v>Comunicación</v>
      </c>
      <c r="D97" s="3">
        <f>SUMIF(CATEGORIAS[[#All],[SUBGRUPO]],A97,CATEGORIAS[[#All],[PRESUPUESTO
(ORIGINAL)]])</f>
        <v>7611063.4056433411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10292483.535002772</v>
      </c>
      <c r="G97" s="71">
        <f>+SUMIF(CATEGORIAS[[#All],[SUBGRUPO]],A97,CATEGORIAS[[#All],[PRODUCCION
PARTIDAS
ORIGINALES
ACTUAL]])</f>
        <v>7877922.9234031923</v>
      </c>
      <c r="H97" s="71">
        <f>+SUMIF(CATEGORIAS[[#All],[SUBGRUPO]],A97,CATEGORIAS[[#All],[PRODUCCION
ADICIONALES
ACTUAL]])</f>
        <v>2414560.6115995785</v>
      </c>
      <c r="I97" s="85">
        <f t="shared" si="145"/>
        <v>10292483.535002772</v>
      </c>
      <c r="J97" s="79"/>
      <c r="K97" s="71">
        <f>+SUMIF(CATEGORIAS[[#All],[SUBGRUPO]],A97,CATEGORIAS[[#All],[PRODUCCION
ANTERIOR]])</f>
        <v>7877922.9234031923</v>
      </c>
      <c r="L97" s="71">
        <f>+SUMIF(CATEGORIAS[[#All],[SUBGRUPO]],A97,CATEGORIAS[[#All],[PRODUCCION
ADICIONALES
ANTERIOR]])</f>
        <v>2413066.5552012036</v>
      </c>
      <c r="M97" s="85">
        <f t="shared" si="146"/>
        <v>10290989.478604395</v>
      </c>
      <c r="N97" s="79"/>
      <c r="O97" s="85">
        <f t="shared" si="147"/>
        <v>0</v>
      </c>
      <c r="P97" s="85">
        <f t="shared" si="147"/>
        <v>1494.0563983749598</v>
      </c>
      <c r="Q97" s="85">
        <f t="shared" si="147"/>
        <v>1494.0563983768225</v>
      </c>
      <c r="R97" s="127">
        <f>SUM(D97:Q97)</f>
        <v>59073481.080657199</v>
      </c>
    </row>
    <row r="98" spans="1:18" ht="15" customHeight="1" x14ac:dyDescent="0.3">
      <c r="A98" s="14" t="s">
        <v>2414</v>
      </c>
      <c r="B98" s="6" t="str">
        <f>VLOOKUP(A98,'Analisis por Categorias'!B:C,2,FALSE)</f>
        <v>Computadores</v>
      </c>
      <c r="D98" s="3">
        <f>SUMIF(CATEGORIAS[[#All],[SUBGRUPO]],A98,CATEGORIAS[[#All],[PRESUPUESTO
(ORIGINAL)]])</f>
        <v>9839991.2000000011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11671351.011997472</v>
      </c>
      <c r="G98" s="71">
        <f>+SUMIF(CATEGORIAS[[#All],[SUBGRUPO]],A98,CATEGORIAS[[#All],[PRODUCCION
PARTIDAS
ORIGINALES
ACTUAL]])</f>
        <v>10185001.504926139</v>
      </c>
      <c r="H98" s="71">
        <f>+SUMIF(CATEGORIAS[[#All],[SUBGRUPO]],A98,CATEGORIAS[[#All],[PRODUCCION
ADICIONALES
ACTUAL]])</f>
        <v>1486349.5070713325</v>
      </c>
      <c r="I98" s="85">
        <f t="shared" si="145"/>
        <v>11671351.011997472</v>
      </c>
      <c r="J98" s="79"/>
      <c r="K98" s="71">
        <f>+SUMIF(CATEGORIAS[[#All],[SUBGRUPO]],A98,CATEGORIAS[[#All],[PRODUCCION
ANTERIOR]])</f>
        <v>10185001.504926139</v>
      </c>
      <c r="L98" s="71">
        <f>+SUMIF(CATEGORIAS[[#All],[SUBGRUPO]],A98,CATEGORIAS[[#All],[PRODUCCION
ADICIONALES
ANTERIOR]])</f>
        <v>1484417.9107846147</v>
      </c>
      <c r="M98" s="85">
        <f t="shared" si="146"/>
        <v>11669419.415710755</v>
      </c>
      <c r="N98" s="79"/>
      <c r="O98" s="85">
        <f t="shared" si="147"/>
        <v>0</v>
      </c>
      <c r="P98" s="85">
        <f t="shared" si="147"/>
        <v>1931.5962867178023</v>
      </c>
      <c r="Q98" s="85">
        <f t="shared" si="147"/>
        <v>1931.5962867178023</v>
      </c>
      <c r="R98" s="127">
        <f>SUM(D98:Q98)</f>
        <v>68196746.259987354</v>
      </c>
    </row>
    <row r="99" spans="1:18" ht="15" customHeight="1" x14ac:dyDescent="0.3">
      <c r="A99" s="14" t="s">
        <v>241</v>
      </c>
      <c r="B99" s="6" t="str">
        <f>VLOOKUP(A99,'Analisis por Categorias'!B:C,2,FALSE)</f>
        <v>Impresoras / Fotocopias</v>
      </c>
      <c r="D99" s="3">
        <f>SUMIF(CATEGORIAS[[#All],[SUBGRUPO]],A99,CATEGORIAS[[#All],[PRESUPUESTO
(ORIGINAL)]])</f>
        <v>6988715.5472142855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8800966.7923478894</v>
      </c>
      <c r="G99" s="71">
        <f>+SUMIF(CATEGORIAS[[#All],[SUBGRUPO]],A99,CATEGORIAS[[#All],[PRODUCCION
PARTIDAS
ORIGINALES
ACTUAL]])</f>
        <v>7052501.9801086653</v>
      </c>
      <c r="H99" s="71">
        <f>+SUMIF(CATEGORIAS[[#All],[SUBGRUPO]],A99,CATEGORIAS[[#All],[PRODUCCION
ADICIONALES
ACTUAL]])</f>
        <v>1748464.8122392246</v>
      </c>
      <c r="I99" s="85">
        <f t="shared" ref="I99:I106" si="148">G99+H99</f>
        <v>8800966.7923478894</v>
      </c>
      <c r="J99" s="79"/>
      <c r="K99" s="71">
        <f>+SUMIF(CATEGORIAS[[#All],[SUBGRUPO]],A99,CATEGORIAS[[#All],[PRODUCCION
ANTERIOR]])</f>
        <v>7052501.9801086653</v>
      </c>
      <c r="L99" s="71">
        <f>+SUMIF(CATEGORIAS[[#All],[SUBGRUPO]],A99,CATEGORIAS[[#All],[PRODUCCION
ADICIONALES
ANTERIOR]])</f>
        <v>1747127.2977940617</v>
      </c>
      <c r="M99" s="85">
        <f t="shared" ref="M99:M106" si="149">K99+L99</f>
        <v>8799629.2779027261</v>
      </c>
      <c r="N99" s="79"/>
      <c r="O99" s="85">
        <f t="shared" ref="O99:O106" si="150">G99-K99</f>
        <v>0</v>
      </c>
      <c r="P99" s="85">
        <f t="shared" ref="P99:P106" si="151">H99-L99</f>
        <v>1337.5144451628439</v>
      </c>
      <c r="Q99" s="85">
        <f t="shared" ref="Q99:Q106" si="152">I99-M99</f>
        <v>1337.5144451633096</v>
      </c>
      <c r="R99" s="127">
        <f t="shared" ref="R99:R106" si="153">SUM(D99:Q99)</f>
        <v>50993549.508953735</v>
      </c>
    </row>
    <row r="100" spans="1:18" ht="15" hidden="1" customHeight="1" x14ac:dyDescent="0.3">
      <c r="A100" s="14" t="s">
        <v>242</v>
      </c>
      <c r="B100" s="6" t="str">
        <f>VLOOKUP(A100,'Analisis por Categorias'!B:C,2,FALSE)</f>
        <v>Calificaciones</v>
      </c>
      <c r="D100" s="3">
        <f>SUMIF(CATEGORIAS[[#All],[SUBGRUPO]],A100,CATEGORIAS[[#All],[PRESUPUESTO
(ORIGINAL)]])</f>
        <v>30843363.248571426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34036748.358429968</v>
      </c>
      <c r="G100" s="71">
        <f>+SUMIF(CATEGORIAS[[#All],[SUBGRUPO]],A100,CATEGORIAS[[#All],[PRODUCCION
PARTIDAS
ORIGINALES
ACTUAL]])</f>
        <v>29508097.716117077</v>
      </c>
      <c r="H100" s="71">
        <f>+SUMIF(CATEGORIAS[[#All],[SUBGRUPO]],A100,CATEGORIAS[[#All],[PRODUCCION
ADICIONALES
ACTUAL]])</f>
        <v>4528650.6423128899</v>
      </c>
      <c r="I100" s="85">
        <f t="shared" si="148"/>
        <v>34036748.358429968</v>
      </c>
      <c r="J100" s="79"/>
      <c r="K100" s="71">
        <f>+SUMIF(CATEGORIAS[[#All],[SUBGRUPO]],A100,CATEGORIAS[[#All],[PRODUCCION
ANTERIOR]])</f>
        <v>29508097.716117077</v>
      </c>
      <c r="L100" s="71">
        <f>+SUMIF(CATEGORIAS[[#All],[SUBGRUPO]],A100,CATEGORIAS[[#All],[PRODUCCION
ADICIONALES
ANTERIOR]])</f>
        <v>4534798.4004322169</v>
      </c>
      <c r="M100" s="85">
        <f t="shared" si="149"/>
        <v>34042896.116549291</v>
      </c>
      <c r="N100" s="79"/>
      <c r="O100" s="85">
        <f t="shared" si="150"/>
        <v>0</v>
      </c>
      <c r="P100" s="85">
        <f t="shared" si="151"/>
        <v>-6147.7581193270162</v>
      </c>
      <c r="Q100" s="85">
        <f t="shared" si="152"/>
        <v>-6147.7581193223596</v>
      </c>
      <c r="R100" s="127">
        <f t="shared" si="153"/>
        <v>201027105.0407213</v>
      </c>
    </row>
    <row r="101" spans="1:18" ht="15" customHeight="1" x14ac:dyDescent="0.3">
      <c r="A101" s="14" t="s">
        <v>2415</v>
      </c>
      <c r="B101" s="6" t="str">
        <f>VLOOKUP(A101,'Analisis por Categorias'!B:C,2,FALSE)</f>
        <v>Elementos Seguridad Indirectos</v>
      </c>
      <c r="D101" s="3">
        <f>SUMIF(CATEGORIAS[[#All],[SUBGRUPO]],A101,CATEGORIAS[[#All],[PRESUPUESTO
(ORIGINAL)]])</f>
        <v>14137964.285714285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19259966.928273432</v>
      </c>
      <c r="G101" s="71">
        <f>+SUMIF(CATEGORIAS[[#All],[SUBGRUPO]],A101,CATEGORIAS[[#All],[PRODUCCION
PARTIDAS
ORIGINALES
ACTUAL]])</f>
        <v>14633670.355984872</v>
      </c>
      <c r="H101" s="71">
        <f>+SUMIF(CATEGORIAS[[#All],[SUBGRUPO]],A101,CATEGORIAS[[#All],[PRODUCCION
ADICIONALES
ACTUAL]])</f>
        <v>4626296.5722885579</v>
      </c>
      <c r="I101" s="85">
        <f t="shared" si="148"/>
        <v>19259966.928273432</v>
      </c>
      <c r="J101" s="79"/>
      <c r="K101" s="71">
        <f>+SUMIF(CATEGORIAS[[#All],[SUBGRUPO]],A101,CATEGORIAS[[#All],[PRODUCCION
ANTERIOR]])</f>
        <v>14633670.355984872</v>
      </c>
      <c r="L101" s="71">
        <f>+SUMIF(CATEGORIAS[[#All],[SUBGRUPO]],A101,CATEGORIAS[[#All],[PRODUCCION
ADICIONALES
ANTERIOR]])</f>
        <v>4623521.281258218</v>
      </c>
      <c r="M101" s="85">
        <f t="shared" si="149"/>
        <v>19257191.637243092</v>
      </c>
      <c r="N101" s="79"/>
      <c r="O101" s="85">
        <f t="shared" si="150"/>
        <v>0</v>
      </c>
      <c r="P101" s="85">
        <f t="shared" si="151"/>
        <v>2775.2910303398967</v>
      </c>
      <c r="Q101" s="85">
        <f t="shared" si="152"/>
        <v>2775.2910303398967</v>
      </c>
      <c r="R101" s="127">
        <f t="shared" si="153"/>
        <v>110437798.92708147</v>
      </c>
    </row>
    <row r="102" spans="1:18" ht="15" customHeight="1" x14ac:dyDescent="0.3">
      <c r="A102" s="14" t="s">
        <v>243</v>
      </c>
      <c r="B102" s="6" t="str">
        <f>VLOOKUP(A102,'Analisis por Categorias'!B:C,2,FALSE)</f>
        <v>Café. Y Agua Potab.</v>
      </c>
      <c r="D102" s="3">
        <f>SUMIF(CATEGORIAS[[#All],[SUBGRUPO]],A102,CATEGORIAS[[#All],[PRESUPUESTO
(ORIGINAL)]])</f>
        <v>5117633.4354056884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6850971.9822106585</v>
      </c>
      <c r="G102" s="71">
        <f>+SUMIF(CATEGORIAS[[#All],[SUBGRUPO]],A102,CATEGORIAS[[#All],[PRODUCCION
PARTIDAS
ORIGINALES
ACTUAL]])</f>
        <v>5297068.1763686193</v>
      </c>
      <c r="H102" s="71">
        <f>+SUMIF(CATEGORIAS[[#All],[SUBGRUPO]],A102,CATEGORIAS[[#All],[PRODUCCION
ADICIONALES
ACTUAL]])</f>
        <v>1553903.8058420394</v>
      </c>
      <c r="I102" s="85">
        <f t="shared" si="148"/>
        <v>6850971.9822106585</v>
      </c>
      <c r="J102" s="79"/>
      <c r="K102" s="71">
        <f>+SUMIF(CATEGORIAS[[#All],[SUBGRUPO]],A102,CATEGORIAS[[#All],[PRODUCCION
ANTERIOR]])</f>
        <v>5297068.1763686193</v>
      </c>
      <c r="L102" s="71">
        <f>+SUMIF(CATEGORIAS[[#All],[SUBGRUPO]],A102,CATEGORIAS[[#All],[PRODUCCION
ADICIONALES
ANTERIOR]])</f>
        <v>1552899.2112707954</v>
      </c>
      <c r="M102" s="85">
        <f t="shared" si="149"/>
        <v>6849967.3876394145</v>
      </c>
      <c r="N102" s="79"/>
      <c r="O102" s="85">
        <f t="shared" si="150"/>
        <v>0</v>
      </c>
      <c r="P102" s="85">
        <f t="shared" si="151"/>
        <v>1004.5945712439716</v>
      </c>
      <c r="Q102" s="85">
        <f t="shared" si="152"/>
        <v>1004.5945712439716</v>
      </c>
      <c r="R102" s="127">
        <f t="shared" si="153"/>
        <v>39372493.346458986</v>
      </c>
    </row>
    <row r="103" spans="1:18" ht="15" hidden="1" customHeight="1" x14ac:dyDescent="0.3">
      <c r="A103" s="14" t="s">
        <v>2416</v>
      </c>
      <c r="B103" s="6" t="e">
        <f>VLOOKUP(A103,'Analisis por Categorias'!B:C,2,FALSE)</f>
        <v>#N/A</v>
      </c>
      <c r="D103" s="3">
        <f>SUMIF(CATEGORIAS[[#All],[SUBGRUPO]],A103,CATEGORIAS[[#All],[PRESUPUESTO
(ORIGINAL)]])</f>
        <v>0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0</v>
      </c>
      <c r="G103" s="71">
        <f>+SUMIF(CATEGORIAS[[#All],[SUBGRUPO]],A103,CATEGORIAS[[#All],[PRODUCCION
PARTIDAS
ORIGINALES
ACTUAL]])</f>
        <v>0</v>
      </c>
      <c r="H103" s="71">
        <f>+SUMIF(CATEGORIAS[[#All],[SUBGRUPO]],A103,CATEGORIAS[[#All],[PRODUCCION
ADICIONALES
ACTUAL]])</f>
        <v>0</v>
      </c>
      <c r="I103" s="85">
        <f t="shared" si="148"/>
        <v>0</v>
      </c>
      <c r="J103" s="79"/>
      <c r="K103" s="71">
        <f>+SUMIF(CATEGORIAS[[#All],[SUBGRUPO]],A103,CATEGORIAS[[#All],[PRODUCCION
ANTERIOR]])</f>
        <v>0</v>
      </c>
      <c r="L103" s="71">
        <f>+SUMIF(CATEGORIAS[[#All],[SUBGRUPO]],A103,CATEGORIAS[[#All],[PRODUCCION
ADICIONALES
ANTERIOR]])</f>
        <v>0</v>
      </c>
      <c r="M103" s="85">
        <f t="shared" si="149"/>
        <v>0</v>
      </c>
      <c r="N103" s="79"/>
      <c r="O103" s="85">
        <f t="shared" si="150"/>
        <v>0</v>
      </c>
      <c r="P103" s="85">
        <f t="shared" si="151"/>
        <v>0</v>
      </c>
      <c r="Q103" s="85">
        <f t="shared" si="152"/>
        <v>0</v>
      </c>
      <c r="R103" s="127">
        <f t="shared" si="153"/>
        <v>0</v>
      </c>
    </row>
    <row r="104" spans="1:18" ht="15" hidden="1" customHeight="1" x14ac:dyDescent="0.3">
      <c r="A104" s="14" t="s">
        <v>2417</v>
      </c>
      <c r="B104" s="6" t="e">
        <f>VLOOKUP(A104,'Analisis por Categorias'!B:C,2,FALSE)</f>
        <v>#N/A</v>
      </c>
      <c r="D104" s="3">
        <f>SUMIF(CATEGORIAS[[#All],[SUBGRUPO]],A104,CATEGORIAS[[#All],[PRESUPUESTO
(ORIGINAL)]])</f>
        <v>0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71">
        <f>+SUMIF(CATEGORIAS[[#All],[SUBGRUPO]],A104,CATEGORIAS[[#All],[PRODUCCION
PARTIDAS
ORIGINALES
ACTUAL]])</f>
        <v>0</v>
      </c>
      <c r="H104" s="71">
        <f>+SUMIF(CATEGORIAS[[#All],[SUBGRUPO]],A104,CATEGORIAS[[#All],[PRODUCCION
ADICIONALES
ACTUAL]])</f>
        <v>0</v>
      </c>
      <c r="I104" s="85">
        <f t="shared" si="148"/>
        <v>0</v>
      </c>
      <c r="J104" s="79"/>
      <c r="K104" s="71">
        <f>+SUMIF(CATEGORIAS[[#All],[SUBGRUPO]],A104,CATEGORIAS[[#All],[PRODUCCION
ANTERIOR]])</f>
        <v>0</v>
      </c>
      <c r="L104" s="71">
        <f>+SUMIF(CATEGORIAS[[#All],[SUBGRUPO]],A104,CATEGORIAS[[#All],[PRODUCCION
ADICIONALES
ANTERIOR]])</f>
        <v>0</v>
      </c>
      <c r="M104" s="85">
        <f t="shared" si="149"/>
        <v>0</v>
      </c>
      <c r="N104" s="79"/>
      <c r="O104" s="85">
        <f t="shared" si="150"/>
        <v>0</v>
      </c>
      <c r="P104" s="85">
        <f t="shared" si="151"/>
        <v>0</v>
      </c>
      <c r="Q104" s="85">
        <f t="shared" si="152"/>
        <v>0</v>
      </c>
      <c r="R104" s="127">
        <f t="shared" si="153"/>
        <v>0</v>
      </c>
    </row>
    <row r="105" spans="1:18" ht="15" hidden="1" customHeight="1" x14ac:dyDescent="0.3">
      <c r="A105" s="14" t="s">
        <v>2418</v>
      </c>
      <c r="B105" s="6" t="e">
        <f>VLOOKUP(A105,'Analisis por Categorias'!B:C,2,FALSE)</f>
        <v>#N/A</v>
      </c>
      <c r="D105" s="3">
        <f>SUMIF(CATEGORIAS[[#All],[SUBGRUPO]],A105,CATEGORIAS[[#All],[PRESUPUESTO
(ORIGINAL)]])</f>
        <v>0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71">
        <f>+SUMIF(CATEGORIAS[[#All],[SUBGRUPO]],A105,CATEGORIAS[[#All],[PRODUCCION
PARTIDAS
ORIGINALES
ACTUAL]])</f>
        <v>0</v>
      </c>
      <c r="H105" s="71">
        <f>+SUMIF(CATEGORIAS[[#All],[SUBGRUPO]],A105,CATEGORIAS[[#All],[PRODUCCION
ADICIONALES
ACTUAL]])</f>
        <v>0</v>
      </c>
      <c r="I105" s="85">
        <f t="shared" si="148"/>
        <v>0</v>
      </c>
      <c r="J105" s="79"/>
      <c r="K105" s="71">
        <f>+SUMIF(CATEGORIAS[[#All],[SUBGRUPO]],A105,CATEGORIAS[[#All],[PRODUCCION
ANTERIOR]])</f>
        <v>0</v>
      </c>
      <c r="L105" s="71">
        <f>+SUMIF(CATEGORIAS[[#All],[SUBGRUPO]],A105,CATEGORIAS[[#All],[PRODUCCION
ADICIONALES
ANTERIOR]])</f>
        <v>0</v>
      </c>
      <c r="M105" s="85">
        <f t="shared" si="149"/>
        <v>0</v>
      </c>
      <c r="N105" s="79"/>
      <c r="O105" s="85">
        <f t="shared" si="150"/>
        <v>0</v>
      </c>
      <c r="P105" s="85">
        <f t="shared" si="151"/>
        <v>0</v>
      </c>
      <c r="Q105" s="85">
        <f t="shared" si="152"/>
        <v>0</v>
      </c>
      <c r="R105" s="127">
        <f t="shared" si="153"/>
        <v>0</v>
      </c>
    </row>
    <row r="106" spans="1:18" ht="15" hidden="1" customHeight="1" x14ac:dyDescent="0.3">
      <c r="A106" s="14" t="s">
        <v>2419</v>
      </c>
      <c r="B106" s="6" t="e">
        <f>VLOOKUP(A106,'Analisis por Categorias'!B:C,2,FALSE)</f>
        <v>#N/A</v>
      </c>
      <c r="D106" s="3">
        <f>SUMIF(CATEGORIAS[[#All],[SUBGRUPO]],A106,CATEGORIAS[[#All],[PRESUPUESTO
(ORIGINAL)]])</f>
        <v>0</v>
      </c>
      <c r="E106" s="3">
        <f>+SUMIF(CATEGORIAS[[#All],[SUBGRUPO]],A106,CATEGORIAS[[#All],[PRODUCCION
PARTIDAS
ORIGINALES
ACTUAL]])
+SUMIF(CATEGORIAS[[#All],[SUBGRUPO]],A106,CATEGORIAS[[#All],[PRODUCCION
ADICIONALES
ACTUAL]])
+SUMIF(CATEGORIAS[[#All],[SUBGRUPO]],A106,CATEGORIAS[[#All],[PROYECCION
DE INGRESO
DEL SALDO]])</f>
        <v>0</v>
      </c>
      <c r="G106" s="71">
        <f>+SUMIF(CATEGORIAS[[#All],[SUBGRUPO]],A106,CATEGORIAS[[#All],[PRODUCCION
PARTIDAS
ORIGINALES
ACTUAL]])</f>
        <v>0</v>
      </c>
      <c r="H106" s="71">
        <f>+SUMIF(CATEGORIAS[[#All],[SUBGRUPO]],A106,CATEGORIAS[[#All],[PRODUCCION
ADICIONALES
ACTUAL]])</f>
        <v>0</v>
      </c>
      <c r="I106" s="85">
        <f t="shared" si="148"/>
        <v>0</v>
      </c>
      <c r="J106" s="79"/>
      <c r="K106" s="71">
        <f>+SUMIF(CATEGORIAS[[#All],[SUBGRUPO]],A106,CATEGORIAS[[#All],[PRODUCCION
ANTERIOR]])</f>
        <v>0</v>
      </c>
      <c r="L106" s="71">
        <f>+SUMIF(CATEGORIAS[[#All],[SUBGRUPO]],A106,CATEGORIAS[[#All],[PRODUCCION
ADICIONALES
ANTERIOR]])</f>
        <v>0</v>
      </c>
      <c r="M106" s="85">
        <f t="shared" si="149"/>
        <v>0</v>
      </c>
      <c r="N106" s="79"/>
      <c r="O106" s="85">
        <f t="shared" si="150"/>
        <v>0</v>
      </c>
      <c r="P106" s="85">
        <f t="shared" si="151"/>
        <v>0</v>
      </c>
      <c r="Q106" s="85">
        <f t="shared" si="152"/>
        <v>0</v>
      </c>
      <c r="R106" s="127">
        <f t="shared" si="153"/>
        <v>0</v>
      </c>
    </row>
    <row r="107" spans="1:18" ht="8.25" customHeight="1" x14ac:dyDescent="0.3">
      <c r="J107" s="79"/>
      <c r="N107" s="79"/>
      <c r="R107" s="127">
        <f t="shared" si="101"/>
        <v>0</v>
      </c>
    </row>
    <row r="108" spans="1:18" ht="14.25" customHeight="1" x14ac:dyDescent="0.3">
      <c r="A108" s="14" t="s">
        <v>244</v>
      </c>
      <c r="B108" s="81" t="s">
        <v>245</v>
      </c>
      <c r="D108" s="82">
        <f>SUM(D109:D111)</f>
        <v>59828637.61628902</v>
      </c>
      <c r="E108" s="82">
        <f>SUM(E109:E111)</f>
        <v>61938096.957085773</v>
      </c>
      <c r="G108" s="82">
        <f>SUM(G109:G111)</f>
        <v>61938096.951980434</v>
      </c>
      <c r="H108" s="82">
        <f>SUM(H109:H111)</f>
        <v>0</v>
      </c>
      <c r="I108" s="82">
        <f>SUM(I109:I111)</f>
        <v>61938096.951980434</v>
      </c>
      <c r="J108" s="79"/>
      <c r="K108" s="82">
        <f>SUM(K109:K111)</f>
        <v>61926352.551980369</v>
      </c>
      <c r="L108" s="82">
        <f>SUM(L109:L111)</f>
        <v>0</v>
      </c>
      <c r="M108" s="82">
        <f>SUM(M109:M111)</f>
        <v>61926352.551980369</v>
      </c>
      <c r="N108" s="79"/>
      <c r="O108" s="82">
        <f>SUM(O109:O111)</f>
        <v>11744.40000006929</v>
      </c>
      <c r="P108" s="82">
        <f>SUM(P109:P111)</f>
        <v>0</v>
      </c>
      <c r="Q108" s="82">
        <f>SUM(Q109:Q111)</f>
        <v>11744.40000006929</v>
      </c>
      <c r="R108" s="127">
        <f t="shared" si="101"/>
        <v>369519122.38129658</v>
      </c>
    </row>
    <row r="109" spans="1:18" ht="15" customHeight="1" x14ac:dyDescent="0.3">
      <c r="A109" s="14" t="s">
        <v>246</v>
      </c>
      <c r="B109" s="6" t="str">
        <f>VLOOKUP(A109,'Analisis por Categorias'!B:C,2,FALSE)</f>
        <v>Boleta Garantia</v>
      </c>
      <c r="D109" s="3">
        <f>SUMIF(CATEGORIAS[[#All],[SUBGRUPO]],A109,CATEGORIAS[[#All],[PRESUPUESTO
(ORIGINAL)]])</f>
        <v>12191666.666902319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12621524.776162468</v>
      </c>
      <c r="G109" s="71">
        <f>+SUMIF(CATEGORIAS[[#All],[SUBGRUPO]],A109,CATEGORIAS[[#All],[PRODUCCION
PARTIDAS
ORIGINALES
ACTUAL]])</f>
        <v>12621524.774544301</v>
      </c>
      <c r="H109" s="71">
        <f>+SUMIF(CATEGORIAS[[#All],[SUBGRUPO]],A109,CATEGORIAS[[#All],[PRODUCCION
ADICIONALES
ACTUAL]])</f>
        <v>0</v>
      </c>
      <c r="I109" s="85">
        <f>G109+H109</f>
        <v>12621524.774544301</v>
      </c>
      <c r="J109" s="79"/>
      <c r="K109" s="71">
        <f>+SUMIF(CATEGORIAS[[#All],[SUBGRUPO]],A109,CATEGORIAS[[#All],[PRODUCCION
ANTERIOR]])</f>
        <v>12619131.544544263</v>
      </c>
      <c r="L109" s="71">
        <f>+SUMIF(CATEGORIAS[[#All],[SUBGRUPO]],A109,CATEGORIAS[[#All],[PRODUCCION
ADICIONALES
ANTERIOR]])</f>
        <v>0</v>
      </c>
      <c r="M109" s="71">
        <f>K109+L109</f>
        <v>12619131.544544263</v>
      </c>
      <c r="N109" s="79"/>
      <c r="O109" s="71">
        <f t="shared" ref="O109:Q110" si="154">G109-K109</f>
        <v>2393.2300000376999</v>
      </c>
      <c r="P109" s="71">
        <f t="shared" si="154"/>
        <v>0</v>
      </c>
      <c r="Q109" s="71">
        <f t="shared" si="154"/>
        <v>2393.2300000376999</v>
      </c>
      <c r="R109" s="127">
        <f>SUM(D109:Q109)</f>
        <v>75299290.541241974</v>
      </c>
    </row>
    <row r="110" spans="1:18" ht="15" customHeight="1" x14ac:dyDescent="0.3">
      <c r="A110" s="14" t="s">
        <v>247</v>
      </c>
      <c r="B110" s="6" t="str">
        <f>VLOOKUP(A110,'Analisis por Categorias'!B:C,2,FALSE)</f>
        <v>Gastos por Seguros</v>
      </c>
      <c r="D110" s="3">
        <f>SUMIF(CATEGORIAS[[#All],[SUBGRUPO]],A110,CATEGORIAS[[#All],[PRESUPUESTO
(ORIGINAL)]])</f>
        <v>39324470.949226037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40710987.103928268</v>
      </c>
      <c r="G110" s="71">
        <f>+SUMIF(CATEGORIAS[[#All],[SUBGRUPO]],A110,CATEGORIAS[[#All],[PRODUCCION
PARTIDAS
ORIGINALES
ACTUAL]])</f>
        <v>40710987.101610504</v>
      </c>
      <c r="H110" s="71">
        <f>+SUMIF(CATEGORIAS[[#All],[SUBGRUPO]],A110,CATEGORIAS[[#All],[PRODUCCION
ADICIONALES
ACTUAL]])</f>
        <v>0</v>
      </c>
      <c r="I110" s="85">
        <f>G110+H110</f>
        <v>40710987.101610504</v>
      </c>
      <c r="J110" s="79"/>
      <c r="K110" s="71">
        <f>+SUMIF(CATEGORIAS[[#All],[SUBGRUPO]],A110,CATEGORIAS[[#All],[PRODUCCION
ANTERIOR]])</f>
        <v>40703267.681610473</v>
      </c>
      <c r="L110" s="71">
        <f>+SUMIF(CATEGORIAS[[#All],[SUBGRUPO]],A110,CATEGORIAS[[#All],[PRODUCCION
ADICIONALES
ANTERIOR]])</f>
        <v>0</v>
      </c>
      <c r="M110" s="71">
        <f>K110+L110</f>
        <v>40703267.681610473</v>
      </c>
      <c r="N110" s="79"/>
      <c r="O110" s="71">
        <f t="shared" si="154"/>
        <v>7719.4200000315905</v>
      </c>
      <c r="P110" s="71">
        <f t="shared" si="154"/>
        <v>0</v>
      </c>
      <c r="Q110" s="71">
        <f t="shared" si="154"/>
        <v>7719.4200000315905</v>
      </c>
      <c r="R110" s="127">
        <f>SUM(D110:Q110)</f>
        <v>242879406.45959628</v>
      </c>
    </row>
    <row r="111" spans="1:18" ht="15" customHeight="1" x14ac:dyDescent="0.3">
      <c r="A111" s="14" t="s">
        <v>2429</v>
      </c>
      <c r="B111" s="6" t="str">
        <f>VLOOKUP(A111,'Analisis por Categorias'!B:C,2,FALSE)</f>
        <v>Costos Financieros</v>
      </c>
      <c r="D111" s="3">
        <f>SUMIF(CATEGORIAS[[#All],[SUBGRUPO]],A111,CATEGORIAS[[#All],[PRESUPUESTO
(ORIGINAL)]])</f>
        <v>8312500.000160668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8605585.0769950356</v>
      </c>
      <c r="G111" s="71">
        <f>+SUMIF(CATEGORIAS[[#All],[SUBGRUPO]],A111,CATEGORIAS[[#All],[PRODUCCION
PARTIDAS
ORIGINALES
ACTUAL]])</f>
        <v>8605585.0758256298</v>
      </c>
      <c r="H111" s="71">
        <f>+SUMIF(CATEGORIAS[[#All],[SUBGRUPO]],A111,CATEGORIAS[[#All],[PRODUCCION
ADICIONALES
ACTUAL]])</f>
        <v>0</v>
      </c>
      <c r="I111" s="85">
        <f>G111+H111</f>
        <v>8605585.0758256298</v>
      </c>
      <c r="J111" s="79"/>
      <c r="K111" s="71">
        <f>+SUMIF(CATEGORIAS[[#All],[SUBGRUPO]],A111,CATEGORIAS[[#All],[PRODUCCION
ANTERIOR]])</f>
        <v>8603953.3258256298</v>
      </c>
      <c r="L111" s="71">
        <f>+SUMIF(CATEGORIAS[[#All],[SUBGRUPO]],A111,CATEGORIAS[[#All],[PRODUCCION
ADICIONALES
ANTERIOR]])</f>
        <v>0</v>
      </c>
      <c r="M111" s="71">
        <f>K111+L111</f>
        <v>8603953.3258256298</v>
      </c>
      <c r="N111" s="79"/>
      <c r="O111" s="71">
        <f t="shared" ref="O111" si="155">G111-K111</f>
        <v>1631.75</v>
      </c>
      <c r="P111" s="71">
        <f t="shared" ref="P111" si="156">H111-L111</f>
        <v>0</v>
      </c>
      <c r="Q111" s="71">
        <f t="shared" ref="Q111" si="157">I111-M111</f>
        <v>1631.75</v>
      </c>
      <c r="R111" s="127">
        <f>SUM(D111:Q111)</f>
        <v>51340425.380458228</v>
      </c>
    </row>
    <row r="112" spans="1:18" ht="8.25" customHeight="1" x14ac:dyDescent="0.3">
      <c r="J112" s="79"/>
      <c r="N112" s="79"/>
      <c r="R112" s="127">
        <f t="shared" si="101"/>
        <v>0</v>
      </c>
    </row>
    <row r="113" spans="1:18" ht="13.5" customHeight="1" x14ac:dyDescent="0.3">
      <c r="A113" s="14" t="s">
        <v>248</v>
      </c>
      <c r="B113" s="81" t="s">
        <v>249</v>
      </c>
      <c r="D113" s="82">
        <f>SUM(D114:D116)</f>
        <v>380000000.0073449</v>
      </c>
      <c r="E113" s="82">
        <f>SUM(E114:E116)</f>
        <v>380000000.0073449</v>
      </c>
      <c r="G113" s="83">
        <f>SUM(G114:G116)</f>
        <v>380000000.0073449</v>
      </c>
      <c r="H113" s="83">
        <f>SUM(H114:H116)</f>
        <v>0</v>
      </c>
      <c r="I113" s="83">
        <f>SUM(I114:I116)</f>
        <v>380000000.0073449</v>
      </c>
      <c r="J113" s="79"/>
      <c r="K113" s="83">
        <f>SUM(K114:K116)</f>
        <v>380000000.0073449</v>
      </c>
      <c r="L113" s="83">
        <f>SUM(L114:L116)</f>
        <v>0</v>
      </c>
      <c r="M113" s="83">
        <f>SUM(M114:M116)</f>
        <v>380000000.0073449</v>
      </c>
      <c r="N113" s="79"/>
      <c r="O113" s="83">
        <f>SUM(O114:O116)</f>
        <v>0</v>
      </c>
      <c r="P113" s="83">
        <f>SUM(P114:P116)</f>
        <v>0</v>
      </c>
      <c r="Q113" s="83">
        <f>SUM(Q114:Q116)</f>
        <v>0</v>
      </c>
      <c r="R113" s="127">
        <f t="shared" si="101"/>
        <v>2280000000.0440693</v>
      </c>
    </row>
    <row r="114" spans="1:18" ht="15" customHeight="1" x14ac:dyDescent="0.3">
      <c r="A114" s="14" t="s">
        <v>155</v>
      </c>
      <c r="B114" s="6" t="str">
        <f>VLOOKUP(A114,'Analisis por Categorias'!B:C,2,FALSE)</f>
        <v>Oficina Central</v>
      </c>
      <c r="D114" s="3">
        <f>SUMIF(CATEGORIAS[[#All],[SUBGRUPO]],A114,CATEGORIAS[[#All],[PRESUPUESTO
(ORIGINAL)]])</f>
        <v>190000000.00367245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190000000.00367245</v>
      </c>
      <c r="G114" s="71">
        <f>+SUMIF(CATEGORIAS[[#All],[SUBGRUPO]],A114,CATEGORIAS[[#All],[PRODUCCION
PARTIDAS
ORIGINALES
ACTUAL]])</f>
        <v>190000000.00367245</v>
      </c>
      <c r="H114" s="71">
        <f>+SUMIF(CATEGORIAS[[#All],[SUBGRUPO]],A114,CATEGORIAS[[#All],[PRODUCCION
ADICIONALES
ACTUAL]])</f>
        <v>0</v>
      </c>
      <c r="I114" s="85">
        <f>G114+H114</f>
        <v>190000000.00367245</v>
      </c>
      <c r="J114" s="79"/>
      <c r="K114" s="71">
        <f>+SUMIF(CATEGORIAS[[#All],[SUBGRUPO]],A114,CATEGORIAS[[#All],[PRODUCCION
ANTERIOR]])</f>
        <v>190000000.00367245</v>
      </c>
      <c r="L114" s="71">
        <f>+SUMIF(CATEGORIAS[[#All],[SUBGRUPO]],A114,CATEGORIAS[[#All],[PRODUCCION
ADICIONALES
ANTERIOR]])</f>
        <v>0</v>
      </c>
      <c r="M114" s="71">
        <f>K114+L114</f>
        <v>190000000.00367245</v>
      </c>
      <c r="N114" s="79"/>
      <c r="O114" s="71">
        <f t="shared" ref="O114:Q116" si="158">G114-K114</f>
        <v>0</v>
      </c>
      <c r="P114" s="71">
        <f t="shared" si="158"/>
        <v>0</v>
      </c>
      <c r="Q114" s="71">
        <f t="shared" si="158"/>
        <v>0</v>
      </c>
      <c r="R114" s="127">
        <f t="shared" si="101"/>
        <v>1140000000.0220346</v>
      </c>
    </row>
    <row r="115" spans="1:18" ht="15" customHeight="1" x14ac:dyDescent="0.3">
      <c r="A115" s="14" t="s">
        <v>157</v>
      </c>
      <c r="B115" s="6" t="str">
        <f>VLOOKUP(A115,'Analisis por Categorias'!B:C,2,FALSE)</f>
        <v>Imprevistos</v>
      </c>
      <c r="D115" s="3">
        <f>SUMIF(CATEGORIAS[[#All],[SUBGRUPO]],A115,CATEGORIAS[[#All],[PRESUPUESTO
(ORIGINAL)]])</f>
        <v>47500000.000918113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47500000.000918113</v>
      </c>
      <c r="G115" s="71">
        <f>+SUMIF(CATEGORIAS[[#All],[SUBGRUPO]],A115,CATEGORIAS[[#All],[PRODUCCION
PARTIDAS
ORIGINALES
ACTUAL]])</f>
        <v>47500000.000918113</v>
      </c>
      <c r="H115" s="71">
        <f>+SUMIF(CATEGORIAS[[#All],[SUBGRUPO]],A115,CATEGORIAS[[#All],[PRODUCCION
ADICIONALES
ACTUAL]])</f>
        <v>0</v>
      </c>
      <c r="I115" s="85">
        <f>G115+H115</f>
        <v>47500000.000918113</v>
      </c>
      <c r="J115" s="79"/>
      <c r="K115" s="71">
        <f>+SUMIF(CATEGORIAS[[#All],[SUBGRUPO]],A115,CATEGORIAS[[#All],[PRODUCCION
ANTERIOR]])</f>
        <v>47500000.000918113</v>
      </c>
      <c r="L115" s="71">
        <f>+SUMIF(CATEGORIAS[[#All],[SUBGRUPO]],A115,CATEGORIAS[[#All],[PRODUCCION
ADICIONALES
ANTERIOR]])</f>
        <v>0</v>
      </c>
      <c r="M115" s="85">
        <f>K115+L115</f>
        <v>47500000.000918113</v>
      </c>
      <c r="N115" s="79"/>
      <c r="O115" s="85">
        <f t="shared" si="158"/>
        <v>0</v>
      </c>
      <c r="P115" s="85">
        <f t="shared" si="158"/>
        <v>0</v>
      </c>
      <c r="Q115" s="85">
        <f t="shared" si="158"/>
        <v>0</v>
      </c>
      <c r="R115" s="127">
        <f t="shared" si="101"/>
        <v>285000000.00550866</v>
      </c>
    </row>
    <row r="116" spans="1:18" ht="15" customHeight="1" x14ac:dyDescent="0.3">
      <c r="A116" s="14" t="s">
        <v>159</v>
      </c>
      <c r="B116" s="6" t="str">
        <f>VLOOKUP(A116,'Analisis por Categorias'!B:C,2,FALSE)</f>
        <v>Utilidades</v>
      </c>
      <c r="D116" s="3">
        <f>SUMIF(CATEGORIAS[[#All],[SUBGRUPO]],A116,CATEGORIAS[[#All],[PRESUPUESTO
(ORIGINAL)]])</f>
        <v>142500000.00275433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142500000.00275433</v>
      </c>
      <c r="G116" s="71">
        <f>+SUMIF(CATEGORIAS[[#All],[SUBGRUPO]],A116,CATEGORIAS[[#All],[PRODUCCION
PARTIDAS
ORIGINALES
ACTUAL]])</f>
        <v>142500000.00275433</v>
      </c>
      <c r="H116" s="71">
        <f>+SUMIF(CATEGORIAS[[#All],[SUBGRUPO]],A116,CATEGORIAS[[#All],[PRODUCCION
ADICIONALES
ACTUAL]])</f>
        <v>0</v>
      </c>
      <c r="I116" s="85">
        <f>G116+H116</f>
        <v>142500000.00275433</v>
      </c>
      <c r="J116" s="79"/>
      <c r="K116" s="71">
        <f>+SUMIF(CATEGORIAS[[#All],[SUBGRUPO]],A116,CATEGORIAS[[#All],[PRODUCCION
ANTERIOR]])</f>
        <v>142500000.00275433</v>
      </c>
      <c r="L116" s="71">
        <f>+SUMIF(CATEGORIAS[[#All],[SUBGRUPO]],A116,CATEGORIAS[[#All],[PRODUCCION
ADICIONALES
ANTERIOR]])</f>
        <v>0</v>
      </c>
      <c r="M116" s="71">
        <f>K116+L116</f>
        <v>142500000.00275433</v>
      </c>
      <c r="N116" s="79"/>
      <c r="O116" s="71">
        <f t="shared" si="158"/>
        <v>0</v>
      </c>
      <c r="P116" s="71">
        <f t="shared" si="158"/>
        <v>0</v>
      </c>
      <c r="Q116" s="71">
        <f t="shared" si="158"/>
        <v>0</v>
      </c>
      <c r="R116" s="127">
        <f t="shared" si="101"/>
        <v>855000000.01652598</v>
      </c>
    </row>
    <row r="117" spans="1:18" ht="8.25" customHeight="1" x14ac:dyDescent="0.3">
      <c r="J117" s="79"/>
      <c r="N117" s="79"/>
      <c r="R117" s="127">
        <f t="shared" si="101"/>
        <v>0</v>
      </c>
    </row>
    <row r="118" spans="1:18" ht="15" customHeight="1" x14ac:dyDescent="0.3">
      <c r="B118" s="7" t="s">
        <v>250</v>
      </c>
      <c r="D118" s="4">
        <f>SUM(D119:D129)</f>
        <v>4750000000.2055159</v>
      </c>
      <c r="E118" s="4">
        <f>SUM(E119:E129)</f>
        <v>6013966118.1520185</v>
      </c>
      <c r="G118" s="13">
        <f>SUM(G119:G129)</f>
        <v>4451884172.222373</v>
      </c>
      <c r="H118" s="13">
        <f>SUM(H119:H129)</f>
        <v>1562081945.9245405</v>
      </c>
      <c r="I118" s="13">
        <f>SUM(I119:I129)</f>
        <v>6013966118.1469135</v>
      </c>
      <c r="J118" s="79"/>
      <c r="K118" s="13">
        <f>SUM(K119:K129)</f>
        <v>4451872427.8223724</v>
      </c>
      <c r="L118" s="13">
        <f>SUM(L119:L129)</f>
        <v>1541301354.4184589</v>
      </c>
      <c r="M118" s="13">
        <f>SUM(M119:M129)</f>
        <v>5993173782.2408314</v>
      </c>
      <c r="N118" s="79"/>
      <c r="O118" s="13">
        <f>SUM(O119:O129)</f>
        <v>11744.40000006929</v>
      </c>
      <c r="P118" s="13">
        <f>SUM(P119:P129)</f>
        <v>20780591.506081261</v>
      </c>
      <c r="Q118" s="13">
        <f>SUM(Q119:Q129)</f>
        <v>20792335.90608133</v>
      </c>
      <c r="R118" s="127">
        <f t="shared" si="101"/>
        <v>34819830590.945183</v>
      </c>
    </row>
    <row r="119" spans="1:18" ht="15" customHeight="1" x14ac:dyDescent="0.3">
      <c r="A119" s="14" t="str">
        <f>A9</f>
        <v>0A00</v>
      </c>
      <c r="B119" s="81" t="s">
        <v>185</v>
      </c>
      <c r="D119" s="86">
        <f>D9</f>
        <v>989503980.44566989</v>
      </c>
      <c r="E119" s="86">
        <f>E9</f>
        <v>1239884575.233088</v>
      </c>
      <c r="G119" s="91">
        <f>G9</f>
        <v>897845946.52434623</v>
      </c>
      <c r="H119" s="91">
        <f>H9</f>
        <v>342038628.70874131</v>
      </c>
      <c r="I119" s="85">
        <f>G119+H119</f>
        <v>1239884575.2330875</v>
      </c>
      <c r="J119" s="79"/>
      <c r="K119" s="91">
        <f>K9</f>
        <v>897845946.52434623</v>
      </c>
      <c r="L119" s="91">
        <f>L9</f>
        <v>343984632.27721453</v>
      </c>
      <c r="M119" s="85">
        <f t="shared" ref="M119:M129" si="159">K119+L119</f>
        <v>1241830578.8015609</v>
      </c>
      <c r="N119" s="79"/>
      <c r="O119" s="85">
        <f>O9</f>
        <v>0</v>
      </c>
      <c r="P119" s="85">
        <f>P9</f>
        <v>-1946003.5684732581</v>
      </c>
      <c r="Q119" s="85">
        <f t="shared" ref="Q119:Q129" si="160">O119+P119</f>
        <v>-1946003.5684732581</v>
      </c>
      <c r="R119" s="127">
        <f t="shared" si="101"/>
        <v>7188926856.6111088</v>
      </c>
    </row>
    <row r="120" spans="1:18" ht="15" customHeight="1" x14ac:dyDescent="0.3">
      <c r="A120" s="14" t="str">
        <f>A19</f>
        <v>0B00</v>
      </c>
      <c r="B120" s="81" t="s">
        <v>196</v>
      </c>
      <c r="D120" s="86">
        <f>D19</f>
        <v>654136807.94229996</v>
      </c>
      <c r="E120" s="86">
        <f>E19</f>
        <v>679183187.46936965</v>
      </c>
      <c r="G120" s="91">
        <f>G19</f>
        <v>582060970.20638669</v>
      </c>
      <c r="H120" s="91">
        <f>H19</f>
        <v>97122217.262983099</v>
      </c>
      <c r="I120" s="85">
        <f t="shared" ref="I120:I129" si="161">G120+H120</f>
        <v>679183187.46936977</v>
      </c>
      <c r="J120" s="79"/>
      <c r="K120" s="91">
        <f>K19</f>
        <v>582060970.20638669</v>
      </c>
      <c r="L120" s="91">
        <f>L19</f>
        <v>97011828.785558715</v>
      </c>
      <c r="M120" s="85">
        <f t="shared" si="159"/>
        <v>679072798.99194539</v>
      </c>
      <c r="N120" s="79"/>
      <c r="O120" s="85">
        <f>O19</f>
        <v>0</v>
      </c>
      <c r="P120" s="85">
        <f>P19</f>
        <v>110388.47742438642</v>
      </c>
      <c r="Q120" s="85">
        <f t="shared" si="160"/>
        <v>110388.47742438642</v>
      </c>
      <c r="R120" s="127">
        <f t="shared" si="101"/>
        <v>4050052745.2891488</v>
      </c>
    </row>
    <row r="121" spans="1:18" ht="15" customHeight="1" x14ac:dyDescent="0.3">
      <c r="A121" s="14" t="str">
        <f>A30</f>
        <v>0C00</v>
      </c>
      <c r="B121" s="81" t="s">
        <v>201</v>
      </c>
      <c r="D121" s="86">
        <f>D30</f>
        <v>438661457.75153172</v>
      </c>
      <c r="E121" s="86">
        <f>E30</f>
        <v>495177817.53729898</v>
      </c>
      <c r="G121" s="91">
        <f>G30</f>
        <v>389274247.59597051</v>
      </c>
      <c r="H121" s="91">
        <f>H30</f>
        <v>105903569.94132847</v>
      </c>
      <c r="I121" s="85">
        <f t="shared" si="161"/>
        <v>495177817.53729898</v>
      </c>
      <c r="J121" s="79"/>
      <c r="K121" s="91">
        <f>K30</f>
        <v>389274247.59597051</v>
      </c>
      <c r="L121" s="91">
        <f>L30</f>
        <v>103681617.66935323</v>
      </c>
      <c r="M121" s="85">
        <f t="shared" si="159"/>
        <v>492955865.26532376</v>
      </c>
      <c r="N121" s="79"/>
      <c r="O121" s="85">
        <f>O30</f>
        <v>0</v>
      </c>
      <c r="P121" s="85">
        <f>P30</f>
        <v>2221952.2719752267</v>
      </c>
      <c r="Q121" s="85">
        <f t="shared" si="160"/>
        <v>2221952.2719752267</v>
      </c>
      <c r="R121" s="127">
        <f t="shared" si="101"/>
        <v>2914550545.438026</v>
      </c>
    </row>
    <row r="122" spans="1:18" ht="15" customHeight="1" x14ac:dyDescent="0.3">
      <c r="A122" s="14" t="str">
        <f>A38</f>
        <v>0D00</v>
      </c>
      <c r="B122" s="81" t="s">
        <v>206</v>
      </c>
      <c r="D122" s="86">
        <f>D38</f>
        <v>825206144.46633112</v>
      </c>
      <c r="E122" s="86">
        <f>E38</f>
        <v>1005746952.9262139</v>
      </c>
      <c r="G122" s="91">
        <f>G38</f>
        <v>749513265.97757292</v>
      </c>
      <c r="H122" s="91">
        <f>H38</f>
        <v>256233686.94864112</v>
      </c>
      <c r="I122" s="85">
        <f t="shared" si="161"/>
        <v>1005746952.926214</v>
      </c>
      <c r="J122" s="79"/>
      <c r="K122" s="91">
        <f>K38</f>
        <v>749513265.97757292</v>
      </c>
      <c r="L122" s="91">
        <f>L38</f>
        <v>256091540.96656078</v>
      </c>
      <c r="M122" s="85">
        <f t="shared" si="159"/>
        <v>1005604806.9441338</v>
      </c>
      <c r="N122" s="79"/>
      <c r="O122" s="85">
        <f>O38</f>
        <v>0</v>
      </c>
      <c r="P122" s="85">
        <f>P38</f>
        <v>142145.98208032269</v>
      </c>
      <c r="Q122" s="85">
        <f t="shared" si="160"/>
        <v>142145.98208032269</v>
      </c>
      <c r="R122" s="127">
        <f t="shared" si="101"/>
        <v>5853940909.0974007</v>
      </c>
    </row>
    <row r="123" spans="1:18" ht="15" customHeight="1" x14ac:dyDescent="0.3">
      <c r="A123" s="14" t="str">
        <f>A49</f>
        <v>0X00</v>
      </c>
      <c r="B123" s="81" t="s">
        <v>212</v>
      </c>
      <c r="D123" s="86">
        <f>D49</f>
        <v>110221472.6512</v>
      </c>
      <c r="E123" s="86">
        <f>E49</f>
        <v>238680817.17854521</v>
      </c>
      <c r="G123" s="91">
        <f>G49</f>
        <v>65906601.040568814</v>
      </c>
      <c r="H123" s="91">
        <f>H49</f>
        <v>172774216.13797638</v>
      </c>
      <c r="I123" s="85">
        <f t="shared" si="161"/>
        <v>238680817.17854518</v>
      </c>
      <c r="J123" s="79"/>
      <c r="K123" s="91">
        <f>K49</f>
        <v>65906601.040568814</v>
      </c>
      <c r="L123" s="91">
        <f>L49</f>
        <v>152761716.88151789</v>
      </c>
      <c r="M123" s="85">
        <f t="shared" si="159"/>
        <v>218668317.92208672</v>
      </c>
      <c r="N123" s="79"/>
      <c r="O123" s="85">
        <f>O49</f>
        <v>0</v>
      </c>
      <c r="P123" s="85">
        <f>P49</f>
        <v>20012499.256458484</v>
      </c>
      <c r="Q123" s="85">
        <f t="shared" si="160"/>
        <v>20012499.256458484</v>
      </c>
      <c r="R123" s="127">
        <f t="shared" si="101"/>
        <v>1303625558.543926</v>
      </c>
    </row>
    <row r="124" spans="1:18" ht="15" customHeight="1" x14ac:dyDescent="0.3">
      <c r="A124" s="14" t="str">
        <f>A59</f>
        <v>1F00</v>
      </c>
      <c r="B124" s="81" t="s">
        <v>221</v>
      </c>
      <c r="D124" s="86">
        <f>D59</f>
        <v>849346597.24778163</v>
      </c>
      <c r="E124" s="86">
        <f>E59</f>
        <v>1307317730.5885222</v>
      </c>
      <c r="G124" s="91">
        <f>G59</f>
        <v>879126433.68751705</v>
      </c>
      <c r="H124" s="91">
        <f>H59</f>
        <v>428191296.90100491</v>
      </c>
      <c r="I124" s="85">
        <f t="shared" si="161"/>
        <v>1307317730.588522</v>
      </c>
      <c r="J124" s="79"/>
      <c r="K124" s="91">
        <f>K59</f>
        <v>879126433.68751705</v>
      </c>
      <c r="L124" s="91">
        <f>L59</f>
        <v>428024569.64484841</v>
      </c>
      <c r="M124" s="85">
        <f t="shared" si="159"/>
        <v>1307151003.3323655</v>
      </c>
      <c r="N124" s="79"/>
      <c r="O124" s="85">
        <f>O59</f>
        <v>0</v>
      </c>
      <c r="P124" s="85">
        <f>P59</f>
        <v>166727.25615655631</v>
      </c>
      <c r="Q124" s="85">
        <f t="shared" si="160"/>
        <v>166727.25615655631</v>
      </c>
      <c r="R124" s="127">
        <f t="shared" si="101"/>
        <v>7385935250.1903934</v>
      </c>
    </row>
    <row r="125" spans="1:18" ht="15" customHeight="1" x14ac:dyDescent="0.3">
      <c r="A125" s="14" t="str">
        <f>A73</f>
        <v>1G00</v>
      </c>
      <c r="B125" s="81" t="s">
        <v>223</v>
      </c>
      <c r="D125" s="86">
        <f>D73</f>
        <v>112795628.36</v>
      </c>
      <c r="E125" s="86">
        <f>E73</f>
        <v>161450051.27994096</v>
      </c>
      <c r="G125" s="91">
        <f>G73</f>
        <v>116750474.79673453</v>
      </c>
      <c r="H125" s="91">
        <f>H73</f>
        <v>44699576.483206451</v>
      </c>
      <c r="I125" s="85">
        <f t="shared" si="161"/>
        <v>161450051.27994096</v>
      </c>
      <c r="J125" s="79"/>
      <c r="K125" s="91">
        <f>K73</f>
        <v>116750474.79673453</v>
      </c>
      <c r="L125" s="91">
        <f>L73</f>
        <v>44677434.632419206</v>
      </c>
      <c r="M125" s="85">
        <f t="shared" si="159"/>
        <v>161427909.42915374</v>
      </c>
      <c r="N125" s="79"/>
      <c r="O125" s="85">
        <f>O73</f>
        <v>0</v>
      </c>
      <c r="P125" s="85">
        <f>P73</f>
        <v>22141.850787248462</v>
      </c>
      <c r="Q125" s="85">
        <f t="shared" si="160"/>
        <v>22141.850787248462</v>
      </c>
      <c r="R125" s="127">
        <f t="shared" si="101"/>
        <v>920045884.75970507</v>
      </c>
    </row>
    <row r="126" spans="1:18" ht="15" customHeight="1" x14ac:dyDescent="0.3">
      <c r="A126" s="14" t="str">
        <f>A79</f>
        <v>1H00</v>
      </c>
      <c r="B126" s="81" t="s">
        <v>228</v>
      </c>
      <c r="D126" s="86">
        <f>D79</f>
        <v>135754532.50963384</v>
      </c>
      <c r="E126" s="86">
        <f>E79</f>
        <v>196838271.17832854</v>
      </c>
      <c r="G126" s="91">
        <f>G79</f>
        <v>140514365.28837192</v>
      </c>
      <c r="H126" s="91">
        <f>H79</f>
        <v>56323905.889956631</v>
      </c>
      <c r="I126" s="85">
        <f t="shared" si="161"/>
        <v>196838271.17832854</v>
      </c>
      <c r="J126" s="79"/>
      <c r="K126" s="91">
        <f>K79</f>
        <v>140514365.28837192</v>
      </c>
      <c r="L126" s="91">
        <f>L79</f>
        <v>56297257.19225245</v>
      </c>
      <c r="M126" s="85">
        <f t="shared" si="159"/>
        <v>196811622.48062438</v>
      </c>
      <c r="N126" s="79"/>
      <c r="O126" s="85">
        <f>O79</f>
        <v>0</v>
      </c>
      <c r="P126" s="85">
        <f>P79</f>
        <v>26648.697704200633</v>
      </c>
      <c r="Q126" s="85">
        <f t="shared" si="160"/>
        <v>26648.697704200633</v>
      </c>
      <c r="R126" s="127">
        <f t="shared" si="101"/>
        <v>1119945888.4012768</v>
      </c>
    </row>
    <row r="127" spans="1:18" ht="15" customHeight="1" x14ac:dyDescent="0.3">
      <c r="A127" s="14" t="str">
        <f>A92</f>
        <v>1I00</v>
      </c>
      <c r="B127" s="81" t="s">
        <v>237</v>
      </c>
      <c r="D127" s="86">
        <f>D92</f>
        <v>194544741.2074329</v>
      </c>
      <c r="E127" s="86">
        <f>E92</f>
        <v>247748617.79628068</v>
      </c>
      <c r="G127" s="91">
        <f>G92</f>
        <v>188953770.14557859</v>
      </c>
      <c r="H127" s="91">
        <f>H92</f>
        <v>58794847.650702097</v>
      </c>
      <c r="I127" s="85">
        <f t="shared" si="161"/>
        <v>247748617.79628068</v>
      </c>
      <c r="J127" s="79"/>
      <c r="K127" s="91">
        <f>K92</f>
        <v>188953770.14557859</v>
      </c>
      <c r="L127" s="91">
        <f>L92</f>
        <v>58770756.368733987</v>
      </c>
      <c r="M127" s="85">
        <f t="shared" si="159"/>
        <v>247724526.51431257</v>
      </c>
      <c r="N127" s="79"/>
      <c r="O127" s="85">
        <f>O92</f>
        <v>0</v>
      </c>
      <c r="P127" s="85">
        <f>P92</f>
        <v>24091.281968094874</v>
      </c>
      <c r="Q127" s="85">
        <f t="shared" si="160"/>
        <v>24091.281968094874</v>
      </c>
      <c r="R127" s="127">
        <f t="shared" si="101"/>
        <v>1433287830.1888363</v>
      </c>
    </row>
    <row r="128" spans="1:18" ht="15" customHeight="1" x14ac:dyDescent="0.3">
      <c r="A128" s="14" t="str">
        <f>A108</f>
        <v>1J00</v>
      </c>
      <c r="B128" s="81" t="s">
        <v>245</v>
      </c>
      <c r="D128" s="86">
        <f>D108</f>
        <v>59828637.61628902</v>
      </c>
      <c r="E128" s="86">
        <f>E108</f>
        <v>61938096.957085773</v>
      </c>
      <c r="G128" s="86">
        <f>G108</f>
        <v>61938096.951980434</v>
      </c>
      <c r="H128" s="86">
        <f>H108</f>
        <v>0</v>
      </c>
      <c r="I128" s="85">
        <f t="shared" si="161"/>
        <v>61938096.951980434</v>
      </c>
      <c r="J128" s="79"/>
      <c r="K128" s="91">
        <f>K108</f>
        <v>61926352.551980369</v>
      </c>
      <c r="L128" s="91">
        <f>L108</f>
        <v>0</v>
      </c>
      <c r="M128" s="85">
        <f t="shared" si="159"/>
        <v>61926352.551980369</v>
      </c>
      <c r="N128" s="79"/>
      <c r="O128" s="91">
        <f>O108</f>
        <v>11744.40000006929</v>
      </c>
      <c r="P128" s="91">
        <f>P108</f>
        <v>0</v>
      </c>
      <c r="Q128" s="85">
        <f t="shared" si="160"/>
        <v>11744.40000006929</v>
      </c>
      <c r="R128" s="127">
        <f t="shared" si="101"/>
        <v>369519122.38129658</v>
      </c>
    </row>
    <row r="129" spans="1:18" ht="15.75" customHeight="1" x14ac:dyDescent="0.3">
      <c r="A129" s="14" t="str">
        <f>A113</f>
        <v>1K00</v>
      </c>
      <c r="B129" s="81" t="s">
        <v>249</v>
      </c>
      <c r="D129" s="86">
        <f>D113</f>
        <v>380000000.0073449</v>
      </c>
      <c r="E129" s="86">
        <f>E113</f>
        <v>380000000.0073449</v>
      </c>
      <c r="G129" s="86">
        <f>G113</f>
        <v>380000000.0073449</v>
      </c>
      <c r="H129" s="86">
        <f>H113</f>
        <v>0</v>
      </c>
      <c r="I129" s="85">
        <f t="shared" si="161"/>
        <v>380000000.0073449</v>
      </c>
      <c r="J129" s="79"/>
      <c r="K129" s="86">
        <f>K113</f>
        <v>380000000.0073449</v>
      </c>
      <c r="L129" s="86">
        <f>L113</f>
        <v>0</v>
      </c>
      <c r="M129" s="85">
        <f t="shared" si="159"/>
        <v>380000000.0073449</v>
      </c>
      <c r="N129" s="79"/>
      <c r="O129" s="86">
        <f>O113</f>
        <v>0</v>
      </c>
      <c r="P129" s="86">
        <f>P113</f>
        <v>0</v>
      </c>
      <c r="Q129" s="85">
        <f t="shared" si="160"/>
        <v>0</v>
      </c>
      <c r="R129" s="127">
        <f>SUM(D129:Q129)</f>
        <v>2280000000.0440693</v>
      </c>
    </row>
    <row r="130" spans="1:18" s="125" customFormat="1" x14ac:dyDescent="0.25"/>
    <row r="131" spans="1:18" x14ac:dyDescent="0.25">
      <c r="I131" s="220"/>
    </row>
  </sheetData>
  <sheetProtection selectLockedCells="1" autoFilter="0" selectUnlockedCells="1"/>
  <mergeCells count="8">
    <mergeCell ref="G4:I4"/>
    <mergeCell ref="K4:M4"/>
    <mergeCell ref="O4:Q4"/>
    <mergeCell ref="G1:M1"/>
    <mergeCell ref="B1:D1"/>
    <mergeCell ref="O1:Q1"/>
    <mergeCell ref="G2:M2"/>
    <mergeCell ref="O2:P2"/>
  </mergeCells>
  <phoneticPr fontId="35" type="noConversion"/>
  <pageMargins left="0.70866141732283472" right="0.70866141732283472" top="0.74803149606299213" bottom="0.74803149606299213" header="0.31496062992125984" footer="0.31496062992125984"/>
  <pageSetup scale="50" fitToHeight="0" orientation="landscape" r:id="rId1"/>
  <rowBreaks count="2" manualBreakCount="2">
    <brk id="56" max="16383" man="1"/>
    <brk id="11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Q130"/>
  <sheetViews>
    <sheetView zoomScaleNormal="100" workbookViewId="0">
      <pane xSplit="5" ySplit="5" topLeftCell="F115" activePane="bottomRight" state="frozenSplit"/>
      <selection activeCell="R21" sqref="R21"/>
      <selection pane="topRight" activeCell="R21" sqref="R21"/>
      <selection pane="bottomLeft" activeCell="R21" sqref="R21"/>
      <selection pane="bottomRight" activeCell="H119" sqref="H119:H129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7109375" style="14" customWidth="1"/>
    <col min="6" max="6" width="1.42578125" style="14" customWidth="1"/>
    <col min="7" max="9" width="15.7109375" style="14" customWidth="1"/>
    <col min="10" max="10" width="1.42578125" style="14" customWidth="1"/>
    <col min="11" max="13" width="15.7109375" style="14" customWidth="1"/>
    <col min="14" max="14" width="1.42578125" style="14" customWidth="1"/>
    <col min="15" max="17" width="15.7109375" style="14" customWidth="1"/>
    <col min="18" max="16384" width="11.42578125" style="14"/>
  </cols>
  <sheetData>
    <row r="1" spans="1:17" ht="49.5" customHeight="1" x14ac:dyDescent="0.25">
      <c r="B1" s="344"/>
      <c r="C1" s="344"/>
      <c r="D1" s="344"/>
      <c r="E1" s="100"/>
      <c r="G1" s="343" t="s">
        <v>251</v>
      </c>
      <c r="H1" s="343"/>
      <c r="I1" s="343"/>
      <c r="J1" s="343"/>
      <c r="K1" s="343"/>
      <c r="L1" s="343"/>
      <c r="M1" s="343"/>
      <c r="O1" s="344" t="str">
        <f>'Matriz de Produccion'!O1:Q1</f>
        <v>CC: EIMI00398
ARAUCO</v>
      </c>
      <c r="P1" s="344"/>
      <c r="Q1" s="344"/>
    </row>
    <row r="2" spans="1:17" ht="20.25" customHeight="1" x14ac:dyDescent="0.3">
      <c r="B2" s="64" t="str">
        <f>Indice!C4</f>
        <v>INFORME DE COSTOS N° 01</v>
      </c>
      <c r="G2" s="379" t="str">
        <f>'Matriz de Produccion'!G2:M2</f>
        <v>Periodo : enero 2026</v>
      </c>
      <c r="H2" s="345"/>
      <c r="I2" s="345"/>
      <c r="J2" s="345"/>
      <c r="K2" s="345"/>
      <c r="L2" s="345"/>
      <c r="M2" s="345"/>
      <c r="O2" s="346" t="s">
        <v>252</v>
      </c>
      <c r="P2" s="346"/>
      <c r="Q2" s="64" t="s">
        <v>171</v>
      </c>
    </row>
    <row r="3" spans="1:17" ht="8.25" customHeight="1" x14ac:dyDescent="0.25">
      <c r="G3" s="44"/>
      <c r="H3" s="44"/>
      <c r="I3" s="44"/>
      <c r="K3" s="44"/>
      <c r="L3" s="44"/>
      <c r="M3" s="44"/>
    </row>
    <row r="4" spans="1:17" x14ac:dyDescent="0.25">
      <c r="B4" s="80" t="s">
        <v>86</v>
      </c>
      <c r="D4" s="80" t="s">
        <v>86</v>
      </c>
      <c r="E4" s="80" t="s">
        <v>86</v>
      </c>
      <c r="G4" s="378" t="s">
        <v>172</v>
      </c>
      <c r="H4" s="341"/>
      <c r="I4" s="342"/>
      <c r="K4" s="378" t="s">
        <v>173</v>
      </c>
      <c r="L4" s="341"/>
      <c r="M4" s="342"/>
      <c r="O4" s="378" t="s">
        <v>174</v>
      </c>
      <c r="P4" s="341"/>
      <c r="Q4" s="342"/>
    </row>
    <row r="5" spans="1:17" s="92" customFormat="1" ht="36.75" customHeight="1" x14ac:dyDescent="0.25">
      <c r="B5" s="93" t="s">
        <v>175</v>
      </c>
      <c r="D5" s="93" t="s">
        <v>176</v>
      </c>
      <c r="E5" s="93" t="s">
        <v>177</v>
      </c>
      <c r="G5" s="96" t="s">
        <v>253</v>
      </c>
      <c r="H5" s="96" t="s">
        <v>254</v>
      </c>
      <c r="I5" s="96" t="s">
        <v>255</v>
      </c>
      <c r="K5" s="96" t="s">
        <v>253</v>
      </c>
      <c r="L5" s="96" t="s">
        <v>254</v>
      </c>
      <c r="M5" s="96" t="s">
        <v>256</v>
      </c>
      <c r="O5" s="96" t="s">
        <v>253</v>
      </c>
      <c r="P5" s="96" t="s">
        <v>254</v>
      </c>
      <c r="Q5" s="96" t="s">
        <v>257</v>
      </c>
    </row>
    <row r="6" spans="1:17" ht="8.25" customHeight="1" x14ac:dyDescent="0.25"/>
    <row r="7" spans="1:17" ht="15" customHeight="1" x14ac:dyDescent="0.25">
      <c r="B7" s="8" t="str">
        <f>'Matriz de Produccion'!B7:B7</f>
        <v>COSTOS DIRECTOS</v>
      </c>
      <c r="D7" s="1">
        <f>SUM(D119:D123)</f>
        <v>3017729863.2570324</v>
      </c>
      <c r="E7" s="1">
        <f>SUM(E119:E123)</f>
        <v>3658673350.3445153</v>
      </c>
      <c r="G7" s="11">
        <f>SUM(G119:G123)</f>
        <v>3435907458.3444595</v>
      </c>
      <c r="H7" s="11">
        <f>SUM(H119:H123)</f>
        <v>10700358.342666667</v>
      </c>
      <c r="I7" s="11">
        <f>SUM(I119:I123)</f>
        <v>3446607816.6871262</v>
      </c>
      <c r="K7" s="11">
        <f>SUM(K119:K123)</f>
        <v>3300921573.1444597</v>
      </c>
      <c r="L7" s="11">
        <f>SUM(L119:L123)</f>
        <v>110668008.54266667</v>
      </c>
      <c r="M7" s="11">
        <f>SUM(M119:M123)</f>
        <v>3411589581.6871262</v>
      </c>
      <c r="O7" s="11">
        <f>SUM(O119:O123)</f>
        <v>134985885.19999999</v>
      </c>
      <c r="P7" s="11">
        <f>SUM(P119:P123)</f>
        <v>-99967650.200000003</v>
      </c>
      <c r="Q7" s="11">
        <f>SUM(Q119:Q123)</f>
        <v>35018234.999999985</v>
      </c>
    </row>
    <row r="8" spans="1:17" ht="8.25" customHeight="1" x14ac:dyDescent="0.25"/>
    <row r="9" spans="1:17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SUM(D10:D17)</f>
        <v>989503980.44566989</v>
      </c>
      <c r="E9" s="82">
        <f>SUM(E10:E17)</f>
        <v>1239884575.233088</v>
      </c>
      <c r="G9" s="84">
        <f>SUM(G10:G17)</f>
        <v>1021487689</v>
      </c>
      <c r="H9" s="84">
        <f t="shared" ref="H9:I9" si="0">SUM(H10:H17)</f>
        <v>0</v>
      </c>
      <c r="I9" s="84">
        <f t="shared" si="0"/>
        <v>1021487689</v>
      </c>
      <c r="K9" s="84">
        <f t="shared" ref="K9" si="1">SUM(K10:K17)</f>
        <v>1021487689</v>
      </c>
      <c r="L9" s="84">
        <f t="shared" ref="L9" si="2">SUM(L10:L17)</f>
        <v>0</v>
      </c>
      <c r="M9" s="84">
        <f>SUM(M10:M17)</f>
        <v>1021487689</v>
      </c>
      <c r="O9" s="84">
        <f t="shared" ref="O9" si="3">SUM(O10:O17)</f>
        <v>0</v>
      </c>
      <c r="P9" s="84">
        <f t="shared" ref="P9" si="4">SUM(P10:P17)</f>
        <v>0</v>
      </c>
      <c r="Q9" s="84">
        <f>SUM(Q10:Q17)</f>
        <v>0</v>
      </c>
    </row>
    <row r="10" spans="1:17" x14ac:dyDescent="0.25">
      <c r="A10" s="14" t="str">
        <f>'Matriz de Produccion'!A10</f>
        <v>0A01</v>
      </c>
      <c r="B10" s="6" t="s">
        <v>186</v>
      </c>
      <c r="D10" s="5">
        <f>SUMIF(CATEGORIAS[[#All],[SUBGRUPO]],A10,CATEGORIAS[[#All],[PRESUPUESTO
(ORIGINAL)]])</f>
        <v>249347566.42085752</v>
      </c>
      <c r="E10" s="5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198803332.67654666</v>
      </c>
      <c r="G10" s="10">
        <f>+SUMIF(CATEGORIAS[[#All],[SUBGRUPO]],A10,CATEGORIAS[[#All],[COSTO
ACUMULADO  AX]])
+SUMIF(CATEGORIAS[[#All],[SUBGRUPO]],A10,CATEGORIAS[[#All],[CAMBIO DE
CATEGORIA]])</f>
        <v>226422941</v>
      </c>
      <c r="H10" s="10">
        <f>+SUMIF(CATEGORIAS[[#All],[SUBGRUPO]],A10,CATEGORIAS[[#All],[PROVISIONES]])</f>
        <v>0</v>
      </c>
      <c r="I10" s="10">
        <f t="shared" ref="I10:I16" si="5">G10+H10</f>
        <v>226422941</v>
      </c>
      <c r="K10" s="10">
        <f>+SUMIF(CATEGORIAS[[#All],[SUBGRUPO]],A10,CATEGORIAS[[#All],[COSTO ACUMULADO
ANTERIOR]])
+SUMIF(CATEGORIAS[[#All],[SUBGRUPO]],A10,CATEGORIAS[[#All],[CAMBIO DE
CATEGORIA
ANTERIOR]])</f>
        <v>226422941</v>
      </c>
      <c r="L10" s="10">
        <f>+SUMIF(CATEGORIAS[[#All],[SUBGRUPO]],A10,CATEGORIAS[[#All],[PROVISIONES
ANTERIOR]])</f>
        <v>0</v>
      </c>
      <c r="M10" s="10">
        <f t="shared" ref="M10:M16" si="6">K10+L10</f>
        <v>226422941</v>
      </c>
      <c r="O10" s="10">
        <f t="shared" ref="O10:Q16" si="7">G10-K10</f>
        <v>0</v>
      </c>
      <c r="P10" s="10">
        <f>H10-L10</f>
        <v>0</v>
      </c>
      <c r="Q10" s="10">
        <f>I10-M10</f>
        <v>0</v>
      </c>
    </row>
    <row r="11" spans="1:17" ht="15" customHeight="1" x14ac:dyDescent="0.25">
      <c r="A11" s="14" t="str">
        <f>'Matriz de Produccion'!A11</f>
        <v>0A02</v>
      </c>
      <c r="B11" s="6" t="str">
        <f>VLOOKUP(A11,'Analisis por Categorias'!B:C,2,FALSE)</f>
        <v>Estructura</v>
      </c>
      <c r="D11" s="5">
        <f>SUMIF(CATEGORIAS[[#All],[SUBGRUPO]],A11,CATEGORIAS[[#All],[PRESUPUESTO
(ORIGINAL)]])</f>
        <v>9107425.3160245083</v>
      </c>
      <c r="E11" s="5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6205931.11177509</v>
      </c>
      <c r="G11" s="10">
        <f>+SUMIF(CATEGORIAS[[#All],[SUBGRUPO]],A11,CATEGORIAS[[#All],[COSTO
ACUMULADO  AX]])
+SUMIF(CATEGORIAS[[#All],[SUBGRUPO]],A11,CATEGORIAS[[#All],[CAMBIO DE
CATEGORIA]])</f>
        <v>0</v>
      </c>
      <c r="H11" s="10">
        <f>+SUMIF(CATEGORIAS[[#All],[SUBGRUPO]],A11,CATEGORIAS[[#All],[PROVISIONES]])</f>
        <v>0</v>
      </c>
      <c r="I11" s="10">
        <f t="shared" si="5"/>
        <v>0</v>
      </c>
      <c r="K11" s="10">
        <f>+SUMIF(CATEGORIAS[[#All],[SUBGRUPO]],A11,CATEGORIAS[[#All],[COSTO ACUMULADO
ANTERIOR]])
+SUMIF(CATEGORIAS[[#All],[SUBGRUPO]],A11,CATEGORIAS[[#All],[CAMBIO DE
CATEGORIA
ANTERIOR]])</f>
        <v>0</v>
      </c>
      <c r="L11" s="10">
        <f>+SUMIF(CATEGORIAS[[#All],[SUBGRUPO]],A11,CATEGORIAS[[#All],[PROVISIONES
ANTERIOR]])</f>
        <v>0</v>
      </c>
      <c r="M11" s="88">
        <f t="shared" si="6"/>
        <v>0</v>
      </c>
      <c r="O11" s="88">
        <f t="shared" ref="O11" si="8">G11-K11</f>
        <v>0</v>
      </c>
      <c r="P11" s="88">
        <f t="shared" ref="P11" si="9">H11-L11</f>
        <v>0</v>
      </c>
      <c r="Q11" s="88">
        <f t="shared" ref="Q11" si="10">I11-M11</f>
        <v>0</v>
      </c>
    </row>
    <row r="12" spans="1:17" ht="15" customHeight="1" x14ac:dyDescent="0.25">
      <c r="A12" s="14" t="str">
        <f>'Matriz de Produccion'!A12</f>
        <v>0A03</v>
      </c>
      <c r="B12" s="6" t="s">
        <v>396</v>
      </c>
      <c r="D12" s="5">
        <f>SUMIF(CATEGORIAS[[#All],[SUBGRUPO]],A12,CATEGORIAS[[#All],[PRESUPUESTO
(ORIGINAL)]])</f>
        <v>648232300.96841526</v>
      </c>
      <c r="E12" s="5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841801119.14748919</v>
      </c>
      <c r="G12" s="10">
        <f>+SUMIF(CATEGORIAS[[#All],[SUBGRUPO]],A12,CATEGORIAS[[#All],[COSTO
ACUMULADO  AX]])
+SUMIF(CATEGORIAS[[#All],[SUBGRUPO]],A12,CATEGORIAS[[#All],[CAMBIO DE
CATEGORIA]])</f>
        <v>586461235</v>
      </c>
      <c r="H12" s="10">
        <f>+SUMIF(CATEGORIAS[[#All],[SUBGRUPO]],A12,CATEGORIAS[[#All],[PROVISIONES]])</f>
        <v>0</v>
      </c>
      <c r="I12" s="10">
        <f t="shared" si="5"/>
        <v>586461235</v>
      </c>
      <c r="K12" s="10">
        <f>+SUMIF(CATEGORIAS[[#All],[SUBGRUPO]],A12,CATEGORIAS[[#All],[COSTO ACUMULADO
ANTERIOR]])
+SUMIF(CATEGORIAS[[#All],[SUBGRUPO]],A12,CATEGORIAS[[#All],[CAMBIO DE
CATEGORIA
ANTERIOR]])</f>
        <v>586461235</v>
      </c>
      <c r="L12" s="10">
        <f>+SUMIF(CATEGORIAS[[#All],[SUBGRUPO]],A12,CATEGORIAS[[#All],[PROVISIONES
ANTERIOR]])</f>
        <v>0</v>
      </c>
      <c r="M12" s="88">
        <f t="shared" si="6"/>
        <v>586461235</v>
      </c>
      <c r="O12" s="88">
        <f t="shared" si="7"/>
        <v>0</v>
      </c>
      <c r="P12" s="88">
        <f t="shared" si="7"/>
        <v>0</v>
      </c>
      <c r="Q12" s="88">
        <f t="shared" si="7"/>
        <v>0</v>
      </c>
    </row>
    <row r="13" spans="1:17" ht="15" customHeight="1" x14ac:dyDescent="0.25">
      <c r="A13" s="14" t="str">
        <f>'Matriz de Produccion'!A13</f>
        <v>0A04</v>
      </c>
      <c r="B13" s="6" t="s">
        <v>190</v>
      </c>
      <c r="D13" s="5">
        <f>SUMIF(CATEGORIAS[[#All],[SUBGRUPO]],A13,CATEGORIAS[[#All],[PRESUPUESTO
(ORIGINAL)]])</f>
        <v>37872374.345846228</v>
      </c>
      <c r="E13" s="5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18825990.20282159</v>
      </c>
      <c r="G13" s="10">
        <f>+SUMIF(CATEGORIAS[[#All],[SUBGRUPO]],A13,CATEGORIAS[[#All],[COSTO
ACUMULADO  AX]])
+SUMIF(CATEGORIAS[[#All],[SUBGRUPO]],A13,CATEGORIAS[[#All],[CAMBIO DE
CATEGORIA]])</f>
        <v>0</v>
      </c>
      <c r="H13" s="10">
        <f>+SUMIF(CATEGORIAS[[#All],[SUBGRUPO]],A13,CATEGORIAS[[#All],[PROVISIONES]])</f>
        <v>0</v>
      </c>
      <c r="I13" s="10">
        <f t="shared" si="5"/>
        <v>0</v>
      </c>
      <c r="K13" s="10">
        <f>+SUMIF(CATEGORIAS[[#All],[SUBGRUPO]],A13,CATEGORIAS[[#All],[COSTO ACUMULADO
ANTERIOR]])
+SUMIF(CATEGORIAS[[#All],[SUBGRUPO]],A13,CATEGORIAS[[#All],[CAMBIO DE
CATEGORIA
ANTERIOR]])</f>
        <v>0</v>
      </c>
      <c r="L13" s="10">
        <f>+SUMIF(CATEGORIAS[[#All],[SUBGRUPO]],A13,CATEGORIAS[[#All],[PROVISIONES
ANTERIOR]])</f>
        <v>0</v>
      </c>
      <c r="M13" s="10">
        <f t="shared" si="6"/>
        <v>0</v>
      </c>
      <c r="O13" s="10">
        <f t="shared" si="7"/>
        <v>0</v>
      </c>
      <c r="P13" s="10">
        <f t="shared" si="7"/>
        <v>0</v>
      </c>
      <c r="Q13" s="10">
        <f t="shared" si="7"/>
        <v>0</v>
      </c>
    </row>
    <row r="14" spans="1:17" ht="15" customHeight="1" x14ac:dyDescent="0.25">
      <c r="A14" s="14" t="str">
        <f>'Matriz de Produccion'!A14</f>
        <v>0A05</v>
      </c>
      <c r="B14" s="6" t="s">
        <v>192</v>
      </c>
      <c r="D14" s="5">
        <f>SUMIF(CATEGORIAS[[#All],[SUBGRUPO]],A14,CATEGORIAS[[#All],[PRESUPUESTO
(ORIGINAL)]])</f>
        <v>4909779.3548685564</v>
      </c>
      <c r="E14" s="5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119615192.39635754</v>
      </c>
      <c r="G14" s="10">
        <f>+SUMIF(CATEGORIAS[[#All],[SUBGRUPO]],A14,CATEGORIAS[[#All],[COSTO
ACUMULADO  AX]])
+SUMIF(CATEGORIAS[[#All],[SUBGRUPO]],A14,CATEGORIAS[[#All],[CAMBIO DE
CATEGORIA]])</f>
        <v>41920101</v>
      </c>
      <c r="H14" s="10">
        <f>+SUMIF(CATEGORIAS[[#All],[SUBGRUPO]],A14,CATEGORIAS[[#All],[PROVISIONES]])</f>
        <v>0</v>
      </c>
      <c r="I14" s="10">
        <f t="shared" si="5"/>
        <v>41920101</v>
      </c>
      <c r="K14" s="10">
        <f>+SUMIF(CATEGORIAS[[#All],[SUBGRUPO]],A14,CATEGORIAS[[#All],[COSTO ACUMULADO
ANTERIOR]])
+SUMIF(CATEGORIAS[[#All],[SUBGRUPO]],A14,CATEGORIAS[[#All],[CAMBIO DE
CATEGORIA
ANTERIOR]])</f>
        <v>41920101</v>
      </c>
      <c r="L14" s="10">
        <f>+SUMIF(CATEGORIAS[[#All],[SUBGRUPO]],A14,CATEGORIAS[[#All],[PROVISIONES
ANTERIOR]])</f>
        <v>0</v>
      </c>
      <c r="M14" s="88">
        <f t="shared" si="6"/>
        <v>41920101</v>
      </c>
      <c r="O14" s="88">
        <f t="shared" si="7"/>
        <v>0</v>
      </c>
      <c r="P14" s="88">
        <f t="shared" si="7"/>
        <v>0</v>
      </c>
      <c r="Q14" s="88">
        <f t="shared" si="7"/>
        <v>0</v>
      </c>
    </row>
    <row r="15" spans="1:17" ht="15" hidden="1" customHeight="1" x14ac:dyDescent="0.25">
      <c r="A15" s="14" t="str">
        <f>'Matriz de Produccion'!A15</f>
        <v>0A06</v>
      </c>
      <c r="B15" s="6" t="e">
        <f>VLOOKUP(A15,'Analisis por Categorias'!B:C,2,FALSE)</f>
        <v>#N/A</v>
      </c>
      <c r="D15" s="5">
        <f>SUMIF(CATEGORIAS[[#All],[SUBGRUPO]],A15,CATEGORIAS[[#All],[PRESUPUESTO
(ORIGINAL)]])</f>
        <v>0</v>
      </c>
      <c r="E15" s="5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0</v>
      </c>
      <c r="G15" s="10">
        <f>+SUMIF(CATEGORIAS[[#All],[SUBGRUPO]],A15,CATEGORIAS[[#All],[COSTO
ACUMULADO  AX]])
+SUMIF(CATEGORIAS[[#All],[SUBGRUPO]],A15,CATEGORIAS[[#All],[CAMBIO DE
CATEGORIA]])</f>
        <v>0</v>
      </c>
      <c r="H15" s="10">
        <f>+SUMIF(CATEGORIAS[[#All],[SUBGRUPO]],A15,CATEGORIAS[[#All],[PROVISIONES]])</f>
        <v>0</v>
      </c>
      <c r="I15" s="10">
        <f t="shared" ref="I15" si="11">G15+H15</f>
        <v>0</v>
      </c>
      <c r="K15" s="10">
        <f>+SUMIF(CATEGORIAS[[#All],[SUBGRUPO]],A15,CATEGORIAS[[#All],[COSTO ACUMULADO
ANTERIOR]])
+SUMIF(CATEGORIAS[[#All],[SUBGRUPO]],A15,CATEGORIAS[[#All],[CAMBIO DE
CATEGORIA
ANTERIOR]])</f>
        <v>0</v>
      </c>
      <c r="L15" s="10">
        <f>+SUMIF(CATEGORIAS[[#All],[SUBGRUPO]],A15,CATEGORIAS[[#All],[PROVISIONES
ANTERIOR]])</f>
        <v>0</v>
      </c>
      <c r="M15" s="10">
        <f t="shared" ref="M15" si="12">K15+L15</f>
        <v>0</v>
      </c>
      <c r="O15" s="10">
        <f t="shared" ref="O15" si="13">G15-K15</f>
        <v>0</v>
      </c>
      <c r="P15" s="10">
        <f t="shared" ref="P15" si="14">H15-L15</f>
        <v>0</v>
      </c>
      <c r="Q15" s="10">
        <f t="shared" ref="Q15" si="15">I15-M15</f>
        <v>0</v>
      </c>
    </row>
    <row r="16" spans="1:17" ht="15" hidden="1" customHeight="1" x14ac:dyDescent="0.25">
      <c r="A16" s="14" t="str">
        <f>'Matriz de Produccion'!A16</f>
        <v>0A07</v>
      </c>
      <c r="B16" s="6" t="e">
        <f>VLOOKUP(A16,'Analisis por Categorias'!B:C,2,FALSE)</f>
        <v>#N/A</v>
      </c>
      <c r="D16" s="5">
        <f>SUMIF(CATEGORIAS[[#All],[SUBGRUPO]],A16,CATEGORIAS[[#All],[PRESUPUESTO
(ORIGINAL)]])</f>
        <v>0</v>
      </c>
      <c r="E16" s="5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10">
        <f>+SUMIF(CATEGORIAS[[#All],[SUBGRUPO]],A16,CATEGORIAS[[#All],[COSTO
ACUMULADO  AX]])
+SUMIF(CATEGORIAS[[#All],[SUBGRUPO]],A16,CATEGORIAS[[#All],[CAMBIO DE
CATEGORIA]])</f>
        <v>0</v>
      </c>
      <c r="H16" s="10">
        <f>+SUMIF(CATEGORIAS[[#All],[SUBGRUPO]],A16,CATEGORIAS[[#All],[PROVISIONES]])</f>
        <v>0</v>
      </c>
      <c r="I16" s="10">
        <f t="shared" si="5"/>
        <v>0</v>
      </c>
      <c r="K16" s="10">
        <f>+SUMIF(CATEGORIAS[[#All],[SUBGRUPO]],A16,CATEGORIAS[[#All],[COSTO ACUMULADO
ANTERIOR]])
+SUMIF(CATEGORIAS[[#All],[SUBGRUPO]],A16,CATEGORIAS[[#All],[CAMBIO DE
CATEGORIA
ANTERIOR]])</f>
        <v>0</v>
      </c>
      <c r="L16" s="10">
        <f>+SUMIF(CATEGORIAS[[#All],[SUBGRUPO]],A16,CATEGORIAS[[#All],[PROVISIONES
ANTERIOR]])</f>
        <v>0</v>
      </c>
      <c r="M16" s="10">
        <f t="shared" si="6"/>
        <v>0</v>
      </c>
      <c r="O16" s="10">
        <f t="shared" si="7"/>
        <v>0</v>
      </c>
      <c r="P16" s="10">
        <f t="shared" si="7"/>
        <v>0</v>
      </c>
      <c r="Q16" s="10">
        <f t="shared" si="7"/>
        <v>0</v>
      </c>
    </row>
    <row r="17" spans="1:17" ht="15" customHeight="1" x14ac:dyDescent="0.25">
      <c r="A17" s="14" t="str">
        <f>'Matriz de Produccion'!A17</f>
        <v>0A08</v>
      </c>
      <c r="B17" s="6" t="str">
        <f>VLOOKUP(A17,'Analisis por Categorias'!B:C,2,FALSE)</f>
        <v>Andamios</v>
      </c>
      <c r="D17" s="5">
        <f>SUMIF(CATEGORIAS[[#All],[SUBGRUPO]],A17,CATEGORIAS[[#All],[PRESUPUESTO
(ORIGINAL)]])</f>
        <v>40034534.039657995</v>
      </c>
      <c r="E17" s="5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54633009.698097989</v>
      </c>
      <c r="G17" s="10">
        <f>+SUMIF(CATEGORIAS[[#All],[SUBGRUPO]],A17,CATEGORIAS[[#All],[COSTO
ACUMULADO  AX]])
+SUMIF(CATEGORIAS[[#All],[SUBGRUPO]],A17,CATEGORIAS[[#All],[CAMBIO DE
CATEGORIA]])</f>
        <v>166683412</v>
      </c>
      <c r="H17" s="10">
        <f>+SUMIF(CATEGORIAS[[#All],[SUBGRUPO]],A17,CATEGORIAS[[#All],[PROVISIONES]])</f>
        <v>0</v>
      </c>
      <c r="I17" s="10">
        <f t="shared" ref="I17" si="16">G17+H17</f>
        <v>166683412</v>
      </c>
      <c r="K17" s="10">
        <f>+SUMIF(CATEGORIAS[[#All],[SUBGRUPO]],A17,CATEGORIAS[[#All],[COSTO ACUMULADO
ANTERIOR]])
+SUMIF(CATEGORIAS[[#All],[SUBGRUPO]],A17,CATEGORIAS[[#All],[CAMBIO DE
CATEGORIA
ANTERIOR]])</f>
        <v>166683412</v>
      </c>
      <c r="L17" s="10">
        <f>+SUMIF(CATEGORIAS[[#All],[SUBGRUPO]],A17,CATEGORIAS[[#All],[PROVISIONES
ANTERIOR]])</f>
        <v>0</v>
      </c>
      <c r="M17" s="10">
        <f t="shared" ref="M17" si="17">K17+L17</f>
        <v>166683412</v>
      </c>
      <c r="O17" s="10">
        <f t="shared" ref="O17" si="18">G17-K17</f>
        <v>0</v>
      </c>
      <c r="P17" s="10">
        <f>H17-L17</f>
        <v>0</v>
      </c>
      <c r="Q17" s="10">
        <f t="shared" ref="Q17" si="19">I17-M17</f>
        <v>0</v>
      </c>
    </row>
    <row r="18" spans="1:17" ht="8.25" customHeight="1" x14ac:dyDescent="0.25"/>
    <row r="19" spans="1:17" ht="15" customHeight="1" x14ac:dyDescent="0.25">
      <c r="A19" s="14" t="str">
        <f>'Matriz de Produccion'!A19</f>
        <v>0B00</v>
      </c>
      <c r="B19" s="81" t="str">
        <f>'Matriz de Produccion'!B19:B19</f>
        <v>B - MATERIALES</v>
      </c>
      <c r="D19" s="82">
        <f>SUM(D20:D28)</f>
        <v>654136807.94229996</v>
      </c>
      <c r="E19" s="82">
        <f>SUM(E20:E28)</f>
        <v>679183187.46936965</v>
      </c>
      <c r="G19" s="84">
        <f>SUM(G20:G27)</f>
        <v>890081299</v>
      </c>
      <c r="H19" s="84">
        <f t="shared" ref="H19:I19" si="20">SUM(H20:H27)</f>
        <v>1073940</v>
      </c>
      <c r="I19" s="84">
        <f t="shared" si="20"/>
        <v>891155239</v>
      </c>
      <c r="K19" s="84">
        <f>SUM(K20:K27)</f>
        <v>859459267</v>
      </c>
      <c r="L19" s="84">
        <f t="shared" ref="L19:M19" si="21">SUM(L20:L27)</f>
        <v>6974175</v>
      </c>
      <c r="M19" s="84">
        <f t="shared" si="21"/>
        <v>866433442</v>
      </c>
      <c r="O19" s="84">
        <f t="shared" ref="O19:Q19" si="22">SUM(O20:O27)</f>
        <v>30622032</v>
      </c>
      <c r="P19" s="84">
        <f t="shared" ref="P19" si="23">SUM(P20:P27)</f>
        <v>-5900235</v>
      </c>
      <c r="Q19" s="84">
        <f t="shared" si="22"/>
        <v>24721797</v>
      </c>
    </row>
    <row r="20" spans="1:17" ht="15" customHeight="1" x14ac:dyDescent="0.25">
      <c r="A20" s="14" t="str">
        <f>'Matriz de Produccion'!A20</f>
        <v>0B01</v>
      </c>
      <c r="B20" s="6" t="str">
        <f>VLOOKUP(A20,'Analisis por Categorias'!B:C,2,FALSE)</f>
        <v>Civil</v>
      </c>
      <c r="D20" s="5">
        <f>SUMIF(CATEGORIAS[[#All],[SUBGRUPO]],A20,CATEGORIAS[[#All],[PRESUPUESTO
(ORIGINAL)]])</f>
        <v>504953712.21710002</v>
      </c>
      <c r="E20" s="5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452452831.12783277</v>
      </c>
      <c r="G20" s="10">
        <f>+SUMIF(CATEGORIAS[[#All],[SUBGRUPO]],A20,CATEGORIAS[[#All],[COSTO
ACUMULADO  AX]])
+SUMIF(CATEGORIAS[[#All],[SUBGRUPO]],A20,CATEGORIAS[[#All],[CAMBIO DE
CATEGORIA]])</f>
        <v>548455838</v>
      </c>
      <c r="H20" s="10">
        <f>+SUMIF(CATEGORIAS[[#All],[SUBGRUPO]],A20,CATEGORIAS[[#All],[PROVISIONES]])</f>
        <v>0</v>
      </c>
      <c r="I20" s="10">
        <f>G20+H20</f>
        <v>548455838</v>
      </c>
      <c r="K20" s="10">
        <f>+SUMIF(CATEGORIAS[[#All],[SUBGRUPO]],A20,CATEGORIAS[[#All],[COSTO ACUMULADO
ANTERIOR]])
+SUMIF(CATEGORIAS[[#All],[SUBGRUPO]],A20,CATEGORIAS[[#All],[CAMBIO DE
CATEGORIA
ANTERIOR]])</f>
        <v>540558442</v>
      </c>
      <c r="L20" s="10">
        <f>+SUMIF(CATEGORIAS[[#All],[SUBGRUPO]],A20,CATEGORIAS[[#All],[PROVISIONES
ANTERIOR]])</f>
        <v>843955</v>
      </c>
      <c r="M20" s="10">
        <f>K20+L20</f>
        <v>541402397</v>
      </c>
      <c r="O20" s="10">
        <f t="shared" ref="O20:Q24" si="24">G20-K20</f>
        <v>7897396</v>
      </c>
      <c r="P20" s="10">
        <f t="shared" si="24"/>
        <v>-843955</v>
      </c>
      <c r="Q20" s="10">
        <f t="shared" si="24"/>
        <v>7053441</v>
      </c>
    </row>
    <row r="21" spans="1:17" ht="15" hidden="1" customHeight="1" x14ac:dyDescent="0.25">
      <c r="A21" s="14" t="str">
        <f>'Matriz de Produccion'!A21</f>
        <v>0B02</v>
      </c>
      <c r="B21" s="6" t="e">
        <f>VLOOKUP(A21,'Analisis por Categorias'!B:C,2,FALSE)</f>
        <v>#N/A</v>
      </c>
      <c r="D21" s="5">
        <f>SUMIF(CATEGORIAS[[#All],[SUBGRUPO]],A21,CATEGORIAS[[#All],[PRESUPUESTO
(ORIGINAL)]])</f>
        <v>0</v>
      </c>
      <c r="E21" s="5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10">
        <f>+SUMIF(CATEGORIAS[[#All],[SUBGRUPO]],A21,CATEGORIAS[[#All],[COSTO
ACUMULADO  AX]])
+SUMIF(CATEGORIAS[[#All],[SUBGRUPO]],A21,CATEGORIAS[[#All],[CAMBIO DE
CATEGORIA]])</f>
        <v>0</v>
      </c>
      <c r="H21" s="10">
        <f>+SUMIF(CATEGORIAS[[#All],[SUBGRUPO]],A21,CATEGORIAS[[#All],[PROVISIONES]])</f>
        <v>0</v>
      </c>
      <c r="I21" s="10">
        <f>G21+H21</f>
        <v>0</v>
      </c>
      <c r="K21" s="10">
        <f>+SUMIF(CATEGORIAS[[#All],[SUBGRUPO]],A21,CATEGORIAS[[#All],[COSTO ACUMULADO
ANTERIOR]])
+SUMIF(CATEGORIAS[[#All],[SUBGRUPO]],A21,CATEGORIAS[[#All],[CAMBIO DE
CATEGORIA
ANTERIOR]])</f>
        <v>0</v>
      </c>
      <c r="L21" s="10">
        <f>+SUMIF(CATEGORIAS[[#All],[SUBGRUPO]],A21,CATEGORIAS[[#All],[PROVISIONES
ANTERIOR]])</f>
        <v>0</v>
      </c>
      <c r="M21" s="88">
        <f>K21+L21</f>
        <v>0</v>
      </c>
      <c r="O21" s="88">
        <f t="shared" ref="O21" si="25">G21-K21</f>
        <v>0</v>
      </c>
      <c r="P21" s="88">
        <f t="shared" ref="P21" si="26">H21-L21</f>
        <v>0</v>
      </c>
      <c r="Q21" s="88">
        <f t="shared" ref="Q21" si="27">I21-M21</f>
        <v>0</v>
      </c>
    </row>
    <row r="22" spans="1:17" ht="15" hidden="1" customHeight="1" x14ac:dyDescent="0.25">
      <c r="A22" s="14" t="str">
        <f>'Matriz de Produccion'!A22</f>
        <v>0B03</v>
      </c>
      <c r="B22" s="6" t="e">
        <f>VLOOKUP(A22,'Analisis por Categorias'!B:C,2,FALSE)</f>
        <v>#N/A</v>
      </c>
      <c r="D22" s="5">
        <f>SUMIF(CATEGORIAS[[#All],[SUBGRUPO]],A22,CATEGORIAS[[#All],[PRESUPUESTO
(ORIGINAL)]])</f>
        <v>0</v>
      </c>
      <c r="E22" s="5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10">
        <f>+SUMIF(CATEGORIAS[[#All],[SUBGRUPO]],A22,CATEGORIAS[[#All],[COSTO
ACUMULADO  AX]])
+SUMIF(CATEGORIAS[[#All],[SUBGRUPO]],A22,CATEGORIAS[[#All],[CAMBIO DE
CATEGORIA]])</f>
        <v>0</v>
      </c>
      <c r="H22" s="10">
        <f>+SUMIF(CATEGORIAS[[#All],[SUBGRUPO]],A22,CATEGORIAS[[#All],[PROVISIONES]])</f>
        <v>0</v>
      </c>
      <c r="I22" s="10">
        <f>G22+H22</f>
        <v>0</v>
      </c>
      <c r="K22" s="10">
        <f>+SUMIF(CATEGORIAS[[#All],[SUBGRUPO]],A22,CATEGORIAS[[#All],[COSTO ACUMULADO
ANTERIOR]])
+SUMIF(CATEGORIAS[[#All],[SUBGRUPO]],A22,CATEGORIAS[[#All],[CAMBIO DE
CATEGORIA
ANTERIOR]])</f>
        <v>0</v>
      </c>
      <c r="L22" s="10">
        <f>+SUMIF(CATEGORIAS[[#All],[SUBGRUPO]],A22,CATEGORIAS[[#All],[PROVISIONES
ANTERIOR]])</f>
        <v>0</v>
      </c>
      <c r="M22" s="88">
        <f>K22+L22</f>
        <v>0</v>
      </c>
      <c r="O22" s="88">
        <f t="shared" si="24"/>
        <v>0</v>
      </c>
      <c r="P22" s="88">
        <f t="shared" si="24"/>
        <v>0</v>
      </c>
      <c r="Q22" s="88">
        <f t="shared" si="24"/>
        <v>0</v>
      </c>
    </row>
    <row r="23" spans="1:17" ht="15" customHeight="1" x14ac:dyDescent="0.25">
      <c r="A23" s="14" t="str">
        <f>'Matriz de Produccion'!A23</f>
        <v>0B04</v>
      </c>
      <c r="B23" s="6" t="str">
        <f>VLOOKUP(A23,'Analisis por Categorias'!B:C,2,FALSE)</f>
        <v>Mecánica</v>
      </c>
      <c r="D23" s="5">
        <f>SUMIF(CATEGORIAS[[#All],[SUBGRUPO]],A23,CATEGORIAS[[#All],[PRESUPUESTO
(ORIGINAL)]])</f>
        <v>144330783.15279999</v>
      </c>
      <c r="E23" s="5">
        <f>+SUMIF(CATEGORIAS[[#All],[SUBGRUPO]],A23,CATEGORIAS[[#All],[PRODUCCION
PARTIDAS
ORIGINALES
ACTUAL]])
+SUMIF(CATEGORIAS[[#All],[SUBGRUPO]],A23,CATEGORIAS[[#All],[PRODUCCION
ADICIONALES
ACTUAL]])
+SUMIF(CATEGORIAS[[#All],[SUBGRUPO]],A23,CATEGORIAS[[#All],[PROYECCION
DE INGRESO
DEL SALDO]])</f>
        <v>224694827.39911288</v>
      </c>
      <c r="G23" s="10">
        <f>+SUMIF(CATEGORIAS[[#All],[SUBGRUPO]],A23,CATEGORIAS[[#All],[COSTO
ACUMULADO  AX]])
+SUMIF(CATEGORIAS[[#All],[SUBGRUPO]],A23,CATEGORIAS[[#All],[CAMBIO DE
CATEGORIA]])</f>
        <v>338436038</v>
      </c>
      <c r="H23" s="10">
        <f>+SUMIF(CATEGORIAS[[#All],[SUBGRUPO]],A23,CATEGORIAS[[#All],[PROVISIONES]])</f>
        <v>1073940</v>
      </c>
      <c r="I23" s="10">
        <f>G23+H23</f>
        <v>339509978</v>
      </c>
      <c r="K23" s="10">
        <f>+SUMIF(CATEGORIAS[[#All],[SUBGRUPO]],A23,CATEGORIAS[[#All],[COSTO ACUMULADO
ANTERIOR]])
+SUMIF(CATEGORIAS[[#All],[SUBGRUPO]],A23,CATEGORIAS[[#All],[CAMBIO DE
CATEGORIA
ANTERIOR]])</f>
        <v>315855512</v>
      </c>
      <c r="L23" s="10">
        <f>+SUMIF(CATEGORIAS[[#All],[SUBGRUPO]],A23,CATEGORIAS[[#All],[PROVISIONES
ANTERIOR]])</f>
        <v>5615148</v>
      </c>
      <c r="M23" s="10">
        <f>K23+L23</f>
        <v>321470660</v>
      </c>
      <c r="O23" s="10">
        <f t="shared" si="24"/>
        <v>22580526</v>
      </c>
      <c r="P23" s="10">
        <f t="shared" si="24"/>
        <v>-4541208</v>
      </c>
      <c r="Q23" s="10">
        <f t="shared" si="24"/>
        <v>18039318</v>
      </c>
    </row>
    <row r="24" spans="1:17" ht="15" customHeight="1" x14ac:dyDescent="0.25">
      <c r="A24" s="14" t="str">
        <f>'Matriz de Produccion'!A24</f>
        <v>0B05</v>
      </c>
      <c r="B24" s="6" t="str">
        <f>VLOOKUP(A24,'Analisis por Categorias'!B:C,2,FALSE)</f>
        <v>Cañería</v>
      </c>
      <c r="D24" s="5">
        <f>SUMIF(CATEGORIAS[[#All],[SUBGRUPO]],A24,CATEGORIAS[[#All],[PRESUPUESTO
(ORIGINAL)]])</f>
        <v>3653812.5723999999</v>
      </c>
      <c r="E24" s="5">
        <f>+SUMIF(CATEGORIAS[[#All],[SUBGRUPO]],A24,CATEGORIAS[[#All],[PRODUCCION
PARTIDAS
ORIGINALES
ACTUAL]])
+SUMIF(CATEGORIAS[[#All],[SUBGRUPO]],A24,CATEGORIAS[[#All],[PRODUCCION
ADICIONALES
ACTUAL]])
+SUMIF(CATEGORIAS[[#All],[SUBGRUPO]],A24,CATEGORIAS[[#All],[PROYECCION
DE INGRESO
DEL SALDO]])</f>
        <v>1069762.3046658658</v>
      </c>
      <c r="G24" s="10">
        <f>+SUMIF(CATEGORIAS[[#All],[SUBGRUPO]],A24,CATEGORIAS[[#All],[COSTO
ACUMULADO  AX]])
+SUMIF(CATEGORIAS[[#All],[SUBGRUPO]],A24,CATEGORIAS[[#All],[CAMBIO DE
CATEGORIA]])</f>
        <v>0</v>
      </c>
      <c r="H24" s="10">
        <f>+SUMIF(CATEGORIAS[[#All],[SUBGRUPO]],A24,CATEGORIAS[[#All],[PROVISIONES]])</f>
        <v>0</v>
      </c>
      <c r="I24" s="10">
        <f>G24+H24</f>
        <v>0</v>
      </c>
      <c r="K24" s="10">
        <f>+SUMIF(CATEGORIAS[[#All],[SUBGRUPO]],A24,CATEGORIAS[[#All],[COSTO ACUMULADO
ANTERIOR]])
+SUMIF(CATEGORIAS[[#All],[SUBGRUPO]],A24,CATEGORIAS[[#All],[CAMBIO DE
CATEGORIA
ANTERIOR]])</f>
        <v>0</v>
      </c>
      <c r="L24" s="10">
        <f>+SUMIF(CATEGORIAS[[#All],[SUBGRUPO]],A24,CATEGORIAS[[#All],[PROVISIONES
ANTERIOR]])</f>
        <v>0</v>
      </c>
      <c r="M24" s="88">
        <f>K24+L24</f>
        <v>0</v>
      </c>
      <c r="O24" s="88">
        <f t="shared" si="24"/>
        <v>0</v>
      </c>
      <c r="P24" s="88">
        <f t="shared" si="24"/>
        <v>0</v>
      </c>
      <c r="Q24" s="88">
        <f t="shared" si="24"/>
        <v>0</v>
      </c>
    </row>
    <row r="25" spans="1:17" ht="15" customHeight="1" x14ac:dyDescent="0.25">
      <c r="A25" s="14" t="str">
        <f>'Matriz de Produccion'!A25</f>
        <v>0B06</v>
      </c>
      <c r="B25" s="6" t="str">
        <f>VLOOKUP(A25,'Analisis por Categorias'!B:C,2,FALSE)</f>
        <v>Electricidad</v>
      </c>
      <c r="D25" s="5">
        <f>SUMIF(CATEGORIAS[[#All],[SUBGRUPO]],A25,CATEGORIAS[[#All],[PRESUPUESTO
(ORIGINAL)]])</f>
        <v>1198500</v>
      </c>
      <c r="E25" s="5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965766.6377581663</v>
      </c>
      <c r="G25" s="10">
        <f>+SUMIF(CATEGORIAS[[#All],[SUBGRUPO]],A25,CATEGORIAS[[#All],[COSTO
ACUMULADO  AX]])
+SUMIF(CATEGORIAS[[#All],[SUBGRUPO]],A25,CATEGORIAS[[#All],[CAMBIO DE
CATEGORIA]])</f>
        <v>3189423</v>
      </c>
      <c r="H25" s="10">
        <f>+SUMIF(CATEGORIAS[[#All],[SUBGRUPO]],A25,CATEGORIAS[[#All],[PROVISIONES]])</f>
        <v>0</v>
      </c>
      <c r="I25" s="10">
        <f t="shared" ref="I25:I26" si="28">G25+H25</f>
        <v>3189423</v>
      </c>
      <c r="K25" s="10">
        <f>+SUMIF(CATEGORIAS[[#All],[SUBGRUPO]],A25,CATEGORIAS[[#All],[COSTO ACUMULADO
ANTERIOR]])
+SUMIF(CATEGORIAS[[#All],[SUBGRUPO]],A25,CATEGORIAS[[#All],[CAMBIO DE
CATEGORIA
ANTERIOR]])</f>
        <v>3045313</v>
      </c>
      <c r="L25" s="10">
        <f>+SUMIF(CATEGORIAS[[#All],[SUBGRUPO]],A25,CATEGORIAS[[#All],[PROVISIONES
ANTERIOR]])</f>
        <v>515072</v>
      </c>
      <c r="M25" s="88">
        <f t="shared" ref="M25:M26" si="29">K25+L25</f>
        <v>3560385</v>
      </c>
      <c r="O25" s="88">
        <f t="shared" ref="O25:O26" si="30">G25-K25</f>
        <v>144110</v>
      </c>
      <c r="P25" s="88">
        <f t="shared" ref="P25:P26" si="31">H25-L25</f>
        <v>-515072</v>
      </c>
      <c r="Q25" s="88">
        <f t="shared" ref="Q25:Q26" si="32">I25-M25</f>
        <v>-370962</v>
      </c>
    </row>
    <row r="26" spans="1:17" ht="15" hidden="1" customHeight="1" x14ac:dyDescent="0.25">
      <c r="A26" s="14" t="str">
        <f>'Matriz de Produccion'!A26</f>
        <v>0B07</v>
      </c>
      <c r="B26" s="6" t="e">
        <f>VLOOKUP(A26,'Analisis por Categorias'!B:C,2,FALSE)</f>
        <v>#N/A</v>
      </c>
      <c r="D26" s="5">
        <f>SUMIF(CATEGORIAS[[#All],[SUBGRUPO]],A26,CATEGORIAS[[#All],[PRESUPUESTO
(ORIGINAL)]])</f>
        <v>0</v>
      </c>
      <c r="E26" s="5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0</v>
      </c>
      <c r="G26" s="10">
        <f>+SUMIF(CATEGORIAS[[#All],[SUBGRUPO]],A26,CATEGORIAS[[#All],[COSTO
ACUMULADO  AX]])
+SUMIF(CATEGORIAS[[#All],[SUBGRUPO]],A26,CATEGORIAS[[#All],[CAMBIO DE
CATEGORIA]])</f>
        <v>0</v>
      </c>
      <c r="H26" s="10">
        <f>+SUMIF(CATEGORIAS[[#All],[SUBGRUPO]],A26,CATEGORIAS[[#All],[PROVISIONES]])</f>
        <v>0</v>
      </c>
      <c r="I26" s="10">
        <f t="shared" si="28"/>
        <v>0</v>
      </c>
      <c r="K26" s="10">
        <f>+SUMIF(CATEGORIAS[[#All],[SUBGRUPO]],A26,CATEGORIAS[[#All],[COSTO ACUMULADO
ANTERIOR]])
+SUMIF(CATEGORIAS[[#All],[SUBGRUPO]],A26,CATEGORIAS[[#All],[CAMBIO DE
CATEGORIA
ANTERIOR]])</f>
        <v>0</v>
      </c>
      <c r="L26" s="10">
        <f>+SUMIF(CATEGORIAS[[#All],[SUBGRUPO]],A26,CATEGORIAS[[#All],[PROVISIONES
ANTERIOR]])</f>
        <v>0</v>
      </c>
      <c r="M26" s="88">
        <f t="shared" si="29"/>
        <v>0</v>
      </c>
      <c r="O26" s="88">
        <f t="shared" si="30"/>
        <v>0</v>
      </c>
      <c r="P26" s="88">
        <f t="shared" si="31"/>
        <v>0</v>
      </c>
      <c r="Q26" s="88">
        <f t="shared" si="32"/>
        <v>0</v>
      </c>
    </row>
    <row r="27" spans="1:17" ht="15" hidden="1" customHeight="1" x14ac:dyDescent="0.25">
      <c r="A27" s="14" t="str">
        <f>'Matriz de Produccion'!A27</f>
        <v>0B08</v>
      </c>
      <c r="B27" s="6" t="e">
        <f>VLOOKUP(A27,'Analisis por Categorias'!B:C,2,FALSE)</f>
        <v>#N/A</v>
      </c>
      <c r="D27" s="5">
        <f>SUMIF(CATEGORIAS[[#All],[SUBGRUPO]],A27,CATEGORIAS[[#All],[PRESUPUESTO
(ORIGINAL)]])</f>
        <v>0</v>
      </c>
      <c r="E27" s="5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0</v>
      </c>
      <c r="G27" s="10">
        <f>+SUMIF(CATEGORIAS[[#All],[SUBGRUPO]],A27,CATEGORIAS[[#All],[COSTO
ACUMULADO  AX]])
+SUMIF(CATEGORIAS[[#All],[SUBGRUPO]],A27,CATEGORIAS[[#All],[CAMBIO DE
CATEGORIA]])</f>
        <v>0</v>
      </c>
      <c r="H27" s="10">
        <f>+SUMIF(CATEGORIAS[[#All],[SUBGRUPO]],A27,CATEGORIAS[[#All],[PROVISIONES]])</f>
        <v>0</v>
      </c>
      <c r="I27" s="10">
        <f t="shared" ref="I27:I28" si="33">G27+H27</f>
        <v>0</v>
      </c>
      <c r="K27" s="10">
        <f>+SUMIF(CATEGORIAS[[#All],[SUBGRUPO]],A27,CATEGORIAS[[#All],[COSTO ACUMULADO
ANTERIOR]])
+SUMIF(CATEGORIAS[[#All],[SUBGRUPO]],A27,CATEGORIAS[[#All],[CAMBIO DE
CATEGORIA
ANTERIOR]])</f>
        <v>0</v>
      </c>
      <c r="L27" s="10">
        <f>+SUMIF(CATEGORIAS[[#All],[SUBGRUPO]],A27,CATEGORIAS[[#All],[PROVISIONES
ANTERIOR]])</f>
        <v>0</v>
      </c>
      <c r="M27" s="88">
        <f t="shared" ref="M27:M28" si="34">K27+L27</f>
        <v>0</v>
      </c>
      <c r="O27" s="88">
        <f t="shared" ref="O27:O28" si="35">G27-K27</f>
        <v>0</v>
      </c>
      <c r="P27" s="88">
        <f t="shared" ref="P27:P28" si="36">H27-L27</f>
        <v>0</v>
      </c>
      <c r="Q27" s="88">
        <f t="shared" ref="Q27:Q28" si="37">I27-M27</f>
        <v>0</v>
      </c>
    </row>
    <row r="28" spans="1:17" ht="15" hidden="1" customHeight="1" x14ac:dyDescent="0.25">
      <c r="A28" s="14" t="str">
        <f>'Matriz de Produccion'!A28</f>
        <v>0B09</v>
      </c>
      <c r="B28" s="6" t="e">
        <f>VLOOKUP(A28,'Analisis por Categorias'!B:C,2,FALSE)</f>
        <v>#N/A</v>
      </c>
      <c r="D28" s="5">
        <f>SUMIF(CATEGORIAS[[#All],[SUBGRUPO]],A28,CATEGORIAS[[#All],[PRESUPUESTO
(ORIGINAL)]])</f>
        <v>0</v>
      </c>
      <c r="E28" s="5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0</v>
      </c>
      <c r="G28" s="10">
        <f>+SUMIF(CATEGORIAS[[#All],[SUBGRUPO]],A28,CATEGORIAS[[#All],[COSTO
ACUMULADO  AX]])
+SUMIF(CATEGORIAS[[#All],[SUBGRUPO]],A28,CATEGORIAS[[#All],[CAMBIO DE
CATEGORIA]])</f>
        <v>0</v>
      </c>
      <c r="H28" s="10">
        <f>+SUMIF(CATEGORIAS[[#All],[SUBGRUPO]],A28,CATEGORIAS[[#All],[PROVISIONES]])</f>
        <v>0</v>
      </c>
      <c r="I28" s="10">
        <f t="shared" si="33"/>
        <v>0</v>
      </c>
      <c r="K28" s="10">
        <f>+SUMIF(CATEGORIAS[[#All],[SUBGRUPO]],A28,CATEGORIAS[[#All],[COSTO ACUMULADO
ANTERIOR]])
+SUMIF(CATEGORIAS[[#All],[SUBGRUPO]],A28,CATEGORIAS[[#All],[CAMBIO DE
CATEGORIA
ANTERIOR]])</f>
        <v>0</v>
      </c>
      <c r="L28" s="10">
        <f>+SUMIF(CATEGORIAS[[#All],[SUBGRUPO]],A28,CATEGORIAS[[#All],[PROVISIONES
ANTERIOR]])</f>
        <v>0</v>
      </c>
      <c r="M28" s="88">
        <f t="shared" si="34"/>
        <v>0</v>
      </c>
      <c r="O28" s="88">
        <f t="shared" si="35"/>
        <v>0</v>
      </c>
      <c r="P28" s="88">
        <f t="shared" si="36"/>
        <v>0</v>
      </c>
      <c r="Q28" s="88">
        <f t="shared" si="37"/>
        <v>0</v>
      </c>
    </row>
    <row r="29" spans="1:17" ht="8.25" customHeight="1" x14ac:dyDescent="0.25"/>
    <row r="30" spans="1:17" ht="15" customHeight="1" x14ac:dyDescent="0.25">
      <c r="A30" s="14" t="str">
        <f>'Matriz de Produccion'!A30</f>
        <v>0C00</v>
      </c>
      <c r="B30" s="81" t="str">
        <f>'Matriz de Produccion'!B30:B30</f>
        <v>C - COSTO PROPORCIONAL HH</v>
      </c>
      <c r="D30" s="82">
        <f>SUM(D31:D36)</f>
        <v>438661457.75153172</v>
      </c>
      <c r="E30" s="82">
        <f>SUM(E31:E36)</f>
        <v>495177817.53729898</v>
      </c>
      <c r="G30" s="84">
        <f>SUM(G31:G36)</f>
        <v>624710131.99974489</v>
      </c>
      <c r="H30" s="84">
        <f>SUM(H31:H36)</f>
        <v>2670636</v>
      </c>
      <c r="I30" s="84">
        <f>SUM(I31:I36)</f>
        <v>627380767.99974489</v>
      </c>
      <c r="K30" s="84">
        <f>SUM(K31:K36)</f>
        <v>555927815.79974496</v>
      </c>
      <c r="L30" s="84">
        <f>SUM(L31:L36)</f>
        <v>58990823.200000003</v>
      </c>
      <c r="M30" s="84">
        <f>SUM(M31:M36)</f>
        <v>614918638.99974489</v>
      </c>
      <c r="O30" s="84">
        <f>SUM(O31:O36)</f>
        <v>68782316.199999988</v>
      </c>
      <c r="P30" s="84">
        <f>SUM(P31:P36)</f>
        <v>-56320187.200000003</v>
      </c>
      <c r="Q30" s="84">
        <f>SUM(Q31:Q36)</f>
        <v>12462129</v>
      </c>
    </row>
    <row r="31" spans="1:17" ht="15" customHeight="1" x14ac:dyDescent="0.25">
      <c r="A31" s="14" t="str">
        <f>'Matriz de Produccion'!A31</f>
        <v>0C01</v>
      </c>
      <c r="B31" s="6" t="str">
        <f>VLOOKUP(A31,'Analisis por Categorias'!B:C,2,FALSE)</f>
        <v>Seguridad</v>
      </c>
      <c r="D31" s="5">
        <f>SUMIF(CATEGORIAS[[#All],[SUBGRUPO]],A31,CATEGORIAS[[#All],[PRESUPUESTO
(ORIGINAL)]])</f>
        <v>49460193.317142844</v>
      </c>
      <c r="E31" s="5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58579091.682807788</v>
      </c>
      <c r="G31" s="10">
        <f>+SUMIF(CATEGORIAS[[#All],[SUBGRUPO]],A31,CATEGORIAS[[#All],[COSTO
ACUMULADO  AX]])
+SUMIF(CATEGORIAS[[#All],[SUBGRUPO]],A31,CATEGORIAS[[#All],[CAMBIO DE
CATEGORIA]])</f>
        <v>65116448</v>
      </c>
      <c r="H31" s="10">
        <f>+SUMIF(CATEGORIAS[[#All],[SUBGRUPO]],A31,CATEGORIAS[[#All],[PROVISIONES]])</f>
        <v>0</v>
      </c>
      <c r="I31" s="10">
        <f t="shared" ref="I31:I36" si="38">G31+H31</f>
        <v>65116448</v>
      </c>
      <c r="K31" s="10">
        <f>+SUMIF(CATEGORIAS[[#All],[SUBGRUPO]],A31,CATEGORIAS[[#All],[COSTO ACUMULADO
ANTERIOR]])
+SUMIF(CATEGORIAS[[#All],[SUBGRUPO]],A31,CATEGORIAS[[#All],[CAMBIO DE
CATEGORIA
ANTERIOR]])</f>
        <v>60103842</v>
      </c>
      <c r="L31" s="10">
        <f>+SUMIF(CATEGORIAS[[#All],[SUBGRUPO]],A31,CATEGORIAS[[#All],[PROVISIONES
ANTERIOR]])</f>
        <v>12619379</v>
      </c>
      <c r="M31" s="10">
        <f t="shared" ref="M31:M36" si="39">K31+L31</f>
        <v>72723221</v>
      </c>
      <c r="O31" s="10">
        <f t="shared" ref="O31:Q36" si="40">G31-K31</f>
        <v>5012606</v>
      </c>
      <c r="P31" s="10">
        <f>H31-L31</f>
        <v>-12619379</v>
      </c>
      <c r="Q31" s="10">
        <f t="shared" si="40"/>
        <v>-7606773</v>
      </c>
    </row>
    <row r="32" spans="1:17" ht="15" customHeight="1" x14ac:dyDescent="0.25">
      <c r="A32" s="14" t="str">
        <f>'Matriz de Produccion'!A32</f>
        <v>0C02</v>
      </c>
      <c r="B32" s="6" t="str">
        <f>VLOOKUP(A32,'Analisis por Categorias'!B:C,2,FALSE)</f>
        <v>Materiales de Consumo</v>
      </c>
      <c r="D32" s="5">
        <f>SUMIF(CATEGORIAS[[#All],[SUBGRUPO]],A32,CATEGORIAS[[#All],[PRESUPUESTO
(ORIGINAL)]])</f>
        <v>12103994.75785714</v>
      </c>
      <c r="E32" s="5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13621052.235494256</v>
      </c>
      <c r="G32" s="10">
        <f>+SUMIF(CATEGORIAS[[#All],[SUBGRUPO]],A32,CATEGORIAS[[#All],[COSTO
ACUMULADO  AX]])
+SUMIF(CATEGORIAS[[#All],[SUBGRUPO]],A32,CATEGORIAS[[#All],[CAMBIO DE
CATEGORIA]])</f>
        <v>19527807.213078432</v>
      </c>
      <c r="H32" s="10">
        <f>+SUMIF(CATEGORIAS[[#All],[SUBGRUPO]],A32,CATEGORIAS[[#All],[PROVISIONES]])</f>
        <v>0</v>
      </c>
      <c r="I32" s="10">
        <f t="shared" si="38"/>
        <v>19527807.213078432</v>
      </c>
      <c r="K32" s="10">
        <f>+SUMIF(CATEGORIAS[[#All],[SUBGRUPO]],A32,CATEGORIAS[[#All],[COSTO ACUMULADO
ANTERIOR]])
+SUMIF(CATEGORIAS[[#All],[SUBGRUPO]],A32,CATEGORIAS[[#All],[CAMBIO DE
CATEGORIA
ANTERIOR]])</f>
        <v>13947035.213078432</v>
      </c>
      <c r="L32" s="10">
        <f>+SUMIF(CATEGORIAS[[#All],[SUBGRUPO]],A32,CATEGORIAS[[#All],[PROVISIONES
ANTERIOR]])</f>
        <v>10645256</v>
      </c>
      <c r="M32" s="88">
        <f t="shared" si="39"/>
        <v>24592291.213078432</v>
      </c>
      <c r="O32" s="88">
        <f t="shared" si="40"/>
        <v>5580772</v>
      </c>
      <c r="P32" s="88">
        <f t="shared" si="40"/>
        <v>-10645256</v>
      </c>
      <c r="Q32" s="88">
        <f t="shared" si="40"/>
        <v>-5064484</v>
      </c>
    </row>
    <row r="33" spans="1:17" ht="15" customHeight="1" x14ac:dyDescent="0.25">
      <c r="A33" s="14" t="str">
        <f>'Matriz de Produccion'!A33</f>
        <v>0C03</v>
      </c>
      <c r="B33" s="6" t="str">
        <f>VLOOKUP(A33,'Analisis por Categorias'!B:C,2,FALSE)</f>
        <v>Herramienta Menor</v>
      </c>
      <c r="D33" s="5">
        <f>SUMIF(CATEGORIAS[[#All],[SUBGRUPO]],A33,CATEGORIAS[[#All],[PRESUPUESTO
(ORIGINAL)]])</f>
        <v>8347786.981428571</v>
      </c>
      <c r="E33" s="5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18517102.573933292</v>
      </c>
      <c r="G33" s="10">
        <f>+SUMIF(CATEGORIAS[[#All],[SUBGRUPO]],A33,CATEGORIAS[[#All],[COSTO
ACUMULADO  AX]])
+SUMIF(CATEGORIAS[[#All],[SUBGRUPO]],A33,CATEGORIAS[[#All],[CAMBIO DE
CATEGORIA]])</f>
        <v>76380238</v>
      </c>
      <c r="H33" s="10">
        <f>+SUMIF(CATEGORIAS[[#All],[SUBGRUPO]],A33,CATEGORIAS[[#All],[PROVISIONES]])</f>
        <v>0</v>
      </c>
      <c r="I33" s="10">
        <f t="shared" ref="I33" si="41">G33+H33</f>
        <v>76380238</v>
      </c>
      <c r="K33" s="10">
        <f>+SUMIF(CATEGORIAS[[#All],[SUBGRUPO]],A33,CATEGORIAS[[#All],[COSTO ACUMULADO
ANTERIOR]])
+SUMIF(CATEGORIAS[[#All],[SUBGRUPO]],A33,CATEGORIAS[[#All],[CAMBIO DE
CATEGORIA
ANTERIOR]])</f>
        <v>20592366</v>
      </c>
      <c r="L33" s="10">
        <f>+SUMIF(CATEGORIAS[[#All],[SUBGRUPO]],A33,CATEGORIAS[[#All],[PROVISIONES
ANTERIOR]])</f>
        <v>30704886</v>
      </c>
      <c r="M33" s="10">
        <f t="shared" ref="M33" si="42">K33+L33</f>
        <v>51297252</v>
      </c>
      <c r="O33" s="10">
        <f t="shared" ref="O33" si="43">G33-K33</f>
        <v>55787872</v>
      </c>
      <c r="P33" s="10">
        <f t="shared" ref="P33" si="44">H33-L33</f>
        <v>-30704886</v>
      </c>
      <c r="Q33" s="10">
        <f t="shared" ref="Q33" si="45">I33-M33</f>
        <v>25082986</v>
      </c>
    </row>
    <row r="34" spans="1:17" ht="15" customHeight="1" x14ac:dyDescent="0.25">
      <c r="A34" s="14" t="str">
        <f>'Matriz de Produccion'!A34</f>
        <v>0C04</v>
      </c>
      <c r="B34" s="6" t="str">
        <f>VLOOKUP(A34,'Analisis por Categorias'!B:C,2,FALSE)</f>
        <v>Movilización</v>
      </c>
      <c r="D34" s="5">
        <f>SUMIF(CATEGORIAS[[#All],[SUBGRUPO]],A34,CATEGORIAS[[#All],[PRESUPUESTO
(ORIGINAL)]])</f>
        <v>133254783.32614532</v>
      </c>
      <c r="E34" s="5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138339029.77206415</v>
      </c>
      <c r="G34" s="10">
        <f>+SUMIF(CATEGORIAS[[#All],[SUBGRUPO]],A34,CATEGORIAS[[#All],[COSTO
ACUMULADO  AX]])
+SUMIF(CATEGORIAS[[#All],[SUBGRUPO]],A34,CATEGORIAS[[#All],[CAMBIO DE
CATEGORIA]])</f>
        <v>199139273.3666665</v>
      </c>
      <c r="H34" s="10">
        <f>+SUMIF(CATEGORIAS[[#All],[SUBGRUPO]],A34,CATEGORIAS[[#All],[PROVISIONES]])</f>
        <v>0</v>
      </c>
      <c r="I34" s="10">
        <f t="shared" si="38"/>
        <v>199139273.3666665</v>
      </c>
      <c r="K34" s="10">
        <f>+SUMIF(CATEGORIAS[[#All],[SUBGRUPO]],A34,CATEGORIAS[[#All],[COSTO ACUMULADO
ANTERIOR]])
+SUMIF(CATEGORIAS[[#All],[SUBGRUPO]],A34,CATEGORIAS[[#All],[CAMBIO DE
CATEGORIA
ANTERIOR]])</f>
        <v>197188607.16666651</v>
      </c>
      <c r="L34" s="10">
        <f>+SUMIF(CATEGORIAS[[#All],[SUBGRUPO]],A34,CATEGORIAS[[#All],[PROVISIONES
ANTERIOR]])</f>
        <v>1950666.200000003</v>
      </c>
      <c r="M34" s="10">
        <f t="shared" si="39"/>
        <v>199139273.3666665</v>
      </c>
      <c r="O34" s="10">
        <f t="shared" si="40"/>
        <v>1950666.1999999881</v>
      </c>
      <c r="P34" s="10">
        <f>H34-L34</f>
        <v>-1950666.200000003</v>
      </c>
      <c r="Q34" s="10">
        <f t="shared" si="40"/>
        <v>0</v>
      </c>
    </row>
    <row r="35" spans="1:17" ht="15" customHeight="1" x14ac:dyDescent="0.25">
      <c r="A35" s="14" t="str">
        <f>'Matriz de Produccion'!A35</f>
        <v>0C05</v>
      </c>
      <c r="B35" s="6" t="str">
        <f>VLOOKUP(A35,'Analisis por Categorias'!B:C,2,FALSE)</f>
        <v>Alimentación</v>
      </c>
      <c r="D35" s="5">
        <f>SUMIF(CATEGORIAS[[#All],[SUBGRUPO]],A35,CATEGORIAS[[#All],[PRESUPUESTO
(ORIGINAL)]])</f>
        <v>55445822.578890182</v>
      </c>
      <c r="E35" s="5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63925819.282506973</v>
      </c>
      <c r="G35" s="10">
        <f>+SUMIF(CATEGORIAS[[#All],[SUBGRUPO]],A35,CATEGORIAS[[#All],[COSTO
ACUMULADO  AX]])
+SUMIF(CATEGORIAS[[#All],[SUBGRUPO]],A35,CATEGORIAS[[#All],[CAMBIO DE
CATEGORIA]])</f>
        <v>52613491.420000002</v>
      </c>
      <c r="H35" s="10">
        <f>+SUMIF(CATEGORIAS[[#All],[SUBGRUPO]],A35,CATEGORIAS[[#All],[PROVISIONES]])</f>
        <v>2670636</v>
      </c>
      <c r="I35" s="10">
        <f t="shared" ref="I35" si="46">G35+H35</f>
        <v>55284127.420000002</v>
      </c>
      <c r="K35" s="10">
        <f>+SUMIF(CATEGORIAS[[#All],[SUBGRUPO]],A35,CATEGORIAS[[#All],[COSTO ACUMULADO
ANTERIOR]])
+SUMIF(CATEGORIAS[[#All],[SUBGRUPO]],A35,CATEGORIAS[[#All],[CAMBIO DE
CATEGORIA
ANTERIOR]])</f>
        <v>52613491.420000002</v>
      </c>
      <c r="L35" s="10">
        <f>+SUMIF(CATEGORIAS[[#All],[SUBGRUPO]],A35,CATEGORIAS[[#All],[PROVISIONES
ANTERIOR]])</f>
        <v>2670636</v>
      </c>
      <c r="M35" s="10">
        <f t="shared" ref="M35" si="47">K35+L35</f>
        <v>55284127.420000002</v>
      </c>
      <c r="O35" s="10">
        <f t="shared" ref="O35" si="48">G35-K35</f>
        <v>0</v>
      </c>
      <c r="P35" s="10">
        <f t="shared" ref="P35" si="49">H35-L35</f>
        <v>0</v>
      </c>
      <c r="Q35" s="10">
        <f t="shared" ref="Q35" si="50">I35-M35</f>
        <v>0</v>
      </c>
    </row>
    <row r="36" spans="1:17" ht="15" customHeight="1" x14ac:dyDescent="0.25">
      <c r="A36" s="14" t="str">
        <f>'Matriz de Produccion'!A36</f>
        <v>0C06</v>
      </c>
      <c r="B36" s="6" t="str">
        <f>VLOOKUP(A36,'Analisis por Categorias'!B:C,2,FALSE)</f>
        <v>Hoteleria</v>
      </c>
      <c r="D36" s="5">
        <f>SUMIF(CATEGORIAS[[#All],[SUBGRUPO]],A36,CATEGORIAS[[#All],[PRESUPUESTO
(ORIGINAL)]])</f>
        <v>180048876.79006767</v>
      </c>
      <c r="E36" s="5">
        <f>+SUMIF(CATEGORIAS[[#All],[SUBGRUPO]],A36,CATEGORIAS[[#All],[PRODUCCION
PARTIDAS
ORIGINALES
ACTUAL]])
+SUMIF(CATEGORIAS[[#All],[SUBGRUPO]],A36,CATEGORIAS[[#All],[PRODUCCION
ADICIONALES
ACTUAL]])
+SUMIF(CATEGORIAS[[#All],[SUBGRUPO]],A36,CATEGORIAS[[#All],[PROYECCION
DE INGRESO
DEL SALDO]])</f>
        <v>202195721.99049252</v>
      </c>
      <c r="G36" s="10">
        <f>+SUMIF(CATEGORIAS[[#All],[SUBGRUPO]],A36,CATEGORIAS[[#All],[COSTO
ACUMULADO  AX]])
+SUMIF(CATEGORIAS[[#All],[SUBGRUPO]],A36,CATEGORIAS[[#All],[CAMBIO DE
CATEGORIA]])</f>
        <v>211932874</v>
      </c>
      <c r="H36" s="10">
        <f>+SUMIF(CATEGORIAS[[#All],[SUBGRUPO]],A36,CATEGORIAS[[#All],[PROVISIONES]])</f>
        <v>0</v>
      </c>
      <c r="I36" s="10">
        <f t="shared" si="38"/>
        <v>211932874</v>
      </c>
      <c r="K36" s="10">
        <f>+SUMIF(CATEGORIAS[[#All],[SUBGRUPO]],A36,CATEGORIAS[[#All],[COSTO ACUMULADO
ANTERIOR]])
+SUMIF(CATEGORIAS[[#All],[SUBGRUPO]],A36,CATEGORIAS[[#All],[CAMBIO DE
CATEGORIA
ANTERIOR]])</f>
        <v>211482474</v>
      </c>
      <c r="L36" s="10">
        <f>+SUMIF(CATEGORIAS[[#All],[SUBGRUPO]],A36,CATEGORIAS[[#All],[PROVISIONES
ANTERIOR]])</f>
        <v>400000</v>
      </c>
      <c r="M36" s="88">
        <f t="shared" si="39"/>
        <v>211882474</v>
      </c>
      <c r="O36" s="88">
        <f t="shared" si="40"/>
        <v>450400</v>
      </c>
      <c r="P36" s="88">
        <f t="shared" si="40"/>
        <v>-400000</v>
      </c>
      <c r="Q36" s="88">
        <f t="shared" si="40"/>
        <v>50400</v>
      </c>
    </row>
    <row r="37" spans="1:17" ht="8.25" customHeight="1" x14ac:dyDescent="0.25"/>
    <row r="38" spans="1:17" ht="15" customHeight="1" x14ac:dyDescent="0.25">
      <c r="A38" s="14" t="str">
        <f>'Matriz de Produccion'!A38</f>
        <v>0D00</v>
      </c>
      <c r="B38" s="81" t="str">
        <f>'Matriz de Produccion'!B38:B38</f>
        <v>D - EQUIPOS Y COMBUSTIBLES</v>
      </c>
      <c r="D38" s="82">
        <f>SUM(D39:D47)</f>
        <v>825206144.46633112</v>
      </c>
      <c r="E38" s="82">
        <f>SUM(E39:E47)</f>
        <v>1005746952.9262139</v>
      </c>
      <c r="G38" s="84">
        <f>SUM(G39:G47)</f>
        <v>718781787.34471464</v>
      </c>
      <c r="H38" s="84">
        <f t="shared" ref="H38:I38" si="51">SUM(H39:H47)</f>
        <v>-155584</v>
      </c>
      <c r="I38" s="84">
        <f t="shared" si="51"/>
        <v>718626203.34471464</v>
      </c>
      <c r="K38" s="84">
        <f>SUM(K39:K47)</f>
        <v>697557046.34471464</v>
      </c>
      <c r="L38" s="84">
        <f t="shared" ref="L38" si="52">SUM(L39:L47)</f>
        <v>26570388</v>
      </c>
      <c r="M38" s="84">
        <f t="shared" ref="M38" si="53">SUM(M39:M47)</f>
        <v>724127434.34471464</v>
      </c>
      <c r="O38" s="84">
        <f>SUM(O39:O47)</f>
        <v>21224741</v>
      </c>
      <c r="P38" s="84">
        <f t="shared" ref="P38" si="54">SUM(P39:P47)</f>
        <v>-26725972</v>
      </c>
      <c r="Q38" s="84">
        <f t="shared" ref="Q38" si="55">SUM(Q39:Q47)</f>
        <v>-5501231</v>
      </c>
    </row>
    <row r="39" spans="1:17" ht="15" customHeight="1" x14ac:dyDescent="0.25">
      <c r="A39" s="14" t="str">
        <f>'Matriz de Produccion'!A39</f>
        <v>0D01</v>
      </c>
      <c r="B39" s="6" t="str">
        <f>VLOOKUP(A39,'Analisis por Categorias'!B:C,2,FALSE)</f>
        <v>Equipos Mayores</v>
      </c>
      <c r="D39" s="5">
        <f>SUMIF(CATEGORIAS[[#All],[SUBGRUPO]],A39,CATEGORIAS[[#All],[PRESUPUESTO
(ORIGINAL)]])</f>
        <v>311231352.43199998</v>
      </c>
      <c r="E39" s="5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416776719.61365134</v>
      </c>
      <c r="G39" s="10">
        <f>+SUMIF(CATEGORIAS[[#All],[SUBGRUPO]],A39,CATEGORIAS[[#All],[COSTO
ACUMULADO  AX]])
+SUMIF(CATEGORIAS[[#All],[SUBGRUPO]],A39,CATEGORIAS[[#All],[CAMBIO DE
CATEGORIA]])</f>
        <v>369859483.97046244</v>
      </c>
      <c r="H39" s="10">
        <f>+SUMIF(CATEGORIAS[[#All],[SUBGRUPO]],A39,CATEGORIAS[[#All],[PROVISIONES]])</f>
        <v>-3381713</v>
      </c>
      <c r="I39" s="10">
        <f t="shared" ref="I39:I44" si="56">G39+H39</f>
        <v>366477770.97046244</v>
      </c>
      <c r="K39" s="10">
        <f>+SUMIF(CATEGORIAS[[#All],[SUBGRUPO]],A39,CATEGORIAS[[#All],[COSTO ACUMULADO
ANTERIOR]])
+SUMIF(CATEGORIAS[[#All],[SUBGRUPO]],A39,CATEGORIAS[[#All],[CAMBIO DE
CATEGORIA
ANTERIOR]])</f>
        <v>361680257.97046244</v>
      </c>
      <c r="L39" s="10">
        <f>+SUMIF(CATEGORIAS[[#All],[SUBGRUPO]],A39,CATEGORIAS[[#All],[PROVISIONES
ANTERIOR]])</f>
        <v>8179225</v>
      </c>
      <c r="M39" s="10">
        <f t="shared" ref="M39:M44" si="57">K39+L39</f>
        <v>369859482.97046244</v>
      </c>
      <c r="O39" s="10">
        <f t="shared" ref="O39:Q44" si="58">G39-K39</f>
        <v>8179226</v>
      </c>
      <c r="P39" s="10">
        <f t="shared" si="58"/>
        <v>-11560938</v>
      </c>
      <c r="Q39" s="10">
        <f t="shared" si="58"/>
        <v>-3381712</v>
      </c>
    </row>
    <row r="40" spans="1:17" ht="15" customHeight="1" x14ac:dyDescent="0.25">
      <c r="A40" s="14" t="str">
        <f>'Matriz de Produccion'!A40</f>
        <v>0D02</v>
      </c>
      <c r="B40" s="6" t="str">
        <f>VLOOKUP(A40,'Analisis por Categorias'!B:C,2,FALSE)</f>
        <v>Equipos Menores</v>
      </c>
      <c r="D40" s="5">
        <f>SUMIF(CATEGORIAS[[#All],[SUBGRUPO]],A40,CATEGORIAS[[#All],[PRESUPUESTO
(ORIGINAL)]])</f>
        <v>106019661.30159998</v>
      </c>
      <c r="E40" s="5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106622331.43438119</v>
      </c>
      <c r="G40" s="10">
        <f>+SUMIF(CATEGORIAS[[#All],[SUBGRUPO]],A40,CATEGORIAS[[#All],[COSTO
ACUMULADO  AX]])
+SUMIF(CATEGORIAS[[#All],[SUBGRUPO]],A40,CATEGORIAS[[#All],[CAMBIO DE
CATEGORIA]])</f>
        <v>62785748</v>
      </c>
      <c r="H40" s="10">
        <f>+SUMIF(CATEGORIAS[[#All],[SUBGRUPO]],A40,CATEGORIAS[[#All],[PROVISIONES]])</f>
        <v>2868186</v>
      </c>
      <c r="I40" s="10">
        <f t="shared" si="56"/>
        <v>65653934</v>
      </c>
      <c r="K40" s="10">
        <f>+SUMIF(CATEGORIAS[[#All],[SUBGRUPO]],A40,CATEGORIAS[[#All],[COSTO ACUMULADO
ANTERIOR]])
+SUMIF(CATEGORIAS[[#All],[SUBGRUPO]],A40,CATEGORIAS[[#All],[CAMBIO DE
CATEGORIA
ANTERIOR]])</f>
        <v>56339836</v>
      </c>
      <c r="L40" s="10">
        <f>+SUMIF(CATEGORIAS[[#All],[SUBGRUPO]],A40,CATEGORIAS[[#All],[PROVISIONES
ANTERIOR]])</f>
        <v>15819070</v>
      </c>
      <c r="M40" s="10">
        <f t="shared" si="57"/>
        <v>72158906</v>
      </c>
      <c r="O40" s="10">
        <f t="shared" si="58"/>
        <v>6445912</v>
      </c>
      <c r="P40" s="10">
        <f t="shared" si="58"/>
        <v>-12950884</v>
      </c>
      <c r="Q40" s="10">
        <f t="shared" si="58"/>
        <v>-6504972</v>
      </c>
    </row>
    <row r="41" spans="1:17" ht="15" customHeight="1" x14ac:dyDescent="0.25">
      <c r="A41" s="14" t="str">
        <f>'Matriz de Produccion'!A41</f>
        <v>0D03</v>
      </c>
      <c r="B41" s="6" t="str">
        <f>VLOOKUP(A41,'Analisis por Categorias'!B:C,2,FALSE)</f>
        <v>Movimiento de tierra</v>
      </c>
      <c r="D41" s="5">
        <f>SUMIF(CATEGORIAS[[#All],[SUBGRUPO]],A41,CATEGORIAS[[#All],[PRESUPUESTO
(ORIGINAL)]])</f>
        <v>128778478.8483</v>
      </c>
      <c r="E41" s="5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113058927.49045363</v>
      </c>
      <c r="G41" s="10">
        <f>+SUMIF(CATEGORIAS[[#All],[SUBGRUPO]],A41,CATEGORIAS[[#All],[COSTO
ACUMULADO  AX]])
+SUMIF(CATEGORIAS[[#All],[SUBGRUPO]],A41,CATEGORIAS[[#All],[CAMBIO DE
CATEGORIA]])</f>
        <v>49682240.374252252</v>
      </c>
      <c r="H41" s="10">
        <f>+SUMIF(CATEGORIAS[[#All],[SUBGRUPO]],A41,CATEGORIAS[[#All],[PROVISIONES]])</f>
        <v>0</v>
      </c>
      <c r="I41" s="10">
        <f t="shared" si="56"/>
        <v>49682240.374252252</v>
      </c>
      <c r="K41" s="10">
        <f>+SUMIF(CATEGORIAS[[#All],[SUBGRUPO]],A41,CATEGORIAS[[#All],[COSTO ACUMULADO
ANTERIOR]])
+SUMIF(CATEGORIAS[[#All],[SUBGRUPO]],A41,CATEGORIAS[[#All],[CAMBIO DE
CATEGORIA
ANTERIOR]])</f>
        <v>49682240.374252252</v>
      </c>
      <c r="L41" s="10">
        <f>+SUMIF(CATEGORIAS[[#All],[SUBGRUPO]],A41,CATEGORIAS[[#All],[PROVISIONES
ANTERIOR]])</f>
        <v>0</v>
      </c>
      <c r="M41" s="10">
        <f t="shared" si="57"/>
        <v>49682240.374252252</v>
      </c>
      <c r="O41" s="10">
        <f t="shared" si="58"/>
        <v>0</v>
      </c>
      <c r="P41" s="10">
        <f t="shared" si="58"/>
        <v>0</v>
      </c>
      <c r="Q41" s="10">
        <f t="shared" si="58"/>
        <v>0</v>
      </c>
    </row>
    <row r="42" spans="1:17" ht="15" customHeight="1" x14ac:dyDescent="0.25">
      <c r="A42" s="14" t="str">
        <f>'Matriz de Produccion'!A42</f>
        <v>0D04</v>
      </c>
      <c r="B42" s="6" t="str">
        <f>VLOOKUP(A42,'Analisis por Categorias'!B:C,2,FALSE)</f>
        <v>Andamios</v>
      </c>
      <c r="D42" s="5">
        <f>SUMIF(CATEGORIAS[[#All],[SUBGRUPO]],A42,CATEGORIAS[[#All],[PRESUPUESTO
(ORIGINAL)]])</f>
        <v>23667361.039999999</v>
      </c>
      <c r="E42" s="5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31204227.294636883</v>
      </c>
      <c r="G42" s="10">
        <f>+SUMIF(CATEGORIAS[[#All],[SUBGRUPO]],A42,CATEGORIAS[[#All],[COSTO
ACUMULADO  AX]])
+SUMIF(CATEGORIAS[[#All],[SUBGRUPO]],A42,CATEGORIAS[[#All],[CAMBIO DE
CATEGORIA]])</f>
        <v>55432000</v>
      </c>
      <c r="H42" s="10">
        <f>+SUMIF(CATEGORIAS[[#All],[SUBGRUPO]],A42,CATEGORIAS[[#All],[PROVISIONES]])</f>
        <v>357943</v>
      </c>
      <c r="I42" s="10">
        <f t="shared" si="56"/>
        <v>55789943</v>
      </c>
      <c r="K42" s="10">
        <f>+SUMIF(CATEGORIAS[[#All],[SUBGRUPO]],A42,CATEGORIAS[[#All],[COSTO ACUMULADO
ANTERIOR]])
+SUMIF(CATEGORIAS[[#All],[SUBGRUPO]],A42,CATEGORIAS[[#All],[CAMBIO DE
CATEGORIA
ANTERIOR]])</f>
        <v>52621968</v>
      </c>
      <c r="L42" s="10">
        <f>+SUMIF(CATEGORIAS[[#All],[SUBGRUPO]],A42,CATEGORIAS[[#All],[PROVISIONES
ANTERIOR]])</f>
        <v>2572093</v>
      </c>
      <c r="M42" s="10">
        <f t="shared" si="57"/>
        <v>55194061</v>
      </c>
      <c r="O42" s="10">
        <f t="shared" si="58"/>
        <v>2810032</v>
      </c>
      <c r="P42" s="10">
        <f t="shared" si="58"/>
        <v>-2214150</v>
      </c>
      <c r="Q42" s="10">
        <f t="shared" si="58"/>
        <v>595882</v>
      </c>
    </row>
    <row r="43" spans="1:17" ht="15" customHeight="1" x14ac:dyDescent="0.25">
      <c r="A43" s="14" t="str">
        <f>'Matriz de Produccion'!A43</f>
        <v>0D05</v>
      </c>
      <c r="B43" s="6" t="str">
        <f>VLOOKUP(A43,'Analisis por Categorias'!B:C,2,FALSE)</f>
        <v>Combustible</v>
      </c>
      <c r="D43" s="5">
        <f>SUMIF(CATEGORIAS[[#All],[SUBGRUPO]],A43,CATEGORIAS[[#All],[PRESUPUESTO
(ORIGINAL)]])</f>
        <v>39200000</v>
      </c>
      <c r="E43" s="5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51868650.420693725</v>
      </c>
      <c r="G43" s="10">
        <f>+SUMIF(CATEGORIAS[[#All],[SUBGRUPO]],A43,CATEGORIAS[[#All],[COSTO
ACUMULADO  AX]])
+SUMIF(CATEGORIAS[[#All],[SUBGRUPO]],A43,CATEGORIAS[[#All],[CAMBIO DE
CATEGORIA]])</f>
        <v>7807673</v>
      </c>
      <c r="H43" s="10">
        <f>+SUMIF(CATEGORIAS[[#All],[SUBGRUPO]],A43,CATEGORIAS[[#All],[PROVISIONES]])</f>
        <v>0</v>
      </c>
      <c r="I43" s="10">
        <f t="shared" si="56"/>
        <v>7807673</v>
      </c>
      <c r="K43" s="10">
        <f>+SUMIF(CATEGORIAS[[#All],[SUBGRUPO]],A43,CATEGORIAS[[#All],[COSTO ACUMULADO
ANTERIOR]])
+SUMIF(CATEGORIAS[[#All],[SUBGRUPO]],A43,CATEGORIAS[[#All],[CAMBIO DE
CATEGORIA
ANTERIOR]])</f>
        <v>7372308</v>
      </c>
      <c r="L43" s="10">
        <f>+SUMIF(CATEGORIAS[[#All],[SUBGRUPO]],A43,CATEGORIAS[[#All],[PROVISIONES
ANTERIOR]])</f>
        <v>0</v>
      </c>
      <c r="M43" s="10">
        <f t="shared" si="57"/>
        <v>7372308</v>
      </c>
      <c r="O43" s="10">
        <f t="shared" si="58"/>
        <v>435365</v>
      </c>
      <c r="P43" s="10">
        <f t="shared" si="58"/>
        <v>0</v>
      </c>
      <c r="Q43" s="10">
        <f t="shared" si="58"/>
        <v>435365</v>
      </c>
    </row>
    <row r="44" spans="1:17" ht="15" customHeight="1" x14ac:dyDescent="0.25">
      <c r="A44" s="14" t="str">
        <f>'Matriz de Produccion'!A44</f>
        <v>0D06</v>
      </c>
      <c r="B44" s="6" t="str">
        <f>VLOOKUP(A44,'Analisis por Categorias'!B:C,2,FALSE)</f>
        <v>Fletes</v>
      </c>
      <c r="D44" s="5">
        <f>SUMIF(CATEGORIAS[[#All],[SUBGRUPO]],A44,CATEGORIAS[[#All],[PRESUPUESTO
(ORIGINAL)]])</f>
        <v>36937813.120000005</v>
      </c>
      <c r="E44" s="5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48875370.30679068</v>
      </c>
      <c r="G44" s="10">
        <f>+SUMIF(CATEGORIAS[[#All],[SUBGRUPO]],A44,CATEGORIAS[[#All],[COSTO
ACUMULADO  AX]])
+SUMIF(CATEGORIAS[[#All],[SUBGRUPO]],A44,CATEGORIAS[[#All],[CAMBIO DE
CATEGORIA]])</f>
        <v>53240852</v>
      </c>
      <c r="H44" s="10">
        <f>+SUMIF(CATEGORIAS[[#All],[SUBGRUPO]],A44,CATEGORIAS[[#All],[PROVISIONES]])</f>
        <v>0</v>
      </c>
      <c r="I44" s="10">
        <f t="shared" si="56"/>
        <v>53240852</v>
      </c>
      <c r="K44" s="10">
        <f>+SUMIF(CATEGORIAS[[#All],[SUBGRUPO]],A44,CATEGORIAS[[#All],[COSTO ACUMULADO
ANTERIOR]])
+SUMIF(CATEGORIAS[[#All],[SUBGRUPO]],A44,CATEGORIAS[[#All],[CAMBIO DE
CATEGORIA
ANTERIOR]])</f>
        <v>51140852</v>
      </c>
      <c r="L44" s="10">
        <f>+SUMIF(CATEGORIAS[[#All],[SUBGRUPO]],A44,CATEGORIAS[[#All],[PROVISIONES
ANTERIOR]])</f>
        <v>0</v>
      </c>
      <c r="M44" s="10">
        <f t="shared" si="57"/>
        <v>51140852</v>
      </c>
      <c r="O44" s="10">
        <f t="shared" si="58"/>
        <v>2100000</v>
      </c>
      <c r="P44" s="10">
        <f t="shared" si="58"/>
        <v>0</v>
      </c>
      <c r="Q44" s="10">
        <f t="shared" si="58"/>
        <v>2100000</v>
      </c>
    </row>
    <row r="45" spans="1:17" ht="15" customHeight="1" x14ac:dyDescent="0.25">
      <c r="A45" s="14" t="str">
        <f>'Matriz de Produccion'!A45</f>
        <v>0D07</v>
      </c>
      <c r="B45" s="6" t="str">
        <f>VLOOKUP(A45,'Analisis por Categorias'!B:C,2,FALSE)</f>
        <v>Operador</v>
      </c>
      <c r="D45" s="5">
        <f>SUMIF(CATEGORIAS[[#All],[SUBGRUPO]],A45,CATEGORIAS[[#All],[PRESUPUESTO
(ORIGINAL)]])</f>
        <v>109544629.7149321</v>
      </c>
      <c r="E45" s="5">
        <f>+SUMIF(CATEGORIAS[[#All],[SUBGRUPO]],A45,CATEGORIAS[[#All],[PRODUCCION
PARTIDAS
ORIGINALES
ACTUAL]])
+SUMIF(CATEGORIAS[[#All],[SUBGRUPO]],A45,CATEGORIAS[[#All],[PRODUCCION
ADICIONALES
ACTUAL]])
+SUMIF(CATEGORIAS[[#All],[SUBGRUPO]],A45,CATEGORIAS[[#All],[PROYECCION
DE INGRESO
DEL SALDO]])</f>
        <v>144947247.55479977</v>
      </c>
      <c r="G45" s="10">
        <f>+SUMIF(CATEGORIAS[[#All],[SUBGRUPO]],A45,CATEGORIAS[[#All],[COSTO
ACUMULADO  AX]])
+SUMIF(CATEGORIAS[[#All],[SUBGRUPO]],A45,CATEGORIAS[[#All],[CAMBIO DE
CATEGORIA]])</f>
        <v>78474322</v>
      </c>
      <c r="H45" s="10">
        <f>+SUMIF(CATEGORIAS[[#All],[SUBGRUPO]],A45,CATEGORIAS[[#All],[PROVISIONES]])</f>
        <v>0</v>
      </c>
      <c r="I45" s="10">
        <f t="shared" ref="I45:I47" si="59">G45+H45</f>
        <v>78474322</v>
      </c>
      <c r="K45" s="10">
        <f>+SUMIF(CATEGORIAS[[#All],[SUBGRUPO]],A45,CATEGORIAS[[#All],[COSTO ACUMULADO
ANTERIOR]])
+SUMIF(CATEGORIAS[[#All],[SUBGRUPO]],A45,CATEGORIAS[[#All],[CAMBIO DE
CATEGORIA
ANTERIOR]])</f>
        <v>78474322</v>
      </c>
      <c r="L45" s="10">
        <f>+SUMIF(CATEGORIAS[[#All],[SUBGRUPO]],A45,CATEGORIAS[[#All],[PROVISIONES
ANTERIOR]])</f>
        <v>0</v>
      </c>
      <c r="M45" s="10">
        <f t="shared" ref="M45:M47" si="60">K45+L45</f>
        <v>78474322</v>
      </c>
      <c r="O45" s="10">
        <f t="shared" ref="O45:O47" si="61">G45-K45</f>
        <v>0</v>
      </c>
      <c r="P45" s="10">
        <f t="shared" ref="P45:P47" si="62">H45-L45</f>
        <v>0</v>
      </c>
      <c r="Q45" s="10">
        <f t="shared" ref="Q45:Q47" si="63">I45-M45</f>
        <v>0</v>
      </c>
    </row>
    <row r="46" spans="1:17" ht="15" customHeight="1" x14ac:dyDescent="0.25">
      <c r="A46" s="14" t="str">
        <f>'Matriz de Produccion'!A46</f>
        <v>0D08</v>
      </c>
      <c r="B46" s="6" t="str">
        <f>VLOOKUP(A46,'Analisis por Categorias'!B:C,2,FALSE)</f>
        <v>Rigger</v>
      </c>
      <c r="D46" s="5">
        <f>SUMIF(CATEGORIAS[[#All],[SUBGRUPO]],A46,CATEGORIAS[[#All],[PRESUPUESTO
(ORIGINAL)]])</f>
        <v>69826848.009499088</v>
      </c>
      <c r="E46" s="5">
        <f>+SUMIF(CATEGORIAS[[#All],[SUBGRUPO]],A46,CATEGORIAS[[#All],[PRODUCCION
PARTIDAS
ORIGINALES
ACTUAL]])
+SUMIF(CATEGORIAS[[#All],[SUBGRUPO]],A46,CATEGORIAS[[#All],[PRODUCCION
ADICIONALES
ACTUAL]])
+SUMIF(CATEGORIAS[[#All],[SUBGRUPO]],A46,CATEGORIAS[[#All],[PROYECCION
DE INGRESO
DEL SALDO]])</f>
        <v>92393478.810806677</v>
      </c>
      <c r="G46" s="10">
        <f>+SUMIF(CATEGORIAS[[#All],[SUBGRUPO]],A46,CATEGORIAS[[#All],[COSTO
ACUMULADO  AX]])
+SUMIF(CATEGORIAS[[#All],[SUBGRUPO]],A46,CATEGORIAS[[#All],[CAMBIO DE
CATEGORIA]])</f>
        <v>40245262</v>
      </c>
      <c r="H46" s="10">
        <f>+SUMIF(CATEGORIAS[[#All],[SUBGRUPO]],A46,CATEGORIAS[[#All],[PROVISIONES]])</f>
        <v>0</v>
      </c>
      <c r="I46" s="10">
        <f t="shared" ref="I46" si="64">G46+H46</f>
        <v>40245262</v>
      </c>
      <c r="K46" s="10">
        <f>+SUMIF(CATEGORIAS[[#All],[SUBGRUPO]],A46,CATEGORIAS[[#All],[COSTO ACUMULADO
ANTERIOR]])
+SUMIF(CATEGORIAS[[#All],[SUBGRUPO]],A46,CATEGORIAS[[#All],[CAMBIO DE
CATEGORIA
ANTERIOR]])</f>
        <v>40245262</v>
      </c>
      <c r="L46" s="10">
        <f>+SUMIF(CATEGORIAS[[#All],[SUBGRUPO]],A46,CATEGORIAS[[#All],[PROVISIONES
ANTERIOR]])</f>
        <v>0</v>
      </c>
      <c r="M46" s="10">
        <f t="shared" ref="M46" si="65">K46+L46</f>
        <v>40245262</v>
      </c>
      <c r="O46" s="10">
        <f t="shared" ref="O46" si="66">G46-K46</f>
        <v>0</v>
      </c>
      <c r="P46" s="10">
        <f t="shared" ref="P46" si="67">H46-L46</f>
        <v>0</v>
      </c>
      <c r="Q46" s="10">
        <f t="shared" ref="Q46" si="68">I46-M46</f>
        <v>0</v>
      </c>
    </row>
    <row r="47" spans="1:17" ht="15" hidden="1" customHeight="1" x14ac:dyDescent="0.25">
      <c r="A47" s="14" t="str">
        <f>'Matriz de Produccion'!A47</f>
        <v>0D09</v>
      </c>
      <c r="B47" s="6" t="str">
        <f>VLOOKUP(A47,'Analisis por Categorias'!B:C,2,FALSE)</f>
        <v>Maquinas Soldadoras</v>
      </c>
      <c r="D47" s="5">
        <f>SUMIF(CATEGORIAS[[#All],[SUBGRUPO]],A47,CATEGORIAS[[#All],[PRESUPUESTO
(ORIGINAL)]])</f>
        <v>0</v>
      </c>
      <c r="E47" s="5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0</v>
      </c>
      <c r="G47" s="10">
        <f>+SUMIF(CATEGORIAS[[#All],[SUBGRUPO]],A47,CATEGORIAS[[#All],[COSTO
ACUMULADO  AX]])
+SUMIF(CATEGORIAS[[#All],[SUBGRUPO]],A47,CATEGORIAS[[#All],[CAMBIO DE
CATEGORIA]])</f>
        <v>1254206</v>
      </c>
      <c r="H47" s="10">
        <f>+SUMIF(CATEGORIAS[[#All],[SUBGRUPO]],A47,CATEGORIAS[[#All],[PROVISIONES]])</f>
        <v>0</v>
      </c>
      <c r="I47" s="10">
        <f t="shared" si="59"/>
        <v>1254206</v>
      </c>
      <c r="K47" s="10">
        <f>+SUMIF(CATEGORIAS[[#All],[SUBGRUPO]],A47,CATEGORIAS[[#All],[COSTO ACUMULADO
ANTERIOR]])
+SUMIF(CATEGORIAS[[#All],[SUBGRUPO]],A47,CATEGORIAS[[#All],[CAMBIO DE
CATEGORIA
ANTERIOR]])</f>
        <v>0</v>
      </c>
      <c r="L47" s="10">
        <f>+SUMIF(CATEGORIAS[[#All],[SUBGRUPO]],A47,CATEGORIAS[[#All],[PROVISIONES
ANTERIOR]])</f>
        <v>0</v>
      </c>
      <c r="M47" s="10">
        <f t="shared" si="60"/>
        <v>0</v>
      </c>
      <c r="O47" s="10">
        <f t="shared" si="61"/>
        <v>1254206</v>
      </c>
      <c r="P47" s="10">
        <f t="shared" si="62"/>
        <v>0</v>
      </c>
      <c r="Q47" s="10">
        <f t="shared" si="63"/>
        <v>1254206</v>
      </c>
    </row>
    <row r="48" spans="1:17" ht="8.25" customHeight="1" x14ac:dyDescent="0.25"/>
    <row r="49" spans="1:17" ht="15" customHeight="1" x14ac:dyDescent="0.25">
      <c r="A49" s="14" t="str">
        <f>'Matriz de Produccion'!A49</f>
        <v>0X00</v>
      </c>
      <c r="B49" s="81" t="str">
        <f>'Matriz de Produccion'!B49:B49</f>
        <v>E - SUBCONTRATOS</v>
      </c>
      <c r="D49" s="82">
        <f>SUM(D50:D55)</f>
        <v>110221472.6512</v>
      </c>
      <c r="E49" s="82">
        <f>SUM(E50:E55)</f>
        <v>238680817.17854521</v>
      </c>
      <c r="G49" s="84">
        <f>SUM(G50:G55)</f>
        <v>180846551</v>
      </c>
      <c r="H49" s="84">
        <f>SUM(H50:H55)</f>
        <v>7111366.342666666</v>
      </c>
      <c r="I49" s="84">
        <f>SUM(I50:I55)</f>
        <v>187957917.34266669</v>
      </c>
      <c r="K49" s="84">
        <f>SUM(K50:K55)</f>
        <v>166489755</v>
      </c>
      <c r="L49" s="84">
        <f>SUM(L50:L55)</f>
        <v>18132622.342666667</v>
      </c>
      <c r="M49" s="84">
        <f>SUM(M50:M55)</f>
        <v>184622377.34266669</v>
      </c>
      <c r="O49" s="84">
        <f>SUM(O50:O55)</f>
        <v>14356796</v>
      </c>
      <c r="P49" s="84">
        <f>SUM(P50:P55)</f>
        <v>-11021256</v>
      </c>
      <c r="Q49" s="84">
        <f>SUM(Q50:Q55)</f>
        <v>3335540</v>
      </c>
    </row>
    <row r="50" spans="1:17" ht="15" customHeight="1" x14ac:dyDescent="0.25">
      <c r="A50" s="14" t="str">
        <f>'Matriz de Produccion'!A50</f>
        <v>0X01</v>
      </c>
      <c r="B50" s="6" t="str">
        <f>VLOOKUP(A50,'Analisis por Categorias'!B:C,2,FALSE)</f>
        <v>Moldajes</v>
      </c>
      <c r="D50" s="5">
        <f>SUMIF(CATEGORIAS[[#All],[SUBGRUPO]],A50,CATEGORIAS[[#All],[PRESUPUESTO
(ORIGINAL)]])</f>
        <v>3419673.7199999997</v>
      </c>
      <c r="E50" s="5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2045171.5034251469</v>
      </c>
      <c r="G50" s="10">
        <f>+SUMIF(CATEGORIAS[[#All],[SUBGRUPO]],A50,CATEGORIAS[[#All],[COSTO
ACUMULADO  AX]])
+SUMIF(CATEGORIAS[[#All],[SUBGRUPO]],A50,CATEGORIAS[[#All],[CAMBIO DE
CATEGORIA]])</f>
        <v>4526510</v>
      </c>
      <c r="H50" s="10">
        <f>+SUMIF(CATEGORIAS[[#All],[SUBGRUPO]],A50,CATEGORIAS[[#All],[PROVISIONES]])</f>
        <v>0</v>
      </c>
      <c r="I50" s="10">
        <f>G50+H50</f>
        <v>4526510</v>
      </c>
      <c r="K50" s="10">
        <f>+SUMIF(CATEGORIAS[[#All],[SUBGRUPO]],A50,CATEGORIAS[[#All],[COSTO ACUMULADO
ANTERIOR]])
+SUMIF(CATEGORIAS[[#All],[SUBGRUPO]],A50,CATEGORIAS[[#All],[CAMBIO DE
CATEGORIA
ANTERIOR]])</f>
        <v>4526510</v>
      </c>
      <c r="L50" s="10">
        <f>+SUMIF(CATEGORIAS[[#All],[SUBGRUPO]],A50,CATEGORIAS[[#All],[PROVISIONES
ANTERIOR]])</f>
        <v>0</v>
      </c>
      <c r="M50" s="10">
        <f t="shared" ref="M50:M55" si="69">K50+L50</f>
        <v>4526510</v>
      </c>
      <c r="O50" s="10">
        <f t="shared" ref="O50:Q55" si="70">G50-K50</f>
        <v>0</v>
      </c>
      <c r="P50" s="10">
        <f t="shared" si="70"/>
        <v>0</v>
      </c>
      <c r="Q50" s="10">
        <f t="shared" si="70"/>
        <v>0</v>
      </c>
    </row>
    <row r="51" spans="1:17" ht="15" customHeight="1" x14ac:dyDescent="0.25">
      <c r="A51" s="14" t="str">
        <f>'Matriz de Produccion'!A51</f>
        <v>0X03</v>
      </c>
      <c r="B51" s="6" t="str">
        <f>VLOOKUP(A51,'Analisis por Categorias'!B:C,2,FALSE)</f>
        <v>Laboratorio</v>
      </c>
      <c r="D51" s="5">
        <f>SUMIF(CATEGORIAS[[#All],[SUBGRUPO]],A51,CATEGORIAS[[#All],[PRESUPUESTO
(ORIGINAL)]])</f>
        <v>22923307.425000001</v>
      </c>
      <c r="E51" s="5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13709522.88099114</v>
      </c>
      <c r="G51" s="10">
        <f>+SUMIF(CATEGORIAS[[#All],[SUBGRUPO]],A51,CATEGORIAS[[#All],[COSTO
ACUMULADO  AX]])
+SUMIF(CATEGORIAS[[#All],[SUBGRUPO]],A51,CATEGORIAS[[#All],[CAMBIO DE
CATEGORIA]])</f>
        <v>7754992</v>
      </c>
      <c r="H51" s="10">
        <f>+SUMIF(CATEGORIAS[[#All],[SUBGRUPO]],A51,CATEGORIAS[[#All],[PROVISIONES]])</f>
        <v>1912446.676</v>
      </c>
      <c r="I51" s="10">
        <f t="shared" ref="I51:I55" si="71">G51+H51</f>
        <v>9667438.675999999</v>
      </c>
      <c r="K51" s="10">
        <f>+SUMIF(CATEGORIAS[[#All],[SUBGRUPO]],A51,CATEGORIAS[[#All],[COSTO ACUMULADO
ANTERIOR]])
+SUMIF(CATEGORIAS[[#All],[SUBGRUPO]],A51,CATEGORIAS[[#All],[CAMBIO DE
CATEGORIA
ANTERIOR]])</f>
        <v>7754992</v>
      </c>
      <c r="L51" s="10">
        <f>+SUMIF(CATEGORIAS[[#All],[SUBGRUPO]],A51,CATEGORIAS[[#All],[PROVISIONES
ANTERIOR]])</f>
        <v>1912446.676</v>
      </c>
      <c r="M51" s="10">
        <f t="shared" si="69"/>
        <v>9667438.675999999</v>
      </c>
      <c r="O51" s="10">
        <f t="shared" si="70"/>
        <v>0</v>
      </c>
      <c r="P51" s="10">
        <f t="shared" si="70"/>
        <v>0</v>
      </c>
      <c r="Q51" s="10">
        <f t="shared" si="70"/>
        <v>0</v>
      </c>
    </row>
    <row r="52" spans="1:17" ht="15" customHeight="1" x14ac:dyDescent="0.25">
      <c r="A52" s="14" t="str">
        <f>'Matriz de Produccion'!A52</f>
        <v>0X04</v>
      </c>
      <c r="B52" s="6" t="str">
        <f>VLOOKUP(A52,'Analisis por Categorias'!B:C,2,FALSE)</f>
        <v>Entibaciones</v>
      </c>
      <c r="D52" s="5">
        <f>SUMIF(CATEGORIAS[[#All],[SUBGRUPO]],A52,CATEGORIAS[[#All],[PRESUPUESTO
(ORIGINAL)]])</f>
        <v>37704331.5</v>
      </c>
      <c r="E52" s="5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145700907.17624047</v>
      </c>
      <c r="G52" s="10">
        <f>+SUMIF(CATEGORIAS[[#All],[SUBGRUPO]],A52,CATEGORIAS[[#All],[COSTO
ACUMULADO  AX]])
+SUMIF(CATEGORIAS[[#All],[SUBGRUPO]],A52,CATEGORIAS[[#All],[CAMBIO DE
CATEGORIA]])</f>
        <v>102207264</v>
      </c>
      <c r="H52" s="10">
        <f>+SUMIF(CATEGORIAS[[#All],[SUBGRUPO]],A52,CATEGORIAS[[#All],[PROVISIONES]])</f>
        <v>0</v>
      </c>
      <c r="I52" s="10">
        <f t="shared" si="71"/>
        <v>102207264</v>
      </c>
      <c r="K52" s="10">
        <f>+SUMIF(CATEGORIAS[[#All],[SUBGRUPO]],A52,CATEGORIAS[[#All],[COSTO ACUMULADO
ANTERIOR]])
+SUMIF(CATEGORIAS[[#All],[SUBGRUPO]],A52,CATEGORIAS[[#All],[CAMBIO DE
CATEGORIA
ANTERIOR]])</f>
        <v>102207264</v>
      </c>
      <c r="L52" s="10">
        <f>+SUMIF(CATEGORIAS[[#All],[SUBGRUPO]],A52,CATEGORIAS[[#All],[PROVISIONES
ANTERIOR]])</f>
        <v>0</v>
      </c>
      <c r="M52" s="10">
        <f t="shared" si="69"/>
        <v>102207264</v>
      </c>
      <c r="O52" s="10">
        <f t="shared" si="70"/>
        <v>0</v>
      </c>
      <c r="P52" s="10">
        <f t="shared" si="70"/>
        <v>0</v>
      </c>
      <c r="Q52" s="10">
        <f t="shared" si="70"/>
        <v>0</v>
      </c>
    </row>
    <row r="53" spans="1:17" ht="15" customHeight="1" x14ac:dyDescent="0.25">
      <c r="A53" s="14" t="str">
        <f>'Matriz de Produccion'!A53</f>
        <v>0X05</v>
      </c>
      <c r="B53" s="6" t="str">
        <f>VLOOKUP(A53,'Analisis por Categorias'!B:C,2,FALSE)</f>
        <v>Ensayos</v>
      </c>
      <c r="D53" s="5">
        <f>SUMIF(CATEGORIAS[[#All],[SUBGRUPO]],A53,CATEGORIAS[[#All],[PRESUPUESTO
(ORIGINAL)]])</f>
        <v>22686901.279799998</v>
      </c>
      <c r="E53" s="5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23978248.847821172</v>
      </c>
      <c r="G53" s="10">
        <f>+SUMIF(CATEGORIAS[[#All],[SUBGRUPO]],A53,CATEGORIAS[[#All],[COSTO
ACUMULADO  AX]])
+SUMIF(CATEGORIAS[[#All],[SUBGRUPO]],A53,CATEGORIAS[[#All],[CAMBIO DE
CATEGORIA]])</f>
        <v>10062750</v>
      </c>
      <c r="H53" s="10">
        <f>+SUMIF(CATEGORIAS[[#All],[SUBGRUPO]],A53,CATEGORIAS[[#All],[PROVISIONES]])</f>
        <v>5198919.666666666</v>
      </c>
      <c r="I53" s="10">
        <f t="shared" si="71"/>
        <v>15261669.666666666</v>
      </c>
      <c r="K53" s="10">
        <f>+SUMIF(CATEGORIAS[[#All],[SUBGRUPO]],A53,CATEGORIAS[[#All],[COSTO ACUMULADO
ANTERIOR]])
+SUMIF(CATEGORIAS[[#All],[SUBGRUPO]],A53,CATEGORIAS[[#All],[CAMBIO DE
CATEGORIA
ANTERIOR]])</f>
        <v>10062750</v>
      </c>
      <c r="L53" s="10">
        <f>+SUMIF(CATEGORIAS[[#All],[SUBGRUPO]],A53,CATEGORIAS[[#All],[PROVISIONES
ANTERIOR]])</f>
        <v>5198919.666666666</v>
      </c>
      <c r="M53" s="10">
        <f t="shared" si="69"/>
        <v>15261669.666666666</v>
      </c>
      <c r="O53" s="10">
        <f t="shared" si="70"/>
        <v>0</v>
      </c>
      <c r="P53" s="10">
        <f t="shared" si="70"/>
        <v>0</v>
      </c>
      <c r="Q53" s="10">
        <f t="shared" si="70"/>
        <v>0</v>
      </c>
    </row>
    <row r="54" spans="1:17" ht="15" customHeight="1" x14ac:dyDescent="0.25">
      <c r="A54" s="14" t="str">
        <f>'Matriz de Produccion'!A54</f>
        <v>0X06</v>
      </c>
      <c r="B54" s="6" t="str">
        <f>VLOOKUP(A54,'Analisis por Categorias'!B:C,2,FALSE)</f>
        <v>Termofusion</v>
      </c>
      <c r="D54" s="5">
        <f>SUMIF(CATEGORIAS[[#All],[SUBGRUPO]],A54,CATEGORIAS[[#All],[PRESUPUESTO
(ORIGINAL)]])</f>
        <v>4509885.5999999996</v>
      </c>
      <c r="E54" s="5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11786768.078961611</v>
      </c>
      <c r="G54" s="10">
        <f>+SUMIF(CATEGORIAS[[#All],[SUBGRUPO]],A54,CATEGORIAS[[#All],[COSTO
ACUMULADO  AX]])
+SUMIF(CATEGORIAS[[#All],[SUBGRUPO]],A54,CATEGORIAS[[#All],[CAMBIO DE
CATEGORIA]])</f>
        <v>6534900</v>
      </c>
      <c r="H54" s="10">
        <f>+SUMIF(CATEGORIAS[[#All],[SUBGRUPO]],A54,CATEGORIAS[[#All],[PROVISIONES]])</f>
        <v>0</v>
      </c>
      <c r="I54" s="10">
        <f t="shared" si="71"/>
        <v>6534900</v>
      </c>
      <c r="K54" s="10">
        <f>+SUMIF(CATEGORIAS[[#All],[SUBGRUPO]],A54,CATEGORIAS[[#All],[COSTO ACUMULADO
ANTERIOR]])
+SUMIF(CATEGORIAS[[#All],[SUBGRUPO]],A54,CATEGORIAS[[#All],[CAMBIO DE
CATEGORIA
ANTERIOR]])</f>
        <v>6534900</v>
      </c>
      <c r="L54" s="10">
        <f>+SUMIF(CATEGORIAS[[#All],[SUBGRUPO]],A54,CATEGORIAS[[#All],[PROVISIONES
ANTERIOR]])</f>
        <v>0</v>
      </c>
      <c r="M54" s="10">
        <f t="shared" si="69"/>
        <v>6534900</v>
      </c>
      <c r="O54" s="10">
        <f t="shared" si="70"/>
        <v>0</v>
      </c>
      <c r="P54" s="10">
        <f t="shared" si="70"/>
        <v>0</v>
      </c>
      <c r="Q54" s="10">
        <f t="shared" si="70"/>
        <v>0</v>
      </c>
    </row>
    <row r="55" spans="1:17" ht="15" customHeight="1" x14ac:dyDescent="0.25">
      <c r="A55" s="14" t="str">
        <f>'Matriz de Produccion'!A55</f>
        <v>0X07</v>
      </c>
      <c r="B55" s="6" t="str">
        <f>VLOOKUP(A55,'Analisis por Categorias'!B:C,2,FALSE)</f>
        <v>Otros Subcontratos</v>
      </c>
      <c r="D55" s="5">
        <f>SUMIF(CATEGORIAS[[#All],[SUBGRUPO]],A55,CATEGORIAS[[#All],[PRESUPUESTO
(ORIGINAL)]])</f>
        <v>18977373.126400001</v>
      </c>
      <c r="E55" s="5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41460198.691105656</v>
      </c>
      <c r="G55" s="10">
        <f>+SUMIF(CATEGORIAS[[#All],[SUBGRUPO]],A55,CATEGORIAS[[#All],[COSTO
ACUMULADO  AX]])
+SUMIF(CATEGORIAS[[#All],[SUBGRUPO]],A55,CATEGORIAS[[#All],[CAMBIO DE
CATEGORIA]])</f>
        <v>49760135</v>
      </c>
      <c r="H55" s="10">
        <f>+SUMIF(CATEGORIAS[[#All],[SUBGRUPO]],A55,CATEGORIAS[[#All],[PROVISIONES]])</f>
        <v>0</v>
      </c>
      <c r="I55" s="10">
        <f t="shared" si="71"/>
        <v>49760135</v>
      </c>
      <c r="K55" s="10">
        <f>+SUMIF(CATEGORIAS[[#All],[SUBGRUPO]],A55,CATEGORIAS[[#All],[COSTO ACUMULADO
ANTERIOR]])
+SUMIF(CATEGORIAS[[#All],[SUBGRUPO]],A55,CATEGORIAS[[#All],[CAMBIO DE
CATEGORIA
ANTERIOR]])</f>
        <v>35403339</v>
      </c>
      <c r="L55" s="10">
        <f>+SUMIF(CATEGORIAS[[#All],[SUBGRUPO]],A55,CATEGORIAS[[#All],[PROVISIONES
ANTERIOR]])</f>
        <v>11021256</v>
      </c>
      <c r="M55" s="10">
        <f t="shared" si="69"/>
        <v>46424595</v>
      </c>
      <c r="O55" s="10">
        <f t="shared" si="70"/>
        <v>14356796</v>
      </c>
      <c r="P55" s="10">
        <f t="shared" si="70"/>
        <v>-11021256</v>
      </c>
      <c r="Q55" s="10">
        <f t="shared" si="70"/>
        <v>3335540</v>
      </c>
    </row>
    <row r="56" spans="1:17" ht="8.25" customHeight="1" x14ac:dyDescent="0.25"/>
    <row r="57" spans="1:17" ht="15" customHeight="1" x14ac:dyDescent="0.25">
      <c r="B57" s="8" t="str">
        <f>'Matriz de Produccion'!B57:B57</f>
        <v>COSTOS INDIRECTOS</v>
      </c>
      <c r="D57" s="1">
        <f>SUM(D124:D129)</f>
        <v>1732270136.9484823</v>
      </c>
      <c r="E57" s="1">
        <f>SUM(E124:E129)</f>
        <v>2355292767.8075027</v>
      </c>
      <c r="G57" s="11">
        <f t="shared" ref="G57:Q57" si="72">SUM(G124:G129)</f>
        <v>2162205296.2317209</v>
      </c>
      <c r="H57" s="11">
        <f t="shared" si="72"/>
        <v>15027184</v>
      </c>
      <c r="I57" s="11">
        <f t="shared" si="72"/>
        <v>2177232480.2317209</v>
      </c>
      <c r="K57" s="11">
        <f t="shared" si="72"/>
        <v>2115345226.431721</v>
      </c>
      <c r="L57" s="11">
        <f t="shared" si="72"/>
        <v>55249593.980000004</v>
      </c>
      <c r="M57" s="11">
        <f t="shared" si="72"/>
        <v>2170594820.4117208</v>
      </c>
      <c r="O57" s="11">
        <f t="shared" si="72"/>
        <v>46860069.799999997</v>
      </c>
      <c r="P57" s="11">
        <f t="shared" si="72"/>
        <v>-40222409.980000004</v>
      </c>
      <c r="Q57" s="11">
        <f t="shared" si="72"/>
        <v>6637659.8200000003</v>
      </c>
    </row>
    <row r="58" spans="1:17" ht="8.25" customHeight="1" x14ac:dyDescent="0.25"/>
    <row r="59" spans="1:17" ht="15" customHeight="1" x14ac:dyDescent="0.25">
      <c r="A59" s="14" t="str">
        <f>'Matriz de Produccion'!A59</f>
        <v>1F00</v>
      </c>
      <c r="B59" s="81" t="str">
        <f>'Matriz de Produccion'!B59:B59</f>
        <v>F - MANO DE OBRA INDIRECTA</v>
      </c>
      <c r="D59" s="82">
        <f>SUM(D60:D71)</f>
        <v>849346597.24778163</v>
      </c>
      <c r="E59" s="82">
        <f>SUM(E60:E71)</f>
        <v>1307317730.5885222</v>
      </c>
      <c r="G59" s="84">
        <f>SUM(G60:G70)</f>
        <v>1289015809.924376</v>
      </c>
      <c r="H59" s="84">
        <f>SUM(H60:H70)</f>
        <v>0</v>
      </c>
      <c r="I59" s="84">
        <f>SUM(I60:I70)</f>
        <v>1289015809.924376</v>
      </c>
      <c r="K59" s="84">
        <f>SUM(K60:K70)</f>
        <v>1253146733.924376</v>
      </c>
      <c r="L59" s="84">
        <f>SUM(L60:L70)</f>
        <v>2473412</v>
      </c>
      <c r="M59" s="84">
        <f>SUM(M60:M70)</f>
        <v>1255620145.924376</v>
      </c>
      <c r="O59" s="84">
        <f>SUM(O60:O70)</f>
        <v>35869076</v>
      </c>
      <c r="P59" s="84">
        <f>SUM(P60:P70)</f>
        <v>-2473412</v>
      </c>
      <c r="Q59" s="84">
        <f>SUM(Q60:Q70)</f>
        <v>33395664</v>
      </c>
    </row>
    <row r="60" spans="1:17" ht="15" customHeight="1" x14ac:dyDescent="0.25">
      <c r="A60" s="14" t="str">
        <f>'Matriz de Produccion'!A60</f>
        <v>1F01</v>
      </c>
      <c r="B60" s="6" t="str">
        <f>VLOOKUP(A60,'Analisis por Categorias'!B:C,2,FALSE)</f>
        <v>Staff Superior</v>
      </c>
      <c r="D60" s="5">
        <f>SUMIF(CATEGORIAS[[#All],[SUBGRUPO]],A60,CATEGORIAS[[#All],[PRESUPUESTO
(ORIGINAL)]])</f>
        <v>263311370.33350706</v>
      </c>
      <c r="E60" s="5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389822314.29709446</v>
      </c>
      <c r="G60" s="10">
        <f>+SUMIF(CATEGORIAS[[#All],[SUBGRUPO]],A60,CATEGORIAS[[#All],[COSTO
ACUMULADO  AX]])
+SUMIF(CATEGORIAS[[#All],[SUBGRUPO]],A60,CATEGORIAS[[#All],[CAMBIO DE
CATEGORIA]])</f>
        <v>354096373.81104273</v>
      </c>
      <c r="H60" s="10">
        <f>+SUMIF(CATEGORIAS[[#All],[SUBGRUPO]],A60,CATEGORIAS[[#All],[PROVISIONES]])</f>
        <v>0</v>
      </c>
      <c r="I60" s="10">
        <f>G60+H60</f>
        <v>354096373.81104273</v>
      </c>
      <c r="K60" s="10">
        <f>+SUMIF(CATEGORIAS[[#All],[SUBGRUPO]],A60,CATEGORIAS[[#All],[COSTO ACUMULADO
ANTERIOR]])
+SUMIF(CATEGORIAS[[#All],[SUBGRUPO]],A60,CATEGORIAS[[#All],[CAMBIO DE
CATEGORIA
ANTERIOR]])</f>
        <v>329098916.81104273</v>
      </c>
      <c r="L60" s="10">
        <f>+SUMIF(CATEGORIAS[[#All],[SUBGRUPO]],A60,CATEGORIAS[[#All],[PROVISIONES
ANTERIOR]])</f>
        <v>0</v>
      </c>
      <c r="M60" s="10">
        <f>K60+L60</f>
        <v>329098916.81104273</v>
      </c>
      <c r="O60" s="10">
        <f t="shared" ref="O60:Q63" si="73">G60-K60</f>
        <v>24997457</v>
      </c>
      <c r="P60" s="10">
        <f t="shared" si="73"/>
        <v>0</v>
      </c>
      <c r="Q60" s="10">
        <f t="shared" si="73"/>
        <v>24997457</v>
      </c>
    </row>
    <row r="61" spans="1:17" ht="15" customHeight="1" x14ac:dyDescent="0.25">
      <c r="A61" s="14" t="str">
        <f>'Matriz de Produccion'!A61</f>
        <v>1F02</v>
      </c>
      <c r="B61" s="6" t="str">
        <f>VLOOKUP(A61,'Analisis por Categorias'!B:C,2,FALSE)</f>
        <v>Oficina Técnica</v>
      </c>
      <c r="D61" s="5">
        <f>SUMIF(CATEGORIAS[[#All],[SUBGRUPO]],A61,CATEGORIAS[[#All],[PRESUPUESTO
(ORIGINAL)]])</f>
        <v>80469294.782991737</v>
      </c>
      <c r="E61" s="5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124065984.65281068</v>
      </c>
      <c r="G61" s="10">
        <f>+SUMIF(CATEGORIAS[[#All],[SUBGRUPO]],A61,CATEGORIAS[[#All],[COSTO
ACUMULADO  AX]])
+SUMIF(CATEGORIAS[[#All],[SUBGRUPO]],A61,CATEGORIAS[[#All],[CAMBIO DE
CATEGORIA]])</f>
        <v>122778866.53333333</v>
      </c>
      <c r="H61" s="10">
        <f>+SUMIF(CATEGORIAS[[#All],[SUBGRUPO]],A61,CATEGORIAS[[#All],[PROVISIONES]])</f>
        <v>0</v>
      </c>
      <c r="I61" s="10">
        <f>G61+H61</f>
        <v>122778866.53333333</v>
      </c>
      <c r="K61" s="10">
        <f>+SUMIF(CATEGORIAS[[#All],[SUBGRUPO]],A61,CATEGORIAS[[#All],[COSTO ACUMULADO
ANTERIOR]])
+SUMIF(CATEGORIAS[[#All],[SUBGRUPO]],A61,CATEGORIAS[[#All],[CAMBIO DE
CATEGORIA
ANTERIOR]])</f>
        <v>122778866.53333333</v>
      </c>
      <c r="L61" s="10">
        <f>+SUMIF(CATEGORIAS[[#All],[SUBGRUPO]],A61,CATEGORIAS[[#All],[PROVISIONES
ANTERIOR]])</f>
        <v>0</v>
      </c>
      <c r="M61" s="88">
        <f>K61+L61</f>
        <v>122778866.53333333</v>
      </c>
      <c r="O61" s="88">
        <f t="shared" si="73"/>
        <v>0</v>
      </c>
      <c r="P61" s="88">
        <f t="shared" si="73"/>
        <v>0</v>
      </c>
      <c r="Q61" s="88">
        <f t="shared" si="73"/>
        <v>0</v>
      </c>
    </row>
    <row r="62" spans="1:17" ht="15" customHeight="1" x14ac:dyDescent="0.25">
      <c r="A62" s="14" t="str">
        <f>'Matriz de Produccion'!A62</f>
        <v>1F03</v>
      </c>
      <c r="B62" s="6" t="str">
        <f>VLOOKUP(A62,'Analisis por Categorias'!B:C,2,FALSE)</f>
        <v>Supervisión</v>
      </c>
      <c r="D62" s="5">
        <f>SUMIF(CATEGORIAS[[#All],[SUBGRUPO]],A62,CATEGORIAS[[#All],[PRESUPUESTO
(ORIGINAL)]])</f>
        <v>97274459.021890849</v>
      </c>
      <c r="E62" s="5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171651892.76443025</v>
      </c>
      <c r="G62" s="10">
        <f>+SUMIF(CATEGORIAS[[#All],[SUBGRUPO]],A62,CATEGORIAS[[#All],[COSTO
ACUMULADO  AX]])
+SUMIF(CATEGORIAS[[#All],[SUBGRUPO]],A62,CATEGORIAS[[#All],[CAMBIO DE
CATEGORIA]])</f>
        <v>121259605</v>
      </c>
      <c r="H62" s="10">
        <f>+SUMIF(CATEGORIAS[[#All],[SUBGRUPO]],A62,CATEGORIAS[[#All],[PROVISIONES]])</f>
        <v>0</v>
      </c>
      <c r="I62" s="10">
        <f>G62+H62</f>
        <v>121259605</v>
      </c>
      <c r="K62" s="10">
        <f>+SUMIF(CATEGORIAS[[#All],[SUBGRUPO]],A62,CATEGORIAS[[#All],[COSTO ACUMULADO
ANTERIOR]])
+SUMIF(CATEGORIAS[[#All],[SUBGRUPO]],A62,CATEGORIAS[[#All],[CAMBIO DE
CATEGORIA
ANTERIOR]])</f>
        <v>121259605</v>
      </c>
      <c r="L62" s="10">
        <f>+SUMIF(CATEGORIAS[[#All],[SUBGRUPO]],A62,CATEGORIAS[[#All],[PROVISIONES
ANTERIOR]])</f>
        <v>0</v>
      </c>
      <c r="M62" s="10">
        <f>K62+L62</f>
        <v>121259605</v>
      </c>
      <c r="O62" s="10">
        <f t="shared" si="73"/>
        <v>0</v>
      </c>
      <c r="P62" s="10">
        <f t="shared" si="73"/>
        <v>0</v>
      </c>
      <c r="Q62" s="10">
        <f t="shared" si="73"/>
        <v>0</v>
      </c>
    </row>
    <row r="63" spans="1:17" ht="15" customHeight="1" x14ac:dyDescent="0.25">
      <c r="A63" s="14" t="str">
        <f>'Matriz de Produccion'!A63</f>
        <v>1F04</v>
      </c>
      <c r="B63" s="6" t="str">
        <f>VLOOKUP(A63,'Analisis por Categorias'!B:C,2,FALSE)</f>
        <v>Prevención De Riesgos</v>
      </c>
      <c r="D63" s="5">
        <f>SUMIF(CATEGORIAS[[#All],[SUBGRUPO]],A63,CATEGORIAS[[#All],[PRESUPUESTO
(ORIGINAL)]])</f>
        <v>97189486.687312499</v>
      </c>
      <c r="E63" s="5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146852330.22688562</v>
      </c>
      <c r="G63" s="10">
        <f>+SUMIF(CATEGORIAS[[#All],[SUBGRUPO]],A63,CATEGORIAS[[#All],[COSTO
ACUMULADO  AX]])
+SUMIF(CATEGORIAS[[#All],[SUBGRUPO]],A63,CATEGORIAS[[#All],[CAMBIO DE
CATEGORIA]])</f>
        <v>84690890</v>
      </c>
      <c r="H63" s="10">
        <f>+SUMIF(CATEGORIAS[[#All],[SUBGRUPO]],A63,CATEGORIAS[[#All],[PROVISIONES]])</f>
        <v>0</v>
      </c>
      <c r="I63" s="10">
        <f>G63+H63</f>
        <v>84690890</v>
      </c>
      <c r="K63" s="10">
        <f>+SUMIF(CATEGORIAS[[#All],[SUBGRUPO]],A63,CATEGORIAS[[#All],[COSTO ACUMULADO
ANTERIOR]])
+SUMIF(CATEGORIAS[[#All],[SUBGRUPO]],A63,CATEGORIAS[[#All],[CAMBIO DE
CATEGORIA
ANTERIOR]])</f>
        <v>84690890</v>
      </c>
      <c r="L63" s="10">
        <f>+SUMIF(CATEGORIAS[[#All],[SUBGRUPO]],A63,CATEGORIAS[[#All],[PROVISIONES
ANTERIOR]])</f>
        <v>0</v>
      </c>
      <c r="M63" s="88">
        <f>K63+L63</f>
        <v>84690890</v>
      </c>
      <c r="O63" s="88">
        <f t="shared" si="73"/>
        <v>0</v>
      </c>
      <c r="P63" s="88">
        <f t="shared" si="73"/>
        <v>0</v>
      </c>
      <c r="Q63" s="88">
        <f t="shared" si="73"/>
        <v>0</v>
      </c>
    </row>
    <row r="64" spans="1:17" ht="15" customHeight="1" x14ac:dyDescent="0.25">
      <c r="A64" s="14" t="str">
        <f>'Matriz de Produccion'!A64</f>
        <v>1F05</v>
      </c>
      <c r="B64" s="6" t="str">
        <f>VLOOKUP(A64,'Analisis por Categorias'!B:C,2,FALSE)</f>
        <v>Calidad</v>
      </c>
      <c r="D64" s="5">
        <f>SUMIF(CATEGORIAS[[#All],[SUBGRUPO]],A64,CATEGORIAS[[#All],[PRESUPUESTO
(ORIGINAL)]])</f>
        <v>39901819.760774568</v>
      </c>
      <c r="E64" s="5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61273201.106175922</v>
      </c>
      <c r="G64" s="10">
        <f>+SUMIF(CATEGORIAS[[#All],[SUBGRUPO]],A64,CATEGORIAS[[#All],[COSTO
ACUMULADO  AX]])
+SUMIF(CATEGORIAS[[#All],[SUBGRUPO]],A64,CATEGORIAS[[#All],[CAMBIO DE
CATEGORIA]])</f>
        <v>44849347</v>
      </c>
      <c r="H64" s="10">
        <f>+SUMIF(CATEGORIAS[[#All],[SUBGRUPO]],A64,CATEGORIAS[[#All],[PROVISIONES]])</f>
        <v>0</v>
      </c>
      <c r="I64" s="10">
        <f t="shared" ref="I64:I70" si="74">G64+H64</f>
        <v>44849347</v>
      </c>
      <c r="K64" s="10">
        <f>+SUMIF(CATEGORIAS[[#All],[SUBGRUPO]],A64,CATEGORIAS[[#All],[COSTO ACUMULADO
ANTERIOR]])
+SUMIF(CATEGORIAS[[#All],[SUBGRUPO]],A64,CATEGORIAS[[#All],[CAMBIO DE
CATEGORIA
ANTERIOR]])</f>
        <v>44849347</v>
      </c>
      <c r="L64" s="10">
        <f>+SUMIF(CATEGORIAS[[#All],[SUBGRUPO]],A64,CATEGORIAS[[#All],[PROVISIONES
ANTERIOR]])</f>
        <v>0</v>
      </c>
      <c r="M64" s="10">
        <f t="shared" ref="M64:M70" si="75">K64+L64</f>
        <v>44849347</v>
      </c>
      <c r="O64" s="10">
        <f t="shared" ref="O64:O70" si="76">G64-K64</f>
        <v>0</v>
      </c>
      <c r="P64" s="10">
        <f t="shared" ref="P64:P70" si="77">H64-L64</f>
        <v>0</v>
      </c>
      <c r="Q64" s="10">
        <f t="shared" ref="Q64:Q70" si="78">I64-M64</f>
        <v>0</v>
      </c>
    </row>
    <row r="65" spans="1:17" ht="15" customHeight="1" x14ac:dyDescent="0.25">
      <c r="A65" s="14" t="str">
        <f>'Matriz de Produccion'!A65</f>
        <v>1F06</v>
      </c>
      <c r="B65" s="6" t="str">
        <f>VLOOKUP(A65,'Analisis por Categorias'!B:C,2,FALSE)</f>
        <v>Administración</v>
      </c>
      <c r="D65" s="5">
        <f>SUMIF(CATEGORIAS[[#All],[SUBGRUPO]],A65,CATEGORIAS[[#All],[PRESUPUESTO
(ORIGINAL)]])</f>
        <v>55188181.120416395</v>
      </c>
      <c r="E65" s="5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91474850.636483014</v>
      </c>
      <c r="G65" s="10">
        <f>+SUMIF(CATEGORIAS[[#All],[SUBGRUPO]],A65,CATEGORIAS[[#All],[COSTO
ACUMULADO  AX]])
+SUMIF(CATEGORIAS[[#All],[SUBGRUPO]],A65,CATEGORIAS[[#All],[CAMBIO DE
CATEGORIA]])</f>
        <v>89355743</v>
      </c>
      <c r="H65" s="10">
        <f>+SUMIF(CATEGORIAS[[#All],[SUBGRUPO]],A65,CATEGORIAS[[#All],[PROVISIONES]])</f>
        <v>0</v>
      </c>
      <c r="I65" s="10">
        <f>G65+H65</f>
        <v>89355743</v>
      </c>
      <c r="K65" s="10">
        <f>+SUMIF(CATEGORIAS[[#All],[SUBGRUPO]],A65,CATEGORIAS[[#All],[COSTO ACUMULADO
ANTERIOR]])
+SUMIF(CATEGORIAS[[#All],[SUBGRUPO]],A65,CATEGORIAS[[#All],[CAMBIO DE
CATEGORIA
ANTERIOR]])</f>
        <v>89355743</v>
      </c>
      <c r="L65" s="10">
        <f>+SUMIF(CATEGORIAS[[#All],[SUBGRUPO]],A65,CATEGORIAS[[#All],[PROVISIONES
ANTERIOR]])</f>
        <v>0</v>
      </c>
      <c r="M65" s="88">
        <f>K65+L65</f>
        <v>89355743</v>
      </c>
      <c r="O65" s="88">
        <f t="shared" ref="O65:Q67" si="79">G65-K65</f>
        <v>0</v>
      </c>
      <c r="P65" s="88">
        <f t="shared" si="79"/>
        <v>0</v>
      </c>
      <c r="Q65" s="88">
        <f t="shared" si="79"/>
        <v>0</v>
      </c>
    </row>
    <row r="66" spans="1:17" ht="15" customHeight="1" x14ac:dyDescent="0.25">
      <c r="A66" s="14" t="str">
        <f>'Matriz de Produccion'!A66</f>
        <v>1F07</v>
      </c>
      <c r="B66" s="6" t="str">
        <f>VLOOKUP(A66,'Analisis por Categorias'!B:C,2,FALSE)</f>
        <v>Servicios</v>
      </c>
      <c r="D66" s="5">
        <f>SUMIF(CATEGORIAS[[#All],[SUBGRUPO]],A66,CATEGORIAS[[#All],[PRESUPUESTO
(ORIGINAL)]])</f>
        <v>67752174.763487533</v>
      </c>
      <c r="E66" s="5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99686186.714557394</v>
      </c>
      <c r="G66" s="10">
        <f>+SUMIF(CATEGORIAS[[#All],[SUBGRUPO]],A66,CATEGORIAS[[#All],[COSTO
ACUMULADO  AX]])
+SUMIF(CATEGORIAS[[#All],[SUBGRUPO]],A66,CATEGORIAS[[#All],[CAMBIO DE
CATEGORIA]])</f>
        <v>145760303</v>
      </c>
      <c r="H66" s="10">
        <f>+SUMIF(CATEGORIAS[[#All],[SUBGRUPO]],A66,CATEGORIAS[[#All],[PROVISIONES]])</f>
        <v>0</v>
      </c>
      <c r="I66" s="10">
        <f>G66+H66</f>
        <v>145760303</v>
      </c>
      <c r="K66" s="10">
        <f>+SUMIF(CATEGORIAS[[#All],[SUBGRUPO]],A66,CATEGORIAS[[#All],[COSTO ACUMULADO
ANTERIOR]])
+SUMIF(CATEGORIAS[[#All],[SUBGRUPO]],A66,CATEGORIAS[[#All],[CAMBIO DE
CATEGORIA
ANTERIOR]])</f>
        <v>136346467</v>
      </c>
      <c r="L66" s="10">
        <f>+SUMIF(CATEGORIAS[[#All],[SUBGRUPO]],A66,CATEGORIAS[[#All],[PROVISIONES
ANTERIOR]])</f>
        <v>2473412</v>
      </c>
      <c r="M66" s="88">
        <f>K66+L66</f>
        <v>138819879</v>
      </c>
      <c r="O66" s="88">
        <f t="shared" si="79"/>
        <v>9413836</v>
      </c>
      <c r="P66" s="88">
        <f t="shared" si="79"/>
        <v>-2473412</v>
      </c>
      <c r="Q66" s="88">
        <f t="shared" si="79"/>
        <v>6940424</v>
      </c>
    </row>
    <row r="67" spans="1:17" ht="15" customHeight="1" x14ac:dyDescent="0.25">
      <c r="A67" s="14" t="str">
        <f>'Matriz de Produccion'!A67</f>
        <v>1F08</v>
      </c>
      <c r="B67" s="6" t="str">
        <f>VLOOKUP(A67,'Analisis por Categorias'!B:C,2,FALSE)</f>
        <v>Topografía</v>
      </c>
      <c r="D67" s="5">
        <f>SUMIF(CATEGORIAS[[#All],[SUBGRUPO]],A67,CATEGORIAS[[#All],[PRESUPUESTO
(ORIGINAL)]])</f>
        <v>44741710.359320536</v>
      </c>
      <c r="E67" s="5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64938958.4525019</v>
      </c>
      <c r="G67" s="10">
        <f>+SUMIF(CATEGORIAS[[#All],[SUBGRUPO]],A67,CATEGORIAS[[#All],[COSTO
ACUMULADO  AX]])
+SUMIF(CATEGORIAS[[#All],[SUBGRUPO]],A67,CATEGORIAS[[#All],[CAMBIO DE
CATEGORIA]])</f>
        <v>80582133</v>
      </c>
      <c r="H67" s="10">
        <f>+SUMIF(CATEGORIAS[[#All],[SUBGRUPO]],A67,CATEGORIAS[[#All],[PROVISIONES]])</f>
        <v>0</v>
      </c>
      <c r="I67" s="10">
        <f>G67+H67</f>
        <v>80582133</v>
      </c>
      <c r="K67" s="10">
        <f>+SUMIF(CATEGORIAS[[#All],[SUBGRUPO]],A67,CATEGORIAS[[#All],[COSTO ACUMULADO
ANTERIOR]])
+SUMIF(CATEGORIAS[[#All],[SUBGRUPO]],A67,CATEGORIAS[[#All],[CAMBIO DE
CATEGORIA
ANTERIOR]])</f>
        <v>80582133</v>
      </c>
      <c r="L67" s="10">
        <f>+SUMIF(CATEGORIAS[[#All],[SUBGRUPO]],A67,CATEGORIAS[[#All],[PROVISIONES
ANTERIOR]])</f>
        <v>0</v>
      </c>
      <c r="M67" s="88">
        <f>K67+L67</f>
        <v>80582133</v>
      </c>
      <c r="O67" s="88">
        <f t="shared" si="79"/>
        <v>0</v>
      </c>
      <c r="P67" s="88">
        <f t="shared" si="79"/>
        <v>0</v>
      </c>
      <c r="Q67" s="88">
        <f t="shared" si="79"/>
        <v>0</v>
      </c>
    </row>
    <row r="68" spans="1:17" ht="15" customHeight="1" x14ac:dyDescent="0.25">
      <c r="A68" s="14" t="str">
        <f>'Matriz de Produccion'!A68</f>
        <v>1F09</v>
      </c>
      <c r="B68" s="6" t="str">
        <f>VLOOKUP(A68,'Analisis por Categorias'!B:C,2,FALSE)</f>
        <v>Movilización</v>
      </c>
      <c r="D68" s="5">
        <f>SUMIF(CATEGORIAS[[#All],[SUBGRUPO]],A68,CATEGORIAS[[#All],[PRESUPUESTO
(ORIGINAL)]])</f>
        <v>17775000</v>
      </c>
      <c r="E68" s="5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27212056.461631984</v>
      </c>
      <c r="G68" s="10">
        <f>+SUMIF(CATEGORIAS[[#All],[SUBGRUPO]],A68,CATEGORIAS[[#All],[COSTO
ACUMULADO  AX]])
+SUMIF(CATEGORIAS[[#All],[SUBGRUPO]],A68,CATEGORIAS[[#All],[CAMBIO DE
CATEGORIA]])</f>
        <v>79403794</v>
      </c>
      <c r="H68" s="10">
        <f>+SUMIF(CATEGORIAS[[#All],[SUBGRUPO]],A68,CATEGORIAS[[#All],[PROVISIONES]])</f>
        <v>0</v>
      </c>
      <c r="I68" s="10">
        <f t="shared" si="74"/>
        <v>79403794</v>
      </c>
      <c r="K68" s="10">
        <f>+SUMIF(CATEGORIAS[[#All],[SUBGRUPO]],A68,CATEGORIAS[[#All],[COSTO ACUMULADO
ANTERIOR]])
+SUMIF(CATEGORIAS[[#All],[SUBGRUPO]],A68,CATEGORIAS[[#All],[CAMBIO DE
CATEGORIA
ANTERIOR]])</f>
        <v>78885144</v>
      </c>
      <c r="L68" s="10">
        <f>+SUMIF(CATEGORIAS[[#All],[SUBGRUPO]],A68,CATEGORIAS[[#All],[PROVISIONES
ANTERIOR]])</f>
        <v>0</v>
      </c>
      <c r="M68" s="88">
        <f t="shared" si="75"/>
        <v>78885144</v>
      </c>
      <c r="O68" s="88">
        <f t="shared" si="76"/>
        <v>518650</v>
      </c>
      <c r="P68" s="88">
        <f t="shared" si="77"/>
        <v>0</v>
      </c>
      <c r="Q68" s="88">
        <f>I68-M68</f>
        <v>518650</v>
      </c>
    </row>
    <row r="69" spans="1:17" ht="15" customHeight="1" x14ac:dyDescent="0.25">
      <c r="A69" s="14" t="str">
        <f>'Matriz de Produccion'!A69</f>
        <v>1F10</v>
      </c>
      <c r="B69" s="6" t="str">
        <f>VLOOKUP(A69,'Analisis por Categorias'!B:C,2,FALSE)</f>
        <v>Hoteleria</v>
      </c>
      <c r="D69" s="5">
        <f>SUMIF(CATEGORIAS[[#All],[SUBGRUPO]],A69,CATEGORIAS[[#All],[PRESUPUESTO
(ORIGINAL)]])</f>
        <v>62225000</v>
      </c>
      <c r="E69" s="5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93317344.719605133</v>
      </c>
      <c r="G69" s="10">
        <f>+SUMIF(CATEGORIAS[[#All],[SUBGRUPO]],A69,CATEGORIAS[[#All],[COSTO
ACUMULADO  AX]])
+SUMIF(CATEGORIAS[[#All],[SUBGRUPO]],A69,CATEGORIAS[[#All],[CAMBIO DE
CATEGORIA]])</f>
        <v>118923482</v>
      </c>
      <c r="H69" s="10">
        <f>+SUMIF(CATEGORIAS[[#All],[SUBGRUPO]],A69,CATEGORIAS[[#All],[PROVISIONES]])</f>
        <v>0</v>
      </c>
      <c r="I69" s="10">
        <f t="shared" ref="I69" si="80">G69+H69</f>
        <v>118923482</v>
      </c>
      <c r="K69" s="10">
        <f>+SUMIF(CATEGORIAS[[#All],[SUBGRUPO]],A69,CATEGORIAS[[#All],[COSTO ACUMULADO
ANTERIOR]])
+SUMIF(CATEGORIAS[[#All],[SUBGRUPO]],A69,CATEGORIAS[[#All],[CAMBIO DE
CATEGORIA
ANTERIOR]])</f>
        <v>117984349</v>
      </c>
      <c r="L69" s="10">
        <f>+SUMIF(CATEGORIAS[[#All],[SUBGRUPO]],A69,CATEGORIAS[[#All],[PROVISIONES
ANTERIOR]])</f>
        <v>0</v>
      </c>
      <c r="M69" s="10">
        <f t="shared" ref="M69" si="81">K69+L69</f>
        <v>117984349</v>
      </c>
      <c r="O69" s="10">
        <f t="shared" ref="O69" si="82">G69-K69</f>
        <v>939133</v>
      </c>
      <c r="P69" s="10">
        <f t="shared" ref="P69" si="83">H69-L69</f>
        <v>0</v>
      </c>
      <c r="Q69" s="10">
        <f t="shared" ref="Q69" si="84">I69-M69</f>
        <v>939133</v>
      </c>
    </row>
    <row r="70" spans="1:17" ht="15" customHeight="1" x14ac:dyDescent="0.25">
      <c r="A70" s="14" t="str">
        <f>'Matriz de Produccion'!A70</f>
        <v>1F11</v>
      </c>
      <c r="B70" s="6" t="str">
        <f>VLOOKUP(A70,'Analisis por Categorias'!B:C,2,FALSE)</f>
        <v>Alimentación</v>
      </c>
      <c r="D70" s="5">
        <f>SUMIF(CATEGORIAS[[#All],[SUBGRUPO]],A70,CATEGORIAS[[#All],[PRESUPUESTO
(ORIGINAL)]])</f>
        <v>23518100.418080352</v>
      </c>
      <c r="E70" s="5">
        <f>+SUMIF(CATEGORIAS[[#All],[SUBGRUPO]],A70,CATEGORIAS[[#All],[PRODUCCION
PARTIDAS
ORIGINALES
ACTUAL]])
+SUMIF(CATEGORIAS[[#All],[SUBGRUPO]],A70,CATEGORIAS[[#All],[PRODUCCION
ADICIONALES
ACTUAL]])
+SUMIF(CATEGORIAS[[#All],[SUBGRUPO]],A70,CATEGORIAS[[#All],[PROYECCION
DE INGRESO
DEL SALDO]])</f>
        <v>37022610.556345612</v>
      </c>
      <c r="G70" s="10">
        <f>+SUMIF(CATEGORIAS[[#All],[SUBGRUPO]],A70,CATEGORIAS[[#All],[COSTO
ACUMULADO  AX]])
+SUMIF(CATEGORIAS[[#All],[SUBGRUPO]],A70,CATEGORIAS[[#All],[CAMBIO DE
CATEGORIA]])</f>
        <v>47315272.579999998</v>
      </c>
      <c r="H70" s="10">
        <f>+SUMIF(CATEGORIAS[[#All],[SUBGRUPO]],A70,CATEGORIAS[[#All],[PROVISIONES]])</f>
        <v>0</v>
      </c>
      <c r="I70" s="10">
        <f t="shared" si="74"/>
        <v>47315272.579999998</v>
      </c>
      <c r="K70" s="10">
        <f>+SUMIF(CATEGORIAS[[#All],[SUBGRUPO]],A70,CATEGORIAS[[#All],[COSTO ACUMULADO
ANTERIOR]])
+SUMIF(CATEGORIAS[[#All],[SUBGRUPO]],A70,CATEGORIAS[[#All],[CAMBIO DE
CATEGORIA
ANTERIOR]])</f>
        <v>47315272.579999998</v>
      </c>
      <c r="L70" s="10">
        <f>+SUMIF(CATEGORIAS[[#All],[SUBGRUPO]],A70,CATEGORIAS[[#All],[PROVISIONES
ANTERIOR]])</f>
        <v>0</v>
      </c>
      <c r="M70" s="10">
        <f t="shared" si="75"/>
        <v>47315272.579999998</v>
      </c>
      <c r="O70" s="10">
        <f t="shared" si="76"/>
        <v>0</v>
      </c>
      <c r="P70" s="10">
        <f t="shared" si="77"/>
        <v>0</v>
      </c>
      <c r="Q70" s="10">
        <f t="shared" si="78"/>
        <v>0</v>
      </c>
    </row>
    <row r="71" spans="1:17" ht="15" hidden="1" customHeight="1" x14ac:dyDescent="0.25">
      <c r="A71" s="14" t="str">
        <f>'Matriz de Produccion'!A71</f>
        <v>1F12</v>
      </c>
      <c r="B71" s="6" t="e">
        <f>VLOOKUP(A71,'Analisis por Categorias'!B:C,2,FALSE)</f>
        <v>#N/A</v>
      </c>
      <c r="D71" s="5">
        <f>SUMIF(CATEGORIAS[[#All],[SUBGRUPO]],A71,CATEGORIAS[[#All],[PRESUPUESTO
(ORIGINAL)]])</f>
        <v>0</v>
      </c>
      <c r="E71" s="5">
        <f>+SUMIF(CATEGORIAS[[#All],[SUBGRUPO]],A71,CATEGORIAS[[#All],[PRODUCCION
PARTIDAS
ORIGINALES
ACTUAL]])
+SUMIF(CATEGORIAS[[#All],[SUBGRUPO]],A71,CATEGORIAS[[#All],[PRODUCCION
ADICIONALES
ACTUAL]])
+SUMIF(CATEGORIAS[[#All],[SUBGRUPO]],A71,CATEGORIAS[[#All],[PROYECCION
DE INGRESO
DEL SALDO]])</f>
        <v>0</v>
      </c>
      <c r="G71" s="10">
        <f>+SUMIF(CATEGORIAS[[#All],[SUBGRUPO]],A71,CATEGORIAS[[#All],[COSTO
ACUMULADO  AX]])
+SUMIF(CATEGORIAS[[#All],[SUBGRUPO]],A71,CATEGORIAS[[#All],[CAMBIO DE
CATEGORIA]])</f>
        <v>0</v>
      </c>
      <c r="H71" s="10">
        <f>+SUMIF(CATEGORIAS[[#All],[SUBGRUPO]],A71,CATEGORIAS[[#All],[PROVISIONES]])</f>
        <v>0</v>
      </c>
      <c r="I71" s="10">
        <f t="shared" ref="I71" si="85">G71+H71</f>
        <v>0</v>
      </c>
      <c r="K71" s="10">
        <f>+SUMIF(CATEGORIAS[[#All],[SUBGRUPO]],A71,CATEGORIAS[[#All],[COSTO ACUMULADO
ANTERIOR]])
+SUMIF(CATEGORIAS[[#All],[SUBGRUPO]],A71,CATEGORIAS[[#All],[CAMBIO DE
CATEGORIA
ANTERIOR]])</f>
        <v>0</v>
      </c>
      <c r="L71" s="10">
        <f>+SUMIF(CATEGORIAS[[#All],[SUBGRUPO]],A71,CATEGORIAS[[#All],[PROVISIONES
ANTERIOR]])</f>
        <v>0</v>
      </c>
      <c r="M71" s="10">
        <f t="shared" ref="M71" si="86">K71+L71</f>
        <v>0</v>
      </c>
      <c r="O71" s="10">
        <f t="shared" ref="O71" si="87">G71-K71</f>
        <v>0</v>
      </c>
      <c r="P71" s="10">
        <f t="shared" ref="P71" si="88">H71-L71</f>
        <v>0</v>
      </c>
      <c r="Q71" s="10">
        <f t="shared" ref="Q71" si="89">I71-M71</f>
        <v>0</v>
      </c>
    </row>
    <row r="72" spans="1:17" ht="8.25" customHeight="1" x14ac:dyDescent="0.25"/>
    <row r="73" spans="1:17" ht="15" customHeight="1" x14ac:dyDescent="0.25">
      <c r="A73" s="14" t="str">
        <f>'Matriz de Produccion'!A73</f>
        <v>1G00</v>
      </c>
      <c r="B73" s="81" t="str">
        <f>'Matriz de Produccion'!B73:B73</f>
        <v>G - EQUIPOS INDIRECTOS</v>
      </c>
      <c r="D73" s="82">
        <f>SUM(D74:D77)</f>
        <v>112795628.36</v>
      </c>
      <c r="E73" s="82">
        <f>SUM(E74:E77)</f>
        <v>161450051.27994096</v>
      </c>
      <c r="G73" s="84">
        <f>SUM(G74:G77)</f>
        <v>123342659.3</v>
      </c>
      <c r="H73" s="84">
        <f>SUM(H74:H77)</f>
        <v>8064635</v>
      </c>
      <c r="I73" s="84">
        <f>SUM(I74:I77)</f>
        <v>131407294.3</v>
      </c>
      <c r="K73" s="84">
        <f>SUM(K74:K77)</f>
        <v>115783053.5</v>
      </c>
      <c r="L73" s="84">
        <f>SUM(L74:L77)</f>
        <v>12810735.800000001</v>
      </c>
      <c r="M73" s="84">
        <f>SUM(M74:M77)</f>
        <v>128593789.3</v>
      </c>
      <c r="O73" s="84">
        <f>SUM(O74:O77)</f>
        <v>7559605.8000000007</v>
      </c>
      <c r="P73" s="84">
        <f>SUM(P74:P77)</f>
        <v>-4746100.8000000007</v>
      </c>
      <c r="Q73" s="84">
        <f>SUM(Q74:Q77)</f>
        <v>2813505</v>
      </c>
    </row>
    <row r="74" spans="1:17" ht="15" customHeight="1" x14ac:dyDescent="0.25">
      <c r="A74" s="14" t="str">
        <f>'Matriz de Produccion'!A74</f>
        <v>1G01</v>
      </c>
      <c r="B74" s="6" t="str">
        <f>VLOOKUP(A74,'Analisis por Categorias'!B:C,2,FALSE)</f>
        <v>Camioneta</v>
      </c>
      <c r="D74" s="5">
        <f>SUMIF(CATEGORIAS[[#All],[SUBGRUPO]],A74,CATEGORIAS[[#All],[PRESUPUESTO
(ORIGINAL)]])</f>
        <v>24410747.400000002</v>
      </c>
      <c r="E74" s="5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35116724.521139696</v>
      </c>
      <c r="G74" s="10">
        <f>+SUMIF(CATEGORIAS[[#All],[SUBGRUPO]],A74,CATEGORIAS[[#All],[COSTO
ACUMULADO  AX]])
+SUMIF(CATEGORIAS[[#All],[SUBGRUPO]],A74,CATEGORIAS[[#All],[CAMBIO DE
CATEGORIA]])</f>
        <v>73401377.5</v>
      </c>
      <c r="H74" s="10">
        <f>+SUMIF(CATEGORIAS[[#All],[SUBGRUPO]],A74,CATEGORIAS[[#All],[PROVISIONES]])</f>
        <v>0</v>
      </c>
      <c r="I74" s="10">
        <f>G74+H74</f>
        <v>73401377.5</v>
      </c>
      <c r="K74" s="10">
        <f>+SUMIF(CATEGORIAS[[#All],[SUBGRUPO]],A74,CATEGORIAS[[#All],[COSTO ACUMULADO
ANTERIOR]])
+SUMIF(CATEGORIAS[[#All],[SUBGRUPO]],A74,CATEGORIAS[[#All],[CAMBIO DE
CATEGORIA
ANTERIOR]])</f>
        <v>66677771.5</v>
      </c>
      <c r="L74" s="10">
        <f>+SUMIF(CATEGORIAS[[#All],[SUBGRUPO]],A74,CATEGORIAS[[#All],[PROVISIONES
ANTERIOR]])</f>
        <v>3474736</v>
      </c>
      <c r="M74" s="10">
        <f>K74+L74</f>
        <v>70152507.5</v>
      </c>
      <c r="O74" s="10">
        <f t="shared" ref="O74:Q77" si="90">G74-K74</f>
        <v>6723606</v>
      </c>
      <c r="P74" s="10">
        <f t="shared" si="90"/>
        <v>-3474736</v>
      </c>
      <c r="Q74" s="10">
        <f t="shared" si="90"/>
        <v>3248870</v>
      </c>
    </row>
    <row r="75" spans="1:17" ht="15" customHeight="1" x14ac:dyDescent="0.25">
      <c r="A75" s="14" t="str">
        <f>'Matriz de Produccion'!A75</f>
        <v>1G02</v>
      </c>
      <c r="B75" s="6" t="str">
        <f>VLOOKUP(A75,'Analisis por Categorias'!B:C,2,FALSE)</f>
        <v>Movilización</v>
      </c>
      <c r="D75" s="5">
        <f>SUMIF(CATEGORIAS[[#All],[SUBGRUPO]],A75,CATEGORIAS[[#All],[PRESUPUESTO
(ORIGINAL)]])</f>
        <v>57172500</v>
      </c>
      <c r="E75" s="5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82649541.386906177</v>
      </c>
      <c r="G75" s="10">
        <f>+SUMIF(CATEGORIAS[[#All],[SUBGRUPO]],A75,CATEGORIAS[[#All],[COSTO
ACUMULADO  AX]])
+SUMIF(CATEGORIAS[[#All],[SUBGRUPO]],A75,CATEGORIAS[[#All],[CAMBIO DE
CATEGORIA]])</f>
        <v>27541999.800000001</v>
      </c>
      <c r="H75" s="10">
        <f>+SUMIF(CATEGORIAS[[#All],[SUBGRUPO]],A75,CATEGORIAS[[#All],[PROVISIONES]])</f>
        <v>0</v>
      </c>
      <c r="I75" s="10">
        <f>G75+H75</f>
        <v>27541999.800000001</v>
      </c>
      <c r="K75" s="10">
        <f>+SUMIF(CATEGORIAS[[#All],[SUBGRUPO]],A75,CATEGORIAS[[#All],[COSTO ACUMULADO
ANTERIOR]])
+SUMIF(CATEGORIAS[[#All],[SUBGRUPO]],A75,CATEGORIAS[[#All],[CAMBIO DE
CATEGORIA
ANTERIOR]])</f>
        <v>26706000</v>
      </c>
      <c r="L75" s="10">
        <f>+SUMIF(CATEGORIAS[[#All],[SUBGRUPO]],A75,CATEGORIAS[[#All],[PROVISIONES
ANTERIOR]])</f>
        <v>835999.80000000075</v>
      </c>
      <c r="M75" s="10">
        <f>K75+L75</f>
        <v>27541999.800000001</v>
      </c>
      <c r="O75" s="10">
        <f>G75-K75</f>
        <v>835999.80000000075</v>
      </c>
      <c r="P75" s="10">
        <f t="shared" si="90"/>
        <v>-835999.80000000075</v>
      </c>
      <c r="Q75" s="10">
        <f t="shared" si="90"/>
        <v>0</v>
      </c>
    </row>
    <row r="76" spans="1:17" ht="15" customHeight="1" x14ac:dyDescent="0.25">
      <c r="A76" s="14" t="str">
        <f>'Matriz de Produccion'!A76</f>
        <v>1G03</v>
      </c>
      <c r="B76" s="6" t="str">
        <f>VLOOKUP(A76,'Analisis por Categorias'!B:C,2,FALSE)</f>
        <v>Equipo Topográfico</v>
      </c>
      <c r="D76" s="5">
        <f>SUMIF(CATEGORIAS[[#All],[SUBGRUPO]],A76,CATEGORIAS[[#All],[PRESUPUESTO
(ORIGINAL)]])</f>
        <v>4087380.9600000004</v>
      </c>
      <c r="E76" s="5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5453141.3240862917</v>
      </c>
      <c r="G76" s="10">
        <f>+SUMIF(CATEGORIAS[[#All],[SUBGRUPO]],A76,CATEGORIAS[[#All],[COSTO
ACUMULADO  AX]])
+SUMIF(CATEGORIAS[[#All],[SUBGRUPO]],A76,CATEGORIAS[[#All],[CAMBIO DE
CATEGORIA]])</f>
        <v>5007325</v>
      </c>
      <c r="H76" s="10">
        <f>+SUMIF(CATEGORIAS[[#All],[SUBGRUPO]],A76,CATEGORIAS[[#All],[PROVISIONES]])</f>
        <v>0</v>
      </c>
      <c r="I76" s="10">
        <f>G76+H76</f>
        <v>5007325</v>
      </c>
      <c r="K76" s="10">
        <f>+SUMIF(CATEGORIAS[[#All],[SUBGRUPO]],A76,CATEGORIAS[[#All],[COSTO ACUMULADO
ANTERIOR]])
+SUMIF(CATEGORIAS[[#All],[SUBGRUPO]],A76,CATEGORIAS[[#All],[CAMBIO DE
CATEGORIA
ANTERIOR]])</f>
        <v>5007325</v>
      </c>
      <c r="L76" s="10">
        <f>+SUMIF(CATEGORIAS[[#All],[SUBGRUPO]],A76,CATEGORIAS[[#All],[PROVISIONES
ANTERIOR]])</f>
        <v>0</v>
      </c>
      <c r="M76" s="10">
        <f>K76+L76</f>
        <v>5007325</v>
      </c>
      <c r="O76" s="10">
        <f t="shared" ref="O76" si="91">G76-K76</f>
        <v>0</v>
      </c>
      <c r="P76" s="10">
        <f t="shared" ref="P76" si="92">H76-L76</f>
        <v>0</v>
      </c>
      <c r="Q76" s="10">
        <f t="shared" ref="Q76" si="93">I76-M76</f>
        <v>0</v>
      </c>
    </row>
    <row r="77" spans="1:17" ht="15" customHeight="1" x14ac:dyDescent="0.25">
      <c r="A77" s="14" t="str">
        <f>'Matriz de Produccion'!A77</f>
        <v>1G04</v>
      </c>
      <c r="B77" s="6" t="str">
        <f>VLOOKUP(A77,'Analisis por Categorias'!B:C,2,FALSE)</f>
        <v>Combustibles</v>
      </c>
      <c r="D77" s="5">
        <f>SUMIF(CATEGORIAS[[#All],[SUBGRUPO]],A77,CATEGORIAS[[#All],[PRESUPUESTO
(ORIGINAL)]])</f>
        <v>27125000</v>
      </c>
      <c r="E77" s="5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38230644.047808804</v>
      </c>
      <c r="G77" s="10">
        <f>+SUMIF(CATEGORIAS[[#All],[SUBGRUPO]],A77,CATEGORIAS[[#All],[COSTO
ACUMULADO  AX]])
+SUMIF(CATEGORIAS[[#All],[SUBGRUPO]],A77,CATEGORIAS[[#All],[CAMBIO DE
CATEGORIA]])</f>
        <v>17391957</v>
      </c>
      <c r="H77" s="10">
        <f>+SUMIF(CATEGORIAS[[#All],[SUBGRUPO]],A77,CATEGORIAS[[#All],[PROVISIONES]])</f>
        <v>8064635</v>
      </c>
      <c r="I77" s="10">
        <f>G77+H77</f>
        <v>25456592</v>
      </c>
      <c r="K77" s="10">
        <f>+SUMIF(CATEGORIAS[[#All],[SUBGRUPO]],A77,CATEGORIAS[[#All],[COSTO ACUMULADO
ANTERIOR]])
+SUMIF(CATEGORIAS[[#All],[SUBGRUPO]],A77,CATEGORIAS[[#All],[CAMBIO DE
CATEGORIA
ANTERIOR]])</f>
        <v>17391957</v>
      </c>
      <c r="L77" s="10">
        <f>+SUMIF(CATEGORIAS[[#All],[SUBGRUPO]],A77,CATEGORIAS[[#All],[PROVISIONES
ANTERIOR]])</f>
        <v>8500000</v>
      </c>
      <c r="M77" s="10">
        <f>K77+L77</f>
        <v>25891957</v>
      </c>
      <c r="O77" s="10">
        <f t="shared" si="90"/>
        <v>0</v>
      </c>
      <c r="P77" s="10">
        <f t="shared" si="90"/>
        <v>-435365</v>
      </c>
      <c r="Q77" s="10">
        <f t="shared" si="90"/>
        <v>-435365</v>
      </c>
    </row>
    <row r="78" spans="1:17" ht="8.25" customHeight="1" x14ac:dyDescent="0.25"/>
    <row r="79" spans="1:17" ht="15" customHeight="1" x14ac:dyDescent="0.25">
      <c r="A79" s="14" t="str">
        <f>'Matriz de Produccion'!A79</f>
        <v>1H00</v>
      </c>
      <c r="B79" s="81" t="str">
        <f>'Matriz de Produccion'!B79:B79</f>
        <v>H - INSTALACIÓN DE FAENAS</v>
      </c>
      <c r="D79" s="82">
        <f>SUM(D80:D90)</f>
        <v>135754532.50963384</v>
      </c>
      <c r="E79" s="82">
        <f>SUM(E80:E90)</f>
        <v>196838271.17832854</v>
      </c>
      <c r="G79" s="84">
        <f>SUM(G80:G90)</f>
        <v>103224911</v>
      </c>
      <c r="H79" s="84">
        <f t="shared" ref="H79:I79" si="94">SUM(H80:H90)</f>
        <v>1649016</v>
      </c>
      <c r="I79" s="84">
        <f t="shared" si="94"/>
        <v>104873927</v>
      </c>
      <c r="K79" s="84">
        <f>SUM(K80:K90)</f>
        <v>111685100</v>
      </c>
      <c r="L79" s="84">
        <f t="shared" ref="L79" si="95">SUM(L80:L90)</f>
        <v>28851475.18</v>
      </c>
      <c r="M79" s="84">
        <f>SUM(M80:M90)</f>
        <v>140536575.18000001</v>
      </c>
      <c r="O79" s="84">
        <f>SUM(O80:O90)</f>
        <v>-8460189</v>
      </c>
      <c r="P79" s="84">
        <f t="shared" ref="P79" si="96">SUM(P80:P90)</f>
        <v>-27202459.18</v>
      </c>
      <c r="Q79" s="84">
        <f t="shared" ref="Q79" si="97">SUM(Q80:Q90)</f>
        <v>-35662648.18</v>
      </c>
    </row>
    <row r="80" spans="1:17" ht="15" customHeight="1" x14ac:dyDescent="0.25">
      <c r="A80" s="14" t="str">
        <f>'Matriz de Produccion'!A80</f>
        <v>1H01</v>
      </c>
      <c r="B80" s="6" t="str">
        <f>VLOOKUP(A80,'Analisis por Categorias'!B:C,2,FALSE)</f>
        <v>Mano De Obra</v>
      </c>
      <c r="D80" s="5">
        <f>SUMIF(CATEGORIAS[[#All],[SUBGRUPO]],A80,CATEGORIAS[[#All],[PRESUPUESTO
(ORIGINAL)]])</f>
        <v>27346689.342590965</v>
      </c>
      <c r="E80" s="5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36916935.189663708</v>
      </c>
      <c r="G80" s="10">
        <f>+SUMIF(CATEGORIAS[[#All],[SUBGRUPO]],A80,CATEGORIAS[[#All],[COSTO
ACUMULADO  AX]])
+SUMIF(CATEGORIAS[[#All],[SUBGRUPO]],A80,CATEGORIAS[[#All],[CAMBIO DE
CATEGORIA]])</f>
        <v>20397012</v>
      </c>
      <c r="H80" s="10">
        <f>+SUMIF(CATEGORIAS[[#All],[SUBGRUPO]],A80,CATEGORIAS[[#All],[PROVISIONES]])</f>
        <v>0</v>
      </c>
      <c r="I80" s="10">
        <f t="shared" ref="I80" si="98">G80+H80</f>
        <v>20397012</v>
      </c>
      <c r="K80" s="10">
        <f>+SUMIF(CATEGORIAS[[#All],[SUBGRUPO]],A80,CATEGORIAS[[#All],[COSTO ACUMULADO
ANTERIOR]])
+SUMIF(CATEGORIAS[[#All],[SUBGRUPO]],A80,CATEGORIAS[[#All],[CAMBIO DE
CATEGORIA
ANTERIOR]])</f>
        <v>20397012</v>
      </c>
      <c r="L80" s="10">
        <f>+SUMIF(CATEGORIAS[[#All],[SUBGRUPO]],A80,CATEGORIAS[[#All],[PROVISIONES
ANTERIOR]])</f>
        <v>0</v>
      </c>
      <c r="M80" s="10">
        <f t="shared" ref="M80" si="99">K80+L80</f>
        <v>20397012</v>
      </c>
      <c r="O80" s="10">
        <f t="shared" ref="O80" si="100">G80-K80</f>
        <v>0</v>
      </c>
      <c r="P80" s="10">
        <f t="shared" ref="P80" si="101">H80-L80</f>
        <v>0</v>
      </c>
      <c r="Q80" s="10">
        <f t="shared" ref="Q80" si="102">I80-M80</f>
        <v>0</v>
      </c>
    </row>
    <row r="81" spans="1:17" ht="15" customHeight="1" x14ac:dyDescent="0.25">
      <c r="A81" s="14" t="str">
        <f>'Matriz de Produccion'!A81</f>
        <v>1H02</v>
      </c>
      <c r="B81" s="6" t="str">
        <f>VLOOKUP(A81,'Analisis por Categorias'!B:C,2,FALSE)</f>
        <v>Containers</v>
      </c>
      <c r="D81" s="5">
        <f>SUMIF(CATEGORIAS[[#All],[SUBGRUPO]],A81,CATEGORIAS[[#All],[PRESUPUESTO
(ORIGINAL)]])</f>
        <v>19956000</v>
      </c>
      <c r="E81" s="5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32334912.330901477</v>
      </c>
      <c r="G81" s="10">
        <f>+SUMIF(CATEGORIAS[[#All],[SUBGRUPO]],A81,CATEGORIAS[[#All],[COSTO
ACUMULADO  AX]])
+SUMIF(CATEGORIAS[[#All],[SUBGRUPO]],A81,CATEGORIAS[[#All],[CAMBIO DE
CATEGORIA]])</f>
        <v>-19613371</v>
      </c>
      <c r="H81" s="10">
        <f>+SUMIF(CATEGORIAS[[#All],[SUBGRUPO]],A81,CATEGORIAS[[#All],[PROVISIONES]])</f>
        <v>0</v>
      </c>
      <c r="I81" s="10">
        <f t="shared" ref="I81:I86" si="103">G81+H81</f>
        <v>-19613371</v>
      </c>
      <c r="K81" s="10">
        <f>+SUMIF(CATEGORIAS[[#All],[SUBGRUPO]],A81,CATEGORIAS[[#All],[COSTO ACUMULADO
ANTERIOR]])
+SUMIF(CATEGORIAS[[#All],[SUBGRUPO]],A81,CATEGORIAS[[#All],[CAMBIO DE
CATEGORIA
ANTERIOR]])</f>
        <v>4901425</v>
      </c>
      <c r="L81" s="10">
        <f>+SUMIF(CATEGORIAS[[#All],[SUBGRUPO]],A81,CATEGORIAS[[#All],[PROVISIONES
ANTERIOR]])</f>
        <v>14072246.18</v>
      </c>
      <c r="M81" s="10">
        <f t="shared" ref="M81:M86" si="104">K81+L81</f>
        <v>18973671.18</v>
      </c>
      <c r="O81" s="10">
        <f t="shared" ref="O81:O86" si="105">G81-K81</f>
        <v>-24514796</v>
      </c>
      <c r="P81" s="10">
        <f t="shared" ref="P81:P86" si="106">H81-L81</f>
        <v>-14072246.18</v>
      </c>
      <c r="Q81" s="10">
        <f t="shared" ref="Q81:Q86" si="107">I81-M81</f>
        <v>-38587042.18</v>
      </c>
    </row>
    <row r="82" spans="1:17" ht="15" customHeight="1" x14ac:dyDescent="0.25">
      <c r="A82" s="14" t="str">
        <f>'Matriz de Produccion'!A82</f>
        <v>1H03</v>
      </c>
      <c r="B82" s="6" t="str">
        <f>VLOOKUP(A82,'Analisis por Categorias'!B:C,2,FALSE)</f>
        <v>Materiales</v>
      </c>
      <c r="D82" s="5">
        <f>SUMIF(CATEGORIAS[[#All],[SUBGRUPO]],A82,CATEGORIAS[[#All],[PRESUPUESTO
(ORIGINAL)]])</f>
        <v>6230000</v>
      </c>
      <c r="E82" s="5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9892215.1643388327</v>
      </c>
      <c r="G82" s="10">
        <f>+SUMIF(CATEGORIAS[[#All],[SUBGRUPO]],A82,CATEGORIAS[[#All],[COSTO
ACUMULADO  AX]])
+SUMIF(CATEGORIAS[[#All],[SUBGRUPO]],A82,CATEGORIAS[[#All],[CAMBIO DE
CATEGORIA]])</f>
        <v>11679827</v>
      </c>
      <c r="H82" s="10">
        <f>+SUMIF(CATEGORIAS[[#All],[SUBGRUPO]],A82,CATEGORIAS[[#All],[PROVISIONES]])</f>
        <v>0</v>
      </c>
      <c r="I82" s="10">
        <f>G82+H82</f>
        <v>11679827</v>
      </c>
      <c r="K82" s="10">
        <f>+SUMIF(CATEGORIAS[[#All],[SUBGRUPO]],A82,CATEGORIAS[[#All],[COSTO ACUMULADO
ANTERIOR]])
+SUMIF(CATEGORIAS[[#All],[SUBGRUPO]],A82,CATEGORIAS[[#All],[CAMBIO DE
CATEGORIA
ANTERIOR]])</f>
        <v>11543827</v>
      </c>
      <c r="L82" s="10">
        <f>+SUMIF(CATEGORIAS[[#All],[SUBGRUPO]],A82,CATEGORIAS[[#All],[PROVISIONES
ANTERIOR]])</f>
        <v>600000</v>
      </c>
      <c r="M82" s="10">
        <f>K82+L82</f>
        <v>12143827</v>
      </c>
      <c r="O82" s="10">
        <f t="shared" ref="O82:Q83" si="108">G82-K82</f>
        <v>136000</v>
      </c>
      <c r="P82" s="10">
        <f t="shared" si="108"/>
        <v>-600000</v>
      </c>
      <c r="Q82" s="10">
        <f t="shared" si="108"/>
        <v>-464000</v>
      </c>
    </row>
    <row r="83" spans="1:17" ht="15" customHeight="1" x14ac:dyDescent="0.25">
      <c r="A83" s="14" t="str">
        <f>'Matriz de Produccion'!A83</f>
        <v>1H04</v>
      </c>
      <c r="B83" s="6" t="str">
        <f>VLOOKUP(A83,'Analisis por Categorias'!B:C,2,FALSE)</f>
        <v>Generadores</v>
      </c>
      <c r="D83" s="5">
        <f>SUMIF(CATEGORIAS[[#All],[SUBGRUPO]],A83,CATEGORIAS[[#All],[PRESUPUESTO
(ORIGINAL)]])</f>
        <v>32733000</v>
      </c>
      <c r="E83" s="5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48225717.500719205</v>
      </c>
      <c r="G83" s="10">
        <f>+SUMIF(CATEGORIAS[[#All],[SUBGRUPO]],A83,CATEGORIAS[[#All],[COSTO
ACUMULADO  AX]])
+SUMIF(CATEGORIAS[[#All],[SUBGRUPO]],A83,CATEGORIAS[[#All],[CAMBIO DE
CATEGORIA]])</f>
        <v>30203549</v>
      </c>
      <c r="H83" s="10">
        <f>+SUMIF(CATEGORIAS[[#All],[SUBGRUPO]],A83,CATEGORIAS[[#All],[PROVISIONES]])</f>
        <v>0</v>
      </c>
      <c r="I83" s="10">
        <f>G83+H83</f>
        <v>30203549</v>
      </c>
      <c r="K83" s="10">
        <f>+SUMIF(CATEGORIAS[[#All],[SUBGRUPO]],A83,CATEGORIAS[[#All],[COSTO ACUMULADO
ANTERIOR]])
+SUMIF(CATEGORIAS[[#All],[SUBGRUPO]],A83,CATEGORIAS[[#All],[CAMBIO DE
CATEGORIA
ANTERIOR]])</f>
        <v>25812865</v>
      </c>
      <c r="L83" s="10">
        <f>+SUMIF(CATEGORIAS[[#All],[SUBGRUPO]],A83,CATEGORIAS[[#All],[PROVISIONES
ANTERIOR]])</f>
        <v>3790687</v>
      </c>
      <c r="M83" s="10">
        <f>K83+L83</f>
        <v>29603552</v>
      </c>
      <c r="O83" s="10">
        <f t="shared" si="108"/>
        <v>4390684</v>
      </c>
      <c r="P83" s="10">
        <f t="shared" si="108"/>
        <v>-3790687</v>
      </c>
      <c r="Q83" s="10">
        <f t="shared" si="108"/>
        <v>599997</v>
      </c>
    </row>
    <row r="84" spans="1:17" ht="15" customHeight="1" x14ac:dyDescent="0.25">
      <c r="A84" s="14" t="str">
        <f>'Matriz de Produccion'!A84</f>
        <v>1H05</v>
      </c>
      <c r="B84" s="6" t="str">
        <f>VLOOKUP(A84,'Analisis por Categorias'!B:C,2,FALSE)</f>
        <v>Mobiliarios</v>
      </c>
      <c r="D84" s="5">
        <f>SUMIF(CATEGORIAS[[#All],[SUBGRUPO]],A84,CATEGORIAS[[#All],[PRESUPUESTO
(ORIGINAL)]])</f>
        <v>5340000</v>
      </c>
      <c r="E84" s="5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7768898.7458726056</v>
      </c>
      <c r="G84" s="10">
        <f>+SUMIF(CATEGORIAS[[#All],[SUBGRUPO]],A84,CATEGORIAS[[#All],[COSTO
ACUMULADO  AX]])
+SUMIF(CATEGORIAS[[#All],[SUBGRUPO]],A84,CATEGORIAS[[#All],[CAMBIO DE
CATEGORIA]])</f>
        <v>8330705</v>
      </c>
      <c r="H84" s="10">
        <f>+SUMIF(CATEGORIAS[[#All],[SUBGRUPO]],A84,CATEGORIAS[[#All],[PROVISIONES]])</f>
        <v>991016</v>
      </c>
      <c r="I84" s="10">
        <f t="shared" si="103"/>
        <v>9321721</v>
      </c>
      <c r="K84" s="10">
        <f>+SUMIF(CATEGORIAS[[#All],[SUBGRUPO]],A84,CATEGORIAS[[#All],[COSTO ACUMULADO
ANTERIOR]])
+SUMIF(CATEGORIAS[[#All],[SUBGRUPO]],A84,CATEGORIAS[[#All],[CAMBIO DE
CATEGORIA
ANTERIOR]])</f>
        <v>244293</v>
      </c>
      <c r="L84" s="10">
        <f>+SUMIF(CATEGORIAS[[#All],[SUBGRUPO]],A84,CATEGORIAS[[#All],[PROVISIONES
ANTERIOR]])</f>
        <v>6289031</v>
      </c>
      <c r="M84" s="10">
        <f t="shared" si="104"/>
        <v>6533324</v>
      </c>
      <c r="O84" s="10">
        <f t="shared" si="105"/>
        <v>8086412</v>
      </c>
      <c r="P84" s="10">
        <f t="shared" si="106"/>
        <v>-5298015</v>
      </c>
      <c r="Q84" s="10">
        <f t="shared" si="107"/>
        <v>2788397</v>
      </c>
    </row>
    <row r="85" spans="1:17" ht="15" customHeight="1" x14ac:dyDescent="0.25">
      <c r="A85" s="14" t="str">
        <f>'Matriz de Produccion'!A85</f>
        <v>1H06</v>
      </c>
      <c r="B85" s="6" t="str">
        <f>VLOOKUP(A85,'Analisis por Categorias'!B:C,2,FALSE)</f>
        <v>Baños Químicos</v>
      </c>
      <c r="D85" s="5">
        <f>SUMIF(CATEGORIAS[[#All],[SUBGRUPO]],A85,CATEGORIAS[[#All],[PRESUPUESTO
(ORIGINAL)]])</f>
        <v>15748843.167042889</v>
      </c>
      <c r="E85" s="5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21960448.238074537</v>
      </c>
      <c r="G85" s="10">
        <f>+SUMIF(CATEGORIAS[[#All],[SUBGRUPO]],A85,CATEGORIAS[[#All],[COSTO
ACUMULADO  AX]])
+SUMIF(CATEGORIAS[[#All],[SUBGRUPO]],A85,CATEGORIAS[[#All],[CAMBIO DE
CATEGORIA]])</f>
        <v>36186534</v>
      </c>
      <c r="H85" s="10">
        <f>+SUMIF(CATEGORIAS[[#All],[SUBGRUPO]],A85,CATEGORIAS[[#All],[PROVISIONES]])</f>
        <v>658000</v>
      </c>
      <c r="I85" s="10">
        <f t="shared" si="103"/>
        <v>36844534</v>
      </c>
      <c r="K85" s="10">
        <f>+SUMIF(CATEGORIAS[[#All],[SUBGRUPO]],A85,CATEGORIAS[[#All],[COSTO ACUMULADO
ANTERIOR]])
+SUMIF(CATEGORIAS[[#All],[SUBGRUPO]],A85,CATEGORIAS[[#All],[CAMBIO DE
CATEGORIA
ANTERIOR]])</f>
        <v>32745023</v>
      </c>
      <c r="L85" s="10">
        <f>+SUMIF(CATEGORIAS[[#All],[SUBGRUPO]],A85,CATEGORIAS[[#All],[PROVISIONES
ANTERIOR]])</f>
        <v>4099511</v>
      </c>
      <c r="M85" s="10">
        <f t="shared" si="104"/>
        <v>36844534</v>
      </c>
      <c r="O85" s="10">
        <f t="shared" si="105"/>
        <v>3441511</v>
      </c>
      <c r="P85" s="10">
        <f t="shared" si="106"/>
        <v>-3441511</v>
      </c>
      <c r="Q85" s="10">
        <f t="shared" si="107"/>
        <v>0</v>
      </c>
    </row>
    <row r="86" spans="1:17" ht="15" customHeight="1" x14ac:dyDescent="0.25">
      <c r="A86" s="14" t="str">
        <f>'Matriz de Produccion'!A86</f>
        <v>1H07</v>
      </c>
      <c r="B86" s="6" t="str">
        <f>VLOOKUP(A86,'Analisis por Categorias'!B:C,2,FALSE)</f>
        <v>Servicios</v>
      </c>
      <c r="D86" s="5">
        <f>SUMIF(CATEGORIAS[[#All],[SUBGRUPO]],A86,CATEGORIAS[[#All],[PRESUPUESTO
(ORIGINAL)]])</f>
        <v>6500000</v>
      </c>
      <c r="E86" s="5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8774739.6303321235</v>
      </c>
      <c r="G86" s="10">
        <f>+SUMIF(CATEGORIAS[[#All],[SUBGRUPO]],A86,CATEGORIAS[[#All],[COSTO
ACUMULADO  AX]])
+SUMIF(CATEGORIAS[[#All],[SUBGRUPO]],A86,CATEGORIAS[[#All],[CAMBIO DE
CATEGORIA]])</f>
        <v>1522090</v>
      </c>
      <c r="H86" s="10">
        <f>+SUMIF(CATEGORIAS[[#All],[SUBGRUPO]],A86,CATEGORIAS[[#All],[PROVISIONES]])</f>
        <v>0</v>
      </c>
      <c r="I86" s="10">
        <f t="shared" si="103"/>
        <v>1522090</v>
      </c>
      <c r="K86" s="10">
        <f>+SUMIF(CATEGORIAS[[#All],[SUBGRUPO]],A86,CATEGORIAS[[#All],[COSTO ACUMULADO
ANTERIOR]])
+SUMIF(CATEGORIAS[[#All],[SUBGRUPO]],A86,CATEGORIAS[[#All],[CAMBIO DE
CATEGORIA
ANTERIOR]])</f>
        <v>1522090</v>
      </c>
      <c r="L86" s="10">
        <f>+SUMIF(CATEGORIAS[[#All],[SUBGRUPO]],A86,CATEGORIAS[[#All],[PROVISIONES
ANTERIOR]])</f>
        <v>0</v>
      </c>
      <c r="M86" s="10">
        <f t="shared" si="104"/>
        <v>1522090</v>
      </c>
      <c r="O86" s="10">
        <f t="shared" si="105"/>
        <v>0</v>
      </c>
      <c r="P86" s="10">
        <f t="shared" si="106"/>
        <v>0</v>
      </c>
      <c r="Q86" s="10">
        <f t="shared" si="107"/>
        <v>0</v>
      </c>
    </row>
    <row r="87" spans="1:17" ht="15" customHeight="1" x14ac:dyDescent="0.25">
      <c r="A87" s="14" t="str">
        <f>'Matriz de Produccion'!A87</f>
        <v>1H08</v>
      </c>
      <c r="B87" s="6" t="str">
        <f>VLOOKUP(A87,'Analisis por Categorias'!B:C,2,FALSE)</f>
        <v>IFA Fletes</v>
      </c>
      <c r="D87" s="5">
        <f>SUMIF(CATEGORIAS[[#All],[SUBGRUPO]],A87,CATEGORIAS[[#All],[PRESUPUESTO
(ORIGINAL)]])</f>
        <v>5400000</v>
      </c>
      <c r="E87" s="5">
        <f>+SUMIF(CATEGORIAS[[#All],[SUBGRUPO]],A87,CATEGORIAS[[#All],[PRODUCCION
PARTIDAS
ORIGINALES
ACTUAL]])
+SUMIF(CATEGORIAS[[#All],[SUBGRUPO]],A87,CATEGORIAS[[#All],[PRODUCCION
ADICIONALES
ACTUAL]])
+SUMIF(CATEGORIAS[[#All],[SUBGRUPO]],A87,CATEGORIAS[[#All],[PROYECCION
DE INGRESO
DEL SALDO]])</f>
        <v>8690065.3168137632</v>
      </c>
      <c r="G87" s="10">
        <f>+SUMIF(CATEGORIAS[[#All],[SUBGRUPO]],A87,CATEGORIAS[[#All],[COSTO
ACUMULADO  AX]])
+SUMIF(CATEGORIAS[[#All],[SUBGRUPO]],A87,CATEGORIAS[[#All],[CAMBIO DE
CATEGORIA]])</f>
        <v>11477630</v>
      </c>
      <c r="H87" s="10">
        <f>+SUMIF(CATEGORIAS[[#All],[SUBGRUPO]],A87,CATEGORIAS[[#All],[PROVISIONES]])</f>
        <v>0</v>
      </c>
      <c r="I87" s="10">
        <f t="shared" ref="I87:I90" si="109">G87+H87</f>
        <v>11477630</v>
      </c>
      <c r="K87" s="10">
        <f>+SUMIF(CATEGORIAS[[#All],[SUBGRUPO]],A87,CATEGORIAS[[#All],[COSTO ACUMULADO
ANTERIOR]])
+SUMIF(CATEGORIAS[[#All],[SUBGRUPO]],A87,CATEGORIAS[[#All],[CAMBIO DE
CATEGORIA
ANTERIOR]])</f>
        <v>11477630</v>
      </c>
      <c r="L87" s="10">
        <f>+SUMIF(CATEGORIAS[[#All],[SUBGRUPO]],A87,CATEGORIAS[[#All],[PROVISIONES
ANTERIOR]])</f>
        <v>0</v>
      </c>
      <c r="M87" s="10">
        <f t="shared" ref="M87:M90" si="110">K87+L87</f>
        <v>11477630</v>
      </c>
      <c r="O87" s="10">
        <f t="shared" ref="O87:O90" si="111">G87-K87</f>
        <v>0</v>
      </c>
      <c r="P87" s="10">
        <f t="shared" ref="P87:P90" si="112">H87-L87</f>
        <v>0</v>
      </c>
      <c r="Q87" s="10">
        <f t="shared" ref="Q87:Q90" si="113">I87-M87</f>
        <v>0</v>
      </c>
    </row>
    <row r="88" spans="1:17" ht="15" customHeight="1" x14ac:dyDescent="0.25">
      <c r="A88" s="14" t="str">
        <f>'Matriz de Produccion'!A88</f>
        <v>1H09</v>
      </c>
      <c r="B88" s="6" t="str">
        <f>VLOOKUP(A88,'Analisis por Categorias'!B:C,2,FALSE)</f>
        <v>Permisos</v>
      </c>
      <c r="D88" s="5">
        <f>SUMIF(CATEGORIAS[[#All],[SUBGRUPO]],A88,CATEGORIAS[[#All],[PRESUPUESTO
(ORIGINAL)]])</f>
        <v>16500000</v>
      </c>
      <c r="E88" s="5">
        <f>+SUMIF(CATEGORIAS[[#All],[SUBGRUPO]],A88,CATEGORIAS[[#All],[PRODUCCION
PARTIDAS
ORIGINALES
ACTUAL]])
+SUMIF(CATEGORIAS[[#All],[SUBGRUPO]],A88,CATEGORIAS[[#All],[PRODUCCION
ADICIONALES
ACTUAL]])
+SUMIF(CATEGORIAS[[#All],[SUBGRUPO]],A88,CATEGORIAS[[#All],[PROYECCION
DE INGRESO
DEL SALDO]])</f>
        <v>22274339.061612315</v>
      </c>
      <c r="G88" s="10">
        <f>+SUMIF(CATEGORIAS[[#All],[SUBGRUPO]],A88,CATEGORIAS[[#All],[COSTO
ACUMULADO  AX]])
+SUMIF(CATEGORIAS[[#All],[SUBGRUPO]],A88,CATEGORIAS[[#All],[CAMBIO DE
CATEGORIA]])</f>
        <v>3040935</v>
      </c>
      <c r="H88" s="10">
        <f>+SUMIF(CATEGORIAS[[#All],[SUBGRUPO]],A88,CATEGORIAS[[#All],[PROVISIONES]])</f>
        <v>0</v>
      </c>
      <c r="I88" s="10">
        <f t="shared" si="109"/>
        <v>3040935</v>
      </c>
      <c r="K88" s="10">
        <f>+SUMIF(CATEGORIAS[[#All],[SUBGRUPO]],A88,CATEGORIAS[[#All],[COSTO ACUMULADO
ANTERIOR]])
+SUMIF(CATEGORIAS[[#All],[SUBGRUPO]],A88,CATEGORIAS[[#All],[CAMBIO DE
CATEGORIA
ANTERIOR]])</f>
        <v>3040935</v>
      </c>
      <c r="L88" s="10">
        <f>+SUMIF(CATEGORIAS[[#All],[SUBGRUPO]],A88,CATEGORIAS[[#All],[PROVISIONES
ANTERIOR]])</f>
        <v>0</v>
      </c>
      <c r="M88" s="10">
        <f t="shared" si="110"/>
        <v>3040935</v>
      </c>
      <c r="O88" s="10">
        <f t="shared" si="111"/>
        <v>0</v>
      </c>
      <c r="P88" s="10">
        <f t="shared" si="112"/>
        <v>0</v>
      </c>
      <c r="Q88" s="10">
        <f t="shared" si="113"/>
        <v>0</v>
      </c>
    </row>
    <row r="89" spans="1:17" ht="15" hidden="1" customHeight="1" x14ac:dyDescent="0.25">
      <c r="A89" s="14" t="str">
        <f>'Matriz de Produccion'!A89</f>
        <v>1H10</v>
      </c>
      <c r="B89" s="6" t="e">
        <f>VLOOKUP(A89,'Analisis por Categorias'!B:C,2,FALSE)</f>
        <v>#N/A</v>
      </c>
      <c r="D89" s="5">
        <f>SUMIF(CATEGORIAS[[#All],[SUBGRUPO]],A89,CATEGORIAS[[#All],[PRESUPUESTO
(ORIGINAL)]])</f>
        <v>0</v>
      </c>
      <c r="E89" s="5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0</v>
      </c>
      <c r="G89" s="10">
        <f>+SUMIF(CATEGORIAS[[#All],[SUBGRUPO]],A89,CATEGORIAS[[#All],[COSTO
ACUMULADO  AX]])
+SUMIF(CATEGORIAS[[#All],[SUBGRUPO]],A89,CATEGORIAS[[#All],[CAMBIO DE
CATEGORIA]])</f>
        <v>0</v>
      </c>
      <c r="H89" s="10">
        <f>+SUMIF(CATEGORIAS[[#All],[SUBGRUPO]],A89,CATEGORIAS[[#All],[PROVISIONES]])</f>
        <v>0</v>
      </c>
      <c r="I89" s="10">
        <f t="shared" si="109"/>
        <v>0</v>
      </c>
      <c r="K89" s="10">
        <f>+SUMIF(CATEGORIAS[[#All],[SUBGRUPO]],A89,CATEGORIAS[[#All],[COSTO ACUMULADO
ANTERIOR]])
+SUMIF(CATEGORIAS[[#All],[SUBGRUPO]],A89,CATEGORIAS[[#All],[CAMBIO DE
CATEGORIA
ANTERIOR]])</f>
        <v>0</v>
      </c>
      <c r="L89" s="10">
        <f>+SUMIF(CATEGORIAS[[#All],[SUBGRUPO]],A89,CATEGORIAS[[#All],[PROVISIONES
ANTERIOR]])</f>
        <v>0</v>
      </c>
      <c r="M89" s="10">
        <f t="shared" si="110"/>
        <v>0</v>
      </c>
      <c r="O89" s="10">
        <f t="shared" si="111"/>
        <v>0</v>
      </c>
      <c r="P89" s="10">
        <f t="shared" si="112"/>
        <v>0</v>
      </c>
      <c r="Q89" s="10">
        <f t="shared" si="113"/>
        <v>0</v>
      </c>
    </row>
    <row r="90" spans="1:17" ht="15" hidden="1" customHeight="1" x14ac:dyDescent="0.25">
      <c r="A90" s="14" t="str">
        <f>'Matriz de Produccion'!A90</f>
        <v>1H11</v>
      </c>
      <c r="B90" s="6" t="e">
        <f>VLOOKUP(A90,'Analisis por Categorias'!B:C,2,FALSE)</f>
        <v>#N/A</v>
      </c>
      <c r="D90" s="5">
        <f>SUMIF(CATEGORIAS[[#All],[SUBGRUPO]],A90,CATEGORIAS[[#All],[PRESUPUESTO
(ORIGINAL)]])</f>
        <v>0</v>
      </c>
      <c r="E90" s="5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10">
        <f>+SUMIF(CATEGORIAS[[#All],[SUBGRUPO]],A90,CATEGORIAS[[#All],[COSTO
ACUMULADO  AX]])
+SUMIF(CATEGORIAS[[#All],[SUBGRUPO]],A90,CATEGORIAS[[#All],[CAMBIO DE
CATEGORIA]])</f>
        <v>0</v>
      </c>
      <c r="H90" s="10">
        <f>+SUMIF(CATEGORIAS[[#All],[SUBGRUPO]],A90,CATEGORIAS[[#All],[PROVISIONES]])</f>
        <v>0</v>
      </c>
      <c r="I90" s="10">
        <f t="shared" si="109"/>
        <v>0</v>
      </c>
      <c r="K90" s="10">
        <f>+SUMIF(CATEGORIAS[[#All],[SUBGRUPO]],A90,CATEGORIAS[[#All],[COSTO ACUMULADO
ANTERIOR]])
+SUMIF(CATEGORIAS[[#All],[SUBGRUPO]],A90,CATEGORIAS[[#All],[CAMBIO DE
CATEGORIA
ANTERIOR]])</f>
        <v>0</v>
      </c>
      <c r="L90" s="10">
        <f>+SUMIF(CATEGORIAS[[#All],[SUBGRUPO]],A90,CATEGORIAS[[#All],[PROVISIONES
ANTERIOR]])</f>
        <v>0</v>
      </c>
      <c r="M90" s="10">
        <f t="shared" si="110"/>
        <v>0</v>
      </c>
      <c r="O90" s="10">
        <f t="shared" si="111"/>
        <v>0</v>
      </c>
      <c r="P90" s="10">
        <f t="shared" si="112"/>
        <v>0</v>
      </c>
      <c r="Q90" s="10">
        <f t="shared" si="113"/>
        <v>0</v>
      </c>
    </row>
    <row r="91" spans="1:17" ht="8.25" customHeight="1" x14ac:dyDescent="0.25"/>
    <row r="92" spans="1:17" ht="14.25" customHeight="1" x14ac:dyDescent="0.25">
      <c r="A92" s="14" t="str">
        <f>'Matriz de Produccion'!A92</f>
        <v>1I00</v>
      </c>
      <c r="B92" s="81" t="str">
        <f>'Matriz de Produccion'!B92:B92</f>
        <v>I - GASTOS GENERALES</v>
      </c>
      <c r="D92" s="82">
        <f>SUM(D93:D106)</f>
        <v>194544741.2074329</v>
      </c>
      <c r="E92" s="82">
        <f>SUM(E93:E106)</f>
        <v>247748617.79628068</v>
      </c>
      <c r="G92" s="84">
        <f>SUM(G93:G105)</f>
        <v>171137565</v>
      </c>
      <c r="H92" s="84">
        <f t="shared" ref="H92:I92" si="114">SUM(H93:H105)</f>
        <v>3443701</v>
      </c>
      <c r="I92" s="84">
        <f t="shared" si="114"/>
        <v>174581266</v>
      </c>
      <c r="K92" s="84">
        <f t="shared" ref="K92:M92" si="115">SUM(K93:K105)</f>
        <v>158973346</v>
      </c>
      <c r="L92" s="84">
        <f t="shared" si="115"/>
        <v>8713004</v>
      </c>
      <c r="M92" s="84">
        <f t="shared" si="115"/>
        <v>167686350</v>
      </c>
      <c r="O92" s="84">
        <f t="shared" ref="O92:Q92" si="116">SUM(O93:O105)</f>
        <v>12164219</v>
      </c>
      <c r="P92" s="84">
        <f t="shared" si="116"/>
        <v>-5269303</v>
      </c>
      <c r="Q92" s="84">
        <f t="shared" si="116"/>
        <v>6894916</v>
      </c>
    </row>
    <row r="93" spans="1:17" ht="15" customHeight="1" x14ac:dyDescent="0.25">
      <c r="A93" s="14" t="str">
        <f>'Matriz de Produccion'!A93</f>
        <v>1I01</v>
      </c>
      <c r="B93" s="6" t="str">
        <f>VLOOKUP(A93,'Analisis por Categorias'!B:C,2,FALSE)</f>
        <v>Gastos De Contratación</v>
      </c>
      <c r="D93" s="5">
        <f>SUMIF(CATEGORIAS[[#All],[SUBGRUPO]],A93,CATEGORIAS[[#All],[PRESUPUESTO
(ORIGINAL)]])</f>
        <v>39447434.040254258</v>
      </c>
      <c r="E93" s="5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61221017.133051813</v>
      </c>
      <c r="G93" s="10">
        <f>+SUMIF(CATEGORIAS[[#All],[SUBGRUPO]],A93,CATEGORIAS[[#All],[COSTO
ACUMULADO  AX]])
+SUMIF(CATEGORIAS[[#All],[SUBGRUPO]],A93,CATEGORIAS[[#All],[CAMBIO DE
CATEGORIA]])</f>
        <v>10309403</v>
      </c>
      <c r="H93" s="10">
        <f>+SUMIF(CATEGORIAS[[#All],[SUBGRUPO]],A93,CATEGORIAS[[#All],[PROVISIONES]])</f>
        <v>2315701</v>
      </c>
      <c r="I93" s="10">
        <f t="shared" ref="I93:I98" si="117">G93+H93</f>
        <v>12625104</v>
      </c>
      <c r="K93" s="10">
        <f>+SUMIF(CATEGORIAS[[#All],[SUBGRUPO]],A93,CATEGORIAS[[#All],[COSTO ACUMULADO
ANTERIOR]])
+SUMIF(CATEGORIAS[[#All],[SUBGRUPO]],A93,CATEGORIAS[[#All],[CAMBIO DE
CATEGORIA
ANTERIOR]])</f>
        <v>10309403</v>
      </c>
      <c r="L93" s="10">
        <f>+SUMIF(CATEGORIAS[[#All],[SUBGRUPO]],A93,CATEGORIAS[[#All],[PROVISIONES
ANTERIOR]])</f>
        <v>2315701</v>
      </c>
      <c r="M93" s="10">
        <f t="shared" ref="M93:M98" si="118">K93+L93</f>
        <v>12625104</v>
      </c>
      <c r="O93" s="10">
        <f t="shared" ref="O93:Q98" si="119">G93-K93</f>
        <v>0</v>
      </c>
      <c r="P93" s="10">
        <f t="shared" si="119"/>
        <v>0</v>
      </c>
      <c r="Q93" s="10">
        <f t="shared" si="119"/>
        <v>0</v>
      </c>
    </row>
    <row r="94" spans="1:17" ht="15" customHeight="1" x14ac:dyDescent="0.25">
      <c r="A94" s="14" t="str">
        <f>'Matriz de Produccion'!A94</f>
        <v>1I02</v>
      </c>
      <c r="B94" s="6" t="str">
        <f>VLOOKUP(A94,'Analisis por Categorias'!B:C,2,FALSE)</f>
        <v>Otros gastos generales</v>
      </c>
      <c r="D94" s="5">
        <f>SUMIF(CATEGORIAS[[#All],[SUBGRUPO]],A94,CATEGORIAS[[#All],[PRESUPUESTO
(ORIGINAL)]])</f>
        <v>45917952.31962958</v>
      </c>
      <c r="E94" s="5">
        <f>+SUMIF(CATEGORIAS[[#All],[SUBGRUPO]],A94,CATEGORIAS[[#All],[PRODUCCION
PARTIDAS
ORIGINALES
ACTUAL]])
+SUMIF(CATEGORIAS[[#All],[SUBGRUPO]],A94,CATEGORIAS[[#All],[PRODUCCION
ADICIONALES
ACTUAL]])
+SUMIF(CATEGORIAS[[#All],[SUBGRUPO]],A94,CATEGORIAS[[#All],[PROYECCION
DE INGRESO
DEL SALDO]])</f>
        <v>63911052.645077571</v>
      </c>
      <c r="G94" s="10">
        <f>+SUMIF(CATEGORIAS[[#All],[SUBGRUPO]],A94,CATEGORIAS[[#All],[COSTO
ACUMULADO  AX]])
+SUMIF(CATEGORIAS[[#All],[SUBGRUPO]],A94,CATEGORIAS[[#All],[CAMBIO DE
CATEGORIA]])</f>
        <v>76194784</v>
      </c>
      <c r="H94" s="10">
        <f>+SUMIF(CATEGORIAS[[#All],[SUBGRUPO]],A94,CATEGORIAS[[#All],[PROVISIONES]])</f>
        <v>1128000</v>
      </c>
      <c r="I94" s="10">
        <f t="shared" si="117"/>
        <v>77322784</v>
      </c>
      <c r="K94" s="10">
        <f>+SUMIF(CATEGORIAS[[#All],[SUBGRUPO]],A94,CATEGORIAS[[#All],[COSTO ACUMULADO
ANTERIOR]])
+SUMIF(CATEGORIAS[[#All],[SUBGRUPO]],A94,CATEGORIAS[[#All],[CAMBIO DE
CATEGORIA
ANTERIOR]])</f>
        <v>69855566</v>
      </c>
      <c r="L94" s="10">
        <f>+SUMIF(CATEGORIAS[[#All],[SUBGRUPO]],A94,CATEGORIAS[[#All],[PROVISIONES
ANTERIOR]])</f>
        <v>1880000</v>
      </c>
      <c r="M94" s="10">
        <f t="shared" si="118"/>
        <v>71735566</v>
      </c>
      <c r="O94" s="10">
        <f t="shared" si="119"/>
        <v>6339218</v>
      </c>
      <c r="P94" s="10">
        <f t="shared" si="119"/>
        <v>-752000</v>
      </c>
      <c r="Q94" s="10">
        <f t="shared" si="119"/>
        <v>5587218</v>
      </c>
    </row>
    <row r="95" spans="1:17" ht="15" customHeight="1" x14ac:dyDescent="0.25">
      <c r="A95" s="14" t="str">
        <f>'Matriz de Produccion'!A95</f>
        <v>1I03</v>
      </c>
      <c r="B95" s="6" t="str">
        <f>VLOOKUP(A95,'Analisis por Categorias'!B:C,2,FALSE)</f>
        <v>Enlaces Internet</v>
      </c>
      <c r="D95" s="5">
        <f>SUMIF(CATEGORIAS[[#All],[SUBGRUPO]],A95,CATEGORIAS[[#All],[PRESUPUESTO
(ORIGINAL)]])</f>
        <v>7200000</v>
      </c>
      <c r="E95" s="5">
        <f>+SUMIF(CATEGORIAS[[#All],[SUBGRUPO]],A95,CATEGORIAS[[#All],[PRODUCCION
PARTIDAS
ORIGINALES
ACTUAL]])
+SUMIF(CATEGORIAS[[#All],[SUBGRUPO]],A95,CATEGORIAS[[#All],[PRODUCCION
ADICIONALES
ACTUAL]])
+SUMIF(CATEGORIAS[[#All],[SUBGRUPO]],A95,CATEGORIAS[[#All],[PROYECCION
DE INGRESO
DEL SALDO]])</f>
        <v>8493629.0144417845</v>
      </c>
      <c r="G95" s="10">
        <f>+SUMIF(CATEGORIAS[[#All],[SUBGRUPO]],A95,CATEGORIAS[[#All],[COSTO
ACUMULADO  AX]])
+SUMIF(CATEGORIAS[[#All],[SUBGRUPO]],A95,CATEGORIAS[[#All],[CAMBIO DE
CATEGORIA]])</f>
        <v>7233514</v>
      </c>
      <c r="H95" s="10">
        <f>+SUMIF(CATEGORIAS[[#All],[SUBGRUPO]],A95,CATEGORIAS[[#All],[PROVISIONES]])</f>
        <v>0</v>
      </c>
      <c r="I95" s="10">
        <f t="shared" si="117"/>
        <v>7233514</v>
      </c>
      <c r="K95" s="10">
        <f>+SUMIF(CATEGORIAS[[#All],[SUBGRUPO]],A95,CATEGORIAS[[#All],[COSTO ACUMULADO
ANTERIOR]])
+SUMIF(CATEGORIAS[[#All],[SUBGRUPO]],A95,CATEGORIAS[[#All],[CAMBIO DE
CATEGORIA
ANTERIOR]])</f>
        <v>6797434</v>
      </c>
      <c r="L95" s="10">
        <f>+SUMIF(CATEGORIAS[[#All],[SUBGRUPO]],A95,CATEGORIAS[[#All],[PROVISIONES
ANTERIOR]])</f>
        <v>0</v>
      </c>
      <c r="M95" s="88">
        <f t="shared" si="118"/>
        <v>6797434</v>
      </c>
      <c r="O95" s="88">
        <f t="shared" si="119"/>
        <v>436080</v>
      </c>
      <c r="P95" s="88">
        <f t="shared" si="119"/>
        <v>0</v>
      </c>
      <c r="Q95" s="88">
        <f t="shared" si="119"/>
        <v>436080</v>
      </c>
    </row>
    <row r="96" spans="1:17" ht="15" customHeight="1" x14ac:dyDescent="0.25">
      <c r="A96" s="14" t="str">
        <f>'Matriz de Produccion'!A96</f>
        <v>1I04</v>
      </c>
      <c r="B96" s="6" t="str">
        <f>VLOOKUP(A96,'Analisis por Categorias'!B:C,2,FALSE)</f>
        <v>Fletes Generales</v>
      </c>
      <c r="D96" s="5">
        <f>SUMIF(CATEGORIAS[[#All],[SUBGRUPO]],A96,CATEGORIAS[[#All],[PRESUPUESTO
(ORIGINAL)]])</f>
        <v>27440623.725000001</v>
      </c>
      <c r="E96" s="5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23210430.39544734</v>
      </c>
      <c r="G96" s="10">
        <f>+SUMIF(CATEGORIAS[[#All],[SUBGRUPO]],A96,CATEGORIAS[[#All],[COSTO
ACUMULADO  AX]])
+SUMIF(CATEGORIAS[[#All],[SUBGRUPO]],A96,CATEGORIAS[[#All],[CAMBIO DE
CATEGORIA]])</f>
        <v>18195059</v>
      </c>
      <c r="H96" s="10">
        <f>+SUMIF(CATEGORIAS[[#All],[SUBGRUPO]],A96,CATEGORIAS[[#All],[PROVISIONES]])</f>
        <v>0</v>
      </c>
      <c r="I96" s="10">
        <f t="shared" si="117"/>
        <v>18195059</v>
      </c>
      <c r="K96" s="10">
        <f>+SUMIF(CATEGORIAS[[#All],[SUBGRUPO]],A96,CATEGORIAS[[#All],[COSTO ACUMULADO
ANTERIOR]])
+SUMIF(CATEGORIAS[[#All],[SUBGRUPO]],A96,CATEGORIAS[[#All],[CAMBIO DE
CATEGORIA
ANTERIOR]])</f>
        <v>18177827</v>
      </c>
      <c r="L96" s="10">
        <f>+SUMIF(CATEGORIAS[[#All],[SUBGRUPO]],A96,CATEGORIAS[[#All],[PROVISIONES
ANTERIOR]])</f>
        <v>0</v>
      </c>
      <c r="M96" s="10">
        <f t="shared" si="118"/>
        <v>18177827</v>
      </c>
      <c r="O96" s="10">
        <f t="shared" si="119"/>
        <v>17232</v>
      </c>
      <c r="P96" s="10">
        <f t="shared" si="119"/>
        <v>0</v>
      </c>
      <c r="Q96" s="10">
        <f t="shared" si="119"/>
        <v>17232</v>
      </c>
    </row>
    <row r="97" spans="1:17" ht="15" customHeight="1" x14ac:dyDescent="0.25">
      <c r="A97" s="14" t="str">
        <f>'Matriz de Produccion'!A97</f>
        <v>1I05</v>
      </c>
      <c r="B97" s="6" t="str">
        <f>VLOOKUP(A97,'Analisis por Categorias'!B:C,2,FALSE)</f>
        <v>Comunicación</v>
      </c>
      <c r="D97" s="5">
        <f>SUMIF(CATEGORIAS[[#All],[SUBGRUPO]],A97,CATEGORIAS[[#All],[PRESUPUESTO
(ORIGINAL)]])</f>
        <v>7611063.4056433411</v>
      </c>
      <c r="E97" s="5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10292483.535002772</v>
      </c>
      <c r="G97" s="10">
        <f>+SUMIF(CATEGORIAS[[#All],[SUBGRUPO]],A97,CATEGORIAS[[#All],[COSTO
ACUMULADO  AX]])
+SUMIF(CATEGORIAS[[#All],[SUBGRUPO]],A97,CATEGORIAS[[#All],[CAMBIO DE
CATEGORIA]])</f>
        <v>1232634</v>
      </c>
      <c r="H97" s="10">
        <f>+SUMIF(CATEGORIAS[[#All],[SUBGRUPO]],A97,CATEGORIAS[[#All],[PROVISIONES]])</f>
        <v>0</v>
      </c>
      <c r="I97" s="10">
        <f t="shared" si="117"/>
        <v>1232634</v>
      </c>
      <c r="K97" s="10">
        <f>+SUMIF(CATEGORIAS[[#All],[SUBGRUPO]],A97,CATEGORIAS[[#All],[COSTO ACUMULADO
ANTERIOR]])
+SUMIF(CATEGORIAS[[#All],[SUBGRUPO]],A97,CATEGORIAS[[#All],[CAMBIO DE
CATEGORIA
ANTERIOR]])</f>
        <v>1160604</v>
      </c>
      <c r="L97" s="10">
        <f>+SUMIF(CATEGORIAS[[#All],[SUBGRUPO]],A97,CATEGORIAS[[#All],[PROVISIONES
ANTERIOR]])</f>
        <v>511308</v>
      </c>
      <c r="M97" s="88">
        <f t="shared" si="118"/>
        <v>1671912</v>
      </c>
      <c r="O97" s="88">
        <f t="shared" si="119"/>
        <v>72030</v>
      </c>
      <c r="P97" s="88">
        <f t="shared" si="119"/>
        <v>-511308</v>
      </c>
      <c r="Q97" s="88">
        <f t="shared" si="119"/>
        <v>-439278</v>
      </c>
    </row>
    <row r="98" spans="1:17" ht="15" customHeight="1" x14ac:dyDescent="0.25">
      <c r="A98" s="14" t="str">
        <f>'Matriz de Produccion'!A98</f>
        <v>1I06</v>
      </c>
      <c r="B98" s="6" t="str">
        <f>VLOOKUP(A98,'Analisis por Categorias'!B:C,2,FALSE)</f>
        <v>Computadores</v>
      </c>
      <c r="D98" s="5">
        <f>SUMIF(CATEGORIAS[[#All],[SUBGRUPO]],A98,CATEGORIAS[[#All],[PRESUPUESTO
(ORIGINAL)]])</f>
        <v>9839991.2000000011</v>
      </c>
      <c r="E98" s="5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11671351.011997472</v>
      </c>
      <c r="G98" s="10">
        <f>+SUMIF(CATEGORIAS[[#All],[SUBGRUPO]],A98,CATEGORIAS[[#All],[COSTO
ACUMULADO  AX]])
+SUMIF(CATEGORIAS[[#All],[SUBGRUPO]],A98,CATEGORIAS[[#All],[CAMBIO DE
CATEGORIA]])</f>
        <v>30559796</v>
      </c>
      <c r="H98" s="10">
        <f>+SUMIF(CATEGORIAS[[#All],[SUBGRUPO]],A98,CATEGORIAS[[#All],[PROVISIONES]])</f>
        <v>0</v>
      </c>
      <c r="I98" s="10">
        <f t="shared" si="117"/>
        <v>30559796</v>
      </c>
      <c r="K98" s="10">
        <f>+SUMIF(CATEGORIAS[[#All],[SUBGRUPO]],A98,CATEGORIAS[[#All],[COSTO ACUMULADO
ANTERIOR]])
+SUMIF(CATEGORIAS[[#All],[SUBGRUPO]],A98,CATEGORIAS[[#All],[CAMBIO DE
CATEGORIA
ANTERIOR]])</f>
        <v>27644767</v>
      </c>
      <c r="L98" s="10">
        <f>+SUMIF(CATEGORIAS[[#All],[SUBGRUPO]],A98,CATEGORIAS[[#All],[PROVISIONES
ANTERIOR]])</f>
        <v>508851</v>
      </c>
      <c r="M98" s="10">
        <f t="shared" si="118"/>
        <v>28153618</v>
      </c>
      <c r="O98" s="10">
        <f t="shared" si="119"/>
        <v>2915029</v>
      </c>
      <c r="P98" s="10">
        <f t="shared" si="119"/>
        <v>-508851</v>
      </c>
      <c r="Q98" s="10">
        <f t="shared" si="119"/>
        <v>2406178</v>
      </c>
    </row>
    <row r="99" spans="1:17" ht="15" customHeight="1" x14ac:dyDescent="0.25">
      <c r="A99" s="14" t="str">
        <f>'Matriz de Produccion'!A99</f>
        <v>1I07</v>
      </c>
      <c r="B99" s="6" t="str">
        <f>VLOOKUP(A99,'Analisis por Categorias'!B:C,2,FALSE)</f>
        <v>Impresoras / Fotocopias</v>
      </c>
      <c r="D99" s="5">
        <f>SUMIF(CATEGORIAS[[#All],[SUBGRUPO]],A99,CATEGORIAS[[#All],[PRESUPUESTO
(ORIGINAL)]])</f>
        <v>6988715.5472142855</v>
      </c>
      <c r="E99" s="5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8800966.7923478894</v>
      </c>
      <c r="G99" s="10">
        <f>+SUMIF(CATEGORIAS[[#All],[SUBGRUPO]],A99,CATEGORIAS[[#All],[COSTO
ACUMULADO  AX]])
+SUMIF(CATEGORIAS[[#All],[SUBGRUPO]],A99,CATEGORIAS[[#All],[CAMBIO DE
CATEGORIA]])</f>
        <v>9836783</v>
      </c>
      <c r="H99" s="10">
        <f>+SUMIF(CATEGORIAS[[#All],[SUBGRUPO]],A99,CATEGORIAS[[#All],[PROVISIONES]])</f>
        <v>0</v>
      </c>
      <c r="I99" s="10">
        <f t="shared" ref="I99:I105" si="120">G99+H99</f>
        <v>9836783</v>
      </c>
      <c r="K99" s="10">
        <f>+SUMIF(CATEGORIAS[[#All],[SUBGRUPO]],A99,CATEGORIAS[[#All],[COSTO ACUMULADO
ANTERIOR]])
+SUMIF(CATEGORIAS[[#All],[SUBGRUPO]],A99,CATEGORIAS[[#All],[CAMBIO DE
CATEGORIA
ANTERIOR]])</f>
        <v>8496783</v>
      </c>
      <c r="L99" s="10">
        <f>+SUMIF(CATEGORIAS[[#All],[SUBGRUPO]],A99,CATEGORIAS[[#All],[PROVISIONES
ANTERIOR]])</f>
        <v>1762220</v>
      </c>
      <c r="M99" s="10">
        <f t="shared" ref="M99:M105" si="121">K99+L99</f>
        <v>10259003</v>
      </c>
      <c r="O99" s="10">
        <f t="shared" ref="O99:O105" si="122">G99-K99</f>
        <v>1340000</v>
      </c>
      <c r="P99" s="10">
        <f t="shared" ref="P99:P105" si="123">H99-L99</f>
        <v>-1762220</v>
      </c>
      <c r="Q99" s="10">
        <f t="shared" ref="Q99:Q105" si="124">I99-M99</f>
        <v>-422220</v>
      </c>
    </row>
    <row r="100" spans="1:17" ht="15" hidden="1" customHeight="1" x14ac:dyDescent="0.25">
      <c r="A100" s="14" t="str">
        <f>'Matriz de Produccion'!A100</f>
        <v>1I08</v>
      </c>
      <c r="B100" s="6" t="str">
        <f>VLOOKUP(A100,'Analisis por Categorias'!B:C,2,FALSE)</f>
        <v>Calificaciones</v>
      </c>
      <c r="D100" s="5">
        <f>SUMIF(CATEGORIAS[[#All],[SUBGRUPO]],A100,CATEGORIAS[[#All],[PRESUPUESTO
(ORIGINAL)]])</f>
        <v>30843363.248571426</v>
      </c>
      <c r="E100" s="5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34036748.358429968</v>
      </c>
      <c r="G100" s="10">
        <f>+SUMIF(CATEGORIAS[[#All],[SUBGRUPO]],A100,CATEGORIAS[[#All],[COSTO
ACUMULADO  AX]])
+SUMIF(CATEGORIAS[[#All],[SUBGRUPO]],A100,CATEGORIAS[[#All],[CAMBIO DE
CATEGORIA]])</f>
        <v>4544089</v>
      </c>
      <c r="H100" s="10">
        <f>+SUMIF(CATEGORIAS[[#All],[SUBGRUPO]],A100,CATEGORIAS[[#All],[PROVISIONES]])</f>
        <v>0</v>
      </c>
      <c r="I100" s="10">
        <f t="shared" si="120"/>
        <v>4544089</v>
      </c>
      <c r="K100" s="10">
        <f>+SUMIF(CATEGORIAS[[#All],[SUBGRUPO]],A100,CATEGORIAS[[#All],[COSTO ACUMULADO
ANTERIOR]])
+SUMIF(CATEGORIAS[[#All],[SUBGRUPO]],A100,CATEGORIAS[[#All],[CAMBIO DE
CATEGORIA
ANTERIOR]])</f>
        <v>4544089</v>
      </c>
      <c r="L100" s="10">
        <f>+SUMIF(CATEGORIAS[[#All],[SUBGRUPO]],A100,CATEGORIAS[[#All],[PROVISIONES
ANTERIOR]])</f>
        <v>0</v>
      </c>
      <c r="M100" s="10">
        <f t="shared" si="121"/>
        <v>4544089</v>
      </c>
      <c r="O100" s="10">
        <f t="shared" si="122"/>
        <v>0</v>
      </c>
      <c r="P100" s="10">
        <f t="shared" si="123"/>
        <v>0</v>
      </c>
      <c r="Q100" s="10">
        <f t="shared" si="124"/>
        <v>0</v>
      </c>
    </row>
    <row r="101" spans="1:17" ht="15" customHeight="1" x14ac:dyDescent="0.25">
      <c r="A101" s="14" t="str">
        <f>'Matriz de Produccion'!A101</f>
        <v>1I09</v>
      </c>
      <c r="B101" s="6" t="str">
        <f>VLOOKUP(A101,'Analisis por Categorias'!B:C,2,FALSE)</f>
        <v>Elementos Seguridad Indirectos</v>
      </c>
      <c r="D101" s="5">
        <f>SUMIF(CATEGORIAS[[#All],[SUBGRUPO]],A101,CATEGORIAS[[#All],[PRESUPUESTO
(ORIGINAL)]])</f>
        <v>14137964.285714285</v>
      </c>
      <c r="E101" s="5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19259966.928273432</v>
      </c>
      <c r="G101" s="10">
        <f>+SUMIF(CATEGORIAS[[#All],[SUBGRUPO]],A101,CATEGORIAS[[#All],[COSTO
ACUMULADO  AX]])
+SUMIF(CATEGORIAS[[#All],[SUBGRUPO]],A101,CATEGORIAS[[#All],[CAMBIO DE
CATEGORIA]])</f>
        <v>10592171</v>
      </c>
      <c r="H101" s="10">
        <f>+SUMIF(CATEGORIAS[[#All],[SUBGRUPO]],A101,CATEGORIAS[[#All],[PROVISIONES]])</f>
        <v>0</v>
      </c>
      <c r="I101" s="10">
        <f t="shared" si="120"/>
        <v>10592171</v>
      </c>
      <c r="K101" s="10">
        <f>+SUMIF(CATEGORIAS[[#All],[SUBGRUPO]],A101,CATEGORIAS[[#All],[COSTO ACUMULADO
ANTERIOR]])
+SUMIF(CATEGORIAS[[#All],[SUBGRUPO]],A101,CATEGORIAS[[#All],[CAMBIO DE
CATEGORIA
ANTERIOR]])</f>
        <v>9903041</v>
      </c>
      <c r="L101" s="10">
        <f>+SUMIF(CATEGORIAS[[#All],[SUBGRUPO]],A101,CATEGORIAS[[#All],[PROVISIONES
ANTERIOR]])</f>
        <v>1734924</v>
      </c>
      <c r="M101" s="10">
        <f t="shared" si="121"/>
        <v>11637965</v>
      </c>
      <c r="O101" s="10">
        <f t="shared" si="122"/>
        <v>689130</v>
      </c>
      <c r="P101" s="10">
        <f t="shared" si="123"/>
        <v>-1734924</v>
      </c>
      <c r="Q101" s="10">
        <f t="shared" si="124"/>
        <v>-1045794</v>
      </c>
    </row>
    <row r="102" spans="1:17" ht="15" customHeight="1" x14ac:dyDescent="0.25">
      <c r="A102" s="14" t="str">
        <f>'Matriz de Produccion'!A102</f>
        <v>1I10</v>
      </c>
      <c r="B102" s="6" t="str">
        <f>VLOOKUP(A102,'Analisis por Categorias'!B:C,2,FALSE)</f>
        <v>Café. Y Agua Potab.</v>
      </c>
      <c r="D102" s="5">
        <f>SUMIF(CATEGORIAS[[#All],[SUBGRUPO]],A102,CATEGORIAS[[#All],[PRESUPUESTO
(ORIGINAL)]])</f>
        <v>5117633.4354056884</v>
      </c>
      <c r="E102" s="5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6850971.9822106585</v>
      </c>
      <c r="G102" s="10">
        <f>+SUMIF(CATEGORIAS[[#All],[SUBGRUPO]],A102,CATEGORIAS[[#All],[COSTO
ACUMULADO  AX]])
+SUMIF(CATEGORIAS[[#All],[SUBGRUPO]],A102,CATEGORIAS[[#All],[CAMBIO DE
CATEGORIA]])</f>
        <v>2439332</v>
      </c>
      <c r="H102" s="10">
        <f>+SUMIF(CATEGORIAS[[#All],[SUBGRUPO]],A102,CATEGORIAS[[#All],[PROVISIONES]])</f>
        <v>0</v>
      </c>
      <c r="I102" s="10">
        <f t="shared" si="120"/>
        <v>2439332</v>
      </c>
      <c r="K102" s="10">
        <f>+SUMIF(CATEGORIAS[[#All],[SUBGRUPO]],A102,CATEGORIAS[[#All],[COSTO ACUMULADO
ANTERIOR]])
+SUMIF(CATEGORIAS[[#All],[SUBGRUPO]],A102,CATEGORIAS[[#All],[CAMBIO DE
CATEGORIA
ANTERIOR]])</f>
        <v>2083832</v>
      </c>
      <c r="L102" s="10">
        <f>+SUMIF(CATEGORIAS[[#All],[SUBGRUPO]],A102,CATEGORIAS[[#All],[PROVISIONES
ANTERIOR]])</f>
        <v>0</v>
      </c>
      <c r="M102" s="10">
        <f t="shared" si="121"/>
        <v>2083832</v>
      </c>
      <c r="O102" s="10">
        <f t="shared" si="122"/>
        <v>355500</v>
      </c>
      <c r="P102" s="10">
        <f t="shared" si="123"/>
        <v>0</v>
      </c>
      <c r="Q102" s="10">
        <f t="shared" si="124"/>
        <v>355500</v>
      </c>
    </row>
    <row r="103" spans="1:17" ht="15" hidden="1" customHeight="1" x14ac:dyDescent="0.25">
      <c r="A103" s="14" t="str">
        <f>'Matriz de Produccion'!A103</f>
        <v>1I11</v>
      </c>
      <c r="B103" s="6" t="e">
        <f>VLOOKUP(A103,'Analisis por Categorias'!B:C,2,FALSE)</f>
        <v>#N/A</v>
      </c>
      <c r="D103" s="5">
        <f>SUMIF(CATEGORIAS[[#All],[SUBGRUPO]],A103,CATEGORIAS[[#All],[PRESUPUESTO
(ORIGINAL)]])</f>
        <v>0</v>
      </c>
      <c r="E103" s="5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0</v>
      </c>
      <c r="G103" s="10">
        <f>+SUMIF(CATEGORIAS[[#All],[SUBGRUPO]],A103,CATEGORIAS[[#All],[COSTO
ACUMULADO  AX]])
+SUMIF(CATEGORIAS[[#All],[SUBGRUPO]],A103,CATEGORIAS[[#All],[CAMBIO DE
CATEGORIA]])</f>
        <v>0</v>
      </c>
      <c r="H103" s="10">
        <f>+SUMIF(CATEGORIAS[[#All],[SUBGRUPO]],A103,CATEGORIAS[[#All],[PROVISIONES]])</f>
        <v>0</v>
      </c>
      <c r="I103" s="10">
        <f t="shared" si="120"/>
        <v>0</v>
      </c>
      <c r="K103" s="10">
        <f>+SUMIF(CATEGORIAS[[#All],[SUBGRUPO]],A103,CATEGORIAS[[#All],[COSTO ACUMULADO
ANTERIOR]])
+SUMIF(CATEGORIAS[[#All],[SUBGRUPO]],A103,CATEGORIAS[[#All],[CAMBIO DE
CATEGORIA
ANTERIOR]])</f>
        <v>0</v>
      </c>
      <c r="L103" s="10">
        <f>+SUMIF(CATEGORIAS[[#All],[SUBGRUPO]],A103,CATEGORIAS[[#All],[PROVISIONES
ANTERIOR]])</f>
        <v>0</v>
      </c>
      <c r="M103" s="10">
        <f t="shared" si="121"/>
        <v>0</v>
      </c>
      <c r="O103" s="10">
        <f t="shared" si="122"/>
        <v>0</v>
      </c>
      <c r="P103" s="10">
        <f t="shared" si="123"/>
        <v>0</v>
      </c>
      <c r="Q103" s="10">
        <f t="shared" si="124"/>
        <v>0</v>
      </c>
    </row>
    <row r="104" spans="1:17" ht="15" hidden="1" customHeight="1" x14ac:dyDescent="0.25">
      <c r="A104" s="14" t="str">
        <f>'Matriz de Produccion'!A104</f>
        <v>1I12</v>
      </c>
      <c r="B104" s="6" t="e">
        <f>VLOOKUP(A104,'Analisis por Categorias'!B:C,2,FALSE)</f>
        <v>#N/A</v>
      </c>
      <c r="D104" s="5">
        <f>SUMIF(CATEGORIAS[[#All],[SUBGRUPO]],A104,CATEGORIAS[[#All],[PRESUPUESTO
(ORIGINAL)]])</f>
        <v>0</v>
      </c>
      <c r="E104" s="5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10">
        <f>+SUMIF(CATEGORIAS[[#All],[SUBGRUPO]],A104,CATEGORIAS[[#All],[COSTO
ACUMULADO  AX]])
+SUMIF(CATEGORIAS[[#All],[SUBGRUPO]],A104,CATEGORIAS[[#All],[CAMBIO DE
CATEGORIA]])</f>
        <v>0</v>
      </c>
      <c r="H104" s="10">
        <f>+SUMIF(CATEGORIAS[[#All],[SUBGRUPO]],A104,CATEGORIAS[[#All],[PROVISIONES]])</f>
        <v>0</v>
      </c>
      <c r="I104" s="10">
        <f t="shared" si="120"/>
        <v>0</v>
      </c>
      <c r="K104" s="10">
        <f>+SUMIF(CATEGORIAS[[#All],[SUBGRUPO]],A104,CATEGORIAS[[#All],[COSTO ACUMULADO
ANTERIOR]])
+SUMIF(CATEGORIAS[[#All],[SUBGRUPO]],A104,CATEGORIAS[[#All],[CAMBIO DE
CATEGORIA
ANTERIOR]])</f>
        <v>0</v>
      </c>
      <c r="L104" s="10">
        <f>+SUMIF(CATEGORIAS[[#All],[SUBGRUPO]],A104,CATEGORIAS[[#All],[PROVISIONES
ANTERIOR]])</f>
        <v>0</v>
      </c>
      <c r="M104" s="10">
        <f t="shared" si="121"/>
        <v>0</v>
      </c>
      <c r="O104" s="10">
        <f t="shared" si="122"/>
        <v>0</v>
      </c>
      <c r="P104" s="10">
        <f t="shared" si="123"/>
        <v>0</v>
      </c>
      <c r="Q104" s="10">
        <f t="shared" si="124"/>
        <v>0</v>
      </c>
    </row>
    <row r="105" spans="1:17" ht="15" hidden="1" customHeight="1" x14ac:dyDescent="0.25">
      <c r="A105" s="14" t="str">
        <f>'Matriz de Produccion'!A105</f>
        <v>1I13</v>
      </c>
      <c r="B105" s="6" t="e">
        <f>VLOOKUP(A105,'Analisis por Categorias'!B:C,2,FALSE)</f>
        <v>#N/A</v>
      </c>
      <c r="D105" s="5">
        <f>SUMIF(CATEGORIAS[[#All],[SUBGRUPO]],A105,CATEGORIAS[[#All],[PRESUPUESTO
(ORIGINAL)]])</f>
        <v>0</v>
      </c>
      <c r="E105" s="5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10">
        <f>+SUMIF(CATEGORIAS[[#All],[SUBGRUPO]],A105,CATEGORIAS[[#All],[COSTO
ACUMULADO  AX]])
+SUMIF(CATEGORIAS[[#All],[SUBGRUPO]],A105,CATEGORIAS[[#All],[CAMBIO DE
CATEGORIA]])</f>
        <v>0</v>
      </c>
      <c r="H105" s="10">
        <f>+SUMIF(CATEGORIAS[[#All],[SUBGRUPO]],A105,CATEGORIAS[[#All],[PROVISIONES]])</f>
        <v>0</v>
      </c>
      <c r="I105" s="10">
        <f t="shared" si="120"/>
        <v>0</v>
      </c>
      <c r="K105" s="10">
        <f>+SUMIF(CATEGORIAS[[#All],[SUBGRUPO]],A105,CATEGORIAS[[#All],[COSTO ACUMULADO
ANTERIOR]])
+SUMIF(CATEGORIAS[[#All],[SUBGRUPO]],A105,CATEGORIAS[[#All],[CAMBIO DE
CATEGORIA
ANTERIOR]])</f>
        <v>0</v>
      </c>
      <c r="L105" s="10">
        <f>+SUMIF(CATEGORIAS[[#All],[SUBGRUPO]],A105,CATEGORIAS[[#All],[PROVISIONES
ANTERIOR]])</f>
        <v>0</v>
      </c>
      <c r="M105" s="10">
        <f t="shared" si="121"/>
        <v>0</v>
      </c>
      <c r="O105" s="10">
        <f t="shared" si="122"/>
        <v>0</v>
      </c>
      <c r="P105" s="10">
        <f t="shared" si="123"/>
        <v>0</v>
      </c>
      <c r="Q105" s="10">
        <f t="shared" si="124"/>
        <v>0</v>
      </c>
    </row>
    <row r="106" spans="1:17" ht="15" hidden="1" customHeight="1" x14ac:dyDescent="0.25">
      <c r="A106" s="14" t="str">
        <f>'Matriz de Produccion'!A106</f>
        <v>1I14</v>
      </c>
      <c r="B106" s="6" t="e">
        <f>VLOOKUP(A106,'Analisis por Categorias'!B:C,2,FALSE)</f>
        <v>#N/A</v>
      </c>
      <c r="D106" s="5">
        <f>SUMIF(CATEGORIAS[[#All],[SUBGRUPO]],A106,CATEGORIAS[[#All],[PRESUPUESTO
(ORIGINAL)]])</f>
        <v>0</v>
      </c>
      <c r="E106" s="5">
        <f>+SUMIF(CATEGORIAS[[#All],[SUBGRUPO]],A106,CATEGORIAS[[#All],[PRODUCCION
PARTIDAS
ORIGINALES
ACTUAL]])
+SUMIF(CATEGORIAS[[#All],[SUBGRUPO]],A106,CATEGORIAS[[#All],[PRODUCCION
ADICIONALES
ACTUAL]])
+SUMIF(CATEGORIAS[[#All],[SUBGRUPO]],A106,CATEGORIAS[[#All],[PROYECCION
DE INGRESO
DEL SALDO]])</f>
        <v>0</v>
      </c>
      <c r="G106" s="10">
        <f>+SUMIF(CATEGORIAS[[#All],[SUBGRUPO]],A106,CATEGORIAS[[#All],[COSTO
ACUMULADO  AX]])
+SUMIF(CATEGORIAS[[#All],[SUBGRUPO]],A106,CATEGORIAS[[#All],[CAMBIO DE
CATEGORIA]])</f>
        <v>0</v>
      </c>
      <c r="H106" s="10">
        <f>+SUMIF(CATEGORIAS[[#All],[SUBGRUPO]],A106,CATEGORIAS[[#All],[PROVISIONES]])</f>
        <v>0</v>
      </c>
      <c r="I106" s="10">
        <f t="shared" ref="I106" si="125">G106+H106</f>
        <v>0</v>
      </c>
      <c r="K106" s="10">
        <f>+SUMIF(CATEGORIAS[[#All],[SUBGRUPO]],A106,CATEGORIAS[[#All],[COSTO ACUMULADO
ANTERIOR]])
+SUMIF(CATEGORIAS[[#All],[SUBGRUPO]],A106,CATEGORIAS[[#All],[CAMBIO DE
CATEGORIA
ANTERIOR]])</f>
        <v>0</v>
      </c>
      <c r="L106" s="10">
        <f>+SUMIF(CATEGORIAS[[#All],[SUBGRUPO]],A106,CATEGORIAS[[#All],[PROVISIONES
ANTERIOR]])</f>
        <v>0</v>
      </c>
      <c r="M106" s="10">
        <f t="shared" ref="M106" si="126">K106+L106</f>
        <v>0</v>
      </c>
      <c r="O106" s="10">
        <f t="shared" ref="O106" si="127">G106-K106</f>
        <v>0</v>
      </c>
      <c r="P106" s="10">
        <f t="shared" ref="P106" si="128">H106-L106</f>
        <v>0</v>
      </c>
      <c r="Q106" s="10">
        <f t="shared" ref="Q106" si="129">I106-M106</f>
        <v>0</v>
      </c>
    </row>
    <row r="107" spans="1:17" ht="8.25" customHeight="1" x14ac:dyDescent="0.25"/>
    <row r="108" spans="1:17" ht="14.25" customHeight="1" x14ac:dyDescent="0.25">
      <c r="A108" s="14" t="str">
        <f>'Matriz de Produccion'!A108</f>
        <v>1J00</v>
      </c>
      <c r="B108" s="81" t="s">
        <v>245</v>
      </c>
      <c r="D108" s="82">
        <f>SUM(D109:D111)</f>
        <v>59828637.61628902</v>
      </c>
      <c r="E108" s="82">
        <f>SUM(E109:E111)</f>
        <v>61938096.957085773</v>
      </c>
      <c r="G108" s="84">
        <f>SUM(G109:G111)</f>
        <v>95484351</v>
      </c>
      <c r="H108" s="84">
        <f>SUM(H109:H111)</f>
        <v>1869832</v>
      </c>
      <c r="I108" s="84">
        <f>SUM(I109:I111)</f>
        <v>97354183</v>
      </c>
      <c r="K108" s="84">
        <f>SUM(K109:K111)</f>
        <v>95756993</v>
      </c>
      <c r="L108" s="84">
        <f>SUM(L109:L111)</f>
        <v>2400967</v>
      </c>
      <c r="M108" s="84">
        <f>SUM(M109:M111)</f>
        <v>98157960</v>
      </c>
      <c r="O108" s="84">
        <f>SUM(O109:O111)</f>
        <v>-272642</v>
      </c>
      <c r="P108" s="84">
        <f>SUM(P109:P111)</f>
        <v>-531135</v>
      </c>
      <c r="Q108" s="84">
        <f>SUM(Q109:Q111)</f>
        <v>-803777</v>
      </c>
    </row>
    <row r="109" spans="1:17" ht="15" customHeight="1" x14ac:dyDescent="0.25">
      <c r="A109" s="14" t="str">
        <f>'Matriz de Produccion'!A109</f>
        <v>1J01</v>
      </c>
      <c r="B109" s="6" t="str">
        <f>VLOOKUP(A109,'Analisis por Categorias'!B:C,2,FALSE)</f>
        <v>Boleta Garantia</v>
      </c>
      <c r="D109" s="5">
        <f>SUMIF(CATEGORIAS[[#All],[SUBGRUPO]],A109,CATEGORIAS[[#All],[PRESUPUESTO
(ORIGINAL)]])</f>
        <v>12191666.666902319</v>
      </c>
      <c r="E109" s="5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12621524.776162468</v>
      </c>
      <c r="G109" s="10">
        <f>+SUMIF(CATEGORIAS[[#All],[SUBGRUPO]],A109,CATEGORIAS[[#All],[COSTO
ACUMULADO  AX]])
+SUMIF(CATEGORIAS[[#All],[SUBGRUPO]],A109,CATEGORIAS[[#All],[CAMBIO DE
CATEGORIA]])</f>
        <v>10424583</v>
      </c>
      <c r="H109" s="10">
        <f>+SUMIF(CATEGORIAS[[#All],[SUBGRUPO]],A109,CATEGORIAS[[#All],[PROVISIONES]])</f>
        <v>0</v>
      </c>
      <c r="I109" s="10">
        <f>G109+H109</f>
        <v>10424583</v>
      </c>
      <c r="K109" s="10">
        <f>+SUMIF(CATEGORIAS[[#All],[SUBGRUPO]],A109,CATEGORIAS[[#All],[COSTO ACUMULADO
ANTERIOR]])
+SUMIF(CATEGORIAS[[#All],[SUBGRUPO]],A109,CATEGORIAS[[#All],[CAMBIO DE
CATEGORIA
ANTERIOR]])</f>
        <v>10424583</v>
      </c>
      <c r="L109" s="10">
        <f>+SUMIF(CATEGORIAS[[#All],[SUBGRUPO]],A109,CATEGORIAS[[#All],[PROVISIONES
ANTERIOR]])</f>
        <v>0</v>
      </c>
      <c r="M109" s="10">
        <f>K109+L109</f>
        <v>10424583</v>
      </c>
      <c r="O109" s="10">
        <f t="shared" ref="O109:Q110" si="130">G109-K109</f>
        <v>0</v>
      </c>
      <c r="P109" s="10">
        <f t="shared" si="130"/>
        <v>0</v>
      </c>
      <c r="Q109" s="10">
        <f t="shared" si="130"/>
        <v>0</v>
      </c>
    </row>
    <row r="110" spans="1:17" ht="15" customHeight="1" x14ac:dyDescent="0.25">
      <c r="A110" s="14" t="str">
        <f>'Matriz de Produccion'!A110</f>
        <v>1J02</v>
      </c>
      <c r="B110" s="6" t="str">
        <f>VLOOKUP(A110,'Analisis por Categorias'!B:C,2,FALSE)</f>
        <v>Gastos por Seguros</v>
      </c>
      <c r="D110" s="5">
        <f>SUMIF(CATEGORIAS[[#All],[SUBGRUPO]],A110,CATEGORIAS[[#All],[PRESUPUESTO
(ORIGINAL)]])</f>
        <v>39324470.949226037</v>
      </c>
      <c r="E110" s="5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40710987.103928268</v>
      </c>
      <c r="G110" s="10">
        <f>+SUMIF(CATEGORIAS[[#All],[SUBGRUPO]],A110,CATEGORIAS[[#All],[COSTO
ACUMULADO  AX]])
+SUMIF(CATEGORIAS[[#All],[SUBGRUPO]],A110,CATEGORIAS[[#All],[CAMBIO DE
CATEGORIA]])</f>
        <v>42161778</v>
      </c>
      <c r="H110" s="10">
        <f>+SUMIF(CATEGORIAS[[#All],[SUBGRUPO]],A110,CATEGORIAS[[#All],[PROVISIONES]])</f>
        <v>1869832</v>
      </c>
      <c r="I110" s="10">
        <f>G110+H110</f>
        <v>44031610</v>
      </c>
      <c r="K110" s="10">
        <f>+SUMIF(CATEGORIAS[[#All],[SUBGRUPO]],A110,CATEGORIAS[[#All],[COSTO ACUMULADO
ANTERIOR]])
+SUMIF(CATEGORIAS[[#All],[SUBGRUPO]],A110,CATEGORIAS[[#All],[CAMBIO DE
CATEGORIA
ANTERIOR]])</f>
        <v>42475051</v>
      </c>
      <c r="L110" s="10">
        <f>+SUMIF(CATEGORIAS[[#All],[SUBGRUPO]],A110,CATEGORIAS[[#All],[PROVISIONES
ANTERIOR]])</f>
        <v>2400967</v>
      </c>
      <c r="M110" s="10">
        <f>K110+L110</f>
        <v>44876018</v>
      </c>
      <c r="O110" s="10">
        <f t="shared" si="130"/>
        <v>-313273</v>
      </c>
      <c r="P110" s="10">
        <f t="shared" si="130"/>
        <v>-531135</v>
      </c>
      <c r="Q110" s="10">
        <f t="shared" si="130"/>
        <v>-844408</v>
      </c>
    </row>
    <row r="111" spans="1:17" ht="15" customHeight="1" x14ac:dyDescent="0.25">
      <c r="A111" s="14" t="str">
        <f>'Matriz de Produccion'!A111</f>
        <v>1J03</v>
      </c>
      <c r="B111" s="6" t="str">
        <f>VLOOKUP(A111,'Analisis por Categorias'!B:C,2,FALSE)</f>
        <v>Costos Financieros</v>
      </c>
      <c r="D111" s="5">
        <f>SUMIF(CATEGORIAS[[#All],[SUBGRUPO]],A111,CATEGORIAS[[#All],[PRESUPUESTO
(ORIGINAL)]])</f>
        <v>8312500.000160668</v>
      </c>
      <c r="E111" s="5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8605585.0769950356</v>
      </c>
      <c r="G111" s="10">
        <f>+SUMIF(CATEGORIAS[[#All],[SUBGRUPO]],A111,CATEGORIAS[[#All],[COSTO
ACUMULADO  AX]])
+SUMIF(CATEGORIAS[[#All],[SUBGRUPO]],A111,CATEGORIAS[[#All],[CAMBIO DE
CATEGORIA]])</f>
        <v>42897990</v>
      </c>
      <c r="H111" s="10">
        <f>+SUMIF(CATEGORIAS[[#All],[SUBGRUPO]],A111,CATEGORIAS[[#All],[PROVISIONES]])</f>
        <v>0</v>
      </c>
      <c r="I111" s="10">
        <f>G111+H111</f>
        <v>42897990</v>
      </c>
      <c r="K111" s="10">
        <f>+SUMIF(CATEGORIAS[[#All],[SUBGRUPO]],A111,CATEGORIAS[[#All],[COSTO ACUMULADO
ANTERIOR]])
+SUMIF(CATEGORIAS[[#All],[SUBGRUPO]],A111,CATEGORIAS[[#All],[CAMBIO DE
CATEGORIA
ANTERIOR]])</f>
        <v>42857359</v>
      </c>
      <c r="L111" s="10">
        <f>+SUMIF(CATEGORIAS[[#All],[SUBGRUPO]],A111,CATEGORIAS[[#All],[PROVISIONES
ANTERIOR]])</f>
        <v>0</v>
      </c>
      <c r="M111" s="10">
        <f>K111+L111</f>
        <v>42857359</v>
      </c>
      <c r="O111" s="10">
        <f t="shared" ref="O111" si="131">G111-K111</f>
        <v>40631</v>
      </c>
      <c r="P111" s="10">
        <f t="shared" ref="P111" si="132">H111-L111</f>
        <v>0</v>
      </c>
      <c r="Q111" s="10">
        <f t="shared" ref="Q111" si="133">I111-M111</f>
        <v>40631</v>
      </c>
    </row>
    <row r="112" spans="1:17" ht="8.25" customHeight="1" x14ac:dyDescent="0.25"/>
    <row r="113" spans="1:17" ht="13.5" customHeight="1" x14ac:dyDescent="0.25">
      <c r="A113" s="14" t="str">
        <f>'Matriz de Produccion'!A113</f>
        <v>1K00</v>
      </c>
      <c r="B113" s="81" t="s">
        <v>249</v>
      </c>
      <c r="D113" s="82">
        <f>SUM(D114:D116)</f>
        <v>380000000.0073449</v>
      </c>
      <c r="E113" s="82">
        <f>SUM(E114:E116)</f>
        <v>380000000.0073449</v>
      </c>
      <c r="G113" s="84">
        <f>SUM(G114:G116)</f>
        <v>380000000.0073449</v>
      </c>
      <c r="H113" s="84">
        <f>SUM(H114:H116)</f>
        <v>0</v>
      </c>
      <c r="I113" s="84">
        <f>SUM(I114:I116)</f>
        <v>380000000.0073449</v>
      </c>
      <c r="K113" s="84">
        <f>SUM(K114:K116)</f>
        <v>380000000.0073449</v>
      </c>
      <c r="L113" s="84">
        <f>SUM(L114:L116)</f>
        <v>0</v>
      </c>
      <c r="M113" s="84">
        <f>SUM(M114:M116)</f>
        <v>380000000.0073449</v>
      </c>
      <c r="O113" s="84">
        <f>SUM(O114:O116)</f>
        <v>0</v>
      </c>
      <c r="P113" s="84">
        <f>SUM(P114:P116)</f>
        <v>0</v>
      </c>
      <c r="Q113" s="84">
        <f>SUM(Q114:Q116)</f>
        <v>0</v>
      </c>
    </row>
    <row r="114" spans="1:17" ht="15" customHeight="1" x14ac:dyDescent="0.25">
      <c r="A114" s="14" t="str">
        <f>'Matriz de Produccion'!A114</f>
        <v>1K01</v>
      </c>
      <c r="B114" s="6" t="str">
        <f>VLOOKUP(A114,'Analisis por Categorias'!B:C,2,FALSE)</f>
        <v>Oficina Central</v>
      </c>
      <c r="D114" s="5">
        <f>SUMIF(CATEGORIAS[[#All],[SUBGRUPO]],A114,CATEGORIAS[[#All],[PRESUPUESTO
(ORIGINAL)]])</f>
        <v>190000000.00367245</v>
      </c>
      <c r="E114" s="5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190000000.00367245</v>
      </c>
      <c r="G114" s="10">
        <f>+SUMIF(CATEGORIAS[[#All],[SUBGRUPO]],A114,CATEGORIAS[[#All],[COSTO
ACUMULADO  AX]])
+SUMIF(CATEGORIAS[[#All],[SUBGRUPO]],A114,CATEGORIAS[[#All],[CAMBIO DE
CATEGORIA]])</f>
        <v>190000000.00367245</v>
      </c>
      <c r="H114" s="10">
        <f>+SUMIF(CATEGORIAS[[#All],[SUBGRUPO]],A114,CATEGORIAS[[#All],[PROVISIONES]])</f>
        <v>0</v>
      </c>
      <c r="I114" s="10">
        <f>G114+H114</f>
        <v>190000000.00367245</v>
      </c>
      <c r="K114" s="10">
        <f>+SUMIF(CATEGORIAS[[#All],[SUBGRUPO]],A114,CATEGORIAS[[#All],[COSTO ACUMULADO
ANTERIOR]])
+SUMIF(CATEGORIAS[[#All],[SUBGRUPO]],A114,CATEGORIAS[[#All],[CAMBIO DE
CATEGORIA
ANTERIOR]])</f>
        <v>190000000.00367245</v>
      </c>
      <c r="L114" s="10">
        <f>+SUMIF(CATEGORIAS[[#All],[SUBGRUPO]],A114,CATEGORIAS[[#All],[PROVISIONES
ANTERIOR]])</f>
        <v>0</v>
      </c>
      <c r="M114" s="10">
        <f>K114+L114</f>
        <v>190000000.00367245</v>
      </c>
      <c r="O114" s="10">
        <f t="shared" ref="O114:Q116" si="134">G114-K114</f>
        <v>0</v>
      </c>
      <c r="P114" s="10">
        <f t="shared" si="134"/>
        <v>0</v>
      </c>
      <c r="Q114" s="10">
        <f t="shared" si="134"/>
        <v>0</v>
      </c>
    </row>
    <row r="115" spans="1:17" ht="15" customHeight="1" x14ac:dyDescent="0.25">
      <c r="A115" s="14" t="str">
        <f>'Matriz de Produccion'!A115</f>
        <v>1K02</v>
      </c>
      <c r="B115" s="6" t="str">
        <f>VLOOKUP(A115,'Analisis por Categorias'!B:C,2,FALSE)</f>
        <v>Imprevistos</v>
      </c>
      <c r="D115" s="5">
        <f>SUMIF(CATEGORIAS[[#All],[SUBGRUPO]],A115,CATEGORIAS[[#All],[PRESUPUESTO
(ORIGINAL)]])</f>
        <v>47500000.000918113</v>
      </c>
      <c r="E115" s="5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47500000.000918113</v>
      </c>
      <c r="G115" s="10">
        <f>+SUMIF(CATEGORIAS[[#All],[SUBGRUPO]],A115,CATEGORIAS[[#All],[COSTO
ACUMULADO  AX]])
+SUMIF(CATEGORIAS[[#All],[SUBGRUPO]],A115,CATEGORIAS[[#All],[CAMBIO DE
CATEGORIA]])</f>
        <v>47500000.000918113</v>
      </c>
      <c r="H115" s="10">
        <f>+SUMIF(CATEGORIAS[[#All],[SUBGRUPO]],A115,CATEGORIAS[[#All],[PROVISIONES]])</f>
        <v>0</v>
      </c>
      <c r="I115" s="10">
        <f>G115+H115</f>
        <v>47500000.000918113</v>
      </c>
      <c r="K115" s="10">
        <f>+SUMIF(CATEGORIAS[[#All],[SUBGRUPO]],A115,CATEGORIAS[[#All],[COSTO ACUMULADO
ANTERIOR]])
+SUMIF(CATEGORIAS[[#All],[SUBGRUPO]],A115,CATEGORIAS[[#All],[CAMBIO DE
CATEGORIA
ANTERIOR]])</f>
        <v>47500000.000918113</v>
      </c>
      <c r="L115" s="10">
        <f>+SUMIF(CATEGORIAS[[#All],[SUBGRUPO]],A115,CATEGORIAS[[#All],[PROVISIONES
ANTERIOR]])</f>
        <v>0</v>
      </c>
      <c r="M115" s="88">
        <f>K115+L115</f>
        <v>47500000.000918113</v>
      </c>
      <c r="O115" s="88">
        <f t="shared" si="134"/>
        <v>0</v>
      </c>
      <c r="P115" s="88">
        <f t="shared" si="134"/>
        <v>0</v>
      </c>
      <c r="Q115" s="88">
        <f t="shared" si="134"/>
        <v>0</v>
      </c>
    </row>
    <row r="116" spans="1:17" ht="15" customHeight="1" x14ac:dyDescent="0.25">
      <c r="A116" s="14" t="str">
        <f>'Matriz de Produccion'!A116</f>
        <v>1K03</v>
      </c>
      <c r="B116" s="6" t="str">
        <f>VLOOKUP(A116,'Analisis por Categorias'!B:C,2,FALSE)</f>
        <v>Utilidades</v>
      </c>
      <c r="D116" s="5">
        <f>SUMIF(CATEGORIAS[[#All],[SUBGRUPO]],A116,CATEGORIAS[[#All],[PRESUPUESTO
(ORIGINAL)]])</f>
        <v>142500000.00275433</v>
      </c>
      <c r="E116" s="5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142500000.00275433</v>
      </c>
      <c r="G116" s="10">
        <f>+SUMIF(CATEGORIAS[[#All],[SUBGRUPO]],A116,CATEGORIAS[[#All],[COSTO
ACUMULADO  AX]])
+SUMIF(CATEGORIAS[[#All],[SUBGRUPO]],A116,CATEGORIAS[[#All],[CAMBIO DE
CATEGORIA]])</f>
        <v>142500000.00275433</v>
      </c>
      <c r="H116" s="10">
        <f>+SUMIF(CATEGORIAS[[#All],[SUBGRUPO]],A116,CATEGORIAS[[#All],[PROVISIONES]])</f>
        <v>0</v>
      </c>
      <c r="I116" s="10">
        <f>G116+H116</f>
        <v>142500000.00275433</v>
      </c>
      <c r="K116" s="10">
        <f>+SUMIF(CATEGORIAS[[#All],[SUBGRUPO]],A116,CATEGORIAS[[#All],[COSTO ACUMULADO
ANTERIOR]])
+SUMIF(CATEGORIAS[[#All],[SUBGRUPO]],A116,CATEGORIAS[[#All],[CAMBIO DE
CATEGORIA
ANTERIOR]])</f>
        <v>142500000.00275433</v>
      </c>
      <c r="L116" s="10">
        <f>+SUMIF(CATEGORIAS[[#All],[SUBGRUPO]],A116,CATEGORIAS[[#All],[PROVISIONES
ANTERIOR]])</f>
        <v>0</v>
      </c>
      <c r="M116" s="10">
        <f>K116+L116</f>
        <v>142500000.00275433</v>
      </c>
      <c r="O116" s="10">
        <f t="shared" si="134"/>
        <v>0</v>
      </c>
      <c r="P116" s="10">
        <f t="shared" si="134"/>
        <v>0</v>
      </c>
      <c r="Q116" s="10">
        <f t="shared" si="134"/>
        <v>0</v>
      </c>
    </row>
    <row r="117" spans="1:17" ht="8.25" customHeight="1" x14ac:dyDescent="0.25"/>
    <row r="118" spans="1:17" x14ac:dyDescent="0.25">
      <c r="B118" s="7" t="s">
        <v>250</v>
      </c>
      <c r="D118" s="4">
        <f>SUM(D119:D129)</f>
        <v>4750000000.2055159</v>
      </c>
      <c r="E118" s="4">
        <f>SUM(E119:E129)</f>
        <v>6013966118.1520185</v>
      </c>
      <c r="G118" s="9">
        <f>SUM(G119:G129)</f>
        <v>5598112754.5761805</v>
      </c>
      <c r="H118" s="9">
        <f>SUM(H119:H129)</f>
        <v>25727542.342666667</v>
      </c>
      <c r="I118" s="9">
        <f>SUM(I119:I129)</f>
        <v>5623840296.9188471</v>
      </c>
      <c r="K118" s="9">
        <f>SUM(K119:K129)</f>
        <v>5416266799.5761814</v>
      </c>
      <c r="L118" s="9">
        <f>SUM(L119:L129)</f>
        <v>165917602.52266666</v>
      </c>
      <c r="M118" s="9">
        <f>SUM(M119:M129)</f>
        <v>5582184402.0988474</v>
      </c>
      <c r="O118" s="9">
        <f>SUM(O119:O129)</f>
        <v>181845955</v>
      </c>
      <c r="P118" s="9">
        <f>SUM(P119:P129)</f>
        <v>-140190060.18000001</v>
      </c>
      <c r="Q118" s="9">
        <f>SUM(Q119:Q129)</f>
        <v>41655894.819999985</v>
      </c>
    </row>
    <row r="119" spans="1:17" x14ac:dyDescent="0.25">
      <c r="A119" s="14" t="str">
        <f>'Matriz de Produccion'!A119</f>
        <v>0A00</v>
      </c>
      <c r="B119" s="81" t="s">
        <v>185</v>
      </c>
      <c r="D119" s="89">
        <f>D9</f>
        <v>989503980.44566989</v>
      </c>
      <c r="E119" s="89">
        <f>E9</f>
        <v>1239884575.233088</v>
      </c>
      <c r="G119" s="85">
        <f>G9</f>
        <v>1021487689</v>
      </c>
      <c r="H119" s="85">
        <f>H9</f>
        <v>0</v>
      </c>
      <c r="I119" s="88">
        <f t="shared" ref="I119:I129" si="135">G119+H119</f>
        <v>1021487689</v>
      </c>
      <c r="K119" s="88">
        <f>K9</f>
        <v>1021487689</v>
      </c>
      <c r="L119" s="90">
        <f>L9</f>
        <v>0</v>
      </c>
      <c r="M119" s="88">
        <f>K119+L119</f>
        <v>1021487689</v>
      </c>
      <c r="O119" s="88">
        <f>O9</f>
        <v>0</v>
      </c>
      <c r="P119" s="88">
        <f>P9</f>
        <v>0</v>
      </c>
      <c r="Q119" s="88">
        <f t="shared" ref="Q119:Q129" si="136">O119+P119</f>
        <v>0</v>
      </c>
    </row>
    <row r="120" spans="1:17" x14ac:dyDescent="0.25">
      <c r="A120" s="14" t="str">
        <f>'Matriz de Produccion'!A120</f>
        <v>0B00</v>
      </c>
      <c r="B120" s="81" t="s">
        <v>196</v>
      </c>
      <c r="D120" s="89">
        <f>D19</f>
        <v>654136807.94229996</v>
      </c>
      <c r="E120" s="89">
        <f>E19</f>
        <v>679183187.46936965</v>
      </c>
      <c r="G120" s="85">
        <f>G19</f>
        <v>890081299</v>
      </c>
      <c r="H120" s="85">
        <f>H19</f>
        <v>1073940</v>
      </c>
      <c r="I120" s="88">
        <f t="shared" si="135"/>
        <v>891155239</v>
      </c>
      <c r="K120" s="88">
        <f>K19</f>
        <v>859459267</v>
      </c>
      <c r="L120" s="90">
        <f>L19</f>
        <v>6974175</v>
      </c>
      <c r="M120" s="88">
        <f t="shared" ref="M120:M129" si="137">K120+L120</f>
        <v>866433442</v>
      </c>
      <c r="O120" s="88">
        <f>O19</f>
        <v>30622032</v>
      </c>
      <c r="P120" s="88">
        <f>P19</f>
        <v>-5900235</v>
      </c>
      <c r="Q120" s="88">
        <f t="shared" si="136"/>
        <v>24721797</v>
      </c>
    </row>
    <row r="121" spans="1:17" x14ac:dyDescent="0.25">
      <c r="A121" s="14" t="str">
        <f>'Matriz de Produccion'!A121</f>
        <v>0C00</v>
      </c>
      <c r="B121" s="81" t="s">
        <v>201</v>
      </c>
      <c r="D121" s="89">
        <f>D30</f>
        <v>438661457.75153172</v>
      </c>
      <c r="E121" s="89">
        <f>E30</f>
        <v>495177817.53729898</v>
      </c>
      <c r="G121" s="85">
        <f>G30</f>
        <v>624710131.99974489</v>
      </c>
      <c r="H121" s="85">
        <f>H30</f>
        <v>2670636</v>
      </c>
      <c r="I121" s="88">
        <f t="shared" si="135"/>
        <v>627380767.99974489</v>
      </c>
      <c r="K121" s="88">
        <f>K30</f>
        <v>555927815.79974496</v>
      </c>
      <c r="L121" s="90">
        <f>L30</f>
        <v>58990823.200000003</v>
      </c>
      <c r="M121" s="88">
        <f t="shared" si="137"/>
        <v>614918638.99974501</v>
      </c>
      <c r="O121" s="88">
        <f>O30</f>
        <v>68782316.199999988</v>
      </c>
      <c r="P121" s="88">
        <f>P30</f>
        <v>-56320187.200000003</v>
      </c>
      <c r="Q121" s="88">
        <f>O121+P121</f>
        <v>12462128.999999985</v>
      </c>
    </row>
    <row r="122" spans="1:17" x14ac:dyDescent="0.25">
      <c r="A122" s="14" t="str">
        <f>'Matriz de Produccion'!A122</f>
        <v>0D00</v>
      </c>
      <c r="B122" s="81" t="s">
        <v>206</v>
      </c>
      <c r="D122" s="89">
        <f>D38</f>
        <v>825206144.46633112</v>
      </c>
      <c r="E122" s="89">
        <f>E38</f>
        <v>1005746952.9262139</v>
      </c>
      <c r="G122" s="85">
        <f>G38</f>
        <v>718781787.34471464</v>
      </c>
      <c r="H122" s="85">
        <f>H38</f>
        <v>-155584</v>
      </c>
      <c r="I122" s="88">
        <f t="shared" si="135"/>
        <v>718626203.34471464</v>
      </c>
      <c r="K122" s="88">
        <f>K38</f>
        <v>697557046.34471464</v>
      </c>
      <c r="L122" s="90">
        <f>L38</f>
        <v>26570388</v>
      </c>
      <c r="M122" s="88">
        <f t="shared" si="137"/>
        <v>724127434.34471464</v>
      </c>
      <c r="O122" s="88">
        <f>O38</f>
        <v>21224741</v>
      </c>
      <c r="P122" s="88">
        <f>P38</f>
        <v>-26725972</v>
      </c>
      <c r="Q122" s="88">
        <f t="shared" si="136"/>
        <v>-5501231</v>
      </c>
    </row>
    <row r="123" spans="1:17" x14ac:dyDescent="0.25">
      <c r="A123" s="14" t="str">
        <f>'Matriz de Produccion'!A123</f>
        <v>0X00</v>
      </c>
      <c r="B123" s="81" t="s">
        <v>212</v>
      </c>
      <c r="D123" s="89">
        <f>D49</f>
        <v>110221472.6512</v>
      </c>
      <c r="E123" s="89">
        <f>E49</f>
        <v>238680817.17854521</v>
      </c>
      <c r="G123" s="85">
        <f>G49</f>
        <v>180846551</v>
      </c>
      <c r="H123" s="85">
        <f>H49</f>
        <v>7111366.342666666</v>
      </c>
      <c r="I123" s="88">
        <f t="shared" si="135"/>
        <v>187957917.34266666</v>
      </c>
      <c r="K123" s="88">
        <f>K49</f>
        <v>166489755</v>
      </c>
      <c r="L123" s="90">
        <f>L49</f>
        <v>18132622.342666667</v>
      </c>
      <c r="M123" s="88">
        <f t="shared" si="137"/>
        <v>184622377.34266666</v>
      </c>
      <c r="O123" s="88">
        <f>O49</f>
        <v>14356796</v>
      </c>
      <c r="P123" s="88">
        <f>P49</f>
        <v>-11021256</v>
      </c>
      <c r="Q123" s="88">
        <f t="shared" si="136"/>
        <v>3335540</v>
      </c>
    </row>
    <row r="124" spans="1:17" x14ac:dyDescent="0.25">
      <c r="A124" s="14" t="str">
        <f>'Matriz de Produccion'!A124</f>
        <v>1F00</v>
      </c>
      <c r="B124" s="81" t="s">
        <v>221</v>
      </c>
      <c r="D124" s="89">
        <f>D59</f>
        <v>849346597.24778163</v>
      </c>
      <c r="E124" s="89">
        <f>E59</f>
        <v>1307317730.5885222</v>
      </c>
      <c r="G124" s="85">
        <f>G59</f>
        <v>1289015809.924376</v>
      </c>
      <c r="H124" s="85">
        <f>H59</f>
        <v>0</v>
      </c>
      <c r="I124" s="88">
        <f t="shared" si="135"/>
        <v>1289015809.924376</v>
      </c>
      <c r="K124" s="88">
        <f>K59</f>
        <v>1253146733.924376</v>
      </c>
      <c r="L124" s="90">
        <f>L59</f>
        <v>2473412</v>
      </c>
      <c r="M124" s="88">
        <f t="shared" si="137"/>
        <v>1255620145.924376</v>
      </c>
      <c r="O124" s="88">
        <f>O59</f>
        <v>35869076</v>
      </c>
      <c r="P124" s="88">
        <f>P59</f>
        <v>-2473412</v>
      </c>
      <c r="Q124" s="88">
        <f t="shared" si="136"/>
        <v>33395664</v>
      </c>
    </row>
    <row r="125" spans="1:17" x14ac:dyDescent="0.25">
      <c r="A125" s="14" t="str">
        <f>'Matriz de Produccion'!A125</f>
        <v>1G00</v>
      </c>
      <c r="B125" s="81" t="s">
        <v>223</v>
      </c>
      <c r="D125" s="89">
        <f>D73</f>
        <v>112795628.36</v>
      </c>
      <c r="E125" s="89">
        <f>E73</f>
        <v>161450051.27994096</v>
      </c>
      <c r="G125" s="85">
        <f>G73</f>
        <v>123342659.3</v>
      </c>
      <c r="H125" s="85">
        <f>H73</f>
        <v>8064635</v>
      </c>
      <c r="I125" s="88">
        <f t="shared" si="135"/>
        <v>131407294.3</v>
      </c>
      <c r="K125" s="88">
        <f>K73</f>
        <v>115783053.5</v>
      </c>
      <c r="L125" s="90">
        <f>L73</f>
        <v>12810735.800000001</v>
      </c>
      <c r="M125" s="88">
        <f t="shared" si="137"/>
        <v>128593789.3</v>
      </c>
      <c r="O125" s="88">
        <f>O73</f>
        <v>7559605.8000000007</v>
      </c>
      <c r="P125" s="88">
        <f>P73</f>
        <v>-4746100.8000000007</v>
      </c>
      <c r="Q125" s="88">
        <f t="shared" si="136"/>
        <v>2813505</v>
      </c>
    </row>
    <row r="126" spans="1:17" x14ac:dyDescent="0.25">
      <c r="A126" s="14" t="str">
        <f>'Matriz de Produccion'!A126</f>
        <v>1H00</v>
      </c>
      <c r="B126" s="81" t="s">
        <v>228</v>
      </c>
      <c r="D126" s="89">
        <f>D79</f>
        <v>135754532.50963384</v>
      </c>
      <c r="E126" s="89">
        <f>E79</f>
        <v>196838271.17832854</v>
      </c>
      <c r="G126" s="85">
        <f>G79</f>
        <v>103224911</v>
      </c>
      <c r="H126" s="85">
        <f>H79</f>
        <v>1649016</v>
      </c>
      <c r="I126" s="88">
        <f t="shared" si="135"/>
        <v>104873927</v>
      </c>
      <c r="K126" s="88">
        <f>K79</f>
        <v>111685100</v>
      </c>
      <c r="L126" s="90">
        <f>L79</f>
        <v>28851475.18</v>
      </c>
      <c r="M126" s="88">
        <f t="shared" si="137"/>
        <v>140536575.18000001</v>
      </c>
      <c r="O126" s="88">
        <f>O79</f>
        <v>-8460189</v>
      </c>
      <c r="P126" s="88">
        <f>P79</f>
        <v>-27202459.18</v>
      </c>
      <c r="Q126" s="88">
        <f t="shared" si="136"/>
        <v>-35662648.18</v>
      </c>
    </row>
    <row r="127" spans="1:17" x14ac:dyDescent="0.25">
      <c r="A127" s="14" t="str">
        <f>'Matriz de Produccion'!A127</f>
        <v>1I00</v>
      </c>
      <c r="B127" s="81" t="s">
        <v>237</v>
      </c>
      <c r="D127" s="89">
        <f>D92</f>
        <v>194544741.2074329</v>
      </c>
      <c r="E127" s="89">
        <f>E92</f>
        <v>247748617.79628068</v>
      </c>
      <c r="G127" s="85">
        <f>G92</f>
        <v>171137565</v>
      </c>
      <c r="H127" s="85">
        <f>H92</f>
        <v>3443701</v>
      </c>
      <c r="I127" s="88">
        <f t="shared" si="135"/>
        <v>174581266</v>
      </c>
      <c r="K127" s="88">
        <f>K92</f>
        <v>158973346</v>
      </c>
      <c r="L127" s="90">
        <f>L92</f>
        <v>8713004</v>
      </c>
      <c r="M127" s="88">
        <f t="shared" si="137"/>
        <v>167686350</v>
      </c>
      <c r="O127" s="88">
        <f>O92</f>
        <v>12164219</v>
      </c>
      <c r="P127" s="88">
        <f>P92</f>
        <v>-5269303</v>
      </c>
      <c r="Q127" s="88">
        <f t="shared" si="136"/>
        <v>6894916</v>
      </c>
    </row>
    <row r="128" spans="1:17" ht="15" customHeight="1" x14ac:dyDescent="0.25">
      <c r="A128" s="14" t="str">
        <f>'Matriz de Produccion'!A128</f>
        <v>1J00</v>
      </c>
      <c r="B128" s="81" t="s">
        <v>245</v>
      </c>
      <c r="D128" s="89">
        <f>D108</f>
        <v>59828637.61628902</v>
      </c>
      <c r="E128" s="89">
        <f>E108</f>
        <v>61938096.957085773</v>
      </c>
      <c r="F128" s="89"/>
      <c r="G128" s="89">
        <f>G108</f>
        <v>95484351</v>
      </c>
      <c r="H128" s="85">
        <f>H108</f>
        <v>1869832</v>
      </c>
      <c r="I128" s="88">
        <f t="shared" si="135"/>
        <v>97354183</v>
      </c>
      <c r="K128" s="88">
        <f>K108</f>
        <v>95756993</v>
      </c>
      <c r="L128" s="88">
        <f>L108</f>
        <v>2400967</v>
      </c>
      <c r="M128" s="88">
        <f t="shared" si="137"/>
        <v>98157960</v>
      </c>
      <c r="O128" s="88">
        <f>O108</f>
        <v>-272642</v>
      </c>
      <c r="P128" s="88">
        <f>P108</f>
        <v>-531135</v>
      </c>
      <c r="Q128" s="88">
        <f t="shared" si="136"/>
        <v>-803777</v>
      </c>
    </row>
    <row r="129" spans="1:17" ht="15" customHeight="1" x14ac:dyDescent="0.25">
      <c r="A129" s="14" t="str">
        <f>A113</f>
        <v>1K00</v>
      </c>
      <c r="B129" s="81" t="s">
        <v>249</v>
      </c>
      <c r="D129" s="89">
        <f>D113</f>
        <v>380000000.0073449</v>
      </c>
      <c r="E129" s="89">
        <f>E113</f>
        <v>380000000.0073449</v>
      </c>
      <c r="F129" s="89"/>
      <c r="G129" s="89">
        <f>G113</f>
        <v>380000000.0073449</v>
      </c>
      <c r="H129" s="89">
        <f>H113</f>
        <v>0</v>
      </c>
      <c r="I129" s="88">
        <f t="shared" si="135"/>
        <v>380000000.0073449</v>
      </c>
      <c r="K129" s="89">
        <f>K113</f>
        <v>380000000.0073449</v>
      </c>
      <c r="L129" s="89">
        <f>L113</f>
        <v>0</v>
      </c>
      <c r="M129" s="88">
        <f t="shared" si="137"/>
        <v>380000000.0073449</v>
      </c>
      <c r="O129" s="89">
        <f>O113</f>
        <v>0</v>
      </c>
      <c r="P129" s="89">
        <f>P113</f>
        <v>0</v>
      </c>
      <c r="Q129" s="88">
        <f t="shared" si="136"/>
        <v>0</v>
      </c>
    </row>
    <row r="130" spans="1:17" s="125" customFormat="1" x14ac:dyDescent="0.25">
      <c r="I130" s="129"/>
    </row>
  </sheetData>
  <sheetProtection selectLockedCells="1" autoFilter="0" selectUnlockedCells="1"/>
  <mergeCells count="8">
    <mergeCell ref="G4:I4"/>
    <mergeCell ref="K4:M4"/>
    <mergeCell ref="O4:Q4"/>
    <mergeCell ref="G1:M1"/>
    <mergeCell ref="B1:D1"/>
    <mergeCell ref="O1:Q1"/>
    <mergeCell ref="G2:M2"/>
    <mergeCell ref="O2:P2"/>
  </mergeCells>
  <pageMargins left="0.70866141732283472" right="0.70866141732283472" top="0.74803149606299213" bottom="0.74803149606299213" header="0.31496062992125984" footer="0.31496062992125984"/>
  <pageSetup scale="35" fitToHeight="0" orientation="landscape" r:id="rId1"/>
  <rowBreaks count="2" manualBreakCount="2">
    <brk id="56" max="16383" man="1"/>
    <brk id="117" max="16383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Q144"/>
  <sheetViews>
    <sheetView zoomScale="85" zoomScaleNormal="85" workbookViewId="0">
      <pane xSplit="5" ySplit="5" topLeftCell="F111" activePane="bottomRight" state="frozenSplit"/>
      <selection activeCell="R21" sqref="R21"/>
      <selection pane="topRight" activeCell="R21" sqref="R21"/>
      <selection pane="bottomLeft" activeCell="R21" sqref="R21"/>
      <selection pane="bottomRight" activeCell="H88" sqref="H88"/>
    </sheetView>
  </sheetViews>
  <sheetFormatPr baseColWidth="10" defaultColWidth="11.42578125" defaultRowHeight="15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7109375" style="14" customWidth="1"/>
    <col min="6" max="6" width="1.42578125" style="14" customWidth="1"/>
    <col min="7" max="7" width="17.42578125" style="14" bestFit="1" customWidth="1"/>
    <col min="8" max="9" width="15.7109375" style="14" customWidth="1"/>
    <col min="10" max="10" width="1.42578125" style="14" customWidth="1"/>
    <col min="11" max="13" width="15.7109375" style="14" customWidth="1"/>
    <col min="14" max="14" width="1.42578125" style="14" customWidth="1"/>
    <col min="15" max="15" width="17" style="14" customWidth="1"/>
    <col min="16" max="17" width="15.7109375" style="14" customWidth="1"/>
    <col min="18" max="16384" width="11.42578125" style="14"/>
  </cols>
  <sheetData>
    <row r="1" spans="1:17" ht="49.5" customHeight="1" x14ac:dyDescent="0.25">
      <c r="B1" s="344"/>
      <c r="C1" s="344"/>
      <c r="D1" s="344"/>
      <c r="E1" s="100"/>
      <c r="G1" s="343" t="s">
        <v>258</v>
      </c>
      <c r="H1" s="343"/>
      <c r="I1" s="343"/>
      <c r="J1" s="343"/>
      <c r="K1" s="343"/>
      <c r="L1" s="343"/>
      <c r="M1" s="343"/>
      <c r="O1" s="344" t="str">
        <f>'Matriz de Produccion'!O1:Q1</f>
        <v>CC: EIMI00398
ARAUCO</v>
      </c>
      <c r="P1" s="344"/>
      <c r="Q1" s="344"/>
    </row>
    <row r="2" spans="1:17" ht="32.25" customHeight="1" x14ac:dyDescent="0.3">
      <c r="B2" s="64" t="str">
        <f>Indice!C4</f>
        <v>INFORME DE COSTOS N° 01</v>
      </c>
      <c r="D2" s="250"/>
      <c r="G2" s="345" t="str">
        <f>'Matriz de Produccion'!G2:M2</f>
        <v>Periodo : enero 2026</v>
      </c>
      <c r="H2" s="345"/>
      <c r="I2" s="345"/>
      <c r="J2" s="345"/>
      <c r="K2" s="345"/>
      <c r="L2" s="345"/>
      <c r="M2" s="345"/>
      <c r="O2" s="346" t="s">
        <v>259</v>
      </c>
      <c r="P2" s="346"/>
      <c r="Q2" s="64" t="s">
        <v>171</v>
      </c>
    </row>
    <row r="3" spans="1:17" ht="15" customHeight="1" x14ac:dyDescent="0.25">
      <c r="G3" s="44"/>
      <c r="H3" s="44"/>
      <c r="I3" s="44"/>
      <c r="K3" s="44"/>
      <c r="L3" s="44"/>
      <c r="M3" s="44"/>
    </row>
    <row r="4" spans="1:17" x14ac:dyDescent="0.25">
      <c r="B4" s="80" t="s">
        <v>86</v>
      </c>
      <c r="D4" s="80" t="s">
        <v>86</v>
      </c>
      <c r="E4" s="80" t="s">
        <v>86</v>
      </c>
      <c r="G4" s="380" t="s">
        <v>172</v>
      </c>
      <c r="H4" s="341"/>
      <c r="I4" s="342"/>
      <c r="K4" s="380" t="s">
        <v>173</v>
      </c>
      <c r="L4" s="341"/>
      <c r="M4" s="342"/>
      <c r="O4" s="380" t="s">
        <v>174</v>
      </c>
      <c r="P4" s="341"/>
      <c r="Q4" s="342"/>
    </row>
    <row r="5" spans="1:17" s="92" customFormat="1" ht="36.75" customHeight="1" x14ac:dyDescent="0.25">
      <c r="B5" s="93" t="s">
        <v>175</v>
      </c>
      <c r="D5" s="93" t="s">
        <v>176</v>
      </c>
      <c r="E5" s="93" t="s">
        <v>177</v>
      </c>
      <c r="G5" s="94" t="s">
        <v>180</v>
      </c>
      <c r="H5" s="96" t="s">
        <v>255</v>
      </c>
      <c r="I5" s="93" t="s">
        <v>260</v>
      </c>
      <c r="K5" s="94" t="s">
        <v>181</v>
      </c>
      <c r="L5" s="96" t="s">
        <v>256</v>
      </c>
      <c r="M5" s="93" t="s">
        <v>261</v>
      </c>
      <c r="O5" s="94" t="s">
        <v>262</v>
      </c>
      <c r="P5" s="96" t="s">
        <v>263</v>
      </c>
      <c r="Q5" s="93" t="s">
        <v>264</v>
      </c>
    </row>
    <row r="6" spans="1:17" ht="8.25" customHeight="1" x14ac:dyDescent="0.25"/>
    <row r="7" spans="1:17" ht="15" customHeight="1" x14ac:dyDescent="0.25">
      <c r="B7" s="8" t="str">
        <f>'Matriz de Produccion'!B7:B7</f>
        <v>COSTOS DIRECTOS</v>
      </c>
      <c r="D7" s="1">
        <f>SUM(D119:D123)</f>
        <v>3017729863.2570324</v>
      </c>
      <c r="E7" s="1">
        <f>SUM(E119:E123)</f>
        <v>3658673350.3445153</v>
      </c>
      <c r="G7" s="12">
        <f>SUM(G119:G123)</f>
        <v>3658673350.3445148</v>
      </c>
      <c r="H7" s="11">
        <f>SUM(H119:H123)</f>
        <v>3446607816.6871262</v>
      </c>
      <c r="I7" s="2">
        <f>SUM(I119:I123)</f>
        <v>212065533.65738901</v>
      </c>
      <c r="K7" s="12">
        <f>SUM(K119:K123)</f>
        <v>3638132367.9250503</v>
      </c>
      <c r="L7" s="11">
        <f>SUM(L119:L123)</f>
        <v>3411589581.6871262</v>
      </c>
      <c r="M7" s="2">
        <f>SUM(M119:M123)</f>
        <v>226542786.23792416</v>
      </c>
      <c r="O7" s="12">
        <f>SUM(O119:O123)</f>
        <v>20540982.419465199</v>
      </c>
      <c r="P7" s="11">
        <f>SUM(P119:P123)</f>
        <v>35018235</v>
      </c>
      <c r="Q7" s="2">
        <f>SUM(Q119:Q123)</f>
        <v>-14477252.580535144</v>
      </c>
    </row>
    <row r="8" spans="1:17" ht="8.25" customHeight="1" x14ac:dyDescent="0.25"/>
    <row r="9" spans="1:17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SUM(D10:D17)</f>
        <v>989503980.44566989</v>
      </c>
      <c r="E9" s="82">
        <f>SUM(E10:E17)</f>
        <v>1239884575.233088</v>
      </c>
      <c r="G9" s="83">
        <f>SUM(G10:G17)</f>
        <v>1239884575.2330875</v>
      </c>
      <c r="H9" s="84">
        <f>SUM(H10:H17)</f>
        <v>1021487689</v>
      </c>
      <c r="I9" s="87">
        <f>SUM(I10:I17)</f>
        <v>218396886.2330876</v>
      </c>
      <c r="K9" s="83">
        <f>SUM(K10:K17)</f>
        <v>1241830578.8015609</v>
      </c>
      <c r="L9" s="84">
        <f>SUM(L10:L17)</f>
        <v>1021487689</v>
      </c>
      <c r="M9" s="87">
        <f>SUM(M10:M17)</f>
        <v>220342889.80156085</v>
      </c>
      <c r="O9" s="83">
        <f>SUM(O10:O17)</f>
        <v>-1946003.5684732283</v>
      </c>
      <c r="P9" s="84">
        <f>SUM(P10:P17)</f>
        <v>0</v>
      </c>
      <c r="Q9" s="87">
        <f>SUM(Q10:Q17)</f>
        <v>-1946003.5684732357</v>
      </c>
    </row>
    <row r="10" spans="1:17" ht="15" customHeight="1" x14ac:dyDescent="0.25">
      <c r="A10" s="14" t="str">
        <f>'Matriz de Produccion'!A10</f>
        <v>0A01</v>
      </c>
      <c r="B10" s="6" t="s">
        <v>186</v>
      </c>
      <c r="D10" s="3">
        <f>SUMIF(CATEGORIAS[[#All],[SUBGRUPO]],A10,CATEGORIAS[[#All],[PRESUPUESTO
(ORIGINAL)]])</f>
        <v>249347566.42085752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198803332.67654666</v>
      </c>
      <c r="G10" s="71">
        <f>+SUMIF(CATEGORIAS[[#All],[SUBGRUPO]],A10,CATEGORIAS[[#All],[PRODUCCION
PARTIDAS
ORIGINALES
ACTUAL]])
+SUMIF(CATEGORIAS[[#All],[SUBGRUPO]],A10,CATEGORIAS[[#All],[PRODUCCION
ADICIONALES
ACTUAL]])</f>
        <v>198803332.67654666</v>
      </c>
      <c r="H10" s="71">
        <f>+SUMIF(CATEGORIAS[[#All],[SUBGRUPO]],A10,CATEGORIAS[[#All],[COSTO
ACUMULADO  AX]])
+SUMIF(CATEGORIAS[[#All],[SUBGRUPO]],A10,CATEGORIAS[[#All],[CAMBIO DE
CATEGORIA]])
+SUMIF(CATEGORIAS[[#All],[SUBGRUPO]],A10,CATEGORIAS[[#All],[PROVISIONES]])</f>
        <v>226422941</v>
      </c>
      <c r="I10" s="71">
        <f t="shared" ref="I10:I16" si="0">G10-H10</f>
        <v>-27619608.323453337</v>
      </c>
      <c r="K10" s="71">
        <f>+SUMIF(CATEGORIAS[[#All],[SUBGRUPO]],A10,CATEGORIAS[[#All],[PRODUCCION
ANTERIOR]])
+SUMIF(CATEGORIAS[[#All],[SUBGRUPO]],A10,CATEGORIAS[[#All],[PRODUCCION
ADICIONALES
ANTERIOR]])</f>
        <v>198774208.97440144</v>
      </c>
      <c r="L10" s="71">
        <f>+SUMIF(CATEGORIAS[[#All],[SUBGRUPO]],A10,CATEGORIAS[[#All],[COSTO ACUMULADO
ANTERIOR]])
+SUMIF(CATEGORIAS[[#All],[SUBGRUPO]],A10,CATEGORIAS[[#All],[CAMBIO DE
CATEGORIA
ANTERIOR]])
+SUMIF(CATEGORIAS[[#All],[SUBGRUPO]],A10,CATEGORIAS[[#All],[PROVISIONES
ANTERIOR]])</f>
        <v>226422941</v>
      </c>
      <c r="M10" s="71">
        <f t="shared" ref="M10:M16" si="1">K10-L10</f>
        <v>-27648732.025598556</v>
      </c>
      <c r="O10" s="71">
        <f t="shared" ref="O10:Q16" si="2">G10-K10</f>
        <v>29123.702145218849</v>
      </c>
      <c r="P10" s="71">
        <f t="shared" si="2"/>
        <v>0</v>
      </c>
      <c r="Q10" s="71">
        <f t="shared" si="2"/>
        <v>29123.702145218849</v>
      </c>
    </row>
    <row r="11" spans="1:17" ht="15" customHeight="1" x14ac:dyDescent="0.25">
      <c r="A11" s="14" t="str">
        <f>'Matriz de Produccion'!A11</f>
        <v>0A02</v>
      </c>
      <c r="B11" s="6" t="str">
        <f>VLOOKUP(A11,'Analisis por Categorias'!B:C,2,FALSE)</f>
        <v>Estructura</v>
      </c>
      <c r="D11" s="3">
        <f>SUMIF(CATEGORIAS[[#All],[SUBGRUPO]],A11,CATEGORIAS[[#All],[PRESUPUESTO
(ORIGINAL)]])</f>
        <v>9107425.3160245083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6205931.11177509</v>
      </c>
      <c r="G11" s="71">
        <f>+SUMIF(CATEGORIAS[[#All],[SUBGRUPO]],A11,CATEGORIAS[[#All],[PRODUCCION
PARTIDAS
ORIGINALES
ACTUAL]])
+SUMIF(CATEGORIAS[[#All],[SUBGRUPO]],A11,CATEGORIAS[[#All],[PRODUCCION
ADICIONALES
ACTUAL]])</f>
        <v>6205931.11177509</v>
      </c>
      <c r="H11" s="71">
        <f>+SUMIF(CATEGORIAS[[#All],[SUBGRUPO]],A11,CATEGORIAS[[#All],[COSTO
ACUMULADO  AX]])
+SUMIF(CATEGORIAS[[#All],[SUBGRUPO]],A11,CATEGORIAS[[#All],[CAMBIO DE
CATEGORIA]])
+SUMIF(CATEGORIAS[[#All],[SUBGRUPO]],A11,CATEGORIAS[[#All],[PROVISIONES]])</f>
        <v>0</v>
      </c>
      <c r="I11" s="71">
        <f t="shared" si="0"/>
        <v>6205931.11177509</v>
      </c>
      <c r="K11" s="71">
        <f>+SUMIF(CATEGORIAS[[#All],[SUBGRUPO]],A11,CATEGORIAS[[#All],[PRODUCCION
ANTERIOR]])
+SUMIF(CATEGORIAS[[#All],[SUBGRUPO]],A11,CATEGORIAS[[#All],[PRODUCCION
ADICIONALES
ANTERIOR]])</f>
        <v>6204754.3735583927</v>
      </c>
      <c r="L11" s="71">
        <f>+SUMIF(CATEGORIAS[[#All],[SUBGRUPO]],A11,CATEGORIAS[[#All],[COSTO ACUMULADO
ANTERIOR]])
+SUMIF(CATEGORIAS[[#All],[SUBGRUPO]],A11,CATEGORIAS[[#All],[CAMBIO DE
CATEGORIA
ANTERIOR]])
+SUMIF(CATEGORIAS[[#All],[SUBGRUPO]],A11,CATEGORIAS[[#All],[PROVISIONES
ANTERIOR]])</f>
        <v>0</v>
      </c>
      <c r="M11" s="71">
        <f t="shared" si="1"/>
        <v>6204754.3735583927</v>
      </c>
      <c r="O11" s="85">
        <f t="shared" ref="O11" si="3">G11-K11</f>
        <v>1176.7382166972384</v>
      </c>
      <c r="P11" s="85">
        <f t="shared" ref="P11" si="4">H11-L11</f>
        <v>0</v>
      </c>
      <c r="Q11" s="85">
        <f t="shared" ref="Q11" si="5">I11-M11</f>
        <v>1176.7382166972384</v>
      </c>
    </row>
    <row r="12" spans="1:17" ht="15" customHeight="1" x14ac:dyDescent="0.25">
      <c r="A12" s="14" t="str">
        <f>'Matriz de Produccion'!A12</f>
        <v>0A03</v>
      </c>
      <c r="B12" s="6" t="s">
        <v>2461</v>
      </c>
      <c r="D12" s="3">
        <f>SUMIF(CATEGORIAS[[#All],[SUBGRUPO]],A12,CATEGORIAS[[#All],[PRESUPUESTO
(ORIGINAL)]])</f>
        <v>648232300.96841526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841801119.14748919</v>
      </c>
      <c r="G12" s="71">
        <f>+SUMIF(CATEGORIAS[[#All],[SUBGRUPO]],A12,CATEGORIAS[[#All],[PRODUCCION
PARTIDAS
ORIGINALES
ACTUAL]])
+SUMIF(CATEGORIAS[[#All],[SUBGRUPO]],A12,CATEGORIAS[[#All],[PRODUCCION
ADICIONALES
ACTUAL]])</f>
        <v>841801119.14748871</v>
      </c>
      <c r="H12" s="71">
        <f>+SUMIF(CATEGORIAS[[#All],[SUBGRUPO]],A12,CATEGORIAS[[#All],[COSTO
ACUMULADO  AX]])
+SUMIF(CATEGORIAS[[#All],[SUBGRUPO]],A12,CATEGORIAS[[#All],[CAMBIO DE
CATEGORIA]])
+SUMIF(CATEGORIAS[[#All],[SUBGRUPO]],A12,CATEGORIAS[[#All],[PROVISIONES]])</f>
        <v>586461235</v>
      </c>
      <c r="I12" s="71">
        <f t="shared" si="0"/>
        <v>255339884.14748871</v>
      </c>
      <c r="K12" s="71">
        <f>+SUMIF(CATEGORIAS[[#All],[SUBGRUPO]],A12,CATEGORIAS[[#All],[PRODUCCION
ANTERIOR]])
+SUMIF(CATEGORIAS[[#All],[SUBGRUPO]],A12,CATEGORIAS[[#All],[PRODUCCION
ADICIONALES
ANTERIOR]])</f>
        <v>843787126.06482482</v>
      </c>
      <c r="L12" s="71">
        <f>+SUMIF(CATEGORIAS[[#All],[SUBGRUPO]],A12,CATEGORIAS[[#All],[COSTO ACUMULADO
ANTERIOR]])
+SUMIF(CATEGORIAS[[#All],[SUBGRUPO]],A12,CATEGORIAS[[#All],[CAMBIO DE
CATEGORIA
ANTERIOR]])
+SUMIF(CATEGORIAS[[#All],[SUBGRUPO]],A12,CATEGORIAS[[#All],[PROVISIONES
ANTERIOR]])</f>
        <v>586461235</v>
      </c>
      <c r="M12" s="71">
        <f t="shared" si="1"/>
        <v>257325891.06482482</v>
      </c>
      <c r="O12" s="85">
        <f t="shared" si="2"/>
        <v>-1986006.9173361063</v>
      </c>
      <c r="P12" s="85">
        <f t="shared" si="2"/>
        <v>0</v>
      </c>
      <c r="Q12" s="85">
        <f>I12-M12</f>
        <v>-1986006.9173361063</v>
      </c>
    </row>
    <row r="13" spans="1:17" ht="15" customHeight="1" x14ac:dyDescent="0.25">
      <c r="A13" s="14" t="str">
        <f>'Matriz de Produccion'!A13</f>
        <v>0A04</v>
      </c>
      <c r="B13" s="6" t="s">
        <v>190</v>
      </c>
      <c r="D13" s="3">
        <f>SUMIF(CATEGORIAS[[#All],[SUBGRUPO]],A13,CATEGORIAS[[#All],[PRESUPUESTO
(ORIGINAL)]])</f>
        <v>37872374.345846228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18825990.20282159</v>
      </c>
      <c r="G13" s="71">
        <f>+SUMIF(CATEGORIAS[[#All],[SUBGRUPO]],A13,CATEGORIAS[[#All],[PRODUCCION
PARTIDAS
ORIGINALES
ACTUAL]])
+SUMIF(CATEGORIAS[[#All],[SUBGRUPO]],A13,CATEGORIAS[[#All],[PRODUCCION
ADICIONALES
ACTUAL]])</f>
        <v>18825990.20282159</v>
      </c>
      <c r="H13" s="71">
        <f>+SUMIF(CATEGORIAS[[#All],[SUBGRUPO]],A13,CATEGORIAS[[#All],[COSTO
ACUMULADO  AX]])
+SUMIF(CATEGORIAS[[#All],[SUBGRUPO]],A13,CATEGORIAS[[#All],[CAMBIO DE
CATEGORIA]])
+SUMIF(CATEGORIAS[[#All],[SUBGRUPO]],A13,CATEGORIAS[[#All],[PROVISIONES]])</f>
        <v>0</v>
      </c>
      <c r="I13" s="71">
        <f t="shared" si="0"/>
        <v>18825990.20282159</v>
      </c>
      <c r="K13" s="71">
        <f>+SUMIF(CATEGORIAS[[#All],[SUBGRUPO]],A13,CATEGORIAS[[#All],[PRODUCCION
ANTERIOR]])
+SUMIF(CATEGORIAS[[#All],[SUBGRUPO]],A13,CATEGORIAS[[#All],[PRODUCCION
ADICIONALES
ANTERIOR]])</f>
        <v>18824157.51310762</v>
      </c>
      <c r="L13" s="71">
        <f>+SUMIF(CATEGORIAS[[#All],[SUBGRUPO]],A13,CATEGORIAS[[#All],[COSTO ACUMULADO
ANTERIOR]])
+SUMIF(CATEGORIAS[[#All],[SUBGRUPO]],A13,CATEGORIAS[[#All],[CAMBIO DE
CATEGORIA
ANTERIOR]])
+SUMIF(CATEGORIAS[[#All],[SUBGRUPO]],A13,CATEGORIAS[[#All],[PROVISIONES
ANTERIOR]])</f>
        <v>0</v>
      </c>
      <c r="M13" s="71">
        <f t="shared" si="1"/>
        <v>18824157.51310762</v>
      </c>
      <c r="O13" s="71">
        <f>G13-K13</f>
        <v>1832.6897139698267</v>
      </c>
      <c r="P13" s="85">
        <f>H13-L13</f>
        <v>0</v>
      </c>
      <c r="Q13" s="71">
        <f>I13-M13</f>
        <v>1832.6897139698267</v>
      </c>
    </row>
    <row r="14" spans="1:17" ht="15" customHeight="1" x14ac:dyDescent="0.25">
      <c r="A14" s="14" t="str">
        <f>'Matriz de Produccion'!A14</f>
        <v>0A05</v>
      </c>
      <c r="B14" s="6" t="s">
        <v>192</v>
      </c>
      <c r="D14" s="3">
        <f>SUMIF(CATEGORIAS[[#All],[SUBGRUPO]],A14,CATEGORIAS[[#All],[PRESUPUESTO
(ORIGINAL)]])</f>
        <v>4909779.3548685564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119615192.39635754</v>
      </c>
      <c r="G14" s="71">
        <f>+SUMIF(CATEGORIAS[[#All],[SUBGRUPO]],A14,CATEGORIAS[[#All],[PRODUCCION
PARTIDAS
ORIGINALES
ACTUAL]])
+SUMIF(CATEGORIAS[[#All],[SUBGRUPO]],A14,CATEGORIAS[[#All],[PRODUCCION
ADICIONALES
ACTUAL]])</f>
        <v>119615192.39635754</v>
      </c>
      <c r="H14" s="71">
        <f>+SUMIF(CATEGORIAS[[#All],[SUBGRUPO]],A14,CATEGORIAS[[#All],[COSTO
ACUMULADO  AX]])
+SUMIF(CATEGORIAS[[#All],[SUBGRUPO]],A14,CATEGORIAS[[#All],[CAMBIO DE
CATEGORIA]])
+SUMIF(CATEGORIAS[[#All],[SUBGRUPO]],A14,CATEGORIAS[[#All],[PROVISIONES]])</f>
        <v>41920101</v>
      </c>
      <c r="I14" s="71">
        <f t="shared" si="0"/>
        <v>77695091.396357536</v>
      </c>
      <c r="K14" s="71">
        <f>+SUMIF(CATEGORIAS[[#All],[SUBGRUPO]],A14,CATEGORIAS[[#All],[PRODUCCION
ANTERIOR]])
+SUMIF(CATEGORIAS[[#All],[SUBGRUPO]],A14,CATEGORIAS[[#All],[PRODUCCION
ADICIONALES
ANTERIOR]])</f>
        <v>119614446.28576313</v>
      </c>
      <c r="L14" s="71">
        <f>+SUMIF(CATEGORIAS[[#All],[SUBGRUPO]],A14,CATEGORIAS[[#All],[COSTO ACUMULADO
ANTERIOR]])
+SUMIF(CATEGORIAS[[#All],[SUBGRUPO]],A14,CATEGORIAS[[#All],[CAMBIO DE
CATEGORIA
ANTERIOR]])
+SUMIF(CATEGORIAS[[#All],[SUBGRUPO]],A14,CATEGORIAS[[#All],[PROVISIONES
ANTERIOR]])</f>
        <v>41920101</v>
      </c>
      <c r="M14" s="71">
        <f>K14-L14</f>
        <v>77694345.28576313</v>
      </c>
      <c r="O14" s="85">
        <f>G14-K14</f>
        <v>746.11059440672398</v>
      </c>
      <c r="P14" s="85">
        <f>H14-L14</f>
        <v>0</v>
      </c>
      <c r="Q14" s="85">
        <f>I14-M14</f>
        <v>746.11059440672398</v>
      </c>
    </row>
    <row r="15" spans="1:17" ht="15" hidden="1" customHeight="1" x14ac:dyDescent="0.25">
      <c r="A15" s="14" t="str">
        <f>'Matriz de Produccion'!A15</f>
        <v>0A06</v>
      </c>
      <c r="B15" s="6" t="e">
        <f>VLOOKUP(A15,'Analisis por Categorias'!B:C,2,FALSE)</f>
        <v>#N/A</v>
      </c>
      <c r="D15" s="3">
        <f>SUMIF(CATEGORIAS[[#All],[SUBGRUPO]],A15,CATEGORIAS[[#All],[PRESUPUESTO
(ORIGINAL)]])</f>
        <v>0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0</v>
      </c>
      <c r="G15" s="71">
        <f>+SUMIF(CATEGORIAS[[#All],[SUBGRUPO]],A15,CATEGORIAS[[#All],[PRODUCCION
PARTIDAS
ORIGINALES
ACTUAL]])
+SUMIF(CATEGORIAS[[#All],[SUBGRUPO]],A15,CATEGORIAS[[#All],[PRODUCCION
ADICIONALES
ACTUAL]])</f>
        <v>0</v>
      </c>
      <c r="H15" s="71">
        <f>+SUMIF(CATEGORIAS[[#All],[SUBGRUPO]],A15,CATEGORIAS[[#All],[COSTO
ACUMULADO  AX]])
+SUMIF(CATEGORIAS[[#All],[SUBGRUPO]],A15,CATEGORIAS[[#All],[CAMBIO DE
CATEGORIA]])
+SUMIF(CATEGORIAS[[#All],[SUBGRUPO]],A15,CATEGORIAS[[#All],[PROVISIONES]])</f>
        <v>0</v>
      </c>
      <c r="I15" s="71">
        <f t="shared" ref="I15" si="6">G15-H15</f>
        <v>0</v>
      </c>
      <c r="K15" s="71">
        <f>+SUMIF(CATEGORIAS[[#All],[SUBGRUPO]],A15,CATEGORIAS[[#All],[PRODUCCION
ANTERIOR]])
+SUMIF(CATEGORIAS[[#All],[SUBGRUPO]],A15,CATEGORIAS[[#All],[PRODUCCION
ADICIONALES
ANTERIOR]])</f>
        <v>0</v>
      </c>
      <c r="L15" s="71">
        <f>+SUMIF(CATEGORIAS[[#All],[SUBGRUPO]],A15,CATEGORIAS[[#All],[COSTO ACUMULADO
ANTERIOR]])
+SUMIF(CATEGORIAS[[#All],[SUBGRUPO]],A15,CATEGORIAS[[#All],[CAMBIO DE
CATEGORIA
ANTERIOR]])
+SUMIF(CATEGORIAS[[#All],[SUBGRUPO]],A15,CATEGORIAS[[#All],[PROVISIONES
ANTERIOR]])</f>
        <v>0</v>
      </c>
      <c r="M15" s="71">
        <f t="shared" ref="M15" si="7">K15-L15</f>
        <v>0</v>
      </c>
      <c r="O15" s="71">
        <f t="shared" ref="O15" si="8">G15-K15</f>
        <v>0</v>
      </c>
      <c r="P15" s="71">
        <f t="shared" ref="P15" si="9">H15-L15</f>
        <v>0</v>
      </c>
      <c r="Q15" s="71">
        <f t="shared" ref="Q15" si="10">I15-M15</f>
        <v>0</v>
      </c>
    </row>
    <row r="16" spans="1:17" ht="15" hidden="1" customHeight="1" x14ac:dyDescent="0.25">
      <c r="A16" s="14" t="str">
        <f>'Matriz de Produccion'!A16</f>
        <v>0A07</v>
      </c>
      <c r="B16" s="6" t="e">
        <f>VLOOKUP(A16,'Analisis por Categorias'!B:C,2,FALSE)</f>
        <v>#N/A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
+SUMIF(CATEGORIAS[[#All],[SUBGRUPO]],A16,CATEGORIAS[[#All],[PRODUCCION
ADICIONALES
ACTUAL]])</f>
        <v>0</v>
      </c>
      <c r="H16" s="71">
        <f>+SUMIF(CATEGORIAS[[#All],[SUBGRUPO]],A16,CATEGORIAS[[#All],[COSTO
ACUMULADO  AX]])
+SUMIF(CATEGORIAS[[#All],[SUBGRUPO]],A16,CATEGORIAS[[#All],[CAMBIO DE
CATEGORIA]])
+SUMIF(CATEGORIAS[[#All],[SUBGRUPO]],A16,CATEGORIAS[[#All],[PROVISIONES]])</f>
        <v>0</v>
      </c>
      <c r="I16" s="71">
        <f t="shared" si="0"/>
        <v>0</v>
      </c>
      <c r="K16" s="71">
        <f>+SUMIF(CATEGORIAS[[#All],[SUBGRUPO]],A16,CATEGORIAS[[#All],[PRODUCCION
ANTERIOR]])
+SUMIF(CATEGORIAS[[#All],[SUBGRUPO]],A16,CATEGORIAS[[#All],[PRODUCCION
ADICIONALES
ANTERIOR]])</f>
        <v>0</v>
      </c>
      <c r="L16" s="71">
        <f>+SUMIF(CATEGORIAS[[#All],[SUBGRUPO]],A16,CATEGORIAS[[#All],[COSTO ACUMULADO
ANTERIOR]])
+SUMIF(CATEGORIAS[[#All],[SUBGRUPO]],A16,CATEGORIAS[[#All],[CAMBIO DE
CATEGORIA
ANTERIOR]])
+SUMIF(CATEGORIAS[[#All],[SUBGRUPO]],A16,CATEGORIAS[[#All],[PROVISIONES
ANTERIOR]])</f>
        <v>0</v>
      </c>
      <c r="M16" s="71">
        <f t="shared" si="1"/>
        <v>0</v>
      </c>
      <c r="O16" s="71">
        <f t="shared" si="2"/>
        <v>0</v>
      </c>
      <c r="P16" s="71">
        <f t="shared" si="2"/>
        <v>0</v>
      </c>
      <c r="Q16" s="71">
        <f t="shared" si="2"/>
        <v>0</v>
      </c>
    </row>
    <row r="17" spans="1:17" ht="15" customHeight="1" x14ac:dyDescent="0.25">
      <c r="A17" s="14" t="str">
        <f>'Matriz de Produccion'!A17</f>
        <v>0A08</v>
      </c>
      <c r="B17" s="6" t="str">
        <f>VLOOKUP(A17,'Analisis por Categorias'!B:C,2,FALSE)</f>
        <v>Andamios</v>
      </c>
      <c r="D17" s="3">
        <f>SUMIF(CATEGORIAS[[#All],[SUBGRUPO]],A17,CATEGORIAS[[#All],[PRESUPUESTO
(ORIGINAL)]])</f>
        <v>40034534.039657995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54633009.698097989</v>
      </c>
      <c r="G17" s="71">
        <f>+SUMIF(CATEGORIAS[[#All],[SUBGRUPO]],A17,CATEGORIAS[[#All],[PRODUCCION
PARTIDAS
ORIGINALES
ACTUAL]])
+SUMIF(CATEGORIAS[[#All],[SUBGRUPO]],A17,CATEGORIAS[[#All],[PRODUCCION
ADICIONALES
ACTUAL]])</f>
        <v>54633009.698097989</v>
      </c>
      <c r="H17" s="71">
        <f>+SUMIF(CATEGORIAS[[#All],[SUBGRUPO]],A17,CATEGORIAS[[#All],[COSTO
ACUMULADO  AX]])
+SUMIF(CATEGORIAS[[#All],[SUBGRUPO]],A17,CATEGORIAS[[#All],[CAMBIO DE
CATEGORIA]])
+SUMIF(CATEGORIAS[[#All],[SUBGRUPO]],A17,CATEGORIAS[[#All],[PROVISIONES]])</f>
        <v>166683412</v>
      </c>
      <c r="I17" s="71">
        <f t="shared" ref="I17" si="11">G17-H17</f>
        <v>-112050402.30190201</v>
      </c>
      <c r="K17" s="71">
        <f>+SUMIF(CATEGORIAS[[#All],[SUBGRUPO]],A17,CATEGORIAS[[#All],[PRODUCCION
ANTERIOR]])
+SUMIF(CATEGORIAS[[#All],[SUBGRUPO]],A17,CATEGORIAS[[#All],[PRODUCCION
ADICIONALES
ANTERIOR]])</f>
        <v>54625885.589905404</v>
      </c>
      <c r="L17" s="71">
        <f>+SUMIF(CATEGORIAS[[#All],[SUBGRUPO]],A17,CATEGORIAS[[#All],[COSTO ACUMULADO
ANTERIOR]])
+SUMIF(CATEGORIAS[[#All],[SUBGRUPO]],A17,CATEGORIAS[[#All],[CAMBIO DE
CATEGORIA
ANTERIOR]])
+SUMIF(CATEGORIAS[[#All],[SUBGRUPO]],A17,CATEGORIAS[[#All],[PROVISIONES
ANTERIOR]])</f>
        <v>166683412</v>
      </c>
      <c r="M17" s="71">
        <f t="shared" ref="M17" si="12">K17-L17</f>
        <v>-112057526.41009459</v>
      </c>
      <c r="O17" s="71">
        <f t="shared" ref="O17" si="13">G17-K17</f>
        <v>7124.1081925854087</v>
      </c>
      <c r="P17" s="71">
        <f t="shared" ref="P17" si="14">H17-L17</f>
        <v>0</v>
      </c>
      <c r="Q17" s="71">
        <f>I17-M17</f>
        <v>7124.1081925779581</v>
      </c>
    </row>
    <row r="18" spans="1:17" ht="8.25" customHeight="1" x14ac:dyDescent="0.25"/>
    <row r="19" spans="1:17" ht="15" customHeight="1" x14ac:dyDescent="0.25">
      <c r="A19" s="14" t="str">
        <f>'Matriz de Produccion'!A19</f>
        <v>0B00</v>
      </c>
      <c r="B19" s="81" t="str">
        <f>'Matriz de Produccion'!B19:B19</f>
        <v>B - MATERIALES</v>
      </c>
      <c r="D19" s="82">
        <f>SUM(D20:D28)</f>
        <v>654136807.94229996</v>
      </c>
      <c r="E19" s="82">
        <f>SUM(E20:E28)</f>
        <v>679183187.46936965</v>
      </c>
      <c r="G19" s="83">
        <f>SUM(G20:G27)</f>
        <v>679183187.46936965</v>
      </c>
      <c r="H19" s="84">
        <f>SUM(H20:H27)</f>
        <v>891155239</v>
      </c>
      <c r="I19" s="87">
        <f>SUM(I20:I27)</f>
        <v>-211972051.53063032</v>
      </c>
      <c r="K19" s="83">
        <f>SUM(K20:K27)</f>
        <v>679072798.99194527</v>
      </c>
      <c r="L19" s="84">
        <f>SUM(L20:L27)</f>
        <v>866433442</v>
      </c>
      <c r="M19" s="87">
        <f>SUM(M20:M27)</f>
        <v>-187360643.0080547</v>
      </c>
      <c r="O19" s="83">
        <f>SUM(O20:O27)</f>
        <v>110388.47742438642</v>
      </c>
      <c r="P19" s="84">
        <f>SUM(P20:P27)</f>
        <v>24721797</v>
      </c>
      <c r="Q19" s="87">
        <f>SUM(Q20:Q27)</f>
        <v>-24611408.522575617</v>
      </c>
    </row>
    <row r="20" spans="1:17" ht="15" customHeight="1" x14ac:dyDescent="0.25">
      <c r="A20" s="14" t="str">
        <f>'Matriz de Produccion'!A20</f>
        <v>0B01</v>
      </c>
      <c r="B20" s="6" t="str">
        <f>VLOOKUP(A20,'Analisis por Categorias'!B:C,2,FALSE)</f>
        <v>Civil</v>
      </c>
      <c r="D20" s="3">
        <f>SUMIF(CATEGORIAS[[#All],[SUBGRUPO]],A20,CATEGORIAS[[#All],[PRESUPUESTO
(ORIGINAL)]])</f>
        <v>504953712.21710002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452452831.12783277</v>
      </c>
      <c r="G20" s="71">
        <f>+SUMIF(CATEGORIAS[[#All],[SUBGRUPO]],A20,CATEGORIAS[[#All],[PRODUCCION
PARTIDAS
ORIGINALES
ACTUAL]])
+SUMIF(CATEGORIAS[[#All],[SUBGRUPO]],A20,CATEGORIAS[[#All],[PRODUCCION
ADICIONALES
ACTUAL]])</f>
        <v>452452831.12783277</v>
      </c>
      <c r="H20" s="71">
        <f>+SUMIF(CATEGORIAS[[#All],[SUBGRUPO]],A20,CATEGORIAS[[#All],[COSTO
ACUMULADO  AX]])
+SUMIF(CATEGORIAS[[#All],[SUBGRUPO]],A20,CATEGORIAS[[#All],[CAMBIO DE
CATEGORIA]])
+SUMIF(CATEGORIAS[[#All],[SUBGRUPO]],A20,CATEGORIAS[[#All],[PROVISIONES]])</f>
        <v>548455838</v>
      </c>
      <c r="I20" s="71">
        <f>G20-H20</f>
        <v>-96003006.87216723</v>
      </c>
      <c r="K20" s="71">
        <f>+SUMIF(CATEGORIAS[[#All],[SUBGRUPO]],A20,CATEGORIAS[[#All],[PRODUCCION
ANTERIOR]])
+SUMIF(CATEGORIAS[[#All],[SUBGRUPO]],A20,CATEGORIAS[[#All],[PRODUCCION
ADICIONALES
ANTERIOR]])</f>
        <v>452370014.16886485</v>
      </c>
      <c r="L20" s="71">
        <f>+SUMIF(CATEGORIAS[[#All],[SUBGRUPO]],A20,CATEGORIAS[[#All],[COSTO ACUMULADO
ANTERIOR]])
+SUMIF(CATEGORIAS[[#All],[SUBGRUPO]],A20,CATEGORIAS[[#All],[CAMBIO DE
CATEGORIA
ANTERIOR]])
+SUMIF(CATEGORIAS[[#All],[SUBGRUPO]],A20,CATEGORIAS[[#All],[PROVISIONES
ANTERIOR]])</f>
        <v>541402397</v>
      </c>
      <c r="M20" s="71">
        <f>K20-L20</f>
        <v>-89032382.831135154</v>
      </c>
      <c r="O20" s="71">
        <f t="shared" ref="O20:Q24" si="15">G20-K20</f>
        <v>82816.958967924118</v>
      </c>
      <c r="P20" s="85">
        <f>H20-L20</f>
        <v>7053441</v>
      </c>
      <c r="Q20" s="85">
        <f>I20-M20</f>
        <v>-6970624.0410320759</v>
      </c>
    </row>
    <row r="21" spans="1:17" ht="15" hidden="1" customHeight="1" x14ac:dyDescent="0.25">
      <c r="A21" s="14" t="str">
        <f>'Matriz de Produccion'!A21</f>
        <v>0B02</v>
      </c>
      <c r="B21" s="6" t="e">
        <f>VLOOKUP(A21,'Analisis por Categorias'!B:C,2,FALSE)</f>
        <v>#N/A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
+SUMIF(CATEGORIAS[[#All],[SUBGRUPO]],A21,CATEGORIAS[[#All],[PRODUCCION
ADICIONALES
ACTUAL]])</f>
        <v>0</v>
      </c>
      <c r="H21" s="71">
        <f>+SUMIF(CATEGORIAS[[#All],[SUBGRUPO]],A21,CATEGORIAS[[#All],[COSTO
ACUMULADO  AX]])
+SUMIF(CATEGORIAS[[#All],[SUBGRUPO]],A21,CATEGORIAS[[#All],[CAMBIO DE
CATEGORIA]])
+SUMIF(CATEGORIAS[[#All],[SUBGRUPO]],A21,CATEGORIAS[[#All],[PROVISIONES]])</f>
        <v>0</v>
      </c>
      <c r="I21" s="71">
        <f>G21-H21</f>
        <v>0</v>
      </c>
      <c r="K21" s="71">
        <f>+SUMIF(CATEGORIAS[[#All],[SUBGRUPO]],A21,CATEGORIAS[[#All],[PRODUCCION
ANTERIOR]])
+SUMIF(CATEGORIAS[[#All],[SUBGRUPO]],A21,CATEGORIAS[[#All],[PRODUCCION
ADICIONALES
ANTERIOR]])</f>
        <v>0</v>
      </c>
      <c r="L21" s="71">
        <f>+SUMIF(CATEGORIAS[[#All],[SUBGRUPO]],A21,CATEGORIAS[[#All],[COSTO ACUMULADO
ANTERIOR]])
+SUMIF(CATEGORIAS[[#All],[SUBGRUPO]],A21,CATEGORIAS[[#All],[CAMBIO DE
CATEGORIA
ANTERIOR]])
+SUMIF(CATEGORIAS[[#All],[SUBGRUPO]],A21,CATEGORIAS[[#All],[PROVISIONES
ANTERIOR]])</f>
        <v>0</v>
      </c>
      <c r="M21" s="71">
        <f>K21-L21</f>
        <v>0</v>
      </c>
      <c r="O21" s="85">
        <f t="shared" ref="O21" si="16">G21-K21</f>
        <v>0</v>
      </c>
      <c r="P21" s="85">
        <f t="shared" ref="P21" si="17">H21-L21</f>
        <v>0</v>
      </c>
      <c r="Q21" s="85">
        <f t="shared" ref="Q21" si="18">I21-M21</f>
        <v>0</v>
      </c>
    </row>
    <row r="22" spans="1:17" ht="15" hidden="1" customHeight="1" x14ac:dyDescent="0.25">
      <c r="A22" s="14" t="str">
        <f>'Matriz de Produccion'!A22</f>
        <v>0B03</v>
      </c>
      <c r="B22" s="6" t="e">
        <f>VLOOKUP(A22,'Analisis por Categorias'!B:C,2,FALSE)</f>
        <v>#N/A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
+SUMIF(CATEGORIAS[[#All],[SUBGRUPO]],A22,CATEGORIAS[[#All],[PRODUCCION
ADICIONALES
ACTUAL]])</f>
        <v>0</v>
      </c>
      <c r="H22" s="71">
        <f>+SUMIF(CATEGORIAS[[#All],[SUBGRUPO]],A22,CATEGORIAS[[#All],[COSTO
ACUMULADO  AX]])
+SUMIF(CATEGORIAS[[#All],[SUBGRUPO]],A22,CATEGORIAS[[#All],[CAMBIO DE
CATEGORIA]])
+SUMIF(CATEGORIAS[[#All],[SUBGRUPO]],A22,CATEGORIAS[[#All],[PROVISIONES]])</f>
        <v>0</v>
      </c>
      <c r="I22" s="71">
        <f>G22-H22</f>
        <v>0</v>
      </c>
      <c r="K22" s="71">
        <f>+SUMIF(CATEGORIAS[[#All],[SUBGRUPO]],A22,CATEGORIAS[[#All],[PRODUCCION
ANTERIOR]])
+SUMIF(CATEGORIAS[[#All],[SUBGRUPO]],A22,CATEGORIAS[[#All],[PRODUCCION
ADICIONALES
ANTERIOR]])</f>
        <v>0</v>
      </c>
      <c r="L22" s="71">
        <f>+SUMIF(CATEGORIAS[[#All],[SUBGRUPO]],A22,CATEGORIAS[[#All],[COSTO ACUMULADO
ANTERIOR]])
+SUMIF(CATEGORIAS[[#All],[SUBGRUPO]],A22,CATEGORIAS[[#All],[CAMBIO DE
CATEGORIA
ANTERIOR]])
+SUMIF(CATEGORIAS[[#All],[SUBGRUPO]],A22,CATEGORIAS[[#All],[PROVISIONES
ANTERIOR]])</f>
        <v>0</v>
      </c>
      <c r="M22" s="71">
        <f>K22-L22</f>
        <v>0</v>
      </c>
      <c r="O22" s="85">
        <f t="shared" si="15"/>
        <v>0</v>
      </c>
      <c r="P22" s="85">
        <f t="shared" si="15"/>
        <v>0</v>
      </c>
      <c r="Q22" s="85">
        <f t="shared" si="15"/>
        <v>0</v>
      </c>
    </row>
    <row r="23" spans="1:17" ht="15" customHeight="1" x14ac:dyDescent="0.25">
      <c r="A23" s="14" t="str">
        <f>'Matriz de Produccion'!A23</f>
        <v>0B04</v>
      </c>
      <c r="B23" s="6" t="str">
        <f>VLOOKUP(A23,'Analisis por Categorias'!B:C,2,FALSE)</f>
        <v>Mecánica</v>
      </c>
      <c r="D23" s="3">
        <f>SUMIF(CATEGORIAS[[#All],[SUBGRUPO]],A23,CATEGORIAS[[#All],[PRESUPUESTO
(ORIGINAL)]])</f>
        <v>144330783.15279999</v>
      </c>
      <c r="E23" s="3">
        <f>+SUMIF(CATEGORIAS[[#All],[SUBGRUPO]],A23,CATEGORIAS[[#All],[PRODUCCION
PARTIDAS
ORIGINALES
ACTUAL]])
+SUMIF(CATEGORIAS[[#All],[SUBGRUPO]],A23,CATEGORIAS[[#All],[PRODUCCION
ADICIONALES
ACTUAL]])
+SUMIF(CATEGORIAS[[#All],[SUBGRUPO]],A23,CATEGORIAS[[#All],[PROYECCION
DE INGRESO
DEL SALDO]])</f>
        <v>224694827.39911288</v>
      </c>
      <c r="G23" s="71">
        <f>+SUMIF(CATEGORIAS[[#All],[SUBGRUPO]],A23,CATEGORIAS[[#All],[PRODUCCION
PARTIDAS
ORIGINALES
ACTUAL]])
+SUMIF(CATEGORIAS[[#All],[SUBGRUPO]],A23,CATEGORIAS[[#All],[PRODUCCION
ADICIONALES
ACTUAL]])</f>
        <v>224694827.39911288</v>
      </c>
      <c r="H23" s="71">
        <f>+SUMIF(CATEGORIAS[[#All],[SUBGRUPO]],A23,CATEGORIAS[[#All],[COSTO
ACUMULADO  AX]])
+SUMIF(CATEGORIAS[[#All],[SUBGRUPO]],A23,CATEGORIAS[[#All],[CAMBIO DE
CATEGORIA]])
+SUMIF(CATEGORIAS[[#All],[SUBGRUPO]],A23,CATEGORIAS[[#All],[PROVISIONES]])</f>
        <v>339509978</v>
      </c>
      <c r="I23" s="71">
        <f>G23-H23</f>
        <v>-114815150.60088712</v>
      </c>
      <c r="K23" s="71">
        <f>+SUMIF(CATEGORIAS[[#All],[SUBGRUPO]],A23,CATEGORIAS[[#All],[PRODUCCION
ANTERIOR]])
+SUMIF(CATEGORIAS[[#All],[SUBGRUPO]],A23,CATEGORIAS[[#All],[PRODUCCION
ADICIONALES
ANTERIOR]])</f>
        <v>224667610.46743408</v>
      </c>
      <c r="L23" s="71">
        <f>+SUMIF(CATEGORIAS[[#All],[SUBGRUPO]],A23,CATEGORIAS[[#All],[COSTO ACUMULADO
ANTERIOR]])
+SUMIF(CATEGORIAS[[#All],[SUBGRUPO]],A23,CATEGORIAS[[#All],[CAMBIO DE
CATEGORIA
ANTERIOR]])
+SUMIF(CATEGORIAS[[#All],[SUBGRUPO]],A23,CATEGORIAS[[#All],[PROVISIONES
ANTERIOR]])</f>
        <v>321470660</v>
      </c>
      <c r="M23" s="71">
        <f>K23-L23</f>
        <v>-96803049.532565922</v>
      </c>
      <c r="O23" s="71">
        <f t="shared" si="15"/>
        <v>27216.931678801775</v>
      </c>
      <c r="P23" s="85">
        <f>H23-L23</f>
        <v>18039318</v>
      </c>
      <c r="Q23" s="71">
        <f>I23-M23</f>
        <v>-18012101.068321198</v>
      </c>
    </row>
    <row r="24" spans="1:17" ht="15" customHeight="1" x14ac:dyDescent="0.25">
      <c r="A24" s="14" t="str">
        <f>'Matriz de Produccion'!A24</f>
        <v>0B05</v>
      </c>
      <c r="B24" s="6" t="str">
        <f>VLOOKUP(A24,'Analisis por Categorias'!B:C,2,FALSE)</f>
        <v>Cañería</v>
      </c>
      <c r="D24" s="3">
        <f>SUMIF(CATEGORIAS[[#All],[SUBGRUPO]],A24,CATEGORIAS[[#All],[PRESUPUESTO
(ORIGINAL)]])</f>
        <v>3653812.5723999999</v>
      </c>
      <c r="E24" s="3">
        <f>+SUMIF(CATEGORIAS[[#All],[SUBGRUPO]],A24,CATEGORIAS[[#All],[PRODUCCION
PARTIDAS
ORIGINALES
ACTUAL]])
+SUMIF(CATEGORIAS[[#All],[SUBGRUPO]],A24,CATEGORIAS[[#All],[PRODUCCION
ADICIONALES
ACTUAL]])
+SUMIF(CATEGORIAS[[#All],[SUBGRUPO]],A24,CATEGORIAS[[#All],[PROYECCION
DE INGRESO
DEL SALDO]])</f>
        <v>1069762.3046658658</v>
      </c>
      <c r="G24" s="71">
        <f>+SUMIF(CATEGORIAS[[#All],[SUBGRUPO]],A24,CATEGORIAS[[#All],[PRODUCCION
PARTIDAS
ORIGINALES
ACTUAL]])
+SUMIF(CATEGORIAS[[#All],[SUBGRUPO]],A24,CATEGORIAS[[#All],[PRODUCCION
ADICIONALES
ACTUAL]])</f>
        <v>1069762.3046658658</v>
      </c>
      <c r="H24" s="71">
        <f>+SUMIF(CATEGORIAS[[#All],[SUBGRUPO]],A24,CATEGORIAS[[#All],[COSTO
ACUMULADO  AX]])
+SUMIF(CATEGORIAS[[#All],[SUBGRUPO]],A24,CATEGORIAS[[#All],[CAMBIO DE
CATEGORIA]])
+SUMIF(CATEGORIAS[[#All],[SUBGRUPO]],A24,CATEGORIAS[[#All],[PROVISIONES]])</f>
        <v>0</v>
      </c>
      <c r="I24" s="71">
        <f>G24-H24</f>
        <v>1069762.3046658658</v>
      </c>
      <c r="K24" s="71">
        <f>+SUMIF(CATEGORIAS[[#All],[SUBGRUPO]],A24,CATEGORIAS[[#All],[PRODUCCION
ANTERIOR]])
+SUMIF(CATEGORIAS[[#All],[SUBGRUPO]],A24,CATEGORIAS[[#All],[PRODUCCION
ADICIONALES
ANTERIOR]])</f>
        <v>1069590.8418208743</v>
      </c>
      <c r="L24" s="71">
        <f>+SUMIF(CATEGORIAS[[#All],[SUBGRUPO]],A24,CATEGORIAS[[#All],[COSTO ACUMULADO
ANTERIOR]])
+SUMIF(CATEGORIAS[[#All],[SUBGRUPO]],A24,CATEGORIAS[[#All],[CAMBIO DE
CATEGORIA
ANTERIOR]])
+SUMIF(CATEGORIAS[[#All],[SUBGRUPO]],A24,CATEGORIAS[[#All],[PROVISIONES
ANTERIOR]])</f>
        <v>0</v>
      </c>
      <c r="M24" s="71">
        <f>K24-L24</f>
        <v>1069590.8418208743</v>
      </c>
      <c r="O24" s="85">
        <f t="shared" si="15"/>
        <v>171.46284499159083</v>
      </c>
      <c r="P24" s="85">
        <f t="shared" si="15"/>
        <v>0</v>
      </c>
      <c r="Q24" s="85">
        <f>I24-M24</f>
        <v>171.46284499159083</v>
      </c>
    </row>
    <row r="25" spans="1:17" ht="15" customHeight="1" x14ac:dyDescent="0.25">
      <c r="A25" s="14" t="str">
        <f>'Matriz de Produccion'!A25</f>
        <v>0B06</v>
      </c>
      <c r="B25" s="6" t="str">
        <f>VLOOKUP(A25,'Analisis por Categorias'!B:C,2,FALSE)</f>
        <v>Electricidad</v>
      </c>
      <c r="D25" s="3">
        <f>SUMIF(CATEGORIAS[[#All],[SUBGRUPO]],A25,CATEGORIAS[[#All],[PRESUPUESTO
(ORIGINAL)]])</f>
        <v>1198500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965766.6377581663</v>
      </c>
      <c r="G25" s="71">
        <f>+SUMIF(CATEGORIAS[[#All],[SUBGRUPO]],A25,CATEGORIAS[[#All],[PRODUCCION
PARTIDAS
ORIGINALES
ACTUAL]])
+SUMIF(CATEGORIAS[[#All],[SUBGRUPO]],A25,CATEGORIAS[[#All],[PRODUCCION
ADICIONALES
ACTUAL]])</f>
        <v>965766.6377581663</v>
      </c>
      <c r="H25" s="71">
        <f>+SUMIF(CATEGORIAS[[#All],[SUBGRUPO]],A25,CATEGORIAS[[#All],[COSTO
ACUMULADO  AX]])
+SUMIF(CATEGORIAS[[#All],[SUBGRUPO]],A25,CATEGORIAS[[#All],[CAMBIO DE
CATEGORIA]])
+SUMIF(CATEGORIAS[[#All],[SUBGRUPO]],A25,CATEGORIAS[[#All],[PROVISIONES]])</f>
        <v>3189423</v>
      </c>
      <c r="I25" s="71">
        <f t="shared" ref="I25:I26" si="19">G25-H25</f>
        <v>-2223656.3622418335</v>
      </c>
      <c r="K25" s="71">
        <f>+SUMIF(CATEGORIAS[[#All],[SUBGRUPO]],A25,CATEGORIAS[[#All],[PRODUCCION
ANTERIOR]])
+SUMIF(CATEGORIAS[[#All],[SUBGRUPO]],A25,CATEGORIAS[[#All],[PRODUCCION
ADICIONALES
ANTERIOR]])</f>
        <v>965583.51382549736</v>
      </c>
      <c r="L25" s="71">
        <f>+SUMIF(CATEGORIAS[[#All],[SUBGRUPO]],A25,CATEGORIAS[[#All],[COSTO ACUMULADO
ANTERIOR]])
+SUMIF(CATEGORIAS[[#All],[SUBGRUPO]],A25,CATEGORIAS[[#All],[CAMBIO DE
CATEGORIA
ANTERIOR]])
+SUMIF(CATEGORIAS[[#All],[SUBGRUPO]],A25,CATEGORIAS[[#All],[PROVISIONES
ANTERIOR]])</f>
        <v>3560385</v>
      </c>
      <c r="M25" s="71">
        <f t="shared" ref="M25:M26" si="20">K25-L25</f>
        <v>-2594801.4861745024</v>
      </c>
      <c r="O25" s="85">
        <f t="shared" ref="O25:O26" si="21">G25-K25</f>
        <v>183.12393266893923</v>
      </c>
      <c r="P25" s="85">
        <f>H25-L25</f>
        <v>-370962</v>
      </c>
      <c r="Q25" s="85">
        <f t="shared" ref="Q25:Q26" si="22">I25-M25</f>
        <v>371145.12393266894</v>
      </c>
    </row>
    <row r="26" spans="1:17" ht="15" hidden="1" customHeight="1" x14ac:dyDescent="0.25">
      <c r="A26" s="14" t="str">
        <f>'Matriz de Produccion'!A26</f>
        <v>0B07</v>
      </c>
      <c r="B26" s="6" t="e">
        <f>VLOOKUP(A26,'Analisis por Categorias'!B:C,2,FALSE)</f>
        <v>#N/A</v>
      </c>
      <c r="D26" s="3">
        <f>SUMIF(CATEGORIAS[[#All],[SUBGRUPO]],A26,CATEGORIAS[[#All],[PRESUPUESTO
(ORIGINAL)]])</f>
        <v>0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0</v>
      </c>
      <c r="G26" s="71">
        <f>+SUMIF(CATEGORIAS[[#All],[SUBGRUPO]],A26,CATEGORIAS[[#All],[PRODUCCION
PARTIDAS
ORIGINALES
ACTUAL]])
+SUMIF(CATEGORIAS[[#All],[SUBGRUPO]],A26,CATEGORIAS[[#All],[PRODUCCION
ADICIONALES
ACTUAL]])</f>
        <v>0</v>
      </c>
      <c r="H26" s="71">
        <f>+SUMIF(CATEGORIAS[[#All],[SUBGRUPO]],A26,CATEGORIAS[[#All],[COSTO
ACUMULADO  AX]])
+SUMIF(CATEGORIAS[[#All],[SUBGRUPO]],A26,CATEGORIAS[[#All],[CAMBIO DE
CATEGORIA]])
+SUMIF(CATEGORIAS[[#All],[SUBGRUPO]],A26,CATEGORIAS[[#All],[PROVISIONES]])</f>
        <v>0</v>
      </c>
      <c r="I26" s="71">
        <f t="shared" si="19"/>
        <v>0</v>
      </c>
      <c r="K26" s="71">
        <f>+SUMIF(CATEGORIAS[[#All],[SUBGRUPO]],A26,CATEGORIAS[[#All],[PRODUCCION
ANTERIOR]])
+SUMIF(CATEGORIAS[[#All],[SUBGRUPO]],A26,CATEGORIAS[[#All],[PRODUCCION
ADICIONALES
ANTERIOR]])</f>
        <v>0</v>
      </c>
      <c r="L26" s="71">
        <f>+SUMIF(CATEGORIAS[[#All],[SUBGRUPO]],A26,CATEGORIAS[[#All],[COSTO ACUMULADO
ANTERIOR]])
+SUMIF(CATEGORIAS[[#All],[SUBGRUPO]],A26,CATEGORIAS[[#All],[CAMBIO DE
CATEGORIA
ANTERIOR]])
+SUMIF(CATEGORIAS[[#All],[SUBGRUPO]],A26,CATEGORIAS[[#All],[PROVISIONES
ANTERIOR]])</f>
        <v>0</v>
      </c>
      <c r="M26" s="71">
        <f t="shared" si="20"/>
        <v>0</v>
      </c>
      <c r="O26" s="85">
        <f t="shared" si="21"/>
        <v>0</v>
      </c>
      <c r="P26" s="85">
        <f t="shared" ref="P26" si="23">H26-L26</f>
        <v>0</v>
      </c>
      <c r="Q26" s="85">
        <f t="shared" si="22"/>
        <v>0</v>
      </c>
    </row>
    <row r="27" spans="1:17" ht="15" hidden="1" customHeight="1" x14ac:dyDescent="0.25">
      <c r="A27" s="14" t="str">
        <f>'Matriz de Produccion'!A27</f>
        <v>0B08</v>
      </c>
      <c r="B27" s="6" t="e">
        <f>VLOOKUP(A27,'Analisis por Categorias'!B:C,2,FALSE)</f>
        <v>#N/A</v>
      </c>
      <c r="D27" s="3">
        <f>SUMIF(CATEGORIAS[[#All],[SUBGRUPO]],A27,CATEGORIAS[[#All],[PRESUPUESTO
(ORIGINAL)]])</f>
        <v>0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0</v>
      </c>
      <c r="G27" s="71">
        <f>+SUMIF(CATEGORIAS[[#All],[SUBGRUPO]],A27,CATEGORIAS[[#All],[PRODUCCION
PARTIDAS
ORIGINALES
ACTUAL]])
+SUMIF(CATEGORIAS[[#All],[SUBGRUPO]],A27,CATEGORIAS[[#All],[PRODUCCION
ADICIONALES
ACTUAL]])</f>
        <v>0</v>
      </c>
      <c r="H27" s="71">
        <f>+SUMIF(CATEGORIAS[[#All],[SUBGRUPO]],A27,CATEGORIAS[[#All],[COSTO
ACUMULADO  AX]])
+SUMIF(CATEGORIAS[[#All],[SUBGRUPO]],A27,CATEGORIAS[[#All],[CAMBIO DE
CATEGORIA]])
+SUMIF(CATEGORIAS[[#All],[SUBGRUPO]],A27,CATEGORIAS[[#All],[PROVISIONES]])</f>
        <v>0</v>
      </c>
      <c r="I27" s="71">
        <f t="shared" ref="I27:I28" si="24">G27-H27</f>
        <v>0</v>
      </c>
      <c r="K27" s="71">
        <f>+SUMIF(CATEGORIAS[[#All],[SUBGRUPO]],A27,CATEGORIAS[[#All],[PRODUCCION
ANTERIOR]])
+SUMIF(CATEGORIAS[[#All],[SUBGRUPO]],A27,CATEGORIAS[[#All],[PRODUCCION
ADICIONALES
ANTERIOR]])</f>
        <v>0</v>
      </c>
      <c r="L27" s="71">
        <f>+SUMIF(CATEGORIAS[[#All],[SUBGRUPO]],A27,CATEGORIAS[[#All],[COSTO ACUMULADO
ANTERIOR]])
+SUMIF(CATEGORIAS[[#All],[SUBGRUPO]],A27,CATEGORIAS[[#All],[CAMBIO DE
CATEGORIA
ANTERIOR]])
+SUMIF(CATEGORIAS[[#All],[SUBGRUPO]],A27,CATEGORIAS[[#All],[PROVISIONES
ANTERIOR]])</f>
        <v>0</v>
      </c>
      <c r="M27" s="71">
        <f t="shared" ref="M27:M28" si="25">K27-L27</f>
        <v>0</v>
      </c>
      <c r="O27" s="85">
        <f t="shared" ref="O27:O28" si="26">G27-K27</f>
        <v>0</v>
      </c>
      <c r="P27" s="85">
        <f t="shared" ref="P27:P28" si="27">H27-L27</f>
        <v>0</v>
      </c>
      <c r="Q27" s="85">
        <f t="shared" ref="Q27:Q28" si="28">I27-M27</f>
        <v>0</v>
      </c>
    </row>
    <row r="28" spans="1:17" ht="15" hidden="1" customHeight="1" x14ac:dyDescent="0.25">
      <c r="A28" s="14" t="str">
        <f>'Matriz de Produccion'!A28</f>
        <v>0B09</v>
      </c>
      <c r="B28" s="6" t="e">
        <f>VLOOKUP(A28,'Analisis por Categorias'!B:C,2,FALSE)</f>
        <v>#N/A</v>
      </c>
      <c r="D28" s="3">
        <f>SUMIF(CATEGORIAS[[#All],[SUBGRUPO]],A28,CATEGORIAS[[#All],[PRESUPUESTO
(ORIGINAL)]])</f>
        <v>0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0</v>
      </c>
      <c r="G28" s="71">
        <f>+SUMIF(CATEGORIAS[[#All],[SUBGRUPO]],A28,CATEGORIAS[[#All],[PRODUCCION
PARTIDAS
ORIGINALES
ACTUAL]])
+SUMIF(CATEGORIAS[[#All],[SUBGRUPO]],A28,CATEGORIAS[[#All],[PRODUCCION
ADICIONALES
ACTUAL]])</f>
        <v>0</v>
      </c>
      <c r="H28" s="71">
        <f>+SUMIF(CATEGORIAS[[#All],[SUBGRUPO]],A28,CATEGORIAS[[#All],[COSTO
ACUMULADO  AX]])
+SUMIF(CATEGORIAS[[#All],[SUBGRUPO]],A28,CATEGORIAS[[#All],[CAMBIO DE
CATEGORIA]])
+SUMIF(CATEGORIAS[[#All],[SUBGRUPO]],A28,CATEGORIAS[[#All],[PROVISIONES]])</f>
        <v>0</v>
      </c>
      <c r="I28" s="71">
        <f t="shared" si="24"/>
        <v>0</v>
      </c>
      <c r="K28" s="71">
        <f>+SUMIF(CATEGORIAS[[#All],[SUBGRUPO]],A28,CATEGORIAS[[#All],[PRODUCCION
ANTERIOR]])
+SUMIF(CATEGORIAS[[#All],[SUBGRUPO]],A28,CATEGORIAS[[#All],[PRODUCCION
ADICIONALES
ANTERIOR]])</f>
        <v>0</v>
      </c>
      <c r="L28" s="71">
        <f>+SUMIF(CATEGORIAS[[#All],[SUBGRUPO]],A28,CATEGORIAS[[#All],[COSTO ACUMULADO
ANTERIOR]])
+SUMIF(CATEGORIAS[[#All],[SUBGRUPO]],A28,CATEGORIAS[[#All],[CAMBIO DE
CATEGORIA
ANTERIOR]])
+SUMIF(CATEGORIAS[[#All],[SUBGRUPO]],A28,CATEGORIAS[[#All],[PROVISIONES
ANTERIOR]])</f>
        <v>0</v>
      </c>
      <c r="M28" s="71">
        <f t="shared" si="25"/>
        <v>0</v>
      </c>
      <c r="O28" s="85">
        <f t="shared" si="26"/>
        <v>0</v>
      </c>
      <c r="P28" s="85">
        <f t="shared" si="27"/>
        <v>0</v>
      </c>
      <c r="Q28" s="85">
        <f t="shared" si="28"/>
        <v>0</v>
      </c>
    </row>
    <row r="29" spans="1:17" ht="8.25" customHeight="1" x14ac:dyDescent="0.25"/>
    <row r="30" spans="1:17" ht="12.75" customHeight="1" x14ac:dyDescent="0.25">
      <c r="A30" s="14" t="str">
        <f>'Matriz de Produccion'!A30</f>
        <v>0C00</v>
      </c>
      <c r="B30" s="81" t="str">
        <f>'Matriz de Produccion'!B30:B30</f>
        <v>C - COSTO PROPORCIONAL HH</v>
      </c>
      <c r="D30" s="82">
        <f>SUM(D31:D36)</f>
        <v>438661457.75153172</v>
      </c>
      <c r="E30" s="82">
        <f>SUM(E31:E36)</f>
        <v>495177817.53729898</v>
      </c>
      <c r="G30" s="83">
        <f>SUM(G31:G36)</f>
        <v>495177817.53729898</v>
      </c>
      <c r="H30" s="84">
        <f>SUM(H31:H36)</f>
        <v>627380767.99974489</v>
      </c>
      <c r="I30" s="87">
        <f>SUM(I31:I36)</f>
        <v>-132202950.46244596</v>
      </c>
      <c r="K30" s="83">
        <f>SUM(K31:K36)</f>
        <v>492955865.26532376</v>
      </c>
      <c r="L30" s="84">
        <f>SUM(L31:L36)</f>
        <v>614918638.99974489</v>
      </c>
      <c r="M30" s="87">
        <f>SUM(M31:M36)</f>
        <v>-121962773.73442119</v>
      </c>
      <c r="O30" s="83">
        <f>SUM(O31:O36)</f>
        <v>2221952.2719752416</v>
      </c>
      <c r="P30" s="84">
        <f>SUM(P31:P36)</f>
        <v>12462129</v>
      </c>
      <c r="Q30" s="87">
        <f>SUM(Q31:Q36)</f>
        <v>-10240176.728024766</v>
      </c>
    </row>
    <row r="31" spans="1:17" ht="15" customHeight="1" x14ac:dyDescent="0.25">
      <c r="A31" s="14" t="str">
        <f>'Matriz de Produccion'!A31</f>
        <v>0C01</v>
      </c>
      <c r="B31" s="6" t="str">
        <f>VLOOKUP(A31,'Analisis por Categorias'!B:C,2,FALSE)</f>
        <v>Seguridad</v>
      </c>
      <c r="D31" s="3">
        <f>SUMIF(CATEGORIAS[[#All],[SUBGRUPO]],A31,CATEGORIAS[[#All],[PRESUPUESTO
(ORIGINAL)]])</f>
        <v>49460193.317142844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58579091.682807788</v>
      </c>
      <c r="G31" s="71">
        <f>+SUMIF(CATEGORIAS[[#All],[SUBGRUPO]],A31,CATEGORIAS[[#All],[PRODUCCION
PARTIDAS
ORIGINALES
ACTUAL]])
+SUMIF(CATEGORIAS[[#All],[SUBGRUPO]],A31,CATEGORIAS[[#All],[PRODUCCION
ADICIONALES
ACTUAL]])</f>
        <v>58579091.682807788</v>
      </c>
      <c r="H31" s="71">
        <f>+SUMIF(CATEGORIAS[[#All],[SUBGRUPO]],A31,CATEGORIAS[[#All],[COSTO
ACUMULADO  AX]])
+SUMIF(CATEGORIAS[[#All],[SUBGRUPO]],A31,CATEGORIAS[[#All],[CAMBIO DE
CATEGORIA]])
+SUMIF(CATEGORIAS[[#All],[SUBGRUPO]],A31,CATEGORIAS[[#All],[PROVISIONES]])</f>
        <v>65116448</v>
      </c>
      <c r="I31" s="71">
        <f t="shared" ref="I31:I36" si="29">G31-H31</f>
        <v>-6537356.3171922117</v>
      </c>
      <c r="K31" s="71">
        <f>+SUMIF(CATEGORIAS[[#All],[SUBGRUPO]],A31,CATEGORIAS[[#All],[PRODUCCION
ANTERIOR]])
+SUMIF(CATEGORIAS[[#All],[SUBGRUPO]],A31,CATEGORIAS[[#All],[PRODUCCION
ADICIONALES
ANTERIOR]])</f>
        <v>58570757.604158834</v>
      </c>
      <c r="L31" s="71">
        <f>+SUMIF(CATEGORIAS[[#All],[SUBGRUPO]],A31,CATEGORIAS[[#All],[COSTO ACUMULADO
ANTERIOR]])
+SUMIF(CATEGORIAS[[#All],[SUBGRUPO]],A31,CATEGORIAS[[#All],[CAMBIO DE
CATEGORIA
ANTERIOR]])
+SUMIF(CATEGORIAS[[#All],[SUBGRUPO]],A31,CATEGORIAS[[#All],[PROVISIONES
ANTERIOR]])</f>
        <v>72723221</v>
      </c>
      <c r="M31" s="71">
        <f t="shared" ref="M31:M36" si="30">K31-L31</f>
        <v>-14152463.395841166</v>
      </c>
      <c r="O31" s="71">
        <f t="shared" ref="O31:Q36" si="31">G31-K31</f>
        <v>8334.0786489546299</v>
      </c>
      <c r="P31" s="85">
        <f>H31-L31</f>
        <v>-7606773</v>
      </c>
      <c r="Q31" s="71">
        <f t="shared" si="31"/>
        <v>7615107.0786489546</v>
      </c>
    </row>
    <row r="32" spans="1:17" ht="15" customHeight="1" x14ac:dyDescent="0.25">
      <c r="A32" s="14" t="str">
        <f>'Matriz de Produccion'!A32</f>
        <v>0C02</v>
      </c>
      <c r="B32" s="6" t="str">
        <f>VLOOKUP(A32,'Analisis por Categorias'!B:C,2,FALSE)</f>
        <v>Materiales de Consumo</v>
      </c>
      <c r="D32" s="3">
        <f>SUMIF(CATEGORIAS[[#All],[SUBGRUPO]],A32,CATEGORIAS[[#All],[PRESUPUESTO
(ORIGINAL)]])</f>
        <v>12103994.75785714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13621052.235494256</v>
      </c>
      <c r="G32" s="71">
        <f>+SUMIF(CATEGORIAS[[#All],[SUBGRUPO]],A32,CATEGORIAS[[#All],[PRODUCCION
PARTIDAS
ORIGINALES
ACTUAL]])
+SUMIF(CATEGORIAS[[#All],[SUBGRUPO]],A32,CATEGORIAS[[#All],[PRODUCCION
ADICIONALES
ACTUAL]])</f>
        <v>13621052.235494256</v>
      </c>
      <c r="H32" s="71">
        <f>+SUMIF(CATEGORIAS[[#All],[SUBGRUPO]],A32,CATEGORIAS[[#All],[COSTO
ACUMULADO  AX]])
+SUMIF(CATEGORIAS[[#All],[SUBGRUPO]],A32,CATEGORIAS[[#All],[CAMBIO DE
CATEGORIA]])
+SUMIF(CATEGORIAS[[#All],[SUBGRUPO]],A32,CATEGORIAS[[#All],[PROVISIONES]])</f>
        <v>19527807.213078432</v>
      </c>
      <c r="I32" s="71">
        <f t="shared" si="29"/>
        <v>-5906754.9775841758</v>
      </c>
      <c r="K32" s="71">
        <f>+SUMIF(CATEGORIAS[[#All],[SUBGRUPO]],A32,CATEGORIAS[[#All],[PRODUCCION
ANTERIOR]])
+SUMIF(CATEGORIAS[[#All],[SUBGRUPO]],A32,CATEGORIAS[[#All],[PRODUCCION
ADICIONALES
ANTERIOR]])</f>
        <v>13619019.960807644</v>
      </c>
      <c r="L32" s="71">
        <f>+SUMIF(CATEGORIAS[[#All],[SUBGRUPO]],A32,CATEGORIAS[[#All],[COSTO ACUMULADO
ANTERIOR]])
+SUMIF(CATEGORIAS[[#All],[SUBGRUPO]],A32,CATEGORIAS[[#All],[CAMBIO DE
CATEGORIA
ANTERIOR]])
+SUMIF(CATEGORIAS[[#All],[SUBGRUPO]],A32,CATEGORIAS[[#All],[PROVISIONES
ANTERIOR]])</f>
        <v>24592291.213078432</v>
      </c>
      <c r="M32" s="71">
        <f t="shared" si="30"/>
        <v>-10973271.252270788</v>
      </c>
      <c r="O32" s="85">
        <f t="shared" si="31"/>
        <v>2032.2746866121888</v>
      </c>
      <c r="P32" s="85">
        <f>H32-L32</f>
        <v>-5064484</v>
      </c>
      <c r="Q32" s="85">
        <f>I32-M32</f>
        <v>5066516.2746866122</v>
      </c>
    </row>
    <row r="33" spans="1:17" ht="15" customHeight="1" x14ac:dyDescent="0.25">
      <c r="A33" s="14" t="str">
        <f>'Matriz de Produccion'!A33</f>
        <v>0C03</v>
      </c>
      <c r="B33" s="6" t="str">
        <f>VLOOKUP(A33,'Analisis por Categorias'!B:C,2,FALSE)</f>
        <v>Herramienta Menor</v>
      </c>
      <c r="D33" s="3">
        <f>SUMIF(CATEGORIAS[[#All],[SUBGRUPO]],A33,CATEGORIAS[[#All],[PRESUPUESTO
(ORIGINAL)]])</f>
        <v>8347786.981428571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18517102.573933292</v>
      </c>
      <c r="G33" s="71">
        <f>+SUMIF(CATEGORIAS[[#All],[SUBGRUPO]],A33,CATEGORIAS[[#All],[PRODUCCION
PARTIDAS
ORIGINALES
ACTUAL]])
+SUMIF(CATEGORIAS[[#All],[SUBGRUPO]],A33,CATEGORIAS[[#All],[PRODUCCION
ADICIONALES
ACTUAL]])</f>
        <v>18517102.573933292</v>
      </c>
      <c r="H33" s="71">
        <f>+SUMIF(CATEGORIAS[[#All],[SUBGRUPO]],A33,CATEGORIAS[[#All],[COSTO
ACUMULADO  AX]])
+SUMIF(CATEGORIAS[[#All],[SUBGRUPO]],A33,CATEGORIAS[[#All],[CAMBIO DE
CATEGORIA]])
+SUMIF(CATEGORIAS[[#All],[SUBGRUPO]],A33,CATEGORIAS[[#All],[PROVISIONES]])</f>
        <v>76380238</v>
      </c>
      <c r="I33" s="71">
        <f t="shared" ref="I33" si="32">G33-H33</f>
        <v>-57863135.426066712</v>
      </c>
      <c r="K33" s="71">
        <f>+SUMIF(CATEGORIAS[[#All],[SUBGRUPO]],A33,CATEGORIAS[[#All],[PRODUCCION
ANTERIOR]])
+SUMIF(CATEGORIAS[[#All],[SUBGRUPO]],A33,CATEGORIAS[[#All],[PRODUCCION
ADICIONALES
ANTERIOR]])</f>
        <v>16367567.062834885</v>
      </c>
      <c r="L33" s="71">
        <f>+SUMIF(CATEGORIAS[[#All],[SUBGRUPO]],A33,CATEGORIAS[[#All],[COSTO ACUMULADO
ANTERIOR]])
+SUMIF(CATEGORIAS[[#All],[SUBGRUPO]],A33,CATEGORIAS[[#All],[CAMBIO DE
CATEGORIA
ANTERIOR]])
+SUMIF(CATEGORIAS[[#All],[SUBGRUPO]],A33,CATEGORIAS[[#All],[PROVISIONES
ANTERIOR]])</f>
        <v>51297252</v>
      </c>
      <c r="M33" s="71">
        <f t="shared" ref="M33" si="33">K33-L33</f>
        <v>-34929684.937165111</v>
      </c>
      <c r="O33" s="71">
        <f t="shared" ref="O33" si="34">G33-K33</f>
        <v>2149535.5110984072</v>
      </c>
      <c r="P33" s="71">
        <f t="shared" ref="P33" si="35">H33-L33</f>
        <v>25082986</v>
      </c>
      <c r="Q33" s="71">
        <f t="shared" ref="Q33" si="36">I33-M33</f>
        <v>-22933450.4889016</v>
      </c>
    </row>
    <row r="34" spans="1:17" ht="15" customHeight="1" x14ac:dyDescent="0.25">
      <c r="A34" s="14" t="str">
        <f>'Matriz de Produccion'!A34</f>
        <v>0C04</v>
      </c>
      <c r="B34" s="6" t="str">
        <f>VLOOKUP(A34,'Analisis por Categorias'!B:C,2,FALSE)</f>
        <v>Movilización</v>
      </c>
      <c r="D34" s="3">
        <f>SUMIF(CATEGORIAS[[#All],[SUBGRUPO]],A34,CATEGORIAS[[#All],[PRESUPUESTO
(ORIGINAL)]])</f>
        <v>133254783.32614532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138339029.77206415</v>
      </c>
      <c r="G34" s="71">
        <f>+SUMIF(CATEGORIAS[[#All],[SUBGRUPO]],A34,CATEGORIAS[[#All],[PRODUCCION
PARTIDAS
ORIGINALES
ACTUAL]])
+SUMIF(CATEGORIAS[[#All],[SUBGRUPO]],A34,CATEGORIAS[[#All],[PRODUCCION
ADICIONALES
ACTUAL]])</f>
        <v>138339029.77206415</v>
      </c>
      <c r="H34" s="71">
        <f>+SUMIF(CATEGORIAS[[#All],[SUBGRUPO]],A34,CATEGORIAS[[#All],[COSTO
ACUMULADO  AX]])
+SUMIF(CATEGORIAS[[#All],[SUBGRUPO]],A34,CATEGORIAS[[#All],[CAMBIO DE
CATEGORIA]])
+SUMIF(CATEGORIAS[[#All],[SUBGRUPO]],A34,CATEGORIAS[[#All],[PROVISIONES]])</f>
        <v>199139273.3666665</v>
      </c>
      <c r="I34" s="71">
        <f t="shared" si="29"/>
        <v>-60800243.594602346</v>
      </c>
      <c r="K34" s="71">
        <f>+SUMIF(CATEGORIAS[[#All],[SUBGRUPO]],A34,CATEGORIAS[[#All],[PRODUCCION
ANTERIOR]])
+SUMIF(CATEGORIAS[[#All],[SUBGRUPO]],A34,CATEGORIAS[[#All],[PRODUCCION
ADICIONALES
ANTERIOR]])</f>
        <v>138316596.17540342</v>
      </c>
      <c r="L34" s="71">
        <f>+SUMIF(CATEGORIAS[[#All],[SUBGRUPO]],A34,CATEGORIAS[[#All],[COSTO ACUMULADO
ANTERIOR]])
+SUMIF(CATEGORIAS[[#All],[SUBGRUPO]],A34,CATEGORIAS[[#All],[CAMBIO DE
CATEGORIA
ANTERIOR]])
+SUMIF(CATEGORIAS[[#All],[SUBGRUPO]],A34,CATEGORIAS[[#All],[PROVISIONES
ANTERIOR]])</f>
        <v>199139273.3666665</v>
      </c>
      <c r="M34" s="71">
        <f t="shared" si="30"/>
        <v>-60822677.19126308</v>
      </c>
      <c r="O34" s="71">
        <f t="shared" si="31"/>
        <v>22433.596660733223</v>
      </c>
      <c r="P34" s="71">
        <f t="shared" si="31"/>
        <v>0</v>
      </c>
      <c r="Q34" s="71">
        <f>I34-M34</f>
        <v>22433.596660733223</v>
      </c>
    </row>
    <row r="35" spans="1:17" ht="15" customHeight="1" x14ac:dyDescent="0.25">
      <c r="A35" s="14" t="str">
        <f>'Matriz de Produccion'!A35</f>
        <v>0C05</v>
      </c>
      <c r="B35" s="276" t="str">
        <f>VLOOKUP(A35,'Analisis por Categorias'!B:C,2,FALSE)</f>
        <v>Alimentación</v>
      </c>
      <c r="D35" s="3">
        <f>SUMIF(CATEGORIAS[[#All],[SUBGRUPO]],A35,CATEGORIAS[[#All],[PRESUPUESTO
(ORIGINAL)]])</f>
        <v>55445822.578890182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63925819.282506973</v>
      </c>
      <c r="G35" s="71">
        <f>+SUMIF(CATEGORIAS[[#All],[SUBGRUPO]],A35,CATEGORIAS[[#All],[PRODUCCION
PARTIDAS
ORIGINALES
ACTUAL]])
+SUMIF(CATEGORIAS[[#All],[SUBGRUPO]],A35,CATEGORIAS[[#All],[PRODUCCION
ADICIONALES
ACTUAL]])</f>
        <v>63925819.282506973</v>
      </c>
      <c r="H35" s="71">
        <f>+SUMIF(CATEGORIAS[[#All],[SUBGRUPO]],A35,CATEGORIAS[[#All],[COSTO
ACUMULADO  AX]])
+SUMIF(CATEGORIAS[[#All],[SUBGRUPO]],A35,CATEGORIAS[[#All],[CAMBIO DE
CATEGORIA]])
+SUMIF(CATEGORIAS[[#All],[SUBGRUPO]],A35,CATEGORIAS[[#All],[PROVISIONES]])</f>
        <v>55284127.420000002</v>
      </c>
      <c r="I35" s="71">
        <f t="shared" ref="I35" si="37">G35-H35</f>
        <v>8641691.8625069708</v>
      </c>
      <c r="K35" s="71">
        <f>+SUMIF(CATEGORIAS[[#All],[SUBGRUPO]],A35,CATEGORIAS[[#All],[PRODUCCION
ANTERIOR]])
+SUMIF(CATEGORIAS[[#All],[SUBGRUPO]],A35,CATEGORIAS[[#All],[PRODUCCION
ADICIONALES
ANTERIOR]])</f>
        <v>63916476.620961644</v>
      </c>
      <c r="L35" s="71">
        <f>+SUMIF(CATEGORIAS[[#All],[SUBGRUPO]],A35,CATEGORIAS[[#All],[COSTO ACUMULADO
ANTERIOR]])
+SUMIF(CATEGORIAS[[#All],[SUBGRUPO]],A35,CATEGORIAS[[#All],[CAMBIO DE
CATEGORIA
ANTERIOR]])
+SUMIF(CATEGORIAS[[#All],[SUBGRUPO]],A35,CATEGORIAS[[#All],[PROVISIONES
ANTERIOR]])</f>
        <v>55284127.420000002</v>
      </c>
      <c r="M35" s="71">
        <f t="shared" ref="M35" si="38">K35-L35</f>
        <v>8632349.200961642</v>
      </c>
      <c r="O35" s="71">
        <f t="shared" ref="O35" si="39">G35-K35</f>
        <v>9342.6615453287959</v>
      </c>
      <c r="P35" s="85">
        <f t="shared" ref="P35" si="40">H35-L35</f>
        <v>0</v>
      </c>
      <c r="Q35" s="71">
        <f t="shared" ref="Q35" si="41">I35-M35</f>
        <v>9342.6615453287959</v>
      </c>
    </row>
    <row r="36" spans="1:17" ht="15" customHeight="1" x14ac:dyDescent="0.25">
      <c r="A36" s="14" t="str">
        <f>'Matriz de Produccion'!A36</f>
        <v>0C06</v>
      </c>
      <c r="B36" s="6" t="str">
        <f>VLOOKUP(A36,'Analisis por Categorias'!B:C,2,FALSE)</f>
        <v>Hoteleria</v>
      </c>
      <c r="D36" s="3">
        <f>SUMIF(CATEGORIAS[[#All],[SUBGRUPO]],A36,CATEGORIAS[[#All],[PRESUPUESTO
(ORIGINAL)]])</f>
        <v>180048876.79006767</v>
      </c>
      <c r="E36" s="3">
        <f>+SUMIF(CATEGORIAS[[#All],[SUBGRUPO]],A36,CATEGORIAS[[#All],[PRODUCCION
PARTIDAS
ORIGINALES
ACTUAL]])
+SUMIF(CATEGORIAS[[#All],[SUBGRUPO]],A36,CATEGORIAS[[#All],[PRODUCCION
ADICIONALES
ACTUAL]])
+SUMIF(CATEGORIAS[[#All],[SUBGRUPO]],A36,CATEGORIAS[[#All],[PROYECCION
DE INGRESO
DEL SALDO]])</f>
        <v>202195721.99049252</v>
      </c>
      <c r="G36" s="71">
        <f>+SUMIF(CATEGORIAS[[#All],[SUBGRUPO]],A36,CATEGORIAS[[#All],[PRODUCCION
PARTIDAS
ORIGINALES
ACTUAL]])
+SUMIF(CATEGORIAS[[#All],[SUBGRUPO]],A36,CATEGORIAS[[#All],[PRODUCCION
ADICIONALES
ACTUAL]])</f>
        <v>202195721.99049252</v>
      </c>
      <c r="H36" s="71">
        <f>+SUMIF(CATEGORIAS[[#All],[SUBGRUPO]],A36,CATEGORIAS[[#All],[COSTO
ACUMULADO  AX]])
+SUMIF(CATEGORIAS[[#All],[SUBGRUPO]],A36,CATEGORIAS[[#All],[CAMBIO DE
CATEGORIA]])
+SUMIF(CATEGORIAS[[#All],[SUBGRUPO]],A36,CATEGORIAS[[#All],[PROVISIONES]])</f>
        <v>211932874</v>
      </c>
      <c r="I36" s="71">
        <f t="shared" si="29"/>
        <v>-9737152.0095074773</v>
      </c>
      <c r="K36" s="71">
        <f>+SUMIF(CATEGORIAS[[#All],[SUBGRUPO]],A36,CATEGORIAS[[#All],[PRODUCCION
ANTERIOR]])
+SUMIF(CATEGORIAS[[#All],[SUBGRUPO]],A36,CATEGORIAS[[#All],[PRODUCCION
ADICIONALES
ANTERIOR]])</f>
        <v>202165447.84115732</v>
      </c>
      <c r="L36" s="71">
        <f>+SUMIF(CATEGORIAS[[#All],[SUBGRUPO]],A36,CATEGORIAS[[#All],[COSTO ACUMULADO
ANTERIOR]])
+SUMIF(CATEGORIAS[[#All],[SUBGRUPO]],A36,CATEGORIAS[[#All],[CAMBIO DE
CATEGORIA
ANTERIOR]])
+SUMIF(CATEGORIAS[[#All],[SUBGRUPO]],A36,CATEGORIAS[[#All],[PROVISIONES
ANTERIOR]])</f>
        <v>211882474</v>
      </c>
      <c r="M36" s="71">
        <f t="shared" si="30"/>
        <v>-9717026.1588426828</v>
      </c>
      <c r="O36" s="85">
        <f t="shared" si="31"/>
        <v>30274.149335205555</v>
      </c>
      <c r="P36" s="85">
        <f t="shared" si="31"/>
        <v>50400</v>
      </c>
      <c r="Q36" s="85">
        <f t="shared" si="31"/>
        <v>-20125.850664794445</v>
      </c>
    </row>
    <row r="37" spans="1:17" ht="8.25" customHeight="1" x14ac:dyDescent="0.25"/>
    <row r="38" spans="1:17" ht="15" customHeight="1" x14ac:dyDescent="0.25">
      <c r="A38" s="14" t="str">
        <f>'Matriz de Produccion'!A38</f>
        <v>0D00</v>
      </c>
      <c r="B38" s="81" t="str">
        <f>'Matriz de Produccion'!B38:B38</f>
        <v>D - EQUIPOS Y COMBUSTIBLES</v>
      </c>
      <c r="D38" s="82">
        <f>SUM(D39:D47)</f>
        <v>825206144.46633112</v>
      </c>
      <c r="E38" s="82">
        <f>SUM(E39:E47)</f>
        <v>1005746952.9262139</v>
      </c>
      <c r="G38" s="83">
        <f>SUM(G39:G47)</f>
        <v>1005746952.9262139</v>
      </c>
      <c r="H38" s="84">
        <f>SUM(H39:H47)</f>
        <v>718626203.34471464</v>
      </c>
      <c r="I38" s="87">
        <f>SUM(I39:I47)</f>
        <v>287120749.58149916</v>
      </c>
      <c r="K38" s="83">
        <f>SUM(K39:K47)</f>
        <v>1005604806.9441338</v>
      </c>
      <c r="L38" s="84">
        <f>SUM(L39:L47)</f>
        <v>724127434.34471464</v>
      </c>
      <c r="M38" s="87">
        <f>SUM(M39:M47)</f>
        <v>281477372.59941888</v>
      </c>
      <c r="O38" s="83">
        <f>SUM(O39:O47)</f>
        <v>142145.98208031058</v>
      </c>
      <c r="P38" s="84">
        <f>SUM(P39:P47)</f>
        <v>-5501231</v>
      </c>
      <c r="Q38" s="87">
        <f>SUM(Q39:Q47)</f>
        <v>5643376.9820803106</v>
      </c>
    </row>
    <row r="39" spans="1:17" ht="15" customHeight="1" x14ac:dyDescent="0.25">
      <c r="A39" s="14" t="str">
        <f>'Matriz de Produccion'!A39</f>
        <v>0D01</v>
      </c>
      <c r="B39" s="6" t="str">
        <f>VLOOKUP(A39,'Analisis por Categorias'!B:C,2,FALSE)</f>
        <v>Equipos Mayores</v>
      </c>
      <c r="D39" s="3">
        <f>SUMIF(CATEGORIAS[[#All],[SUBGRUPO]],A39,CATEGORIAS[[#All],[PRESUPUESTO
(ORIGINAL)]])</f>
        <v>311231352.43199998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416776719.61365134</v>
      </c>
      <c r="G39" s="71">
        <f>+SUMIF(CATEGORIAS[[#All],[SUBGRUPO]],A39,CATEGORIAS[[#All],[PRODUCCION
PARTIDAS
ORIGINALES
ACTUAL]])
+SUMIF(CATEGORIAS[[#All],[SUBGRUPO]],A39,CATEGORIAS[[#All],[PRODUCCION
ADICIONALES
ACTUAL]])</f>
        <v>416776719.61365134</v>
      </c>
      <c r="H39" s="71">
        <f>+SUMIF(CATEGORIAS[[#All],[SUBGRUPO]],A39,CATEGORIAS[[#All],[COSTO
ACUMULADO  AX]])
+SUMIF(CATEGORIAS[[#All],[SUBGRUPO]],A39,CATEGORIAS[[#All],[CAMBIO DE
CATEGORIA]])
+SUMIF(CATEGORIAS[[#All],[SUBGRUPO]],A39,CATEGORIAS[[#All],[PROVISIONES]])</f>
        <v>366477770.97046244</v>
      </c>
      <c r="I39" s="71">
        <f t="shared" ref="I39:I44" si="42">G39-H39</f>
        <v>50298948.643188894</v>
      </c>
      <c r="K39" s="71">
        <f>+SUMIF(CATEGORIAS[[#All],[SUBGRUPO]],A39,CATEGORIAS[[#All],[PRODUCCION
ANTERIOR]])
+SUMIF(CATEGORIAS[[#All],[SUBGRUPO]],A39,CATEGORIAS[[#All],[PRODUCCION
ADICIONALES
ANTERIOR]])</f>
        <v>416715624.70894581</v>
      </c>
      <c r="L39" s="71">
        <f>+SUMIF(CATEGORIAS[[#All],[SUBGRUPO]],A39,CATEGORIAS[[#All],[COSTO ACUMULADO
ANTERIOR]])
+SUMIF(CATEGORIAS[[#All],[SUBGRUPO]],A39,CATEGORIAS[[#All],[CAMBIO DE
CATEGORIA
ANTERIOR]])
+SUMIF(CATEGORIAS[[#All],[SUBGRUPO]],A39,CATEGORIAS[[#All],[PROVISIONES
ANTERIOR]])</f>
        <v>369859482.97046244</v>
      </c>
      <c r="M39" s="71">
        <f>K39-L39</f>
        <v>46856141.738483369</v>
      </c>
      <c r="O39" s="71">
        <f t="shared" ref="O39:Q44" si="43">G39-K39</f>
        <v>61094.904705524445</v>
      </c>
      <c r="P39" s="71">
        <f>H39-L39</f>
        <v>-3381712</v>
      </c>
      <c r="Q39" s="71">
        <f>I39-M39</f>
        <v>3442806.9047055244</v>
      </c>
    </row>
    <row r="40" spans="1:17" ht="15" customHeight="1" x14ac:dyDescent="0.25">
      <c r="A40" s="14" t="str">
        <f>'Matriz de Produccion'!A40</f>
        <v>0D02</v>
      </c>
      <c r="B40" s="6" t="str">
        <f>VLOOKUP(A40,'Analisis por Categorias'!B:C,2,FALSE)</f>
        <v>Equipos Menores</v>
      </c>
      <c r="D40" s="3">
        <f>SUMIF(CATEGORIAS[[#All],[SUBGRUPO]],A40,CATEGORIAS[[#All],[PRESUPUESTO
(ORIGINAL)]])</f>
        <v>106019661.30159998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106622331.43438119</v>
      </c>
      <c r="G40" s="71">
        <f>+SUMIF(CATEGORIAS[[#All],[SUBGRUPO]],A40,CATEGORIAS[[#All],[PRODUCCION
PARTIDAS
ORIGINALES
ACTUAL]])
+SUMIF(CATEGORIAS[[#All],[SUBGRUPO]],A40,CATEGORIAS[[#All],[PRODUCCION
ADICIONALES
ACTUAL]])</f>
        <v>106622331.43438119</v>
      </c>
      <c r="H40" s="71">
        <f>+SUMIF(CATEGORIAS[[#All],[SUBGRUPO]],A40,CATEGORIAS[[#All],[COSTO
ACUMULADO  AX]])
+SUMIF(CATEGORIAS[[#All],[SUBGRUPO]],A40,CATEGORIAS[[#All],[CAMBIO DE
CATEGORIA]])
+SUMIF(CATEGORIAS[[#All],[SUBGRUPO]],A40,CATEGORIAS[[#All],[PROVISIONES]])</f>
        <v>65653934</v>
      </c>
      <c r="I40" s="71">
        <f t="shared" si="42"/>
        <v>40968397.434381187</v>
      </c>
      <c r="K40" s="71">
        <f>+SUMIF(CATEGORIAS[[#All],[SUBGRUPO]],A40,CATEGORIAS[[#All],[PRODUCCION
ANTERIOR]])
+SUMIF(CATEGORIAS[[#All],[SUBGRUPO]],A40,CATEGORIAS[[#All],[PRODUCCION
ADICIONALES
ANTERIOR]])</f>
        <v>106610468.79046114</v>
      </c>
      <c r="L40" s="71">
        <f>+SUMIF(CATEGORIAS[[#All],[SUBGRUPO]],A40,CATEGORIAS[[#All],[COSTO ACUMULADO
ANTERIOR]])
+SUMIF(CATEGORIAS[[#All],[SUBGRUPO]],A40,CATEGORIAS[[#All],[CAMBIO DE
CATEGORIA
ANTERIOR]])
+SUMIF(CATEGORIAS[[#All],[SUBGRUPO]],A40,CATEGORIAS[[#All],[PROVISIONES
ANTERIOR]])</f>
        <v>72158906</v>
      </c>
      <c r="M40" s="71">
        <f t="shared" ref="M40:M44" si="44">K40-L40</f>
        <v>34451562.790461138</v>
      </c>
      <c r="O40" s="71">
        <f t="shared" si="43"/>
        <v>11862.643920049071</v>
      </c>
      <c r="P40" s="71">
        <f>H40-L40</f>
        <v>-6504972</v>
      </c>
      <c r="Q40" s="71">
        <f t="shared" si="43"/>
        <v>6516834.6439200491</v>
      </c>
    </row>
    <row r="41" spans="1:17" ht="15" customHeight="1" x14ac:dyDescent="0.25">
      <c r="A41" s="14" t="str">
        <f>'Matriz de Produccion'!A41</f>
        <v>0D03</v>
      </c>
      <c r="B41" s="6" t="str">
        <f>VLOOKUP(A41,'Analisis por Categorias'!B:C,2,FALSE)</f>
        <v>Movimiento de tierra</v>
      </c>
      <c r="D41" s="3">
        <f>SUMIF(CATEGORIAS[[#All],[SUBGRUPO]],A41,CATEGORIAS[[#All],[PRESUPUESTO
(ORIGINAL)]])</f>
        <v>128778478.8483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113058927.49045363</v>
      </c>
      <c r="G41" s="71">
        <f>+SUMIF(CATEGORIAS[[#All],[SUBGRUPO]],A41,CATEGORIAS[[#All],[PRODUCCION
PARTIDAS
ORIGINALES
ACTUAL]])
+SUMIF(CATEGORIAS[[#All],[SUBGRUPO]],A41,CATEGORIAS[[#All],[PRODUCCION
ADICIONALES
ACTUAL]])</f>
        <v>113058927.49045363</v>
      </c>
      <c r="H41" s="71">
        <f>+SUMIF(CATEGORIAS[[#All],[SUBGRUPO]],A41,CATEGORIAS[[#All],[COSTO
ACUMULADO  AX]])
+SUMIF(CATEGORIAS[[#All],[SUBGRUPO]],A41,CATEGORIAS[[#All],[CAMBIO DE
CATEGORIA]])
+SUMIF(CATEGORIAS[[#All],[SUBGRUPO]],A41,CATEGORIAS[[#All],[PROVISIONES]])</f>
        <v>49682240.374252252</v>
      </c>
      <c r="I41" s="71">
        <f t="shared" si="42"/>
        <v>63376687.116201378</v>
      </c>
      <c r="K41" s="71">
        <f>+SUMIF(CATEGORIAS[[#All],[SUBGRUPO]],A41,CATEGORIAS[[#All],[PRODUCCION
ANTERIOR]])
+SUMIF(CATEGORIAS[[#All],[SUBGRUPO]],A41,CATEGORIAS[[#All],[PRODUCCION
ADICIONALES
ANTERIOR]])</f>
        <v>113044520.37734231</v>
      </c>
      <c r="L41" s="71">
        <f>+SUMIF(CATEGORIAS[[#All],[SUBGRUPO]],A41,CATEGORIAS[[#All],[COSTO ACUMULADO
ANTERIOR]])
+SUMIF(CATEGORIAS[[#All],[SUBGRUPO]],A41,CATEGORIAS[[#All],[CAMBIO DE
CATEGORIA
ANTERIOR]])
+SUMIF(CATEGORIAS[[#All],[SUBGRUPO]],A41,CATEGORIAS[[#All],[PROVISIONES
ANTERIOR]])</f>
        <v>49682240.374252252</v>
      </c>
      <c r="M41" s="71">
        <f t="shared" si="44"/>
        <v>63362280.003090061</v>
      </c>
      <c r="O41" s="71">
        <f t="shared" si="43"/>
        <v>14407.113111317158</v>
      </c>
      <c r="P41" s="71">
        <f>H41-L41</f>
        <v>0</v>
      </c>
      <c r="Q41" s="85">
        <f t="shared" si="43"/>
        <v>14407.113111317158</v>
      </c>
    </row>
    <row r="42" spans="1:17" ht="15" customHeight="1" x14ac:dyDescent="0.25">
      <c r="A42" s="14" t="str">
        <f>'Matriz de Produccion'!A42</f>
        <v>0D04</v>
      </c>
      <c r="B42" s="6" t="str">
        <f>VLOOKUP(A42,'Analisis por Categorias'!B:C,2,FALSE)</f>
        <v>Andamios</v>
      </c>
      <c r="D42" s="3">
        <f>SUMIF(CATEGORIAS[[#All],[SUBGRUPO]],A42,CATEGORIAS[[#All],[PRESUPUESTO
(ORIGINAL)]])</f>
        <v>23667361.039999999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31204227.294636883</v>
      </c>
      <c r="G42" s="71">
        <f>+SUMIF(CATEGORIAS[[#All],[SUBGRUPO]],A42,CATEGORIAS[[#All],[PRODUCCION
PARTIDAS
ORIGINALES
ACTUAL]])
+SUMIF(CATEGORIAS[[#All],[SUBGRUPO]],A42,CATEGORIAS[[#All],[PRODUCCION
ADICIONALES
ACTUAL]])</f>
        <v>31204227.294636883</v>
      </c>
      <c r="H42" s="71">
        <f>+SUMIF(CATEGORIAS[[#All],[SUBGRUPO]],A42,CATEGORIAS[[#All],[COSTO
ACUMULADO  AX]])
+SUMIF(CATEGORIAS[[#All],[SUBGRUPO]],A42,CATEGORIAS[[#All],[CAMBIO DE
CATEGORIA]])
+SUMIF(CATEGORIAS[[#All],[SUBGRUPO]],A42,CATEGORIAS[[#All],[PROVISIONES]])</f>
        <v>55789943</v>
      </c>
      <c r="I42" s="71">
        <f t="shared" si="42"/>
        <v>-24585715.705363117</v>
      </c>
      <c r="K42" s="71">
        <f>+SUMIF(CATEGORIAS[[#All],[SUBGRUPO]],A42,CATEGORIAS[[#All],[PRODUCCION
ANTERIOR]])
+SUMIF(CATEGORIAS[[#All],[SUBGRUPO]],A42,CATEGORIAS[[#All],[PRODUCCION
ADICIONALES
ANTERIOR]])</f>
        <v>31199602.604252309</v>
      </c>
      <c r="L42" s="71">
        <f>+SUMIF(CATEGORIAS[[#All],[SUBGRUPO]],A42,CATEGORIAS[[#All],[COSTO ACUMULADO
ANTERIOR]])
+SUMIF(CATEGORIAS[[#All],[SUBGRUPO]],A42,CATEGORIAS[[#All],[CAMBIO DE
CATEGORIA
ANTERIOR]])
+SUMIF(CATEGORIAS[[#All],[SUBGRUPO]],A42,CATEGORIAS[[#All],[PROVISIONES
ANTERIOR]])</f>
        <v>55194061</v>
      </c>
      <c r="M42" s="71">
        <f t="shared" si="44"/>
        <v>-23994458.395747691</v>
      </c>
      <c r="O42" s="71">
        <f t="shared" si="43"/>
        <v>4624.6903845742345</v>
      </c>
      <c r="P42" s="71">
        <f t="shared" si="43"/>
        <v>595882</v>
      </c>
      <c r="Q42" s="71">
        <f t="shared" si="43"/>
        <v>-591257.30961542577</v>
      </c>
    </row>
    <row r="43" spans="1:17" ht="15" customHeight="1" x14ac:dyDescent="0.25">
      <c r="A43" s="14" t="str">
        <f>'Matriz de Produccion'!A43</f>
        <v>0D05</v>
      </c>
      <c r="B43" s="276" t="str">
        <f>VLOOKUP(A43,'Analisis por Categorias'!B:C,2,FALSE)</f>
        <v>Combustible</v>
      </c>
      <c r="D43" s="3">
        <f>SUMIF(CATEGORIAS[[#All],[SUBGRUPO]],A43,CATEGORIAS[[#All],[PRESUPUESTO
(ORIGINAL)]])</f>
        <v>39200000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51868650.420693725</v>
      </c>
      <c r="G43" s="71">
        <f>+SUMIF(CATEGORIAS[[#All],[SUBGRUPO]],A43,CATEGORIAS[[#All],[PRODUCCION
PARTIDAS
ORIGINALES
ACTUAL]])
+SUMIF(CATEGORIAS[[#All],[SUBGRUPO]],A43,CATEGORIAS[[#All],[PRODUCCION
ADICIONALES
ACTUAL]])</f>
        <v>51868650.420693725</v>
      </c>
      <c r="H43" s="71">
        <f>+SUMIF(CATEGORIAS[[#All],[SUBGRUPO]],A43,CATEGORIAS[[#All],[COSTO
ACUMULADO  AX]])
+SUMIF(CATEGORIAS[[#All],[SUBGRUPO]],A43,CATEGORIAS[[#All],[CAMBIO DE
CATEGORIA]])
+SUMIF(CATEGORIAS[[#All],[SUBGRUPO]],A43,CATEGORIAS[[#All],[PROVISIONES]])</f>
        <v>7807673</v>
      </c>
      <c r="I43" s="71">
        <f t="shared" si="42"/>
        <v>44060977.420693725</v>
      </c>
      <c r="K43" s="71">
        <f>+SUMIF(CATEGORIAS[[#All],[SUBGRUPO]],A43,CATEGORIAS[[#All],[PRODUCCION
ANTERIOR]])
+SUMIF(CATEGORIAS[[#All],[SUBGRUPO]],A43,CATEGORIAS[[#All],[PRODUCCION
ADICIONALES
ANTERIOR]])</f>
        <v>51860955.43673487</v>
      </c>
      <c r="L43" s="71">
        <f>+SUMIF(CATEGORIAS[[#All],[SUBGRUPO]],A43,CATEGORIAS[[#All],[COSTO ACUMULADO
ANTERIOR]])
+SUMIF(CATEGORIAS[[#All],[SUBGRUPO]],A43,CATEGORIAS[[#All],[CAMBIO DE
CATEGORIA
ANTERIOR]])
+SUMIF(CATEGORIAS[[#All],[SUBGRUPO]],A43,CATEGORIAS[[#All],[PROVISIONES
ANTERIOR]])</f>
        <v>7372308</v>
      </c>
      <c r="M43" s="71">
        <f t="shared" si="44"/>
        <v>44488647.43673487</v>
      </c>
      <c r="O43" s="71">
        <f t="shared" si="43"/>
        <v>7694.9839588552713</v>
      </c>
      <c r="P43" s="85">
        <f t="shared" si="43"/>
        <v>435365</v>
      </c>
      <c r="Q43" s="71">
        <f t="shared" si="43"/>
        <v>-427670.01604114473</v>
      </c>
    </row>
    <row r="44" spans="1:17" ht="15" customHeight="1" x14ac:dyDescent="0.25">
      <c r="A44" s="14" t="str">
        <f>'Matriz de Produccion'!A44</f>
        <v>0D06</v>
      </c>
      <c r="B44" s="6" t="str">
        <f>VLOOKUP(A44,'Analisis por Categorias'!B:C,2,FALSE)</f>
        <v>Fletes</v>
      </c>
      <c r="D44" s="3">
        <f>SUMIF(CATEGORIAS[[#All],[SUBGRUPO]],A44,CATEGORIAS[[#All],[PRESUPUESTO
(ORIGINAL)]])</f>
        <v>36937813.120000005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48875370.30679068</v>
      </c>
      <c r="G44" s="71">
        <f>+SUMIF(CATEGORIAS[[#All],[SUBGRUPO]],A44,CATEGORIAS[[#All],[PRODUCCION
PARTIDAS
ORIGINALES
ACTUAL]])
+SUMIF(CATEGORIAS[[#All],[SUBGRUPO]],A44,CATEGORIAS[[#All],[PRODUCCION
ADICIONALES
ACTUAL]])</f>
        <v>48875370.30679068</v>
      </c>
      <c r="H44" s="71">
        <f>+SUMIF(CATEGORIAS[[#All],[SUBGRUPO]],A44,CATEGORIAS[[#All],[COSTO
ACUMULADO  AX]])
+SUMIF(CATEGORIAS[[#All],[SUBGRUPO]],A44,CATEGORIAS[[#All],[CAMBIO DE
CATEGORIA]])
+SUMIF(CATEGORIAS[[#All],[SUBGRUPO]],A44,CATEGORIAS[[#All],[PROVISIONES]])</f>
        <v>53240852</v>
      </c>
      <c r="I44" s="71">
        <f t="shared" si="42"/>
        <v>-4365481.6932093203</v>
      </c>
      <c r="K44" s="71">
        <f>+SUMIF(CATEGORIAS[[#All],[SUBGRUPO]],A44,CATEGORIAS[[#All],[PRODUCCION
ANTERIOR]])
+SUMIF(CATEGORIAS[[#All],[SUBGRUPO]],A44,CATEGORIAS[[#All],[PRODUCCION
ADICIONALES
ANTERIOR]])</f>
        <v>48868119.391499005</v>
      </c>
      <c r="L44" s="71">
        <f>+SUMIF(CATEGORIAS[[#All],[SUBGRUPO]],A44,CATEGORIAS[[#All],[COSTO ACUMULADO
ANTERIOR]])
+SUMIF(CATEGORIAS[[#All],[SUBGRUPO]],A44,CATEGORIAS[[#All],[CAMBIO DE
CATEGORIA
ANTERIOR]])
+SUMIF(CATEGORIAS[[#All],[SUBGRUPO]],A44,CATEGORIAS[[#All],[PROVISIONES
ANTERIOR]])</f>
        <v>51140852</v>
      </c>
      <c r="M44" s="71">
        <f t="shared" si="44"/>
        <v>-2272732.6085009947</v>
      </c>
      <c r="O44" s="71">
        <f t="shared" si="43"/>
        <v>7250.9152916744351</v>
      </c>
      <c r="P44" s="71">
        <f>H44-L44</f>
        <v>2100000</v>
      </c>
      <c r="Q44" s="71">
        <f t="shared" si="43"/>
        <v>-2092749.0847083256</v>
      </c>
    </row>
    <row r="45" spans="1:17" ht="15" customHeight="1" x14ac:dyDescent="0.25">
      <c r="A45" s="14" t="str">
        <f>'Matriz de Produccion'!A45</f>
        <v>0D07</v>
      </c>
      <c r="B45" s="6" t="str">
        <f>VLOOKUP(A45,'Analisis por Categorias'!B:C,2,FALSE)</f>
        <v>Operador</v>
      </c>
      <c r="D45" s="3">
        <f>SUMIF(CATEGORIAS[[#All],[SUBGRUPO]],A45,CATEGORIAS[[#All],[PRESUPUESTO
(ORIGINAL)]])</f>
        <v>109544629.7149321</v>
      </c>
      <c r="E45" s="3">
        <f>+SUMIF(CATEGORIAS[[#All],[SUBGRUPO]],A45,CATEGORIAS[[#All],[PRODUCCION
PARTIDAS
ORIGINALES
ACTUAL]])
+SUMIF(CATEGORIAS[[#All],[SUBGRUPO]],A45,CATEGORIAS[[#All],[PRODUCCION
ADICIONALES
ACTUAL]])
+SUMIF(CATEGORIAS[[#All],[SUBGRUPO]],A45,CATEGORIAS[[#All],[PROYECCION
DE INGRESO
DEL SALDO]])</f>
        <v>144947247.55479977</v>
      </c>
      <c r="G45" s="71">
        <f>+SUMIF(CATEGORIAS[[#All],[SUBGRUPO]],A45,CATEGORIAS[[#All],[PRODUCCION
PARTIDAS
ORIGINALES
ACTUAL]])
+SUMIF(CATEGORIAS[[#All],[SUBGRUPO]],A45,CATEGORIAS[[#All],[PRODUCCION
ADICIONALES
ACTUAL]])</f>
        <v>144947247.55479977</v>
      </c>
      <c r="H45" s="71">
        <f>+SUMIF(CATEGORIAS[[#All],[SUBGRUPO]],A45,CATEGORIAS[[#All],[COSTO
ACUMULADO  AX]])
+SUMIF(CATEGORIAS[[#All],[SUBGRUPO]],A45,CATEGORIAS[[#All],[CAMBIO DE
CATEGORIA]])
+SUMIF(CATEGORIAS[[#All],[SUBGRUPO]],A45,CATEGORIAS[[#All],[PROVISIONES]])</f>
        <v>78474322</v>
      </c>
      <c r="I45" s="71">
        <f t="shared" ref="I45:I47" si="45">G45-H45</f>
        <v>66472925.554799765</v>
      </c>
      <c r="K45" s="71">
        <f>+SUMIF(CATEGORIAS[[#All],[SUBGRUPO]],A45,CATEGORIAS[[#All],[PRODUCCION
ANTERIOR]])
+SUMIF(CATEGORIAS[[#All],[SUBGRUPO]],A45,CATEGORIAS[[#All],[PRODUCCION
ADICIONALES
ANTERIOR]])</f>
        <v>144925743.87703356</v>
      </c>
      <c r="L45" s="71">
        <f>+SUMIF(CATEGORIAS[[#All],[SUBGRUPO]],A45,CATEGORIAS[[#All],[COSTO ACUMULADO
ANTERIOR]])
+SUMIF(CATEGORIAS[[#All],[SUBGRUPO]],A45,CATEGORIAS[[#All],[CAMBIO DE
CATEGORIA
ANTERIOR]])
+SUMIF(CATEGORIAS[[#All],[SUBGRUPO]],A45,CATEGORIAS[[#All],[PROVISIONES
ANTERIOR]])</f>
        <v>78474322</v>
      </c>
      <c r="M45" s="71">
        <f t="shared" ref="M45:M47" si="46">K45-L45</f>
        <v>66451421.877033561</v>
      </c>
      <c r="O45" s="85">
        <f t="shared" ref="O45:O47" si="47">G45-K45</f>
        <v>21503.67776620388</v>
      </c>
      <c r="P45" s="71">
        <f t="shared" ref="P45:P47" si="48">H45-L45</f>
        <v>0</v>
      </c>
      <c r="Q45" s="71">
        <f t="shared" ref="Q45:Q47" si="49">I45-M45</f>
        <v>21503.67776620388</v>
      </c>
    </row>
    <row r="46" spans="1:17" ht="15" customHeight="1" x14ac:dyDescent="0.25">
      <c r="A46" s="14" t="str">
        <f>'Matriz de Produccion'!A46</f>
        <v>0D08</v>
      </c>
      <c r="B46" s="6" t="str">
        <f>VLOOKUP(A46,'Analisis por Categorias'!B:C,2,FALSE)</f>
        <v>Rigger</v>
      </c>
      <c r="D46" s="3">
        <f>SUMIF(CATEGORIAS[[#All],[SUBGRUPO]],A46,CATEGORIAS[[#All],[PRESUPUESTO
(ORIGINAL)]])</f>
        <v>69826848.009499088</v>
      </c>
      <c r="E46" s="3">
        <f>+SUMIF(CATEGORIAS[[#All],[SUBGRUPO]],A46,CATEGORIAS[[#All],[PRODUCCION
PARTIDAS
ORIGINALES
ACTUAL]])
+SUMIF(CATEGORIAS[[#All],[SUBGRUPO]],A46,CATEGORIAS[[#All],[PRODUCCION
ADICIONALES
ACTUAL]])
+SUMIF(CATEGORIAS[[#All],[SUBGRUPO]],A46,CATEGORIAS[[#All],[PROYECCION
DE INGRESO
DEL SALDO]])</f>
        <v>92393478.810806677</v>
      </c>
      <c r="G46" s="71">
        <f>+SUMIF(CATEGORIAS[[#All],[SUBGRUPO]],A46,CATEGORIAS[[#All],[PRODUCCION
PARTIDAS
ORIGINALES
ACTUAL]])
+SUMIF(CATEGORIAS[[#All],[SUBGRUPO]],A46,CATEGORIAS[[#All],[PRODUCCION
ADICIONALES
ACTUAL]])</f>
        <v>92393478.810806677</v>
      </c>
      <c r="H46" s="71">
        <f>+SUMIF(CATEGORIAS[[#All],[SUBGRUPO]],A46,CATEGORIAS[[#All],[COSTO
ACUMULADO  AX]])
+SUMIF(CATEGORIAS[[#All],[SUBGRUPO]],A46,CATEGORIAS[[#All],[CAMBIO DE
CATEGORIA]])
+SUMIF(CATEGORIAS[[#All],[SUBGRUPO]],A46,CATEGORIAS[[#All],[PROVISIONES]])</f>
        <v>40245262</v>
      </c>
      <c r="I46" s="71">
        <f t="shared" ref="I46" si="50">G46-H46</f>
        <v>52148216.810806677</v>
      </c>
      <c r="K46" s="71">
        <f>+SUMIF(CATEGORIAS[[#All],[SUBGRUPO]],A46,CATEGORIAS[[#All],[PRODUCCION
ANTERIOR]])
+SUMIF(CATEGORIAS[[#All],[SUBGRUPO]],A46,CATEGORIAS[[#All],[PRODUCCION
ADICIONALES
ANTERIOR]])</f>
        <v>92379771.757864565</v>
      </c>
      <c r="L46" s="71">
        <f>+SUMIF(CATEGORIAS[[#All],[SUBGRUPO]],A46,CATEGORIAS[[#All],[COSTO ACUMULADO
ANTERIOR]])
+SUMIF(CATEGORIAS[[#All],[SUBGRUPO]],A46,CATEGORIAS[[#All],[CAMBIO DE
CATEGORIA
ANTERIOR]])
+SUMIF(CATEGORIAS[[#All],[SUBGRUPO]],A46,CATEGORIAS[[#All],[PROVISIONES
ANTERIOR]])</f>
        <v>40245262</v>
      </c>
      <c r="M46" s="71">
        <f t="shared" ref="M46" si="51">K46-L46</f>
        <v>52134509.757864565</v>
      </c>
      <c r="O46" s="85">
        <f t="shared" ref="O46" si="52">G46-K46</f>
        <v>13707.052942112088</v>
      </c>
      <c r="P46" s="71">
        <f t="shared" ref="P46" si="53">H46-L46</f>
        <v>0</v>
      </c>
      <c r="Q46" s="71">
        <f t="shared" ref="Q46" si="54">I46-M46</f>
        <v>13707.052942112088</v>
      </c>
    </row>
    <row r="47" spans="1:17" ht="15" hidden="1" customHeight="1" x14ac:dyDescent="0.25">
      <c r="A47" s="14" t="str">
        <f>'Matriz de Produccion'!A47</f>
        <v>0D09</v>
      </c>
      <c r="B47" s="6" t="str">
        <f>VLOOKUP(A47,'Analisis por Categorias'!B:C,2,FALSE)</f>
        <v>Maquinas Soldadoras</v>
      </c>
      <c r="D47" s="3">
        <f>SUMIF(CATEGORIAS[[#All],[SUBGRUPO]],A47,CATEGORIAS[[#All],[PRESUPUESTO
(ORIGINAL)]])</f>
        <v>0</v>
      </c>
      <c r="E47" s="3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0</v>
      </c>
      <c r="G47" s="71">
        <f>+SUMIF(CATEGORIAS[[#All],[SUBGRUPO]],A47,CATEGORIAS[[#All],[PRODUCCION
PARTIDAS
ORIGINALES
ACTUAL]])
+SUMIF(CATEGORIAS[[#All],[SUBGRUPO]],A47,CATEGORIAS[[#All],[PRODUCCION
ADICIONALES
ACTUAL]])</f>
        <v>0</v>
      </c>
      <c r="H47" s="71">
        <f>+SUMIF(CATEGORIAS[[#All],[SUBGRUPO]],A47,CATEGORIAS[[#All],[COSTO
ACUMULADO  AX]])
+SUMIF(CATEGORIAS[[#All],[SUBGRUPO]],A47,CATEGORIAS[[#All],[CAMBIO DE
CATEGORIA]])
+SUMIF(CATEGORIAS[[#All],[SUBGRUPO]],A47,CATEGORIAS[[#All],[PROVISIONES]])</f>
        <v>1254206</v>
      </c>
      <c r="I47" s="71">
        <f t="shared" si="45"/>
        <v>-1254206</v>
      </c>
      <c r="K47" s="71">
        <f>+SUMIF(CATEGORIAS[[#All],[SUBGRUPO]],A47,CATEGORIAS[[#All],[PRODUCCION
ANTERIOR]])
+SUMIF(CATEGORIAS[[#All],[SUBGRUPO]],A47,CATEGORIAS[[#All],[PRODUCCION
ADICIONALES
ANTERIOR]])</f>
        <v>0</v>
      </c>
      <c r="L47" s="71">
        <f>+SUMIF(CATEGORIAS[[#All],[SUBGRUPO]],A47,CATEGORIAS[[#All],[COSTO ACUMULADO
ANTERIOR]])
+SUMIF(CATEGORIAS[[#All],[SUBGRUPO]],A47,CATEGORIAS[[#All],[CAMBIO DE
CATEGORIA
ANTERIOR]])
+SUMIF(CATEGORIAS[[#All],[SUBGRUPO]],A47,CATEGORIAS[[#All],[PROVISIONES
ANTERIOR]])</f>
        <v>0</v>
      </c>
      <c r="M47" s="71">
        <f t="shared" si="46"/>
        <v>0</v>
      </c>
      <c r="O47" s="71">
        <f t="shared" si="47"/>
        <v>0</v>
      </c>
      <c r="P47" s="71">
        <f t="shared" si="48"/>
        <v>1254206</v>
      </c>
      <c r="Q47" s="71">
        <f t="shared" si="49"/>
        <v>-1254206</v>
      </c>
    </row>
    <row r="48" spans="1:17" ht="8.25" customHeight="1" x14ac:dyDescent="0.25"/>
    <row r="49" spans="1:17" ht="15" customHeight="1" x14ac:dyDescent="0.25">
      <c r="A49" s="14" t="str">
        <f>'Matriz de Produccion'!A49</f>
        <v>0X00</v>
      </c>
      <c r="B49" s="81" t="str">
        <f>'Matriz de Produccion'!B49:B49</f>
        <v>E - SUBCONTRATOS</v>
      </c>
      <c r="D49" s="82">
        <f>SUM(D50:D55)</f>
        <v>110221472.6512</v>
      </c>
      <c r="E49" s="82">
        <f>SUM(E50:E55)</f>
        <v>238680817.17854521</v>
      </c>
      <c r="G49" s="83">
        <f>SUM(G50:G55)</f>
        <v>238680817.17854521</v>
      </c>
      <c r="H49" s="84">
        <f>SUM(H50:H55)</f>
        <v>187957917.34266669</v>
      </c>
      <c r="I49" s="87">
        <f>SUM(I50:I55)</f>
        <v>50722899.835878536</v>
      </c>
      <c r="K49" s="83">
        <f>SUM(K50:K55)</f>
        <v>218668317.92208672</v>
      </c>
      <c r="L49" s="84">
        <f>SUM(L50:L55)</f>
        <v>184622377.34266669</v>
      </c>
      <c r="M49" s="87">
        <f>SUM(M50:M55)</f>
        <v>34045940.579420045</v>
      </c>
      <c r="O49" s="83">
        <f>SUM(O50:O55)</f>
        <v>20012499.256458487</v>
      </c>
      <c r="P49" s="84">
        <f>SUM(P50:P55)</f>
        <v>3335540</v>
      </c>
      <c r="Q49" s="87">
        <f>SUM(Q50:Q55)</f>
        <v>16676959.256458487</v>
      </c>
    </row>
    <row r="50" spans="1:17" ht="19.149999999999999" customHeight="1" x14ac:dyDescent="0.25">
      <c r="A50" s="14" t="str">
        <f>'Matriz de Produccion'!A50</f>
        <v>0X01</v>
      </c>
      <c r="B50" s="6" t="str">
        <f>VLOOKUP(A50,'Analisis por Categorias'!B:C,2,FALSE)</f>
        <v>Moldajes</v>
      </c>
      <c r="D50" s="3">
        <f>SUMIF(CATEGORIAS[[#All],[SUBGRUPO]],A50,CATEGORIAS[[#All],[PRESUPUESTO
(ORIGINAL)]])</f>
        <v>3419673.7199999997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2045171.5034251469</v>
      </c>
      <c r="G50" s="71">
        <f>+SUMIF(CATEGORIAS[[#All],[SUBGRUPO]],A50,CATEGORIAS[[#All],[PRODUCCION
PARTIDAS
ORIGINALES
ACTUAL]])
+SUMIF(CATEGORIAS[[#All],[SUBGRUPO]],A50,CATEGORIAS[[#All],[PRODUCCION
ADICIONALES
ACTUAL]])</f>
        <v>2045171.5034251469</v>
      </c>
      <c r="H50" s="71">
        <f>+SUMIF(CATEGORIAS[[#All],[SUBGRUPO]],A50,CATEGORIAS[[#All],[COSTO
ACUMULADO  AX]])
+SUMIF(CATEGORIAS[[#All],[SUBGRUPO]],A50,CATEGORIAS[[#All],[CAMBIO DE
CATEGORIA]])
+SUMIF(CATEGORIAS[[#All],[SUBGRUPO]],A50,CATEGORIAS[[#All],[PROVISIONES]])</f>
        <v>4526510</v>
      </c>
      <c r="I50" s="71">
        <f t="shared" ref="I50:I55" si="55">G50-H50</f>
        <v>-2481338.4965748531</v>
      </c>
      <c r="K50" s="71">
        <f>+SUMIF(CATEGORIAS[[#All],[SUBGRUPO]],A50,CATEGORIAS[[#All],[PRODUCCION
ANTERIOR]])
+SUMIF(CATEGORIAS[[#All],[SUBGRUPO]],A50,CATEGORIAS[[#All],[PRODUCCION
ADICIONALES
ANTERIOR]])</f>
        <v>2044783.7080364402</v>
      </c>
      <c r="L50" s="71">
        <f>+SUMIF(CATEGORIAS[[#All],[SUBGRUPO]],A50,CATEGORIAS[[#All],[COSTO ACUMULADO
ANTERIOR]])
+SUMIF(CATEGORIAS[[#All],[SUBGRUPO]],A50,CATEGORIAS[[#All],[CAMBIO DE
CATEGORIA
ANTERIOR]])
+SUMIF(CATEGORIAS[[#All],[SUBGRUPO]],A50,CATEGORIAS[[#All],[PROVISIONES
ANTERIOR]])</f>
        <v>4526510</v>
      </c>
      <c r="M50" s="71">
        <f t="shared" ref="M50:M55" si="56">K50-L50</f>
        <v>-2481726.2919635596</v>
      </c>
      <c r="O50" s="71">
        <f t="shared" ref="O50:Q55" si="57">G50-K50</f>
        <v>387.79538870672695</v>
      </c>
      <c r="P50" s="85">
        <f>H50-L50</f>
        <v>0</v>
      </c>
      <c r="Q50" s="71">
        <f t="shared" si="57"/>
        <v>387.79538870649412</v>
      </c>
    </row>
    <row r="51" spans="1:17" ht="15" customHeight="1" x14ac:dyDescent="0.25">
      <c r="A51" s="14" t="str">
        <f>'Matriz de Produccion'!A51</f>
        <v>0X03</v>
      </c>
      <c r="B51" s="6" t="str">
        <f>VLOOKUP(A51,'Analisis por Categorias'!B:C,2,FALSE)</f>
        <v>Laboratorio</v>
      </c>
      <c r="D51" s="3">
        <f>SUMIF(CATEGORIAS[[#All],[SUBGRUPO]],A51,CATEGORIAS[[#All],[PRESUPUESTO
(ORIGINAL)]])</f>
        <v>22923307.425000001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13709522.88099114</v>
      </c>
      <c r="G51" s="71">
        <f>+SUMIF(CATEGORIAS[[#All],[SUBGRUPO]],A51,CATEGORIAS[[#All],[PRODUCCION
PARTIDAS
ORIGINALES
ACTUAL]])
+SUMIF(CATEGORIAS[[#All],[SUBGRUPO]],A51,CATEGORIAS[[#All],[PRODUCCION
ADICIONALES
ACTUAL]])</f>
        <v>13709522.88099114</v>
      </c>
      <c r="H51" s="71">
        <f>+SUMIF(CATEGORIAS[[#All],[SUBGRUPO]],A51,CATEGORIAS[[#All],[COSTO
ACUMULADO  AX]])
+SUMIF(CATEGORIAS[[#All],[SUBGRUPO]],A51,CATEGORIAS[[#All],[CAMBIO DE
CATEGORIA]])
+SUMIF(CATEGORIAS[[#All],[SUBGRUPO]],A51,CATEGORIAS[[#All],[PROVISIONES]])</f>
        <v>9667438.675999999</v>
      </c>
      <c r="I51" s="71">
        <f t="shared" si="55"/>
        <v>4042084.2049911413</v>
      </c>
      <c r="K51" s="71">
        <f>+SUMIF(CATEGORIAS[[#All],[SUBGRUPO]],A51,CATEGORIAS[[#All],[PRODUCCION
ANTERIOR]])
+SUMIF(CATEGORIAS[[#All],[SUBGRUPO]],A51,CATEGORIAS[[#All],[PRODUCCION
ADICIONALES
ANTERIOR]])</f>
        <v>13706923.34850904</v>
      </c>
      <c r="L51" s="71">
        <f>+SUMIF(CATEGORIAS[[#All],[SUBGRUPO]],A51,CATEGORIAS[[#All],[COSTO ACUMULADO
ANTERIOR]])
+SUMIF(CATEGORIAS[[#All],[SUBGRUPO]],A51,CATEGORIAS[[#All],[CAMBIO DE
CATEGORIA
ANTERIOR]])
+SUMIF(CATEGORIAS[[#All],[SUBGRUPO]],A51,CATEGORIAS[[#All],[PROVISIONES
ANTERIOR]])</f>
        <v>9667438.675999999</v>
      </c>
      <c r="M51" s="71">
        <f>K51-L51</f>
        <v>4039484.6725090407</v>
      </c>
      <c r="O51" s="71">
        <f t="shared" si="57"/>
        <v>2599.5324821006507</v>
      </c>
      <c r="P51" s="71">
        <f t="shared" si="57"/>
        <v>0</v>
      </c>
      <c r="Q51" s="71">
        <f>I51-M51</f>
        <v>2599.5324821006507</v>
      </c>
    </row>
    <row r="52" spans="1:17" ht="15" customHeight="1" x14ac:dyDescent="0.25">
      <c r="A52" s="14" t="str">
        <f>'Matriz de Produccion'!A52</f>
        <v>0X04</v>
      </c>
      <c r="B52" s="6" t="str">
        <f>VLOOKUP(A52,'Analisis por Categorias'!B:C,2,FALSE)</f>
        <v>Entibaciones</v>
      </c>
      <c r="D52" s="3">
        <f>SUMIF(CATEGORIAS[[#All],[SUBGRUPO]],A52,CATEGORIAS[[#All],[PRESUPUESTO
(ORIGINAL)]])</f>
        <v>37704331.5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145700907.17624047</v>
      </c>
      <c r="G52" s="71">
        <f>+SUMIF(CATEGORIAS[[#All],[SUBGRUPO]],A52,CATEGORIAS[[#All],[PRODUCCION
PARTIDAS
ORIGINALES
ACTUAL]])
+SUMIF(CATEGORIAS[[#All],[SUBGRUPO]],A52,CATEGORIAS[[#All],[PRODUCCION
ADICIONALES
ACTUAL]])</f>
        <v>145700907.17624047</v>
      </c>
      <c r="H52" s="71">
        <f>+SUMIF(CATEGORIAS[[#All],[SUBGRUPO]],A52,CATEGORIAS[[#All],[COSTO
ACUMULADO  AX]])
+SUMIF(CATEGORIAS[[#All],[SUBGRUPO]],A52,CATEGORIAS[[#All],[CAMBIO DE
CATEGORIA]])
+SUMIF(CATEGORIAS[[#All],[SUBGRUPO]],A52,CATEGORIAS[[#All],[PROVISIONES]])</f>
        <v>102207264</v>
      </c>
      <c r="I52" s="71">
        <f t="shared" si="55"/>
        <v>43493643.176240474</v>
      </c>
      <c r="K52" s="71">
        <f>+SUMIF(CATEGORIAS[[#All],[SUBGRUPO]],A52,CATEGORIAS[[#All],[PRODUCCION
ANTERIOR]])
+SUMIF(CATEGORIAS[[#All],[SUBGRUPO]],A52,CATEGORIAS[[#All],[PRODUCCION
ADICIONALES
ANTERIOR]])</f>
        <v>145696631.4566581</v>
      </c>
      <c r="L52" s="71">
        <f>+SUMIF(CATEGORIAS[[#All],[SUBGRUPO]],A52,CATEGORIAS[[#All],[COSTO ACUMULADO
ANTERIOR]])
+SUMIF(CATEGORIAS[[#All],[SUBGRUPO]],A52,CATEGORIAS[[#All],[CAMBIO DE
CATEGORIA
ANTERIOR]])
+SUMIF(CATEGORIAS[[#All],[SUBGRUPO]],A52,CATEGORIAS[[#All],[PROVISIONES
ANTERIOR]])</f>
        <v>102207264</v>
      </c>
      <c r="M52" s="71">
        <f t="shared" si="56"/>
        <v>43489367.456658095</v>
      </c>
      <c r="O52" s="71">
        <f>G52-K52</f>
        <v>4275.7195823788643</v>
      </c>
      <c r="P52" s="85">
        <f>H52-L52</f>
        <v>0</v>
      </c>
      <c r="Q52" s="85">
        <f t="shared" si="57"/>
        <v>4275.7195823788643</v>
      </c>
    </row>
    <row r="53" spans="1:17" ht="15" customHeight="1" x14ac:dyDescent="0.25">
      <c r="A53" s="14" t="str">
        <f>'Matriz de Produccion'!A53</f>
        <v>0X05</v>
      </c>
      <c r="B53" s="6" t="str">
        <f>VLOOKUP(A53,'Analisis por Categorias'!B:C,2,FALSE)</f>
        <v>Ensayos</v>
      </c>
      <c r="D53" s="3">
        <f>SUMIF(CATEGORIAS[[#All],[SUBGRUPO]],A53,CATEGORIAS[[#All],[PRESUPUESTO
(ORIGINAL)]])</f>
        <v>22686901.279799998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23978248.847821172</v>
      </c>
      <c r="G53" s="71">
        <f>+SUMIF(CATEGORIAS[[#All],[SUBGRUPO]],A53,CATEGORIAS[[#All],[PRODUCCION
PARTIDAS
ORIGINALES
ACTUAL]])
+SUMIF(CATEGORIAS[[#All],[SUBGRUPO]],A53,CATEGORIAS[[#All],[PRODUCCION
ADICIONALES
ACTUAL]])</f>
        <v>23978248.847821169</v>
      </c>
      <c r="H53" s="71">
        <f>+SUMIF(CATEGORIAS[[#All],[SUBGRUPO]],A53,CATEGORIAS[[#All],[COSTO
ACUMULADO  AX]])
+SUMIF(CATEGORIAS[[#All],[SUBGRUPO]],A53,CATEGORIAS[[#All],[CAMBIO DE
CATEGORIA]])
+SUMIF(CATEGORIAS[[#All],[SUBGRUPO]],A53,CATEGORIAS[[#All],[PROVISIONES]])</f>
        <v>15261669.666666666</v>
      </c>
      <c r="I53" s="71">
        <f t="shared" si="55"/>
        <v>8716579.1811545026</v>
      </c>
      <c r="K53" s="71">
        <f>+SUMIF(CATEGORIAS[[#All],[SUBGRUPO]],A53,CATEGORIAS[[#All],[PRODUCCION
ANTERIOR]])
+SUMIF(CATEGORIAS[[#All],[SUBGRUPO]],A53,CATEGORIAS[[#All],[PRODUCCION
ADICIONALES
ANTERIOR]])</f>
        <v>23975676.124099337</v>
      </c>
      <c r="L53" s="71">
        <f>+SUMIF(CATEGORIAS[[#All],[SUBGRUPO]],A53,CATEGORIAS[[#All],[COSTO ACUMULADO
ANTERIOR]])
+SUMIF(CATEGORIAS[[#All],[SUBGRUPO]],A53,CATEGORIAS[[#All],[CAMBIO DE
CATEGORIA
ANTERIOR]])
+SUMIF(CATEGORIAS[[#All],[SUBGRUPO]],A53,CATEGORIAS[[#All],[PROVISIONES
ANTERIOR]])</f>
        <v>15261669.666666666</v>
      </c>
      <c r="M53" s="71">
        <f t="shared" si="56"/>
        <v>8714006.4574326705</v>
      </c>
      <c r="O53" s="71">
        <f t="shared" si="57"/>
        <v>2572.723721832037</v>
      </c>
      <c r="P53" s="85">
        <f>H53-L53</f>
        <v>0</v>
      </c>
      <c r="Q53" s="71">
        <f>I53-M53</f>
        <v>2572.723721832037</v>
      </c>
    </row>
    <row r="54" spans="1:17" ht="15" customHeight="1" x14ac:dyDescent="0.25">
      <c r="A54" s="14" t="str">
        <f>'Matriz de Produccion'!A54</f>
        <v>0X06</v>
      </c>
      <c r="B54" s="6" t="str">
        <f>VLOOKUP(A54,'Analisis por Categorias'!B:C,2,FALSE)</f>
        <v>Termofusion</v>
      </c>
      <c r="D54" s="3">
        <f>SUMIF(CATEGORIAS[[#All],[SUBGRUPO]],A54,CATEGORIAS[[#All],[PRESUPUESTO
(ORIGINAL)]])</f>
        <v>4509885.5999999996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11786768.078961611</v>
      </c>
      <c r="G54" s="71">
        <f>+SUMIF(CATEGORIAS[[#All],[SUBGRUPO]],A54,CATEGORIAS[[#All],[PRODUCCION
PARTIDAS
ORIGINALES
ACTUAL]])
+SUMIF(CATEGORIAS[[#All],[SUBGRUPO]],A54,CATEGORIAS[[#All],[PRODUCCION
ADICIONALES
ACTUAL]])</f>
        <v>11786768.078961611</v>
      </c>
      <c r="H54" s="71">
        <f>+SUMIF(CATEGORIAS[[#All],[SUBGRUPO]],A54,CATEGORIAS[[#All],[COSTO
ACUMULADO  AX]])
+SUMIF(CATEGORIAS[[#All],[SUBGRUPO]],A54,CATEGORIAS[[#All],[CAMBIO DE
CATEGORIA]])
+SUMIF(CATEGORIAS[[#All],[SUBGRUPO]],A54,CATEGORIAS[[#All],[PROVISIONES]])</f>
        <v>6534900</v>
      </c>
      <c r="I54" s="71">
        <f t="shared" si="55"/>
        <v>5251868.0789616108</v>
      </c>
      <c r="K54" s="71">
        <f>+SUMIF(CATEGORIAS[[#All],[SUBGRUPO]],A54,CATEGORIAS[[#All],[PRODUCCION
ANTERIOR]])
+SUMIF(CATEGORIAS[[#All],[SUBGRUPO]],A54,CATEGORIAS[[#All],[PRODUCCION
ADICIONALES
ANTERIOR]])</f>
        <v>11786256.652146516</v>
      </c>
      <c r="L54" s="71">
        <f>+SUMIF(CATEGORIAS[[#All],[SUBGRUPO]],A54,CATEGORIAS[[#All],[COSTO ACUMULADO
ANTERIOR]])
+SUMIF(CATEGORIAS[[#All],[SUBGRUPO]],A54,CATEGORIAS[[#All],[CAMBIO DE
CATEGORIA
ANTERIOR]])
+SUMIF(CATEGORIAS[[#All],[SUBGRUPO]],A54,CATEGORIAS[[#All],[PROVISIONES
ANTERIOR]])</f>
        <v>6534900</v>
      </c>
      <c r="M54" s="71">
        <f t="shared" si="56"/>
        <v>5251356.6521465164</v>
      </c>
      <c r="O54" s="71">
        <f t="shared" si="57"/>
        <v>511.42681509442627</v>
      </c>
      <c r="P54" s="85">
        <f>H54-L54</f>
        <v>0</v>
      </c>
      <c r="Q54" s="71">
        <f t="shared" si="57"/>
        <v>511.42681509442627</v>
      </c>
    </row>
    <row r="55" spans="1:17" ht="15" customHeight="1" x14ac:dyDescent="0.25">
      <c r="A55" s="14" t="str">
        <f>'Matriz de Produccion'!A55</f>
        <v>0X07</v>
      </c>
      <c r="B55" s="6" t="str">
        <f>VLOOKUP(A55,'Analisis por Categorias'!B:C,2,FALSE)</f>
        <v>Otros Subcontratos</v>
      </c>
      <c r="D55" s="3">
        <f>SUMIF(CATEGORIAS[[#All],[SUBGRUPO]],A55,CATEGORIAS[[#All],[PRESUPUESTO
(ORIGINAL)]])</f>
        <v>18977373.126400001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41460198.691105656</v>
      </c>
      <c r="G55" s="71">
        <f>+SUMIF(CATEGORIAS[[#All],[SUBGRUPO]],A55,CATEGORIAS[[#All],[PRODUCCION
PARTIDAS
ORIGINALES
ACTUAL]])
+SUMIF(CATEGORIAS[[#All],[SUBGRUPO]],A55,CATEGORIAS[[#All],[PRODUCCION
ADICIONALES
ACTUAL]])</f>
        <v>41460198.691105656</v>
      </c>
      <c r="H55" s="71">
        <f>+SUMIF(CATEGORIAS[[#All],[SUBGRUPO]],A55,CATEGORIAS[[#All],[COSTO
ACUMULADO  AX]])
+SUMIF(CATEGORIAS[[#All],[SUBGRUPO]],A55,CATEGORIAS[[#All],[CAMBIO DE
CATEGORIA]])
+SUMIF(CATEGORIAS[[#All],[SUBGRUPO]],A55,CATEGORIAS[[#All],[PROVISIONES]])</f>
        <v>49760135</v>
      </c>
      <c r="I55" s="71">
        <f t="shared" si="55"/>
        <v>-8299936.3088943437</v>
      </c>
      <c r="K55" s="71">
        <f>+SUMIF(CATEGORIAS[[#All],[SUBGRUPO]],A55,CATEGORIAS[[#All],[PRODUCCION
ANTERIOR]])
+SUMIF(CATEGORIAS[[#All],[SUBGRUPO]],A55,CATEGORIAS[[#All],[PRODUCCION
ADICIONALES
ANTERIOR]])</f>
        <v>21458046.632637281</v>
      </c>
      <c r="L55" s="71">
        <f>+SUMIF(CATEGORIAS[[#All],[SUBGRUPO]],A55,CATEGORIAS[[#All],[COSTO ACUMULADO
ANTERIOR]])
+SUMIF(CATEGORIAS[[#All],[SUBGRUPO]],A55,CATEGORIAS[[#All],[CAMBIO DE
CATEGORIA
ANTERIOR]])
+SUMIF(CATEGORIAS[[#All],[SUBGRUPO]],A55,CATEGORIAS[[#All],[PROVISIONES
ANTERIOR]])</f>
        <v>46424595</v>
      </c>
      <c r="M55" s="71">
        <f t="shared" si="56"/>
        <v>-24966548.367362719</v>
      </c>
      <c r="O55" s="71">
        <f t="shared" si="57"/>
        <v>20002152.058468375</v>
      </c>
      <c r="P55" s="85">
        <f t="shared" si="57"/>
        <v>3335540</v>
      </c>
      <c r="Q55" s="71">
        <f t="shared" si="57"/>
        <v>16666612.058468375</v>
      </c>
    </row>
    <row r="56" spans="1:17" ht="8.25" customHeight="1" x14ac:dyDescent="0.25"/>
    <row r="57" spans="1:17" ht="15" customHeight="1" x14ac:dyDescent="0.25">
      <c r="B57" s="8" t="str">
        <f>'Matriz de Produccion'!B57:B57</f>
        <v>COSTOS INDIRECTOS</v>
      </c>
      <c r="D57" s="1">
        <f>SUM(D124:D129)</f>
        <v>1732270136.9484823</v>
      </c>
      <c r="E57" s="1">
        <f>SUM(E124:E129)</f>
        <v>2355292767.8075027</v>
      </c>
      <c r="G57" s="12">
        <f t="shared" ref="G57:Q57" si="58">SUM(G124:G129)</f>
        <v>2355292767.8023973</v>
      </c>
      <c r="H57" s="11">
        <f t="shared" si="58"/>
        <v>2177232480.2317209</v>
      </c>
      <c r="I57" s="2">
        <f t="shared" si="58"/>
        <v>178060287.57067683</v>
      </c>
      <c r="K57" s="12">
        <f t="shared" si="58"/>
        <v>2355041414.3157811</v>
      </c>
      <c r="L57" s="11">
        <f t="shared" si="58"/>
        <v>2170594820.4117208</v>
      </c>
      <c r="M57" s="2">
        <f t="shared" si="58"/>
        <v>184446593.90406054</v>
      </c>
      <c r="O57" s="12">
        <f t="shared" si="58"/>
        <v>251353.48661623057</v>
      </c>
      <c r="P57" s="11">
        <f t="shared" si="58"/>
        <v>6637659.8200000003</v>
      </c>
      <c r="Q57" s="2">
        <f t="shared" si="58"/>
        <v>-6386306.3333837092</v>
      </c>
    </row>
    <row r="58" spans="1:17" ht="8.25" customHeight="1" x14ac:dyDescent="0.25"/>
    <row r="59" spans="1:17" ht="15" customHeight="1" x14ac:dyDescent="0.25">
      <c r="A59" s="14" t="str">
        <f>'Matriz de Produccion'!A59</f>
        <v>1F00</v>
      </c>
      <c r="B59" s="81" t="str">
        <f>'Matriz de Produccion'!B59:B59</f>
        <v>F - MANO DE OBRA INDIRECTA</v>
      </c>
      <c r="D59" s="82">
        <f>SUM(D60:D71)</f>
        <v>849346597.24778163</v>
      </c>
      <c r="E59" s="82">
        <f>SUM(E60:E71)</f>
        <v>1307317730.5885222</v>
      </c>
      <c r="G59" s="83">
        <f>SUM(G60:G71)</f>
        <v>1307317730.5885222</v>
      </c>
      <c r="H59" s="84">
        <f>SUM(H60:H71)</f>
        <v>1289015809.924376</v>
      </c>
      <c r="I59" s="87">
        <f>SUM(I60:I71)</f>
        <v>18301920.664145857</v>
      </c>
      <c r="K59" s="83">
        <f>SUM(K60:K71)</f>
        <v>1307151003.3323655</v>
      </c>
      <c r="L59" s="84">
        <f>SUM(L60:L71)</f>
        <v>1255620145.924376</v>
      </c>
      <c r="M59" s="87">
        <f>SUM(M60:M71)</f>
        <v>51530857.407989264</v>
      </c>
      <c r="O59" s="83">
        <f>SUM(O60:O71)</f>
        <v>166727.25615660846</v>
      </c>
      <c r="P59" s="84">
        <f>SUM(P60:P71)</f>
        <v>33395664</v>
      </c>
      <c r="Q59" s="87">
        <f>SUM(Q60:Q71)</f>
        <v>-33228936.743843392</v>
      </c>
    </row>
    <row r="60" spans="1:17" ht="15" customHeight="1" x14ac:dyDescent="0.25">
      <c r="A60" s="14" t="str">
        <f>'Matriz de Produccion'!A60</f>
        <v>1F01</v>
      </c>
      <c r="B60" s="6" t="str">
        <f>VLOOKUP(A60,'Analisis por Categorias'!B:C,2,FALSE)</f>
        <v>Staff Superior</v>
      </c>
      <c r="D60" s="3">
        <f>SUMIF(CATEGORIAS[[#All],[SUBGRUPO]],A60,CATEGORIAS[[#All],[PRESUPUESTO
(ORIGINAL)]])</f>
        <v>263311370.33350706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389822314.29709446</v>
      </c>
      <c r="G60" s="71">
        <f>+SUMIF(CATEGORIAS[[#All],[SUBGRUPO]],A60,CATEGORIAS[[#All],[PRODUCCION
PARTIDAS
ORIGINALES
ACTUAL]])
+SUMIF(CATEGORIAS[[#All],[SUBGRUPO]],A60,CATEGORIAS[[#All],[PRODUCCION
ADICIONALES
ACTUAL]])</f>
        <v>389822314.29709446</v>
      </c>
      <c r="H60" s="71">
        <f>+SUMIF(CATEGORIAS[[#All],[SUBGRUPO]],A60,CATEGORIAS[[#All],[COSTO
ACUMULADO  AX]])
+SUMIF(CATEGORIAS[[#All],[SUBGRUPO]],A60,CATEGORIAS[[#All],[CAMBIO DE
CATEGORIA]])
+SUMIF(CATEGORIAS[[#All],[SUBGRUPO]],A60,CATEGORIAS[[#All],[PROVISIONES]])</f>
        <v>354096373.81104273</v>
      </c>
      <c r="I60" s="71">
        <f>G60-H60</f>
        <v>35725940.486051738</v>
      </c>
      <c r="K60" s="71">
        <f>+SUMIF(CATEGORIAS[[#All],[SUBGRUPO]],A60,CATEGORIAS[[#All],[PRODUCCION
ANTERIOR]])
+SUMIF(CATEGORIAS[[#All],[SUBGRUPO]],A60,CATEGORIAS[[#All],[PRODUCCION
ADICIONALES
ANTERIOR]])</f>
        <v>389770626.11416328</v>
      </c>
      <c r="L60" s="71">
        <f>+SUMIF(CATEGORIAS[[#All],[SUBGRUPO]],A60,CATEGORIAS[[#All],[COSTO ACUMULADO
ANTERIOR]])
+SUMIF(CATEGORIAS[[#All],[SUBGRUPO]],A60,CATEGORIAS[[#All],[CAMBIO DE
CATEGORIA
ANTERIOR]])
+SUMIF(CATEGORIAS[[#All],[SUBGRUPO]],A60,CATEGORIAS[[#All],[PROVISIONES
ANTERIOR]])</f>
        <v>329098916.81104273</v>
      </c>
      <c r="M60" s="71">
        <f>K60-L60</f>
        <v>60671709.303120553</v>
      </c>
      <c r="O60" s="71">
        <f>G60-K60</f>
        <v>51688.182931184769</v>
      </c>
      <c r="P60" s="71">
        <f>H60-L60</f>
        <v>24997457</v>
      </c>
      <c r="Q60" s="71">
        <f>I60-M60</f>
        <v>-24945768.817068815</v>
      </c>
    </row>
    <row r="61" spans="1:17" ht="15" customHeight="1" x14ac:dyDescent="0.25">
      <c r="A61" s="14" t="str">
        <f>'Matriz de Produccion'!A61</f>
        <v>1F02</v>
      </c>
      <c r="B61" s="6" t="str">
        <f>VLOOKUP(A61,'Analisis por Categorias'!B:C,2,FALSE)</f>
        <v>Oficina Técnica</v>
      </c>
      <c r="D61" s="3">
        <f>SUMIF(CATEGORIAS[[#All],[SUBGRUPO]],A61,CATEGORIAS[[#All],[PRESUPUESTO
(ORIGINAL)]])</f>
        <v>80469294.782991737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124065984.65281068</v>
      </c>
      <c r="G61" s="71">
        <f>+SUMIF(CATEGORIAS[[#All],[SUBGRUPO]],A61,CATEGORIAS[[#All],[PRODUCCION
PARTIDAS
ORIGINALES
ACTUAL]])
+SUMIF(CATEGORIAS[[#All],[SUBGRUPO]],A61,CATEGORIAS[[#All],[PRODUCCION
ADICIONALES
ACTUAL]])</f>
        <v>124065984.65281066</v>
      </c>
      <c r="H61" s="71">
        <f>+SUMIF(CATEGORIAS[[#All],[SUBGRUPO]],A61,CATEGORIAS[[#All],[COSTO
ACUMULADO  AX]])
+SUMIF(CATEGORIAS[[#All],[SUBGRUPO]],A61,CATEGORIAS[[#All],[CAMBIO DE
CATEGORIA]])
+SUMIF(CATEGORIAS[[#All],[SUBGRUPO]],A61,CATEGORIAS[[#All],[PROVISIONES]])</f>
        <v>122778866.53333333</v>
      </c>
      <c r="I61" s="71">
        <f>G61-H61</f>
        <v>1287118.1194773316</v>
      </c>
      <c r="K61" s="71">
        <f>+SUMIF(CATEGORIAS[[#All],[SUBGRUPO]],A61,CATEGORIAS[[#All],[PRODUCCION
ANTERIOR]])
+SUMIF(CATEGORIAS[[#All],[SUBGRUPO]],A61,CATEGORIAS[[#All],[PRODUCCION
ADICIONALES
ANTERIOR]])</f>
        <v>124050188.48106226</v>
      </c>
      <c r="L61" s="71">
        <f>+SUMIF(CATEGORIAS[[#All],[SUBGRUPO]],A61,CATEGORIAS[[#All],[COSTO ACUMULADO
ANTERIOR]])
+SUMIF(CATEGORIAS[[#All],[SUBGRUPO]],A61,CATEGORIAS[[#All],[CAMBIO DE
CATEGORIA
ANTERIOR]])
+SUMIF(CATEGORIAS[[#All],[SUBGRUPO]],A61,CATEGORIAS[[#All],[PROVISIONES
ANTERIOR]])</f>
        <v>122778866.53333333</v>
      </c>
      <c r="M61" s="71">
        <f>K61-L61</f>
        <v>1271321.9477289319</v>
      </c>
      <c r="O61" s="85">
        <f t="shared" ref="O61:P63" si="59">G61-K61</f>
        <v>15796.171748399734</v>
      </c>
      <c r="P61" s="85">
        <f t="shared" si="59"/>
        <v>0</v>
      </c>
      <c r="Q61" s="85">
        <f>I61-M61</f>
        <v>15796.171748399734</v>
      </c>
    </row>
    <row r="62" spans="1:17" ht="15" customHeight="1" x14ac:dyDescent="0.25">
      <c r="A62" s="14" t="str">
        <f>'Matriz de Produccion'!A62</f>
        <v>1F03</v>
      </c>
      <c r="B62" s="6" t="str">
        <f>VLOOKUP(A62,'Analisis por Categorias'!B:C,2,FALSE)</f>
        <v>Supervisión</v>
      </c>
      <c r="D62" s="3">
        <f>SUMIF(CATEGORIAS[[#All],[SUBGRUPO]],A62,CATEGORIAS[[#All],[PRESUPUESTO
(ORIGINAL)]])</f>
        <v>97274459.021890849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171651892.76443025</v>
      </c>
      <c r="G62" s="71">
        <f>+SUMIF(CATEGORIAS[[#All],[SUBGRUPO]],A62,CATEGORIAS[[#All],[PRODUCCION
PARTIDAS
ORIGINALES
ACTUAL]])
+SUMIF(CATEGORIAS[[#All],[SUBGRUPO]],A62,CATEGORIAS[[#All],[PRODUCCION
ADICIONALES
ACTUAL]])</f>
        <v>171651892.76443022</v>
      </c>
      <c r="H62" s="71">
        <f>+SUMIF(CATEGORIAS[[#All],[SUBGRUPO]],A62,CATEGORIAS[[#All],[COSTO
ACUMULADO  AX]])
+SUMIF(CATEGORIAS[[#All],[SUBGRUPO]],A62,CATEGORIAS[[#All],[CAMBIO DE
CATEGORIA]])
+SUMIF(CATEGORIAS[[#All],[SUBGRUPO]],A62,CATEGORIAS[[#All],[PROVISIONES]])</f>
        <v>121259605</v>
      </c>
      <c r="I62" s="71">
        <f>G62-H62</f>
        <v>50392287.764430225</v>
      </c>
      <c r="K62" s="71">
        <f>+SUMIF(CATEGORIAS[[#All],[SUBGRUPO]],A62,CATEGORIAS[[#All],[PRODUCCION
ANTERIOR]])
+SUMIF(CATEGORIAS[[#All],[SUBGRUPO]],A62,CATEGORIAS[[#All],[PRODUCCION
ADICIONALES
ANTERIOR]])</f>
        <v>171632797.72867048</v>
      </c>
      <c r="L62" s="71">
        <f>+SUMIF(CATEGORIAS[[#All],[SUBGRUPO]],A62,CATEGORIAS[[#All],[COSTO ACUMULADO
ANTERIOR]])
+SUMIF(CATEGORIAS[[#All],[SUBGRUPO]],A62,CATEGORIAS[[#All],[CAMBIO DE
CATEGORIA
ANTERIOR]])
+SUMIF(CATEGORIAS[[#All],[SUBGRUPO]],A62,CATEGORIAS[[#All],[PROVISIONES
ANTERIOR]])</f>
        <v>121259605</v>
      </c>
      <c r="M62" s="71">
        <f>K62-L62</f>
        <v>50373192.728670478</v>
      </c>
      <c r="O62" s="71">
        <f t="shared" si="59"/>
        <v>19095.035759747028</v>
      </c>
      <c r="P62" s="71">
        <f t="shared" si="59"/>
        <v>0</v>
      </c>
      <c r="Q62" s="71">
        <f>I62-M62</f>
        <v>19095.035759747028</v>
      </c>
    </row>
    <row r="63" spans="1:17" ht="15" customHeight="1" x14ac:dyDescent="0.25">
      <c r="A63" s="14" t="str">
        <f>'Matriz de Produccion'!A63</f>
        <v>1F04</v>
      </c>
      <c r="B63" s="6" t="str">
        <f>VLOOKUP(A63,'Analisis por Categorias'!B:C,2,FALSE)</f>
        <v>Prevención De Riesgos</v>
      </c>
      <c r="D63" s="3">
        <f>SUMIF(CATEGORIAS[[#All],[SUBGRUPO]],A63,CATEGORIAS[[#All],[PRESUPUESTO
(ORIGINAL)]])</f>
        <v>97189486.687312499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146852330.22688562</v>
      </c>
      <c r="G63" s="71">
        <f>+SUMIF(CATEGORIAS[[#All],[SUBGRUPO]],A63,CATEGORIAS[[#All],[PRODUCCION
PARTIDAS
ORIGINALES
ACTUAL]])
+SUMIF(CATEGORIAS[[#All],[SUBGRUPO]],A63,CATEGORIAS[[#All],[PRODUCCION
ADICIONALES
ACTUAL]])</f>
        <v>146852330.22688562</v>
      </c>
      <c r="H63" s="71">
        <f>+SUMIF(CATEGORIAS[[#All],[SUBGRUPO]],A63,CATEGORIAS[[#All],[COSTO
ACUMULADO  AX]])
+SUMIF(CATEGORIAS[[#All],[SUBGRUPO]],A63,CATEGORIAS[[#All],[CAMBIO DE
CATEGORIA]])
+SUMIF(CATEGORIAS[[#All],[SUBGRUPO]],A63,CATEGORIAS[[#All],[PROVISIONES]])</f>
        <v>84690890</v>
      </c>
      <c r="I63" s="71">
        <f>G63-H63</f>
        <v>62161440.226885617</v>
      </c>
      <c r="K63" s="71">
        <f>+SUMIF(CATEGORIAS[[#All],[SUBGRUPO]],A63,CATEGORIAS[[#All],[PRODUCCION
ANTERIOR]])
+SUMIF(CATEGORIAS[[#All],[SUBGRUPO]],A63,CATEGORIAS[[#All],[PRODUCCION
ADICIONALES
ANTERIOR]])</f>
        <v>146833251.87124711</v>
      </c>
      <c r="L63" s="71">
        <f>+SUMIF(CATEGORIAS[[#All],[SUBGRUPO]],A63,CATEGORIAS[[#All],[COSTO ACUMULADO
ANTERIOR]])
+SUMIF(CATEGORIAS[[#All],[SUBGRUPO]],A63,CATEGORIAS[[#All],[CAMBIO DE
CATEGORIA
ANTERIOR]])
+SUMIF(CATEGORIAS[[#All],[SUBGRUPO]],A63,CATEGORIAS[[#All],[PROVISIONES
ANTERIOR]])</f>
        <v>84690890</v>
      </c>
      <c r="M63" s="71">
        <f>K63-L63</f>
        <v>62142361.871247113</v>
      </c>
      <c r="O63" s="85">
        <f t="shared" si="59"/>
        <v>19078.355638504028</v>
      </c>
      <c r="P63" s="85">
        <f t="shared" si="59"/>
        <v>0</v>
      </c>
      <c r="Q63" s="85">
        <f>I63-M63</f>
        <v>19078.355638504028</v>
      </c>
    </row>
    <row r="64" spans="1:17" ht="15" customHeight="1" x14ac:dyDescent="0.25">
      <c r="A64" s="14" t="str">
        <f>'Matriz de Produccion'!A64</f>
        <v>1F05</v>
      </c>
      <c r="B64" s="6" t="str">
        <f>VLOOKUP(A64,'Analisis por Categorias'!B:C,2,FALSE)</f>
        <v>Calidad</v>
      </c>
      <c r="D64" s="3">
        <f>SUMIF(CATEGORIAS[[#All],[SUBGRUPO]],A64,CATEGORIAS[[#All],[PRESUPUESTO
(ORIGINAL)]])</f>
        <v>39901819.760774568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61273201.106175922</v>
      </c>
      <c r="G64" s="71">
        <f>+SUMIF(CATEGORIAS[[#All],[SUBGRUPO]],A64,CATEGORIAS[[#All],[PRODUCCION
PARTIDAS
ORIGINALES
ACTUAL]])
+SUMIF(CATEGORIAS[[#All],[SUBGRUPO]],A64,CATEGORIAS[[#All],[PRODUCCION
ADICIONALES
ACTUAL]])</f>
        <v>61273201.106175914</v>
      </c>
      <c r="H64" s="71">
        <f>+SUMIF(CATEGORIAS[[#All],[SUBGRUPO]],A64,CATEGORIAS[[#All],[COSTO
ACUMULADO  AX]])
+SUMIF(CATEGORIAS[[#All],[SUBGRUPO]],A64,CATEGORIAS[[#All],[CAMBIO DE
CATEGORIA]])
+SUMIF(CATEGORIAS[[#All],[SUBGRUPO]],A64,CATEGORIAS[[#All],[PROVISIONES]])</f>
        <v>44849347</v>
      </c>
      <c r="I64" s="71">
        <f t="shared" ref="I64:I71" si="60">G64-H64</f>
        <v>16423854.106175914</v>
      </c>
      <c r="K64" s="71">
        <f>+SUMIF(CATEGORIAS[[#All],[SUBGRUPO]],A64,CATEGORIAS[[#All],[PRODUCCION
ANTERIOR]])
+SUMIF(CATEGORIAS[[#All],[SUBGRUPO]],A64,CATEGORIAS[[#All],[PRODUCCION
ADICIONALES
ANTERIOR]])</f>
        <v>61265368.354569048</v>
      </c>
      <c r="L64" s="71">
        <f>+SUMIF(CATEGORIAS[[#All],[SUBGRUPO]],A64,CATEGORIAS[[#All],[COSTO ACUMULADO
ANTERIOR]])
+SUMIF(CATEGORIAS[[#All],[SUBGRUPO]],A64,CATEGORIAS[[#All],[CAMBIO DE
CATEGORIA
ANTERIOR]])
+SUMIF(CATEGORIAS[[#All],[SUBGRUPO]],A64,CATEGORIAS[[#All],[PROVISIONES
ANTERIOR]])</f>
        <v>44849347</v>
      </c>
      <c r="M64" s="71">
        <f t="shared" ref="M64:M71" si="61">K64-L64</f>
        <v>16416021.354569048</v>
      </c>
      <c r="O64" s="71">
        <f t="shared" ref="O64:O71" si="62">G64-K64</f>
        <v>7832.7516068667173</v>
      </c>
      <c r="P64" s="71">
        <f t="shared" ref="P64:P71" si="63">H64-L64</f>
        <v>0</v>
      </c>
      <c r="Q64" s="71">
        <f t="shared" ref="Q64:Q71" si="64">I64-M64</f>
        <v>7832.7516068667173</v>
      </c>
    </row>
    <row r="65" spans="1:17" ht="15" customHeight="1" x14ac:dyDescent="0.25">
      <c r="A65" s="14" t="str">
        <f>'Matriz de Produccion'!A65</f>
        <v>1F06</v>
      </c>
      <c r="B65" s="6" t="str">
        <f>VLOOKUP(A65,'Analisis por Categorias'!B:C,2,FALSE)</f>
        <v>Administración</v>
      </c>
      <c r="D65" s="3">
        <f>SUMIF(CATEGORIAS[[#All],[SUBGRUPO]],A65,CATEGORIAS[[#All],[PRESUPUESTO
(ORIGINAL)]])</f>
        <v>55188181.120416395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91474850.636483014</v>
      </c>
      <c r="G65" s="71">
        <f>+SUMIF(CATEGORIAS[[#All],[SUBGRUPO]],A65,CATEGORIAS[[#All],[PRODUCCION
PARTIDAS
ORIGINALES
ACTUAL]])
+SUMIF(CATEGORIAS[[#All],[SUBGRUPO]],A65,CATEGORIAS[[#All],[PRODUCCION
ADICIONALES
ACTUAL]])</f>
        <v>91474850.636483014</v>
      </c>
      <c r="H65" s="71">
        <f>+SUMIF(CATEGORIAS[[#All],[SUBGRUPO]],A65,CATEGORIAS[[#All],[COSTO
ACUMULADO  AX]])
+SUMIF(CATEGORIAS[[#All],[SUBGRUPO]],A65,CATEGORIAS[[#All],[CAMBIO DE
CATEGORIA]])
+SUMIF(CATEGORIAS[[#All],[SUBGRUPO]],A65,CATEGORIAS[[#All],[PROVISIONES]])</f>
        <v>89355743</v>
      </c>
      <c r="I65" s="71">
        <f>G65-H65</f>
        <v>2119107.6364830136</v>
      </c>
      <c r="K65" s="71">
        <f>+SUMIF(CATEGORIAS[[#All],[SUBGRUPO]],A65,CATEGORIAS[[#All],[PRODUCCION
ANTERIOR]])
+SUMIF(CATEGORIAS[[#All],[SUBGRUPO]],A65,CATEGORIAS[[#All],[PRODUCCION
ADICIONALES
ANTERIOR]])</f>
        <v>91464017.162798315</v>
      </c>
      <c r="L65" s="71">
        <f>+SUMIF(CATEGORIAS[[#All],[SUBGRUPO]],A65,CATEGORIAS[[#All],[COSTO ACUMULADO
ANTERIOR]])
+SUMIF(CATEGORIAS[[#All],[SUBGRUPO]],A65,CATEGORIAS[[#All],[CAMBIO DE
CATEGORIA
ANTERIOR]])
+SUMIF(CATEGORIAS[[#All],[SUBGRUPO]],A65,CATEGORIAS[[#All],[PROVISIONES
ANTERIOR]])</f>
        <v>89355743</v>
      </c>
      <c r="M65" s="71">
        <f>K65-L65</f>
        <v>2108274.1627983153</v>
      </c>
      <c r="O65" s="85">
        <f t="shared" ref="O65:P67" si="65">G65-K65</f>
        <v>10833.473684698343</v>
      </c>
      <c r="P65" s="85">
        <f t="shared" si="65"/>
        <v>0</v>
      </c>
      <c r="Q65" s="85">
        <f>I65-M65</f>
        <v>10833.473684698343</v>
      </c>
    </row>
    <row r="66" spans="1:17" ht="15" customHeight="1" x14ac:dyDescent="0.25">
      <c r="A66" s="14" t="str">
        <f>'Matriz de Produccion'!A66</f>
        <v>1F07</v>
      </c>
      <c r="B66" s="6" t="str">
        <f>VLOOKUP(A66,'Analisis por Categorias'!B:C,2,FALSE)</f>
        <v>Servicios</v>
      </c>
      <c r="D66" s="3">
        <f>SUMIF(CATEGORIAS[[#All],[SUBGRUPO]],A66,CATEGORIAS[[#All],[PRESUPUESTO
(ORIGINAL)]])</f>
        <v>67752174.763487533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99686186.714557394</v>
      </c>
      <c r="G66" s="71">
        <f>+SUMIF(CATEGORIAS[[#All],[SUBGRUPO]],A66,CATEGORIAS[[#All],[PRODUCCION
PARTIDAS
ORIGINALES
ACTUAL]])
+SUMIF(CATEGORIAS[[#All],[SUBGRUPO]],A66,CATEGORIAS[[#All],[PRODUCCION
ADICIONALES
ACTUAL]])</f>
        <v>99686186.714557394</v>
      </c>
      <c r="H66" s="71">
        <f>+SUMIF(CATEGORIAS[[#All],[SUBGRUPO]],A66,CATEGORIAS[[#All],[COSTO
ACUMULADO  AX]])
+SUMIF(CATEGORIAS[[#All],[SUBGRUPO]],A66,CATEGORIAS[[#All],[CAMBIO DE
CATEGORIA]])
+SUMIF(CATEGORIAS[[#All],[SUBGRUPO]],A66,CATEGORIAS[[#All],[PROVISIONES]])</f>
        <v>145760303</v>
      </c>
      <c r="I66" s="71">
        <f>G66-H66</f>
        <v>-46074116.285442606</v>
      </c>
      <c r="K66" s="71">
        <f>+SUMIF(CATEGORIAS[[#All],[SUBGRUPO]],A66,CATEGORIAS[[#All],[PRODUCCION
ANTERIOR]])
+SUMIF(CATEGORIAS[[#All],[SUBGRUPO]],A66,CATEGORIAS[[#All],[PRODUCCION
ADICIONALES
ANTERIOR]])</f>
        <v>99672886.921241507</v>
      </c>
      <c r="L66" s="71">
        <f>+SUMIF(CATEGORIAS[[#All],[SUBGRUPO]],A66,CATEGORIAS[[#All],[COSTO ACUMULADO
ANTERIOR]])
+SUMIF(CATEGORIAS[[#All],[SUBGRUPO]],A66,CATEGORIAS[[#All],[CAMBIO DE
CATEGORIA
ANTERIOR]])
+SUMIF(CATEGORIAS[[#All],[SUBGRUPO]],A66,CATEGORIAS[[#All],[PROVISIONES
ANTERIOR]])</f>
        <v>138819879</v>
      </c>
      <c r="M66" s="71">
        <f>K66-L66</f>
        <v>-39146992.078758493</v>
      </c>
      <c r="O66" s="85">
        <f t="shared" si="65"/>
        <v>13299.793315887451</v>
      </c>
      <c r="P66" s="85">
        <f>H66-L66</f>
        <v>6940424</v>
      </c>
      <c r="Q66" s="85">
        <f>I66-M66</f>
        <v>-6927124.2066841125</v>
      </c>
    </row>
    <row r="67" spans="1:17" ht="15" customHeight="1" x14ac:dyDescent="0.25">
      <c r="A67" s="14" t="str">
        <f>'Matriz de Produccion'!A67</f>
        <v>1F08</v>
      </c>
      <c r="B67" s="6" t="str">
        <f>VLOOKUP(A67,'Analisis por Categorias'!B:C,2,FALSE)</f>
        <v>Topografía</v>
      </c>
      <c r="D67" s="3">
        <f>SUMIF(CATEGORIAS[[#All],[SUBGRUPO]],A67,CATEGORIAS[[#All],[PRESUPUESTO
(ORIGINAL)]])</f>
        <v>44741710.359320536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64938958.4525019</v>
      </c>
      <c r="G67" s="71">
        <f>+SUMIF(CATEGORIAS[[#All],[SUBGRUPO]],A67,CATEGORIAS[[#All],[PRODUCCION
PARTIDAS
ORIGINALES
ACTUAL]])
+SUMIF(CATEGORIAS[[#All],[SUBGRUPO]],A67,CATEGORIAS[[#All],[PRODUCCION
ADICIONALES
ACTUAL]])</f>
        <v>64938958.4525019</v>
      </c>
      <c r="H67" s="71">
        <f>+SUMIF(CATEGORIAS[[#All],[SUBGRUPO]],A67,CATEGORIAS[[#All],[COSTO
ACUMULADO  AX]])
+SUMIF(CATEGORIAS[[#All],[SUBGRUPO]],A67,CATEGORIAS[[#All],[CAMBIO DE
CATEGORIA]])
+SUMIF(CATEGORIAS[[#All],[SUBGRUPO]],A67,CATEGORIAS[[#All],[PROVISIONES]])</f>
        <v>80582133</v>
      </c>
      <c r="I67" s="71">
        <f>G67-H67</f>
        <v>-15643174.5474981</v>
      </c>
      <c r="K67" s="71">
        <f>+SUMIF(CATEGORIAS[[#All],[SUBGRUPO]],A67,CATEGORIAS[[#All],[PRODUCCION
ANTERIOR]])
+SUMIF(CATEGORIAS[[#All],[SUBGRUPO]],A67,CATEGORIAS[[#All],[PRODUCCION
ADICIONALES
ANTERIOR]])</f>
        <v>64930175.627412438</v>
      </c>
      <c r="L67" s="71">
        <f>+SUMIF(CATEGORIAS[[#All],[SUBGRUPO]],A67,CATEGORIAS[[#All],[COSTO ACUMULADO
ANTERIOR]])
+SUMIF(CATEGORIAS[[#All],[SUBGRUPO]],A67,CATEGORIAS[[#All],[CAMBIO DE
CATEGORIA
ANTERIOR]])
+SUMIF(CATEGORIAS[[#All],[SUBGRUPO]],A67,CATEGORIAS[[#All],[PROVISIONES
ANTERIOR]])</f>
        <v>80582133</v>
      </c>
      <c r="M67" s="71">
        <f>K67-L67</f>
        <v>-15651957.372587562</v>
      </c>
      <c r="O67" s="85">
        <f t="shared" si="65"/>
        <v>8782.8250894621015</v>
      </c>
      <c r="P67" s="85">
        <f t="shared" si="65"/>
        <v>0</v>
      </c>
      <c r="Q67" s="85">
        <f>I67-M67</f>
        <v>8782.8250894621015</v>
      </c>
    </row>
    <row r="68" spans="1:17" ht="15" customHeight="1" x14ac:dyDescent="0.25">
      <c r="A68" s="14" t="str">
        <f>'Matriz de Produccion'!A68</f>
        <v>1F09</v>
      </c>
      <c r="B68" s="6" t="str">
        <f>VLOOKUP(A68,'Analisis por Categorias'!B:C,2,FALSE)</f>
        <v>Movilización</v>
      </c>
      <c r="D68" s="3">
        <f>SUMIF(CATEGORIAS[[#All],[SUBGRUPO]],A68,CATEGORIAS[[#All],[PRESUPUESTO
(ORIGINAL)]])</f>
        <v>17775000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27212056.461631984</v>
      </c>
      <c r="G68" s="71">
        <f>+SUMIF(CATEGORIAS[[#All],[SUBGRUPO]],A68,CATEGORIAS[[#All],[PRODUCCION
PARTIDAS
ORIGINALES
ACTUAL]])
+SUMIF(CATEGORIAS[[#All],[SUBGRUPO]],A68,CATEGORIAS[[#All],[PRODUCCION
ADICIONALES
ACTUAL]])</f>
        <v>27212056.461631984</v>
      </c>
      <c r="H68" s="71">
        <f>+SUMIF(CATEGORIAS[[#All],[SUBGRUPO]],A68,CATEGORIAS[[#All],[COSTO
ACUMULADO  AX]])
+SUMIF(CATEGORIAS[[#All],[SUBGRUPO]],A68,CATEGORIAS[[#All],[CAMBIO DE
CATEGORIA]])
+SUMIF(CATEGORIAS[[#All],[SUBGRUPO]],A68,CATEGORIAS[[#All],[PROVISIONES]])</f>
        <v>79403794</v>
      </c>
      <c r="I68" s="71">
        <f t="shared" si="60"/>
        <v>-52191737.538368016</v>
      </c>
      <c r="K68" s="71">
        <f>+SUMIF(CATEGORIAS[[#All],[SUBGRUPO]],A68,CATEGORIAS[[#All],[PRODUCCION
ANTERIOR]])
+SUMIF(CATEGORIAS[[#All],[SUBGRUPO]],A68,CATEGORIAS[[#All],[PRODUCCION
ADICIONALES
ANTERIOR]])</f>
        <v>27208567.218267985</v>
      </c>
      <c r="L68" s="71">
        <f>+SUMIF(CATEGORIAS[[#All],[SUBGRUPO]],A68,CATEGORIAS[[#All],[COSTO ACUMULADO
ANTERIOR]])
+SUMIF(CATEGORIAS[[#All],[SUBGRUPO]],A68,CATEGORIAS[[#All],[CAMBIO DE
CATEGORIA
ANTERIOR]])
+SUMIF(CATEGORIAS[[#All],[SUBGRUPO]],A68,CATEGORIAS[[#All],[PROVISIONES
ANTERIOR]])</f>
        <v>78885144</v>
      </c>
      <c r="M68" s="71">
        <f t="shared" si="61"/>
        <v>-51676576.781732015</v>
      </c>
      <c r="O68" s="85">
        <f t="shared" si="62"/>
        <v>3489.2433639988303</v>
      </c>
      <c r="P68" s="85">
        <f t="shared" si="63"/>
        <v>518650</v>
      </c>
      <c r="Q68" s="85">
        <f t="shared" si="64"/>
        <v>-515160.75663600117</v>
      </c>
    </row>
    <row r="69" spans="1:17" ht="15" customHeight="1" x14ac:dyDescent="0.25">
      <c r="A69" s="14" t="str">
        <f>'Matriz de Produccion'!A69</f>
        <v>1F10</v>
      </c>
      <c r="B69" s="6" t="str">
        <f>VLOOKUP(A69,'Analisis por Categorias'!B:C,2,FALSE)</f>
        <v>Hoteleria</v>
      </c>
      <c r="D69" s="3">
        <f>SUMIF(CATEGORIAS[[#All],[SUBGRUPO]],A69,CATEGORIAS[[#All],[PRESUPUESTO
(ORIGINAL)]])</f>
        <v>62225000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93317344.719605133</v>
      </c>
      <c r="G69" s="71">
        <f>+SUMIF(CATEGORIAS[[#All],[SUBGRUPO]],A69,CATEGORIAS[[#All],[PRODUCCION
PARTIDAS
ORIGINALES
ACTUAL]])
+SUMIF(CATEGORIAS[[#All],[SUBGRUPO]],A69,CATEGORIAS[[#All],[PRODUCCION
ADICIONALES
ACTUAL]])</f>
        <v>93317344.719605133</v>
      </c>
      <c r="H69" s="71">
        <f>+SUMIF(CATEGORIAS[[#All],[SUBGRUPO]],A69,CATEGORIAS[[#All],[COSTO
ACUMULADO  AX]])
+SUMIF(CATEGORIAS[[#All],[SUBGRUPO]],A69,CATEGORIAS[[#All],[CAMBIO DE
CATEGORIA]])
+SUMIF(CATEGORIAS[[#All],[SUBGRUPO]],A69,CATEGORIAS[[#All],[PROVISIONES]])</f>
        <v>118923482</v>
      </c>
      <c r="I69" s="71">
        <f t="shared" ref="I69" si="66">G69-H69</f>
        <v>-25606137.280394867</v>
      </c>
      <c r="K69" s="71">
        <f>+SUMIF(CATEGORIAS[[#All],[SUBGRUPO]],A69,CATEGORIAS[[#All],[PRODUCCION
ANTERIOR]])
+SUMIF(CATEGORIAS[[#All],[SUBGRUPO]],A69,CATEGORIAS[[#All],[PRODUCCION
ADICIONALES
ANTERIOR]])</f>
        <v>93305129.914073497</v>
      </c>
      <c r="L69" s="71">
        <f>+SUMIF(CATEGORIAS[[#All],[SUBGRUPO]],A69,CATEGORIAS[[#All],[COSTO ACUMULADO
ANTERIOR]])
+SUMIF(CATEGORIAS[[#All],[SUBGRUPO]],A69,CATEGORIAS[[#All],[CAMBIO DE
CATEGORIA
ANTERIOR]])
+SUMIF(CATEGORIAS[[#All],[SUBGRUPO]],A69,CATEGORIAS[[#All],[PROVISIONES
ANTERIOR]])</f>
        <v>117984349</v>
      </c>
      <c r="M69" s="71">
        <f t="shared" ref="M69" si="67">K69-L69</f>
        <v>-24679219.085926503</v>
      </c>
      <c r="O69" s="71">
        <f t="shared" ref="O69" si="68">G69-K69</f>
        <v>12214.80553163588</v>
      </c>
      <c r="P69" s="71">
        <f t="shared" ref="P69" si="69">H69-L69</f>
        <v>939133</v>
      </c>
      <c r="Q69" s="71">
        <f t="shared" ref="Q69" si="70">I69-M69</f>
        <v>-926918.19446836412</v>
      </c>
    </row>
    <row r="70" spans="1:17" ht="15" customHeight="1" x14ac:dyDescent="0.25">
      <c r="A70" s="14" t="str">
        <f>'Matriz de Produccion'!A70</f>
        <v>1F11</v>
      </c>
      <c r="B70" s="276" t="str">
        <f>VLOOKUP(A70,'Analisis por Categorias'!B:C,2,FALSE)</f>
        <v>Alimentación</v>
      </c>
      <c r="D70" s="3">
        <f>SUMIF(CATEGORIAS[[#All],[SUBGRUPO]],A70,CATEGORIAS[[#All],[PRESUPUESTO
(ORIGINAL)]])</f>
        <v>23518100.418080352</v>
      </c>
      <c r="E70" s="3">
        <f>+SUMIF(CATEGORIAS[[#All],[SUBGRUPO]],A70,CATEGORIAS[[#All],[PRODUCCION
PARTIDAS
ORIGINALES
ACTUAL]])
+SUMIF(CATEGORIAS[[#All],[SUBGRUPO]],A70,CATEGORIAS[[#All],[PRODUCCION
ADICIONALES
ACTUAL]])
+SUMIF(CATEGORIAS[[#All],[SUBGRUPO]],A70,CATEGORIAS[[#All],[PROYECCION
DE INGRESO
DEL SALDO]])</f>
        <v>37022610.556345612</v>
      </c>
      <c r="G70" s="71">
        <f>+SUMIF(CATEGORIAS[[#All],[SUBGRUPO]],A70,CATEGORIAS[[#All],[PRODUCCION
PARTIDAS
ORIGINALES
ACTUAL]])
+SUMIF(CATEGORIAS[[#All],[SUBGRUPO]],A70,CATEGORIAS[[#All],[PRODUCCION
ADICIONALES
ACTUAL]])</f>
        <v>37022610.556345612</v>
      </c>
      <c r="H70" s="71">
        <f>+SUMIF(CATEGORIAS[[#All],[SUBGRUPO]],A70,CATEGORIAS[[#All],[COSTO
ACUMULADO  AX]])
+SUMIF(CATEGORIAS[[#All],[SUBGRUPO]],A70,CATEGORIAS[[#All],[CAMBIO DE
CATEGORIA]])
+SUMIF(CATEGORIAS[[#All],[SUBGRUPO]],A70,CATEGORIAS[[#All],[PROVISIONES]])</f>
        <v>47315272.579999998</v>
      </c>
      <c r="I70" s="71">
        <f t="shared" ref="I70" si="71">G70-H70</f>
        <v>-10292662.023654386</v>
      </c>
      <c r="K70" s="71">
        <f>+SUMIF(CATEGORIAS[[#All],[SUBGRUPO]],A70,CATEGORIAS[[#All],[PRODUCCION
ANTERIOR]])
+SUMIF(CATEGORIAS[[#All],[SUBGRUPO]],A70,CATEGORIAS[[#All],[PRODUCCION
ADICIONALES
ANTERIOR]])</f>
        <v>37017993.938859388</v>
      </c>
      <c r="L70" s="71">
        <f>+SUMIF(CATEGORIAS[[#All],[SUBGRUPO]],A70,CATEGORIAS[[#All],[COSTO ACUMULADO
ANTERIOR]])
+SUMIF(CATEGORIAS[[#All],[SUBGRUPO]],A70,CATEGORIAS[[#All],[CAMBIO DE
CATEGORIA
ANTERIOR]])
+SUMIF(CATEGORIAS[[#All],[SUBGRUPO]],A70,CATEGORIAS[[#All],[PROVISIONES
ANTERIOR]])</f>
        <v>47315272.579999998</v>
      </c>
      <c r="M70" s="71">
        <f t="shared" ref="M70" si="72">K70-L70</f>
        <v>-10297278.64114061</v>
      </c>
      <c r="O70" s="71">
        <f t="shared" ref="O70" si="73">G70-K70</f>
        <v>4616.6174862235785</v>
      </c>
      <c r="P70" s="85">
        <f t="shared" ref="P70" si="74">H70-L70</f>
        <v>0</v>
      </c>
      <c r="Q70" s="71">
        <f t="shared" ref="Q70" si="75">I70-M70</f>
        <v>4616.6174862235785</v>
      </c>
    </row>
    <row r="71" spans="1:17" ht="15" hidden="1" customHeight="1" x14ac:dyDescent="0.25">
      <c r="A71" s="14" t="str">
        <f>'Matriz de Produccion'!A71</f>
        <v>1F12</v>
      </c>
      <c r="B71" s="6" t="e">
        <f>VLOOKUP(A71,'Analisis por Categorias'!B:C,2,FALSE)</f>
        <v>#N/A</v>
      </c>
      <c r="D71" s="3">
        <f>SUMIF(CATEGORIAS[[#All],[SUBGRUPO]],A71,CATEGORIAS[[#All],[PRESUPUESTO
(ORIGINAL)]])</f>
        <v>0</v>
      </c>
      <c r="E71" s="3">
        <f>+SUMIF(CATEGORIAS[[#All],[SUBGRUPO]],A71,CATEGORIAS[[#All],[PRODUCCION
PARTIDAS
ORIGINALES
ACTUAL]])
+SUMIF(CATEGORIAS[[#All],[SUBGRUPO]],A71,CATEGORIAS[[#All],[PRODUCCION
ADICIONALES
ACTUAL]])
+SUMIF(CATEGORIAS[[#All],[SUBGRUPO]],A71,CATEGORIAS[[#All],[PROYECCION
DE INGRESO
DEL SALDO]])</f>
        <v>0</v>
      </c>
      <c r="G71" s="71">
        <f>+SUMIF(CATEGORIAS[[#All],[SUBGRUPO]],A71,CATEGORIAS[[#All],[PRODUCCION
PARTIDAS
ORIGINALES
ACTUAL]])
+SUMIF(CATEGORIAS[[#All],[SUBGRUPO]],A71,CATEGORIAS[[#All],[PRODUCCION
ADICIONALES
ACTUAL]])</f>
        <v>0</v>
      </c>
      <c r="H71" s="71">
        <f>+SUMIF(CATEGORIAS[[#All],[SUBGRUPO]],A71,CATEGORIAS[[#All],[COSTO
ACUMULADO  AX]])
+SUMIF(CATEGORIAS[[#All],[SUBGRUPO]],A71,CATEGORIAS[[#All],[CAMBIO DE
CATEGORIA]])
+SUMIF(CATEGORIAS[[#All],[SUBGRUPO]],A71,CATEGORIAS[[#All],[PROVISIONES]])</f>
        <v>0</v>
      </c>
      <c r="I71" s="71">
        <f t="shared" si="60"/>
        <v>0</v>
      </c>
      <c r="K71" s="71">
        <f>+SUMIF(CATEGORIAS[[#All],[SUBGRUPO]],A71,CATEGORIAS[[#All],[PRODUCCION
ANTERIOR]])
+SUMIF(CATEGORIAS[[#All],[SUBGRUPO]],A71,CATEGORIAS[[#All],[PRODUCCION
ADICIONALES
ANTERIOR]])</f>
        <v>0</v>
      </c>
      <c r="L71" s="71">
        <f>+SUMIF(CATEGORIAS[[#All],[SUBGRUPO]],A71,CATEGORIAS[[#All],[COSTO ACUMULADO
ANTERIOR]])
+SUMIF(CATEGORIAS[[#All],[SUBGRUPO]],A71,CATEGORIAS[[#All],[CAMBIO DE
CATEGORIA
ANTERIOR]])
+SUMIF(CATEGORIAS[[#All],[SUBGRUPO]],A71,CATEGORIAS[[#All],[PROVISIONES
ANTERIOR]])</f>
        <v>0</v>
      </c>
      <c r="M71" s="71">
        <f t="shared" si="61"/>
        <v>0</v>
      </c>
      <c r="O71" s="71">
        <f t="shared" si="62"/>
        <v>0</v>
      </c>
      <c r="P71" s="71">
        <f t="shared" si="63"/>
        <v>0</v>
      </c>
      <c r="Q71" s="71">
        <f t="shared" si="64"/>
        <v>0</v>
      </c>
    </row>
    <row r="72" spans="1:17" ht="8.25" customHeight="1" x14ac:dyDescent="0.25"/>
    <row r="73" spans="1:17" ht="15" customHeight="1" x14ac:dyDescent="0.25">
      <c r="A73" s="14" t="str">
        <f>'Matriz de Produccion'!A73</f>
        <v>1G00</v>
      </c>
      <c r="B73" s="81" t="str">
        <f>'Matriz de Produccion'!B73:B73</f>
        <v>G - EQUIPOS INDIRECTOS</v>
      </c>
      <c r="D73" s="82">
        <f>SUM(D74:D77)</f>
        <v>112795628.36</v>
      </c>
      <c r="E73" s="82">
        <f>SUM(E74:E77)</f>
        <v>161450051.27994096</v>
      </c>
      <c r="G73" s="83">
        <f>SUM(G74:G77)</f>
        <v>161450051.27994096</v>
      </c>
      <c r="H73" s="84">
        <f>SUM(H74:H77)</f>
        <v>131407294.3</v>
      </c>
      <c r="I73" s="87">
        <f>SUM(I74:I77)</f>
        <v>30042756.979940973</v>
      </c>
      <c r="K73" s="83">
        <f>SUM(K74:K77)</f>
        <v>161427909.42915371</v>
      </c>
      <c r="L73" s="84">
        <f>SUM(L74:L77)</f>
        <v>128593789.3</v>
      </c>
      <c r="M73" s="87">
        <f>SUM(M74:M77)</f>
        <v>32834120.129153721</v>
      </c>
      <c r="O73" s="83">
        <f>SUM(O74:O77)</f>
        <v>22141.850787248462</v>
      </c>
      <c r="P73" s="84">
        <f>SUM(P74:P77)</f>
        <v>2813505</v>
      </c>
      <c r="Q73" s="87">
        <f>SUM(Q74:Q77)</f>
        <v>-2791363.1492127515</v>
      </c>
    </row>
    <row r="74" spans="1:17" ht="15" customHeight="1" x14ac:dyDescent="0.25">
      <c r="A74" s="14" t="str">
        <f>'Matriz de Produccion'!A74</f>
        <v>1G01</v>
      </c>
      <c r="B74" s="6" t="str">
        <f>VLOOKUP(A74,'Analisis por Categorias'!B:C,2,FALSE)</f>
        <v>Camioneta</v>
      </c>
      <c r="D74" s="3">
        <f>SUMIF(CATEGORIAS[[#All],[SUBGRUPO]],A74,CATEGORIAS[[#All],[PRESUPUESTO
(ORIGINAL)]])</f>
        <v>24410747.400000002</v>
      </c>
      <c r="E74" s="3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35116724.521139696</v>
      </c>
      <c r="G74" s="71">
        <f>+SUMIF(CATEGORIAS[[#All],[SUBGRUPO]],A74,CATEGORIAS[[#All],[PRODUCCION
PARTIDAS
ORIGINALES
ACTUAL]])
+SUMIF(CATEGORIAS[[#All],[SUBGRUPO]],A74,CATEGORIAS[[#All],[PRODUCCION
ADICIONALES
ACTUAL]])</f>
        <v>35116724.521139696</v>
      </c>
      <c r="H74" s="71">
        <f>+SUMIF(CATEGORIAS[[#All],[SUBGRUPO]],A74,CATEGORIAS[[#All],[COSTO
ACUMULADO  AX]])
+SUMIF(CATEGORIAS[[#All],[SUBGRUPO]],A74,CATEGORIAS[[#All],[CAMBIO DE
CATEGORIA]])
+SUMIF(CATEGORIAS[[#All],[SUBGRUPO]],A74,CATEGORIAS[[#All],[PROVISIONES]])</f>
        <v>73401377.5</v>
      </c>
      <c r="I74" s="71">
        <f>G74-H74</f>
        <v>-38284652.978860304</v>
      </c>
      <c r="K74" s="71">
        <f>+SUMIF(CATEGORIAS[[#All],[SUBGRUPO]],A74,CATEGORIAS[[#All],[PRODUCCION
ANTERIOR]])
+SUMIF(CATEGORIAS[[#All],[SUBGRUPO]],A74,CATEGORIAS[[#All],[PRODUCCION
ADICIONALES
ANTERIOR]])</f>
        <v>35111932.676505342</v>
      </c>
      <c r="L74" s="71">
        <f>+SUMIF(CATEGORIAS[[#All],[SUBGRUPO]],A74,CATEGORIAS[[#All],[COSTO ACUMULADO
ANTERIOR]])
+SUMIF(CATEGORIAS[[#All],[SUBGRUPO]],A74,CATEGORIAS[[#All],[CAMBIO DE
CATEGORIA
ANTERIOR]])
+SUMIF(CATEGORIAS[[#All],[SUBGRUPO]],A74,CATEGORIAS[[#All],[PROVISIONES
ANTERIOR]])</f>
        <v>70152507.5</v>
      </c>
      <c r="M74" s="71">
        <f>K74-L74</f>
        <v>-35040574.823494658</v>
      </c>
      <c r="O74" s="71">
        <f>G74-K74</f>
        <v>4791.8446343541145</v>
      </c>
      <c r="P74" s="71">
        <f>H74-L74</f>
        <v>3248870</v>
      </c>
      <c r="Q74" s="85">
        <f>I74-M74</f>
        <v>-3244078.1553656459</v>
      </c>
    </row>
    <row r="75" spans="1:17" ht="15" customHeight="1" x14ac:dyDescent="0.25">
      <c r="A75" s="14" t="str">
        <f>'Matriz de Produccion'!A75</f>
        <v>1G02</v>
      </c>
      <c r="B75" s="6" t="str">
        <f>VLOOKUP(A75,'Analisis por Categorias'!B:C,2,FALSE)</f>
        <v>Movilización</v>
      </c>
      <c r="D75" s="3">
        <f>SUMIF(CATEGORIAS[[#All],[SUBGRUPO]],A75,CATEGORIAS[[#All],[PRESUPUESTO
(ORIGINAL)]])</f>
        <v>57172500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82649541.386906177</v>
      </c>
      <c r="G75" s="71">
        <f>+SUMIF(CATEGORIAS[[#All],[SUBGRUPO]],A75,CATEGORIAS[[#All],[PRODUCCION
PARTIDAS
ORIGINALES
ACTUAL]])
+SUMIF(CATEGORIAS[[#All],[SUBGRUPO]],A75,CATEGORIAS[[#All],[PRODUCCION
ADICIONALES
ACTUAL]])</f>
        <v>82649541.386906177</v>
      </c>
      <c r="H75" s="85">
        <f>+SUMIF(CATEGORIAS[[#All],[SUBGRUPO]],A75,CATEGORIAS[[#All],[COSTO
ACUMULADO  AX]])
+SUMIF(CATEGORIAS[[#All],[SUBGRUPO]],A75,CATEGORIAS[[#All],[CAMBIO DE
CATEGORIA]])
+SUMIF(CATEGORIAS[[#All],[SUBGRUPO]],A75,CATEGORIAS[[#All],[PROVISIONES]])</f>
        <v>27541999.800000001</v>
      </c>
      <c r="I75" s="71">
        <f>G75-H75</f>
        <v>55107541.58690618</v>
      </c>
      <c r="K75" s="71">
        <f>+SUMIF(CATEGORIAS[[#All],[SUBGRUPO]],A75,CATEGORIAS[[#All],[PRODUCCION
ANTERIOR]])
+SUMIF(CATEGORIAS[[#All],[SUBGRUPO]],A75,CATEGORIAS[[#All],[PRODUCCION
ADICIONALES
ANTERIOR]])</f>
        <v>82638318.390212595</v>
      </c>
      <c r="L75" s="71">
        <f>+SUMIF(CATEGORIAS[[#All],[SUBGRUPO]],A75,CATEGORIAS[[#All],[COSTO ACUMULADO
ANTERIOR]])
+SUMIF(CATEGORIAS[[#All],[SUBGRUPO]],A75,CATEGORIAS[[#All],[CAMBIO DE
CATEGORIA
ANTERIOR]])
+SUMIF(CATEGORIAS[[#All],[SUBGRUPO]],A75,CATEGORIAS[[#All],[PROVISIONES
ANTERIOR]])</f>
        <v>27541999.800000001</v>
      </c>
      <c r="M75" s="71">
        <f>K75-L75</f>
        <v>55096318.590212598</v>
      </c>
      <c r="O75" s="71">
        <f t="shared" ref="O75:Q77" si="76">G75-K75</f>
        <v>11222.996693581343</v>
      </c>
      <c r="P75" s="71">
        <f>H75-L75</f>
        <v>0</v>
      </c>
      <c r="Q75" s="71">
        <f t="shared" si="76"/>
        <v>11222.996693581343</v>
      </c>
    </row>
    <row r="76" spans="1:17" ht="15" customHeight="1" x14ac:dyDescent="0.25">
      <c r="A76" s="14" t="str">
        <f>'Matriz de Produccion'!A76</f>
        <v>1G03</v>
      </c>
      <c r="B76" s="6" t="str">
        <f>VLOOKUP(A76,'Analisis por Categorias'!B:C,2,FALSE)</f>
        <v>Equipo Topográfico</v>
      </c>
      <c r="D76" s="3">
        <f>SUMIF(CATEGORIAS[[#All],[SUBGRUPO]],A76,CATEGORIAS[[#All],[PRESUPUESTO
(ORIGINAL)]])</f>
        <v>4087380.9600000004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5453141.3240862917</v>
      </c>
      <c r="G76" s="71">
        <f>+SUMIF(CATEGORIAS[[#All],[SUBGRUPO]],A76,CATEGORIAS[[#All],[PRODUCCION
PARTIDAS
ORIGINALES
ACTUAL]])
+SUMIF(CATEGORIAS[[#All],[SUBGRUPO]],A76,CATEGORIAS[[#All],[PRODUCCION
ADICIONALES
ACTUAL]])</f>
        <v>5453141.3240862917</v>
      </c>
      <c r="H76" s="71">
        <f>+SUMIF(CATEGORIAS[[#All],[SUBGRUPO]],A76,CATEGORIAS[[#All],[COSTO
ACUMULADO  AX]])
+SUMIF(CATEGORIAS[[#All],[SUBGRUPO]],A76,CATEGORIAS[[#All],[CAMBIO DE
CATEGORIA]])
+SUMIF(CATEGORIAS[[#All],[SUBGRUPO]],A76,CATEGORIAS[[#All],[PROVISIONES]])</f>
        <v>5007325</v>
      </c>
      <c r="I76" s="71">
        <f>G76-H76</f>
        <v>445816.32408629172</v>
      </c>
      <c r="K76" s="71">
        <f>+SUMIF(CATEGORIAS[[#All],[SUBGRUPO]],A76,CATEGORIAS[[#All],[PRODUCCION
ANTERIOR]])
+SUMIF(CATEGORIAS[[#All],[SUBGRUPO]],A76,CATEGORIAS[[#All],[PRODUCCION
ADICIONALES
ANTERIOR]])</f>
        <v>5452338.968705656</v>
      </c>
      <c r="L76" s="71">
        <f>+SUMIF(CATEGORIAS[[#All],[SUBGRUPO]],A76,CATEGORIAS[[#All],[COSTO ACUMULADO
ANTERIOR]])
+SUMIF(CATEGORIAS[[#All],[SUBGRUPO]],A76,CATEGORIAS[[#All],[CAMBIO DE
CATEGORIA
ANTERIOR]])
+SUMIF(CATEGORIAS[[#All],[SUBGRUPO]],A76,CATEGORIAS[[#All],[PROVISIONES
ANTERIOR]])</f>
        <v>5007325</v>
      </c>
      <c r="M76" s="71">
        <f>K76-L76</f>
        <v>445013.96870565601</v>
      </c>
      <c r="O76" s="71">
        <f t="shared" ref="O76" si="77">G76-K76</f>
        <v>802.35538063570857</v>
      </c>
      <c r="P76" s="85">
        <f t="shared" ref="P76" si="78">H76-L76</f>
        <v>0</v>
      </c>
      <c r="Q76" s="71">
        <f t="shared" ref="Q76" si="79">I76-M76</f>
        <v>802.35538063570857</v>
      </c>
    </row>
    <row r="77" spans="1:17" ht="15" customHeight="1" x14ac:dyDescent="0.25">
      <c r="A77" s="14" t="str">
        <f>'Matriz de Produccion'!A77</f>
        <v>1G04</v>
      </c>
      <c r="B77" s="276" t="str">
        <f>VLOOKUP(A77,'Analisis por Categorias'!B:C,2,FALSE)</f>
        <v>Combustibles</v>
      </c>
      <c r="D77" s="3">
        <f>SUMIF(CATEGORIAS[[#All],[SUBGRUPO]],A77,CATEGORIAS[[#All],[PRESUPUESTO
(ORIGINAL)]])</f>
        <v>27125000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38230644.047808804</v>
      </c>
      <c r="G77" s="71">
        <f>+SUMIF(CATEGORIAS[[#All],[SUBGRUPO]],A77,CATEGORIAS[[#All],[PRODUCCION
PARTIDAS
ORIGINALES
ACTUAL]])
+SUMIF(CATEGORIAS[[#All],[SUBGRUPO]],A77,CATEGORIAS[[#All],[PRODUCCION
ADICIONALES
ACTUAL]])</f>
        <v>38230644.047808804</v>
      </c>
      <c r="H77" s="71">
        <f>+SUMIF(CATEGORIAS[[#All],[SUBGRUPO]],A77,CATEGORIAS[[#All],[COSTO
ACUMULADO  AX]])
+SUMIF(CATEGORIAS[[#All],[SUBGRUPO]],A77,CATEGORIAS[[#All],[CAMBIO DE
CATEGORIA]])
+SUMIF(CATEGORIAS[[#All],[SUBGRUPO]],A77,CATEGORIAS[[#All],[PROVISIONES]])</f>
        <v>25456592</v>
      </c>
      <c r="I77" s="71">
        <f>G77-H77</f>
        <v>12774052.047808804</v>
      </c>
      <c r="K77" s="71">
        <f>+SUMIF(CATEGORIAS[[#All],[SUBGRUPO]],A77,CATEGORIAS[[#All],[PRODUCCION
ANTERIOR]])
+SUMIF(CATEGORIAS[[#All],[SUBGRUPO]],A77,CATEGORIAS[[#All],[PRODUCCION
ADICIONALES
ANTERIOR]])</f>
        <v>38225319.393730126</v>
      </c>
      <c r="L77" s="71">
        <f>+SUMIF(CATEGORIAS[[#All],[SUBGRUPO]],A77,CATEGORIAS[[#All],[COSTO ACUMULADO
ANTERIOR]])
+SUMIF(CATEGORIAS[[#All],[SUBGRUPO]],A77,CATEGORIAS[[#All],[CAMBIO DE
CATEGORIA
ANTERIOR]])
+SUMIF(CATEGORIAS[[#All],[SUBGRUPO]],A77,CATEGORIAS[[#All],[PROVISIONES
ANTERIOR]])</f>
        <v>25891957</v>
      </c>
      <c r="M77" s="71">
        <f>K77-L77</f>
        <v>12333362.393730126</v>
      </c>
      <c r="O77" s="71">
        <f t="shared" si="76"/>
        <v>5324.6540786772966</v>
      </c>
      <c r="P77" s="85">
        <f t="shared" si="76"/>
        <v>-435365</v>
      </c>
      <c r="Q77" s="71">
        <f t="shared" si="76"/>
        <v>440689.6540786773</v>
      </c>
    </row>
    <row r="78" spans="1:17" ht="8.25" customHeight="1" x14ac:dyDescent="0.25"/>
    <row r="79" spans="1:17" ht="15" customHeight="1" x14ac:dyDescent="0.25">
      <c r="A79" s="14" t="str">
        <f>'Matriz de Produccion'!A79</f>
        <v>1H00</v>
      </c>
      <c r="B79" s="81" t="str">
        <f>'Matriz de Produccion'!B79:B79</f>
        <v>H - INSTALACIÓN DE FAENAS</v>
      </c>
      <c r="D79" s="82">
        <f>SUM(D80:D90)</f>
        <v>135754532.50963384</v>
      </c>
      <c r="E79" s="82">
        <f>SUM(E80:E90)</f>
        <v>196838271.17832854</v>
      </c>
      <c r="G79" s="83">
        <f>SUM(G80:G90)</f>
        <v>196838271.17832854</v>
      </c>
      <c r="H79" s="83">
        <f t="shared" ref="H79:I79" si="80">SUM(H80:H90)</f>
        <v>104873927</v>
      </c>
      <c r="I79" s="87">
        <f t="shared" si="80"/>
        <v>91964344.178328574</v>
      </c>
      <c r="K79" s="83">
        <f>SUM(K80:K90)</f>
        <v>196811622.48062438</v>
      </c>
      <c r="L79" s="83">
        <f t="shared" ref="L79" si="81">SUM(L80:L90)</f>
        <v>140536575.18000001</v>
      </c>
      <c r="M79" s="83">
        <f t="shared" ref="M79" si="82">SUM(M80:M90)</f>
        <v>56275047.300624356</v>
      </c>
      <c r="O79" s="83">
        <f>SUM(O80:O90)</f>
        <v>26648.697704202496</v>
      </c>
      <c r="P79" s="84">
        <f t="shared" ref="P79" si="83">SUM(P80:P90)</f>
        <v>-35662648.18</v>
      </c>
      <c r="Q79" s="87">
        <f t="shared" ref="Q79" si="84">SUM(Q80:Q90)</f>
        <v>35689296.877704203</v>
      </c>
    </row>
    <row r="80" spans="1:17" ht="15" customHeight="1" x14ac:dyDescent="0.25">
      <c r="A80" s="14" t="str">
        <f>'Matriz de Produccion'!A80</f>
        <v>1H01</v>
      </c>
      <c r="B80" s="6" t="str">
        <f>VLOOKUP(A80,'Analisis por Categorias'!B:C,2,FALSE)</f>
        <v>Mano De Obra</v>
      </c>
      <c r="D80" s="3">
        <f>SUMIF(CATEGORIAS[[#All],[SUBGRUPO]],A80,CATEGORIAS[[#All],[PRESUPUESTO
(ORIGINAL)]])</f>
        <v>27346689.342590965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36916935.189663708</v>
      </c>
      <c r="G80" s="71">
        <f>+SUMIF(CATEGORIAS[[#All],[SUBGRUPO]],A80,CATEGORIAS[[#All],[PRODUCCION
PARTIDAS
ORIGINALES
ACTUAL]])
+SUMIF(CATEGORIAS[[#All],[SUBGRUPO]],A80,CATEGORIAS[[#All],[PRODUCCION
ADICIONALES
ACTUAL]])</f>
        <v>36916935.189663708</v>
      </c>
      <c r="H80" s="71">
        <f>+SUMIF(CATEGORIAS[[#All],[SUBGRUPO]],A80,CATEGORIAS[[#All],[COSTO
ACUMULADO  AX]])
+SUMIF(CATEGORIAS[[#All],[SUBGRUPO]],A80,CATEGORIAS[[#All],[CAMBIO DE
CATEGORIA]])
+SUMIF(CATEGORIAS[[#All],[SUBGRUPO]],A80,CATEGORIAS[[#All],[PROVISIONES]])</f>
        <v>20397012</v>
      </c>
      <c r="I80" s="71">
        <f>G80-H80</f>
        <v>16519923.189663708</v>
      </c>
      <c r="K80" s="71">
        <f>+SUMIF(CATEGORIAS[[#All],[SUBGRUPO]],A80,CATEGORIAS[[#All],[PRODUCCION
ANTERIOR]])
+SUMIF(CATEGORIAS[[#All],[SUBGRUPO]],A80,CATEGORIAS[[#All],[PRODUCCION
ADICIONALES
ANTERIOR]])</f>
        <v>36911567.017831579</v>
      </c>
      <c r="L80" s="71">
        <f>+SUMIF(CATEGORIAS[[#All],[SUBGRUPO]],A80,CATEGORIAS[[#All],[COSTO ACUMULADO
ANTERIOR]])
+SUMIF(CATEGORIAS[[#All],[SUBGRUPO]],A80,CATEGORIAS[[#All],[CAMBIO DE
CATEGORIA
ANTERIOR]])
+SUMIF(CATEGORIAS[[#All],[SUBGRUPO]],A80,CATEGORIAS[[#All],[PROVISIONES
ANTERIOR]])</f>
        <v>20397012</v>
      </c>
      <c r="M80" s="71">
        <f>K80-L80</f>
        <v>16514555.017831579</v>
      </c>
      <c r="O80" s="71">
        <f t="shared" ref="O80" si="85">G80-K80</f>
        <v>5368.1718321293592</v>
      </c>
      <c r="P80" s="85">
        <f>H80-L80</f>
        <v>0</v>
      </c>
      <c r="Q80" s="71">
        <f>I80-M80</f>
        <v>5368.1718321293592</v>
      </c>
    </row>
    <row r="81" spans="1:17" ht="15" customHeight="1" x14ac:dyDescent="0.25">
      <c r="A81" s="14" t="str">
        <f>'Matriz de Produccion'!A81</f>
        <v>1H02</v>
      </c>
      <c r="B81" s="6" t="str">
        <f>VLOOKUP(A81,'Analisis por Categorias'!B:C,2,FALSE)</f>
        <v>Containers</v>
      </c>
      <c r="D81" s="3">
        <f>SUMIF(CATEGORIAS[[#All],[SUBGRUPO]],A81,CATEGORIAS[[#All],[PRESUPUESTO
(ORIGINAL)]])</f>
        <v>19956000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32334912.330901477</v>
      </c>
      <c r="G81" s="71">
        <f>+SUMIF(CATEGORIAS[[#All],[SUBGRUPO]],A81,CATEGORIAS[[#All],[PRODUCCION
PARTIDAS
ORIGINALES
ACTUAL]])
+SUMIF(CATEGORIAS[[#All],[SUBGRUPO]],A81,CATEGORIAS[[#All],[PRODUCCION
ADICIONALES
ACTUAL]])</f>
        <v>32334912.330901477</v>
      </c>
      <c r="H81" s="71">
        <f>+SUMIF(CATEGORIAS[[#All],[SUBGRUPO]],A81,CATEGORIAS[[#All],[COSTO
ACUMULADO  AX]])
+SUMIF(CATEGORIAS[[#All],[SUBGRUPO]],A81,CATEGORIAS[[#All],[CAMBIO DE
CATEGORIA]])
+SUMIF(CATEGORIAS[[#All],[SUBGRUPO]],A81,CATEGORIAS[[#All],[PROVISIONES]])</f>
        <v>-19613371</v>
      </c>
      <c r="I81" s="71">
        <f t="shared" ref="I81:I86" si="86">G81-H81</f>
        <v>51948283.330901474</v>
      </c>
      <c r="K81" s="71">
        <f>+SUMIF(CATEGORIAS[[#All],[SUBGRUPO]],A81,CATEGORIAS[[#All],[PRODUCCION
ANTERIOR]])
+SUMIF(CATEGORIAS[[#All],[SUBGRUPO]],A81,CATEGORIAS[[#All],[PRODUCCION
ADICIONALES
ANTERIOR]])</f>
        <v>32330994.955904458</v>
      </c>
      <c r="L81" s="71">
        <f>+SUMIF(CATEGORIAS[[#All],[SUBGRUPO]],A81,CATEGORIAS[[#All],[COSTO ACUMULADO
ANTERIOR]])
+SUMIF(CATEGORIAS[[#All],[SUBGRUPO]],A81,CATEGORIAS[[#All],[CAMBIO DE
CATEGORIA
ANTERIOR]])
+SUMIF(CATEGORIAS[[#All],[SUBGRUPO]],A81,CATEGORIAS[[#All],[PROVISIONES
ANTERIOR]])</f>
        <v>18973671.18</v>
      </c>
      <c r="M81" s="71">
        <f>K81-L81</f>
        <v>13357323.775904458</v>
      </c>
      <c r="O81" s="71">
        <f>G81-K81</f>
        <v>3917.3749970197678</v>
      </c>
      <c r="P81" s="71">
        <f>H81-L81</f>
        <v>-38587042.18</v>
      </c>
      <c r="Q81" s="85">
        <f>I81-M81</f>
        <v>38590959.554997012</v>
      </c>
    </row>
    <row r="82" spans="1:17" ht="15" customHeight="1" x14ac:dyDescent="0.25">
      <c r="A82" s="14" t="str">
        <f>'Matriz de Produccion'!A82</f>
        <v>1H03</v>
      </c>
      <c r="B82" s="6" t="str">
        <f>VLOOKUP(A82,'Analisis por Categorias'!B:C,2,FALSE)</f>
        <v>Materiales</v>
      </c>
      <c r="D82" s="3">
        <f>SUMIF(CATEGORIAS[[#All],[SUBGRUPO]],A82,CATEGORIAS[[#All],[PRESUPUESTO
(ORIGINAL)]])</f>
        <v>6230000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9892215.1643388327</v>
      </c>
      <c r="G82" s="71">
        <f>+SUMIF(CATEGORIAS[[#All],[SUBGRUPO]],A82,CATEGORIAS[[#All],[PRODUCCION
PARTIDAS
ORIGINALES
ACTUAL]])
+SUMIF(CATEGORIAS[[#All],[SUBGRUPO]],A82,CATEGORIAS[[#All],[PRODUCCION
ADICIONALES
ACTUAL]])</f>
        <v>9892215.1643388309</v>
      </c>
      <c r="H82" s="71">
        <f>+SUMIF(CATEGORIAS[[#All],[SUBGRUPO]],A82,CATEGORIAS[[#All],[COSTO
ACUMULADO  AX]])
+SUMIF(CATEGORIAS[[#All],[SUBGRUPO]],A82,CATEGORIAS[[#All],[CAMBIO DE
CATEGORIA]])
+SUMIF(CATEGORIAS[[#All],[SUBGRUPO]],A82,CATEGORIAS[[#All],[PROVISIONES]])</f>
        <v>11679827</v>
      </c>
      <c r="I82" s="71">
        <f>G82-H82</f>
        <v>-1787611.8356611691</v>
      </c>
      <c r="K82" s="71">
        <f>+SUMIF(CATEGORIAS[[#All],[SUBGRUPO]],A82,CATEGORIAS[[#All],[PRODUCCION
ANTERIOR]])
+SUMIF(CATEGORIAS[[#All],[SUBGRUPO]],A82,CATEGORIAS[[#All],[PRODUCCION
ADICIONALES
ANTERIOR]])</f>
        <v>9890992.2115310803</v>
      </c>
      <c r="L82" s="71">
        <f>+SUMIF(CATEGORIAS[[#All],[SUBGRUPO]],A82,CATEGORIAS[[#All],[COSTO ACUMULADO
ANTERIOR]])
+SUMIF(CATEGORIAS[[#All],[SUBGRUPO]],A82,CATEGORIAS[[#All],[CAMBIO DE
CATEGORIA
ANTERIOR]])
+SUMIF(CATEGORIAS[[#All],[SUBGRUPO]],A82,CATEGORIAS[[#All],[PROVISIONES
ANTERIOR]])</f>
        <v>12143827</v>
      </c>
      <c r="M82" s="71">
        <f>K82-L82</f>
        <v>-2252834.7884689197</v>
      </c>
      <c r="O82" s="71">
        <f t="shared" ref="O82:Q83" si="87">G82-K82</f>
        <v>1222.9528077505529</v>
      </c>
      <c r="P82" s="85">
        <f t="shared" si="87"/>
        <v>-464000</v>
      </c>
      <c r="Q82" s="71">
        <f t="shared" si="87"/>
        <v>465222.95280775055</v>
      </c>
    </row>
    <row r="83" spans="1:17" ht="15" customHeight="1" x14ac:dyDescent="0.25">
      <c r="A83" s="14" t="str">
        <f>'Matriz de Produccion'!A83</f>
        <v>1H04</v>
      </c>
      <c r="B83" s="6" t="str">
        <f>VLOOKUP(A83,'Analisis por Categorias'!B:C,2,FALSE)</f>
        <v>Generadores</v>
      </c>
      <c r="D83" s="3">
        <f>SUMIF(CATEGORIAS[[#All],[SUBGRUPO]],A83,CATEGORIAS[[#All],[PRESUPUESTO
(ORIGINAL)]])</f>
        <v>32733000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48225717.500719205</v>
      </c>
      <c r="G83" s="71">
        <f>+SUMIF(CATEGORIAS[[#All],[SUBGRUPO]],A83,CATEGORIAS[[#All],[PRODUCCION
PARTIDAS
ORIGINALES
ACTUAL]])
+SUMIF(CATEGORIAS[[#All],[SUBGRUPO]],A83,CATEGORIAS[[#All],[PRODUCCION
ADICIONALES
ACTUAL]])</f>
        <v>48225717.500719205</v>
      </c>
      <c r="H83" s="71">
        <f>+SUMIF(CATEGORIAS[[#All],[SUBGRUPO]],A83,CATEGORIAS[[#All],[COSTO
ACUMULADO  AX]])
+SUMIF(CATEGORIAS[[#All],[SUBGRUPO]],A83,CATEGORIAS[[#All],[CAMBIO DE
CATEGORIA]])
+SUMIF(CATEGORIAS[[#All],[SUBGRUPO]],A83,CATEGORIAS[[#All],[PROVISIONES]])</f>
        <v>30203549</v>
      </c>
      <c r="I83" s="71">
        <f>G83-H83</f>
        <v>18022168.500719205</v>
      </c>
      <c r="K83" s="71">
        <f>+SUMIF(CATEGORIAS[[#All],[SUBGRUPO]],A83,CATEGORIAS[[#All],[PRODUCCION
ANTERIOR]])
+SUMIF(CATEGORIAS[[#All],[SUBGRUPO]],A83,CATEGORIAS[[#All],[PRODUCCION
ADICIONALES
ANTERIOR]])</f>
        <v>48219291.992812946</v>
      </c>
      <c r="L83" s="71">
        <f>+SUMIF(CATEGORIAS[[#All],[SUBGRUPO]],A83,CATEGORIAS[[#All],[COSTO ACUMULADO
ANTERIOR]])
+SUMIF(CATEGORIAS[[#All],[SUBGRUPO]],A83,CATEGORIAS[[#All],[CAMBIO DE
CATEGORIA
ANTERIOR]])
+SUMIF(CATEGORIAS[[#All],[SUBGRUPO]],A83,CATEGORIAS[[#All],[PROVISIONES
ANTERIOR]])</f>
        <v>29603552</v>
      </c>
      <c r="M83" s="71">
        <f>K83-L83</f>
        <v>18615739.992812946</v>
      </c>
      <c r="O83" s="71">
        <f t="shared" si="87"/>
        <v>6425.5079062581062</v>
      </c>
      <c r="P83" s="85">
        <f>H83-L83</f>
        <v>599997</v>
      </c>
      <c r="Q83" s="71">
        <f t="shared" si="87"/>
        <v>-593571.49209374189</v>
      </c>
    </row>
    <row r="84" spans="1:17" ht="15" customHeight="1" x14ac:dyDescent="0.25">
      <c r="A84" s="14" t="str">
        <f>'Matriz de Produccion'!A84</f>
        <v>1H05</v>
      </c>
      <c r="B84" s="6" t="str">
        <f>VLOOKUP(A84,'Analisis por Categorias'!B:C,2,FALSE)</f>
        <v>Mobiliarios</v>
      </c>
      <c r="D84" s="3">
        <f>SUMIF(CATEGORIAS[[#All],[SUBGRUPO]],A84,CATEGORIAS[[#All],[PRESUPUESTO
(ORIGINAL)]])</f>
        <v>5340000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7768898.7458726056</v>
      </c>
      <c r="G84" s="71">
        <f>+SUMIF(CATEGORIAS[[#All],[SUBGRUPO]],A84,CATEGORIAS[[#All],[PRODUCCION
PARTIDAS
ORIGINALES
ACTUAL]])
+SUMIF(CATEGORIAS[[#All],[SUBGRUPO]],A84,CATEGORIAS[[#All],[PRODUCCION
ADICIONALES
ACTUAL]])</f>
        <v>7768898.7458726056</v>
      </c>
      <c r="H84" s="71">
        <f>+SUMIF(CATEGORIAS[[#All],[SUBGRUPO]],A84,CATEGORIAS[[#All],[COSTO
ACUMULADO  AX]])
+SUMIF(CATEGORIAS[[#All],[SUBGRUPO]],A84,CATEGORIAS[[#All],[CAMBIO DE
CATEGORIA]])
+SUMIF(CATEGORIAS[[#All],[SUBGRUPO]],A84,CATEGORIAS[[#All],[PROVISIONES]])</f>
        <v>9321721</v>
      </c>
      <c r="I84" s="71">
        <f t="shared" si="86"/>
        <v>-1552822.2541273944</v>
      </c>
      <c r="K84" s="71">
        <f>+SUMIF(CATEGORIAS[[#All],[SUBGRUPO]],A84,CATEGORIAS[[#All],[PRODUCCION
ANTERIOR]])
+SUMIF(CATEGORIAS[[#All],[SUBGRUPO]],A84,CATEGORIAS[[#All],[PRODUCCION
ADICIONALES
ANTERIOR]])</f>
        <v>7767850.5006088214</v>
      </c>
      <c r="L84" s="71">
        <f>+SUMIF(CATEGORIAS[[#All],[SUBGRUPO]],A84,CATEGORIAS[[#All],[COSTO ACUMULADO
ANTERIOR]])
+SUMIF(CATEGORIAS[[#All],[SUBGRUPO]],A84,CATEGORIAS[[#All],[CAMBIO DE
CATEGORIA
ANTERIOR]])
+SUMIF(CATEGORIAS[[#All],[SUBGRUPO]],A84,CATEGORIAS[[#All],[PROVISIONES
ANTERIOR]])</f>
        <v>6533324</v>
      </c>
      <c r="M84" s="71">
        <f t="shared" ref="M84:M86" si="88">K84-L84</f>
        <v>1234526.5006088214</v>
      </c>
      <c r="O84" s="71">
        <f t="shared" ref="O84:O86" si="89">G84-K84</f>
        <v>1048.2452637841925</v>
      </c>
      <c r="P84" s="71">
        <f>H84-L84</f>
        <v>2788397</v>
      </c>
      <c r="Q84" s="71">
        <f>I84-M84</f>
        <v>-2787348.7547362158</v>
      </c>
    </row>
    <row r="85" spans="1:17" ht="15" customHeight="1" x14ac:dyDescent="0.25">
      <c r="A85" s="14" t="str">
        <f>'Matriz de Produccion'!A85</f>
        <v>1H06</v>
      </c>
      <c r="B85" s="6" t="str">
        <f>VLOOKUP(A85,'Analisis por Categorias'!B:C,2,FALSE)</f>
        <v>Baños Químicos</v>
      </c>
      <c r="D85" s="3">
        <f>SUMIF(CATEGORIAS[[#All],[SUBGRUPO]],A85,CATEGORIAS[[#All],[PRESUPUESTO
(ORIGINAL)]])</f>
        <v>15748843.167042889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21960448.238074537</v>
      </c>
      <c r="G85" s="71">
        <f>+SUMIF(CATEGORIAS[[#All],[SUBGRUPO]],A85,CATEGORIAS[[#All],[PRODUCCION
PARTIDAS
ORIGINALES
ACTUAL]])
+SUMIF(CATEGORIAS[[#All],[SUBGRUPO]],A85,CATEGORIAS[[#All],[PRODUCCION
ADICIONALES
ACTUAL]])</f>
        <v>21960448.238074537</v>
      </c>
      <c r="H85" s="71">
        <f>+SUMIF(CATEGORIAS[[#All],[SUBGRUPO]],A85,CATEGORIAS[[#All],[COSTO
ACUMULADO  AX]])
+SUMIF(CATEGORIAS[[#All],[SUBGRUPO]],A85,CATEGORIAS[[#All],[CAMBIO DE
CATEGORIA]])
+SUMIF(CATEGORIAS[[#All],[SUBGRUPO]],A85,CATEGORIAS[[#All],[PROVISIONES]])</f>
        <v>36844534</v>
      </c>
      <c r="I85" s="71">
        <f t="shared" si="86"/>
        <v>-14884085.761925463</v>
      </c>
      <c r="K85" s="71">
        <f>+SUMIF(CATEGORIAS[[#All],[SUBGRUPO]],A85,CATEGORIAS[[#All],[PRODUCCION
ANTERIOR]])
+SUMIF(CATEGORIAS[[#All],[SUBGRUPO]],A85,CATEGORIAS[[#All],[PRODUCCION
ADICIONALES
ANTERIOR]])</f>
        <v>21957356.730535228</v>
      </c>
      <c r="L85" s="71">
        <f>+SUMIF(CATEGORIAS[[#All],[SUBGRUPO]],A85,CATEGORIAS[[#All],[COSTO ACUMULADO
ANTERIOR]])
+SUMIF(CATEGORIAS[[#All],[SUBGRUPO]],A85,CATEGORIAS[[#All],[CAMBIO DE
CATEGORIA
ANTERIOR]])
+SUMIF(CATEGORIAS[[#All],[SUBGRUPO]],A85,CATEGORIAS[[#All],[PROVISIONES
ANTERIOR]])</f>
        <v>36844534</v>
      </c>
      <c r="M85" s="71">
        <f t="shared" si="88"/>
        <v>-14887177.269464772</v>
      </c>
      <c r="O85" s="71">
        <f t="shared" si="89"/>
        <v>3091.5075393095613</v>
      </c>
      <c r="P85" s="71">
        <f t="shared" ref="P85:P86" si="90">H85-L85</f>
        <v>0</v>
      </c>
      <c r="Q85" s="71">
        <f t="shared" ref="Q85:Q86" si="91">I85-M85</f>
        <v>3091.5075393095613</v>
      </c>
    </row>
    <row r="86" spans="1:17" ht="15" customHeight="1" x14ac:dyDescent="0.25">
      <c r="A86" s="14" t="str">
        <f>'Matriz de Produccion'!A86</f>
        <v>1H07</v>
      </c>
      <c r="B86" s="6" t="str">
        <f>VLOOKUP(A86,'Analisis por Categorias'!B:C,2,FALSE)</f>
        <v>Servicios</v>
      </c>
      <c r="D86" s="3">
        <f>SUMIF(CATEGORIAS[[#All],[SUBGRUPO]],A86,CATEGORIAS[[#All],[PRESUPUESTO
(ORIGINAL)]])</f>
        <v>6500000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8774739.6303321235</v>
      </c>
      <c r="G86" s="71">
        <f>+SUMIF(CATEGORIAS[[#All],[SUBGRUPO]],A86,CATEGORIAS[[#All],[PRODUCCION
PARTIDAS
ORIGINALES
ACTUAL]])
+SUMIF(CATEGORIAS[[#All],[SUBGRUPO]],A86,CATEGORIAS[[#All],[PRODUCCION
ADICIONALES
ACTUAL]])</f>
        <v>8774739.6303321235</v>
      </c>
      <c r="H86" s="85">
        <f>+SUMIF(CATEGORIAS[[#All],[SUBGRUPO]],A86,CATEGORIAS[[#All],[COSTO
ACUMULADO  AX]])
+SUMIF(CATEGORIAS[[#All],[SUBGRUPO]],A86,CATEGORIAS[[#All],[CAMBIO DE
CATEGORIA]])
+SUMIF(CATEGORIAS[[#All],[SUBGRUPO]],A86,CATEGORIAS[[#All],[PROVISIONES]])</f>
        <v>1522090</v>
      </c>
      <c r="I86" s="71">
        <f t="shared" si="86"/>
        <v>7252649.6303321235</v>
      </c>
      <c r="K86" s="71">
        <f>+SUMIF(CATEGORIAS[[#All],[SUBGRUPO]],A86,CATEGORIAS[[#All],[PRODUCCION
ANTERIOR]])
+SUMIF(CATEGORIAS[[#All],[SUBGRUPO]],A86,CATEGORIAS[[#All],[PRODUCCION
ADICIONALES
ANTERIOR]])</f>
        <v>8773463.6763593536</v>
      </c>
      <c r="L86" s="71">
        <f>+SUMIF(CATEGORIAS[[#All],[SUBGRUPO]],A86,CATEGORIAS[[#All],[COSTO ACUMULADO
ANTERIOR]])
+SUMIF(CATEGORIAS[[#All],[SUBGRUPO]],A86,CATEGORIAS[[#All],[CAMBIO DE
CATEGORIA
ANTERIOR]])
+SUMIF(CATEGORIAS[[#All],[SUBGRUPO]],A86,CATEGORIAS[[#All],[PROVISIONES
ANTERIOR]])</f>
        <v>1522090</v>
      </c>
      <c r="M86" s="71">
        <f t="shared" si="88"/>
        <v>7251373.6763593536</v>
      </c>
      <c r="O86" s="71">
        <f t="shared" si="89"/>
        <v>1275.9539727699012</v>
      </c>
      <c r="P86" s="85">
        <f t="shared" si="90"/>
        <v>0</v>
      </c>
      <c r="Q86" s="71">
        <f t="shared" si="91"/>
        <v>1275.9539727699012</v>
      </c>
    </row>
    <row r="87" spans="1:17" ht="15" customHeight="1" x14ac:dyDescent="0.25">
      <c r="A87" s="14" t="str">
        <f>'Matriz de Produccion'!A87</f>
        <v>1H08</v>
      </c>
      <c r="B87" s="6" t="str">
        <f>VLOOKUP(A87,'Analisis por Categorias'!B:C,2,FALSE)</f>
        <v>IFA Fletes</v>
      </c>
      <c r="D87" s="3">
        <f>SUMIF(CATEGORIAS[[#All],[SUBGRUPO]],A87,CATEGORIAS[[#All],[PRESUPUESTO
(ORIGINAL)]])</f>
        <v>5400000</v>
      </c>
      <c r="E87" s="3">
        <f>+SUMIF(CATEGORIAS[[#All],[SUBGRUPO]],A87,CATEGORIAS[[#All],[PRODUCCION
PARTIDAS
ORIGINALES
ACTUAL]])
+SUMIF(CATEGORIAS[[#All],[SUBGRUPO]],A87,CATEGORIAS[[#All],[PRODUCCION
ADICIONALES
ACTUAL]])
+SUMIF(CATEGORIAS[[#All],[SUBGRUPO]],A87,CATEGORIAS[[#All],[PROYECCION
DE INGRESO
DEL SALDO]])</f>
        <v>8690065.3168137632</v>
      </c>
      <c r="G87" s="71">
        <f>+SUMIF(CATEGORIAS[[#All],[SUBGRUPO]],A87,CATEGORIAS[[#All],[PRODUCCION
PARTIDAS
ORIGINALES
ACTUAL]])
+SUMIF(CATEGORIAS[[#All],[SUBGRUPO]],A87,CATEGORIAS[[#All],[PRODUCCION
ADICIONALES
ACTUAL]])</f>
        <v>8690065.3168137632</v>
      </c>
      <c r="H87" s="71">
        <f>+SUMIF(CATEGORIAS[[#All],[SUBGRUPO]],A87,CATEGORIAS[[#All],[COSTO
ACUMULADO  AX]])
+SUMIF(CATEGORIAS[[#All],[SUBGRUPO]],A87,CATEGORIAS[[#All],[CAMBIO DE
CATEGORIA]])
+SUMIF(CATEGORIAS[[#All],[SUBGRUPO]],A87,CATEGORIAS[[#All],[PROVISIONES]])</f>
        <v>11477630</v>
      </c>
      <c r="I87" s="71">
        <f t="shared" ref="I87:I90" si="92">G87-H87</f>
        <v>-2787564.6831862368</v>
      </c>
      <c r="K87" s="71">
        <f>+SUMIF(CATEGORIAS[[#All],[SUBGRUPO]],A87,CATEGORIAS[[#All],[PRODUCCION
ANTERIOR]])
+SUMIF(CATEGORIAS[[#All],[SUBGRUPO]],A87,CATEGORIAS[[#All],[PRODUCCION
ADICIONALES
ANTERIOR]])</f>
        <v>8689005.2935133073</v>
      </c>
      <c r="L87" s="71">
        <f>+SUMIF(CATEGORIAS[[#All],[SUBGRUPO]],A87,CATEGORIAS[[#All],[COSTO ACUMULADO
ANTERIOR]])
+SUMIF(CATEGORIAS[[#All],[SUBGRUPO]],A87,CATEGORIAS[[#All],[CAMBIO DE
CATEGORIA
ANTERIOR]])
+SUMIF(CATEGORIAS[[#All],[SUBGRUPO]],A87,CATEGORIAS[[#All],[PROVISIONES
ANTERIOR]])</f>
        <v>11477630</v>
      </c>
      <c r="M87" s="71">
        <f t="shared" ref="M87:M90" si="93">K87-L87</f>
        <v>-2788624.7064866927</v>
      </c>
      <c r="O87" s="71">
        <f t="shared" ref="O87:O90" si="94">G87-K87</f>
        <v>1060.0233004558831</v>
      </c>
      <c r="P87" s="85">
        <f>H87-L87</f>
        <v>0</v>
      </c>
      <c r="Q87" s="71">
        <f t="shared" ref="Q87:Q90" si="95">I87-M87</f>
        <v>1060.0233004558831</v>
      </c>
    </row>
    <row r="88" spans="1:17" ht="15" customHeight="1" x14ac:dyDescent="0.25">
      <c r="A88" s="14" t="str">
        <f>'Matriz de Produccion'!A88</f>
        <v>1H09</v>
      </c>
      <c r="B88" s="6" t="str">
        <f>VLOOKUP(A88,'Analisis por Categorias'!B:C,2,FALSE)</f>
        <v>Permisos</v>
      </c>
      <c r="D88" s="3">
        <f>SUMIF(CATEGORIAS[[#All],[SUBGRUPO]],A88,CATEGORIAS[[#All],[PRESUPUESTO
(ORIGINAL)]])</f>
        <v>16500000</v>
      </c>
      <c r="E88" s="3">
        <f>+SUMIF(CATEGORIAS[[#All],[SUBGRUPO]],A88,CATEGORIAS[[#All],[PRODUCCION
PARTIDAS
ORIGINALES
ACTUAL]])
+SUMIF(CATEGORIAS[[#All],[SUBGRUPO]],A88,CATEGORIAS[[#All],[PRODUCCION
ADICIONALES
ACTUAL]])
+SUMIF(CATEGORIAS[[#All],[SUBGRUPO]],A88,CATEGORIAS[[#All],[PROYECCION
DE INGRESO
DEL SALDO]])</f>
        <v>22274339.061612315</v>
      </c>
      <c r="G88" s="71">
        <f>+SUMIF(CATEGORIAS[[#All],[SUBGRUPO]],A88,CATEGORIAS[[#All],[PRODUCCION
PARTIDAS
ORIGINALES
ACTUAL]])
+SUMIF(CATEGORIAS[[#All],[SUBGRUPO]],A88,CATEGORIAS[[#All],[PRODUCCION
ADICIONALES
ACTUAL]])</f>
        <v>22274339.061612315</v>
      </c>
      <c r="H88" s="85">
        <f>+SUMIF(CATEGORIAS[[#All],[SUBGRUPO]],A88,CATEGORIAS[[#All],[COSTO
ACUMULADO  AX]])
+SUMIF(CATEGORIAS[[#All],[SUBGRUPO]],A88,CATEGORIAS[[#All],[CAMBIO DE
CATEGORIA]])
+SUMIF(CATEGORIAS[[#All],[SUBGRUPO]],A88,CATEGORIAS[[#All],[PROVISIONES]])</f>
        <v>3040935</v>
      </c>
      <c r="I88" s="71">
        <f t="shared" si="92"/>
        <v>19233404.061612315</v>
      </c>
      <c r="K88" s="71">
        <f>+SUMIF(CATEGORIAS[[#All],[SUBGRUPO]],A88,CATEGORIAS[[#All],[PRODUCCION
ANTERIOR]])
+SUMIF(CATEGORIAS[[#All],[SUBGRUPO]],A88,CATEGORIAS[[#All],[PRODUCCION
ADICIONALES
ANTERIOR]])</f>
        <v>22271100.10152759</v>
      </c>
      <c r="L88" s="71">
        <f>+SUMIF(CATEGORIAS[[#All],[SUBGRUPO]],A88,CATEGORIAS[[#All],[COSTO ACUMULADO
ANTERIOR]])
+SUMIF(CATEGORIAS[[#All],[SUBGRUPO]],A88,CATEGORIAS[[#All],[CAMBIO DE
CATEGORIA
ANTERIOR]])
+SUMIF(CATEGORIAS[[#All],[SUBGRUPO]],A88,CATEGORIAS[[#All],[PROVISIONES
ANTERIOR]])</f>
        <v>3040935</v>
      </c>
      <c r="M88" s="71">
        <f t="shared" si="93"/>
        <v>19230165.10152759</v>
      </c>
      <c r="O88" s="71">
        <f t="shared" si="94"/>
        <v>3238.9600847251713</v>
      </c>
      <c r="P88" s="85">
        <f t="shared" ref="P88:P90" si="96">H88-L88</f>
        <v>0</v>
      </c>
      <c r="Q88" s="71">
        <f t="shared" si="95"/>
        <v>3238.9600847251713</v>
      </c>
    </row>
    <row r="89" spans="1:17" ht="15" hidden="1" customHeight="1" x14ac:dyDescent="0.25">
      <c r="A89" s="14" t="str">
        <f>'Matriz de Produccion'!A89</f>
        <v>1H10</v>
      </c>
      <c r="B89" s="6" t="e">
        <f>VLOOKUP(A89,'Analisis por Categorias'!B:C,2,FALSE)</f>
        <v>#N/A</v>
      </c>
      <c r="D89" s="3">
        <f>SUMIF(CATEGORIAS[[#All],[SUBGRUPO]],A89,CATEGORIAS[[#All],[PRESUPUESTO
(ORIGINAL)]])</f>
        <v>0</v>
      </c>
      <c r="E89" s="3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0</v>
      </c>
      <c r="G89" s="71">
        <f>+SUMIF(CATEGORIAS[[#All],[SUBGRUPO]],A89,CATEGORIAS[[#All],[PRODUCCION
PARTIDAS
ORIGINALES
ACTUAL]])
+SUMIF(CATEGORIAS[[#All],[SUBGRUPO]],A89,CATEGORIAS[[#All],[PRODUCCION
ADICIONALES
ACTUAL]])</f>
        <v>0</v>
      </c>
      <c r="H89" s="71">
        <f>+SUMIF(CATEGORIAS[[#All],[SUBGRUPO]],A89,CATEGORIAS[[#All],[COSTO
ACUMULADO  AX]])
+SUMIF(CATEGORIAS[[#All],[SUBGRUPO]],A89,CATEGORIAS[[#All],[CAMBIO DE
CATEGORIA]])
+SUMIF(CATEGORIAS[[#All],[SUBGRUPO]],A89,CATEGORIAS[[#All],[PROVISIONES]])</f>
        <v>0</v>
      </c>
      <c r="I89" s="71">
        <f t="shared" si="92"/>
        <v>0</v>
      </c>
      <c r="K89" s="71">
        <f>+SUMIF(CATEGORIAS[[#All],[SUBGRUPO]],A89,CATEGORIAS[[#All],[PRODUCCION
ANTERIOR]])
+SUMIF(CATEGORIAS[[#All],[SUBGRUPO]],A89,CATEGORIAS[[#All],[PRODUCCION
ADICIONALES
ANTERIOR]])</f>
        <v>0</v>
      </c>
      <c r="L89" s="71">
        <f>+SUMIF(CATEGORIAS[[#All],[SUBGRUPO]],A89,CATEGORIAS[[#All],[COSTO ACUMULADO
ANTERIOR]])
+SUMIF(CATEGORIAS[[#All],[SUBGRUPO]],A89,CATEGORIAS[[#All],[CAMBIO DE
CATEGORIA
ANTERIOR]])
+SUMIF(CATEGORIAS[[#All],[SUBGRUPO]],A89,CATEGORIAS[[#All],[PROVISIONES
ANTERIOR]])</f>
        <v>0</v>
      </c>
      <c r="M89" s="71">
        <f t="shared" si="93"/>
        <v>0</v>
      </c>
      <c r="O89" s="71">
        <f t="shared" si="94"/>
        <v>0</v>
      </c>
      <c r="P89" s="71">
        <f t="shared" si="96"/>
        <v>0</v>
      </c>
      <c r="Q89" s="71">
        <f t="shared" si="95"/>
        <v>0</v>
      </c>
    </row>
    <row r="90" spans="1:17" ht="15" hidden="1" customHeight="1" x14ac:dyDescent="0.25">
      <c r="A90" s="14" t="str">
        <f>'Matriz de Produccion'!A90</f>
        <v>1H11</v>
      </c>
      <c r="B90" s="6" t="e">
        <f>VLOOKUP(A90,'Analisis por Categorias'!B:C,2,FALSE)</f>
        <v>#N/A</v>
      </c>
      <c r="D90" s="3">
        <f>SUMIF(CATEGORIAS[[#All],[SUBGRUPO]],A90,CATEGORIAS[[#All],[PRESUPUESTO
(ORIGINAL)]])</f>
        <v>0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71">
        <f>+SUMIF(CATEGORIAS[[#All],[SUBGRUPO]],A90,CATEGORIAS[[#All],[PRODUCCION
PARTIDAS
ORIGINALES
ACTUAL]])
+SUMIF(CATEGORIAS[[#All],[SUBGRUPO]],A90,CATEGORIAS[[#All],[PRODUCCION
ADICIONALES
ACTUAL]])</f>
        <v>0</v>
      </c>
      <c r="H90" s="71">
        <f>+SUMIF(CATEGORIAS[[#All],[SUBGRUPO]],A90,CATEGORIAS[[#All],[COSTO
ACUMULADO  AX]])
+SUMIF(CATEGORIAS[[#All],[SUBGRUPO]],A90,CATEGORIAS[[#All],[CAMBIO DE
CATEGORIA]])
+SUMIF(CATEGORIAS[[#All],[SUBGRUPO]],A90,CATEGORIAS[[#All],[PROVISIONES]])</f>
        <v>0</v>
      </c>
      <c r="I90" s="71">
        <f t="shared" si="92"/>
        <v>0</v>
      </c>
      <c r="K90" s="71">
        <f>+SUMIF(CATEGORIAS[[#All],[SUBGRUPO]],A90,CATEGORIAS[[#All],[PRODUCCION
ANTERIOR]])
+SUMIF(CATEGORIAS[[#All],[SUBGRUPO]],A90,CATEGORIAS[[#All],[PRODUCCION
ADICIONALES
ANTERIOR]])</f>
        <v>0</v>
      </c>
      <c r="L90" s="71">
        <f>+SUMIF(CATEGORIAS[[#All],[SUBGRUPO]],A90,CATEGORIAS[[#All],[COSTO ACUMULADO
ANTERIOR]])
+SUMIF(CATEGORIAS[[#All],[SUBGRUPO]],A90,CATEGORIAS[[#All],[CAMBIO DE
CATEGORIA
ANTERIOR]])
+SUMIF(CATEGORIAS[[#All],[SUBGRUPO]],A90,CATEGORIAS[[#All],[PROVISIONES
ANTERIOR]])</f>
        <v>0</v>
      </c>
      <c r="M90" s="71">
        <f t="shared" si="93"/>
        <v>0</v>
      </c>
      <c r="O90" s="71">
        <f t="shared" si="94"/>
        <v>0</v>
      </c>
      <c r="P90" s="71">
        <f t="shared" si="96"/>
        <v>0</v>
      </c>
      <c r="Q90" s="71">
        <f t="shared" si="95"/>
        <v>0</v>
      </c>
    </row>
    <row r="91" spans="1:17" ht="8.25" customHeight="1" x14ac:dyDescent="0.25"/>
    <row r="92" spans="1:17" ht="14.25" customHeight="1" x14ac:dyDescent="0.25">
      <c r="A92" s="14" t="str">
        <f>'Matriz de Produccion'!A92</f>
        <v>1I00</v>
      </c>
      <c r="B92" s="81" t="str">
        <f>'Matriz de Produccion'!B92:B92</f>
        <v>I - GASTOS GENERALES</v>
      </c>
      <c r="D92" s="82">
        <f>SUM(D93:D106)</f>
        <v>194544741.2074329</v>
      </c>
      <c r="E92" s="82">
        <f>SUM(E93:E106)</f>
        <v>247748617.79628068</v>
      </c>
      <c r="G92" s="83">
        <f>SUM(G93:G106)</f>
        <v>247748617.79628068</v>
      </c>
      <c r="H92" s="84">
        <f t="shared" ref="H92:I92" si="97">SUM(H93:H106)</f>
        <v>174581266</v>
      </c>
      <c r="I92" s="87">
        <f t="shared" si="97"/>
        <v>73167351.796280712</v>
      </c>
      <c r="K92" s="83">
        <f>SUM(K93:K106)</f>
        <v>247724526.51431257</v>
      </c>
      <c r="L92" s="84">
        <f t="shared" ref="L92" si="98">SUM(L93:L106)</f>
        <v>167686350</v>
      </c>
      <c r="M92" s="87">
        <f t="shared" ref="M92" si="99">SUM(M93:M106)</f>
        <v>80038176.51431261</v>
      </c>
      <c r="O92" s="83">
        <f>SUM(O93:O106)</f>
        <v>24091.281968101859</v>
      </c>
      <c r="P92" s="84">
        <f t="shared" ref="P92" si="100">SUM(P93:P106)</f>
        <v>6894916</v>
      </c>
      <c r="Q92" s="87">
        <f t="shared" ref="Q92" si="101">SUM(Q93:Q106)</f>
        <v>-6870824.7180318981</v>
      </c>
    </row>
    <row r="93" spans="1:17" ht="15" customHeight="1" x14ac:dyDescent="0.25">
      <c r="A93" s="14" t="str">
        <f>'Matriz de Produccion'!A93</f>
        <v>1I01</v>
      </c>
      <c r="B93" s="6" t="str">
        <f>VLOOKUP(A93,'Analisis por Categorias'!B:C,2,FALSE)</f>
        <v>Gastos De Contratación</v>
      </c>
      <c r="D93" s="3">
        <f>SUMIF(CATEGORIAS[[#All],[SUBGRUPO]],A93,CATEGORIAS[[#All],[PRESUPUESTO
(ORIGINAL)]])</f>
        <v>39447434.040254258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61221017.133051813</v>
      </c>
      <c r="G93" s="71">
        <f>+SUMIF(CATEGORIAS[[#All],[SUBGRUPO]],A93,CATEGORIAS[[#All],[PRODUCCION
PARTIDAS
ORIGINALES
ACTUAL]])
+SUMIF(CATEGORIAS[[#All],[SUBGRUPO]],A93,CATEGORIAS[[#All],[PRODUCCION
ADICIONALES
ACTUAL]])</f>
        <v>61221017.133051813</v>
      </c>
      <c r="H93" s="71">
        <f>+SUMIF(CATEGORIAS[[#All],[SUBGRUPO]],A93,CATEGORIAS[[#All],[COSTO
ACUMULADO  AX]])
+SUMIF(CATEGORIAS[[#All],[SUBGRUPO]],A93,CATEGORIAS[[#All],[CAMBIO DE
CATEGORIA]])
+SUMIF(CATEGORIAS[[#All],[SUBGRUPO]],A93,CATEGORIAS[[#All],[PROVISIONES]])</f>
        <v>12625104</v>
      </c>
      <c r="I93" s="71">
        <f t="shared" ref="I93:I98" si="102">G93-H93</f>
        <v>48595913.133051813</v>
      </c>
      <c r="K93" s="71">
        <f>+SUMIF(CATEGORIAS[[#All],[SUBGRUPO]],A93,CATEGORIAS[[#All],[PRODUCCION
ANTERIOR]])
+SUMIF(CATEGORIAS[[#All],[SUBGRUPO]],A93,CATEGORIAS[[#All],[PRODUCCION
ADICIONALES
ANTERIOR]])</f>
        <v>61213456.909310162</v>
      </c>
      <c r="L93" s="71">
        <f>+SUMIF(CATEGORIAS[[#All],[SUBGRUPO]],A93,CATEGORIAS[[#All],[COSTO ACUMULADO
ANTERIOR]])
+SUMIF(CATEGORIAS[[#All],[SUBGRUPO]],A93,CATEGORIAS[[#All],[CAMBIO DE
CATEGORIA
ANTERIOR]])
+SUMIF(CATEGORIAS[[#All],[SUBGRUPO]],A93,CATEGORIAS[[#All],[PROVISIONES
ANTERIOR]])</f>
        <v>12625104</v>
      </c>
      <c r="M93" s="71">
        <f t="shared" ref="M93:M98" si="103">K93-L93</f>
        <v>48588352.909310162</v>
      </c>
      <c r="O93" s="71">
        <f t="shared" ref="O93:Q98" si="104">G93-K93</f>
        <v>7560.2237416505814</v>
      </c>
      <c r="P93" s="71">
        <f>H93-L93</f>
        <v>0</v>
      </c>
      <c r="Q93" s="71">
        <f t="shared" si="104"/>
        <v>7560.2237416505814</v>
      </c>
    </row>
    <row r="94" spans="1:17" ht="15" customHeight="1" x14ac:dyDescent="0.25">
      <c r="A94" s="14" t="str">
        <f>'Matriz de Produccion'!A94</f>
        <v>1I02</v>
      </c>
      <c r="B94" s="6" t="str">
        <f>VLOOKUP(A94,'Analisis por Categorias'!B:C,2,FALSE)</f>
        <v>Otros gastos generales</v>
      </c>
      <c r="D94" s="3">
        <f>SUMIF(CATEGORIAS[[#All],[SUBGRUPO]],A94,CATEGORIAS[[#All],[PRESUPUESTO
(ORIGINAL)]])</f>
        <v>45917952.31962958</v>
      </c>
      <c r="E94" s="3">
        <f>+SUMIF(CATEGORIAS[[#All],[SUBGRUPO]],A94,CATEGORIAS[[#All],[PRODUCCION
PARTIDAS
ORIGINALES
ACTUAL]])
+SUMIF(CATEGORIAS[[#All],[SUBGRUPO]],A94,CATEGORIAS[[#All],[PRODUCCION
ADICIONALES
ACTUAL]])
+SUMIF(CATEGORIAS[[#All],[SUBGRUPO]],A94,CATEGORIAS[[#All],[PROYECCION
DE INGRESO
DEL SALDO]])</f>
        <v>63911052.645077571</v>
      </c>
      <c r="G94" s="71">
        <f>+SUMIF(CATEGORIAS[[#All],[SUBGRUPO]],A94,CATEGORIAS[[#All],[PRODUCCION
PARTIDAS
ORIGINALES
ACTUAL]])
+SUMIF(CATEGORIAS[[#All],[SUBGRUPO]],A94,CATEGORIAS[[#All],[PRODUCCION
ADICIONALES
ACTUAL]])</f>
        <v>63911052.645077571</v>
      </c>
      <c r="H94" s="71">
        <f>+SUMIF(CATEGORIAS[[#All],[SUBGRUPO]],A94,CATEGORIAS[[#All],[COSTO
ACUMULADO  AX]])
+SUMIF(CATEGORIAS[[#All],[SUBGRUPO]],A94,CATEGORIAS[[#All],[CAMBIO DE
CATEGORIA]])
+SUMIF(CATEGORIAS[[#All],[SUBGRUPO]],A94,CATEGORIAS[[#All],[PROVISIONES]])</f>
        <v>77322784</v>
      </c>
      <c r="I94" s="71">
        <f t="shared" si="102"/>
        <v>-13411731.354922429</v>
      </c>
      <c r="K94" s="71">
        <f>+SUMIF(CATEGORIAS[[#All],[SUBGRUPO]],A94,CATEGORIAS[[#All],[PRODUCCION
ANTERIOR]])
+SUMIF(CATEGORIAS[[#All],[SUBGRUPO]],A94,CATEGORIAS[[#All],[PRODUCCION
ADICIONALES
ANTERIOR]])</f>
        <v>63902038.922972381</v>
      </c>
      <c r="L94" s="71">
        <f>+SUMIF(CATEGORIAS[[#All],[SUBGRUPO]],A94,CATEGORIAS[[#All],[COSTO ACUMULADO
ANTERIOR]])
+SUMIF(CATEGORIAS[[#All],[SUBGRUPO]],A94,CATEGORIAS[[#All],[CAMBIO DE
CATEGORIA
ANTERIOR]])
+SUMIF(CATEGORIAS[[#All],[SUBGRUPO]],A94,CATEGORIAS[[#All],[PROVISIONES
ANTERIOR]])</f>
        <v>71735566</v>
      </c>
      <c r="M94" s="71">
        <f t="shared" si="103"/>
        <v>-7833527.0770276189</v>
      </c>
      <c r="O94" s="71">
        <f t="shared" si="104"/>
        <v>9013.7221051901579</v>
      </c>
      <c r="P94" s="71">
        <f>H94-L94</f>
        <v>5587218</v>
      </c>
      <c r="Q94" s="71">
        <f>I94-M94</f>
        <v>-5578204.2778948098</v>
      </c>
    </row>
    <row r="95" spans="1:17" ht="15" customHeight="1" x14ac:dyDescent="0.25">
      <c r="A95" s="14" t="str">
        <f>'Matriz de Produccion'!A95</f>
        <v>1I03</v>
      </c>
      <c r="B95" s="6" t="str">
        <f>VLOOKUP(A95,'Analisis por Categorias'!B:C,2,FALSE)</f>
        <v>Enlaces Internet</v>
      </c>
      <c r="D95" s="3">
        <f>SUMIF(CATEGORIAS[[#All],[SUBGRUPO]],A95,CATEGORIAS[[#All],[PRESUPUESTO
(ORIGINAL)]])</f>
        <v>7200000</v>
      </c>
      <c r="E95" s="3">
        <f>+SUMIF(CATEGORIAS[[#All],[SUBGRUPO]],A95,CATEGORIAS[[#All],[PRODUCCION
PARTIDAS
ORIGINALES
ACTUAL]])
+SUMIF(CATEGORIAS[[#All],[SUBGRUPO]],A95,CATEGORIAS[[#All],[PRODUCCION
ADICIONALES
ACTUAL]])
+SUMIF(CATEGORIAS[[#All],[SUBGRUPO]],A95,CATEGORIAS[[#All],[PROYECCION
DE INGRESO
DEL SALDO]])</f>
        <v>8493629.0144417845</v>
      </c>
      <c r="G95" s="71">
        <f>+SUMIF(CATEGORIAS[[#All],[SUBGRUPO]],A95,CATEGORIAS[[#All],[PRODUCCION
PARTIDAS
ORIGINALES
ACTUAL]])
+SUMIF(CATEGORIAS[[#All],[SUBGRUPO]],A95,CATEGORIAS[[#All],[PRODUCCION
ADICIONALES
ACTUAL]])</f>
        <v>8493629.0144417845</v>
      </c>
      <c r="H95" s="71">
        <f>+SUMIF(CATEGORIAS[[#All],[SUBGRUPO]],A95,CATEGORIAS[[#All],[COSTO
ACUMULADO  AX]])
+SUMIF(CATEGORIAS[[#All],[SUBGRUPO]],A95,CATEGORIAS[[#All],[CAMBIO DE
CATEGORIA]])
+SUMIF(CATEGORIAS[[#All],[SUBGRUPO]],A95,CATEGORIAS[[#All],[PROVISIONES]])</f>
        <v>7233514</v>
      </c>
      <c r="I95" s="71">
        <f t="shared" si="102"/>
        <v>1260115.0144417845</v>
      </c>
      <c r="K95" s="71">
        <f>+SUMIF(CATEGORIAS[[#All],[SUBGRUPO]],A95,CATEGORIAS[[#All],[PRODUCCION
ANTERIOR]])
+SUMIF(CATEGORIAS[[#All],[SUBGRUPO]],A95,CATEGORIAS[[#All],[PRODUCCION
ADICIONALES
ANTERIOR]])</f>
        <v>8492215.6500411779</v>
      </c>
      <c r="L95" s="71">
        <f>+SUMIF(CATEGORIAS[[#All],[SUBGRUPO]],A95,CATEGORIAS[[#All],[COSTO ACUMULADO
ANTERIOR]])
+SUMIF(CATEGORIAS[[#All],[SUBGRUPO]],A95,CATEGORIAS[[#All],[CAMBIO DE
CATEGORIA
ANTERIOR]])
+SUMIF(CATEGORIAS[[#All],[SUBGRUPO]],A95,CATEGORIAS[[#All],[PROVISIONES
ANTERIOR]])</f>
        <v>6797434</v>
      </c>
      <c r="M95" s="71">
        <f t="shared" si="103"/>
        <v>1694781.6500411779</v>
      </c>
      <c r="O95" s="85">
        <f t="shared" si="104"/>
        <v>1413.3644006066024</v>
      </c>
      <c r="P95" s="85">
        <f t="shared" si="104"/>
        <v>436080</v>
      </c>
      <c r="Q95" s="85">
        <f t="shared" si="104"/>
        <v>-434666.6355993934</v>
      </c>
    </row>
    <row r="96" spans="1:17" ht="17.25" customHeight="1" x14ac:dyDescent="0.25">
      <c r="A96" s="14" t="str">
        <f>'Matriz de Produccion'!A96</f>
        <v>1I04</v>
      </c>
      <c r="B96" s="6" t="str">
        <f>VLOOKUP(A96,'Analisis por Categorias'!B:C,2,FALSE)</f>
        <v>Fletes Generales</v>
      </c>
      <c r="D96" s="3">
        <f>SUMIF(CATEGORIAS[[#All],[SUBGRUPO]],A96,CATEGORIAS[[#All],[PRESUPUESTO
(ORIGINAL)]])</f>
        <v>27440623.725000001</v>
      </c>
      <c r="E96" s="3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23210430.39544734</v>
      </c>
      <c r="G96" s="71">
        <f>+SUMIF(CATEGORIAS[[#All],[SUBGRUPO]],A96,CATEGORIAS[[#All],[PRODUCCION
PARTIDAS
ORIGINALES
ACTUAL]])
+SUMIF(CATEGORIAS[[#All],[SUBGRUPO]],A96,CATEGORIAS[[#All],[PRODUCCION
ADICIONALES
ACTUAL]])</f>
        <v>23210430.39544734</v>
      </c>
      <c r="H96" s="71">
        <f>+SUMIF(CATEGORIAS[[#All],[SUBGRUPO]],A96,CATEGORIAS[[#All],[COSTO
ACUMULADO  AX]])
+SUMIF(CATEGORIAS[[#All],[SUBGRUPO]],A96,CATEGORIAS[[#All],[CAMBIO DE
CATEGORIA]])
+SUMIF(CATEGORIAS[[#All],[SUBGRUPO]],A96,CATEGORIAS[[#All],[PROVISIONES]])</f>
        <v>18195059</v>
      </c>
      <c r="I96" s="71">
        <f t="shared" si="102"/>
        <v>5015371.3954473399</v>
      </c>
      <c r="K96" s="71">
        <f>+SUMIF(CATEGORIAS[[#All],[SUBGRUPO]],A96,CATEGORIAS[[#All],[PRODUCCION
ANTERIOR]])
+SUMIF(CATEGORIAS[[#All],[SUBGRUPO]],A96,CATEGORIAS[[#All],[PRODUCCION
ADICIONALES
ANTERIOR]])</f>
        <v>23206721.718339205</v>
      </c>
      <c r="L96" s="71">
        <f>+SUMIF(CATEGORIAS[[#All],[SUBGRUPO]],A96,CATEGORIAS[[#All],[COSTO ACUMULADO
ANTERIOR]])
+SUMIF(CATEGORIAS[[#All],[SUBGRUPO]],A96,CATEGORIAS[[#All],[CAMBIO DE
CATEGORIA
ANTERIOR]])
+SUMIF(CATEGORIAS[[#All],[SUBGRUPO]],A96,CATEGORIAS[[#All],[PROVISIONES
ANTERIOR]])</f>
        <v>18177827</v>
      </c>
      <c r="M96" s="71">
        <f t="shared" si="103"/>
        <v>5028894.7183392048</v>
      </c>
      <c r="O96" s="71">
        <f t="shared" si="104"/>
        <v>3708.6771081350744</v>
      </c>
      <c r="P96" s="85">
        <f t="shared" si="104"/>
        <v>17232</v>
      </c>
      <c r="Q96" s="71">
        <f>I96-M96</f>
        <v>-13523.322891864926</v>
      </c>
    </row>
    <row r="97" spans="1:17" ht="15" customHeight="1" x14ac:dyDescent="0.25">
      <c r="A97" s="14" t="str">
        <f>'Matriz de Produccion'!A97</f>
        <v>1I05</v>
      </c>
      <c r="B97" s="6" t="str">
        <f>VLOOKUP(A97,'Analisis por Categorias'!B:C,2,FALSE)</f>
        <v>Comunicación</v>
      </c>
      <c r="D97" s="3">
        <f>SUMIF(CATEGORIAS[[#All],[SUBGRUPO]],A97,CATEGORIAS[[#All],[PRESUPUESTO
(ORIGINAL)]])</f>
        <v>7611063.4056433411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10292483.535002772</v>
      </c>
      <c r="G97" s="71">
        <f>+SUMIF(CATEGORIAS[[#All],[SUBGRUPO]],A97,CATEGORIAS[[#All],[PRODUCCION
PARTIDAS
ORIGINALES
ACTUAL]])
+SUMIF(CATEGORIAS[[#All],[SUBGRUPO]],A97,CATEGORIAS[[#All],[PRODUCCION
ADICIONALES
ACTUAL]])</f>
        <v>10292483.535002772</v>
      </c>
      <c r="H97" s="71">
        <f>+SUMIF(CATEGORIAS[[#All],[SUBGRUPO]],A97,CATEGORIAS[[#All],[COSTO
ACUMULADO  AX]])
+SUMIF(CATEGORIAS[[#All],[SUBGRUPO]],A97,CATEGORIAS[[#All],[CAMBIO DE
CATEGORIA]])
+SUMIF(CATEGORIAS[[#All],[SUBGRUPO]],A97,CATEGORIAS[[#All],[PROVISIONES]])</f>
        <v>1232634</v>
      </c>
      <c r="I97" s="71">
        <f t="shared" si="102"/>
        <v>9059849.5350027718</v>
      </c>
      <c r="K97" s="71">
        <f>+SUMIF(CATEGORIAS[[#All],[SUBGRUPO]],A97,CATEGORIAS[[#All],[PRODUCCION
ANTERIOR]])
+SUMIF(CATEGORIAS[[#All],[SUBGRUPO]],A97,CATEGORIAS[[#All],[PRODUCCION
ADICIONALES
ANTERIOR]])</f>
        <v>10290989.478604395</v>
      </c>
      <c r="L97" s="71">
        <f>+SUMIF(CATEGORIAS[[#All],[SUBGRUPO]],A97,CATEGORIAS[[#All],[COSTO ACUMULADO
ANTERIOR]])
+SUMIF(CATEGORIAS[[#All],[SUBGRUPO]],A97,CATEGORIAS[[#All],[CAMBIO DE
CATEGORIA
ANTERIOR]])
+SUMIF(CATEGORIAS[[#All],[SUBGRUPO]],A97,CATEGORIAS[[#All],[PROVISIONES
ANTERIOR]])</f>
        <v>1671912</v>
      </c>
      <c r="M97" s="71">
        <f t="shared" si="103"/>
        <v>8619077.4786043949</v>
      </c>
      <c r="O97" s="85">
        <f t="shared" si="104"/>
        <v>1494.0563983768225</v>
      </c>
      <c r="P97" s="85">
        <f t="shared" si="104"/>
        <v>-439278</v>
      </c>
      <c r="Q97" s="85">
        <f t="shared" si="104"/>
        <v>440772.05639837682</v>
      </c>
    </row>
    <row r="98" spans="1:17" ht="15" customHeight="1" x14ac:dyDescent="0.25">
      <c r="A98" s="14" t="str">
        <f>'Matriz de Produccion'!A98</f>
        <v>1I06</v>
      </c>
      <c r="B98" s="6" t="str">
        <f>VLOOKUP(A98,'Analisis por Categorias'!B:C,2,FALSE)</f>
        <v>Computadores</v>
      </c>
      <c r="D98" s="3">
        <f>SUMIF(CATEGORIAS[[#All],[SUBGRUPO]],A98,CATEGORIAS[[#All],[PRESUPUESTO
(ORIGINAL)]])</f>
        <v>9839991.2000000011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11671351.011997472</v>
      </c>
      <c r="G98" s="71">
        <f>+SUMIF(CATEGORIAS[[#All],[SUBGRUPO]],A98,CATEGORIAS[[#All],[PRODUCCION
PARTIDAS
ORIGINALES
ACTUAL]])
+SUMIF(CATEGORIAS[[#All],[SUBGRUPO]],A98,CATEGORIAS[[#All],[PRODUCCION
ADICIONALES
ACTUAL]])</f>
        <v>11671351.011997472</v>
      </c>
      <c r="H98" s="71">
        <f>+SUMIF(CATEGORIAS[[#All],[SUBGRUPO]],A98,CATEGORIAS[[#All],[COSTO
ACUMULADO  AX]])
+SUMIF(CATEGORIAS[[#All],[SUBGRUPO]],A98,CATEGORIAS[[#All],[CAMBIO DE
CATEGORIA]])
+SUMIF(CATEGORIAS[[#All],[SUBGRUPO]],A98,CATEGORIAS[[#All],[PROVISIONES]])</f>
        <v>30559796</v>
      </c>
      <c r="I98" s="71">
        <f t="shared" si="102"/>
        <v>-18888444.988002528</v>
      </c>
      <c r="K98" s="71">
        <f>+SUMIF(CATEGORIAS[[#All],[SUBGRUPO]],A98,CATEGORIAS[[#All],[PRODUCCION
ANTERIOR]])
+SUMIF(CATEGORIAS[[#All],[SUBGRUPO]],A98,CATEGORIAS[[#All],[PRODUCCION
ADICIONALES
ANTERIOR]])</f>
        <v>11669419.415710755</v>
      </c>
      <c r="L98" s="71">
        <f>+SUMIF(CATEGORIAS[[#All],[SUBGRUPO]],A98,CATEGORIAS[[#All],[COSTO ACUMULADO
ANTERIOR]])
+SUMIF(CATEGORIAS[[#All],[SUBGRUPO]],A98,CATEGORIAS[[#All],[CAMBIO DE
CATEGORIA
ANTERIOR]])
+SUMIF(CATEGORIAS[[#All],[SUBGRUPO]],A98,CATEGORIAS[[#All],[PROVISIONES
ANTERIOR]])</f>
        <v>28153618</v>
      </c>
      <c r="M98" s="71">
        <f t="shared" si="103"/>
        <v>-16484198.584289245</v>
      </c>
      <c r="O98" s="71">
        <f t="shared" si="104"/>
        <v>1931.5962867178023</v>
      </c>
      <c r="P98" s="71">
        <f t="shared" si="104"/>
        <v>2406178</v>
      </c>
      <c r="Q98" s="71">
        <f t="shared" si="104"/>
        <v>-2404246.4037132822</v>
      </c>
    </row>
    <row r="99" spans="1:17" ht="15" customHeight="1" x14ac:dyDescent="0.25">
      <c r="A99" s="14" t="str">
        <f>'Matriz de Produccion'!A99</f>
        <v>1I07</v>
      </c>
      <c r="B99" s="6" t="str">
        <f>VLOOKUP(A99,'Analisis por Categorias'!B:C,2,FALSE)</f>
        <v>Impresoras / Fotocopias</v>
      </c>
      <c r="D99" s="3">
        <f>SUMIF(CATEGORIAS[[#All],[SUBGRUPO]],A99,CATEGORIAS[[#All],[PRESUPUESTO
(ORIGINAL)]])</f>
        <v>6988715.5472142855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8800966.7923478894</v>
      </c>
      <c r="G99" s="71">
        <f>+SUMIF(CATEGORIAS[[#All],[SUBGRUPO]],A99,CATEGORIAS[[#All],[PRODUCCION
PARTIDAS
ORIGINALES
ACTUAL]])
+SUMIF(CATEGORIAS[[#All],[SUBGRUPO]],A99,CATEGORIAS[[#All],[PRODUCCION
ADICIONALES
ACTUAL]])</f>
        <v>8800966.7923478894</v>
      </c>
      <c r="H99" s="71">
        <f>+SUMIF(CATEGORIAS[[#All],[SUBGRUPO]],A99,CATEGORIAS[[#All],[COSTO
ACUMULADO  AX]])
+SUMIF(CATEGORIAS[[#All],[SUBGRUPO]],A99,CATEGORIAS[[#All],[CAMBIO DE
CATEGORIA]])
+SUMIF(CATEGORIAS[[#All],[SUBGRUPO]],A99,CATEGORIAS[[#All],[PROVISIONES]])</f>
        <v>9836783</v>
      </c>
      <c r="I99" s="71">
        <f t="shared" ref="I99:I103" si="105">G99-H99</f>
        <v>-1035816.2076521106</v>
      </c>
      <c r="K99" s="71">
        <f>+SUMIF(CATEGORIAS[[#All],[SUBGRUPO]],A99,CATEGORIAS[[#All],[PRODUCCION
ANTERIOR]])
+SUMIF(CATEGORIAS[[#All],[SUBGRUPO]],A99,CATEGORIAS[[#All],[PRODUCCION
ADICIONALES
ANTERIOR]])</f>
        <v>8799629.2779027261</v>
      </c>
      <c r="L99" s="71">
        <f>+SUMIF(CATEGORIAS[[#All],[SUBGRUPO]],A99,CATEGORIAS[[#All],[COSTO ACUMULADO
ANTERIOR]])
+SUMIF(CATEGORIAS[[#All],[SUBGRUPO]],A99,CATEGORIAS[[#All],[CAMBIO DE
CATEGORIA
ANTERIOR]])
+SUMIF(CATEGORIAS[[#All],[SUBGRUPO]],A99,CATEGORIAS[[#All],[PROVISIONES
ANTERIOR]])</f>
        <v>10259003</v>
      </c>
      <c r="M99" s="71">
        <f t="shared" ref="M99:M103" si="106">K99-L99</f>
        <v>-1459373.7220972739</v>
      </c>
      <c r="O99" s="71">
        <f t="shared" ref="O99:O103" si="107">G99-K99</f>
        <v>1337.5144451633096</v>
      </c>
      <c r="P99" s="71">
        <f>H99-L99</f>
        <v>-422220</v>
      </c>
      <c r="Q99" s="71">
        <f t="shared" ref="Q99:Q103" si="108">I99-M99</f>
        <v>423557.51444516331</v>
      </c>
    </row>
    <row r="100" spans="1:17" ht="15" hidden="1" customHeight="1" x14ac:dyDescent="0.25">
      <c r="A100" s="14" t="str">
        <f>'Matriz de Produccion'!A100</f>
        <v>1I08</v>
      </c>
      <c r="B100" s="6" t="str">
        <f>VLOOKUP(A100,'Analisis por Categorias'!B:C,2,FALSE)</f>
        <v>Calificaciones</v>
      </c>
      <c r="D100" s="3">
        <f>SUMIF(CATEGORIAS[[#All],[SUBGRUPO]],A100,CATEGORIAS[[#All],[PRESUPUESTO
(ORIGINAL)]])</f>
        <v>30843363.248571426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34036748.358429968</v>
      </c>
      <c r="G100" s="71">
        <f>+SUMIF(CATEGORIAS[[#All],[SUBGRUPO]],A100,CATEGORIAS[[#All],[PRODUCCION
PARTIDAS
ORIGINALES
ACTUAL]])
+SUMIF(CATEGORIAS[[#All],[SUBGRUPO]],A100,CATEGORIAS[[#All],[PRODUCCION
ADICIONALES
ACTUAL]])</f>
        <v>34036748.358429968</v>
      </c>
      <c r="H100" s="71">
        <f>+SUMIF(CATEGORIAS[[#All],[SUBGRUPO]],A100,CATEGORIAS[[#All],[COSTO
ACUMULADO  AX]])
+SUMIF(CATEGORIAS[[#All],[SUBGRUPO]],A100,CATEGORIAS[[#All],[CAMBIO DE
CATEGORIA]])
+SUMIF(CATEGORIAS[[#All],[SUBGRUPO]],A100,CATEGORIAS[[#All],[PROVISIONES]])</f>
        <v>4544089</v>
      </c>
      <c r="I100" s="71">
        <f t="shared" si="105"/>
        <v>29492659.358429968</v>
      </c>
      <c r="K100" s="71">
        <f>+SUMIF(CATEGORIAS[[#All],[SUBGRUPO]],A100,CATEGORIAS[[#All],[PRODUCCION
ANTERIOR]])
+SUMIF(CATEGORIAS[[#All],[SUBGRUPO]],A100,CATEGORIAS[[#All],[PRODUCCION
ADICIONALES
ANTERIOR]])</f>
        <v>34042896.116549291</v>
      </c>
      <c r="L100" s="71">
        <f>+SUMIF(CATEGORIAS[[#All],[SUBGRUPO]],A100,CATEGORIAS[[#All],[COSTO ACUMULADO
ANTERIOR]])
+SUMIF(CATEGORIAS[[#All],[SUBGRUPO]],A100,CATEGORIAS[[#All],[CAMBIO DE
CATEGORIA
ANTERIOR]])
+SUMIF(CATEGORIAS[[#All],[SUBGRUPO]],A100,CATEGORIAS[[#All],[PROVISIONES
ANTERIOR]])</f>
        <v>4544089</v>
      </c>
      <c r="M100" s="71">
        <f t="shared" si="106"/>
        <v>29498807.116549291</v>
      </c>
      <c r="O100" s="71">
        <f t="shared" si="107"/>
        <v>-6147.7581193223596</v>
      </c>
      <c r="P100" s="71">
        <f t="shared" ref="P100:P103" si="109">H100-L100</f>
        <v>0</v>
      </c>
      <c r="Q100" s="71">
        <f t="shared" si="108"/>
        <v>-6147.7581193223596</v>
      </c>
    </row>
    <row r="101" spans="1:17" ht="15" customHeight="1" x14ac:dyDescent="0.25">
      <c r="A101" s="14" t="str">
        <f>'Matriz de Produccion'!A101</f>
        <v>1I09</v>
      </c>
      <c r="B101" s="6" t="str">
        <f>VLOOKUP(A101,'Analisis por Categorias'!B:C,2,FALSE)</f>
        <v>Elementos Seguridad Indirectos</v>
      </c>
      <c r="D101" s="3">
        <f>SUMIF(CATEGORIAS[[#All],[SUBGRUPO]],A101,CATEGORIAS[[#All],[PRESUPUESTO
(ORIGINAL)]])</f>
        <v>14137964.285714285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19259966.928273432</v>
      </c>
      <c r="G101" s="71">
        <f>+SUMIF(CATEGORIAS[[#All],[SUBGRUPO]],A101,CATEGORIAS[[#All],[PRODUCCION
PARTIDAS
ORIGINALES
ACTUAL]])
+SUMIF(CATEGORIAS[[#All],[SUBGRUPO]],A101,CATEGORIAS[[#All],[PRODUCCION
ADICIONALES
ACTUAL]])</f>
        <v>19259966.928273432</v>
      </c>
      <c r="H101" s="71">
        <f>+SUMIF(CATEGORIAS[[#All],[SUBGRUPO]],A101,CATEGORIAS[[#All],[COSTO
ACUMULADO  AX]])
+SUMIF(CATEGORIAS[[#All],[SUBGRUPO]],A101,CATEGORIAS[[#All],[CAMBIO DE
CATEGORIA]])
+SUMIF(CATEGORIAS[[#All],[SUBGRUPO]],A101,CATEGORIAS[[#All],[PROVISIONES]])</f>
        <v>10592171</v>
      </c>
      <c r="I101" s="71">
        <f t="shared" si="105"/>
        <v>8667795.928273432</v>
      </c>
      <c r="K101" s="71">
        <f>+SUMIF(CATEGORIAS[[#All],[SUBGRUPO]],A101,CATEGORIAS[[#All],[PRODUCCION
ANTERIOR]])
+SUMIF(CATEGORIAS[[#All],[SUBGRUPO]],A101,CATEGORIAS[[#All],[PRODUCCION
ADICIONALES
ANTERIOR]])</f>
        <v>19257191.637243092</v>
      </c>
      <c r="L101" s="71">
        <f>+SUMIF(CATEGORIAS[[#All],[SUBGRUPO]],A101,CATEGORIAS[[#All],[COSTO ACUMULADO
ANTERIOR]])
+SUMIF(CATEGORIAS[[#All],[SUBGRUPO]],A101,CATEGORIAS[[#All],[CAMBIO DE
CATEGORIA
ANTERIOR]])
+SUMIF(CATEGORIAS[[#All],[SUBGRUPO]],A101,CATEGORIAS[[#All],[PROVISIONES
ANTERIOR]])</f>
        <v>11637965</v>
      </c>
      <c r="M101" s="71">
        <f t="shared" si="106"/>
        <v>7619226.6372430921</v>
      </c>
      <c r="O101" s="71">
        <f t="shared" si="107"/>
        <v>2775.2910303398967</v>
      </c>
      <c r="P101" s="85">
        <f t="shared" si="109"/>
        <v>-1045794</v>
      </c>
      <c r="Q101" s="71">
        <f t="shared" si="108"/>
        <v>1048569.2910303399</v>
      </c>
    </row>
    <row r="102" spans="1:17" ht="15" customHeight="1" x14ac:dyDescent="0.25">
      <c r="A102" s="14" t="str">
        <f>'Matriz de Produccion'!A102</f>
        <v>1I10</v>
      </c>
      <c r="B102" s="276" t="str">
        <f>VLOOKUP(A102,'Analisis por Categorias'!B:C,2,FALSE)</f>
        <v>Café. Y Agua Potab.</v>
      </c>
      <c r="D102" s="3">
        <f>SUMIF(CATEGORIAS[[#All],[SUBGRUPO]],A102,CATEGORIAS[[#All],[PRESUPUESTO
(ORIGINAL)]])</f>
        <v>5117633.4354056884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6850971.9822106585</v>
      </c>
      <c r="G102" s="71">
        <f>+SUMIF(CATEGORIAS[[#All],[SUBGRUPO]],A102,CATEGORIAS[[#All],[PRODUCCION
PARTIDAS
ORIGINALES
ACTUAL]])
+SUMIF(CATEGORIAS[[#All],[SUBGRUPO]],A102,CATEGORIAS[[#All],[PRODUCCION
ADICIONALES
ACTUAL]])</f>
        <v>6850971.9822106585</v>
      </c>
      <c r="H102" s="71">
        <f>+SUMIF(CATEGORIAS[[#All],[SUBGRUPO]],A102,CATEGORIAS[[#All],[COSTO
ACUMULADO  AX]])
+SUMIF(CATEGORIAS[[#All],[SUBGRUPO]],A102,CATEGORIAS[[#All],[CAMBIO DE
CATEGORIA]])
+SUMIF(CATEGORIAS[[#All],[SUBGRUPO]],A102,CATEGORIAS[[#All],[PROVISIONES]])</f>
        <v>2439332</v>
      </c>
      <c r="I102" s="71">
        <f t="shared" si="105"/>
        <v>4411639.9822106585</v>
      </c>
      <c r="K102" s="71">
        <f>+SUMIF(CATEGORIAS[[#All],[SUBGRUPO]],A102,CATEGORIAS[[#All],[PRODUCCION
ANTERIOR]])
+SUMIF(CATEGORIAS[[#All],[SUBGRUPO]],A102,CATEGORIAS[[#All],[PRODUCCION
ADICIONALES
ANTERIOR]])</f>
        <v>6849967.3876394145</v>
      </c>
      <c r="L102" s="71">
        <f>+SUMIF(CATEGORIAS[[#All],[SUBGRUPO]],A102,CATEGORIAS[[#All],[COSTO ACUMULADO
ANTERIOR]])
+SUMIF(CATEGORIAS[[#All],[SUBGRUPO]],A102,CATEGORIAS[[#All],[CAMBIO DE
CATEGORIA
ANTERIOR]])
+SUMIF(CATEGORIAS[[#All],[SUBGRUPO]],A102,CATEGORIAS[[#All],[PROVISIONES
ANTERIOR]])</f>
        <v>2083832</v>
      </c>
      <c r="M102" s="71">
        <f t="shared" si="106"/>
        <v>4766135.3876394145</v>
      </c>
      <c r="O102" s="71">
        <f t="shared" si="107"/>
        <v>1004.5945712439716</v>
      </c>
      <c r="P102" s="85">
        <f>H102-L102</f>
        <v>355500</v>
      </c>
      <c r="Q102" s="71">
        <f t="shared" si="108"/>
        <v>-354495.40542875603</v>
      </c>
    </row>
    <row r="103" spans="1:17" ht="15" hidden="1" customHeight="1" x14ac:dyDescent="0.25">
      <c r="A103" s="14" t="str">
        <f>'Matriz de Produccion'!A103</f>
        <v>1I11</v>
      </c>
      <c r="B103" s="6" t="e">
        <f>VLOOKUP(A103,'Analisis por Categorias'!B:C,2,FALSE)</f>
        <v>#N/A</v>
      </c>
      <c r="D103" s="3">
        <f>SUMIF(CATEGORIAS[[#All],[SUBGRUPO]],A103,CATEGORIAS[[#All],[PRESUPUESTO
(ORIGINAL)]])</f>
        <v>0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0</v>
      </c>
      <c r="G103" s="71">
        <f>+SUMIF(CATEGORIAS[[#All],[SUBGRUPO]],A103,CATEGORIAS[[#All],[PRODUCCION
PARTIDAS
ORIGINALES
ACTUAL]])
+SUMIF(CATEGORIAS[[#All],[SUBGRUPO]],A103,CATEGORIAS[[#All],[PRODUCCION
ADICIONALES
ACTUAL]])</f>
        <v>0</v>
      </c>
      <c r="H103" s="71">
        <f>+SUMIF(CATEGORIAS[[#All],[SUBGRUPO]],A103,CATEGORIAS[[#All],[COSTO
ACUMULADO  AX]])
+SUMIF(CATEGORIAS[[#All],[SUBGRUPO]],A103,CATEGORIAS[[#All],[CAMBIO DE
CATEGORIA]])
+SUMIF(CATEGORIAS[[#All],[SUBGRUPO]],A103,CATEGORIAS[[#All],[PROVISIONES]])</f>
        <v>0</v>
      </c>
      <c r="I103" s="71">
        <f t="shared" si="105"/>
        <v>0</v>
      </c>
      <c r="K103" s="71">
        <f>+SUMIF(CATEGORIAS[[#All],[SUBGRUPO]],A103,CATEGORIAS[[#All],[PRODUCCION
ANTERIOR]])
+SUMIF(CATEGORIAS[[#All],[SUBGRUPO]],A103,CATEGORIAS[[#All],[PRODUCCION
ADICIONALES
ANTERIOR]])</f>
        <v>0</v>
      </c>
      <c r="L103" s="71">
        <f>+SUMIF(CATEGORIAS[[#All],[SUBGRUPO]],A103,CATEGORIAS[[#All],[COSTO ACUMULADO
ANTERIOR]])
+SUMIF(CATEGORIAS[[#All],[SUBGRUPO]],A103,CATEGORIAS[[#All],[CAMBIO DE
CATEGORIA
ANTERIOR]])
+SUMIF(CATEGORIAS[[#All],[SUBGRUPO]],A103,CATEGORIAS[[#All],[PROVISIONES
ANTERIOR]])</f>
        <v>0</v>
      </c>
      <c r="M103" s="71">
        <f t="shared" si="106"/>
        <v>0</v>
      </c>
      <c r="O103" s="71">
        <f t="shared" si="107"/>
        <v>0</v>
      </c>
      <c r="P103" s="71">
        <f t="shared" si="109"/>
        <v>0</v>
      </c>
      <c r="Q103" s="71">
        <f t="shared" si="108"/>
        <v>0</v>
      </c>
    </row>
    <row r="104" spans="1:17" ht="15" hidden="1" customHeight="1" x14ac:dyDescent="0.25">
      <c r="A104" s="14" t="str">
        <f>'Matriz de Produccion'!A104</f>
        <v>1I12</v>
      </c>
      <c r="B104" s="6" t="e">
        <f>VLOOKUP(A104,'Analisis por Categorias'!B:C,2,FALSE)</f>
        <v>#N/A</v>
      </c>
      <c r="D104" s="3">
        <f>SUMIF(CATEGORIAS[[#All],[SUBGRUPO]],A104,CATEGORIAS[[#All],[PRESUPUESTO
(ORIGINAL)]])</f>
        <v>0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71">
        <f>+SUMIF(CATEGORIAS[[#All],[SUBGRUPO]],A104,CATEGORIAS[[#All],[PRODUCCION
PARTIDAS
ORIGINALES
ACTUAL]])
+SUMIF(CATEGORIAS[[#All],[SUBGRUPO]],A104,CATEGORIAS[[#All],[PRODUCCION
ADICIONALES
ACTUAL]])</f>
        <v>0</v>
      </c>
      <c r="H104" s="71">
        <f>+SUMIF(CATEGORIAS[[#All],[SUBGRUPO]],A104,CATEGORIAS[[#All],[COSTO
ACUMULADO  AX]])
+SUMIF(CATEGORIAS[[#All],[SUBGRUPO]],A104,CATEGORIAS[[#All],[CAMBIO DE
CATEGORIA]])
+SUMIF(CATEGORIAS[[#All],[SUBGRUPO]],A104,CATEGORIAS[[#All],[PROVISIONES]])</f>
        <v>0</v>
      </c>
      <c r="I104" s="71">
        <f t="shared" ref="I104:I106" si="110">G104-H104</f>
        <v>0</v>
      </c>
      <c r="K104" s="71">
        <f>+SUMIF(CATEGORIAS[[#All],[SUBGRUPO]],A104,CATEGORIAS[[#All],[PRODUCCION
ANTERIOR]])
+SUMIF(CATEGORIAS[[#All],[SUBGRUPO]],A104,CATEGORIAS[[#All],[PRODUCCION
ADICIONALES
ANTERIOR]])</f>
        <v>0</v>
      </c>
      <c r="L104" s="71">
        <f>+SUMIF(CATEGORIAS[[#All],[SUBGRUPO]],A104,CATEGORIAS[[#All],[COSTO ACUMULADO
ANTERIOR]])
+SUMIF(CATEGORIAS[[#All],[SUBGRUPO]],A104,CATEGORIAS[[#All],[CAMBIO DE
CATEGORIA
ANTERIOR]])
+SUMIF(CATEGORIAS[[#All],[SUBGRUPO]],A104,CATEGORIAS[[#All],[PROVISIONES
ANTERIOR]])</f>
        <v>0</v>
      </c>
      <c r="M104" s="71">
        <f t="shared" ref="M104:M106" si="111">K104-L104</f>
        <v>0</v>
      </c>
      <c r="O104" s="71">
        <f t="shared" ref="O104:O106" si="112">G104-K104</f>
        <v>0</v>
      </c>
      <c r="P104" s="71">
        <f t="shared" ref="P104:P106" si="113">H104-L104</f>
        <v>0</v>
      </c>
      <c r="Q104" s="71">
        <f t="shared" ref="Q104:Q106" si="114">I104-M104</f>
        <v>0</v>
      </c>
    </row>
    <row r="105" spans="1:17" ht="15" hidden="1" customHeight="1" x14ac:dyDescent="0.25">
      <c r="A105" s="14" t="str">
        <f>'Matriz de Produccion'!A105</f>
        <v>1I13</v>
      </c>
      <c r="B105" s="6" t="e">
        <f>VLOOKUP(A105,'Analisis por Categorias'!B:C,2,FALSE)</f>
        <v>#N/A</v>
      </c>
      <c r="D105" s="3">
        <f>SUMIF(CATEGORIAS[[#All],[SUBGRUPO]],A105,CATEGORIAS[[#All],[PRESUPUESTO
(ORIGINAL)]])</f>
        <v>0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71">
        <f>+SUMIF(CATEGORIAS[[#All],[SUBGRUPO]],A105,CATEGORIAS[[#All],[PRODUCCION
PARTIDAS
ORIGINALES
ACTUAL]])
+SUMIF(CATEGORIAS[[#All],[SUBGRUPO]],A105,CATEGORIAS[[#All],[PRODUCCION
ADICIONALES
ACTUAL]])</f>
        <v>0</v>
      </c>
      <c r="H105" s="71">
        <f>+SUMIF(CATEGORIAS[[#All],[SUBGRUPO]],A105,CATEGORIAS[[#All],[COSTO
ACUMULADO  AX]])
+SUMIF(CATEGORIAS[[#All],[SUBGRUPO]],A105,CATEGORIAS[[#All],[CAMBIO DE
CATEGORIA]])
+SUMIF(CATEGORIAS[[#All],[SUBGRUPO]],A105,CATEGORIAS[[#All],[PROVISIONES]])</f>
        <v>0</v>
      </c>
      <c r="I105" s="71">
        <f t="shared" si="110"/>
        <v>0</v>
      </c>
      <c r="K105" s="71">
        <f>+SUMIF(CATEGORIAS[[#All],[SUBGRUPO]],A105,CATEGORIAS[[#All],[PRODUCCION
ANTERIOR]])
+SUMIF(CATEGORIAS[[#All],[SUBGRUPO]],A105,CATEGORIAS[[#All],[PRODUCCION
ADICIONALES
ANTERIOR]])</f>
        <v>0</v>
      </c>
      <c r="L105" s="71">
        <f>+SUMIF(CATEGORIAS[[#All],[SUBGRUPO]],A105,CATEGORIAS[[#All],[COSTO ACUMULADO
ANTERIOR]])
+SUMIF(CATEGORIAS[[#All],[SUBGRUPO]],A105,CATEGORIAS[[#All],[CAMBIO DE
CATEGORIA
ANTERIOR]])
+SUMIF(CATEGORIAS[[#All],[SUBGRUPO]],A105,CATEGORIAS[[#All],[PROVISIONES
ANTERIOR]])</f>
        <v>0</v>
      </c>
      <c r="M105" s="71">
        <f t="shared" si="111"/>
        <v>0</v>
      </c>
      <c r="O105" s="71">
        <f t="shared" si="112"/>
        <v>0</v>
      </c>
      <c r="P105" s="71">
        <f t="shared" si="113"/>
        <v>0</v>
      </c>
      <c r="Q105" s="71">
        <f t="shared" si="114"/>
        <v>0</v>
      </c>
    </row>
    <row r="106" spans="1:17" ht="15" hidden="1" customHeight="1" x14ac:dyDescent="0.25">
      <c r="A106" s="14" t="str">
        <f>'Matriz de Produccion'!A106</f>
        <v>1I14</v>
      </c>
      <c r="B106" s="6" t="e">
        <f>VLOOKUP(A106,'Analisis por Categorias'!B:C,2,FALSE)</f>
        <v>#N/A</v>
      </c>
      <c r="D106" s="3">
        <f>SUMIF(CATEGORIAS[[#All],[SUBGRUPO]],A106,CATEGORIAS[[#All],[PRESUPUESTO
(ORIGINAL)]])</f>
        <v>0</v>
      </c>
      <c r="E106" s="3">
        <f>+SUMIF(CATEGORIAS[[#All],[SUBGRUPO]],A106,CATEGORIAS[[#All],[PRODUCCION
PARTIDAS
ORIGINALES
ACTUAL]])
+SUMIF(CATEGORIAS[[#All],[SUBGRUPO]],A106,CATEGORIAS[[#All],[PRODUCCION
ADICIONALES
ACTUAL]])
+SUMIF(CATEGORIAS[[#All],[SUBGRUPO]],A106,CATEGORIAS[[#All],[PROYECCION
DE INGRESO
DEL SALDO]])</f>
        <v>0</v>
      </c>
      <c r="G106" s="71">
        <f>+SUMIF(CATEGORIAS[[#All],[SUBGRUPO]],A106,CATEGORIAS[[#All],[PRODUCCION
PARTIDAS
ORIGINALES
ACTUAL]])
+SUMIF(CATEGORIAS[[#All],[SUBGRUPO]],A106,CATEGORIAS[[#All],[PRODUCCION
ADICIONALES
ACTUAL]])</f>
        <v>0</v>
      </c>
      <c r="H106" s="71">
        <f>+SUMIF(CATEGORIAS[[#All],[SUBGRUPO]],A106,CATEGORIAS[[#All],[COSTO
ACUMULADO  AX]])
+SUMIF(CATEGORIAS[[#All],[SUBGRUPO]],A106,CATEGORIAS[[#All],[CAMBIO DE
CATEGORIA]])
+SUMIF(CATEGORIAS[[#All],[SUBGRUPO]],A106,CATEGORIAS[[#All],[PROVISIONES]])</f>
        <v>0</v>
      </c>
      <c r="I106" s="71">
        <f t="shared" si="110"/>
        <v>0</v>
      </c>
      <c r="K106" s="71">
        <f>+SUMIF(CATEGORIAS[[#All],[SUBGRUPO]],A106,CATEGORIAS[[#All],[PRODUCCION
ANTERIOR]])
+SUMIF(CATEGORIAS[[#All],[SUBGRUPO]],A106,CATEGORIAS[[#All],[PRODUCCION
ADICIONALES
ANTERIOR]])</f>
        <v>0</v>
      </c>
      <c r="L106" s="71">
        <f>+SUMIF(CATEGORIAS[[#All],[SUBGRUPO]],A106,CATEGORIAS[[#All],[COSTO ACUMULADO
ANTERIOR]])
+SUMIF(CATEGORIAS[[#All],[SUBGRUPO]],A106,CATEGORIAS[[#All],[CAMBIO DE
CATEGORIA
ANTERIOR]])
+SUMIF(CATEGORIAS[[#All],[SUBGRUPO]],A106,CATEGORIAS[[#All],[PROVISIONES
ANTERIOR]])</f>
        <v>0</v>
      </c>
      <c r="M106" s="71">
        <f t="shared" si="111"/>
        <v>0</v>
      </c>
      <c r="O106" s="71">
        <f t="shared" si="112"/>
        <v>0</v>
      </c>
      <c r="P106" s="71">
        <f t="shared" si="113"/>
        <v>0</v>
      </c>
      <c r="Q106" s="71">
        <f t="shared" si="114"/>
        <v>0</v>
      </c>
    </row>
    <row r="107" spans="1:17" ht="8.25" customHeight="1" x14ac:dyDescent="0.25"/>
    <row r="108" spans="1:17" ht="14.25" customHeight="1" x14ac:dyDescent="0.25">
      <c r="A108" s="14" t="str">
        <f>'Matriz de Produccion'!A108</f>
        <v>1J00</v>
      </c>
      <c r="B108" s="81" t="s">
        <v>245</v>
      </c>
      <c r="D108" s="82">
        <f>SUM(D109:D111)</f>
        <v>59828637.61628902</v>
      </c>
      <c r="E108" s="82">
        <f>SUM(E109:E111)</f>
        <v>61938096.957085773</v>
      </c>
      <c r="G108" s="83">
        <f>SUM(G109:G111)</f>
        <v>61938096.951980434</v>
      </c>
      <c r="H108" s="83">
        <f>SUM(H109:H111)</f>
        <v>97354183</v>
      </c>
      <c r="I108" s="83">
        <f>SUM(I109:I111)</f>
        <v>-35416086.048019566</v>
      </c>
      <c r="K108" s="83">
        <f>SUM(K109:K111)</f>
        <v>61926352.551980369</v>
      </c>
      <c r="L108" s="83">
        <f>SUM(L109:L111)</f>
        <v>98157960</v>
      </c>
      <c r="M108" s="83">
        <f>SUM(M109:M111)</f>
        <v>-36231607.448019631</v>
      </c>
      <c r="O108" s="83">
        <f>SUM(O109:O111)</f>
        <v>11744.40000006929</v>
      </c>
      <c r="P108" s="83">
        <f>SUM(P109:P111)</f>
        <v>-803777</v>
      </c>
      <c r="Q108" s="83">
        <f>SUM(Q109:Q111)</f>
        <v>815521.40000006929</v>
      </c>
    </row>
    <row r="109" spans="1:17" ht="15" customHeight="1" x14ac:dyDescent="0.25">
      <c r="A109" s="14" t="str">
        <f>'Matriz de Produccion'!A109</f>
        <v>1J01</v>
      </c>
      <c r="B109" s="6" t="str">
        <f>VLOOKUP(A109,'Analisis por Categorias'!B:C,2,FALSE)</f>
        <v>Boleta Garantia</v>
      </c>
      <c r="D109" s="3">
        <f>SUMIF(CATEGORIAS[[#All],[SUBGRUPO]],A109,CATEGORIAS[[#All],[PRESUPUESTO
(ORIGINAL)]])</f>
        <v>12191666.666902319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12621524.776162468</v>
      </c>
      <c r="G109" s="71">
        <f>+SUMIF(CATEGORIAS[[#All],[SUBGRUPO]],A109,CATEGORIAS[[#All],[PRODUCCION
PARTIDAS
ORIGINALES
ACTUAL]])
+SUMIF(CATEGORIAS[[#All],[SUBGRUPO]],A109,CATEGORIAS[[#All],[PRODUCCION
ADICIONALES
ACTUAL]])</f>
        <v>12621524.774544301</v>
      </c>
      <c r="H109" s="71">
        <f>+SUMIF(CATEGORIAS[[#All],[SUBGRUPO]],A109,CATEGORIAS[[#All],[COSTO
ACUMULADO  AX]])
+SUMIF(CATEGORIAS[[#All],[SUBGRUPO]],A109,CATEGORIAS[[#All],[CAMBIO DE
CATEGORIA]])
+SUMIF(CATEGORIAS[[#All],[SUBGRUPO]],A109,CATEGORIAS[[#All],[PROVISIONES]])</f>
        <v>10424583</v>
      </c>
      <c r="I109" s="71">
        <f>G109-H109</f>
        <v>2196941.7745443005</v>
      </c>
      <c r="K109" s="71">
        <f>+SUMIF(CATEGORIAS[[#All],[SUBGRUPO]],A109,CATEGORIAS[[#All],[PRODUCCION
ANTERIOR]])
+SUMIF(CATEGORIAS[[#All],[SUBGRUPO]],A109,CATEGORIAS[[#All],[PRODUCCION
ADICIONALES
ANTERIOR]])</f>
        <v>12619131.544544263</v>
      </c>
      <c r="L109" s="71">
        <f>+SUMIF(CATEGORIAS[[#All],[SUBGRUPO]],A109,CATEGORIAS[[#All],[COSTO ACUMULADO
ANTERIOR]])
+SUMIF(CATEGORIAS[[#All],[SUBGRUPO]],A109,CATEGORIAS[[#All],[CAMBIO DE
CATEGORIA
ANTERIOR]])
+SUMIF(CATEGORIAS[[#All],[SUBGRUPO]],A109,CATEGORIAS[[#All],[PROVISIONES
ANTERIOR]])</f>
        <v>10424583</v>
      </c>
      <c r="M109" s="71">
        <f>K109-L109</f>
        <v>2194548.5445442628</v>
      </c>
      <c r="O109" s="71">
        <f t="shared" ref="O109:Q110" si="115">G109-K109</f>
        <v>2393.2300000376999</v>
      </c>
      <c r="P109" s="85">
        <f t="shared" si="115"/>
        <v>0</v>
      </c>
      <c r="Q109" s="71">
        <f>I109-M109</f>
        <v>2393.2300000376999</v>
      </c>
    </row>
    <row r="110" spans="1:17" ht="15" customHeight="1" x14ac:dyDescent="0.25">
      <c r="A110" s="14" t="str">
        <f>'Matriz de Produccion'!A110</f>
        <v>1J02</v>
      </c>
      <c r="B110" s="6" t="str">
        <f>VLOOKUP(A110,'Analisis por Categorias'!B:C,2,FALSE)</f>
        <v>Gastos por Seguros</v>
      </c>
      <c r="D110" s="3">
        <f>SUMIF(CATEGORIAS[[#All],[SUBGRUPO]],A110,CATEGORIAS[[#All],[PRESUPUESTO
(ORIGINAL)]])</f>
        <v>39324470.949226037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40710987.103928268</v>
      </c>
      <c r="G110" s="71">
        <f>+SUMIF(CATEGORIAS[[#All],[SUBGRUPO]],A110,CATEGORIAS[[#All],[PRODUCCION
PARTIDAS
ORIGINALES
ACTUAL]])
+SUMIF(CATEGORIAS[[#All],[SUBGRUPO]],A110,CATEGORIAS[[#All],[PRODUCCION
ADICIONALES
ACTUAL]])</f>
        <v>40710987.101610504</v>
      </c>
      <c r="H110" s="71">
        <f>+SUMIF(CATEGORIAS[[#All],[SUBGRUPO]],A110,CATEGORIAS[[#All],[COSTO
ACUMULADO  AX]])
+SUMIF(CATEGORIAS[[#All],[SUBGRUPO]],A110,CATEGORIAS[[#All],[CAMBIO DE
CATEGORIA]])
+SUMIF(CATEGORIAS[[#All],[SUBGRUPO]],A110,CATEGORIAS[[#All],[PROVISIONES]])</f>
        <v>44031610</v>
      </c>
      <c r="I110" s="71">
        <f>G110-H110</f>
        <v>-3320622.8983894959</v>
      </c>
      <c r="K110" s="71">
        <f>+SUMIF(CATEGORIAS[[#All],[SUBGRUPO]],A110,CATEGORIAS[[#All],[PRODUCCION
ANTERIOR]])
+SUMIF(CATEGORIAS[[#All],[SUBGRUPO]],A110,CATEGORIAS[[#All],[PRODUCCION
ADICIONALES
ANTERIOR]])</f>
        <v>40703267.681610473</v>
      </c>
      <c r="L110" s="71">
        <f>+SUMIF(CATEGORIAS[[#All],[SUBGRUPO]],A110,CATEGORIAS[[#All],[COSTO ACUMULADO
ANTERIOR]])
+SUMIF(CATEGORIAS[[#All],[SUBGRUPO]],A110,CATEGORIAS[[#All],[CAMBIO DE
CATEGORIA
ANTERIOR]])
+SUMIF(CATEGORIAS[[#All],[SUBGRUPO]],A110,CATEGORIAS[[#All],[PROVISIONES
ANTERIOR]])</f>
        <v>44876018</v>
      </c>
      <c r="M110" s="71">
        <f>K110-L110</f>
        <v>-4172750.3183895275</v>
      </c>
      <c r="O110" s="71">
        <f t="shared" si="115"/>
        <v>7719.4200000315905</v>
      </c>
      <c r="P110" s="71">
        <f t="shared" si="115"/>
        <v>-844408</v>
      </c>
      <c r="Q110" s="71">
        <f t="shared" si="115"/>
        <v>852127.42000003159</v>
      </c>
    </row>
    <row r="111" spans="1:17" ht="15" customHeight="1" x14ac:dyDescent="0.25">
      <c r="A111" s="14" t="str">
        <f>'Matriz de Produccion'!A111</f>
        <v>1J03</v>
      </c>
      <c r="B111" s="6" t="str">
        <f>VLOOKUP(A111,'Analisis por Categorias'!B:C,2,FALSE)</f>
        <v>Costos Financieros</v>
      </c>
      <c r="D111" s="3">
        <f>SUMIF(CATEGORIAS[[#All],[SUBGRUPO]],A111,CATEGORIAS[[#All],[PRESUPUESTO
(ORIGINAL)]])</f>
        <v>8312500.000160668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8605585.0769950356</v>
      </c>
      <c r="G111" s="71">
        <f>+SUMIF(CATEGORIAS[[#All],[SUBGRUPO]],A111,CATEGORIAS[[#All],[PRODUCCION
PARTIDAS
ORIGINALES
ACTUAL]])
+SUMIF(CATEGORIAS[[#All],[SUBGRUPO]],A111,CATEGORIAS[[#All],[PRODUCCION
ADICIONALES
ACTUAL]])</f>
        <v>8605585.0758256298</v>
      </c>
      <c r="H111" s="71">
        <f>+SUMIF(CATEGORIAS[[#All],[SUBGRUPO]],A111,CATEGORIAS[[#All],[COSTO
ACUMULADO  AX]])
+SUMIF(CATEGORIAS[[#All],[SUBGRUPO]],A111,CATEGORIAS[[#All],[CAMBIO DE
CATEGORIA]])
+SUMIF(CATEGORIAS[[#All],[SUBGRUPO]],A111,CATEGORIAS[[#All],[PROVISIONES]])</f>
        <v>42897990</v>
      </c>
      <c r="I111" s="71">
        <f>G111-H111</f>
        <v>-34292404.924174368</v>
      </c>
      <c r="K111" s="71">
        <f>+SUMIF(CATEGORIAS[[#All],[SUBGRUPO]],A111,CATEGORIAS[[#All],[PRODUCCION
ANTERIOR]])
+SUMIF(CATEGORIAS[[#All],[SUBGRUPO]],A111,CATEGORIAS[[#All],[PRODUCCION
ADICIONALES
ANTERIOR]])</f>
        <v>8603953.3258256298</v>
      </c>
      <c r="L111" s="71">
        <f>+SUMIF(CATEGORIAS[[#All],[SUBGRUPO]],A111,CATEGORIAS[[#All],[COSTO ACUMULADO
ANTERIOR]])
+SUMIF(CATEGORIAS[[#All],[SUBGRUPO]],A111,CATEGORIAS[[#All],[CAMBIO DE
CATEGORIA
ANTERIOR]])
+SUMIF(CATEGORIAS[[#All],[SUBGRUPO]],A111,CATEGORIAS[[#All],[PROVISIONES
ANTERIOR]])</f>
        <v>42857359</v>
      </c>
      <c r="M111" s="71">
        <f>K111-L111</f>
        <v>-34253405.674174368</v>
      </c>
      <c r="O111" s="71">
        <f>G111-K111</f>
        <v>1631.75</v>
      </c>
      <c r="P111" s="71">
        <f>H111-L111</f>
        <v>40631</v>
      </c>
      <c r="Q111" s="85">
        <f>I111-M111</f>
        <v>-38999.25</v>
      </c>
    </row>
    <row r="112" spans="1:17" ht="8.25" customHeight="1" x14ac:dyDescent="0.25"/>
    <row r="113" spans="1:17" ht="13.5" customHeight="1" x14ac:dyDescent="0.25">
      <c r="A113" s="14" t="str">
        <f>'Matriz de Produccion'!A113</f>
        <v>1K00</v>
      </c>
      <c r="B113" s="81" t="s">
        <v>249</v>
      </c>
      <c r="D113" s="82">
        <f>SUM(D114:D116)</f>
        <v>380000000.0073449</v>
      </c>
      <c r="E113" s="82">
        <f>SUM(E114:E116)</f>
        <v>380000000.0073449</v>
      </c>
      <c r="G113" s="83">
        <f>SUM(G114:G116)</f>
        <v>380000000.0073449</v>
      </c>
      <c r="H113" s="84">
        <f>SUM(H114:H116)</f>
        <v>380000000.0073449</v>
      </c>
      <c r="I113" s="87">
        <f>SUM(I114:I116)</f>
        <v>0</v>
      </c>
      <c r="K113" s="83">
        <f>SUM(K114:K116)</f>
        <v>380000000.0073449</v>
      </c>
      <c r="L113" s="84">
        <f>SUM(L114:L116)</f>
        <v>380000000.0073449</v>
      </c>
      <c r="M113" s="87">
        <f>SUM(M114:M116)</f>
        <v>0</v>
      </c>
      <c r="O113" s="83">
        <f>SUM(O114:O116)</f>
        <v>0</v>
      </c>
      <c r="P113" s="84">
        <f>SUM(P114:P116)</f>
        <v>0</v>
      </c>
      <c r="Q113" s="87">
        <f>SUM(Q114:Q116)</f>
        <v>0</v>
      </c>
    </row>
    <row r="114" spans="1:17" ht="15" customHeight="1" x14ac:dyDescent="0.25">
      <c r="A114" s="14" t="str">
        <f>'Matriz de Produccion'!A114</f>
        <v>1K01</v>
      </c>
      <c r="B114" s="6" t="str">
        <f>VLOOKUP(A114,'Analisis por Categorias'!B:C,2,FALSE)</f>
        <v>Oficina Central</v>
      </c>
      <c r="D114" s="3">
        <f>SUMIF(CATEGORIAS[[#All],[SUBGRUPO]],A114,CATEGORIAS[[#All],[PRESUPUESTO
(ORIGINAL)]])</f>
        <v>190000000.00367245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190000000.00367245</v>
      </c>
      <c r="G114" s="71">
        <f>+SUMIF(CATEGORIAS[[#All],[SUBGRUPO]],A114,CATEGORIAS[[#All],[PRODUCCION
PARTIDAS
ORIGINALES
ACTUAL]])
+SUMIF(CATEGORIAS[[#All],[SUBGRUPO]],A114,CATEGORIAS[[#All],[PRODUCCION
ADICIONALES
ACTUAL]])</f>
        <v>190000000.00367245</v>
      </c>
      <c r="H114" s="71">
        <f>+SUMIF(CATEGORIAS[[#All],[SUBGRUPO]],A114,CATEGORIAS[[#All],[COSTO
ACUMULADO  AX]])
+SUMIF(CATEGORIAS[[#All],[SUBGRUPO]],A114,CATEGORIAS[[#All],[CAMBIO DE
CATEGORIA]])
+SUMIF(CATEGORIAS[[#All],[SUBGRUPO]],A114,CATEGORIAS[[#All],[PROVISIONES]])</f>
        <v>190000000.00367245</v>
      </c>
      <c r="I114" s="71">
        <f>G114-H114</f>
        <v>0</v>
      </c>
      <c r="K114" s="71">
        <f>+SUMIF(CATEGORIAS[[#All],[SUBGRUPO]],A114,CATEGORIAS[[#All],[PRODUCCION
ANTERIOR]])
+SUMIF(CATEGORIAS[[#All],[SUBGRUPO]],A114,CATEGORIAS[[#All],[PRODUCCION
ADICIONALES
ANTERIOR]])</f>
        <v>190000000.00367245</v>
      </c>
      <c r="L114" s="71">
        <f>+SUMIF(CATEGORIAS[[#All],[SUBGRUPO]],A114,CATEGORIAS[[#All],[COSTO ACUMULADO
ANTERIOR]])
+SUMIF(CATEGORIAS[[#All],[SUBGRUPO]],A114,CATEGORIAS[[#All],[CAMBIO DE
CATEGORIA
ANTERIOR]])
+SUMIF(CATEGORIAS[[#All],[SUBGRUPO]],A114,CATEGORIAS[[#All],[PROVISIONES
ANTERIOR]])</f>
        <v>190000000.00367245</v>
      </c>
      <c r="M114" s="71">
        <f>K114-L114</f>
        <v>0</v>
      </c>
      <c r="O114" s="71">
        <f t="shared" ref="O114:Q116" si="116">G114-K114</f>
        <v>0</v>
      </c>
      <c r="P114" s="71">
        <f t="shared" si="116"/>
        <v>0</v>
      </c>
      <c r="Q114" s="71">
        <f t="shared" si="116"/>
        <v>0</v>
      </c>
    </row>
    <row r="115" spans="1:17" ht="15" customHeight="1" x14ac:dyDescent="0.25">
      <c r="A115" s="14" t="str">
        <f>'Matriz de Produccion'!A115</f>
        <v>1K02</v>
      </c>
      <c r="B115" s="6" t="str">
        <f>VLOOKUP(A115,'Analisis por Categorias'!B:C,2,FALSE)</f>
        <v>Imprevistos</v>
      </c>
      <c r="D115" s="3">
        <f>SUMIF(CATEGORIAS[[#All],[SUBGRUPO]],A115,CATEGORIAS[[#All],[PRESUPUESTO
(ORIGINAL)]])</f>
        <v>47500000.000918113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47500000.000918113</v>
      </c>
      <c r="G115" s="71">
        <f>+SUMIF(CATEGORIAS[[#All],[SUBGRUPO]],A115,CATEGORIAS[[#All],[PRODUCCION
PARTIDAS
ORIGINALES
ACTUAL]])
+SUMIF(CATEGORIAS[[#All],[SUBGRUPO]],A115,CATEGORIAS[[#All],[PRODUCCION
ADICIONALES
ACTUAL]])</f>
        <v>47500000.000918113</v>
      </c>
      <c r="H115" s="71">
        <f>+SUMIF(CATEGORIAS[[#All],[SUBGRUPO]],A115,CATEGORIAS[[#All],[COSTO
ACUMULADO  AX]])
+SUMIF(CATEGORIAS[[#All],[SUBGRUPO]],A115,CATEGORIAS[[#All],[CAMBIO DE
CATEGORIA]])
+SUMIF(CATEGORIAS[[#All],[SUBGRUPO]],A115,CATEGORIAS[[#All],[PROVISIONES]])</f>
        <v>47500000.000918113</v>
      </c>
      <c r="I115" s="71">
        <f>G115-H115</f>
        <v>0</v>
      </c>
      <c r="K115" s="71">
        <f>+SUMIF(CATEGORIAS[[#All],[SUBGRUPO]],A115,CATEGORIAS[[#All],[PRODUCCION
ANTERIOR]])
+SUMIF(CATEGORIAS[[#All],[SUBGRUPO]],A115,CATEGORIAS[[#All],[PRODUCCION
ADICIONALES
ANTERIOR]])</f>
        <v>47500000.000918113</v>
      </c>
      <c r="L115" s="71">
        <f>+SUMIF(CATEGORIAS[[#All],[SUBGRUPO]],A115,CATEGORIAS[[#All],[COSTO ACUMULADO
ANTERIOR]])
+SUMIF(CATEGORIAS[[#All],[SUBGRUPO]],A115,CATEGORIAS[[#All],[CAMBIO DE
CATEGORIA
ANTERIOR]])
+SUMIF(CATEGORIAS[[#All],[SUBGRUPO]],A115,CATEGORIAS[[#All],[PROVISIONES
ANTERIOR]])</f>
        <v>47500000.000918113</v>
      </c>
      <c r="M115" s="71">
        <f>K115-L115</f>
        <v>0</v>
      </c>
      <c r="O115" s="85">
        <f t="shared" si="116"/>
        <v>0</v>
      </c>
      <c r="P115" s="85">
        <f t="shared" si="116"/>
        <v>0</v>
      </c>
      <c r="Q115" s="85">
        <f t="shared" si="116"/>
        <v>0</v>
      </c>
    </row>
    <row r="116" spans="1:17" ht="15" customHeight="1" x14ac:dyDescent="0.25">
      <c r="A116" s="14" t="str">
        <f>'Matriz de Produccion'!A116</f>
        <v>1K03</v>
      </c>
      <c r="B116" s="6" t="str">
        <f>VLOOKUP(A116,'Analisis por Categorias'!B:C,2,FALSE)</f>
        <v>Utilidades</v>
      </c>
      <c r="D116" s="3">
        <f>SUMIF(CATEGORIAS[[#All],[SUBGRUPO]],A116,CATEGORIAS[[#All],[PRESUPUESTO
(ORIGINAL)]])</f>
        <v>142500000.00275433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142500000.00275433</v>
      </c>
      <c r="G116" s="71">
        <f>+SUMIF(CATEGORIAS[[#All],[SUBGRUPO]],A116,CATEGORIAS[[#All],[PRODUCCION
PARTIDAS
ORIGINALES
ACTUAL]])
+SUMIF(CATEGORIAS[[#All],[SUBGRUPO]],A116,CATEGORIAS[[#All],[PRODUCCION
ADICIONALES
ACTUAL]])</f>
        <v>142500000.00275433</v>
      </c>
      <c r="H116" s="71">
        <f>+SUMIF(CATEGORIAS[[#All],[SUBGRUPO]],A116,CATEGORIAS[[#All],[COSTO
ACUMULADO  AX]])
+SUMIF(CATEGORIAS[[#All],[SUBGRUPO]],A116,CATEGORIAS[[#All],[CAMBIO DE
CATEGORIA]])
+SUMIF(CATEGORIAS[[#All],[SUBGRUPO]],A116,CATEGORIAS[[#All],[PROVISIONES]])</f>
        <v>142500000.00275433</v>
      </c>
      <c r="I116" s="71">
        <f>G116-H116</f>
        <v>0</v>
      </c>
      <c r="K116" s="71">
        <f>+SUMIF(CATEGORIAS[[#All],[SUBGRUPO]],A116,CATEGORIAS[[#All],[PRODUCCION
ANTERIOR]])
+SUMIF(CATEGORIAS[[#All],[SUBGRUPO]],A116,CATEGORIAS[[#All],[PRODUCCION
ADICIONALES
ANTERIOR]])</f>
        <v>142500000.00275433</v>
      </c>
      <c r="L116" s="71">
        <f>+SUMIF(CATEGORIAS[[#All],[SUBGRUPO]],A116,CATEGORIAS[[#All],[COSTO ACUMULADO
ANTERIOR]])
+SUMIF(CATEGORIAS[[#All],[SUBGRUPO]],A116,CATEGORIAS[[#All],[CAMBIO DE
CATEGORIA
ANTERIOR]])
+SUMIF(CATEGORIAS[[#All],[SUBGRUPO]],A116,CATEGORIAS[[#All],[PROVISIONES
ANTERIOR]])</f>
        <v>142500000.00275433</v>
      </c>
      <c r="M116" s="71">
        <f>K116-L116</f>
        <v>0</v>
      </c>
      <c r="O116" s="71">
        <f t="shared" si="116"/>
        <v>0</v>
      </c>
      <c r="P116" s="71">
        <f t="shared" si="116"/>
        <v>0</v>
      </c>
      <c r="Q116" s="71">
        <f t="shared" si="116"/>
        <v>0</v>
      </c>
    </row>
    <row r="117" spans="1:17" ht="8.25" customHeight="1" x14ac:dyDescent="0.25"/>
    <row r="118" spans="1:17" x14ac:dyDescent="0.25">
      <c r="B118" s="7" t="s">
        <v>250</v>
      </c>
      <c r="D118" s="4">
        <f>SUM(D119:D129)</f>
        <v>4750000000.2055159</v>
      </c>
      <c r="E118" s="4">
        <f>SUM(E119:E129)</f>
        <v>6013966118.1520185</v>
      </c>
      <c r="G118" s="12">
        <f>SUM(G119:G129)</f>
        <v>6013966118.1469126</v>
      </c>
      <c r="H118" s="11">
        <f>SUM(H119:H129)</f>
        <v>5623840296.9188471</v>
      </c>
      <c r="I118" s="2">
        <f>SUM(I119:I129)</f>
        <v>390125821.22806585</v>
      </c>
      <c r="K118" s="12">
        <f>SUM(K119:K129)</f>
        <v>5993173782.2408314</v>
      </c>
      <c r="L118" s="11">
        <f>SUM(L119:L129)</f>
        <v>5582184402.0988474</v>
      </c>
      <c r="M118" s="2">
        <f>SUM(M119:M129)</f>
        <v>410989380.1419847</v>
      </c>
      <c r="O118" s="12">
        <f>SUM(O119:O129)</f>
        <v>20792335.906081431</v>
      </c>
      <c r="P118" s="11">
        <f>SUM(P119:P129)</f>
        <v>41655894.82</v>
      </c>
      <c r="Q118" s="2">
        <f>SUM(Q119:Q129)</f>
        <v>-20863558.913918853</v>
      </c>
    </row>
    <row r="119" spans="1:17" x14ac:dyDescent="0.25">
      <c r="A119" s="14" t="str">
        <f>'Matriz de Produccion'!A119</f>
        <v>0A00</v>
      </c>
      <c r="B119" s="81" t="s">
        <v>185</v>
      </c>
      <c r="D119" s="86">
        <f>D9</f>
        <v>989503980.44566989</v>
      </c>
      <c r="E119" s="86">
        <f>E9</f>
        <v>1239884575.233088</v>
      </c>
      <c r="G119" s="85">
        <f>G9</f>
        <v>1239884575.2330875</v>
      </c>
      <c r="H119" s="85">
        <f>H9</f>
        <v>1021487689</v>
      </c>
      <c r="I119" s="71">
        <f t="shared" ref="I119:I129" si="117">G119-H119</f>
        <v>218396886.23308754</v>
      </c>
      <c r="K119" s="85">
        <f>K9</f>
        <v>1241830578.8015609</v>
      </c>
      <c r="L119" s="85">
        <f>L9</f>
        <v>1021487689</v>
      </c>
      <c r="M119" s="71">
        <f t="shared" ref="M119:M129" si="118">K119-L119</f>
        <v>220342889.80156088</v>
      </c>
      <c r="O119" s="85">
        <f>O9</f>
        <v>-1946003.5684732283</v>
      </c>
      <c r="P119" s="85">
        <f>P9</f>
        <v>0</v>
      </c>
      <c r="Q119" s="85">
        <f t="shared" ref="Q119:Q128" si="119">I119-M119</f>
        <v>-1946003.5684733391</v>
      </c>
    </row>
    <row r="120" spans="1:17" x14ac:dyDescent="0.25">
      <c r="A120" s="14" t="str">
        <f>'Matriz de Produccion'!A120</f>
        <v>0B00</v>
      </c>
      <c r="B120" s="81" t="s">
        <v>196</v>
      </c>
      <c r="D120" s="86">
        <f>D19</f>
        <v>654136807.94229996</v>
      </c>
      <c r="E120" s="86">
        <f>E19</f>
        <v>679183187.46936965</v>
      </c>
      <c r="G120" s="85">
        <f>G19</f>
        <v>679183187.46936965</v>
      </c>
      <c r="H120" s="85">
        <f>H19</f>
        <v>891155239</v>
      </c>
      <c r="I120" s="71">
        <f>G120-H120</f>
        <v>-211972051.53063035</v>
      </c>
      <c r="K120" s="85">
        <f>K19</f>
        <v>679072798.99194527</v>
      </c>
      <c r="L120" s="85">
        <f>L19</f>
        <v>866433442</v>
      </c>
      <c r="M120" s="71">
        <f t="shared" si="118"/>
        <v>-187360643.00805473</v>
      </c>
      <c r="O120" s="85">
        <f>O19</f>
        <v>110388.47742438642</v>
      </c>
      <c r="P120" s="85">
        <f>P19</f>
        <v>24721797</v>
      </c>
      <c r="Q120" s="85">
        <f>I120-M120</f>
        <v>-24611408.522575617</v>
      </c>
    </row>
    <row r="121" spans="1:17" x14ac:dyDescent="0.25">
      <c r="A121" s="14" t="str">
        <f>'Matriz de Produccion'!A121</f>
        <v>0C00</v>
      </c>
      <c r="B121" s="81" t="s">
        <v>201</v>
      </c>
      <c r="D121" s="86">
        <f>D30</f>
        <v>438661457.75153172</v>
      </c>
      <c r="E121" s="86">
        <f>E30</f>
        <v>495177817.53729898</v>
      </c>
      <c r="G121" s="85">
        <f>G30</f>
        <v>495177817.53729898</v>
      </c>
      <c r="H121" s="85">
        <f>H30</f>
        <v>627380767.99974489</v>
      </c>
      <c r="I121" s="71">
        <f t="shared" si="117"/>
        <v>-132202950.46244591</v>
      </c>
      <c r="K121" s="85">
        <f>K30</f>
        <v>492955865.26532376</v>
      </c>
      <c r="L121" s="85">
        <f>L30</f>
        <v>614918638.99974489</v>
      </c>
      <c r="M121" s="71">
        <f t="shared" si="118"/>
        <v>-121962773.73442113</v>
      </c>
      <c r="O121" s="85">
        <f>O30</f>
        <v>2221952.2719752416</v>
      </c>
      <c r="P121" s="85">
        <f>P30</f>
        <v>12462129</v>
      </c>
      <c r="Q121" s="85">
        <f>I121-M121</f>
        <v>-10240176.728024781</v>
      </c>
    </row>
    <row r="122" spans="1:17" x14ac:dyDescent="0.25">
      <c r="A122" s="14" t="str">
        <f>'Matriz de Produccion'!A122</f>
        <v>0D00</v>
      </c>
      <c r="B122" s="81" t="s">
        <v>206</v>
      </c>
      <c r="D122" s="86">
        <f>D38</f>
        <v>825206144.46633112</v>
      </c>
      <c r="E122" s="86">
        <f>E38</f>
        <v>1005746952.9262139</v>
      </c>
      <c r="G122" s="85">
        <f>G38</f>
        <v>1005746952.9262139</v>
      </c>
      <c r="H122" s="85">
        <f>H38</f>
        <v>718626203.34471464</v>
      </c>
      <c r="I122" s="71">
        <f t="shared" si="117"/>
        <v>287120749.58149922</v>
      </c>
      <c r="K122" s="85">
        <f>K38</f>
        <v>1005604806.9441338</v>
      </c>
      <c r="L122" s="85">
        <f>L38</f>
        <v>724127434.34471464</v>
      </c>
      <c r="M122" s="71">
        <f t="shared" si="118"/>
        <v>281477372.59941912</v>
      </c>
      <c r="O122" s="85">
        <f>O38</f>
        <v>142145.98208031058</v>
      </c>
      <c r="P122" s="85">
        <f>P38</f>
        <v>-5501231</v>
      </c>
      <c r="Q122" s="85">
        <f t="shared" si="119"/>
        <v>5643376.982080102</v>
      </c>
    </row>
    <row r="123" spans="1:17" x14ac:dyDescent="0.25">
      <c r="A123" s="14" t="str">
        <f>'Matriz de Produccion'!A123</f>
        <v>0X00</v>
      </c>
      <c r="B123" s="81" t="s">
        <v>212</v>
      </c>
      <c r="D123" s="86">
        <f>D49</f>
        <v>110221472.6512</v>
      </c>
      <c r="E123" s="86">
        <f>E49</f>
        <v>238680817.17854521</v>
      </c>
      <c r="G123" s="85">
        <f>G49</f>
        <v>238680817.17854521</v>
      </c>
      <c r="H123" s="85">
        <f>H49</f>
        <v>187957917.34266669</v>
      </c>
      <c r="I123" s="71">
        <f t="shared" si="117"/>
        <v>50722899.835878521</v>
      </c>
      <c r="K123" s="85">
        <f>K49</f>
        <v>218668317.92208672</v>
      </c>
      <c r="L123" s="85">
        <f>L49</f>
        <v>184622377.34266669</v>
      </c>
      <c r="M123" s="71">
        <f t="shared" si="118"/>
        <v>34045940.57942003</v>
      </c>
      <c r="O123" s="85">
        <f>O49</f>
        <v>20012499.256458487</v>
      </c>
      <c r="P123" s="85">
        <f>P49</f>
        <v>3335540</v>
      </c>
      <c r="Q123" s="85">
        <f t="shared" si="119"/>
        <v>16676959.256458491</v>
      </c>
    </row>
    <row r="124" spans="1:17" x14ac:dyDescent="0.25">
      <c r="A124" s="14" t="str">
        <f>'Matriz de Produccion'!A124</f>
        <v>1F00</v>
      </c>
      <c r="B124" s="81" t="s">
        <v>221</v>
      </c>
      <c r="D124" s="86">
        <f>D59</f>
        <v>849346597.24778163</v>
      </c>
      <c r="E124" s="86">
        <f>E59</f>
        <v>1307317730.5885222</v>
      </c>
      <c r="G124" s="85">
        <f>G59</f>
        <v>1307317730.5885222</v>
      </c>
      <c r="H124" s="85">
        <f>H59</f>
        <v>1289015809.924376</v>
      </c>
      <c r="I124" s="71">
        <f t="shared" si="117"/>
        <v>18301920.664146185</v>
      </c>
      <c r="K124" s="85">
        <f>K59</f>
        <v>1307151003.3323655</v>
      </c>
      <c r="L124" s="85">
        <f>L59</f>
        <v>1255620145.924376</v>
      </c>
      <c r="M124" s="71">
        <f t="shared" si="118"/>
        <v>51530857.407989502</v>
      </c>
      <c r="O124" s="85">
        <f>O59</f>
        <v>166727.25615660846</v>
      </c>
      <c r="P124" s="85">
        <f>P59</f>
        <v>33395664</v>
      </c>
      <c r="Q124" s="85">
        <f>I124-M124</f>
        <v>-33228936.743843317</v>
      </c>
    </row>
    <row r="125" spans="1:17" x14ac:dyDescent="0.25">
      <c r="A125" s="14" t="str">
        <f>'Matriz de Produccion'!A125</f>
        <v>1G00</v>
      </c>
      <c r="B125" s="81" t="s">
        <v>223</v>
      </c>
      <c r="D125" s="86">
        <f>D73</f>
        <v>112795628.36</v>
      </c>
      <c r="E125" s="86">
        <f>E73</f>
        <v>161450051.27994096</v>
      </c>
      <c r="G125" s="85">
        <f>G73</f>
        <v>161450051.27994096</v>
      </c>
      <c r="H125" s="85">
        <f>H73</f>
        <v>131407294.3</v>
      </c>
      <c r="I125" s="71">
        <f t="shared" si="117"/>
        <v>30042756.979940966</v>
      </c>
      <c r="K125" s="85">
        <f>K73</f>
        <v>161427909.42915371</v>
      </c>
      <c r="L125" s="85">
        <f>L73</f>
        <v>128593789.3</v>
      </c>
      <c r="M125" s="71">
        <f>K125-L125</f>
        <v>32834120.129153714</v>
      </c>
      <c r="O125" s="85">
        <f>O73</f>
        <v>22141.850787248462</v>
      </c>
      <c r="P125" s="85">
        <f>P73</f>
        <v>2813505</v>
      </c>
      <c r="Q125" s="85">
        <f>I125-M125</f>
        <v>-2791363.1492127478</v>
      </c>
    </row>
    <row r="126" spans="1:17" x14ac:dyDescent="0.25">
      <c r="A126" s="14" t="str">
        <f>'Matriz de Produccion'!A126</f>
        <v>1H00</v>
      </c>
      <c r="B126" s="81" t="s">
        <v>228</v>
      </c>
      <c r="D126" s="86">
        <f>D79</f>
        <v>135754532.50963384</v>
      </c>
      <c r="E126" s="86">
        <f>E79</f>
        <v>196838271.17832854</v>
      </c>
      <c r="G126" s="85">
        <f>G79</f>
        <v>196838271.17832854</v>
      </c>
      <c r="H126" s="85">
        <f>H79</f>
        <v>104873927</v>
      </c>
      <c r="I126" s="71">
        <f t="shared" si="117"/>
        <v>91964344.178328544</v>
      </c>
      <c r="K126" s="85">
        <f>K79</f>
        <v>196811622.48062438</v>
      </c>
      <c r="L126" s="85">
        <f>L79</f>
        <v>140536575.18000001</v>
      </c>
      <c r="M126" s="71">
        <f t="shared" si="118"/>
        <v>56275047.300624371</v>
      </c>
      <c r="O126" s="85">
        <f>O79</f>
        <v>26648.697704202496</v>
      </c>
      <c r="P126" s="85">
        <f>P79</f>
        <v>-35662648.18</v>
      </c>
      <c r="Q126" s="85">
        <f t="shared" si="119"/>
        <v>35689296.877704173</v>
      </c>
    </row>
    <row r="127" spans="1:17" x14ac:dyDescent="0.25">
      <c r="A127" s="14" t="str">
        <f>'Matriz de Produccion'!A127</f>
        <v>1I00</v>
      </c>
      <c r="B127" s="81" t="s">
        <v>237</v>
      </c>
      <c r="D127" s="86">
        <f>D92</f>
        <v>194544741.2074329</v>
      </c>
      <c r="E127" s="86">
        <f>E92</f>
        <v>247748617.79628068</v>
      </c>
      <c r="G127" s="85">
        <f>G92</f>
        <v>247748617.79628068</v>
      </c>
      <c r="H127" s="85">
        <f>H92</f>
        <v>174581266</v>
      </c>
      <c r="I127" s="71">
        <f t="shared" si="117"/>
        <v>73167351.796280682</v>
      </c>
      <c r="K127" s="85">
        <f>K92</f>
        <v>247724526.51431257</v>
      </c>
      <c r="L127" s="85">
        <f>L92</f>
        <v>167686350</v>
      </c>
      <c r="M127" s="71">
        <f t="shared" si="118"/>
        <v>80038176.514312565</v>
      </c>
      <c r="O127" s="85">
        <f>O92</f>
        <v>24091.281968101859</v>
      </c>
      <c r="P127" s="85">
        <f>P92</f>
        <v>6894916</v>
      </c>
      <c r="Q127" s="85">
        <f t="shared" si="119"/>
        <v>-6870824.7180318832</v>
      </c>
    </row>
    <row r="128" spans="1:17" ht="15" customHeight="1" x14ac:dyDescent="0.25">
      <c r="A128" s="14" t="str">
        <f>'Matriz de Produccion'!A128</f>
        <v>1J00</v>
      </c>
      <c r="B128" s="81" t="s">
        <v>245</v>
      </c>
      <c r="D128" s="86">
        <f>D108</f>
        <v>59828637.61628902</v>
      </c>
      <c r="E128" s="86">
        <f>E108</f>
        <v>61938096.957085773</v>
      </c>
      <c r="F128" s="86"/>
      <c r="G128" s="86">
        <f>G108</f>
        <v>61938096.951980434</v>
      </c>
      <c r="H128" s="86">
        <f>H108</f>
        <v>97354183</v>
      </c>
      <c r="I128" s="71">
        <f t="shared" si="117"/>
        <v>-35416086.048019566</v>
      </c>
      <c r="K128" s="85">
        <f>K108</f>
        <v>61926352.551980369</v>
      </c>
      <c r="L128" s="85">
        <f>L108</f>
        <v>98157960</v>
      </c>
      <c r="M128" s="71">
        <f t="shared" si="118"/>
        <v>-36231607.448019631</v>
      </c>
      <c r="O128" s="85">
        <f>O108</f>
        <v>11744.40000006929</v>
      </c>
      <c r="P128" s="85">
        <f>+P108</f>
        <v>-803777</v>
      </c>
      <c r="Q128" s="85">
        <f t="shared" si="119"/>
        <v>815521.40000006557</v>
      </c>
    </row>
    <row r="129" spans="1:17" ht="15" customHeight="1" x14ac:dyDescent="0.25">
      <c r="A129" s="14" t="str">
        <f>A113</f>
        <v>1K00</v>
      </c>
      <c r="B129" s="81" t="s">
        <v>249</v>
      </c>
      <c r="D129" s="86">
        <f>D113</f>
        <v>380000000.0073449</v>
      </c>
      <c r="E129" s="86">
        <f>E113</f>
        <v>380000000.0073449</v>
      </c>
      <c r="F129" s="86"/>
      <c r="G129" s="86">
        <f>G113</f>
        <v>380000000.0073449</v>
      </c>
      <c r="H129" s="86">
        <f>H113</f>
        <v>380000000.0073449</v>
      </c>
      <c r="I129" s="71">
        <f t="shared" si="117"/>
        <v>0</v>
      </c>
      <c r="K129" s="86">
        <f>K113</f>
        <v>380000000.0073449</v>
      </c>
      <c r="L129" s="86">
        <f>L113</f>
        <v>380000000.0073449</v>
      </c>
      <c r="M129" s="71">
        <f t="shared" si="118"/>
        <v>0</v>
      </c>
      <c r="O129" s="86">
        <f>O113</f>
        <v>0</v>
      </c>
      <c r="P129" s="86">
        <f>P113</f>
        <v>0</v>
      </c>
      <c r="Q129" s="85">
        <f>I129-M129</f>
        <v>0</v>
      </c>
    </row>
    <row r="130" spans="1:17" s="125" customFormat="1" hidden="1" x14ac:dyDescent="0.25">
      <c r="O130" s="230"/>
    </row>
    <row r="131" spans="1:17" s="125" customFormat="1" x14ac:dyDescent="0.25">
      <c r="A131" s="125" t="s">
        <v>2435</v>
      </c>
      <c r="D131" s="231"/>
      <c r="E131" s="231"/>
      <c r="F131" s="127"/>
      <c r="G131" s="232"/>
      <c r="H131" s="232"/>
      <c r="I131" s="234"/>
      <c r="J131" s="127"/>
      <c r="K131" s="232"/>
      <c r="L131" s="232"/>
      <c r="M131" s="232"/>
      <c r="N131" s="127"/>
      <c r="O131" s="137"/>
      <c r="P131" s="137"/>
      <c r="Q131" s="220"/>
    </row>
    <row r="132" spans="1:17" s="125" customFormat="1" x14ac:dyDescent="0.25">
      <c r="D132" s="259"/>
      <c r="E132" s="327"/>
      <c r="F132" s="127"/>
      <c r="G132" s="232"/>
      <c r="H132" s="232"/>
      <c r="I132" s="137"/>
      <c r="J132" s="137"/>
      <c r="K132" s="137"/>
      <c r="L132" s="137"/>
      <c r="M132" s="137"/>
      <c r="N132" s="127"/>
      <c r="O132" s="137"/>
      <c r="P132" s="137"/>
      <c r="Q132" s="224"/>
    </row>
    <row r="133" spans="1:17" x14ac:dyDescent="0.25">
      <c r="D133" s="259"/>
      <c r="E133" s="220"/>
      <c r="G133" s="234"/>
      <c r="H133" s="137"/>
      <c r="I133" s="137"/>
      <c r="J133" s="137"/>
      <c r="K133" s="137"/>
      <c r="L133" s="137"/>
      <c r="M133" s="137"/>
      <c r="P133" s="257"/>
      <c r="Q133" s="137"/>
    </row>
    <row r="134" spans="1:17" x14ac:dyDescent="0.25">
      <c r="D134" s="220"/>
      <c r="E134" s="241"/>
      <c r="G134" s="234"/>
      <c r="H134" s="137"/>
      <c r="I134" s="137"/>
      <c r="J134" s="137"/>
      <c r="K134" s="137"/>
      <c r="L134" s="137"/>
      <c r="M134" s="137"/>
      <c r="O134" s="240"/>
      <c r="P134" s="258"/>
      <c r="Q134" s="137"/>
    </row>
    <row r="135" spans="1:17" x14ac:dyDescent="0.25">
      <c r="E135" s="224"/>
      <c r="G135" s="137"/>
      <c r="H135" s="137"/>
      <c r="I135" s="137"/>
      <c r="J135" s="137"/>
      <c r="K135" s="137"/>
      <c r="L135" s="137"/>
      <c r="M135" s="137"/>
      <c r="O135" s="236"/>
      <c r="P135" s="258"/>
      <c r="Q135" s="137"/>
    </row>
    <row r="136" spans="1:17" x14ac:dyDescent="0.25">
      <c r="E136" s="224"/>
      <c r="G136" s="137"/>
      <c r="H136" s="137"/>
      <c r="I136" s="137"/>
      <c r="J136" s="137"/>
      <c r="K136" s="137"/>
      <c r="L136" s="137"/>
      <c r="M136" s="137"/>
      <c r="O136" s="236"/>
      <c r="P136" s="243"/>
      <c r="Q136" s="137"/>
    </row>
    <row r="137" spans="1:17" x14ac:dyDescent="0.25">
      <c r="E137" s="220"/>
      <c r="G137" s="137"/>
      <c r="H137" s="137"/>
      <c r="I137" s="137"/>
      <c r="J137" s="137"/>
      <c r="K137" s="137"/>
      <c r="L137" s="137" t="s">
        <v>2433</v>
      </c>
      <c r="M137" s="137"/>
      <c r="O137" s="224"/>
      <c r="P137" s="137"/>
    </row>
    <row r="138" spans="1:17" x14ac:dyDescent="0.25">
      <c r="E138" s="220"/>
      <c r="G138" s="237"/>
      <c r="H138" s="238"/>
      <c r="O138" s="224"/>
      <c r="P138" s="137"/>
    </row>
    <row r="139" spans="1:17" x14ac:dyDescent="0.25">
      <c r="G139" s="237"/>
      <c r="H139" s="238"/>
      <c r="P139" s="137"/>
    </row>
    <row r="140" spans="1:17" x14ac:dyDescent="0.25">
      <c r="G140" s="237"/>
      <c r="H140" s="238"/>
      <c r="I140" s="238"/>
      <c r="P140" s="137"/>
    </row>
    <row r="141" spans="1:17" x14ac:dyDescent="0.25">
      <c r="G141" s="237"/>
      <c r="H141" s="238"/>
      <c r="I141" s="238"/>
      <c r="O141" s="137"/>
      <c r="P141" s="137"/>
    </row>
    <row r="142" spans="1:17" x14ac:dyDescent="0.25">
      <c r="G142" s="237"/>
      <c r="H142" s="239"/>
      <c r="I142" s="238"/>
    </row>
    <row r="143" spans="1:17" x14ac:dyDescent="0.25">
      <c r="I143" s="238"/>
      <c r="P143" s="137"/>
    </row>
    <row r="144" spans="1:17" x14ac:dyDescent="0.25">
      <c r="I144" s="238"/>
    </row>
  </sheetData>
  <sheetProtection selectLockedCells="1" autoFilter="0" selectUnlockedCells="1"/>
  <mergeCells count="8">
    <mergeCell ref="B1:D1"/>
    <mergeCell ref="O1:Q1"/>
    <mergeCell ref="G2:M2"/>
    <mergeCell ref="O2:P2"/>
    <mergeCell ref="G4:I4"/>
    <mergeCell ref="K4:M4"/>
    <mergeCell ref="O4:Q4"/>
    <mergeCell ref="G1:M1"/>
  </mergeCells>
  <pageMargins left="0.70866141732283472" right="0.70866141732283472" top="0.74803149606299213" bottom="0.74803149606299213" header="0.31496062992125984" footer="0.31496062992125984"/>
  <pageSetup scale="39" fitToHeight="0" orientation="landscape" r:id="rId1"/>
  <rowBreaks count="2" manualBreakCount="2">
    <brk id="56" max="16383" man="1"/>
    <brk id="11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Q132"/>
  <sheetViews>
    <sheetView zoomScaleNormal="100" workbookViewId="0">
      <pane xSplit="5" ySplit="5" topLeftCell="F112" activePane="bottomRight" state="frozenSplit"/>
      <selection activeCell="R21" sqref="R21"/>
      <selection pane="topRight" activeCell="R21" sqref="R21"/>
      <selection pane="bottomLeft" activeCell="R21" sqref="R21"/>
      <selection pane="bottomRight" activeCell="K132" sqref="K132"/>
    </sheetView>
  </sheetViews>
  <sheetFormatPr baseColWidth="10" defaultColWidth="11.42578125" defaultRowHeight="15" outlineLevelCol="1" x14ac:dyDescent="0.25"/>
  <cols>
    <col min="1" max="1" width="6.28515625" style="14" customWidth="1"/>
    <col min="2" max="2" width="43.7109375" style="14" customWidth="1"/>
    <col min="3" max="3" width="1.42578125" style="14" customWidth="1"/>
    <col min="4" max="5" width="15.7109375" style="14" customWidth="1"/>
    <col min="6" max="6" width="1.42578125" style="14" customWidth="1" outlineLevel="1"/>
    <col min="7" max="9" width="15.7109375" style="14" customWidth="1" outlineLevel="1"/>
    <col min="10" max="10" width="1.42578125" style="14" customWidth="1" outlineLevel="1"/>
    <col min="11" max="12" width="15.7109375" style="14" customWidth="1" outlineLevel="1"/>
    <col min="13" max="13" width="20.85546875" style="14" customWidth="1" outlineLevel="1"/>
    <col min="14" max="14" width="1.42578125" style="14" customWidth="1" outlineLevel="1"/>
    <col min="15" max="17" width="15.7109375" style="14" customWidth="1"/>
    <col min="18" max="16384" width="11.42578125" style="14"/>
  </cols>
  <sheetData>
    <row r="1" spans="1:17" ht="49.5" customHeight="1" x14ac:dyDescent="0.25">
      <c r="B1" s="344"/>
      <c r="C1" s="344"/>
      <c r="D1" s="344"/>
      <c r="E1" s="100"/>
      <c r="G1" s="343" t="s">
        <v>265</v>
      </c>
      <c r="H1" s="343"/>
      <c r="I1" s="343"/>
      <c r="J1" s="343"/>
      <c r="K1" s="343"/>
      <c r="L1" s="343"/>
      <c r="M1" s="343"/>
      <c r="O1" s="344" t="str">
        <f>'Matriz de Produccion'!O1:Q1</f>
        <v>CC: EIMI00398
ARAUCO</v>
      </c>
      <c r="P1" s="344"/>
      <c r="Q1" s="344"/>
    </row>
    <row r="2" spans="1:17" ht="20.25" customHeight="1" x14ac:dyDescent="0.3">
      <c r="B2" s="64" t="str">
        <f>Indice!C4</f>
        <v>INFORME DE COSTOS N° 01</v>
      </c>
      <c r="G2" s="345" t="str">
        <f>'Matriz de Produccion'!G2:M2</f>
        <v>Periodo : enero 2026</v>
      </c>
      <c r="H2" s="345"/>
      <c r="I2" s="345"/>
      <c r="J2" s="345"/>
      <c r="K2" s="345"/>
      <c r="L2" s="345"/>
      <c r="M2" s="345"/>
      <c r="O2" s="346" t="s">
        <v>266</v>
      </c>
      <c r="P2" s="346"/>
      <c r="Q2" s="64" t="s">
        <v>171</v>
      </c>
    </row>
    <row r="3" spans="1:17" ht="8.25" customHeight="1" x14ac:dyDescent="0.25">
      <c r="G3" s="44"/>
      <c r="H3" s="44"/>
      <c r="I3" s="44"/>
      <c r="K3" s="44"/>
      <c r="L3" s="44"/>
      <c r="M3" s="44"/>
    </row>
    <row r="4" spans="1:17" x14ac:dyDescent="0.25">
      <c r="B4" s="80" t="s">
        <v>86</v>
      </c>
      <c r="D4" s="80" t="s">
        <v>86</v>
      </c>
      <c r="E4" s="80" t="s">
        <v>86</v>
      </c>
      <c r="G4" s="340" t="s">
        <v>178</v>
      </c>
      <c r="H4" s="341"/>
      <c r="I4" s="342"/>
      <c r="K4" s="378" t="s">
        <v>267</v>
      </c>
      <c r="L4" s="341"/>
      <c r="M4" s="342"/>
      <c r="O4" s="380" t="s">
        <v>268</v>
      </c>
      <c r="P4" s="341"/>
      <c r="Q4" s="342"/>
    </row>
    <row r="5" spans="1:17" s="92" customFormat="1" ht="36.75" customHeight="1" x14ac:dyDescent="0.25">
      <c r="B5" s="93" t="s">
        <v>175</v>
      </c>
      <c r="D5" s="93" t="s">
        <v>176</v>
      </c>
      <c r="E5" s="93" t="s">
        <v>177</v>
      </c>
      <c r="G5" s="94" t="s">
        <v>269</v>
      </c>
      <c r="H5" s="94" t="s">
        <v>268</v>
      </c>
      <c r="I5" s="94" t="s">
        <v>262</v>
      </c>
      <c r="K5" s="96" t="s">
        <v>270</v>
      </c>
      <c r="L5" s="96" t="s">
        <v>268</v>
      </c>
      <c r="M5" s="96" t="s">
        <v>271</v>
      </c>
      <c r="O5" s="94" t="s">
        <v>262</v>
      </c>
      <c r="P5" s="96" t="s">
        <v>271</v>
      </c>
      <c r="Q5" s="93" t="s">
        <v>272</v>
      </c>
    </row>
    <row r="6" spans="1:17" ht="8.25" customHeight="1" x14ac:dyDescent="0.25"/>
    <row r="7" spans="1:17" ht="15" customHeight="1" x14ac:dyDescent="0.25">
      <c r="B7" s="8" t="str">
        <f>'Matriz de Produccion'!B7:B7</f>
        <v>COSTOS DIRECTOS</v>
      </c>
      <c r="D7" s="1">
        <f>SUM(D119:D123)</f>
        <v>3017729863.2570324</v>
      </c>
      <c r="E7" s="1">
        <f>SUM(E119:E123)</f>
        <v>3658673350.3445153</v>
      </c>
      <c r="G7" s="12">
        <f>SUM(G119:G123)</f>
        <v>3658673350.3445148</v>
      </c>
      <c r="H7" s="12">
        <f>SUM(H119:H123)</f>
        <v>4.8056244850158691E-7</v>
      </c>
      <c r="I7" s="12">
        <f>SUM(I119:I123)</f>
        <v>3658673350.3445153</v>
      </c>
      <c r="K7" s="11">
        <f>SUM(K119:K123)</f>
        <v>3446607816.6871262</v>
      </c>
      <c r="L7" s="11">
        <f>SUM(L119:L123)</f>
        <v>0</v>
      </c>
      <c r="M7" s="11">
        <f>SUM(M119:M123)</f>
        <v>3446607816.6871262</v>
      </c>
      <c r="O7" s="12">
        <f>SUM(O119:O123)</f>
        <v>3658673350.3445153</v>
      </c>
      <c r="P7" s="11">
        <f>SUM(P119:P123)</f>
        <v>3446607816.6871262</v>
      </c>
      <c r="Q7" s="225">
        <f>SUM(Q119:Q123)</f>
        <v>212065533.65738949</v>
      </c>
    </row>
    <row r="8" spans="1:17" ht="8.25" customHeight="1" x14ac:dyDescent="0.25">
      <c r="Q8" s="226"/>
    </row>
    <row r="9" spans="1:17" ht="15" customHeight="1" x14ac:dyDescent="0.25">
      <c r="A9" s="14" t="str">
        <f>'Matriz de Produccion'!A9</f>
        <v>0A00</v>
      </c>
      <c r="B9" s="81" t="str">
        <f>'Matriz de Produccion'!B9:B9</f>
        <v>A - MANO DE OBRA DIRECTA</v>
      </c>
      <c r="D9" s="82">
        <f>SUM(D10:D17)</f>
        <v>989503980.44566989</v>
      </c>
      <c r="E9" s="82">
        <f>SUM(E10:E17)</f>
        <v>1239884575.233088</v>
      </c>
      <c r="G9" s="83">
        <f>SUM(G10:G17)</f>
        <v>1239884575.2330875</v>
      </c>
      <c r="H9" s="83">
        <f>SUM(H10:H17)</f>
        <v>4.76837158203125E-7</v>
      </c>
      <c r="I9" s="83">
        <f>SUM(I10:I17)</f>
        <v>1239884575.233088</v>
      </c>
      <c r="K9" s="84">
        <f>SUM(K10:K17)</f>
        <v>1021487689</v>
      </c>
      <c r="L9" s="84">
        <f>SUM(L10:L17)</f>
        <v>0</v>
      </c>
      <c r="M9" s="84">
        <f>SUM(M10:M17)</f>
        <v>1021487689</v>
      </c>
      <c r="O9" s="12">
        <f>SUM(O10:O17)</f>
        <v>1239884575.233088</v>
      </c>
      <c r="P9" s="11">
        <f>SUM(P10:P17)</f>
        <v>1021487689</v>
      </c>
      <c r="Q9" s="225">
        <f>SUM(Q10:Q17)</f>
        <v>218396886.23308808</v>
      </c>
    </row>
    <row r="10" spans="1:17" ht="15" customHeight="1" x14ac:dyDescent="0.25">
      <c r="A10" s="14" t="str">
        <f>'Matriz de Produccion'!A10</f>
        <v>0A01</v>
      </c>
      <c r="B10" s="6" t="s">
        <v>186</v>
      </c>
      <c r="D10" s="3">
        <f>SUMIF(CATEGORIAS[[#All],[SUBGRUPO]],A10,CATEGORIAS[[#All],[PRESUPUESTO
(ORIGINAL)]])</f>
        <v>249347566.42085752</v>
      </c>
      <c r="E10" s="3">
        <f>+SUMIF(CATEGORIAS[[#All],[SUBGRUPO]],A10,CATEGORIAS[[#All],[PRODUCCION
PARTIDAS
ORIGINALES
ACTUAL]])
+SUMIF(CATEGORIAS[[#All],[SUBGRUPO]],A10,CATEGORIAS[[#All],[PRODUCCION
ADICIONALES
ACTUAL]])
+SUMIF(CATEGORIAS[[#All],[SUBGRUPO]],A10,CATEGORIAS[[#All],[PROYECCION
DE INGRESO
DEL SALDO]])</f>
        <v>198803332.67654666</v>
      </c>
      <c r="G10" s="71">
        <f>+SUMIF(CATEGORIAS[[#All],[SUBGRUPO]],A10,CATEGORIAS[[#All],[PRODUCCION
PARTIDAS
ORIGINALES
ACTUAL]])
+SUMIF(CATEGORIAS[[#All],[SUBGRUPO]],A10,CATEGORIAS[[#All],[PRODUCCION
ADICIONALES
ACTUAL]])</f>
        <v>198803332.67654666</v>
      </c>
      <c r="H10" s="71">
        <f>+SUMIF(CATEGORIAS[[#All],[SUBGRUPO]],A10,CATEGORIAS[[#All],[PROYECCION
DE INGRESO
DEL SALDO]])</f>
        <v>0</v>
      </c>
      <c r="I10" s="71">
        <f t="shared" ref="I10:I16" si="0">G10+H10</f>
        <v>198803332.67654666</v>
      </c>
      <c r="K10" s="71">
        <f>+SUMIF(CATEGORIAS[[#All],[SUBGRUPO]],A10,CATEGORIAS[[#All],[COSTO
ACUMULADO  AX]])
+SUMIF(CATEGORIAS[[#All],[SUBGRUPO]],A10,CATEGORIAS[[#All],[CAMBIO DE
CATEGORIA]])
+SUMIF(CATEGORIAS[[#All],[SUBGRUPO]],A10,CATEGORIAS[[#All],[PROVISIONES]])</f>
        <v>226422941</v>
      </c>
      <c r="L10" s="71">
        <f>+SUMIF(CATEGORIAS[[#All],[SUBGRUPO]],A10,CATEGORIAS[[#All],[PROYECCION
TOTAL DE COSTO]])</f>
        <v>0</v>
      </c>
      <c r="M10" s="71">
        <f t="shared" ref="M10:M16" si="1">K10+L10</f>
        <v>226422941</v>
      </c>
      <c r="O10" s="71">
        <f t="shared" ref="O10:O16" si="2">I10</f>
        <v>198803332.67654666</v>
      </c>
      <c r="P10" s="71">
        <f>M10</f>
        <v>226422941</v>
      </c>
      <c r="Q10" s="227">
        <f t="shared" ref="Q10:Q16" si="3">O10-P10</f>
        <v>-27619608.323453337</v>
      </c>
    </row>
    <row r="11" spans="1:17" ht="15" customHeight="1" x14ac:dyDescent="0.25">
      <c r="A11" s="14" t="str">
        <f>'Matriz de Produccion'!A11</f>
        <v>0A02</v>
      </c>
      <c r="B11" s="6" t="str">
        <f>VLOOKUP(A11,'Analisis por Categorias'!B:C,2,FALSE)</f>
        <v>Estructura</v>
      </c>
      <c r="D11" s="3">
        <f>SUMIF(CATEGORIAS[[#All],[SUBGRUPO]],A11,CATEGORIAS[[#All],[PRESUPUESTO
(ORIGINAL)]])</f>
        <v>9107425.3160245083</v>
      </c>
      <c r="E11" s="3">
        <f>+SUMIF(CATEGORIAS[[#All],[SUBGRUPO]],A11,CATEGORIAS[[#All],[PRODUCCION
PARTIDAS
ORIGINALES
ACTUAL]])
+SUMIF(CATEGORIAS[[#All],[SUBGRUPO]],A11,CATEGORIAS[[#All],[PRODUCCION
ADICIONALES
ACTUAL]])
+SUMIF(CATEGORIAS[[#All],[SUBGRUPO]],A11,CATEGORIAS[[#All],[PROYECCION
DE INGRESO
DEL SALDO]])</f>
        <v>6205931.11177509</v>
      </c>
      <c r="G11" s="71">
        <f>+SUMIF(CATEGORIAS[[#All],[SUBGRUPO]],A11,CATEGORIAS[[#All],[PRODUCCION
PARTIDAS
ORIGINALES
ACTUAL]])
+SUMIF(CATEGORIAS[[#All],[SUBGRUPO]],A11,CATEGORIAS[[#All],[PRODUCCION
ADICIONALES
ACTUAL]])</f>
        <v>6205931.11177509</v>
      </c>
      <c r="H11" s="71">
        <f>+SUMIF(CATEGORIAS[[#All],[SUBGRUPO]],A11,CATEGORIAS[[#All],[PROYECCION
DE INGRESO
DEL SALDO]])</f>
        <v>0</v>
      </c>
      <c r="I11" s="71">
        <f t="shared" si="0"/>
        <v>6205931.11177509</v>
      </c>
      <c r="K11" s="71">
        <f>+SUMIF(CATEGORIAS[[#All],[SUBGRUPO]],A11,CATEGORIAS[[#All],[COSTO
ACUMULADO  AX]])
+SUMIF(CATEGORIAS[[#All],[SUBGRUPO]],A11,CATEGORIAS[[#All],[CAMBIO DE
CATEGORIA]])
+SUMIF(CATEGORIAS[[#All],[SUBGRUPO]],A11,CATEGORIAS[[#All],[PROVISIONES]])</f>
        <v>0</v>
      </c>
      <c r="L11" s="71">
        <f>+SUMIF(CATEGORIAS[[#All],[SUBGRUPO]],A11,CATEGORIAS[[#All],[PROYECCION
TOTAL DE COSTO]])</f>
        <v>0</v>
      </c>
      <c r="M11" s="85">
        <f t="shared" si="1"/>
        <v>0</v>
      </c>
      <c r="O11" s="85">
        <f t="shared" si="2"/>
        <v>6205931.11177509</v>
      </c>
      <c r="P11" s="85">
        <f t="shared" ref="P11:P16" si="4">M11</f>
        <v>0</v>
      </c>
      <c r="Q11" s="228">
        <f t="shared" si="3"/>
        <v>6205931.11177509</v>
      </c>
    </row>
    <row r="12" spans="1:17" ht="15" customHeight="1" x14ac:dyDescent="0.25">
      <c r="A12" s="14" t="str">
        <f>'Matriz de Produccion'!A12</f>
        <v>0A03</v>
      </c>
      <c r="B12" s="6" t="s">
        <v>396</v>
      </c>
      <c r="D12" s="3">
        <f>SUMIF(CATEGORIAS[[#All],[SUBGRUPO]],A12,CATEGORIAS[[#All],[PRESUPUESTO
(ORIGINAL)]])</f>
        <v>648232300.96841526</v>
      </c>
      <c r="E12" s="3">
        <f>+SUMIF(CATEGORIAS[[#All],[SUBGRUPO]],A12,CATEGORIAS[[#All],[PRODUCCION
PARTIDAS
ORIGINALES
ACTUAL]])
+SUMIF(CATEGORIAS[[#All],[SUBGRUPO]],A12,CATEGORIAS[[#All],[PRODUCCION
ADICIONALES
ACTUAL]])
+SUMIF(CATEGORIAS[[#All],[SUBGRUPO]],A12,CATEGORIAS[[#All],[PROYECCION
DE INGRESO
DEL SALDO]])</f>
        <v>841801119.14748919</v>
      </c>
      <c r="G12" s="71">
        <f>+SUMIF(CATEGORIAS[[#All],[SUBGRUPO]],A12,CATEGORIAS[[#All],[PRODUCCION
PARTIDAS
ORIGINALES
ACTUAL]])
+SUMIF(CATEGORIAS[[#All],[SUBGRUPO]],A12,CATEGORIAS[[#All],[PRODUCCION
ADICIONALES
ACTUAL]])</f>
        <v>841801119.14748871</v>
      </c>
      <c r="H12" s="71">
        <f>+SUMIF(CATEGORIAS[[#All],[SUBGRUPO]],A12,CATEGORIAS[[#All],[PROYECCION
DE INGRESO
DEL SALDO]])</f>
        <v>4.76837158203125E-7</v>
      </c>
      <c r="I12" s="71">
        <f t="shared" si="0"/>
        <v>841801119.14748919</v>
      </c>
      <c r="K12" s="71">
        <f>+SUMIF(CATEGORIAS[[#All],[SUBGRUPO]],A12,CATEGORIAS[[#All],[COSTO
ACUMULADO  AX]])
+SUMIF(CATEGORIAS[[#All],[SUBGRUPO]],A12,CATEGORIAS[[#All],[CAMBIO DE
CATEGORIA]])
+SUMIF(CATEGORIAS[[#All],[SUBGRUPO]],A12,CATEGORIAS[[#All],[PROVISIONES]])</f>
        <v>586461235</v>
      </c>
      <c r="L12" s="71">
        <f>+SUMIF(CATEGORIAS[[#All],[SUBGRUPO]],A12,CATEGORIAS[[#All],[PROYECCION
TOTAL DE COSTO]])</f>
        <v>0</v>
      </c>
      <c r="M12" s="85">
        <f t="shared" si="1"/>
        <v>586461235</v>
      </c>
      <c r="O12" s="85">
        <f t="shared" si="2"/>
        <v>841801119.14748919</v>
      </c>
      <c r="P12" s="85">
        <f t="shared" si="4"/>
        <v>586461235</v>
      </c>
      <c r="Q12" s="228">
        <f t="shared" si="3"/>
        <v>255339884.14748919</v>
      </c>
    </row>
    <row r="13" spans="1:17" ht="15" customHeight="1" x14ac:dyDescent="0.25">
      <c r="A13" s="14" t="str">
        <f>'Matriz de Produccion'!A13</f>
        <v>0A04</v>
      </c>
      <c r="B13" s="6" t="s">
        <v>190</v>
      </c>
      <c r="D13" s="3">
        <f>SUMIF(CATEGORIAS[[#All],[SUBGRUPO]],A13,CATEGORIAS[[#All],[PRESUPUESTO
(ORIGINAL)]])</f>
        <v>37872374.345846228</v>
      </c>
      <c r="E13" s="3">
        <f>+SUMIF(CATEGORIAS[[#All],[SUBGRUPO]],A13,CATEGORIAS[[#All],[PRODUCCION
PARTIDAS
ORIGINALES
ACTUAL]])
+SUMIF(CATEGORIAS[[#All],[SUBGRUPO]],A13,CATEGORIAS[[#All],[PRODUCCION
ADICIONALES
ACTUAL]])
+SUMIF(CATEGORIAS[[#All],[SUBGRUPO]],A13,CATEGORIAS[[#All],[PROYECCION
DE INGRESO
DEL SALDO]])</f>
        <v>18825990.20282159</v>
      </c>
      <c r="G13" s="71">
        <f>+SUMIF(CATEGORIAS[[#All],[SUBGRUPO]],A13,CATEGORIAS[[#All],[PRODUCCION
PARTIDAS
ORIGINALES
ACTUAL]])
+SUMIF(CATEGORIAS[[#All],[SUBGRUPO]],A13,CATEGORIAS[[#All],[PRODUCCION
ADICIONALES
ACTUAL]])</f>
        <v>18825990.20282159</v>
      </c>
      <c r="H13" s="71">
        <f>+SUMIF(CATEGORIAS[[#All],[SUBGRUPO]],A13,CATEGORIAS[[#All],[PROYECCION
DE INGRESO
DEL SALDO]])</f>
        <v>0</v>
      </c>
      <c r="I13" s="71">
        <f t="shared" si="0"/>
        <v>18825990.20282159</v>
      </c>
      <c r="K13" s="71">
        <f>+SUMIF(CATEGORIAS[[#All],[SUBGRUPO]],A13,CATEGORIAS[[#All],[COSTO
ACUMULADO  AX]])
+SUMIF(CATEGORIAS[[#All],[SUBGRUPO]],A13,CATEGORIAS[[#All],[CAMBIO DE
CATEGORIA]])
+SUMIF(CATEGORIAS[[#All],[SUBGRUPO]],A13,CATEGORIAS[[#All],[PROVISIONES]])</f>
        <v>0</v>
      </c>
      <c r="L13" s="71">
        <f>+SUMIF(CATEGORIAS[[#All],[SUBGRUPO]],A13,CATEGORIAS[[#All],[PROYECCION
TOTAL DE COSTO]])</f>
        <v>0</v>
      </c>
      <c r="M13" s="71">
        <f t="shared" si="1"/>
        <v>0</v>
      </c>
      <c r="O13" s="71">
        <f t="shared" si="2"/>
        <v>18825990.20282159</v>
      </c>
      <c r="P13" s="71">
        <f t="shared" si="4"/>
        <v>0</v>
      </c>
      <c r="Q13" s="227">
        <f t="shared" si="3"/>
        <v>18825990.20282159</v>
      </c>
    </row>
    <row r="14" spans="1:17" ht="15" customHeight="1" x14ac:dyDescent="0.25">
      <c r="A14" s="14" t="str">
        <f>'Matriz de Produccion'!A14</f>
        <v>0A05</v>
      </c>
      <c r="B14" s="6" t="s">
        <v>192</v>
      </c>
      <c r="D14" s="3">
        <f>SUMIF(CATEGORIAS[[#All],[SUBGRUPO]],A14,CATEGORIAS[[#All],[PRESUPUESTO
(ORIGINAL)]])</f>
        <v>4909779.3548685564</v>
      </c>
      <c r="E14" s="3">
        <f>+SUMIF(CATEGORIAS[[#All],[SUBGRUPO]],A14,CATEGORIAS[[#All],[PRODUCCION
PARTIDAS
ORIGINALES
ACTUAL]])
+SUMIF(CATEGORIAS[[#All],[SUBGRUPO]],A14,CATEGORIAS[[#All],[PRODUCCION
ADICIONALES
ACTUAL]])
+SUMIF(CATEGORIAS[[#All],[SUBGRUPO]],A14,CATEGORIAS[[#All],[PROYECCION
DE INGRESO
DEL SALDO]])</f>
        <v>119615192.39635754</v>
      </c>
      <c r="G14" s="71">
        <f>+SUMIF(CATEGORIAS[[#All],[SUBGRUPO]],A14,CATEGORIAS[[#All],[PRODUCCION
PARTIDAS
ORIGINALES
ACTUAL]])
+SUMIF(CATEGORIAS[[#All],[SUBGRUPO]],A14,CATEGORIAS[[#All],[PRODUCCION
ADICIONALES
ACTUAL]])</f>
        <v>119615192.39635754</v>
      </c>
      <c r="H14" s="71">
        <f>+SUMIF(CATEGORIAS[[#All],[SUBGRUPO]],A14,CATEGORIAS[[#All],[PROYECCION
DE INGRESO
DEL SALDO]])</f>
        <v>0</v>
      </c>
      <c r="I14" s="71">
        <f t="shared" si="0"/>
        <v>119615192.39635754</v>
      </c>
      <c r="K14" s="71">
        <f>+SUMIF(CATEGORIAS[[#All],[SUBGRUPO]],A14,CATEGORIAS[[#All],[COSTO
ACUMULADO  AX]])
+SUMIF(CATEGORIAS[[#All],[SUBGRUPO]],A14,CATEGORIAS[[#All],[CAMBIO DE
CATEGORIA]])
+SUMIF(CATEGORIAS[[#All],[SUBGRUPO]],A14,CATEGORIAS[[#All],[PROVISIONES]])</f>
        <v>41920101</v>
      </c>
      <c r="L14" s="71">
        <f>+SUMIF(CATEGORIAS[[#All],[SUBGRUPO]],A14,CATEGORIAS[[#All],[PROYECCION
TOTAL DE COSTO]])</f>
        <v>0</v>
      </c>
      <c r="M14" s="85">
        <f t="shared" si="1"/>
        <v>41920101</v>
      </c>
      <c r="O14" s="85">
        <f t="shared" si="2"/>
        <v>119615192.39635754</v>
      </c>
      <c r="P14" s="85">
        <f t="shared" si="4"/>
        <v>41920101</v>
      </c>
      <c r="Q14" s="228">
        <f t="shared" si="3"/>
        <v>77695091.396357536</v>
      </c>
    </row>
    <row r="15" spans="1:17" ht="15" hidden="1" customHeight="1" x14ac:dyDescent="0.25">
      <c r="A15" s="14" t="str">
        <f>'Matriz de Produccion'!A15</f>
        <v>0A06</v>
      </c>
      <c r="B15" s="6" t="e">
        <f>VLOOKUP(A15,'Analisis por Categorias'!B:C,2,FALSE)</f>
        <v>#N/A</v>
      </c>
      <c r="D15" s="3">
        <f>SUMIF(CATEGORIAS[[#All],[SUBGRUPO]],A15,CATEGORIAS[[#All],[PRESUPUESTO
(ORIGINAL)]])</f>
        <v>0</v>
      </c>
      <c r="E15" s="3">
        <f>+SUMIF(CATEGORIAS[[#All],[SUBGRUPO]],A15,CATEGORIAS[[#All],[PRODUCCION
PARTIDAS
ORIGINALES
ACTUAL]])
+SUMIF(CATEGORIAS[[#All],[SUBGRUPO]],A15,CATEGORIAS[[#All],[PRODUCCION
ADICIONALES
ACTUAL]])
+SUMIF(CATEGORIAS[[#All],[SUBGRUPO]],A15,CATEGORIAS[[#All],[PROYECCION
DE INGRESO
DEL SALDO]])</f>
        <v>0</v>
      </c>
      <c r="G15" s="71">
        <f>+SUMIF(CATEGORIAS[[#All],[SUBGRUPO]],A15,CATEGORIAS[[#All],[PRODUCCION
PARTIDAS
ORIGINALES
ACTUAL]])
+SUMIF(CATEGORIAS[[#All],[SUBGRUPO]],A15,CATEGORIAS[[#All],[PRODUCCION
ADICIONALES
ACTUAL]])</f>
        <v>0</v>
      </c>
      <c r="H15" s="71">
        <f>+SUMIF(CATEGORIAS[[#All],[SUBGRUPO]],A15,CATEGORIAS[[#All],[PROYECCION
DE INGRESO
DEL SALDO]])</f>
        <v>0</v>
      </c>
      <c r="I15" s="71">
        <f t="shared" ref="I15" si="5">G15+H15</f>
        <v>0</v>
      </c>
      <c r="K15" s="71">
        <f>+SUMIF(CATEGORIAS[[#All],[SUBGRUPO]],A15,CATEGORIAS[[#All],[COSTO
ACUMULADO  AX]])
+SUMIF(CATEGORIAS[[#All],[SUBGRUPO]],A15,CATEGORIAS[[#All],[CAMBIO DE
CATEGORIA]])
+SUMIF(CATEGORIAS[[#All],[SUBGRUPO]],A15,CATEGORIAS[[#All],[PROVISIONES]])</f>
        <v>0</v>
      </c>
      <c r="L15" s="71">
        <f>+SUMIF(CATEGORIAS[[#All],[SUBGRUPO]],A15,CATEGORIAS[[#All],[PROYECCION
TOTAL DE COSTO]])</f>
        <v>0</v>
      </c>
      <c r="M15" s="71">
        <f t="shared" ref="M15" si="6">K15+L15</f>
        <v>0</v>
      </c>
      <c r="O15" s="71">
        <f t="shared" ref="O15" si="7">I15</f>
        <v>0</v>
      </c>
      <c r="P15" s="71">
        <f t="shared" ref="P15" si="8">M15</f>
        <v>0</v>
      </c>
      <c r="Q15" s="227">
        <f t="shared" ref="Q15" si="9">O15-P15</f>
        <v>0</v>
      </c>
    </row>
    <row r="16" spans="1:17" ht="15" hidden="1" customHeight="1" x14ac:dyDescent="0.25">
      <c r="A16" s="14" t="str">
        <f>'Matriz de Produccion'!A16</f>
        <v>0A07</v>
      </c>
      <c r="B16" s="6" t="e">
        <f>VLOOKUP(A16,'Analisis por Categorias'!B:C,2,FALSE)</f>
        <v>#N/A</v>
      </c>
      <c r="D16" s="3">
        <f>SUMIF(CATEGORIAS[[#All],[SUBGRUPO]],A16,CATEGORIAS[[#All],[PRESUPUESTO
(ORIGINAL)]])</f>
        <v>0</v>
      </c>
      <c r="E16" s="3">
        <f>+SUMIF(CATEGORIAS[[#All],[SUBGRUPO]],A16,CATEGORIAS[[#All],[PRODUCCION
PARTIDAS
ORIGINALES
ACTUAL]])
+SUMIF(CATEGORIAS[[#All],[SUBGRUPO]],A16,CATEGORIAS[[#All],[PRODUCCION
ADICIONALES
ACTUAL]])
+SUMIF(CATEGORIAS[[#All],[SUBGRUPO]],A16,CATEGORIAS[[#All],[PROYECCION
DE INGRESO
DEL SALDO]])</f>
        <v>0</v>
      </c>
      <c r="G16" s="71">
        <f>+SUMIF(CATEGORIAS[[#All],[SUBGRUPO]],A16,CATEGORIAS[[#All],[PRODUCCION
PARTIDAS
ORIGINALES
ACTUAL]])
+SUMIF(CATEGORIAS[[#All],[SUBGRUPO]],A16,CATEGORIAS[[#All],[PRODUCCION
ADICIONALES
ACTUAL]])</f>
        <v>0</v>
      </c>
      <c r="H16" s="71">
        <f>+SUMIF(CATEGORIAS[[#All],[SUBGRUPO]],A16,CATEGORIAS[[#All],[PROYECCION
DE INGRESO
DEL SALDO]])</f>
        <v>0</v>
      </c>
      <c r="I16" s="71">
        <f t="shared" si="0"/>
        <v>0</v>
      </c>
      <c r="K16" s="71">
        <f>+SUMIF(CATEGORIAS[[#All],[SUBGRUPO]],A16,CATEGORIAS[[#All],[COSTO
ACUMULADO  AX]])
+SUMIF(CATEGORIAS[[#All],[SUBGRUPO]],A16,CATEGORIAS[[#All],[CAMBIO DE
CATEGORIA]])
+SUMIF(CATEGORIAS[[#All],[SUBGRUPO]],A16,CATEGORIAS[[#All],[PROVISIONES]])</f>
        <v>0</v>
      </c>
      <c r="L16" s="71">
        <f>+SUMIF(CATEGORIAS[[#All],[SUBGRUPO]],A16,CATEGORIAS[[#All],[PROYECCION
TOTAL DE COSTO]])</f>
        <v>0</v>
      </c>
      <c r="M16" s="71">
        <f t="shared" si="1"/>
        <v>0</v>
      </c>
      <c r="O16" s="71">
        <f t="shared" si="2"/>
        <v>0</v>
      </c>
      <c r="P16" s="71">
        <f t="shared" si="4"/>
        <v>0</v>
      </c>
      <c r="Q16" s="227">
        <f t="shared" si="3"/>
        <v>0</v>
      </c>
    </row>
    <row r="17" spans="1:17" ht="15" customHeight="1" x14ac:dyDescent="0.25">
      <c r="A17" s="14" t="str">
        <f>'Matriz de Produccion'!A17</f>
        <v>0A08</v>
      </c>
      <c r="B17" s="6" t="str">
        <f>VLOOKUP(A17,'Analisis por Categorias'!B:C,2,FALSE)</f>
        <v>Andamios</v>
      </c>
      <c r="D17" s="3">
        <f>SUMIF(CATEGORIAS[[#All],[SUBGRUPO]],A17,CATEGORIAS[[#All],[PRESUPUESTO
(ORIGINAL)]])</f>
        <v>40034534.039657995</v>
      </c>
      <c r="E17" s="3">
        <f>+SUMIF(CATEGORIAS[[#All],[SUBGRUPO]],A17,CATEGORIAS[[#All],[PRODUCCION
PARTIDAS
ORIGINALES
ACTUAL]])
+SUMIF(CATEGORIAS[[#All],[SUBGRUPO]],A17,CATEGORIAS[[#All],[PRODUCCION
ADICIONALES
ACTUAL]])
+SUMIF(CATEGORIAS[[#All],[SUBGRUPO]],A17,CATEGORIAS[[#All],[PROYECCION
DE INGRESO
DEL SALDO]])</f>
        <v>54633009.698097989</v>
      </c>
      <c r="G17" s="71">
        <f>+SUMIF(CATEGORIAS[[#All],[SUBGRUPO]],A17,CATEGORIAS[[#All],[PRODUCCION
PARTIDAS
ORIGINALES
ACTUAL]])
+SUMIF(CATEGORIAS[[#All],[SUBGRUPO]],A17,CATEGORIAS[[#All],[PRODUCCION
ADICIONALES
ACTUAL]])</f>
        <v>54633009.698097989</v>
      </c>
      <c r="H17" s="71">
        <f>+SUMIF(CATEGORIAS[[#All],[SUBGRUPO]],A17,CATEGORIAS[[#All],[PROYECCION
DE INGRESO
DEL SALDO]])</f>
        <v>0</v>
      </c>
      <c r="I17" s="71">
        <f t="shared" ref="I17" si="10">G17+H17</f>
        <v>54633009.698097989</v>
      </c>
      <c r="K17" s="71">
        <f>+SUMIF(CATEGORIAS[[#All],[SUBGRUPO]],A17,CATEGORIAS[[#All],[COSTO
ACUMULADO  AX]])
+SUMIF(CATEGORIAS[[#All],[SUBGRUPO]],A17,CATEGORIAS[[#All],[CAMBIO DE
CATEGORIA]])
+SUMIF(CATEGORIAS[[#All],[SUBGRUPO]],A17,CATEGORIAS[[#All],[PROVISIONES]])</f>
        <v>166683412</v>
      </c>
      <c r="L17" s="71">
        <f>+SUMIF(CATEGORIAS[[#All],[SUBGRUPO]],A17,CATEGORIAS[[#All],[PROYECCION
TOTAL DE COSTO]])</f>
        <v>0</v>
      </c>
      <c r="M17" s="71">
        <f t="shared" ref="M17" si="11">K17+L17</f>
        <v>166683412</v>
      </c>
      <c r="O17" s="71">
        <f t="shared" ref="O17" si="12">I17</f>
        <v>54633009.698097989</v>
      </c>
      <c r="P17" s="71">
        <f t="shared" ref="P17" si="13">M17</f>
        <v>166683412</v>
      </c>
      <c r="Q17" s="227">
        <f t="shared" ref="Q17" si="14">O17-P17</f>
        <v>-112050402.30190201</v>
      </c>
    </row>
    <row r="18" spans="1:17" ht="8.25" customHeight="1" x14ac:dyDescent="0.25">
      <c r="Q18" s="226"/>
    </row>
    <row r="19" spans="1:17" ht="15" customHeight="1" x14ac:dyDescent="0.25">
      <c r="A19" s="14" t="str">
        <f>'Matriz de Produccion'!A19</f>
        <v>0B00</v>
      </c>
      <c r="B19" s="81" t="str">
        <f>'Matriz de Produccion'!B19:B19</f>
        <v>B - MATERIALES</v>
      </c>
      <c r="D19" s="82">
        <f>SUM(D20:D28)</f>
        <v>654136807.94229996</v>
      </c>
      <c r="E19" s="82">
        <f>SUM(E20:E28)</f>
        <v>679183187.46936965</v>
      </c>
      <c r="G19" s="83">
        <f>SUM(G20:G28)</f>
        <v>679183187.46936965</v>
      </c>
      <c r="H19" s="83">
        <f>SUM(H20:H28)</f>
        <v>0</v>
      </c>
      <c r="I19" s="83">
        <f>SUM(I20:I28)</f>
        <v>679183187.46936965</v>
      </c>
      <c r="K19" s="84">
        <f>SUM(K20:K28)</f>
        <v>891155239</v>
      </c>
      <c r="L19" s="84">
        <f>SUM(L20:L28)</f>
        <v>0</v>
      </c>
      <c r="M19" s="84">
        <f>SUM(M20:M28)</f>
        <v>891155239</v>
      </c>
      <c r="O19" s="12">
        <f>SUM(O20:O28)</f>
        <v>679183187.46936965</v>
      </c>
      <c r="P19" s="11">
        <f>SUM(P20:P28)</f>
        <v>891155239</v>
      </c>
      <c r="Q19" s="225">
        <f>SUM(Q20:Q28)</f>
        <v>-211972051.53063032</v>
      </c>
    </row>
    <row r="20" spans="1:17" ht="15" customHeight="1" x14ac:dyDescent="0.25">
      <c r="A20" s="14" t="str">
        <f>'Matriz de Produccion'!A20</f>
        <v>0B01</v>
      </c>
      <c r="B20" s="6" t="str">
        <f>VLOOKUP(A20,'Analisis por Categorias'!B:C,2,FALSE)</f>
        <v>Civil</v>
      </c>
      <c r="D20" s="3">
        <f>SUMIF(CATEGORIAS[[#All],[SUBGRUPO]],A20,CATEGORIAS[[#All],[PRESUPUESTO
(ORIGINAL)]])</f>
        <v>504953712.21710002</v>
      </c>
      <c r="E20" s="3">
        <f>+SUMIF(CATEGORIAS[[#All],[SUBGRUPO]],A20,CATEGORIAS[[#All],[PRODUCCION
PARTIDAS
ORIGINALES
ACTUAL]])
+SUMIF(CATEGORIAS[[#All],[SUBGRUPO]],A20,CATEGORIAS[[#All],[PRODUCCION
ADICIONALES
ACTUAL]])
+SUMIF(CATEGORIAS[[#All],[SUBGRUPO]],A20,CATEGORIAS[[#All],[PROYECCION
DE INGRESO
DEL SALDO]])</f>
        <v>452452831.12783277</v>
      </c>
      <c r="G20" s="71">
        <f>+SUMIF(CATEGORIAS[[#All],[SUBGRUPO]],A20,CATEGORIAS[[#All],[PRODUCCION
PARTIDAS
ORIGINALES
ACTUAL]])
+SUMIF(CATEGORIAS[[#All],[SUBGRUPO]],A20,CATEGORIAS[[#All],[PRODUCCION
ADICIONALES
ACTUAL]])</f>
        <v>452452831.12783277</v>
      </c>
      <c r="H20" s="71">
        <f>+SUMIF(CATEGORIAS[[#All],[SUBGRUPO]],A20,CATEGORIAS[[#All],[PROYECCION
DE INGRESO
DEL SALDO]])</f>
        <v>0</v>
      </c>
      <c r="I20" s="71">
        <f>G20+H20</f>
        <v>452452831.12783277</v>
      </c>
      <c r="K20" s="71">
        <f>+SUMIF(CATEGORIAS[[#All],[SUBGRUPO]],A20,CATEGORIAS[[#All],[COSTO
ACUMULADO  AX]])
+SUMIF(CATEGORIAS[[#All],[SUBGRUPO]],A20,CATEGORIAS[[#All],[CAMBIO DE
CATEGORIA]])
+SUMIF(CATEGORIAS[[#All],[SUBGRUPO]],A20,CATEGORIAS[[#All],[PROVISIONES]])</f>
        <v>548455838</v>
      </c>
      <c r="L20" s="71">
        <f>+SUMIF(CATEGORIAS[[#All],[SUBGRUPO]],A20,CATEGORIAS[[#All],[PROYECCION
TOTAL DE COSTO]])</f>
        <v>0</v>
      </c>
      <c r="M20" s="71">
        <f>K20+L20</f>
        <v>548455838</v>
      </c>
      <c r="O20" s="71">
        <f>I20</f>
        <v>452452831.12783277</v>
      </c>
      <c r="P20" s="71">
        <f>M20</f>
        <v>548455838</v>
      </c>
      <c r="Q20" s="227">
        <f>O20-P20</f>
        <v>-96003006.87216723</v>
      </c>
    </row>
    <row r="21" spans="1:17" ht="15" hidden="1" customHeight="1" x14ac:dyDescent="0.25">
      <c r="A21" s="14" t="str">
        <f>'Matriz de Produccion'!A21</f>
        <v>0B02</v>
      </c>
      <c r="B21" s="6" t="e">
        <f>VLOOKUP(A21,'Analisis por Categorias'!B:C,2,FALSE)</f>
        <v>#N/A</v>
      </c>
      <c r="D21" s="3">
        <f>SUMIF(CATEGORIAS[[#All],[SUBGRUPO]],A21,CATEGORIAS[[#All],[PRESUPUESTO
(ORIGINAL)]])</f>
        <v>0</v>
      </c>
      <c r="E21" s="3">
        <f>+SUMIF(CATEGORIAS[[#All],[SUBGRUPO]],A21,CATEGORIAS[[#All],[PRODUCCION
PARTIDAS
ORIGINALES
ACTUAL]])
+SUMIF(CATEGORIAS[[#All],[SUBGRUPO]],A21,CATEGORIAS[[#All],[PRODUCCION
ADICIONALES
ACTUAL]])
+SUMIF(CATEGORIAS[[#All],[SUBGRUPO]],A21,CATEGORIAS[[#All],[PROYECCION
DE INGRESO
DEL SALDO]])</f>
        <v>0</v>
      </c>
      <c r="G21" s="71">
        <f>+SUMIF(CATEGORIAS[[#All],[SUBGRUPO]],A21,CATEGORIAS[[#All],[PRODUCCION
PARTIDAS
ORIGINALES
ACTUAL]])
+SUMIF(CATEGORIAS[[#All],[SUBGRUPO]],A21,CATEGORIAS[[#All],[PRODUCCION
ADICIONALES
ACTUAL]])</f>
        <v>0</v>
      </c>
      <c r="H21" s="71">
        <f>+SUMIF(CATEGORIAS[[#All],[SUBGRUPO]],A21,CATEGORIAS[[#All],[PROYECCION
DE INGRESO
DEL SALDO]])</f>
        <v>0</v>
      </c>
      <c r="I21" s="71">
        <f>G21+H21</f>
        <v>0</v>
      </c>
      <c r="K21" s="71">
        <f>+SUMIF(CATEGORIAS[[#All],[SUBGRUPO]],A21,CATEGORIAS[[#All],[COSTO
ACUMULADO  AX]])
+SUMIF(CATEGORIAS[[#All],[SUBGRUPO]],A21,CATEGORIAS[[#All],[CAMBIO DE
CATEGORIA]])
+SUMIF(CATEGORIAS[[#All],[SUBGRUPO]],A21,CATEGORIAS[[#All],[PROVISIONES]])</f>
        <v>0</v>
      </c>
      <c r="L21" s="71">
        <f>+SUMIF(CATEGORIAS[[#All],[SUBGRUPO]],A21,CATEGORIAS[[#All],[PROYECCION
TOTAL DE COSTO]])</f>
        <v>0</v>
      </c>
      <c r="M21" s="71">
        <f>K21+L21</f>
        <v>0</v>
      </c>
      <c r="O21" s="71">
        <f>I21</f>
        <v>0</v>
      </c>
      <c r="P21" s="71">
        <f>M21</f>
        <v>0</v>
      </c>
      <c r="Q21" s="227">
        <f>O21-P21</f>
        <v>0</v>
      </c>
    </row>
    <row r="22" spans="1:17" ht="15" hidden="1" customHeight="1" x14ac:dyDescent="0.25">
      <c r="A22" s="14" t="str">
        <f>'Matriz de Produccion'!A22</f>
        <v>0B03</v>
      </c>
      <c r="B22" s="6" t="e">
        <f>VLOOKUP(A22,'Analisis por Categorias'!B:C,2,FALSE)</f>
        <v>#N/A</v>
      </c>
      <c r="D22" s="3">
        <f>SUMIF(CATEGORIAS[[#All],[SUBGRUPO]],A22,CATEGORIAS[[#All],[PRESUPUESTO
(ORIGINAL)]])</f>
        <v>0</v>
      </c>
      <c r="E22" s="3">
        <f>+SUMIF(CATEGORIAS[[#All],[SUBGRUPO]],A22,CATEGORIAS[[#All],[PRODUCCION
PARTIDAS
ORIGINALES
ACTUAL]])
+SUMIF(CATEGORIAS[[#All],[SUBGRUPO]],A22,CATEGORIAS[[#All],[PRODUCCION
ADICIONALES
ACTUAL]])
+SUMIF(CATEGORIAS[[#All],[SUBGRUPO]],A22,CATEGORIAS[[#All],[PROYECCION
DE INGRESO
DEL SALDO]])</f>
        <v>0</v>
      </c>
      <c r="G22" s="71">
        <f>+SUMIF(CATEGORIAS[[#All],[SUBGRUPO]],A22,CATEGORIAS[[#All],[PRODUCCION
PARTIDAS
ORIGINALES
ACTUAL]])
+SUMIF(CATEGORIAS[[#All],[SUBGRUPO]],A22,CATEGORIAS[[#All],[PRODUCCION
ADICIONALES
ACTUAL]])</f>
        <v>0</v>
      </c>
      <c r="H22" s="71">
        <f>+SUMIF(CATEGORIAS[[#All],[SUBGRUPO]],A22,CATEGORIAS[[#All],[PROYECCION
DE INGRESO
DEL SALDO]])</f>
        <v>0</v>
      </c>
      <c r="I22" s="71">
        <f>G22+H22</f>
        <v>0</v>
      </c>
      <c r="K22" s="71">
        <f>+SUMIF(CATEGORIAS[[#All],[SUBGRUPO]],A22,CATEGORIAS[[#All],[COSTO
ACUMULADO  AX]])
+SUMIF(CATEGORIAS[[#All],[SUBGRUPO]],A22,CATEGORIAS[[#All],[CAMBIO DE
CATEGORIA]])
+SUMIF(CATEGORIAS[[#All],[SUBGRUPO]],A22,CATEGORIAS[[#All],[PROVISIONES]])</f>
        <v>0</v>
      </c>
      <c r="L22" s="71">
        <f>+SUMIF(CATEGORIAS[[#All],[SUBGRUPO]],A22,CATEGORIAS[[#All],[PROYECCION
TOTAL DE COSTO]])</f>
        <v>0</v>
      </c>
      <c r="M22" s="71">
        <f>K22+L22</f>
        <v>0</v>
      </c>
      <c r="O22" s="71">
        <f>I22</f>
        <v>0</v>
      </c>
      <c r="P22" s="71">
        <f>M22</f>
        <v>0</v>
      </c>
      <c r="Q22" s="227">
        <f>O22-P22</f>
        <v>0</v>
      </c>
    </row>
    <row r="23" spans="1:17" ht="15" customHeight="1" x14ac:dyDescent="0.25">
      <c r="A23" s="14" t="str">
        <f>'Matriz de Produccion'!A23</f>
        <v>0B04</v>
      </c>
      <c r="B23" s="6" t="str">
        <f>VLOOKUP(A23,'Analisis por Categorias'!B:C,2,FALSE)</f>
        <v>Mecánica</v>
      </c>
      <c r="D23" s="3">
        <f>SUMIF(CATEGORIAS[[#All],[SUBGRUPO]],A23,CATEGORIAS[[#All],[PRESUPUESTO
(ORIGINAL)]])</f>
        <v>144330783.15279999</v>
      </c>
      <c r="E23" s="3">
        <f>+SUMIF(CATEGORIAS[[#All],[SUBGRUPO]],A23,CATEGORIAS[[#All],[PRODUCCION
PARTIDAS
ORIGINALES
ACTUAL]])
+SUMIF(CATEGORIAS[[#All],[SUBGRUPO]],A23,CATEGORIAS[[#All],[PRODUCCION
ADICIONALES
ACTUAL]])
+SUMIF(CATEGORIAS[[#All],[SUBGRUPO]],A23,CATEGORIAS[[#All],[PROYECCION
DE INGRESO
DEL SALDO]])</f>
        <v>224694827.39911288</v>
      </c>
      <c r="G23" s="71">
        <f>+SUMIF(CATEGORIAS[[#All],[SUBGRUPO]],A23,CATEGORIAS[[#All],[PRODUCCION
PARTIDAS
ORIGINALES
ACTUAL]])
+SUMIF(CATEGORIAS[[#All],[SUBGRUPO]],A23,CATEGORIAS[[#All],[PRODUCCION
ADICIONALES
ACTUAL]])</f>
        <v>224694827.39911288</v>
      </c>
      <c r="H23" s="71">
        <f>+SUMIF(CATEGORIAS[[#All],[SUBGRUPO]],A23,CATEGORIAS[[#All],[PROYECCION
DE INGRESO
DEL SALDO]])</f>
        <v>0</v>
      </c>
      <c r="I23" s="71">
        <f>G23+H23</f>
        <v>224694827.39911288</v>
      </c>
      <c r="K23" s="71">
        <f>+SUMIF(CATEGORIAS[[#All],[SUBGRUPO]],A23,CATEGORIAS[[#All],[COSTO
ACUMULADO  AX]])
+SUMIF(CATEGORIAS[[#All],[SUBGRUPO]],A23,CATEGORIAS[[#All],[CAMBIO DE
CATEGORIA]])
+SUMIF(CATEGORIAS[[#All],[SUBGRUPO]],A23,CATEGORIAS[[#All],[PROVISIONES]])</f>
        <v>339509978</v>
      </c>
      <c r="L23" s="85">
        <f>+SUMIF(CATEGORIAS[[#All],[SUBGRUPO]],A23,CATEGORIAS[[#All],[PROYECCION
TOTAL DE COSTO]])</f>
        <v>0</v>
      </c>
      <c r="M23" s="71">
        <f>K23+L23</f>
        <v>339509978</v>
      </c>
      <c r="O23" s="71">
        <f>I23</f>
        <v>224694827.39911288</v>
      </c>
      <c r="P23" s="71">
        <f>M23</f>
        <v>339509978</v>
      </c>
      <c r="Q23" s="227">
        <f>O23-P23</f>
        <v>-114815150.60088712</v>
      </c>
    </row>
    <row r="24" spans="1:17" ht="15" customHeight="1" x14ac:dyDescent="0.25">
      <c r="A24" s="14" t="str">
        <f>'Matriz de Produccion'!A24</f>
        <v>0B05</v>
      </c>
      <c r="B24" s="6" t="str">
        <f>VLOOKUP(A24,'Analisis por Categorias'!B:C,2,FALSE)</f>
        <v>Cañería</v>
      </c>
      <c r="D24" s="3">
        <f>SUMIF(CATEGORIAS[[#All],[SUBGRUPO]],A24,CATEGORIAS[[#All],[PRESUPUESTO
(ORIGINAL)]])</f>
        <v>3653812.5723999999</v>
      </c>
      <c r="E24" s="3">
        <f>+SUMIF(CATEGORIAS[[#All],[SUBGRUPO]],A24,CATEGORIAS[[#All],[PRODUCCION
PARTIDAS
ORIGINALES
ACTUAL]])
+SUMIF(CATEGORIAS[[#All],[SUBGRUPO]],A24,CATEGORIAS[[#All],[PRODUCCION
ADICIONALES
ACTUAL]])
+SUMIF(CATEGORIAS[[#All],[SUBGRUPO]],A24,CATEGORIAS[[#All],[PROYECCION
DE INGRESO
DEL SALDO]])</f>
        <v>1069762.3046658658</v>
      </c>
      <c r="G24" s="71">
        <f>+SUMIF(CATEGORIAS[[#All],[SUBGRUPO]],A24,CATEGORIAS[[#All],[PRODUCCION
PARTIDAS
ORIGINALES
ACTUAL]])
+SUMIF(CATEGORIAS[[#All],[SUBGRUPO]],A24,CATEGORIAS[[#All],[PRODUCCION
ADICIONALES
ACTUAL]])</f>
        <v>1069762.3046658658</v>
      </c>
      <c r="H24" s="71">
        <f>+SUMIF(CATEGORIAS[[#All],[SUBGRUPO]],A24,CATEGORIAS[[#All],[PROYECCION
DE INGRESO
DEL SALDO]])</f>
        <v>0</v>
      </c>
      <c r="I24" s="71">
        <f>G24+H24</f>
        <v>1069762.3046658658</v>
      </c>
      <c r="K24" s="71">
        <f>+SUMIF(CATEGORIAS[[#All],[SUBGRUPO]],A24,CATEGORIAS[[#All],[COSTO
ACUMULADO  AX]])
+SUMIF(CATEGORIAS[[#All],[SUBGRUPO]],A24,CATEGORIAS[[#All],[CAMBIO DE
CATEGORIA]])
+SUMIF(CATEGORIAS[[#All],[SUBGRUPO]],A24,CATEGORIAS[[#All],[PROVISIONES]])</f>
        <v>0</v>
      </c>
      <c r="L24" s="71">
        <f>+SUMIF(CATEGORIAS[[#All],[SUBGRUPO]],A24,CATEGORIAS[[#All],[PROYECCION
TOTAL DE COSTO]])</f>
        <v>0</v>
      </c>
      <c r="M24" s="71">
        <f>K24+L24</f>
        <v>0</v>
      </c>
      <c r="O24" s="71">
        <f>I24</f>
        <v>1069762.3046658658</v>
      </c>
      <c r="P24" s="71">
        <f>M24</f>
        <v>0</v>
      </c>
      <c r="Q24" s="227">
        <f>O24-P24</f>
        <v>1069762.3046658658</v>
      </c>
    </row>
    <row r="25" spans="1:17" ht="15" customHeight="1" x14ac:dyDescent="0.25">
      <c r="A25" s="14" t="str">
        <f>'Matriz de Produccion'!A25</f>
        <v>0B06</v>
      </c>
      <c r="B25" s="6" t="str">
        <f>VLOOKUP(A25,'Analisis por Categorias'!B:C,2,FALSE)</f>
        <v>Electricidad</v>
      </c>
      <c r="D25" s="3">
        <f>SUMIF(CATEGORIAS[[#All],[SUBGRUPO]],A25,CATEGORIAS[[#All],[PRESUPUESTO
(ORIGINAL)]])</f>
        <v>1198500</v>
      </c>
      <c r="E25" s="3">
        <f>+SUMIF(CATEGORIAS[[#All],[SUBGRUPO]],A25,CATEGORIAS[[#All],[PRODUCCION
PARTIDAS
ORIGINALES
ACTUAL]])
+SUMIF(CATEGORIAS[[#All],[SUBGRUPO]],A25,CATEGORIAS[[#All],[PRODUCCION
ADICIONALES
ACTUAL]])
+SUMIF(CATEGORIAS[[#All],[SUBGRUPO]],A25,CATEGORIAS[[#All],[PROYECCION
DE INGRESO
DEL SALDO]])</f>
        <v>965766.6377581663</v>
      </c>
      <c r="G25" s="71">
        <f>+SUMIF(CATEGORIAS[[#All],[SUBGRUPO]],A25,CATEGORIAS[[#All],[PRODUCCION
PARTIDAS
ORIGINALES
ACTUAL]])
+SUMIF(CATEGORIAS[[#All],[SUBGRUPO]],A25,CATEGORIAS[[#All],[PRODUCCION
ADICIONALES
ACTUAL]])</f>
        <v>965766.6377581663</v>
      </c>
      <c r="H25" s="71">
        <f>+SUMIF(CATEGORIAS[[#All],[SUBGRUPO]],A25,CATEGORIAS[[#All],[PROYECCION
DE INGRESO
DEL SALDO]])</f>
        <v>0</v>
      </c>
      <c r="I25" s="71">
        <f t="shared" ref="I25:I26" si="15">G25+H25</f>
        <v>965766.6377581663</v>
      </c>
      <c r="K25" s="71">
        <f>+SUMIF(CATEGORIAS[[#All],[SUBGRUPO]],A25,CATEGORIAS[[#All],[COSTO
ACUMULADO  AX]])
+SUMIF(CATEGORIAS[[#All],[SUBGRUPO]],A25,CATEGORIAS[[#All],[CAMBIO DE
CATEGORIA]])
+SUMIF(CATEGORIAS[[#All],[SUBGRUPO]],A25,CATEGORIAS[[#All],[PROVISIONES]])</f>
        <v>3189423</v>
      </c>
      <c r="L25" s="71">
        <f>+SUMIF(CATEGORIAS[[#All],[SUBGRUPO]],A25,CATEGORIAS[[#All],[PROYECCION
TOTAL DE COSTO]])</f>
        <v>0</v>
      </c>
      <c r="M25" s="71">
        <f t="shared" ref="M25:M26" si="16">K25+L25</f>
        <v>3189423</v>
      </c>
      <c r="O25" s="71">
        <f t="shared" ref="O25:O26" si="17">I25</f>
        <v>965766.6377581663</v>
      </c>
      <c r="P25" s="71">
        <f t="shared" ref="P25:P26" si="18">M25</f>
        <v>3189423</v>
      </c>
      <c r="Q25" s="227">
        <f t="shared" ref="Q25:Q26" si="19">O25-P25</f>
        <v>-2223656.3622418335</v>
      </c>
    </row>
    <row r="26" spans="1:17" ht="15" hidden="1" customHeight="1" x14ac:dyDescent="0.25">
      <c r="A26" s="14" t="str">
        <f>'Matriz de Produccion'!A26</f>
        <v>0B07</v>
      </c>
      <c r="B26" s="6" t="e">
        <f>VLOOKUP(A26,'Analisis por Categorias'!B:C,2,FALSE)</f>
        <v>#N/A</v>
      </c>
      <c r="D26" s="3">
        <f>SUMIF(CATEGORIAS[[#All],[SUBGRUPO]],A26,CATEGORIAS[[#All],[PRESUPUESTO
(ORIGINAL)]])</f>
        <v>0</v>
      </c>
      <c r="E26" s="3">
        <f>+SUMIF(CATEGORIAS[[#All],[SUBGRUPO]],A26,CATEGORIAS[[#All],[PRODUCCION
PARTIDAS
ORIGINALES
ACTUAL]])
+SUMIF(CATEGORIAS[[#All],[SUBGRUPO]],A26,CATEGORIAS[[#All],[PRODUCCION
ADICIONALES
ACTUAL]])
+SUMIF(CATEGORIAS[[#All],[SUBGRUPO]],A26,CATEGORIAS[[#All],[PROYECCION
DE INGRESO
DEL SALDO]])</f>
        <v>0</v>
      </c>
      <c r="G26" s="71">
        <f>+SUMIF(CATEGORIAS[[#All],[SUBGRUPO]],A26,CATEGORIAS[[#All],[PRODUCCION
PARTIDAS
ORIGINALES
ACTUAL]])
+SUMIF(CATEGORIAS[[#All],[SUBGRUPO]],A26,CATEGORIAS[[#All],[PRODUCCION
ADICIONALES
ACTUAL]])</f>
        <v>0</v>
      </c>
      <c r="H26" s="71">
        <f>+SUMIF(CATEGORIAS[[#All],[SUBGRUPO]],A26,CATEGORIAS[[#All],[PROYECCION
DE INGRESO
DEL SALDO]])</f>
        <v>0</v>
      </c>
      <c r="I26" s="71">
        <f t="shared" si="15"/>
        <v>0</v>
      </c>
      <c r="K26" s="71">
        <f>+SUMIF(CATEGORIAS[[#All],[SUBGRUPO]],A26,CATEGORIAS[[#All],[COSTO
ACUMULADO  AX]])
+SUMIF(CATEGORIAS[[#All],[SUBGRUPO]],A26,CATEGORIAS[[#All],[CAMBIO DE
CATEGORIA]])
+SUMIF(CATEGORIAS[[#All],[SUBGRUPO]],A26,CATEGORIAS[[#All],[PROVISIONES]])</f>
        <v>0</v>
      </c>
      <c r="L26" s="71">
        <f>+SUMIF(CATEGORIAS[[#All],[SUBGRUPO]],A26,CATEGORIAS[[#All],[PROYECCION
TOTAL DE COSTO]])</f>
        <v>0</v>
      </c>
      <c r="M26" s="71">
        <f t="shared" si="16"/>
        <v>0</v>
      </c>
      <c r="O26" s="71">
        <f t="shared" si="17"/>
        <v>0</v>
      </c>
      <c r="P26" s="71">
        <f t="shared" si="18"/>
        <v>0</v>
      </c>
      <c r="Q26" s="227">
        <f t="shared" si="19"/>
        <v>0</v>
      </c>
    </row>
    <row r="27" spans="1:17" ht="15" hidden="1" customHeight="1" x14ac:dyDescent="0.25">
      <c r="A27" s="14" t="str">
        <f>'Matriz de Produccion'!A27</f>
        <v>0B08</v>
      </c>
      <c r="B27" s="6" t="e">
        <f>VLOOKUP(A27,'Analisis por Categorias'!B:C,2,FALSE)</f>
        <v>#N/A</v>
      </c>
      <c r="D27" s="3">
        <f>SUMIF(CATEGORIAS[[#All],[SUBGRUPO]],A27,CATEGORIAS[[#All],[PRESUPUESTO
(ORIGINAL)]])</f>
        <v>0</v>
      </c>
      <c r="E27" s="3">
        <f>+SUMIF(CATEGORIAS[[#All],[SUBGRUPO]],A27,CATEGORIAS[[#All],[PRODUCCION
PARTIDAS
ORIGINALES
ACTUAL]])
+SUMIF(CATEGORIAS[[#All],[SUBGRUPO]],A27,CATEGORIAS[[#All],[PRODUCCION
ADICIONALES
ACTUAL]])
+SUMIF(CATEGORIAS[[#All],[SUBGRUPO]],A27,CATEGORIAS[[#All],[PROYECCION
DE INGRESO
DEL SALDO]])</f>
        <v>0</v>
      </c>
      <c r="G27" s="71">
        <f>+SUMIF(CATEGORIAS[[#All],[SUBGRUPO]],A27,CATEGORIAS[[#All],[PRODUCCION
PARTIDAS
ORIGINALES
ACTUAL]])
+SUMIF(CATEGORIAS[[#All],[SUBGRUPO]],A27,CATEGORIAS[[#All],[PRODUCCION
ADICIONALES
ACTUAL]])</f>
        <v>0</v>
      </c>
      <c r="H27" s="71">
        <f>+SUMIF(CATEGORIAS[[#All],[SUBGRUPO]],A27,CATEGORIAS[[#All],[PROYECCION
DE INGRESO
DEL SALDO]])</f>
        <v>0</v>
      </c>
      <c r="I27" s="71">
        <f t="shared" ref="I27:I28" si="20">G27+H27</f>
        <v>0</v>
      </c>
      <c r="K27" s="71">
        <f>+SUMIF(CATEGORIAS[[#All],[SUBGRUPO]],A27,CATEGORIAS[[#All],[COSTO
ACUMULADO  AX]])
+SUMIF(CATEGORIAS[[#All],[SUBGRUPO]],A27,CATEGORIAS[[#All],[CAMBIO DE
CATEGORIA]])
+SUMIF(CATEGORIAS[[#All],[SUBGRUPO]],A27,CATEGORIAS[[#All],[PROVISIONES]])</f>
        <v>0</v>
      </c>
      <c r="L27" s="71">
        <f>+SUMIF(CATEGORIAS[[#All],[SUBGRUPO]],A27,CATEGORIAS[[#All],[PROYECCION
TOTAL DE COSTO]])</f>
        <v>0</v>
      </c>
      <c r="M27" s="71">
        <f t="shared" ref="M27:M28" si="21">K27+L27</f>
        <v>0</v>
      </c>
      <c r="O27" s="71">
        <f t="shared" ref="O27:O28" si="22">I27</f>
        <v>0</v>
      </c>
      <c r="P27" s="71">
        <f t="shared" ref="P27:P28" si="23">M27</f>
        <v>0</v>
      </c>
      <c r="Q27" s="227">
        <f t="shared" ref="Q27:Q28" si="24">O27-P27</f>
        <v>0</v>
      </c>
    </row>
    <row r="28" spans="1:17" ht="15" hidden="1" customHeight="1" x14ac:dyDescent="0.25">
      <c r="A28" s="14" t="str">
        <f>'Matriz de Produccion'!A28</f>
        <v>0B09</v>
      </c>
      <c r="B28" s="6" t="e">
        <f>VLOOKUP(A28,'Analisis por Categorias'!B:C,2,FALSE)</f>
        <v>#N/A</v>
      </c>
      <c r="D28" s="3">
        <f>SUMIF(CATEGORIAS[[#All],[SUBGRUPO]],A28,CATEGORIAS[[#All],[PRESUPUESTO
(ORIGINAL)]])</f>
        <v>0</v>
      </c>
      <c r="E28" s="3">
        <f>+SUMIF(CATEGORIAS[[#All],[SUBGRUPO]],A28,CATEGORIAS[[#All],[PRODUCCION
PARTIDAS
ORIGINALES
ACTUAL]])
+SUMIF(CATEGORIAS[[#All],[SUBGRUPO]],A28,CATEGORIAS[[#All],[PRODUCCION
ADICIONALES
ACTUAL]])
+SUMIF(CATEGORIAS[[#All],[SUBGRUPO]],A28,CATEGORIAS[[#All],[PROYECCION
DE INGRESO
DEL SALDO]])</f>
        <v>0</v>
      </c>
      <c r="G28" s="71">
        <f>+SUMIF(CATEGORIAS[[#All],[SUBGRUPO]],A28,CATEGORIAS[[#All],[PRODUCCION
PARTIDAS
ORIGINALES
ACTUAL]])
+SUMIF(CATEGORIAS[[#All],[SUBGRUPO]],A28,CATEGORIAS[[#All],[PRODUCCION
ADICIONALES
ACTUAL]])</f>
        <v>0</v>
      </c>
      <c r="H28" s="71">
        <f>+SUMIF(CATEGORIAS[[#All],[SUBGRUPO]],A28,CATEGORIAS[[#All],[PROYECCION
DE INGRESO
DEL SALDO]])</f>
        <v>0</v>
      </c>
      <c r="I28" s="71">
        <f t="shared" si="20"/>
        <v>0</v>
      </c>
      <c r="K28" s="71">
        <f>+SUMIF(CATEGORIAS[[#All],[SUBGRUPO]],A28,CATEGORIAS[[#All],[COSTO
ACUMULADO  AX]])
+SUMIF(CATEGORIAS[[#All],[SUBGRUPO]],A28,CATEGORIAS[[#All],[CAMBIO DE
CATEGORIA]])
+SUMIF(CATEGORIAS[[#All],[SUBGRUPO]],A28,CATEGORIAS[[#All],[PROVISIONES]])</f>
        <v>0</v>
      </c>
      <c r="L28" s="71">
        <f>+SUMIF(CATEGORIAS[[#All],[SUBGRUPO]],A28,CATEGORIAS[[#All],[PROYECCION
TOTAL DE COSTO]])</f>
        <v>0</v>
      </c>
      <c r="M28" s="71">
        <f t="shared" si="21"/>
        <v>0</v>
      </c>
      <c r="O28" s="71">
        <f t="shared" si="22"/>
        <v>0</v>
      </c>
      <c r="P28" s="71">
        <f t="shared" si="23"/>
        <v>0</v>
      </c>
      <c r="Q28" s="227">
        <f t="shared" si="24"/>
        <v>0</v>
      </c>
    </row>
    <row r="29" spans="1:17" ht="8.25" customHeight="1" x14ac:dyDescent="0.25">
      <c r="Q29" s="226"/>
    </row>
    <row r="30" spans="1:17" ht="15" customHeight="1" x14ac:dyDescent="0.25">
      <c r="A30" s="14" t="str">
        <f>'Matriz de Produccion'!A30</f>
        <v>0C00</v>
      </c>
      <c r="B30" s="81" t="str">
        <f>'Matriz de Produccion'!B30:B30</f>
        <v>C - COSTO PROPORCIONAL HH</v>
      </c>
      <c r="D30" s="82">
        <f>SUM(D31:D36)</f>
        <v>438661457.75153172</v>
      </c>
      <c r="E30" s="82">
        <f>SUM(E31:E36)</f>
        <v>495177817.53729898</v>
      </c>
      <c r="G30" s="83">
        <f>SUM(G31:G36)</f>
        <v>495177817.53729898</v>
      </c>
      <c r="H30" s="83">
        <f>SUM(H31:H36)</f>
        <v>0</v>
      </c>
      <c r="I30" s="83">
        <f>SUM(I31:I36)</f>
        <v>495177817.53729898</v>
      </c>
      <c r="K30" s="84">
        <f>SUM(K31:K36)</f>
        <v>627380767.99974489</v>
      </c>
      <c r="L30" s="84">
        <f>SUM(L31:L36)</f>
        <v>0</v>
      </c>
      <c r="M30" s="84">
        <f>SUM(M31:M36)</f>
        <v>627380767.99974489</v>
      </c>
      <c r="O30" s="12">
        <f>SUM(O31:O36)</f>
        <v>495177817.53729898</v>
      </c>
      <c r="P30" s="11">
        <f>SUM(P31:P36)</f>
        <v>627380767.99974489</v>
      </c>
      <c r="Q30" s="225">
        <f>SUM(Q31:Q36)</f>
        <v>-132202950.46244596</v>
      </c>
    </row>
    <row r="31" spans="1:17" ht="15" customHeight="1" x14ac:dyDescent="0.25">
      <c r="A31" s="14" t="str">
        <f>'Matriz de Produccion'!A31</f>
        <v>0C01</v>
      </c>
      <c r="B31" s="6" t="str">
        <f>VLOOKUP(A31,'Analisis por Categorias'!B:C,2,FALSE)</f>
        <v>Seguridad</v>
      </c>
      <c r="D31" s="3">
        <f>SUMIF(CATEGORIAS[[#All],[SUBGRUPO]],A31,CATEGORIAS[[#All],[PRESUPUESTO
(ORIGINAL)]])</f>
        <v>49460193.317142844</v>
      </c>
      <c r="E31" s="3">
        <f>+SUMIF(CATEGORIAS[[#All],[SUBGRUPO]],A31,CATEGORIAS[[#All],[PRODUCCION
PARTIDAS
ORIGINALES
ACTUAL]])
+SUMIF(CATEGORIAS[[#All],[SUBGRUPO]],A31,CATEGORIAS[[#All],[PRODUCCION
ADICIONALES
ACTUAL]])
+SUMIF(CATEGORIAS[[#All],[SUBGRUPO]],A31,CATEGORIAS[[#All],[PROYECCION
DE INGRESO
DEL SALDO]])</f>
        <v>58579091.682807788</v>
      </c>
      <c r="G31" s="71">
        <f>+SUMIF(CATEGORIAS[[#All],[SUBGRUPO]],A31,CATEGORIAS[[#All],[PRODUCCION
PARTIDAS
ORIGINALES
ACTUAL]])
+SUMIF(CATEGORIAS[[#All],[SUBGRUPO]],A31,CATEGORIAS[[#All],[PRODUCCION
ADICIONALES
ACTUAL]])</f>
        <v>58579091.682807788</v>
      </c>
      <c r="H31" s="71">
        <f>+SUMIF(CATEGORIAS[[#All],[SUBGRUPO]],A31,CATEGORIAS[[#All],[PROYECCION
DE INGRESO
DEL SALDO]])</f>
        <v>0</v>
      </c>
      <c r="I31" s="71">
        <f t="shared" ref="I31:I36" si="25">G31+H31</f>
        <v>58579091.682807788</v>
      </c>
      <c r="K31" s="71">
        <f>+SUMIF(CATEGORIAS[[#All],[SUBGRUPO]],A31,CATEGORIAS[[#All],[COSTO
ACUMULADO  AX]])
+SUMIF(CATEGORIAS[[#All],[SUBGRUPO]],A31,CATEGORIAS[[#All],[CAMBIO DE
CATEGORIA]])
+SUMIF(CATEGORIAS[[#All],[SUBGRUPO]],A31,CATEGORIAS[[#All],[PROVISIONES]])</f>
        <v>65116448</v>
      </c>
      <c r="L31" s="71">
        <f>+SUMIF(CATEGORIAS[[#All],[SUBGRUPO]],A31,CATEGORIAS[[#All],[PROYECCION
TOTAL DE COSTO]])</f>
        <v>0</v>
      </c>
      <c r="M31" s="71">
        <f t="shared" ref="M31:M36" si="26">K31+L31</f>
        <v>65116448</v>
      </c>
      <c r="O31" s="71">
        <f t="shared" ref="O31:O36" si="27">I31</f>
        <v>58579091.682807788</v>
      </c>
      <c r="P31" s="71">
        <f t="shared" ref="P31:P36" si="28">M31</f>
        <v>65116448</v>
      </c>
      <c r="Q31" s="227">
        <f t="shared" ref="Q31:Q36" si="29">O31-P31</f>
        <v>-6537356.3171922117</v>
      </c>
    </row>
    <row r="32" spans="1:17" ht="15" customHeight="1" x14ac:dyDescent="0.25">
      <c r="A32" s="14" t="str">
        <f>'Matriz de Produccion'!A32</f>
        <v>0C02</v>
      </c>
      <c r="B32" s="6" t="str">
        <f>VLOOKUP(A32,'Analisis por Categorias'!B:C,2,FALSE)</f>
        <v>Materiales de Consumo</v>
      </c>
      <c r="D32" s="3">
        <f>SUMIF(CATEGORIAS[[#All],[SUBGRUPO]],A32,CATEGORIAS[[#All],[PRESUPUESTO
(ORIGINAL)]])</f>
        <v>12103994.75785714</v>
      </c>
      <c r="E32" s="3">
        <f>+SUMIF(CATEGORIAS[[#All],[SUBGRUPO]],A32,CATEGORIAS[[#All],[PRODUCCION
PARTIDAS
ORIGINALES
ACTUAL]])
+SUMIF(CATEGORIAS[[#All],[SUBGRUPO]],A32,CATEGORIAS[[#All],[PRODUCCION
ADICIONALES
ACTUAL]])
+SUMIF(CATEGORIAS[[#All],[SUBGRUPO]],A32,CATEGORIAS[[#All],[PROYECCION
DE INGRESO
DEL SALDO]])</f>
        <v>13621052.235494256</v>
      </c>
      <c r="G32" s="71">
        <f>+SUMIF(CATEGORIAS[[#All],[SUBGRUPO]],A32,CATEGORIAS[[#All],[PRODUCCION
PARTIDAS
ORIGINALES
ACTUAL]])
+SUMIF(CATEGORIAS[[#All],[SUBGRUPO]],A32,CATEGORIAS[[#All],[PRODUCCION
ADICIONALES
ACTUAL]])</f>
        <v>13621052.235494256</v>
      </c>
      <c r="H32" s="71">
        <f>+SUMIF(CATEGORIAS[[#All],[SUBGRUPO]],A32,CATEGORIAS[[#All],[PROYECCION
DE INGRESO
DEL SALDO]])</f>
        <v>0</v>
      </c>
      <c r="I32" s="71">
        <f t="shared" si="25"/>
        <v>13621052.235494256</v>
      </c>
      <c r="K32" s="71">
        <f>+SUMIF(CATEGORIAS[[#All],[SUBGRUPO]],A32,CATEGORIAS[[#All],[COSTO
ACUMULADO  AX]])
+SUMIF(CATEGORIAS[[#All],[SUBGRUPO]],A32,CATEGORIAS[[#All],[CAMBIO DE
CATEGORIA]])
+SUMIF(CATEGORIAS[[#All],[SUBGRUPO]],A32,CATEGORIAS[[#All],[PROVISIONES]])</f>
        <v>19527807.213078432</v>
      </c>
      <c r="L32" s="85">
        <f>+SUMIF(CATEGORIAS[[#All],[SUBGRUPO]],A32,CATEGORIAS[[#All],[PROYECCION
TOTAL DE COSTO]])</f>
        <v>0</v>
      </c>
      <c r="M32" s="71">
        <f t="shared" si="26"/>
        <v>19527807.213078432</v>
      </c>
      <c r="O32" s="71">
        <f t="shared" si="27"/>
        <v>13621052.235494256</v>
      </c>
      <c r="P32" s="71">
        <f t="shared" si="28"/>
        <v>19527807.213078432</v>
      </c>
      <c r="Q32" s="227">
        <f t="shared" si="29"/>
        <v>-5906754.9775841758</v>
      </c>
    </row>
    <row r="33" spans="1:17" ht="15" customHeight="1" x14ac:dyDescent="0.25">
      <c r="A33" s="14" t="str">
        <f>'Matriz de Produccion'!A33</f>
        <v>0C03</v>
      </c>
      <c r="B33" s="6" t="str">
        <f>VLOOKUP(A33,'Analisis por Categorias'!B:C,2,FALSE)</f>
        <v>Herramienta Menor</v>
      </c>
      <c r="D33" s="3">
        <f>SUMIF(CATEGORIAS[[#All],[SUBGRUPO]],A33,CATEGORIAS[[#All],[PRESUPUESTO
(ORIGINAL)]])</f>
        <v>8347786.981428571</v>
      </c>
      <c r="E33" s="3">
        <f>+SUMIF(CATEGORIAS[[#All],[SUBGRUPO]],A33,CATEGORIAS[[#All],[PRODUCCION
PARTIDAS
ORIGINALES
ACTUAL]])
+SUMIF(CATEGORIAS[[#All],[SUBGRUPO]],A33,CATEGORIAS[[#All],[PRODUCCION
ADICIONALES
ACTUAL]])
+SUMIF(CATEGORIAS[[#All],[SUBGRUPO]],A33,CATEGORIAS[[#All],[PROYECCION
DE INGRESO
DEL SALDO]])</f>
        <v>18517102.573933292</v>
      </c>
      <c r="G33" s="71">
        <f>+SUMIF(CATEGORIAS[[#All],[SUBGRUPO]],A33,CATEGORIAS[[#All],[PRODUCCION
PARTIDAS
ORIGINALES
ACTUAL]])
+SUMIF(CATEGORIAS[[#All],[SUBGRUPO]],A33,CATEGORIAS[[#All],[PRODUCCION
ADICIONALES
ACTUAL]])</f>
        <v>18517102.573933292</v>
      </c>
      <c r="H33" s="71">
        <f>+SUMIF(CATEGORIAS[[#All],[SUBGRUPO]],A33,CATEGORIAS[[#All],[PROYECCION
DE INGRESO
DEL SALDO]])</f>
        <v>0</v>
      </c>
      <c r="I33" s="71">
        <f t="shared" ref="I33" si="30">G33+H33</f>
        <v>18517102.573933292</v>
      </c>
      <c r="K33" s="71">
        <f>+SUMIF(CATEGORIAS[[#All],[SUBGRUPO]],A33,CATEGORIAS[[#All],[COSTO
ACUMULADO  AX]])
+SUMIF(CATEGORIAS[[#All],[SUBGRUPO]],A33,CATEGORIAS[[#All],[CAMBIO DE
CATEGORIA]])
+SUMIF(CATEGORIAS[[#All],[SUBGRUPO]],A33,CATEGORIAS[[#All],[PROVISIONES]])</f>
        <v>76380238</v>
      </c>
      <c r="L33" s="85">
        <f>+SUMIF(CATEGORIAS[[#All],[SUBGRUPO]],A33,CATEGORIAS[[#All],[PROYECCION
TOTAL DE COSTO]])</f>
        <v>0</v>
      </c>
      <c r="M33" s="71">
        <f t="shared" ref="M33" si="31">K33+L33</f>
        <v>76380238</v>
      </c>
      <c r="O33" s="71">
        <f t="shared" ref="O33" si="32">I33</f>
        <v>18517102.573933292</v>
      </c>
      <c r="P33" s="71">
        <f t="shared" ref="P33" si="33">M33</f>
        <v>76380238</v>
      </c>
      <c r="Q33" s="227">
        <f t="shared" ref="Q33" si="34">O33-P33</f>
        <v>-57863135.426066712</v>
      </c>
    </row>
    <row r="34" spans="1:17" ht="15" customHeight="1" x14ac:dyDescent="0.25">
      <c r="A34" s="14" t="str">
        <f>'Matriz de Produccion'!A34</f>
        <v>0C04</v>
      </c>
      <c r="B34" s="6" t="str">
        <f>VLOOKUP(A34,'Analisis por Categorias'!B:C,2,FALSE)</f>
        <v>Movilización</v>
      </c>
      <c r="D34" s="3">
        <f>SUMIF(CATEGORIAS[[#All],[SUBGRUPO]],A34,CATEGORIAS[[#All],[PRESUPUESTO
(ORIGINAL)]])</f>
        <v>133254783.32614532</v>
      </c>
      <c r="E34" s="3">
        <f>+SUMIF(CATEGORIAS[[#All],[SUBGRUPO]],A34,CATEGORIAS[[#All],[PRODUCCION
PARTIDAS
ORIGINALES
ACTUAL]])
+SUMIF(CATEGORIAS[[#All],[SUBGRUPO]],A34,CATEGORIAS[[#All],[PRODUCCION
ADICIONALES
ACTUAL]])
+SUMIF(CATEGORIAS[[#All],[SUBGRUPO]],A34,CATEGORIAS[[#All],[PROYECCION
DE INGRESO
DEL SALDO]])</f>
        <v>138339029.77206415</v>
      </c>
      <c r="G34" s="71">
        <f>+SUMIF(CATEGORIAS[[#All],[SUBGRUPO]],A34,CATEGORIAS[[#All],[PRODUCCION
PARTIDAS
ORIGINALES
ACTUAL]])
+SUMIF(CATEGORIAS[[#All],[SUBGRUPO]],A34,CATEGORIAS[[#All],[PRODUCCION
ADICIONALES
ACTUAL]])</f>
        <v>138339029.77206415</v>
      </c>
      <c r="H34" s="71">
        <f>+SUMIF(CATEGORIAS[[#All],[SUBGRUPO]],A34,CATEGORIAS[[#All],[PROYECCION
DE INGRESO
DEL SALDO]])</f>
        <v>0</v>
      </c>
      <c r="I34" s="71">
        <f t="shared" si="25"/>
        <v>138339029.77206415</v>
      </c>
      <c r="K34" s="71">
        <f>+SUMIF(CATEGORIAS[[#All],[SUBGRUPO]],A34,CATEGORIAS[[#All],[COSTO
ACUMULADO  AX]])
+SUMIF(CATEGORIAS[[#All],[SUBGRUPO]],A34,CATEGORIAS[[#All],[CAMBIO DE
CATEGORIA]])
+SUMIF(CATEGORIAS[[#All],[SUBGRUPO]],A34,CATEGORIAS[[#All],[PROVISIONES]])</f>
        <v>199139273.3666665</v>
      </c>
      <c r="L34" s="71">
        <f>+SUMIF(CATEGORIAS[[#All],[SUBGRUPO]],A34,CATEGORIAS[[#All],[PROYECCION
TOTAL DE COSTO]])</f>
        <v>0</v>
      </c>
      <c r="M34" s="71">
        <f t="shared" si="26"/>
        <v>199139273.3666665</v>
      </c>
      <c r="O34" s="71">
        <f t="shared" si="27"/>
        <v>138339029.77206415</v>
      </c>
      <c r="P34" s="71">
        <f t="shared" si="28"/>
        <v>199139273.3666665</v>
      </c>
      <c r="Q34" s="227">
        <f t="shared" si="29"/>
        <v>-60800243.594602346</v>
      </c>
    </row>
    <row r="35" spans="1:17" ht="15" customHeight="1" x14ac:dyDescent="0.25">
      <c r="A35" s="14" t="str">
        <f>'Matriz de Produccion'!A35</f>
        <v>0C05</v>
      </c>
      <c r="B35" s="6" t="str">
        <f>VLOOKUP(A35,'Analisis por Categorias'!B:C,2,FALSE)</f>
        <v>Alimentación</v>
      </c>
      <c r="D35" s="3">
        <f>SUMIF(CATEGORIAS[[#All],[SUBGRUPO]],A35,CATEGORIAS[[#All],[PRESUPUESTO
(ORIGINAL)]])</f>
        <v>55445822.578890182</v>
      </c>
      <c r="E35" s="3">
        <f>+SUMIF(CATEGORIAS[[#All],[SUBGRUPO]],A35,CATEGORIAS[[#All],[PRODUCCION
PARTIDAS
ORIGINALES
ACTUAL]])
+SUMIF(CATEGORIAS[[#All],[SUBGRUPO]],A35,CATEGORIAS[[#All],[PRODUCCION
ADICIONALES
ACTUAL]])
+SUMIF(CATEGORIAS[[#All],[SUBGRUPO]],A35,CATEGORIAS[[#All],[PROYECCION
DE INGRESO
DEL SALDO]])</f>
        <v>63925819.282506973</v>
      </c>
      <c r="G35" s="71">
        <f>+SUMIF(CATEGORIAS[[#All],[SUBGRUPO]],A35,CATEGORIAS[[#All],[PRODUCCION
PARTIDAS
ORIGINALES
ACTUAL]])
+SUMIF(CATEGORIAS[[#All],[SUBGRUPO]],A35,CATEGORIAS[[#All],[PRODUCCION
ADICIONALES
ACTUAL]])</f>
        <v>63925819.282506973</v>
      </c>
      <c r="H35" s="71">
        <f>+SUMIF(CATEGORIAS[[#All],[SUBGRUPO]],A35,CATEGORIAS[[#All],[PROYECCION
DE INGRESO
DEL SALDO]])</f>
        <v>0</v>
      </c>
      <c r="I35" s="71">
        <f t="shared" ref="I35" si="35">G35+H35</f>
        <v>63925819.282506973</v>
      </c>
      <c r="K35" s="71">
        <f>+SUMIF(CATEGORIAS[[#All],[SUBGRUPO]],A35,CATEGORIAS[[#All],[COSTO
ACUMULADO  AX]])
+SUMIF(CATEGORIAS[[#All],[SUBGRUPO]],A35,CATEGORIAS[[#All],[CAMBIO DE
CATEGORIA]])
+SUMIF(CATEGORIAS[[#All],[SUBGRUPO]],A35,CATEGORIAS[[#All],[PROVISIONES]])</f>
        <v>55284127.420000002</v>
      </c>
      <c r="L35" s="71">
        <f>+SUMIF(CATEGORIAS[[#All],[SUBGRUPO]],A35,CATEGORIAS[[#All],[PROYECCION
TOTAL DE COSTO]])</f>
        <v>0</v>
      </c>
      <c r="M35" s="71">
        <f t="shared" ref="M35" si="36">K35+L35</f>
        <v>55284127.420000002</v>
      </c>
      <c r="O35" s="71">
        <f t="shared" ref="O35" si="37">I35</f>
        <v>63925819.282506973</v>
      </c>
      <c r="P35" s="71">
        <f t="shared" ref="P35" si="38">M35</f>
        <v>55284127.420000002</v>
      </c>
      <c r="Q35" s="227">
        <f t="shared" ref="Q35" si="39">O35-P35</f>
        <v>8641691.8625069708</v>
      </c>
    </row>
    <row r="36" spans="1:17" ht="15" customHeight="1" x14ac:dyDescent="0.25">
      <c r="A36" s="14" t="str">
        <f>'Matriz de Produccion'!A36</f>
        <v>0C06</v>
      </c>
      <c r="B36" s="6" t="str">
        <f>VLOOKUP(A36,'Analisis por Categorias'!B:C,2,FALSE)</f>
        <v>Hoteleria</v>
      </c>
      <c r="D36" s="3">
        <f>SUMIF(CATEGORIAS[[#All],[SUBGRUPO]],A36,CATEGORIAS[[#All],[PRESUPUESTO
(ORIGINAL)]])</f>
        <v>180048876.79006767</v>
      </c>
      <c r="E36" s="3">
        <f>+SUMIF(CATEGORIAS[[#All],[SUBGRUPO]],A36,CATEGORIAS[[#All],[PRODUCCION
PARTIDAS
ORIGINALES
ACTUAL]])
+SUMIF(CATEGORIAS[[#All],[SUBGRUPO]],A36,CATEGORIAS[[#All],[PRODUCCION
ADICIONALES
ACTUAL]])
+SUMIF(CATEGORIAS[[#All],[SUBGRUPO]],A36,CATEGORIAS[[#All],[PROYECCION
DE INGRESO
DEL SALDO]])</f>
        <v>202195721.99049252</v>
      </c>
      <c r="G36" s="71">
        <f>+SUMIF(CATEGORIAS[[#All],[SUBGRUPO]],A36,CATEGORIAS[[#All],[PRODUCCION
PARTIDAS
ORIGINALES
ACTUAL]])
+SUMIF(CATEGORIAS[[#All],[SUBGRUPO]],A36,CATEGORIAS[[#All],[PRODUCCION
ADICIONALES
ACTUAL]])</f>
        <v>202195721.99049252</v>
      </c>
      <c r="H36" s="71">
        <f>+SUMIF(CATEGORIAS[[#All],[SUBGRUPO]],A36,CATEGORIAS[[#All],[PROYECCION
DE INGRESO
DEL SALDO]])</f>
        <v>0</v>
      </c>
      <c r="I36" s="71">
        <f t="shared" si="25"/>
        <v>202195721.99049252</v>
      </c>
      <c r="K36" s="71">
        <f>+SUMIF(CATEGORIAS[[#All],[SUBGRUPO]],A36,CATEGORIAS[[#All],[COSTO
ACUMULADO  AX]])
+SUMIF(CATEGORIAS[[#All],[SUBGRUPO]],A36,CATEGORIAS[[#All],[CAMBIO DE
CATEGORIA]])
+SUMIF(CATEGORIAS[[#All],[SUBGRUPO]],A36,CATEGORIAS[[#All],[PROVISIONES]])</f>
        <v>211932874</v>
      </c>
      <c r="L36" s="71">
        <f>+SUMIF(CATEGORIAS[[#All],[SUBGRUPO]],A36,CATEGORIAS[[#All],[PROYECCION
TOTAL DE COSTO]])</f>
        <v>0</v>
      </c>
      <c r="M36" s="71">
        <f t="shared" si="26"/>
        <v>211932874</v>
      </c>
      <c r="O36" s="71">
        <f t="shared" si="27"/>
        <v>202195721.99049252</v>
      </c>
      <c r="P36" s="71">
        <f t="shared" si="28"/>
        <v>211932874</v>
      </c>
      <c r="Q36" s="227">
        <f t="shared" si="29"/>
        <v>-9737152.0095074773</v>
      </c>
    </row>
    <row r="37" spans="1:17" ht="8.25" customHeight="1" x14ac:dyDescent="0.25">
      <c r="Q37" s="226"/>
    </row>
    <row r="38" spans="1:17" ht="15" customHeight="1" x14ac:dyDescent="0.25">
      <c r="A38" s="14" t="str">
        <f>'Matriz de Produccion'!A38</f>
        <v>0D00</v>
      </c>
      <c r="B38" s="81" t="str">
        <f>'Matriz de Produccion'!B38:B38</f>
        <v>D - EQUIPOS Y COMBUSTIBLES</v>
      </c>
      <c r="D38" s="82">
        <f>SUM(D39:D47)</f>
        <v>825206144.46633112</v>
      </c>
      <c r="E38" s="82">
        <f>SUM(E39:E47)</f>
        <v>1005746952.9262139</v>
      </c>
      <c r="G38" s="83">
        <f>SUM(G39:G47)</f>
        <v>1005746952.9262139</v>
      </c>
      <c r="H38" s="83">
        <f>SUM(H39:H47)</f>
        <v>0</v>
      </c>
      <c r="I38" s="83">
        <f>SUM(I39:I47)</f>
        <v>1005746952.9262139</v>
      </c>
      <c r="K38" s="84">
        <f>SUM(K39:K47)</f>
        <v>718626203.34471464</v>
      </c>
      <c r="L38" s="84">
        <f>SUM(L39:L47)</f>
        <v>0</v>
      </c>
      <c r="M38" s="84">
        <f>SUM(M39:M47)</f>
        <v>718626203.34471464</v>
      </c>
      <c r="O38" s="12">
        <f>SUM(O39:O47)</f>
        <v>1005746952.9262139</v>
      </c>
      <c r="P38" s="11">
        <f>SUM(P39:P47)</f>
        <v>718626203.34471464</v>
      </c>
      <c r="Q38" s="225">
        <f>SUM(Q39:Q47)</f>
        <v>287120749.58149916</v>
      </c>
    </row>
    <row r="39" spans="1:17" ht="15" customHeight="1" x14ac:dyDescent="0.25">
      <c r="A39" s="14" t="str">
        <f>'Matriz de Produccion'!A39</f>
        <v>0D01</v>
      </c>
      <c r="B39" s="6" t="str">
        <f>VLOOKUP(A39,'Analisis por Categorias'!B:C,2,FALSE)</f>
        <v>Equipos Mayores</v>
      </c>
      <c r="D39" s="3">
        <f>SUMIF(CATEGORIAS[[#All],[SUBGRUPO]],A39,CATEGORIAS[[#All],[PRESUPUESTO
(ORIGINAL)]])</f>
        <v>311231352.43199998</v>
      </c>
      <c r="E39" s="3">
        <f>+SUMIF(CATEGORIAS[[#All],[SUBGRUPO]],A39,CATEGORIAS[[#All],[PRODUCCION
PARTIDAS
ORIGINALES
ACTUAL]])
+SUMIF(CATEGORIAS[[#All],[SUBGRUPO]],A39,CATEGORIAS[[#All],[PRODUCCION
ADICIONALES
ACTUAL]])
+SUMIF(CATEGORIAS[[#All],[SUBGRUPO]],A39,CATEGORIAS[[#All],[PROYECCION
DE INGRESO
DEL SALDO]])</f>
        <v>416776719.61365134</v>
      </c>
      <c r="G39" s="71">
        <f>+SUMIF(CATEGORIAS[[#All],[SUBGRUPO]],A39,CATEGORIAS[[#All],[PRODUCCION
PARTIDAS
ORIGINALES
ACTUAL]])
+SUMIF(CATEGORIAS[[#All],[SUBGRUPO]],A39,CATEGORIAS[[#All],[PRODUCCION
ADICIONALES
ACTUAL]])</f>
        <v>416776719.61365134</v>
      </c>
      <c r="H39" s="71">
        <f>+SUMIF(CATEGORIAS[[#All],[SUBGRUPO]],A39,CATEGORIAS[[#All],[PROYECCION
DE INGRESO
DEL SALDO]])</f>
        <v>0</v>
      </c>
      <c r="I39" s="71">
        <f t="shared" ref="I39:I44" si="40">G39+H39</f>
        <v>416776719.61365134</v>
      </c>
      <c r="K39" s="71">
        <f>+SUMIF(CATEGORIAS[[#All],[SUBGRUPO]],A39,CATEGORIAS[[#All],[COSTO
ACUMULADO  AX]])
+SUMIF(CATEGORIAS[[#All],[SUBGRUPO]],A39,CATEGORIAS[[#All],[CAMBIO DE
CATEGORIA]])
+SUMIF(CATEGORIAS[[#All],[SUBGRUPO]],A39,CATEGORIAS[[#All],[PROVISIONES]])</f>
        <v>366477770.97046244</v>
      </c>
      <c r="L39" s="71">
        <f>+SUMIF(CATEGORIAS[[#All],[SUBGRUPO]],A39,CATEGORIAS[[#All],[PROYECCION
TOTAL DE COSTO]])</f>
        <v>0</v>
      </c>
      <c r="M39" s="71">
        <f t="shared" ref="M39:M44" si="41">K39+L39</f>
        <v>366477770.97046244</v>
      </c>
      <c r="O39" s="71">
        <f t="shared" ref="O39:O44" si="42">I39</f>
        <v>416776719.61365134</v>
      </c>
      <c r="P39" s="71">
        <f t="shared" ref="P39:P44" si="43">M39</f>
        <v>366477770.97046244</v>
      </c>
      <c r="Q39" s="227">
        <f t="shared" ref="Q39:Q44" si="44">O39-P39</f>
        <v>50298948.643188894</v>
      </c>
    </row>
    <row r="40" spans="1:17" ht="15" customHeight="1" x14ac:dyDescent="0.25">
      <c r="A40" s="14" t="str">
        <f>'Matriz de Produccion'!A40</f>
        <v>0D02</v>
      </c>
      <c r="B40" s="6" t="str">
        <f>VLOOKUP(A40,'Analisis por Categorias'!B:C,2,FALSE)</f>
        <v>Equipos Menores</v>
      </c>
      <c r="D40" s="3">
        <f>SUMIF(CATEGORIAS[[#All],[SUBGRUPO]],A40,CATEGORIAS[[#All],[PRESUPUESTO
(ORIGINAL)]])</f>
        <v>106019661.30159998</v>
      </c>
      <c r="E40" s="3">
        <f>+SUMIF(CATEGORIAS[[#All],[SUBGRUPO]],A40,CATEGORIAS[[#All],[PRODUCCION
PARTIDAS
ORIGINALES
ACTUAL]])
+SUMIF(CATEGORIAS[[#All],[SUBGRUPO]],A40,CATEGORIAS[[#All],[PRODUCCION
ADICIONALES
ACTUAL]])
+SUMIF(CATEGORIAS[[#All],[SUBGRUPO]],A40,CATEGORIAS[[#All],[PROYECCION
DE INGRESO
DEL SALDO]])</f>
        <v>106622331.43438119</v>
      </c>
      <c r="G40" s="71">
        <f>+SUMIF(CATEGORIAS[[#All],[SUBGRUPO]],A40,CATEGORIAS[[#All],[PRODUCCION
PARTIDAS
ORIGINALES
ACTUAL]])
+SUMIF(CATEGORIAS[[#All],[SUBGRUPO]],A40,CATEGORIAS[[#All],[PRODUCCION
ADICIONALES
ACTUAL]])</f>
        <v>106622331.43438119</v>
      </c>
      <c r="H40" s="71">
        <f>+SUMIF(CATEGORIAS[[#All],[SUBGRUPO]],A40,CATEGORIAS[[#All],[PROYECCION
DE INGRESO
DEL SALDO]])</f>
        <v>0</v>
      </c>
      <c r="I40" s="71">
        <f t="shared" si="40"/>
        <v>106622331.43438119</v>
      </c>
      <c r="K40" s="71">
        <f>+SUMIF(CATEGORIAS[[#All],[SUBGRUPO]],A40,CATEGORIAS[[#All],[COSTO
ACUMULADO  AX]])
+SUMIF(CATEGORIAS[[#All],[SUBGRUPO]],A40,CATEGORIAS[[#All],[CAMBIO DE
CATEGORIA]])
+SUMIF(CATEGORIAS[[#All],[SUBGRUPO]],A40,CATEGORIAS[[#All],[PROVISIONES]])</f>
        <v>65653934</v>
      </c>
      <c r="L40" s="85">
        <f>+SUMIF(CATEGORIAS[[#All],[SUBGRUPO]],A40,CATEGORIAS[[#All],[PROYECCION
TOTAL DE COSTO]])</f>
        <v>0</v>
      </c>
      <c r="M40" s="71">
        <f t="shared" si="41"/>
        <v>65653934</v>
      </c>
      <c r="O40" s="71">
        <f t="shared" si="42"/>
        <v>106622331.43438119</v>
      </c>
      <c r="P40" s="71">
        <f t="shared" si="43"/>
        <v>65653934</v>
      </c>
      <c r="Q40" s="227">
        <f t="shared" si="44"/>
        <v>40968397.434381187</v>
      </c>
    </row>
    <row r="41" spans="1:17" ht="15" customHeight="1" x14ac:dyDescent="0.25">
      <c r="A41" s="14" t="str">
        <f>'Matriz de Produccion'!A41</f>
        <v>0D03</v>
      </c>
      <c r="B41" s="6" t="str">
        <f>VLOOKUP(A41,'Analisis por Categorias'!B:C,2,FALSE)</f>
        <v>Movimiento de tierra</v>
      </c>
      <c r="D41" s="3">
        <f>SUMIF(CATEGORIAS[[#All],[SUBGRUPO]],A41,CATEGORIAS[[#All],[PRESUPUESTO
(ORIGINAL)]])</f>
        <v>128778478.8483</v>
      </c>
      <c r="E41" s="3">
        <f>+SUMIF(CATEGORIAS[[#All],[SUBGRUPO]],A41,CATEGORIAS[[#All],[PRODUCCION
PARTIDAS
ORIGINALES
ACTUAL]])
+SUMIF(CATEGORIAS[[#All],[SUBGRUPO]],A41,CATEGORIAS[[#All],[PRODUCCION
ADICIONALES
ACTUAL]])
+SUMIF(CATEGORIAS[[#All],[SUBGRUPO]],A41,CATEGORIAS[[#All],[PROYECCION
DE INGRESO
DEL SALDO]])</f>
        <v>113058927.49045363</v>
      </c>
      <c r="G41" s="71">
        <f>+SUMIF(CATEGORIAS[[#All],[SUBGRUPO]],A41,CATEGORIAS[[#All],[PRODUCCION
PARTIDAS
ORIGINALES
ACTUAL]])
+SUMIF(CATEGORIAS[[#All],[SUBGRUPO]],A41,CATEGORIAS[[#All],[PRODUCCION
ADICIONALES
ACTUAL]])</f>
        <v>113058927.49045363</v>
      </c>
      <c r="H41" s="71">
        <f>+SUMIF(CATEGORIAS[[#All],[SUBGRUPO]],A41,CATEGORIAS[[#All],[PROYECCION
DE INGRESO
DEL SALDO]])</f>
        <v>0</v>
      </c>
      <c r="I41" s="71">
        <f t="shared" si="40"/>
        <v>113058927.49045363</v>
      </c>
      <c r="K41" s="71">
        <f>+SUMIF(CATEGORIAS[[#All],[SUBGRUPO]],A41,CATEGORIAS[[#All],[COSTO
ACUMULADO  AX]])
+SUMIF(CATEGORIAS[[#All],[SUBGRUPO]],A41,CATEGORIAS[[#All],[CAMBIO DE
CATEGORIA]])
+SUMIF(CATEGORIAS[[#All],[SUBGRUPO]],A41,CATEGORIAS[[#All],[PROVISIONES]])</f>
        <v>49682240.374252252</v>
      </c>
      <c r="L41" s="85">
        <f>+SUMIF(CATEGORIAS[[#All],[SUBGRUPO]],A41,CATEGORIAS[[#All],[PROYECCION
TOTAL DE COSTO]])</f>
        <v>0</v>
      </c>
      <c r="M41" s="71">
        <f t="shared" si="41"/>
        <v>49682240.374252252</v>
      </c>
      <c r="O41" s="71">
        <f t="shared" si="42"/>
        <v>113058927.49045363</v>
      </c>
      <c r="P41" s="71">
        <f t="shared" si="43"/>
        <v>49682240.374252252</v>
      </c>
      <c r="Q41" s="227">
        <f t="shared" si="44"/>
        <v>63376687.116201378</v>
      </c>
    </row>
    <row r="42" spans="1:17" ht="15" customHeight="1" x14ac:dyDescent="0.25">
      <c r="A42" s="14" t="str">
        <f>'Matriz de Produccion'!A42</f>
        <v>0D04</v>
      </c>
      <c r="B42" s="6" t="str">
        <f>VLOOKUP(A42,'Analisis por Categorias'!B:C,2,FALSE)</f>
        <v>Andamios</v>
      </c>
      <c r="D42" s="3">
        <f>SUMIF(CATEGORIAS[[#All],[SUBGRUPO]],A42,CATEGORIAS[[#All],[PRESUPUESTO
(ORIGINAL)]])</f>
        <v>23667361.039999999</v>
      </c>
      <c r="E42" s="3">
        <f>+SUMIF(CATEGORIAS[[#All],[SUBGRUPO]],A42,CATEGORIAS[[#All],[PRODUCCION
PARTIDAS
ORIGINALES
ACTUAL]])
+SUMIF(CATEGORIAS[[#All],[SUBGRUPO]],A42,CATEGORIAS[[#All],[PRODUCCION
ADICIONALES
ACTUAL]])
+SUMIF(CATEGORIAS[[#All],[SUBGRUPO]],A42,CATEGORIAS[[#All],[PROYECCION
DE INGRESO
DEL SALDO]])</f>
        <v>31204227.294636883</v>
      </c>
      <c r="G42" s="71">
        <f>+SUMIF(CATEGORIAS[[#All],[SUBGRUPO]],A42,CATEGORIAS[[#All],[PRODUCCION
PARTIDAS
ORIGINALES
ACTUAL]])
+SUMIF(CATEGORIAS[[#All],[SUBGRUPO]],A42,CATEGORIAS[[#All],[PRODUCCION
ADICIONALES
ACTUAL]])</f>
        <v>31204227.294636883</v>
      </c>
      <c r="H42" s="71">
        <f>+SUMIF(CATEGORIAS[[#All],[SUBGRUPO]],A42,CATEGORIAS[[#All],[PROYECCION
DE INGRESO
DEL SALDO]])</f>
        <v>0</v>
      </c>
      <c r="I42" s="71">
        <f t="shared" si="40"/>
        <v>31204227.294636883</v>
      </c>
      <c r="K42" s="71">
        <f>+SUMIF(CATEGORIAS[[#All],[SUBGRUPO]],A42,CATEGORIAS[[#All],[COSTO
ACUMULADO  AX]])
+SUMIF(CATEGORIAS[[#All],[SUBGRUPO]],A42,CATEGORIAS[[#All],[CAMBIO DE
CATEGORIA]])
+SUMIF(CATEGORIAS[[#All],[SUBGRUPO]],A42,CATEGORIAS[[#All],[PROVISIONES]])</f>
        <v>55789943</v>
      </c>
      <c r="L42" s="71">
        <f>+SUMIF(CATEGORIAS[[#All],[SUBGRUPO]],A42,CATEGORIAS[[#All],[PROYECCION
TOTAL DE COSTO]])</f>
        <v>0</v>
      </c>
      <c r="M42" s="71">
        <f t="shared" si="41"/>
        <v>55789943</v>
      </c>
      <c r="O42" s="71">
        <f t="shared" si="42"/>
        <v>31204227.294636883</v>
      </c>
      <c r="P42" s="71">
        <f t="shared" si="43"/>
        <v>55789943</v>
      </c>
      <c r="Q42" s="227">
        <f t="shared" si="44"/>
        <v>-24585715.705363117</v>
      </c>
    </row>
    <row r="43" spans="1:17" ht="15" customHeight="1" x14ac:dyDescent="0.25">
      <c r="A43" s="14" t="str">
        <f>'Matriz de Produccion'!A43</f>
        <v>0D05</v>
      </c>
      <c r="B43" s="6" t="str">
        <f>VLOOKUP(A43,'Analisis por Categorias'!B:C,2,FALSE)</f>
        <v>Combustible</v>
      </c>
      <c r="D43" s="3">
        <f>SUMIF(CATEGORIAS[[#All],[SUBGRUPO]],A43,CATEGORIAS[[#All],[PRESUPUESTO
(ORIGINAL)]])</f>
        <v>39200000</v>
      </c>
      <c r="E43" s="3">
        <f>+SUMIF(CATEGORIAS[[#All],[SUBGRUPO]],A43,CATEGORIAS[[#All],[PRODUCCION
PARTIDAS
ORIGINALES
ACTUAL]])
+SUMIF(CATEGORIAS[[#All],[SUBGRUPO]],A43,CATEGORIAS[[#All],[PRODUCCION
ADICIONALES
ACTUAL]])
+SUMIF(CATEGORIAS[[#All],[SUBGRUPO]],A43,CATEGORIAS[[#All],[PROYECCION
DE INGRESO
DEL SALDO]])</f>
        <v>51868650.420693725</v>
      </c>
      <c r="G43" s="71">
        <f>+SUMIF(CATEGORIAS[[#All],[SUBGRUPO]],A43,CATEGORIAS[[#All],[PRODUCCION
PARTIDAS
ORIGINALES
ACTUAL]])
+SUMIF(CATEGORIAS[[#All],[SUBGRUPO]],A43,CATEGORIAS[[#All],[PRODUCCION
ADICIONALES
ACTUAL]])</f>
        <v>51868650.420693725</v>
      </c>
      <c r="H43" s="71">
        <f>+SUMIF(CATEGORIAS[[#All],[SUBGRUPO]],A43,CATEGORIAS[[#All],[PROYECCION
DE INGRESO
DEL SALDO]])</f>
        <v>0</v>
      </c>
      <c r="I43" s="71">
        <f t="shared" si="40"/>
        <v>51868650.420693725</v>
      </c>
      <c r="K43" s="71">
        <f>+SUMIF(CATEGORIAS[[#All],[SUBGRUPO]],A43,CATEGORIAS[[#All],[COSTO
ACUMULADO  AX]])
+SUMIF(CATEGORIAS[[#All],[SUBGRUPO]],A43,CATEGORIAS[[#All],[CAMBIO DE
CATEGORIA]])
+SUMIF(CATEGORIAS[[#All],[SUBGRUPO]],A43,CATEGORIAS[[#All],[PROVISIONES]])</f>
        <v>7807673</v>
      </c>
      <c r="L43" s="71">
        <f>+SUMIF(CATEGORIAS[[#All],[SUBGRUPO]],A43,CATEGORIAS[[#All],[PROYECCION
TOTAL DE COSTO]])</f>
        <v>0</v>
      </c>
      <c r="M43" s="71">
        <f t="shared" si="41"/>
        <v>7807673</v>
      </c>
      <c r="O43" s="71">
        <f t="shared" si="42"/>
        <v>51868650.420693725</v>
      </c>
      <c r="P43" s="71">
        <f t="shared" si="43"/>
        <v>7807673</v>
      </c>
      <c r="Q43" s="227">
        <f t="shared" si="44"/>
        <v>44060977.420693725</v>
      </c>
    </row>
    <row r="44" spans="1:17" ht="15" customHeight="1" x14ac:dyDescent="0.25">
      <c r="A44" s="14" t="str">
        <f>'Matriz de Produccion'!A44</f>
        <v>0D06</v>
      </c>
      <c r="B44" s="6" t="str">
        <f>VLOOKUP(A44,'Analisis por Categorias'!B:C,2,FALSE)</f>
        <v>Fletes</v>
      </c>
      <c r="D44" s="3">
        <f>SUMIF(CATEGORIAS[[#All],[SUBGRUPO]],A44,CATEGORIAS[[#All],[PRESUPUESTO
(ORIGINAL)]])</f>
        <v>36937813.120000005</v>
      </c>
      <c r="E44" s="3">
        <f>+SUMIF(CATEGORIAS[[#All],[SUBGRUPO]],A44,CATEGORIAS[[#All],[PRODUCCION
PARTIDAS
ORIGINALES
ACTUAL]])
+SUMIF(CATEGORIAS[[#All],[SUBGRUPO]],A44,CATEGORIAS[[#All],[PRODUCCION
ADICIONALES
ACTUAL]])
+SUMIF(CATEGORIAS[[#All],[SUBGRUPO]],A44,CATEGORIAS[[#All],[PROYECCION
DE INGRESO
DEL SALDO]])</f>
        <v>48875370.30679068</v>
      </c>
      <c r="G44" s="71">
        <f>+SUMIF(CATEGORIAS[[#All],[SUBGRUPO]],A44,CATEGORIAS[[#All],[PRODUCCION
PARTIDAS
ORIGINALES
ACTUAL]])
+SUMIF(CATEGORIAS[[#All],[SUBGRUPO]],A44,CATEGORIAS[[#All],[PRODUCCION
ADICIONALES
ACTUAL]])</f>
        <v>48875370.30679068</v>
      </c>
      <c r="H44" s="71">
        <f>+SUMIF(CATEGORIAS[[#All],[SUBGRUPO]],A44,CATEGORIAS[[#All],[PROYECCION
DE INGRESO
DEL SALDO]])</f>
        <v>0</v>
      </c>
      <c r="I44" s="71">
        <f t="shared" si="40"/>
        <v>48875370.30679068</v>
      </c>
      <c r="K44" s="71">
        <f>+SUMIF(CATEGORIAS[[#All],[SUBGRUPO]],A44,CATEGORIAS[[#All],[COSTO
ACUMULADO  AX]])
+SUMIF(CATEGORIAS[[#All],[SUBGRUPO]],A44,CATEGORIAS[[#All],[CAMBIO DE
CATEGORIA]])
+SUMIF(CATEGORIAS[[#All],[SUBGRUPO]],A44,CATEGORIAS[[#All],[PROVISIONES]])</f>
        <v>53240852</v>
      </c>
      <c r="L44" s="71">
        <f>+SUMIF(CATEGORIAS[[#All],[SUBGRUPO]],A44,CATEGORIAS[[#All],[PROYECCION
TOTAL DE COSTO]])</f>
        <v>0</v>
      </c>
      <c r="M44" s="71">
        <f t="shared" si="41"/>
        <v>53240852</v>
      </c>
      <c r="O44" s="71">
        <f t="shared" si="42"/>
        <v>48875370.30679068</v>
      </c>
      <c r="P44" s="71">
        <f t="shared" si="43"/>
        <v>53240852</v>
      </c>
      <c r="Q44" s="227">
        <f t="shared" si="44"/>
        <v>-4365481.6932093203</v>
      </c>
    </row>
    <row r="45" spans="1:17" ht="15" customHeight="1" x14ac:dyDescent="0.25">
      <c r="A45" s="14" t="str">
        <f>'Matriz de Produccion'!A45</f>
        <v>0D07</v>
      </c>
      <c r="B45" s="6" t="str">
        <f>VLOOKUP(A45,'Analisis por Categorias'!B:C,2,FALSE)</f>
        <v>Operador</v>
      </c>
      <c r="D45" s="3">
        <f>SUMIF(CATEGORIAS[[#All],[SUBGRUPO]],A45,CATEGORIAS[[#All],[PRESUPUESTO
(ORIGINAL)]])</f>
        <v>109544629.7149321</v>
      </c>
      <c r="E45" s="3">
        <f>+SUMIF(CATEGORIAS[[#All],[SUBGRUPO]],A45,CATEGORIAS[[#All],[PRODUCCION
PARTIDAS
ORIGINALES
ACTUAL]])
+SUMIF(CATEGORIAS[[#All],[SUBGRUPO]],A45,CATEGORIAS[[#All],[PRODUCCION
ADICIONALES
ACTUAL]])
+SUMIF(CATEGORIAS[[#All],[SUBGRUPO]],A45,CATEGORIAS[[#All],[PROYECCION
DE INGRESO
DEL SALDO]])</f>
        <v>144947247.55479977</v>
      </c>
      <c r="G45" s="71">
        <f>+SUMIF(CATEGORIAS[[#All],[SUBGRUPO]],A45,CATEGORIAS[[#All],[PRODUCCION
PARTIDAS
ORIGINALES
ACTUAL]])
+SUMIF(CATEGORIAS[[#All],[SUBGRUPO]],A45,CATEGORIAS[[#All],[PRODUCCION
ADICIONALES
ACTUAL]])</f>
        <v>144947247.55479977</v>
      </c>
      <c r="H45" s="71">
        <f>+SUMIF(CATEGORIAS[[#All],[SUBGRUPO]],A45,CATEGORIAS[[#All],[PROYECCION
DE INGRESO
DEL SALDO]])</f>
        <v>0</v>
      </c>
      <c r="I45" s="71">
        <f t="shared" ref="I45:I47" si="45">G45+H45</f>
        <v>144947247.55479977</v>
      </c>
      <c r="K45" s="71">
        <f>+SUMIF(CATEGORIAS[[#All],[SUBGRUPO]],A45,CATEGORIAS[[#All],[COSTO
ACUMULADO  AX]])
+SUMIF(CATEGORIAS[[#All],[SUBGRUPO]],A45,CATEGORIAS[[#All],[CAMBIO DE
CATEGORIA]])
+SUMIF(CATEGORIAS[[#All],[SUBGRUPO]],A45,CATEGORIAS[[#All],[PROVISIONES]])</f>
        <v>78474322</v>
      </c>
      <c r="L45" s="71">
        <f>+SUMIF(CATEGORIAS[[#All],[SUBGRUPO]],A45,CATEGORIAS[[#All],[PROYECCION
TOTAL DE COSTO]])</f>
        <v>0</v>
      </c>
      <c r="M45" s="71">
        <f t="shared" ref="M45:M47" si="46">K45+L45</f>
        <v>78474322</v>
      </c>
      <c r="O45" s="71">
        <f t="shared" ref="O45:O47" si="47">I45</f>
        <v>144947247.55479977</v>
      </c>
      <c r="P45" s="71">
        <f t="shared" ref="P45:P47" si="48">M45</f>
        <v>78474322</v>
      </c>
      <c r="Q45" s="227">
        <f t="shared" ref="Q45:Q47" si="49">O45-P45</f>
        <v>66472925.554799765</v>
      </c>
    </row>
    <row r="46" spans="1:17" ht="15" customHeight="1" x14ac:dyDescent="0.25">
      <c r="A46" s="14" t="str">
        <f>'Matriz de Produccion'!A46</f>
        <v>0D08</v>
      </c>
      <c r="B46" s="6" t="str">
        <f>VLOOKUP(A46,'Analisis por Categorias'!B:C,2,FALSE)</f>
        <v>Rigger</v>
      </c>
      <c r="D46" s="3">
        <f>SUMIF(CATEGORIAS[[#All],[SUBGRUPO]],A46,CATEGORIAS[[#All],[PRESUPUESTO
(ORIGINAL)]])</f>
        <v>69826848.009499088</v>
      </c>
      <c r="E46" s="3">
        <f>+SUMIF(CATEGORIAS[[#All],[SUBGRUPO]],A46,CATEGORIAS[[#All],[PRODUCCION
PARTIDAS
ORIGINALES
ACTUAL]])
+SUMIF(CATEGORIAS[[#All],[SUBGRUPO]],A46,CATEGORIAS[[#All],[PRODUCCION
ADICIONALES
ACTUAL]])
+SUMIF(CATEGORIAS[[#All],[SUBGRUPO]],A46,CATEGORIAS[[#All],[PROYECCION
DE INGRESO
DEL SALDO]])</f>
        <v>92393478.810806677</v>
      </c>
      <c r="G46" s="71">
        <f>+SUMIF(CATEGORIAS[[#All],[SUBGRUPO]],A46,CATEGORIAS[[#All],[PRODUCCION
PARTIDAS
ORIGINALES
ACTUAL]])
+SUMIF(CATEGORIAS[[#All],[SUBGRUPO]],A46,CATEGORIAS[[#All],[PRODUCCION
ADICIONALES
ACTUAL]])</f>
        <v>92393478.810806677</v>
      </c>
      <c r="H46" s="71">
        <f>+SUMIF(CATEGORIAS[[#All],[SUBGRUPO]],A46,CATEGORIAS[[#All],[PROYECCION
DE INGRESO
DEL SALDO]])</f>
        <v>0</v>
      </c>
      <c r="I46" s="71">
        <f t="shared" ref="I46" si="50">G46+H46</f>
        <v>92393478.810806677</v>
      </c>
      <c r="K46" s="71">
        <f>+SUMIF(CATEGORIAS[[#All],[SUBGRUPO]],A46,CATEGORIAS[[#All],[COSTO
ACUMULADO  AX]])
+SUMIF(CATEGORIAS[[#All],[SUBGRUPO]],A46,CATEGORIAS[[#All],[CAMBIO DE
CATEGORIA]])
+SUMIF(CATEGORIAS[[#All],[SUBGRUPO]],A46,CATEGORIAS[[#All],[PROVISIONES]])</f>
        <v>40245262</v>
      </c>
      <c r="L46" s="71">
        <f>+SUMIF(CATEGORIAS[[#All],[SUBGRUPO]],A46,CATEGORIAS[[#All],[PROYECCION
TOTAL DE COSTO]])</f>
        <v>0</v>
      </c>
      <c r="M46" s="71">
        <f t="shared" ref="M46" si="51">K46+L46</f>
        <v>40245262</v>
      </c>
      <c r="O46" s="71">
        <f t="shared" ref="O46" si="52">I46</f>
        <v>92393478.810806677</v>
      </c>
      <c r="P46" s="71">
        <f t="shared" ref="P46" si="53">M46</f>
        <v>40245262</v>
      </c>
      <c r="Q46" s="227">
        <f t="shared" ref="Q46" si="54">O46-P46</f>
        <v>52148216.810806677</v>
      </c>
    </row>
    <row r="47" spans="1:17" ht="15" hidden="1" customHeight="1" x14ac:dyDescent="0.25">
      <c r="A47" s="14" t="str">
        <f>'Matriz de Produccion'!A47</f>
        <v>0D09</v>
      </c>
      <c r="B47" s="6" t="str">
        <f>VLOOKUP(A47,'Analisis por Categorias'!B:C,2,FALSE)</f>
        <v>Maquinas Soldadoras</v>
      </c>
      <c r="D47" s="3">
        <f>SUMIF(CATEGORIAS[[#All],[SUBGRUPO]],A47,CATEGORIAS[[#All],[PRESUPUESTO
(ORIGINAL)]])</f>
        <v>0</v>
      </c>
      <c r="E47" s="3">
        <f>+SUMIF(CATEGORIAS[[#All],[SUBGRUPO]],A47,CATEGORIAS[[#All],[PRODUCCION
PARTIDAS
ORIGINALES
ACTUAL]])
+SUMIF(CATEGORIAS[[#All],[SUBGRUPO]],A47,CATEGORIAS[[#All],[PRODUCCION
ADICIONALES
ACTUAL]])
+SUMIF(CATEGORIAS[[#All],[SUBGRUPO]],A47,CATEGORIAS[[#All],[PROYECCION
DE INGRESO
DEL SALDO]])</f>
        <v>0</v>
      </c>
      <c r="G47" s="71">
        <f>+SUMIF(CATEGORIAS[[#All],[SUBGRUPO]],A47,CATEGORIAS[[#All],[PRODUCCION
PARTIDAS
ORIGINALES
ACTUAL]])
+SUMIF(CATEGORIAS[[#All],[SUBGRUPO]],A47,CATEGORIAS[[#All],[PRODUCCION
ADICIONALES
ACTUAL]])</f>
        <v>0</v>
      </c>
      <c r="H47" s="71">
        <f>+SUMIF(CATEGORIAS[[#All],[SUBGRUPO]],A47,CATEGORIAS[[#All],[PROYECCION
DE INGRESO
DEL SALDO]])</f>
        <v>0</v>
      </c>
      <c r="I47" s="71">
        <f t="shared" si="45"/>
        <v>0</v>
      </c>
      <c r="K47" s="71">
        <f>+SUMIF(CATEGORIAS[[#All],[SUBGRUPO]],A47,CATEGORIAS[[#All],[COSTO
ACUMULADO  AX]])
+SUMIF(CATEGORIAS[[#All],[SUBGRUPO]],A47,CATEGORIAS[[#All],[CAMBIO DE
CATEGORIA]])
+SUMIF(CATEGORIAS[[#All],[SUBGRUPO]],A47,CATEGORIAS[[#All],[PROVISIONES]])</f>
        <v>1254206</v>
      </c>
      <c r="L47" s="71">
        <f>+SUMIF(CATEGORIAS[[#All],[SUBGRUPO]],A47,CATEGORIAS[[#All],[PROYECCION
TOTAL DE COSTO]])</f>
        <v>0</v>
      </c>
      <c r="M47" s="71">
        <f t="shared" si="46"/>
        <v>1254206</v>
      </c>
      <c r="O47" s="71">
        <f t="shared" si="47"/>
        <v>0</v>
      </c>
      <c r="P47" s="71">
        <f t="shared" si="48"/>
        <v>1254206</v>
      </c>
      <c r="Q47" s="227">
        <f t="shared" si="49"/>
        <v>-1254206</v>
      </c>
    </row>
    <row r="48" spans="1:17" ht="8.25" customHeight="1" x14ac:dyDescent="0.25">
      <c r="Q48" s="226"/>
    </row>
    <row r="49" spans="1:17" x14ac:dyDescent="0.25">
      <c r="A49" s="14" t="str">
        <f>'Matriz de Produccion'!A49</f>
        <v>0X00</v>
      </c>
      <c r="B49" s="81" t="str">
        <f>'Matriz de Produccion'!B49:B49</f>
        <v>E - SUBCONTRATOS</v>
      </c>
      <c r="D49" s="82">
        <f>SUM(D50:D55)</f>
        <v>110221472.6512</v>
      </c>
      <c r="E49" s="82">
        <f>SUM(E50:E55)</f>
        <v>238680817.17854521</v>
      </c>
      <c r="G49" s="83">
        <f>SUM(G50:G55)</f>
        <v>238680817.17854521</v>
      </c>
      <c r="H49" s="83">
        <f>SUM(H50:H55)</f>
        <v>3.7252902984619141E-9</v>
      </c>
      <c r="I49" s="83">
        <f>SUM(I50:I55)</f>
        <v>238680817.17854521</v>
      </c>
      <c r="K49" s="84">
        <f>SUM(K50:K55)</f>
        <v>187957917.34266669</v>
      </c>
      <c r="L49" s="84">
        <f>SUM(L50:L55)</f>
        <v>0</v>
      </c>
      <c r="M49" s="84">
        <f>SUM(M50:M55)</f>
        <v>187957917.34266669</v>
      </c>
      <c r="O49" s="12">
        <f>SUM(O50:O55)</f>
        <v>238680817.17854521</v>
      </c>
      <c r="P49" s="11">
        <f>SUM(P50:P55)</f>
        <v>187957917.34266669</v>
      </c>
      <c r="Q49" s="225">
        <f>SUM(Q50:Q55)</f>
        <v>50722899.835878536</v>
      </c>
    </row>
    <row r="50" spans="1:17" ht="15" customHeight="1" x14ac:dyDescent="0.25">
      <c r="A50" s="14" t="str">
        <f>'Matriz de Produccion'!A50</f>
        <v>0X01</v>
      </c>
      <c r="B50" s="6" t="str">
        <f>VLOOKUP(A50,'Analisis por Categorias'!B:C,2,FALSE)</f>
        <v>Moldajes</v>
      </c>
      <c r="D50" s="3">
        <f>SUMIF(CATEGORIAS[[#All],[SUBGRUPO]],A50,CATEGORIAS[[#All],[PRESUPUESTO
(ORIGINAL)]])</f>
        <v>3419673.7199999997</v>
      </c>
      <c r="E50" s="3">
        <f>+SUMIF(CATEGORIAS[[#All],[SUBGRUPO]],A50,CATEGORIAS[[#All],[PRODUCCION
PARTIDAS
ORIGINALES
ACTUAL]])
+SUMIF(CATEGORIAS[[#All],[SUBGRUPO]],A50,CATEGORIAS[[#All],[PRODUCCION
ADICIONALES
ACTUAL]])
+SUMIF(CATEGORIAS[[#All],[SUBGRUPO]],A50,CATEGORIAS[[#All],[PROYECCION
DE INGRESO
DEL SALDO]])</f>
        <v>2045171.5034251469</v>
      </c>
      <c r="G50" s="71">
        <f>+SUMIF(CATEGORIAS[[#All],[SUBGRUPO]],A50,CATEGORIAS[[#All],[PRODUCCION
PARTIDAS
ORIGINALES
ACTUAL]])
+SUMIF(CATEGORIAS[[#All],[SUBGRUPO]],A50,CATEGORIAS[[#All],[PRODUCCION
ADICIONALES
ACTUAL]])</f>
        <v>2045171.5034251469</v>
      </c>
      <c r="H50" s="71">
        <f>+SUMIF(CATEGORIAS[[#All],[SUBGRUPO]],A50,CATEGORIAS[[#All],[PROYECCION
DE INGRESO
DEL SALDO]])</f>
        <v>0</v>
      </c>
      <c r="I50" s="71">
        <f t="shared" ref="I50:I55" si="55">G50+H50</f>
        <v>2045171.5034251469</v>
      </c>
      <c r="K50" s="71">
        <f>+SUMIF(CATEGORIAS[[#All],[SUBGRUPO]],A50,CATEGORIAS[[#All],[COSTO
ACUMULADO  AX]])
+SUMIF(CATEGORIAS[[#All],[SUBGRUPO]],A50,CATEGORIAS[[#All],[CAMBIO DE
CATEGORIA]])
+SUMIF(CATEGORIAS[[#All],[SUBGRUPO]],A50,CATEGORIAS[[#All],[PROVISIONES]])</f>
        <v>4526510</v>
      </c>
      <c r="L50" s="71">
        <f>+SUMIF(CATEGORIAS[[#All],[SUBGRUPO]],A50,CATEGORIAS[[#All],[PROYECCION
TOTAL DE COSTO]])</f>
        <v>0</v>
      </c>
      <c r="M50" s="71">
        <f t="shared" ref="M50:M55" si="56">K50+L50</f>
        <v>4526510</v>
      </c>
      <c r="O50" s="71">
        <f t="shared" ref="O50:O55" si="57">I50</f>
        <v>2045171.5034251469</v>
      </c>
      <c r="P50" s="71">
        <f t="shared" ref="P50:P55" si="58">M50</f>
        <v>4526510</v>
      </c>
      <c r="Q50" s="227">
        <f t="shared" ref="Q50:Q55" si="59">O50-P50</f>
        <v>-2481338.4965748531</v>
      </c>
    </row>
    <row r="51" spans="1:17" ht="15" customHeight="1" x14ac:dyDescent="0.25">
      <c r="A51" s="14" t="str">
        <f>'Matriz de Produccion'!A51</f>
        <v>0X03</v>
      </c>
      <c r="B51" s="6" t="str">
        <f>VLOOKUP(A51,'Analisis por Categorias'!B:C,2,FALSE)</f>
        <v>Laboratorio</v>
      </c>
      <c r="D51" s="3">
        <f>SUMIF(CATEGORIAS[[#All],[SUBGRUPO]],A51,CATEGORIAS[[#All],[PRESUPUESTO
(ORIGINAL)]])</f>
        <v>22923307.425000001</v>
      </c>
      <c r="E51" s="3">
        <f>+SUMIF(CATEGORIAS[[#All],[SUBGRUPO]],A51,CATEGORIAS[[#All],[PRODUCCION
PARTIDAS
ORIGINALES
ACTUAL]])
+SUMIF(CATEGORIAS[[#All],[SUBGRUPO]],A51,CATEGORIAS[[#All],[PRODUCCION
ADICIONALES
ACTUAL]])
+SUMIF(CATEGORIAS[[#All],[SUBGRUPO]],A51,CATEGORIAS[[#All],[PROYECCION
DE INGRESO
DEL SALDO]])</f>
        <v>13709522.88099114</v>
      </c>
      <c r="G51" s="71">
        <f>+SUMIF(CATEGORIAS[[#All],[SUBGRUPO]],A51,CATEGORIAS[[#All],[PRODUCCION
PARTIDAS
ORIGINALES
ACTUAL]])
+SUMIF(CATEGORIAS[[#All],[SUBGRUPO]],A51,CATEGORIAS[[#All],[PRODUCCION
ADICIONALES
ACTUAL]])</f>
        <v>13709522.88099114</v>
      </c>
      <c r="H51" s="71">
        <f>+SUMIF(CATEGORIAS[[#All],[SUBGRUPO]],A51,CATEGORIAS[[#All],[PROYECCION
DE INGRESO
DEL SALDO]])</f>
        <v>0</v>
      </c>
      <c r="I51" s="71">
        <f t="shared" si="55"/>
        <v>13709522.88099114</v>
      </c>
      <c r="K51" s="71">
        <f>+SUMIF(CATEGORIAS[[#All],[SUBGRUPO]],A51,CATEGORIAS[[#All],[COSTO
ACUMULADO  AX]])
+SUMIF(CATEGORIAS[[#All],[SUBGRUPO]],A51,CATEGORIAS[[#All],[CAMBIO DE
CATEGORIA]])
+SUMIF(CATEGORIAS[[#All],[SUBGRUPO]],A51,CATEGORIAS[[#All],[PROVISIONES]])</f>
        <v>9667438.675999999</v>
      </c>
      <c r="L51" s="71">
        <f>+SUMIF(CATEGORIAS[[#All],[SUBGRUPO]],A51,CATEGORIAS[[#All],[PROYECCION
TOTAL DE COSTO]])</f>
        <v>0</v>
      </c>
      <c r="M51" s="71">
        <f t="shared" si="56"/>
        <v>9667438.675999999</v>
      </c>
      <c r="O51" s="71">
        <f t="shared" si="57"/>
        <v>13709522.88099114</v>
      </c>
      <c r="P51" s="71">
        <f t="shared" si="58"/>
        <v>9667438.675999999</v>
      </c>
      <c r="Q51" s="227">
        <f t="shared" si="59"/>
        <v>4042084.2049911413</v>
      </c>
    </row>
    <row r="52" spans="1:17" ht="15" customHeight="1" x14ac:dyDescent="0.25">
      <c r="A52" s="14" t="str">
        <f>'Matriz de Produccion'!A52</f>
        <v>0X04</v>
      </c>
      <c r="B52" s="6" t="str">
        <f>VLOOKUP(A52,'Analisis por Categorias'!B:C,2,FALSE)</f>
        <v>Entibaciones</v>
      </c>
      <c r="D52" s="3">
        <f>SUMIF(CATEGORIAS[[#All],[SUBGRUPO]],A52,CATEGORIAS[[#All],[PRESUPUESTO
(ORIGINAL)]])</f>
        <v>37704331.5</v>
      </c>
      <c r="E52" s="3">
        <f>+SUMIF(CATEGORIAS[[#All],[SUBGRUPO]],A52,CATEGORIAS[[#All],[PRODUCCION
PARTIDAS
ORIGINALES
ACTUAL]])
+SUMIF(CATEGORIAS[[#All],[SUBGRUPO]],A52,CATEGORIAS[[#All],[PRODUCCION
ADICIONALES
ACTUAL]])
+SUMIF(CATEGORIAS[[#All],[SUBGRUPO]],A52,CATEGORIAS[[#All],[PROYECCION
DE INGRESO
DEL SALDO]])</f>
        <v>145700907.17624047</v>
      </c>
      <c r="G52" s="71">
        <f>+SUMIF(CATEGORIAS[[#All],[SUBGRUPO]],A52,CATEGORIAS[[#All],[PRODUCCION
PARTIDAS
ORIGINALES
ACTUAL]])
+SUMIF(CATEGORIAS[[#All],[SUBGRUPO]],A52,CATEGORIAS[[#All],[PRODUCCION
ADICIONALES
ACTUAL]])</f>
        <v>145700907.17624047</v>
      </c>
      <c r="H52" s="71">
        <f>+SUMIF(CATEGORIAS[[#All],[SUBGRUPO]],A52,CATEGORIAS[[#All],[PROYECCION
DE INGRESO
DEL SALDO]])</f>
        <v>0</v>
      </c>
      <c r="I52" s="71">
        <f t="shared" si="55"/>
        <v>145700907.17624047</v>
      </c>
      <c r="K52" s="71">
        <f>+SUMIF(CATEGORIAS[[#All],[SUBGRUPO]],A52,CATEGORIAS[[#All],[COSTO
ACUMULADO  AX]])
+SUMIF(CATEGORIAS[[#All],[SUBGRUPO]],A52,CATEGORIAS[[#All],[CAMBIO DE
CATEGORIA]])
+SUMIF(CATEGORIAS[[#All],[SUBGRUPO]],A52,CATEGORIAS[[#All],[PROVISIONES]])</f>
        <v>102207264</v>
      </c>
      <c r="L52" s="85">
        <f>+SUMIF(CATEGORIAS[[#All],[SUBGRUPO]],A52,CATEGORIAS[[#All],[PROYECCION
TOTAL DE COSTO]])</f>
        <v>0</v>
      </c>
      <c r="M52" s="71">
        <f>K52+L52</f>
        <v>102207264</v>
      </c>
      <c r="O52" s="71">
        <f t="shared" si="57"/>
        <v>145700907.17624047</v>
      </c>
      <c r="P52" s="71">
        <f t="shared" si="58"/>
        <v>102207264</v>
      </c>
      <c r="Q52" s="227">
        <f t="shared" si="59"/>
        <v>43493643.176240474</v>
      </c>
    </row>
    <row r="53" spans="1:17" ht="15" customHeight="1" x14ac:dyDescent="0.25">
      <c r="A53" s="14" t="str">
        <f>'Matriz de Produccion'!A53</f>
        <v>0X05</v>
      </c>
      <c r="B53" s="6" t="str">
        <f>VLOOKUP(A53,'Analisis por Categorias'!B:C,2,FALSE)</f>
        <v>Ensayos</v>
      </c>
      <c r="D53" s="3">
        <f>SUMIF(CATEGORIAS[[#All],[SUBGRUPO]],A53,CATEGORIAS[[#All],[PRESUPUESTO
(ORIGINAL)]])</f>
        <v>22686901.279799998</v>
      </c>
      <c r="E53" s="3">
        <f>+SUMIF(CATEGORIAS[[#All],[SUBGRUPO]],A53,CATEGORIAS[[#All],[PRODUCCION
PARTIDAS
ORIGINALES
ACTUAL]])
+SUMIF(CATEGORIAS[[#All],[SUBGRUPO]],A53,CATEGORIAS[[#All],[PRODUCCION
ADICIONALES
ACTUAL]])
+SUMIF(CATEGORIAS[[#All],[SUBGRUPO]],A53,CATEGORIAS[[#All],[PROYECCION
DE INGRESO
DEL SALDO]])</f>
        <v>23978248.847821172</v>
      </c>
      <c r="G53" s="71">
        <f>+SUMIF(CATEGORIAS[[#All],[SUBGRUPO]],A53,CATEGORIAS[[#All],[PRODUCCION
PARTIDAS
ORIGINALES
ACTUAL]])
+SUMIF(CATEGORIAS[[#All],[SUBGRUPO]],A53,CATEGORIAS[[#All],[PRODUCCION
ADICIONALES
ACTUAL]])</f>
        <v>23978248.847821169</v>
      </c>
      <c r="H53" s="71">
        <f>+SUMIF(CATEGORIAS[[#All],[SUBGRUPO]],A53,CATEGORIAS[[#All],[PROYECCION
DE INGRESO
DEL SALDO]])</f>
        <v>3.7252902984619141E-9</v>
      </c>
      <c r="I53" s="71">
        <f t="shared" si="55"/>
        <v>23978248.847821172</v>
      </c>
      <c r="K53" s="71">
        <f>+SUMIF(CATEGORIAS[[#All],[SUBGRUPO]],A53,CATEGORIAS[[#All],[COSTO
ACUMULADO  AX]])
+SUMIF(CATEGORIAS[[#All],[SUBGRUPO]],A53,CATEGORIAS[[#All],[CAMBIO DE
CATEGORIA]])
+SUMIF(CATEGORIAS[[#All],[SUBGRUPO]],A53,CATEGORIAS[[#All],[PROVISIONES]])</f>
        <v>15261669.666666666</v>
      </c>
      <c r="L53" s="85">
        <f>+SUMIF(CATEGORIAS[[#All],[SUBGRUPO]],A53,CATEGORIAS[[#All],[PROYECCION
TOTAL DE COSTO]])</f>
        <v>0</v>
      </c>
      <c r="M53" s="71">
        <f t="shared" si="56"/>
        <v>15261669.666666666</v>
      </c>
      <c r="O53" s="71">
        <f t="shared" si="57"/>
        <v>23978248.847821172</v>
      </c>
      <c r="P53" s="71">
        <f t="shared" si="58"/>
        <v>15261669.666666666</v>
      </c>
      <c r="Q53" s="227">
        <f t="shared" si="59"/>
        <v>8716579.1811545063</v>
      </c>
    </row>
    <row r="54" spans="1:17" ht="15" customHeight="1" x14ac:dyDescent="0.25">
      <c r="A54" s="14" t="str">
        <f>'Matriz de Produccion'!A54</f>
        <v>0X06</v>
      </c>
      <c r="B54" s="6" t="str">
        <f>VLOOKUP(A54,'Analisis por Categorias'!B:C,2,FALSE)</f>
        <v>Termofusion</v>
      </c>
      <c r="D54" s="3">
        <f>SUMIF(CATEGORIAS[[#All],[SUBGRUPO]],A54,CATEGORIAS[[#All],[PRESUPUESTO
(ORIGINAL)]])</f>
        <v>4509885.5999999996</v>
      </c>
      <c r="E54" s="3">
        <f>+SUMIF(CATEGORIAS[[#All],[SUBGRUPO]],A54,CATEGORIAS[[#All],[PRODUCCION
PARTIDAS
ORIGINALES
ACTUAL]])
+SUMIF(CATEGORIAS[[#All],[SUBGRUPO]],A54,CATEGORIAS[[#All],[PRODUCCION
ADICIONALES
ACTUAL]])
+SUMIF(CATEGORIAS[[#All],[SUBGRUPO]],A54,CATEGORIAS[[#All],[PROYECCION
DE INGRESO
DEL SALDO]])</f>
        <v>11786768.078961611</v>
      </c>
      <c r="G54" s="71">
        <f>+SUMIF(CATEGORIAS[[#All],[SUBGRUPO]],A54,CATEGORIAS[[#All],[PRODUCCION
PARTIDAS
ORIGINALES
ACTUAL]])
+SUMIF(CATEGORIAS[[#All],[SUBGRUPO]],A54,CATEGORIAS[[#All],[PRODUCCION
ADICIONALES
ACTUAL]])</f>
        <v>11786768.078961611</v>
      </c>
      <c r="H54" s="71">
        <f>+SUMIF(CATEGORIAS[[#All],[SUBGRUPO]],A54,CATEGORIAS[[#All],[PROYECCION
DE INGRESO
DEL SALDO]])</f>
        <v>0</v>
      </c>
      <c r="I54" s="71">
        <f t="shared" si="55"/>
        <v>11786768.078961611</v>
      </c>
      <c r="K54" s="71">
        <f>+SUMIF(CATEGORIAS[[#All],[SUBGRUPO]],A54,CATEGORIAS[[#All],[COSTO
ACUMULADO  AX]])
+SUMIF(CATEGORIAS[[#All],[SUBGRUPO]],A54,CATEGORIAS[[#All],[CAMBIO DE
CATEGORIA]])
+SUMIF(CATEGORIAS[[#All],[SUBGRUPO]],A54,CATEGORIAS[[#All],[PROVISIONES]])</f>
        <v>6534900</v>
      </c>
      <c r="L54" s="71">
        <f>+SUMIF(CATEGORIAS[[#All],[SUBGRUPO]],A54,CATEGORIAS[[#All],[PROYECCION
TOTAL DE COSTO]])</f>
        <v>0</v>
      </c>
      <c r="M54" s="71">
        <f t="shared" si="56"/>
        <v>6534900</v>
      </c>
      <c r="O54" s="71">
        <f t="shared" si="57"/>
        <v>11786768.078961611</v>
      </c>
      <c r="P54" s="71">
        <f t="shared" si="58"/>
        <v>6534900</v>
      </c>
      <c r="Q54" s="227">
        <f t="shared" si="59"/>
        <v>5251868.0789616108</v>
      </c>
    </row>
    <row r="55" spans="1:17" ht="15" customHeight="1" x14ac:dyDescent="0.25">
      <c r="A55" s="14" t="str">
        <f>'Matriz de Produccion'!A55</f>
        <v>0X07</v>
      </c>
      <c r="B55" s="6" t="str">
        <f>VLOOKUP(A55,'Analisis por Categorias'!B:C,2,FALSE)</f>
        <v>Otros Subcontratos</v>
      </c>
      <c r="D55" s="3">
        <f>SUMIF(CATEGORIAS[[#All],[SUBGRUPO]],A55,CATEGORIAS[[#All],[PRESUPUESTO
(ORIGINAL)]])</f>
        <v>18977373.126400001</v>
      </c>
      <c r="E55" s="3">
        <f>+SUMIF(CATEGORIAS[[#All],[SUBGRUPO]],A55,CATEGORIAS[[#All],[PRODUCCION
PARTIDAS
ORIGINALES
ACTUAL]])
+SUMIF(CATEGORIAS[[#All],[SUBGRUPO]],A55,CATEGORIAS[[#All],[PRODUCCION
ADICIONALES
ACTUAL]])
+SUMIF(CATEGORIAS[[#All],[SUBGRUPO]],A55,CATEGORIAS[[#All],[PROYECCION
DE INGRESO
DEL SALDO]])</f>
        <v>41460198.691105656</v>
      </c>
      <c r="G55" s="71">
        <f>+SUMIF(CATEGORIAS[[#All],[SUBGRUPO]],A55,CATEGORIAS[[#All],[PRODUCCION
PARTIDAS
ORIGINALES
ACTUAL]])
+SUMIF(CATEGORIAS[[#All],[SUBGRUPO]],A55,CATEGORIAS[[#All],[PRODUCCION
ADICIONALES
ACTUAL]])</f>
        <v>41460198.691105656</v>
      </c>
      <c r="H55" s="71">
        <f>+SUMIF(CATEGORIAS[[#All],[SUBGRUPO]],A55,CATEGORIAS[[#All],[PROYECCION
DE INGRESO
DEL SALDO]])</f>
        <v>0</v>
      </c>
      <c r="I55" s="71">
        <f t="shared" si="55"/>
        <v>41460198.691105656</v>
      </c>
      <c r="K55" s="71">
        <f>+SUMIF(CATEGORIAS[[#All],[SUBGRUPO]],A55,CATEGORIAS[[#All],[COSTO
ACUMULADO  AX]])
+SUMIF(CATEGORIAS[[#All],[SUBGRUPO]],A55,CATEGORIAS[[#All],[CAMBIO DE
CATEGORIA]])
+SUMIF(CATEGORIAS[[#All],[SUBGRUPO]],A55,CATEGORIAS[[#All],[PROVISIONES]])</f>
        <v>49760135</v>
      </c>
      <c r="L55" s="71">
        <f>+SUMIF(CATEGORIAS[[#All],[SUBGRUPO]],A55,CATEGORIAS[[#All],[PROYECCION
TOTAL DE COSTO]])</f>
        <v>0</v>
      </c>
      <c r="M55" s="71">
        <f t="shared" si="56"/>
        <v>49760135</v>
      </c>
      <c r="O55" s="71">
        <f t="shared" si="57"/>
        <v>41460198.691105656</v>
      </c>
      <c r="P55" s="71">
        <f t="shared" si="58"/>
        <v>49760135</v>
      </c>
      <c r="Q55" s="227">
        <f t="shared" si="59"/>
        <v>-8299936.3088943437</v>
      </c>
    </row>
    <row r="56" spans="1:17" ht="8.25" customHeight="1" x14ac:dyDescent="0.25">
      <c r="Q56" s="226"/>
    </row>
    <row r="57" spans="1:17" ht="15" customHeight="1" x14ac:dyDescent="0.25">
      <c r="B57" s="8" t="str">
        <f>'Matriz de Produccion'!B57:B57</f>
        <v>COSTOS INDIRECTOS</v>
      </c>
      <c r="D57" s="1">
        <f>SUM(D124:D129)</f>
        <v>1732270136.9484823</v>
      </c>
      <c r="E57" s="1">
        <f>SUM(E124:E129)</f>
        <v>2355292767.8075027</v>
      </c>
      <c r="G57" s="12">
        <f t="shared" ref="G57:Q57" si="60">SUM(G124:G129)</f>
        <v>2355292767.8023973</v>
      </c>
      <c r="H57" s="12">
        <f t="shared" si="60"/>
        <v>5.1053911447525024E-3</v>
      </c>
      <c r="I57" s="12">
        <f t="shared" si="60"/>
        <v>2355292767.8075027</v>
      </c>
      <c r="K57" s="11">
        <f t="shared" si="60"/>
        <v>2177232480.2317209</v>
      </c>
      <c r="L57" s="11">
        <f t="shared" si="60"/>
        <v>4384841</v>
      </c>
      <c r="M57" s="11">
        <f t="shared" si="60"/>
        <v>2181617321.2317209</v>
      </c>
      <c r="O57" s="12">
        <f t="shared" si="60"/>
        <v>2355292767.8075027</v>
      </c>
      <c r="P57" s="11">
        <f t="shared" si="60"/>
        <v>2181617321.2317209</v>
      </c>
      <c r="Q57" s="225">
        <f t="shared" si="60"/>
        <v>173675446.57578218</v>
      </c>
    </row>
    <row r="58" spans="1:17" ht="8.25" customHeight="1" x14ac:dyDescent="0.25">
      <c r="Q58" s="226"/>
    </row>
    <row r="59" spans="1:17" ht="15" customHeight="1" x14ac:dyDescent="0.25">
      <c r="A59" s="14" t="str">
        <f>'Matriz de Produccion'!A59</f>
        <v>1F00</v>
      </c>
      <c r="B59" s="81" t="str">
        <f>'Matriz de Produccion'!B59:B59</f>
        <v>F - MANO DE OBRA INDIRECTA</v>
      </c>
      <c r="D59" s="82">
        <f>SUM(D60:D71)</f>
        <v>849346597.24778163</v>
      </c>
      <c r="E59" s="82">
        <f>SUM(E60:E71)</f>
        <v>1307317730.5885222</v>
      </c>
      <c r="G59" s="83">
        <f>SUM(G60:G70)</f>
        <v>1307317730.5885222</v>
      </c>
      <c r="H59" s="83">
        <f>SUM(H60:H71)</f>
        <v>5.2154064178466797E-8</v>
      </c>
      <c r="I59" s="83">
        <f>SUM(I60:I71)</f>
        <v>1307317730.5885222</v>
      </c>
      <c r="K59" s="84">
        <f>SUM(K60:K70)</f>
        <v>1289015809.924376</v>
      </c>
      <c r="L59" s="84">
        <f>SUM(L60:L70)</f>
        <v>1902303.5</v>
      </c>
      <c r="M59" s="84">
        <f>SUM(M60:M70)</f>
        <v>1290918113.424376</v>
      </c>
      <c r="O59" s="12">
        <f>SUM(O60:O71)</f>
        <v>1307317730.5885222</v>
      </c>
      <c r="P59" s="11">
        <f>SUM(P60:P71)</f>
        <v>1290918113.424376</v>
      </c>
      <c r="Q59" s="225">
        <f>SUM(Q60:Q71)</f>
        <v>16399617.164145947</v>
      </c>
    </row>
    <row r="60" spans="1:17" ht="15" customHeight="1" x14ac:dyDescent="0.25">
      <c r="A60" s="14" t="str">
        <f>'Matriz de Produccion'!A60</f>
        <v>1F01</v>
      </c>
      <c r="B60" s="6" t="str">
        <f>VLOOKUP(A60,'Analisis por Categorias'!B:C,2,FALSE)</f>
        <v>Staff Superior</v>
      </c>
      <c r="D60" s="3">
        <f>SUMIF(CATEGORIAS[[#All],[SUBGRUPO]],A60,CATEGORIAS[[#All],[PRESUPUESTO
(ORIGINAL)]])</f>
        <v>263311370.33350706</v>
      </c>
      <c r="E60" s="3">
        <f>+SUMIF(CATEGORIAS[[#All],[SUBGRUPO]],A60,CATEGORIAS[[#All],[PRODUCCION
PARTIDAS
ORIGINALES
ACTUAL]])
+SUMIF(CATEGORIAS[[#All],[SUBGRUPO]],A60,CATEGORIAS[[#All],[PRODUCCION
ADICIONALES
ACTUAL]])
+SUMIF(CATEGORIAS[[#All],[SUBGRUPO]],A60,CATEGORIAS[[#All],[PROYECCION
DE INGRESO
DEL SALDO]])</f>
        <v>389822314.29709446</v>
      </c>
      <c r="G60" s="71">
        <f>+SUMIF(CATEGORIAS[[#All],[SUBGRUPO]],A60,CATEGORIAS[[#All],[PRODUCCION
PARTIDAS
ORIGINALES
ACTUAL]])
+SUMIF(CATEGORIAS[[#All],[SUBGRUPO]],A60,CATEGORIAS[[#All],[PRODUCCION
ADICIONALES
ACTUAL]])</f>
        <v>389822314.29709446</v>
      </c>
      <c r="H60" s="71">
        <f>+SUMIF(CATEGORIAS[[#All],[SUBGRUPO]],A60,CATEGORIAS[[#All],[PROYECCION
DE INGRESO
DEL SALDO]])</f>
        <v>0</v>
      </c>
      <c r="I60" s="71">
        <f>G60+H60</f>
        <v>389822314.29709446</v>
      </c>
      <c r="K60" s="71">
        <f>+SUMIF(CATEGORIAS[[#All],[SUBGRUPO]],A60,CATEGORIAS[[#All],[COSTO
ACUMULADO  AX]])
+SUMIF(CATEGORIAS[[#All],[SUBGRUPO]],A60,CATEGORIAS[[#All],[CAMBIO DE
CATEGORIA]])
+SUMIF(CATEGORIAS[[#All],[SUBGRUPO]],A60,CATEGORIAS[[#All],[PROVISIONES]])</f>
        <v>354096373.81104273</v>
      </c>
      <c r="L60" s="71">
        <f>+SUMIF(CATEGORIAS[[#All],[SUBGRUPO]],A60,CATEGORIAS[[#All],[PROYECCION
TOTAL DE COSTO]])</f>
        <v>1652803.5</v>
      </c>
      <c r="M60" s="71">
        <f>K60+L60</f>
        <v>355749177.31104273</v>
      </c>
      <c r="O60" s="71">
        <f>I60</f>
        <v>389822314.29709446</v>
      </c>
      <c r="P60" s="71">
        <f>M60</f>
        <v>355749177.31104273</v>
      </c>
      <c r="Q60" s="227">
        <f>O60-P60</f>
        <v>34073136.986051738</v>
      </c>
    </row>
    <row r="61" spans="1:17" ht="15" customHeight="1" x14ac:dyDescent="0.25">
      <c r="A61" s="14" t="str">
        <f>'Matriz de Produccion'!A61</f>
        <v>1F02</v>
      </c>
      <c r="B61" s="6" t="str">
        <f>VLOOKUP(A61,'Analisis por Categorias'!B:C,2,FALSE)</f>
        <v>Oficina Técnica</v>
      </c>
      <c r="D61" s="3">
        <f>SUMIF(CATEGORIAS[[#All],[SUBGRUPO]],A61,CATEGORIAS[[#All],[PRESUPUESTO
(ORIGINAL)]])</f>
        <v>80469294.782991737</v>
      </c>
      <c r="E61" s="3">
        <f>+SUMIF(CATEGORIAS[[#All],[SUBGRUPO]],A61,CATEGORIAS[[#All],[PRODUCCION
PARTIDAS
ORIGINALES
ACTUAL]])
+SUMIF(CATEGORIAS[[#All],[SUBGRUPO]],A61,CATEGORIAS[[#All],[PRODUCCION
ADICIONALES
ACTUAL]])
+SUMIF(CATEGORIAS[[#All],[SUBGRUPO]],A61,CATEGORIAS[[#All],[PROYECCION
DE INGRESO
DEL SALDO]])</f>
        <v>124065984.65281068</v>
      </c>
      <c r="G61" s="71">
        <f>+SUMIF(CATEGORIAS[[#All],[SUBGRUPO]],A61,CATEGORIAS[[#All],[PRODUCCION
PARTIDAS
ORIGINALES
ACTUAL]])
+SUMIF(CATEGORIAS[[#All],[SUBGRUPO]],A61,CATEGORIAS[[#All],[PRODUCCION
ADICIONALES
ACTUAL]])</f>
        <v>124065984.65281066</v>
      </c>
      <c r="H61" s="71">
        <f>+SUMIF(CATEGORIAS[[#All],[SUBGRUPO]],A61,CATEGORIAS[[#All],[PROYECCION
DE INGRESO
DEL SALDO]])</f>
        <v>1.4901161193847656E-8</v>
      </c>
      <c r="I61" s="71">
        <f>G61+H61</f>
        <v>124065984.65281068</v>
      </c>
      <c r="K61" s="71">
        <f>+SUMIF(CATEGORIAS[[#All],[SUBGRUPO]],A61,CATEGORIAS[[#All],[COSTO
ACUMULADO  AX]])
+SUMIF(CATEGORIAS[[#All],[SUBGRUPO]],A61,CATEGORIAS[[#All],[CAMBIO DE
CATEGORIA]])
+SUMIF(CATEGORIAS[[#All],[SUBGRUPO]],A61,CATEGORIAS[[#All],[PROVISIONES]])</f>
        <v>122778866.53333333</v>
      </c>
      <c r="L61" s="71">
        <f>+SUMIF(CATEGORIAS[[#All],[SUBGRUPO]],A61,CATEGORIAS[[#All],[PROYECCION
TOTAL DE COSTO]])</f>
        <v>0</v>
      </c>
      <c r="M61" s="85">
        <f>K61+L61</f>
        <v>122778866.53333333</v>
      </c>
      <c r="O61" s="85">
        <f>I61</f>
        <v>124065984.65281068</v>
      </c>
      <c r="P61" s="85">
        <f>M61</f>
        <v>122778866.53333333</v>
      </c>
      <c r="Q61" s="228">
        <f>O61-P61</f>
        <v>1287118.1194773465</v>
      </c>
    </row>
    <row r="62" spans="1:17" ht="15" customHeight="1" x14ac:dyDescent="0.25">
      <c r="A62" s="14" t="str">
        <f>'Matriz de Produccion'!A62</f>
        <v>1F03</v>
      </c>
      <c r="B62" s="6" t="str">
        <f>VLOOKUP(A62,'Analisis por Categorias'!B:C,2,FALSE)</f>
        <v>Supervisión</v>
      </c>
      <c r="D62" s="3">
        <f>SUMIF(CATEGORIAS[[#All],[SUBGRUPO]],A62,CATEGORIAS[[#All],[PRESUPUESTO
(ORIGINAL)]])</f>
        <v>97274459.021890849</v>
      </c>
      <c r="E62" s="3">
        <f>+SUMIF(CATEGORIAS[[#All],[SUBGRUPO]],A62,CATEGORIAS[[#All],[PRODUCCION
PARTIDAS
ORIGINALES
ACTUAL]])
+SUMIF(CATEGORIAS[[#All],[SUBGRUPO]],A62,CATEGORIAS[[#All],[PRODUCCION
ADICIONALES
ACTUAL]])
+SUMIF(CATEGORIAS[[#All],[SUBGRUPO]],A62,CATEGORIAS[[#All],[PROYECCION
DE INGRESO
DEL SALDO]])</f>
        <v>171651892.76443025</v>
      </c>
      <c r="G62" s="71">
        <f>+SUMIF(CATEGORIAS[[#All],[SUBGRUPO]],A62,CATEGORIAS[[#All],[PRODUCCION
PARTIDAS
ORIGINALES
ACTUAL]])
+SUMIF(CATEGORIAS[[#All],[SUBGRUPO]],A62,CATEGORIAS[[#All],[PRODUCCION
ADICIONALES
ACTUAL]])</f>
        <v>171651892.76443022</v>
      </c>
      <c r="H62" s="71">
        <f>+SUMIF(CATEGORIAS[[#All],[SUBGRUPO]],A62,CATEGORIAS[[#All],[PROYECCION
DE INGRESO
DEL SALDO]])</f>
        <v>2.9802322387695313E-8</v>
      </c>
      <c r="I62" s="71">
        <f>G62+H62</f>
        <v>171651892.76443025</v>
      </c>
      <c r="K62" s="71">
        <f>+SUMIF(CATEGORIAS[[#All],[SUBGRUPO]],A62,CATEGORIAS[[#All],[COSTO
ACUMULADO  AX]])
+SUMIF(CATEGORIAS[[#All],[SUBGRUPO]],A62,CATEGORIAS[[#All],[CAMBIO DE
CATEGORIA]])
+SUMIF(CATEGORIAS[[#All],[SUBGRUPO]],A62,CATEGORIAS[[#All],[PROVISIONES]])</f>
        <v>121259605</v>
      </c>
      <c r="L62" s="71">
        <f>+SUMIF(CATEGORIAS[[#All],[SUBGRUPO]],A62,CATEGORIAS[[#All],[PROYECCION
TOTAL DE COSTO]])</f>
        <v>0</v>
      </c>
      <c r="M62" s="71">
        <f>K62+L62</f>
        <v>121259605</v>
      </c>
      <c r="O62" s="71">
        <f>I62</f>
        <v>171651892.76443025</v>
      </c>
      <c r="P62" s="71">
        <f>M62</f>
        <v>121259605</v>
      </c>
      <c r="Q62" s="227">
        <f>O62-P62</f>
        <v>50392287.764430255</v>
      </c>
    </row>
    <row r="63" spans="1:17" ht="15" customHeight="1" x14ac:dyDescent="0.25">
      <c r="A63" s="14" t="str">
        <f>'Matriz de Produccion'!A63</f>
        <v>1F04</v>
      </c>
      <c r="B63" s="6" t="str">
        <f>VLOOKUP(A63,'Analisis por Categorias'!B:C,2,FALSE)</f>
        <v>Prevención De Riesgos</v>
      </c>
      <c r="D63" s="3">
        <f>SUMIF(CATEGORIAS[[#All],[SUBGRUPO]],A63,CATEGORIAS[[#All],[PRESUPUESTO
(ORIGINAL)]])</f>
        <v>97189486.687312499</v>
      </c>
      <c r="E63" s="3">
        <f>+SUMIF(CATEGORIAS[[#All],[SUBGRUPO]],A63,CATEGORIAS[[#All],[PRODUCCION
PARTIDAS
ORIGINALES
ACTUAL]])
+SUMIF(CATEGORIAS[[#All],[SUBGRUPO]],A63,CATEGORIAS[[#All],[PRODUCCION
ADICIONALES
ACTUAL]])
+SUMIF(CATEGORIAS[[#All],[SUBGRUPO]],A63,CATEGORIAS[[#All],[PROYECCION
DE INGRESO
DEL SALDO]])</f>
        <v>146852330.22688562</v>
      </c>
      <c r="G63" s="71">
        <f>+SUMIF(CATEGORIAS[[#All],[SUBGRUPO]],A63,CATEGORIAS[[#All],[PRODUCCION
PARTIDAS
ORIGINALES
ACTUAL]])
+SUMIF(CATEGORIAS[[#All],[SUBGRUPO]],A63,CATEGORIAS[[#All],[PRODUCCION
ADICIONALES
ACTUAL]])</f>
        <v>146852330.22688562</v>
      </c>
      <c r="H63" s="71">
        <f>+SUMIF(CATEGORIAS[[#All],[SUBGRUPO]],A63,CATEGORIAS[[#All],[PROYECCION
DE INGRESO
DEL SALDO]])</f>
        <v>0</v>
      </c>
      <c r="I63" s="71">
        <f>G63+H63</f>
        <v>146852330.22688562</v>
      </c>
      <c r="K63" s="71">
        <f>+SUMIF(CATEGORIAS[[#All],[SUBGRUPO]],A63,CATEGORIAS[[#All],[COSTO
ACUMULADO  AX]])
+SUMIF(CATEGORIAS[[#All],[SUBGRUPO]],A63,CATEGORIAS[[#All],[CAMBIO DE
CATEGORIA]])
+SUMIF(CATEGORIAS[[#All],[SUBGRUPO]],A63,CATEGORIAS[[#All],[PROVISIONES]])</f>
        <v>84690890</v>
      </c>
      <c r="L63" s="71">
        <f>+SUMIF(CATEGORIAS[[#All],[SUBGRUPO]],A63,CATEGORIAS[[#All],[PROYECCION
TOTAL DE COSTO]])</f>
        <v>0</v>
      </c>
      <c r="M63" s="85">
        <f>K63+L63</f>
        <v>84690890</v>
      </c>
      <c r="O63" s="85">
        <f>I63</f>
        <v>146852330.22688562</v>
      </c>
      <c r="P63" s="85">
        <f>M63</f>
        <v>84690890</v>
      </c>
      <c r="Q63" s="228">
        <f>O63-P63</f>
        <v>62161440.226885617</v>
      </c>
    </row>
    <row r="64" spans="1:17" ht="15" customHeight="1" x14ac:dyDescent="0.25">
      <c r="A64" s="14" t="str">
        <f>'Matriz de Produccion'!A64</f>
        <v>1F05</v>
      </c>
      <c r="B64" s="6" t="str">
        <f>VLOOKUP(A64,'Analisis por Categorias'!B:C,2,FALSE)</f>
        <v>Calidad</v>
      </c>
      <c r="D64" s="3">
        <f>SUMIF(CATEGORIAS[[#All],[SUBGRUPO]],A64,CATEGORIAS[[#All],[PRESUPUESTO
(ORIGINAL)]])</f>
        <v>39901819.760774568</v>
      </c>
      <c r="E64" s="3">
        <f>+SUMIF(CATEGORIAS[[#All],[SUBGRUPO]],A64,CATEGORIAS[[#All],[PRODUCCION
PARTIDAS
ORIGINALES
ACTUAL]])
+SUMIF(CATEGORIAS[[#All],[SUBGRUPO]],A64,CATEGORIAS[[#All],[PRODUCCION
ADICIONALES
ACTUAL]])
+SUMIF(CATEGORIAS[[#All],[SUBGRUPO]],A64,CATEGORIAS[[#All],[PROYECCION
DE INGRESO
DEL SALDO]])</f>
        <v>61273201.106175922</v>
      </c>
      <c r="G64" s="71">
        <f>+SUMIF(CATEGORIAS[[#All],[SUBGRUPO]],A64,CATEGORIAS[[#All],[PRODUCCION
PARTIDAS
ORIGINALES
ACTUAL]])
+SUMIF(CATEGORIAS[[#All],[SUBGRUPO]],A64,CATEGORIAS[[#All],[PRODUCCION
ADICIONALES
ACTUAL]])</f>
        <v>61273201.106175914</v>
      </c>
      <c r="H64" s="71">
        <f>+SUMIF(CATEGORIAS[[#All],[SUBGRUPO]],A64,CATEGORIAS[[#All],[PROYECCION
DE INGRESO
DEL SALDO]])</f>
        <v>7.4505805969238281E-9</v>
      </c>
      <c r="I64" s="71">
        <f t="shared" ref="I64:I70" si="61">G64+H64</f>
        <v>61273201.106175922</v>
      </c>
      <c r="K64" s="71">
        <f>+SUMIF(CATEGORIAS[[#All],[SUBGRUPO]],A64,CATEGORIAS[[#All],[COSTO
ACUMULADO  AX]])
+SUMIF(CATEGORIAS[[#All],[SUBGRUPO]],A64,CATEGORIAS[[#All],[CAMBIO DE
CATEGORIA]])
+SUMIF(CATEGORIAS[[#All],[SUBGRUPO]],A64,CATEGORIAS[[#All],[PROVISIONES]])</f>
        <v>44849347</v>
      </c>
      <c r="L64" s="71">
        <f>+SUMIF(CATEGORIAS[[#All],[SUBGRUPO]],A64,CATEGORIAS[[#All],[PROYECCION
TOTAL DE COSTO]])</f>
        <v>0</v>
      </c>
      <c r="M64" s="71">
        <f t="shared" ref="M64:M70" si="62">K64+L64</f>
        <v>44849347</v>
      </c>
      <c r="O64" s="71">
        <f t="shared" ref="O64:O70" si="63">I64</f>
        <v>61273201.106175922</v>
      </c>
      <c r="P64" s="71">
        <f t="shared" ref="P64:P70" si="64">M64</f>
        <v>44849347</v>
      </c>
      <c r="Q64" s="227">
        <f t="shared" ref="Q64:Q70" si="65">O64-P64</f>
        <v>16423854.106175922</v>
      </c>
    </row>
    <row r="65" spans="1:17" ht="15" customHeight="1" x14ac:dyDescent="0.25">
      <c r="A65" s="14" t="str">
        <f>'Matriz de Produccion'!A65</f>
        <v>1F06</v>
      </c>
      <c r="B65" s="6" t="str">
        <f>VLOOKUP(A65,'Analisis por Categorias'!B:C,2,FALSE)</f>
        <v>Administración</v>
      </c>
      <c r="D65" s="3">
        <f>SUMIF(CATEGORIAS[[#All],[SUBGRUPO]],A65,CATEGORIAS[[#All],[PRESUPUESTO
(ORIGINAL)]])</f>
        <v>55188181.120416395</v>
      </c>
      <c r="E65" s="3">
        <f>+SUMIF(CATEGORIAS[[#All],[SUBGRUPO]],A65,CATEGORIAS[[#All],[PRODUCCION
PARTIDAS
ORIGINALES
ACTUAL]])
+SUMIF(CATEGORIAS[[#All],[SUBGRUPO]],A65,CATEGORIAS[[#All],[PRODUCCION
ADICIONALES
ACTUAL]])
+SUMIF(CATEGORIAS[[#All],[SUBGRUPO]],A65,CATEGORIAS[[#All],[PROYECCION
DE INGRESO
DEL SALDO]])</f>
        <v>91474850.636483014</v>
      </c>
      <c r="G65" s="71">
        <f>+SUMIF(CATEGORIAS[[#All],[SUBGRUPO]],A65,CATEGORIAS[[#All],[PRODUCCION
PARTIDAS
ORIGINALES
ACTUAL]])
+SUMIF(CATEGORIAS[[#All],[SUBGRUPO]],A65,CATEGORIAS[[#All],[PRODUCCION
ADICIONALES
ACTUAL]])</f>
        <v>91474850.636483014</v>
      </c>
      <c r="H65" s="71">
        <f>+SUMIF(CATEGORIAS[[#All],[SUBGRUPO]],A65,CATEGORIAS[[#All],[PROYECCION
DE INGRESO
DEL SALDO]])</f>
        <v>0</v>
      </c>
      <c r="I65" s="71">
        <f>G65+H65</f>
        <v>91474850.636483014</v>
      </c>
      <c r="K65" s="71">
        <f>+SUMIF(CATEGORIAS[[#All],[SUBGRUPO]],A65,CATEGORIAS[[#All],[COSTO
ACUMULADO  AX]])
+SUMIF(CATEGORIAS[[#All],[SUBGRUPO]],A65,CATEGORIAS[[#All],[CAMBIO DE
CATEGORIA]])
+SUMIF(CATEGORIAS[[#All],[SUBGRUPO]],A65,CATEGORIAS[[#All],[PROVISIONES]])</f>
        <v>89355743</v>
      </c>
      <c r="L65" s="71">
        <f>+SUMIF(CATEGORIAS[[#All],[SUBGRUPO]],A65,CATEGORIAS[[#All],[PROYECCION
TOTAL DE COSTO]])</f>
        <v>0</v>
      </c>
      <c r="M65" s="85">
        <f>K65+L65</f>
        <v>89355743</v>
      </c>
      <c r="O65" s="85">
        <f>I65</f>
        <v>91474850.636483014</v>
      </c>
      <c r="P65" s="85">
        <f>M65</f>
        <v>89355743</v>
      </c>
      <c r="Q65" s="228">
        <f>O65-P65</f>
        <v>2119107.6364830136</v>
      </c>
    </row>
    <row r="66" spans="1:17" ht="15" customHeight="1" x14ac:dyDescent="0.25">
      <c r="A66" s="14" t="str">
        <f>'Matriz de Produccion'!A66</f>
        <v>1F07</v>
      </c>
      <c r="B66" s="6" t="str">
        <f>VLOOKUP(A66,'Analisis por Categorias'!B:C,2,FALSE)</f>
        <v>Servicios</v>
      </c>
      <c r="D66" s="3">
        <f>SUMIF(CATEGORIAS[[#All],[SUBGRUPO]],A66,CATEGORIAS[[#All],[PRESUPUESTO
(ORIGINAL)]])</f>
        <v>67752174.763487533</v>
      </c>
      <c r="E66" s="3">
        <f>+SUMIF(CATEGORIAS[[#All],[SUBGRUPO]],A66,CATEGORIAS[[#All],[PRODUCCION
PARTIDAS
ORIGINALES
ACTUAL]])
+SUMIF(CATEGORIAS[[#All],[SUBGRUPO]],A66,CATEGORIAS[[#All],[PRODUCCION
ADICIONALES
ACTUAL]])
+SUMIF(CATEGORIAS[[#All],[SUBGRUPO]],A66,CATEGORIAS[[#All],[PROYECCION
DE INGRESO
DEL SALDO]])</f>
        <v>99686186.714557394</v>
      </c>
      <c r="G66" s="71">
        <f>+SUMIF(CATEGORIAS[[#All],[SUBGRUPO]],A66,CATEGORIAS[[#All],[PRODUCCION
PARTIDAS
ORIGINALES
ACTUAL]])
+SUMIF(CATEGORIAS[[#All],[SUBGRUPO]],A66,CATEGORIAS[[#All],[PRODUCCION
ADICIONALES
ACTUAL]])</f>
        <v>99686186.714557394</v>
      </c>
      <c r="H66" s="71">
        <f>+SUMIF(CATEGORIAS[[#All],[SUBGRUPO]],A66,CATEGORIAS[[#All],[PROYECCION
DE INGRESO
DEL SALDO]])</f>
        <v>0</v>
      </c>
      <c r="I66" s="71">
        <f>G66+H66</f>
        <v>99686186.714557394</v>
      </c>
      <c r="K66" s="71">
        <f>+SUMIF(CATEGORIAS[[#All],[SUBGRUPO]],A66,CATEGORIAS[[#All],[COSTO
ACUMULADO  AX]])
+SUMIF(CATEGORIAS[[#All],[SUBGRUPO]],A66,CATEGORIAS[[#All],[CAMBIO DE
CATEGORIA]])
+SUMIF(CATEGORIAS[[#All],[SUBGRUPO]],A66,CATEGORIAS[[#All],[PROVISIONES]])</f>
        <v>145760303</v>
      </c>
      <c r="L66" s="71">
        <f>+SUMIF(CATEGORIAS[[#All],[SUBGRUPO]],A66,CATEGORIAS[[#All],[PROYECCION
TOTAL DE COSTO]])</f>
        <v>0</v>
      </c>
      <c r="M66" s="85">
        <f>K66+L66</f>
        <v>145760303</v>
      </c>
      <c r="O66" s="85">
        <f>I66</f>
        <v>99686186.714557394</v>
      </c>
      <c r="P66" s="85">
        <f>M66</f>
        <v>145760303</v>
      </c>
      <c r="Q66" s="228">
        <f>O66-P66</f>
        <v>-46074116.285442606</v>
      </c>
    </row>
    <row r="67" spans="1:17" ht="15" customHeight="1" x14ac:dyDescent="0.25">
      <c r="A67" s="14" t="str">
        <f>'Matriz de Produccion'!A67</f>
        <v>1F08</v>
      </c>
      <c r="B67" s="6" t="str">
        <f>VLOOKUP(A67,'Analisis por Categorias'!B:C,2,FALSE)</f>
        <v>Topografía</v>
      </c>
      <c r="D67" s="3">
        <f>SUMIF(CATEGORIAS[[#All],[SUBGRUPO]],A67,CATEGORIAS[[#All],[PRESUPUESTO
(ORIGINAL)]])</f>
        <v>44741710.359320536</v>
      </c>
      <c r="E67" s="3">
        <f>+SUMIF(CATEGORIAS[[#All],[SUBGRUPO]],A67,CATEGORIAS[[#All],[PRODUCCION
PARTIDAS
ORIGINALES
ACTUAL]])
+SUMIF(CATEGORIAS[[#All],[SUBGRUPO]],A67,CATEGORIAS[[#All],[PRODUCCION
ADICIONALES
ACTUAL]])
+SUMIF(CATEGORIAS[[#All],[SUBGRUPO]],A67,CATEGORIAS[[#All],[PROYECCION
DE INGRESO
DEL SALDO]])</f>
        <v>64938958.4525019</v>
      </c>
      <c r="G67" s="71">
        <f>+SUMIF(CATEGORIAS[[#All],[SUBGRUPO]],A67,CATEGORIAS[[#All],[PRODUCCION
PARTIDAS
ORIGINALES
ACTUAL]])
+SUMIF(CATEGORIAS[[#All],[SUBGRUPO]],A67,CATEGORIAS[[#All],[PRODUCCION
ADICIONALES
ACTUAL]])</f>
        <v>64938958.4525019</v>
      </c>
      <c r="H67" s="71">
        <f>+SUMIF(CATEGORIAS[[#All],[SUBGRUPO]],A67,CATEGORIAS[[#All],[PROYECCION
DE INGRESO
DEL SALDO]])</f>
        <v>0</v>
      </c>
      <c r="I67" s="71">
        <f>G67+H67</f>
        <v>64938958.4525019</v>
      </c>
      <c r="K67" s="71">
        <f>+SUMIF(CATEGORIAS[[#All],[SUBGRUPO]],A67,CATEGORIAS[[#All],[COSTO
ACUMULADO  AX]])
+SUMIF(CATEGORIAS[[#All],[SUBGRUPO]],A67,CATEGORIAS[[#All],[CAMBIO DE
CATEGORIA]])
+SUMIF(CATEGORIAS[[#All],[SUBGRUPO]],A67,CATEGORIAS[[#All],[PROVISIONES]])</f>
        <v>80582133</v>
      </c>
      <c r="L67" s="71">
        <f>+SUMIF(CATEGORIAS[[#All],[SUBGRUPO]],A67,CATEGORIAS[[#All],[PROYECCION
TOTAL DE COSTO]])</f>
        <v>0</v>
      </c>
      <c r="M67" s="85">
        <f>K67+L67</f>
        <v>80582133</v>
      </c>
      <c r="O67" s="85">
        <f>I67</f>
        <v>64938958.4525019</v>
      </c>
      <c r="P67" s="85">
        <f>M67</f>
        <v>80582133</v>
      </c>
      <c r="Q67" s="228">
        <f>O67-P67</f>
        <v>-15643174.5474981</v>
      </c>
    </row>
    <row r="68" spans="1:17" ht="15" customHeight="1" x14ac:dyDescent="0.25">
      <c r="A68" s="14" t="str">
        <f>'Matriz de Produccion'!A68</f>
        <v>1F09</v>
      </c>
      <c r="B68" s="6" t="str">
        <f>VLOOKUP(A68,'Analisis por Categorias'!B:C,2,FALSE)</f>
        <v>Movilización</v>
      </c>
      <c r="D68" s="3">
        <f>SUMIF(CATEGORIAS[[#All],[SUBGRUPO]],A68,CATEGORIAS[[#All],[PRESUPUESTO
(ORIGINAL)]])</f>
        <v>17775000</v>
      </c>
      <c r="E68" s="3">
        <f>+SUMIF(CATEGORIAS[[#All],[SUBGRUPO]],A68,CATEGORIAS[[#All],[PRODUCCION
PARTIDAS
ORIGINALES
ACTUAL]])
+SUMIF(CATEGORIAS[[#All],[SUBGRUPO]],A68,CATEGORIAS[[#All],[PRODUCCION
ADICIONALES
ACTUAL]])
+SUMIF(CATEGORIAS[[#All],[SUBGRUPO]],A68,CATEGORIAS[[#All],[PROYECCION
DE INGRESO
DEL SALDO]])</f>
        <v>27212056.461631984</v>
      </c>
      <c r="G68" s="71">
        <f>+SUMIF(CATEGORIAS[[#All],[SUBGRUPO]],A68,CATEGORIAS[[#All],[PRODUCCION
PARTIDAS
ORIGINALES
ACTUAL]])
+SUMIF(CATEGORIAS[[#All],[SUBGRUPO]],A68,CATEGORIAS[[#All],[PRODUCCION
ADICIONALES
ACTUAL]])</f>
        <v>27212056.461631984</v>
      </c>
      <c r="H68" s="71">
        <f>+SUMIF(CATEGORIAS[[#All],[SUBGRUPO]],A68,CATEGORIAS[[#All],[PROYECCION
DE INGRESO
DEL SALDO]])</f>
        <v>0</v>
      </c>
      <c r="I68" s="71">
        <f t="shared" si="61"/>
        <v>27212056.461631984</v>
      </c>
      <c r="K68" s="71">
        <f>+SUMIF(CATEGORIAS[[#All],[SUBGRUPO]],A68,CATEGORIAS[[#All],[COSTO
ACUMULADO  AX]])
+SUMIF(CATEGORIAS[[#All],[SUBGRUPO]],A68,CATEGORIAS[[#All],[CAMBIO DE
CATEGORIA]])
+SUMIF(CATEGORIAS[[#All],[SUBGRUPO]],A68,CATEGORIAS[[#All],[PROVISIONES]])</f>
        <v>79403794</v>
      </c>
      <c r="L68" s="71">
        <f>+SUMIF(CATEGORIAS[[#All],[SUBGRUPO]],A68,CATEGORIAS[[#All],[PROYECCION
TOTAL DE COSTO]])</f>
        <v>0</v>
      </c>
      <c r="M68" s="85">
        <f t="shared" si="62"/>
        <v>79403794</v>
      </c>
      <c r="O68" s="85">
        <f t="shared" si="63"/>
        <v>27212056.461631984</v>
      </c>
      <c r="P68" s="85">
        <f t="shared" si="64"/>
        <v>79403794</v>
      </c>
      <c r="Q68" s="228">
        <f t="shared" si="65"/>
        <v>-52191737.538368016</v>
      </c>
    </row>
    <row r="69" spans="1:17" ht="15" customHeight="1" x14ac:dyDescent="0.25">
      <c r="A69" s="14" t="str">
        <f>'Matriz de Produccion'!A69</f>
        <v>1F10</v>
      </c>
      <c r="B69" s="6" t="str">
        <f>VLOOKUP(A69,'Analisis por Categorias'!B:C,2,FALSE)</f>
        <v>Hoteleria</v>
      </c>
      <c r="D69" s="3">
        <f>SUMIF(CATEGORIAS[[#All],[SUBGRUPO]],A69,CATEGORIAS[[#All],[PRESUPUESTO
(ORIGINAL)]])</f>
        <v>62225000</v>
      </c>
      <c r="E69" s="3">
        <f>+SUMIF(CATEGORIAS[[#All],[SUBGRUPO]],A69,CATEGORIAS[[#All],[PRODUCCION
PARTIDAS
ORIGINALES
ACTUAL]])
+SUMIF(CATEGORIAS[[#All],[SUBGRUPO]],A69,CATEGORIAS[[#All],[PRODUCCION
ADICIONALES
ACTUAL]])
+SUMIF(CATEGORIAS[[#All],[SUBGRUPO]],A69,CATEGORIAS[[#All],[PROYECCION
DE INGRESO
DEL SALDO]])</f>
        <v>93317344.719605133</v>
      </c>
      <c r="G69" s="71">
        <f>+SUMIF(CATEGORIAS[[#All],[SUBGRUPO]],A69,CATEGORIAS[[#All],[PRODUCCION
PARTIDAS
ORIGINALES
ACTUAL]])
+SUMIF(CATEGORIAS[[#All],[SUBGRUPO]],A69,CATEGORIAS[[#All],[PRODUCCION
ADICIONALES
ACTUAL]])</f>
        <v>93317344.719605133</v>
      </c>
      <c r="H69" s="71">
        <f>+SUMIF(CATEGORIAS[[#All],[SUBGRUPO]],A69,CATEGORIAS[[#All],[PROYECCION
DE INGRESO
DEL SALDO]])</f>
        <v>0</v>
      </c>
      <c r="I69" s="71">
        <f t="shared" ref="I69" si="66">G69+H69</f>
        <v>93317344.719605133</v>
      </c>
      <c r="K69" s="71">
        <f>+SUMIF(CATEGORIAS[[#All],[SUBGRUPO]],A69,CATEGORIAS[[#All],[COSTO
ACUMULADO  AX]])
+SUMIF(CATEGORIAS[[#All],[SUBGRUPO]],A69,CATEGORIAS[[#All],[CAMBIO DE
CATEGORIA]])
+SUMIF(CATEGORIAS[[#All],[SUBGRUPO]],A69,CATEGORIAS[[#All],[PROVISIONES]])</f>
        <v>118923482</v>
      </c>
      <c r="L69" s="71">
        <f>+SUMIF(CATEGORIAS[[#All],[SUBGRUPO]],A69,CATEGORIAS[[#All],[PROYECCION
TOTAL DE COSTO]])</f>
        <v>200000</v>
      </c>
      <c r="M69" s="71">
        <f t="shared" ref="M69" si="67">K69+L69</f>
        <v>119123482</v>
      </c>
      <c r="O69" s="71">
        <f t="shared" ref="O69" si="68">I69</f>
        <v>93317344.719605133</v>
      </c>
      <c r="P69" s="71">
        <f t="shared" ref="P69" si="69">M69</f>
        <v>119123482</v>
      </c>
      <c r="Q69" s="227">
        <f t="shared" ref="Q69" si="70">O69-P69</f>
        <v>-25806137.280394867</v>
      </c>
    </row>
    <row r="70" spans="1:17" ht="15" customHeight="1" x14ac:dyDescent="0.25">
      <c r="A70" s="14" t="str">
        <f>'Matriz de Produccion'!A70</f>
        <v>1F11</v>
      </c>
      <c r="B70" s="6" t="str">
        <f>VLOOKUP(A70,'Analisis por Categorias'!B:C,2,FALSE)</f>
        <v>Alimentación</v>
      </c>
      <c r="D70" s="3">
        <f>SUMIF(CATEGORIAS[[#All],[SUBGRUPO]],A70,CATEGORIAS[[#All],[PRESUPUESTO
(ORIGINAL)]])</f>
        <v>23518100.418080352</v>
      </c>
      <c r="E70" s="3">
        <f>+SUMIF(CATEGORIAS[[#All],[SUBGRUPO]],A70,CATEGORIAS[[#All],[PRODUCCION
PARTIDAS
ORIGINALES
ACTUAL]])
+SUMIF(CATEGORIAS[[#All],[SUBGRUPO]],A70,CATEGORIAS[[#All],[PRODUCCION
ADICIONALES
ACTUAL]])
+SUMIF(CATEGORIAS[[#All],[SUBGRUPO]],A70,CATEGORIAS[[#All],[PROYECCION
DE INGRESO
DEL SALDO]])</f>
        <v>37022610.556345612</v>
      </c>
      <c r="G70" s="71">
        <f>+SUMIF(CATEGORIAS[[#All],[SUBGRUPO]],A70,CATEGORIAS[[#All],[PRODUCCION
PARTIDAS
ORIGINALES
ACTUAL]])
+SUMIF(CATEGORIAS[[#All],[SUBGRUPO]],A70,CATEGORIAS[[#All],[PRODUCCION
ADICIONALES
ACTUAL]])</f>
        <v>37022610.556345612</v>
      </c>
      <c r="H70" s="71">
        <f>+SUMIF(CATEGORIAS[[#All],[SUBGRUPO]],A70,CATEGORIAS[[#All],[PROYECCION
DE INGRESO
DEL SALDO]])</f>
        <v>0</v>
      </c>
      <c r="I70" s="71">
        <f t="shared" si="61"/>
        <v>37022610.556345612</v>
      </c>
      <c r="K70" s="71">
        <f>+SUMIF(CATEGORIAS[[#All],[SUBGRUPO]],A70,CATEGORIAS[[#All],[COSTO
ACUMULADO  AX]])
+SUMIF(CATEGORIAS[[#All],[SUBGRUPO]],A70,CATEGORIAS[[#All],[CAMBIO DE
CATEGORIA]])
+SUMIF(CATEGORIAS[[#All],[SUBGRUPO]],A70,CATEGORIAS[[#All],[PROVISIONES]])</f>
        <v>47315272.579999998</v>
      </c>
      <c r="L70" s="71">
        <f>+SUMIF(CATEGORIAS[[#All],[SUBGRUPO]],A70,CATEGORIAS[[#All],[PROYECCION
TOTAL DE COSTO]])</f>
        <v>49500</v>
      </c>
      <c r="M70" s="71">
        <f t="shared" si="62"/>
        <v>47364772.579999998</v>
      </c>
      <c r="O70" s="71">
        <f t="shared" si="63"/>
        <v>37022610.556345612</v>
      </c>
      <c r="P70" s="71">
        <f t="shared" si="64"/>
        <v>47364772.579999998</v>
      </c>
      <c r="Q70" s="227">
        <f t="shared" si="65"/>
        <v>-10342162.023654386</v>
      </c>
    </row>
    <row r="71" spans="1:17" ht="15" hidden="1" customHeight="1" x14ac:dyDescent="0.25">
      <c r="A71" s="14" t="str">
        <f>'Matriz de Produccion'!A71</f>
        <v>1F12</v>
      </c>
      <c r="B71" s="6" t="e">
        <f>VLOOKUP(A71,'Analisis por Categorias'!B:C,2,FALSE)</f>
        <v>#N/A</v>
      </c>
      <c r="D71" s="3">
        <f>SUMIF(CATEGORIAS[[#All],[SUBGRUPO]],A71,CATEGORIAS[[#All],[PRESUPUESTO
(ORIGINAL)]])</f>
        <v>0</v>
      </c>
      <c r="E71" s="3">
        <f>+SUMIF(CATEGORIAS[[#All],[SUBGRUPO]],A71,CATEGORIAS[[#All],[PRODUCCION
PARTIDAS
ORIGINALES
ACTUAL]])
+SUMIF(CATEGORIAS[[#All],[SUBGRUPO]],A71,CATEGORIAS[[#All],[PRODUCCION
ADICIONALES
ACTUAL]])
+SUMIF(CATEGORIAS[[#All],[SUBGRUPO]],A71,CATEGORIAS[[#All],[PROYECCION
DE INGRESO
DEL SALDO]])</f>
        <v>0</v>
      </c>
      <c r="G71" s="71">
        <f>+SUMIF(CATEGORIAS[[#All],[SUBGRUPO]],A71,CATEGORIAS[[#All],[PRODUCCION
PARTIDAS
ORIGINALES
ACTUAL]])
+SUMIF(CATEGORIAS[[#All],[SUBGRUPO]],A71,CATEGORIAS[[#All],[PRODUCCION
ADICIONALES
ACTUAL]])</f>
        <v>0</v>
      </c>
      <c r="H71" s="71">
        <f>+SUMIF(CATEGORIAS[[#All],[SUBGRUPO]],A71,CATEGORIAS[[#All],[PROYECCION
DE INGRESO
DEL SALDO]])</f>
        <v>0</v>
      </c>
      <c r="I71" s="71">
        <f t="shared" ref="I71" si="71">G71+H71</f>
        <v>0</v>
      </c>
      <c r="K71" s="71">
        <f>+SUMIF(CATEGORIAS[[#All],[SUBGRUPO]],A71,CATEGORIAS[[#All],[COSTO
ACUMULADO  AX]])
+SUMIF(CATEGORIAS[[#All],[SUBGRUPO]],A71,CATEGORIAS[[#All],[CAMBIO DE
CATEGORIA]])
+SUMIF(CATEGORIAS[[#All],[SUBGRUPO]],A71,CATEGORIAS[[#All],[PROVISIONES]])</f>
        <v>0</v>
      </c>
      <c r="L71" s="71">
        <f>+SUMIF(CATEGORIAS[[#All],[SUBGRUPO]],A71,CATEGORIAS[[#All],[PROYECCION
TOTAL DE COSTO]])</f>
        <v>0</v>
      </c>
      <c r="M71" s="71">
        <f t="shared" ref="M71" si="72">K71+L71</f>
        <v>0</v>
      </c>
      <c r="O71" s="71">
        <f t="shared" ref="O71" si="73">I71</f>
        <v>0</v>
      </c>
      <c r="P71" s="71">
        <f t="shared" ref="P71" si="74">M71</f>
        <v>0</v>
      </c>
      <c r="Q71" s="227">
        <f t="shared" ref="Q71" si="75">O71-P71</f>
        <v>0</v>
      </c>
    </row>
    <row r="72" spans="1:17" ht="8.25" customHeight="1" x14ac:dyDescent="0.25">
      <c r="Q72" s="226"/>
    </row>
    <row r="73" spans="1:17" ht="15" customHeight="1" x14ac:dyDescent="0.25">
      <c r="A73" s="14" t="str">
        <f>'Matriz de Produccion'!A73</f>
        <v>1G00</v>
      </c>
      <c r="B73" s="81" t="str">
        <f>'Matriz de Produccion'!B73:B73</f>
        <v>G - EQUIPOS INDIRECTOS</v>
      </c>
      <c r="D73" s="82">
        <f>SUM(D74:D77)</f>
        <v>112795628.36</v>
      </c>
      <c r="E73" s="82">
        <f>SUM(E74:E77)</f>
        <v>161450051.27994096</v>
      </c>
      <c r="G73" s="83">
        <f>SUM(G74:G77)</f>
        <v>161450051.27994096</v>
      </c>
      <c r="H73" s="83">
        <f>SUM(H74:H77)</f>
        <v>0</v>
      </c>
      <c r="I73" s="83">
        <f>SUM(I74:I77)</f>
        <v>161450051.27994096</v>
      </c>
      <c r="K73" s="84">
        <f>SUM(K74:K77)</f>
        <v>131407294.3</v>
      </c>
      <c r="L73" s="84">
        <f>SUM(L74:L77)</f>
        <v>482537.5</v>
      </c>
      <c r="M73" s="84">
        <f>SUM(M74:M77)</f>
        <v>131889831.8</v>
      </c>
      <c r="O73" s="12">
        <f>SUM(O74:O77)</f>
        <v>161450051.27994096</v>
      </c>
      <c r="P73" s="11">
        <f>SUM(P74:P77)</f>
        <v>131889831.8</v>
      </c>
      <c r="Q73" s="225">
        <f>SUM(Q74:Q77)</f>
        <v>29560219.479940973</v>
      </c>
    </row>
    <row r="74" spans="1:17" ht="15" customHeight="1" x14ac:dyDescent="0.25">
      <c r="A74" s="14" t="str">
        <f>'Matriz de Produccion'!A74</f>
        <v>1G01</v>
      </c>
      <c r="B74" s="6" t="str">
        <f>VLOOKUP(A74,'Analisis por Categorias'!B:C,2,FALSE)</f>
        <v>Camioneta</v>
      </c>
      <c r="D74" s="3">
        <f>SUMIF(CATEGORIAS[[#All],[SUBGRUPO]],A74,CATEGORIAS[[#All],[PRESUPUESTO
(ORIGINAL)]])</f>
        <v>24410747.400000002</v>
      </c>
      <c r="E74" s="3">
        <f>+SUMIF(CATEGORIAS[[#All],[SUBGRUPO]],A74,CATEGORIAS[[#All],[PRODUCCION
PARTIDAS
ORIGINALES
ACTUAL]])
+SUMIF(CATEGORIAS[[#All],[SUBGRUPO]],A74,CATEGORIAS[[#All],[PRODUCCION
ADICIONALES
ACTUAL]])
+SUMIF(CATEGORIAS[[#All],[SUBGRUPO]],A74,CATEGORIAS[[#All],[PROYECCION
DE INGRESO
DEL SALDO]])</f>
        <v>35116724.521139696</v>
      </c>
      <c r="G74" s="71">
        <f>+SUMIF(CATEGORIAS[[#All],[SUBGRUPO]],A74,CATEGORIAS[[#All],[PRODUCCION
PARTIDAS
ORIGINALES
ACTUAL]])
+SUMIF(CATEGORIAS[[#All],[SUBGRUPO]],A74,CATEGORIAS[[#All],[PRODUCCION
ADICIONALES
ACTUAL]])</f>
        <v>35116724.521139696</v>
      </c>
      <c r="H74" s="71">
        <f>+SUMIF(CATEGORIAS[[#All],[SUBGRUPO]],A74,CATEGORIAS[[#All],[PROYECCION
DE INGRESO
DEL SALDO]])</f>
        <v>0</v>
      </c>
      <c r="I74" s="71">
        <f>G74+H74</f>
        <v>35116724.521139696</v>
      </c>
      <c r="K74" s="71">
        <f>+SUMIF(CATEGORIAS[[#All],[SUBGRUPO]],A74,CATEGORIAS[[#All],[COSTO
ACUMULADO  AX]])
+SUMIF(CATEGORIAS[[#All],[SUBGRUPO]],A74,CATEGORIAS[[#All],[CAMBIO DE
CATEGORIA]])
+SUMIF(CATEGORIAS[[#All],[SUBGRUPO]],A74,CATEGORIAS[[#All],[PROVISIONES]])</f>
        <v>73401377.5</v>
      </c>
      <c r="L74" s="71">
        <f>+SUMIF(CATEGORIAS[[#All],[SUBGRUPO]],A74,CATEGORIAS[[#All],[PROYECCION
TOTAL DE COSTO]])</f>
        <v>482537.5</v>
      </c>
      <c r="M74" s="71">
        <f>K74+L74</f>
        <v>73883915</v>
      </c>
      <c r="O74" s="71">
        <f>I74</f>
        <v>35116724.521139696</v>
      </c>
      <c r="P74" s="71">
        <f>M74</f>
        <v>73883915</v>
      </c>
      <c r="Q74" s="227">
        <f>O74-P74</f>
        <v>-38767190.478860304</v>
      </c>
    </row>
    <row r="75" spans="1:17" ht="15" customHeight="1" x14ac:dyDescent="0.25">
      <c r="A75" s="14" t="str">
        <f>'Matriz de Produccion'!A75</f>
        <v>1G02</v>
      </c>
      <c r="B75" s="6" t="str">
        <f>VLOOKUP(A75,'Analisis por Categorias'!B:C,2,FALSE)</f>
        <v>Movilización</v>
      </c>
      <c r="D75" s="3">
        <f>SUMIF(CATEGORIAS[[#All],[SUBGRUPO]],A75,CATEGORIAS[[#All],[PRESUPUESTO
(ORIGINAL)]])</f>
        <v>57172500</v>
      </c>
      <c r="E75" s="3">
        <f>+SUMIF(CATEGORIAS[[#All],[SUBGRUPO]],A75,CATEGORIAS[[#All],[PRODUCCION
PARTIDAS
ORIGINALES
ACTUAL]])
+SUMIF(CATEGORIAS[[#All],[SUBGRUPO]],A75,CATEGORIAS[[#All],[PRODUCCION
ADICIONALES
ACTUAL]])
+SUMIF(CATEGORIAS[[#All],[SUBGRUPO]],A75,CATEGORIAS[[#All],[PROYECCION
DE INGRESO
DEL SALDO]])</f>
        <v>82649541.386906177</v>
      </c>
      <c r="G75" s="71">
        <f>+SUMIF(CATEGORIAS[[#All],[SUBGRUPO]],A75,CATEGORIAS[[#All],[PRODUCCION
PARTIDAS
ORIGINALES
ACTUAL]])
+SUMIF(CATEGORIAS[[#All],[SUBGRUPO]],A75,CATEGORIAS[[#All],[PRODUCCION
ADICIONALES
ACTUAL]])</f>
        <v>82649541.386906177</v>
      </c>
      <c r="H75" s="71">
        <f>+SUMIF(CATEGORIAS[[#All],[SUBGRUPO]],A75,CATEGORIAS[[#All],[PROYECCION
DE INGRESO
DEL SALDO]])</f>
        <v>0</v>
      </c>
      <c r="I75" s="71">
        <f>G75+H75</f>
        <v>82649541.386906177</v>
      </c>
      <c r="K75" s="71">
        <f>+SUMIF(CATEGORIAS[[#All],[SUBGRUPO]],A75,CATEGORIAS[[#All],[COSTO
ACUMULADO  AX]])
+SUMIF(CATEGORIAS[[#All],[SUBGRUPO]],A75,CATEGORIAS[[#All],[CAMBIO DE
CATEGORIA]])
+SUMIF(CATEGORIAS[[#All],[SUBGRUPO]],A75,CATEGORIAS[[#All],[PROVISIONES]])</f>
        <v>27541999.800000001</v>
      </c>
      <c r="L75" s="71">
        <f>+SUMIF(CATEGORIAS[[#All],[SUBGRUPO]],A75,CATEGORIAS[[#All],[PROYECCION
TOTAL DE COSTO]])</f>
        <v>0</v>
      </c>
      <c r="M75" s="71">
        <f>K75+L75</f>
        <v>27541999.800000001</v>
      </c>
      <c r="O75" s="71">
        <f>I75</f>
        <v>82649541.386906177</v>
      </c>
      <c r="P75" s="71">
        <f>M75</f>
        <v>27541999.800000001</v>
      </c>
      <c r="Q75" s="227">
        <f>O75-P75</f>
        <v>55107541.58690618</v>
      </c>
    </row>
    <row r="76" spans="1:17" ht="15" customHeight="1" x14ac:dyDescent="0.25">
      <c r="A76" s="14" t="str">
        <f>'Matriz de Produccion'!A76</f>
        <v>1G03</v>
      </c>
      <c r="B76" s="6" t="str">
        <f>VLOOKUP(A76,'Analisis por Categorias'!B:C,2,FALSE)</f>
        <v>Equipo Topográfico</v>
      </c>
      <c r="D76" s="3">
        <f>SUMIF(CATEGORIAS[[#All],[SUBGRUPO]],A76,CATEGORIAS[[#All],[PRESUPUESTO
(ORIGINAL)]])</f>
        <v>4087380.9600000004</v>
      </c>
      <c r="E76" s="3">
        <f>+SUMIF(CATEGORIAS[[#All],[SUBGRUPO]],A76,CATEGORIAS[[#All],[PRODUCCION
PARTIDAS
ORIGINALES
ACTUAL]])
+SUMIF(CATEGORIAS[[#All],[SUBGRUPO]],A76,CATEGORIAS[[#All],[PRODUCCION
ADICIONALES
ACTUAL]])
+SUMIF(CATEGORIAS[[#All],[SUBGRUPO]],A76,CATEGORIAS[[#All],[PROYECCION
DE INGRESO
DEL SALDO]])</f>
        <v>5453141.3240862917</v>
      </c>
      <c r="G76" s="71">
        <f>+SUMIF(CATEGORIAS[[#All],[SUBGRUPO]],A76,CATEGORIAS[[#All],[PRODUCCION
PARTIDAS
ORIGINALES
ACTUAL]])
+SUMIF(CATEGORIAS[[#All],[SUBGRUPO]],A76,CATEGORIAS[[#All],[PRODUCCION
ADICIONALES
ACTUAL]])</f>
        <v>5453141.3240862917</v>
      </c>
      <c r="H76" s="71">
        <f>+SUMIF(CATEGORIAS[[#All],[SUBGRUPO]],A76,CATEGORIAS[[#All],[PROYECCION
DE INGRESO
DEL SALDO]])</f>
        <v>0</v>
      </c>
      <c r="I76" s="71">
        <f>G76+H76</f>
        <v>5453141.3240862917</v>
      </c>
      <c r="K76" s="71">
        <f>+SUMIF(CATEGORIAS[[#All],[SUBGRUPO]],A76,CATEGORIAS[[#All],[COSTO
ACUMULADO  AX]])
+SUMIF(CATEGORIAS[[#All],[SUBGRUPO]],A76,CATEGORIAS[[#All],[CAMBIO DE
CATEGORIA]])
+SUMIF(CATEGORIAS[[#All],[SUBGRUPO]],A76,CATEGORIAS[[#All],[PROVISIONES]])</f>
        <v>5007325</v>
      </c>
      <c r="L76" s="71">
        <f>+SUMIF(CATEGORIAS[[#All],[SUBGRUPO]],A76,CATEGORIAS[[#All],[PROYECCION
TOTAL DE COSTO]])</f>
        <v>0</v>
      </c>
      <c r="M76" s="71">
        <f>K76+L76</f>
        <v>5007325</v>
      </c>
      <c r="O76" s="71">
        <f>I76</f>
        <v>5453141.3240862917</v>
      </c>
      <c r="P76" s="71">
        <f>M76</f>
        <v>5007325</v>
      </c>
      <c r="Q76" s="227">
        <f>O76-P76</f>
        <v>445816.32408629172</v>
      </c>
    </row>
    <row r="77" spans="1:17" ht="15" customHeight="1" x14ac:dyDescent="0.25">
      <c r="A77" s="14" t="str">
        <f>'Matriz de Produccion'!A77</f>
        <v>1G04</v>
      </c>
      <c r="B77" s="6" t="str">
        <f>VLOOKUP(A77,'Analisis por Categorias'!B:C,2,FALSE)</f>
        <v>Combustibles</v>
      </c>
      <c r="D77" s="3">
        <f>SUMIF(CATEGORIAS[[#All],[SUBGRUPO]],A77,CATEGORIAS[[#All],[PRESUPUESTO
(ORIGINAL)]])</f>
        <v>27125000</v>
      </c>
      <c r="E77" s="3">
        <f>+SUMIF(CATEGORIAS[[#All],[SUBGRUPO]],A77,CATEGORIAS[[#All],[PRODUCCION
PARTIDAS
ORIGINALES
ACTUAL]])
+SUMIF(CATEGORIAS[[#All],[SUBGRUPO]],A77,CATEGORIAS[[#All],[PRODUCCION
ADICIONALES
ACTUAL]])
+SUMIF(CATEGORIAS[[#All],[SUBGRUPO]],A77,CATEGORIAS[[#All],[PROYECCION
DE INGRESO
DEL SALDO]])</f>
        <v>38230644.047808804</v>
      </c>
      <c r="G77" s="71">
        <f>+SUMIF(CATEGORIAS[[#All],[SUBGRUPO]],A77,CATEGORIAS[[#All],[PRODUCCION
PARTIDAS
ORIGINALES
ACTUAL]])
+SUMIF(CATEGORIAS[[#All],[SUBGRUPO]],A77,CATEGORIAS[[#All],[PRODUCCION
ADICIONALES
ACTUAL]])</f>
        <v>38230644.047808804</v>
      </c>
      <c r="H77" s="71">
        <f>+SUMIF(CATEGORIAS[[#All],[SUBGRUPO]],A77,CATEGORIAS[[#All],[PROYECCION
DE INGRESO
DEL SALDO]])</f>
        <v>0</v>
      </c>
      <c r="I77" s="71">
        <f>G77+H77</f>
        <v>38230644.047808804</v>
      </c>
      <c r="K77" s="71">
        <f>+SUMIF(CATEGORIAS[[#All],[SUBGRUPO]],A77,CATEGORIAS[[#All],[COSTO
ACUMULADO  AX]])
+SUMIF(CATEGORIAS[[#All],[SUBGRUPO]],A77,CATEGORIAS[[#All],[CAMBIO DE
CATEGORIA]])
+SUMIF(CATEGORIAS[[#All],[SUBGRUPO]],A77,CATEGORIAS[[#All],[PROVISIONES]])</f>
        <v>25456592</v>
      </c>
      <c r="L77" s="71">
        <f>+SUMIF(CATEGORIAS[[#All],[SUBGRUPO]],A77,CATEGORIAS[[#All],[PROYECCION
TOTAL DE COSTO]])</f>
        <v>0</v>
      </c>
      <c r="M77" s="71">
        <f>K77+L77</f>
        <v>25456592</v>
      </c>
      <c r="O77" s="71">
        <f>I77</f>
        <v>38230644.047808804</v>
      </c>
      <c r="P77" s="71">
        <f>M77</f>
        <v>25456592</v>
      </c>
      <c r="Q77" s="227">
        <f>O77-P77</f>
        <v>12774052.047808804</v>
      </c>
    </row>
    <row r="78" spans="1:17" ht="8.25" customHeight="1" x14ac:dyDescent="0.25">
      <c r="Q78" s="226"/>
    </row>
    <row r="79" spans="1:17" ht="15" customHeight="1" x14ac:dyDescent="0.25">
      <c r="A79" s="14" t="str">
        <f>'Matriz de Produccion'!A79</f>
        <v>1H00</v>
      </c>
      <c r="B79" s="81" t="str">
        <f>'Matriz de Produccion'!B79:B79</f>
        <v>H - INSTALACIÓN DE FAENAS</v>
      </c>
      <c r="D79" s="82">
        <f>SUM(D80:D90)</f>
        <v>135754532.50963384</v>
      </c>
      <c r="E79" s="82">
        <f>SUM(E80:E90)</f>
        <v>196838271.17832854</v>
      </c>
      <c r="G79" s="83">
        <f>SUM(G80:G90)</f>
        <v>196838271.17832854</v>
      </c>
      <c r="H79" s="83">
        <f>SUM(H80:H90)</f>
        <v>1.862645149230957E-9</v>
      </c>
      <c r="I79" s="83">
        <f>SUM(I80:I90)</f>
        <v>196838271.17832854</v>
      </c>
      <c r="K79" s="84">
        <f>SUM(K80:K90)</f>
        <v>104873927</v>
      </c>
      <c r="L79" s="84">
        <f>SUM(L80:L90)</f>
        <v>0</v>
      </c>
      <c r="M79" s="84">
        <f>SUM(M80:M90)</f>
        <v>104873927</v>
      </c>
      <c r="O79" s="12">
        <f>SUM(O80:O90)</f>
        <v>196838271.17832854</v>
      </c>
      <c r="P79" s="11">
        <f>SUM(P80:P90)</f>
        <v>104873927</v>
      </c>
      <c r="Q79" s="225">
        <f>SUM(Q80:Q90)</f>
        <v>91964344.178328574</v>
      </c>
    </row>
    <row r="80" spans="1:17" ht="15" customHeight="1" x14ac:dyDescent="0.25">
      <c r="A80" s="14" t="str">
        <f>'Matriz de Produccion'!A80</f>
        <v>1H01</v>
      </c>
      <c r="B80" s="6" t="str">
        <f>VLOOKUP(A80,'Analisis por Categorias'!B:C,2,FALSE)</f>
        <v>Mano De Obra</v>
      </c>
      <c r="D80" s="3">
        <f>SUMIF(CATEGORIAS[[#All],[SUBGRUPO]],A80,CATEGORIAS[[#All],[PRESUPUESTO
(ORIGINAL)]])</f>
        <v>27346689.342590965</v>
      </c>
      <c r="E80" s="3">
        <f>+SUMIF(CATEGORIAS[[#All],[SUBGRUPO]],A80,CATEGORIAS[[#All],[PRODUCCION
PARTIDAS
ORIGINALES
ACTUAL]])
+SUMIF(CATEGORIAS[[#All],[SUBGRUPO]],A80,CATEGORIAS[[#All],[PRODUCCION
ADICIONALES
ACTUAL]])
+SUMIF(CATEGORIAS[[#All],[SUBGRUPO]],A80,CATEGORIAS[[#All],[PROYECCION
DE INGRESO
DEL SALDO]])</f>
        <v>36916935.189663708</v>
      </c>
      <c r="G80" s="71">
        <f>+SUMIF(CATEGORIAS[[#All],[SUBGRUPO]],A80,CATEGORIAS[[#All],[PRODUCCION
PARTIDAS
ORIGINALES
ACTUAL]])
+SUMIF(CATEGORIAS[[#All],[SUBGRUPO]],A80,CATEGORIAS[[#All],[PRODUCCION
ADICIONALES
ACTUAL]])</f>
        <v>36916935.189663708</v>
      </c>
      <c r="H80" s="71">
        <f>+SUMIF(CATEGORIAS[[#All],[SUBGRUPO]],A80,CATEGORIAS[[#All],[PROYECCION
DE INGRESO
DEL SALDO]])</f>
        <v>0</v>
      </c>
      <c r="I80" s="71">
        <f t="shared" ref="I80" si="76">G80+H80</f>
        <v>36916935.189663708</v>
      </c>
      <c r="K80" s="71">
        <f>+SUMIF(CATEGORIAS[[#All],[SUBGRUPO]],A80,CATEGORIAS[[#All],[COSTO
ACUMULADO  AX]])
+SUMIF(CATEGORIAS[[#All],[SUBGRUPO]],A80,CATEGORIAS[[#All],[CAMBIO DE
CATEGORIA]])
+SUMIF(CATEGORIAS[[#All],[SUBGRUPO]],A80,CATEGORIAS[[#All],[PROVISIONES]])</f>
        <v>20397012</v>
      </c>
      <c r="L80" s="71">
        <f>+SUMIF(CATEGORIAS[[#All],[SUBGRUPO]],A80,CATEGORIAS[[#All],[PROYECCION
TOTAL DE COSTO]])</f>
        <v>0</v>
      </c>
      <c r="M80" s="71">
        <f t="shared" ref="M80" si="77">K80+L80</f>
        <v>20397012</v>
      </c>
      <c r="O80" s="71">
        <f t="shared" ref="O80" si="78">I80</f>
        <v>36916935.189663708</v>
      </c>
      <c r="P80" s="71">
        <f t="shared" ref="P80" si="79">M80</f>
        <v>20397012</v>
      </c>
      <c r="Q80" s="227">
        <f t="shared" ref="Q80" si="80">O80-P80</f>
        <v>16519923.189663708</v>
      </c>
    </row>
    <row r="81" spans="1:17" ht="15" customHeight="1" x14ac:dyDescent="0.25">
      <c r="A81" s="14" t="str">
        <f>'Matriz de Produccion'!A81</f>
        <v>1H02</v>
      </c>
      <c r="B81" s="6" t="str">
        <f>VLOOKUP(A81,'Analisis por Categorias'!B:C,2,FALSE)</f>
        <v>Containers</v>
      </c>
      <c r="D81" s="3">
        <f>SUMIF(CATEGORIAS[[#All],[SUBGRUPO]],A81,CATEGORIAS[[#All],[PRESUPUESTO
(ORIGINAL)]])</f>
        <v>19956000</v>
      </c>
      <c r="E81" s="3">
        <f>+SUMIF(CATEGORIAS[[#All],[SUBGRUPO]],A81,CATEGORIAS[[#All],[PRODUCCION
PARTIDAS
ORIGINALES
ACTUAL]])
+SUMIF(CATEGORIAS[[#All],[SUBGRUPO]],A81,CATEGORIAS[[#All],[PRODUCCION
ADICIONALES
ACTUAL]])
+SUMIF(CATEGORIAS[[#All],[SUBGRUPO]],A81,CATEGORIAS[[#All],[PROYECCION
DE INGRESO
DEL SALDO]])</f>
        <v>32334912.330901477</v>
      </c>
      <c r="G81" s="71">
        <f>+SUMIF(CATEGORIAS[[#All],[SUBGRUPO]],A81,CATEGORIAS[[#All],[PRODUCCION
PARTIDAS
ORIGINALES
ACTUAL]])
+SUMIF(CATEGORIAS[[#All],[SUBGRUPO]],A81,CATEGORIAS[[#All],[PRODUCCION
ADICIONALES
ACTUAL]])</f>
        <v>32334912.330901477</v>
      </c>
      <c r="H81" s="71">
        <f>+SUMIF(CATEGORIAS[[#All],[SUBGRUPO]],A81,CATEGORIAS[[#All],[PROYECCION
DE INGRESO
DEL SALDO]])</f>
        <v>0</v>
      </c>
      <c r="I81" s="71">
        <f t="shared" ref="I81:I86" si="81">G81+H81</f>
        <v>32334912.330901477</v>
      </c>
      <c r="K81" s="71">
        <f>+SUMIF(CATEGORIAS[[#All],[SUBGRUPO]],A81,CATEGORIAS[[#All],[COSTO
ACUMULADO  AX]])
+SUMIF(CATEGORIAS[[#All],[SUBGRUPO]],A81,CATEGORIAS[[#All],[CAMBIO DE
CATEGORIA]])
+SUMIF(CATEGORIAS[[#All],[SUBGRUPO]],A81,CATEGORIAS[[#All],[PROVISIONES]])</f>
        <v>-19613371</v>
      </c>
      <c r="L81" s="71">
        <f>+SUMIF(CATEGORIAS[[#All],[SUBGRUPO]],A81,CATEGORIAS[[#All],[PROYECCION
TOTAL DE COSTO]])</f>
        <v>0</v>
      </c>
      <c r="M81" s="71">
        <f t="shared" ref="M81:M86" si="82">K81+L81</f>
        <v>-19613371</v>
      </c>
      <c r="O81" s="71">
        <f t="shared" ref="O81:O86" si="83">I81</f>
        <v>32334912.330901477</v>
      </c>
      <c r="P81" s="71">
        <f t="shared" ref="P81:P86" si="84">M81</f>
        <v>-19613371</v>
      </c>
      <c r="Q81" s="227">
        <f t="shared" ref="Q81:Q86" si="85">O81-P81</f>
        <v>51948283.330901474</v>
      </c>
    </row>
    <row r="82" spans="1:17" ht="15" customHeight="1" x14ac:dyDescent="0.25">
      <c r="A82" s="14" t="str">
        <f>'Matriz de Produccion'!A82</f>
        <v>1H03</v>
      </c>
      <c r="B82" s="6" t="str">
        <f>VLOOKUP(A82,'Analisis por Categorias'!B:C,2,FALSE)</f>
        <v>Materiales</v>
      </c>
      <c r="D82" s="3">
        <f>SUMIF(CATEGORIAS[[#All],[SUBGRUPO]],A82,CATEGORIAS[[#All],[PRESUPUESTO
(ORIGINAL)]])</f>
        <v>6230000</v>
      </c>
      <c r="E82" s="3">
        <f>+SUMIF(CATEGORIAS[[#All],[SUBGRUPO]],A82,CATEGORIAS[[#All],[PRODUCCION
PARTIDAS
ORIGINALES
ACTUAL]])
+SUMIF(CATEGORIAS[[#All],[SUBGRUPO]],A82,CATEGORIAS[[#All],[PRODUCCION
ADICIONALES
ACTUAL]])
+SUMIF(CATEGORIAS[[#All],[SUBGRUPO]],A82,CATEGORIAS[[#All],[PROYECCION
DE INGRESO
DEL SALDO]])</f>
        <v>9892215.1643388327</v>
      </c>
      <c r="G82" s="71">
        <f>+SUMIF(CATEGORIAS[[#All],[SUBGRUPO]],A82,CATEGORIAS[[#All],[PRODUCCION
PARTIDAS
ORIGINALES
ACTUAL]])
+SUMIF(CATEGORIAS[[#All],[SUBGRUPO]],A82,CATEGORIAS[[#All],[PRODUCCION
ADICIONALES
ACTUAL]])</f>
        <v>9892215.1643388309</v>
      </c>
      <c r="H82" s="71">
        <f>+SUMIF(CATEGORIAS[[#All],[SUBGRUPO]],A82,CATEGORIAS[[#All],[PROYECCION
DE INGRESO
DEL SALDO]])</f>
        <v>1.862645149230957E-9</v>
      </c>
      <c r="I82" s="71">
        <f t="shared" si="81"/>
        <v>9892215.1643388327</v>
      </c>
      <c r="K82" s="71">
        <f>+SUMIF(CATEGORIAS[[#All],[SUBGRUPO]],A82,CATEGORIAS[[#All],[COSTO
ACUMULADO  AX]])
+SUMIF(CATEGORIAS[[#All],[SUBGRUPO]],A82,CATEGORIAS[[#All],[CAMBIO DE
CATEGORIA]])
+SUMIF(CATEGORIAS[[#All],[SUBGRUPO]],A82,CATEGORIAS[[#All],[PROVISIONES]])</f>
        <v>11679827</v>
      </c>
      <c r="L82" s="71">
        <f>+SUMIF(CATEGORIAS[[#All],[SUBGRUPO]],A82,CATEGORIAS[[#All],[PROYECCION
TOTAL DE COSTO]])</f>
        <v>0</v>
      </c>
      <c r="M82" s="71">
        <f>K82+L82</f>
        <v>11679827</v>
      </c>
      <c r="O82" s="71">
        <f>I82</f>
        <v>9892215.1643388327</v>
      </c>
      <c r="P82" s="71">
        <f>M82</f>
        <v>11679827</v>
      </c>
      <c r="Q82" s="227">
        <f>O82-P82</f>
        <v>-1787611.8356611673</v>
      </c>
    </row>
    <row r="83" spans="1:17" ht="15" customHeight="1" x14ac:dyDescent="0.25">
      <c r="A83" s="14" t="str">
        <f>'Matriz de Produccion'!A83</f>
        <v>1H04</v>
      </c>
      <c r="B83" s="6" t="str">
        <f>VLOOKUP(A83,'Analisis por Categorias'!B:C,2,FALSE)</f>
        <v>Generadores</v>
      </c>
      <c r="D83" s="3">
        <f>SUMIF(CATEGORIAS[[#All],[SUBGRUPO]],A83,CATEGORIAS[[#All],[PRESUPUESTO
(ORIGINAL)]])</f>
        <v>32733000</v>
      </c>
      <c r="E83" s="3">
        <f>+SUMIF(CATEGORIAS[[#All],[SUBGRUPO]],A83,CATEGORIAS[[#All],[PRODUCCION
PARTIDAS
ORIGINALES
ACTUAL]])
+SUMIF(CATEGORIAS[[#All],[SUBGRUPO]],A83,CATEGORIAS[[#All],[PRODUCCION
ADICIONALES
ACTUAL]])
+SUMIF(CATEGORIAS[[#All],[SUBGRUPO]],A83,CATEGORIAS[[#All],[PROYECCION
DE INGRESO
DEL SALDO]])</f>
        <v>48225717.500719205</v>
      </c>
      <c r="G83" s="71">
        <f>+SUMIF(CATEGORIAS[[#All],[SUBGRUPO]],A83,CATEGORIAS[[#All],[PRODUCCION
PARTIDAS
ORIGINALES
ACTUAL]])
+SUMIF(CATEGORIAS[[#All],[SUBGRUPO]],A83,CATEGORIAS[[#All],[PRODUCCION
ADICIONALES
ACTUAL]])</f>
        <v>48225717.500719205</v>
      </c>
      <c r="H83" s="71">
        <f>+SUMIF(CATEGORIAS[[#All],[SUBGRUPO]],A83,CATEGORIAS[[#All],[PROYECCION
DE INGRESO
DEL SALDO]])</f>
        <v>0</v>
      </c>
      <c r="I83" s="71">
        <f t="shared" si="81"/>
        <v>48225717.500719205</v>
      </c>
      <c r="K83" s="71">
        <f>+SUMIF(CATEGORIAS[[#All],[SUBGRUPO]],A83,CATEGORIAS[[#All],[COSTO
ACUMULADO  AX]])
+SUMIF(CATEGORIAS[[#All],[SUBGRUPO]],A83,CATEGORIAS[[#All],[CAMBIO DE
CATEGORIA]])
+SUMIF(CATEGORIAS[[#All],[SUBGRUPO]],A83,CATEGORIAS[[#All],[PROVISIONES]])</f>
        <v>30203549</v>
      </c>
      <c r="L83" s="71">
        <f>+SUMIF(CATEGORIAS[[#All],[SUBGRUPO]],A83,CATEGORIAS[[#All],[PROYECCION
TOTAL DE COSTO]])</f>
        <v>0</v>
      </c>
      <c r="M83" s="71">
        <f>K83+L83</f>
        <v>30203549</v>
      </c>
      <c r="O83" s="71">
        <f>I83</f>
        <v>48225717.500719205</v>
      </c>
      <c r="P83" s="71">
        <f>M83</f>
        <v>30203549</v>
      </c>
      <c r="Q83" s="227">
        <f>O83-P83</f>
        <v>18022168.500719205</v>
      </c>
    </row>
    <row r="84" spans="1:17" ht="15" customHeight="1" x14ac:dyDescent="0.25">
      <c r="A84" s="14" t="str">
        <f>'Matriz de Produccion'!A84</f>
        <v>1H05</v>
      </c>
      <c r="B84" s="6" t="str">
        <f>VLOOKUP(A84,'Analisis por Categorias'!B:C,2,FALSE)</f>
        <v>Mobiliarios</v>
      </c>
      <c r="D84" s="3">
        <f>SUMIF(CATEGORIAS[[#All],[SUBGRUPO]],A84,CATEGORIAS[[#All],[PRESUPUESTO
(ORIGINAL)]])</f>
        <v>5340000</v>
      </c>
      <c r="E84" s="3">
        <f>+SUMIF(CATEGORIAS[[#All],[SUBGRUPO]],A84,CATEGORIAS[[#All],[PRODUCCION
PARTIDAS
ORIGINALES
ACTUAL]])
+SUMIF(CATEGORIAS[[#All],[SUBGRUPO]],A84,CATEGORIAS[[#All],[PRODUCCION
ADICIONALES
ACTUAL]])
+SUMIF(CATEGORIAS[[#All],[SUBGRUPO]],A84,CATEGORIAS[[#All],[PROYECCION
DE INGRESO
DEL SALDO]])</f>
        <v>7768898.7458726056</v>
      </c>
      <c r="G84" s="71">
        <f>+SUMIF(CATEGORIAS[[#All],[SUBGRUPO]],A84,CATEGORIAS[[#All],[PRODUCCION
PARTIDAS
ORIGINALES
ACTUAL]])
+SUMIF(CATEGORIAS[[#All],[SUBGRUPO]],A84,CATEGORIAS[[#All],[PRODUCCION
ADICIONALES
ACTUAL]])</f>
        <v>7768898.7458726056</v>
      </c>
      <c r="H84" s="71">
        <f>+SUMIF(CATEGORIAS[[#All],[SUBGRUPO]],A84,CATEGORIAS[[#All],[PROYECCION
DE INGRESO
DEL SALDO]])</f>
        <v>0</v>
      </c>
      <c r="I84" s="71">
        <f t="shared" si="81"/>
        <v>7768898.7458726056</v>
      </c>
      <c r="K84" s="71">
        <f>+SUMIF(CATEGORIAS[[#All],[SUBGRUPO]],A84,CATEGORIAS[[#All],[COSTO
ACUMULADO  AX]])
+SUMIF(CATEGORIAS[[#All],[SUBGRUPO]],A84,CATEGORIAS[[#All],[CAMBIO DE
CATEGORIA]])
+SUMIF(CATEGORIAS[[#All],[SUBGRUPO]],A84,CATEGORIAS[[#All],[PROVISIONES]])</f>
        <v>9321721</v>
      </c>
      <c r="L84" s="71">
        <f>+SUMIF(CATEGORIAS[[#All],[SUBGRUPO]],A84,CATEGORIAS[[#All],[PROYECCION
TOTAL DE COSTO]])</f>
        <v>0</v>
      </c>
      <c r="M84" s="71">
        <f t="shared" si="82"/>
        <v>9321721</v>
      </c>
      <c r="O84" s="71">
        <f t="shared" si="83"/>
        <v>7768898.7458726056</v>
      </c>
      <c r="P84" s="71">
        <f t="shared" si="84"/>
        <v>9321721</v>
      </c>
      <c r="Q84" s="227">
        <f t="shared" si="85"/>
        <v>-1552822.2541273944</v>
      </c>
    </row>
    <row r="85" spans="1:17" ht="15" customHeight="1" x14ac:dyDescent="0.25">
      <c r="A85" s="14" t="str">
        <f>'Matriz de Produccion'!A85</f>
        <v>1H06</v>
      </c>
      <c r="B85" s="6" t="str">
        <f>VLOOKUP(A85,'Analisis por Categorias'!B:C,2,FALSE)</f>
        <v>Baños Químicos</v>
      </c>
      <c r="D85" s="3">
        <f>SUMIF(CATEGORIAS[[#All],[SUBGRUPO]],A85,CATEGORIAS[[#All],[PRESUPUESTO
(ORIGINAL)]])</f>
        <v>15748843.167042889</v>
      </c>
      <c r="E85" s="3">
        <f>+SUMIF(CATEGORIAS[[#All],[SUBGRUPO]],A85,CATEGORIAS[[#All],[PRODUCCION
PARTIDAS
ORIGINALES
ACTUAL]])
+SUMIF(CATEGORIAS[[#All],[SUBGRUPO]],A85,CATEGORIAS[[#All],[PRODUCCION
ADICIONALES
ACTUAL]])
+SUMIF(CATEGORIAS[[#All],[SUBGRUPO]],A85,CATEGORIAS[[#All],[PROYECCION
DE INGRESO
DEL SALDO]])</f>
        <v>21960448.238074537</v>
      </c>
      <c r="G85" s="71">
        <f>+SUMIF(CATEGORIAS[[#All],[SUBGRUPO]],A85,CATEGORIAS[[#All],[PRODUCCION
PARTIDAS
ORIGINALES
ACTUAL]])
+SUMIF(CATEGORIAS[[#All],[SUBGRUPO]],A85,CATEGORIAS[[#All],[PRODUCCION
ADICIONALES
ACTUAL]])</f>
        <v>21960448.238074537</v>
      </c>
      <c r="H85" s="71">
        <f>+SUMIF(CATEGORIAS[[#All],[SUBGRUPO]],A85,CATEGORIAS[[#All],[PROYECCION
DE INGRESO
DEL SALDO]])</f>
        <v>0</v>
      </c>
      <c r="I85" s="71">
        <f t="shared" si="81"/>
        <v>21960448.238074537</v>
      </c>
      <c r="K85" s="71">
        <f>+SUMIF(CATEGORIAS[[#All],[SUBGRUPO]],A85,CATEGORIAS[[#All],[COSTO
ACUMULADO  AX]])
+SUMIF(CATEGORIAS[[#All],[SUBGRUPO]],A85,CATEGORIAS[[#All],[CAMBIO DE
CATEGORIA]])
+SUMIF(CATEGORIAS[[#All],[SUBGRUPO]],A85,CATEGORIAS[[#All],[PROVISIONES]])</f>
        <v>36844534</v>
      </c>
      <c r="L85" s="71">
        <f>+SUMIF(CATEGORIAS[[#All],[SUBGRUPO]],A85,CATEGORIAS[[#All],[PROYECCION
TOTAL DE COSTO]])</f>
        <v>0</v>
      </c>
      <c r="M85" s="71">
        <f t="shared" si="82"/>
        <v>36844534</v>
      </c>
      <c r="O85" s="71">
        <f t="shared" si="83"/>
        <v>21960448.238074537</v>
      </c>
      <c r="P85" s="71">
        <f t="shared" si="84"/>
        <v>36844534</v>
      </c>
      <c r="Q85" s="227">
        <f t="shared" si="85"/>
        <v>-14884085.761925463</v>
      </c>
    </row>
    <row r="86" spans="1:17" ht="15" customHeight="1" x14ac:dyDescent="0.25">
      <c r="A86" s="14" t="str">
        <f>'Matriz de Produccion'!A86</f>
        <v>1H07</v>
      </c>
      <c r="B86" s="6" t="str">
        <f>VLOOKUP(A86,'Analisis por Categorias'!B:C,2,FALSE)</f>
        <v>Servicios</v>
      </c>
      <c r="D86" s="3">
        <f>SUMIF(CATEGORIAS[[#All],[SUBGRUPO]],A86,CATEGORIAS[[#All],[PRESUPUESTO
(ORIGINAL)]])</f>
        <v>6500000</v>
      </c>
      <c r="E86" s="3">
        <f>+SUMIF(CATEGORIAS[[#All],[SUBGRUPO]],A86,CATEGORIAS[[#All],[PRODUCCION
PARTIDAS
ORIGINALES
ACTUAL]])
+SUMIF(CATEGORIAS[[#All],[SUBGRUPO]],A86,CATEGORIAS[[#All],[PRODUCCION
ADICIONALES
ACTUAL]])
+SUMIF(CATEGORIAS[[#All],[SUBGRUPO]],A86,CATEGORIAS[[#All],[PROYECCION
DE INGRESO
DEL SALDO]])</f>
        <v>8774739.6303321235</v>
      </c>
      <c r="G86" s="71">
        <f>+SUMIF(CATEGORIAS[[#All],[SUBGRUPO]],A86,CATEGORIAS[[#All],[PRODUCCION
PARTIDAS
ORIGINALES
ACTUAL]])
+SUMIF(CATEGORIAS[[#All],[SUBGRUPO]],A86,CATEGORIAS[[#All],[PRODUCCION
ADICIONALES
ACTUAL]])</f>
        <v>8774739.6303321235</v>
      </c>
      <c r="H86" s="71">
        <f>+SUMIF(CATEGORIAS[[#All],[SUBGRUPO]],A86,CATEGORIAS[[#All],[PROYECCION
DE INGRESO
DEL SALDO]])</f>
        <v>0</v>
      </c>
      <c r="I86" s="71">
        <f t="shared" si="81"/>
        <v>8774739.6303321235</v>
      </c>
      <c r="K86" s="71">
        <f>+SUMIF(CATEGORIAS[[#All],[SUBGRUPO]],A86,CATEGORIAS[[#All],[COSTO
ACUMULADO  AX]])
+SUMIF(CATEGORIAS[[#All],[SUBGRUPO]],A86,CATEGORIAS[[#All],[CAMBIO DE
CATEGORIA]])
+SUMIF(CATEGORIAS[[#All],[SUBGRUPO]],A86,CATEGORIAS[[#All],[PROVISIONES]])</f>
        <v>1522090</v>
      </c>
      <c r="L86" s="71">
        <f>+SUMIF(CATEGORIAS[[#All],[SUBGRUPO]],A86,CATEGORIAS[[#All],[PROYECCION
TOTAL DE COSTO]])</f>
        <v>0</v>
      </c>
      <c r="M86" s="71">
        <f t="shared" si="82"/>
        <v>1522090</v>
      </c>
      <c r="O86" s="71">
        <f t="shared" si="83"/>
        <v>8774739.6303321235</v>
      </c>
      <c r="P86" s="71">
        <f t="shared" si="84"/>
        <v>1522090</v>
      </c>
      <c r="Q86" s="227">
        <f t="shared" si="85"/>
        <v>7252649.6303321235</v>
      </c>
    </row>
    <row r="87" spans="1:17" ht="15" customHeight="1" x14ac:dyDescent="0.25">
      <c r="A87" s="14" t="str">
        <f>'Matriz de Produccion'!A87</f>
        <v>1H08</v>
      </c>
      <c r="B87" s="6" t="str">
        <f>VLOOKUP(A87,'Analisis por Categorias'!B:C,2,FALSE)</f>
        <v>IFA Fletes</v>
      </c>
      <c r="D87" s="3">
        <f>SUMIF(CATEGORIAS[[#All],[SUBGRUPO]],A87,CATEGORIAS[[#All],[PRESUPUESTO
(ORIGINAL)]])</f>
        <v>5400000</v>
      </c>
      <c r="E87" s="3">
        <f>+SUMIF(CATEGORIAS[[#All],[SUBGRUPO]],A87,CATEGORIAS[[#All],[PRODUCCION
PARTIDAS
ORIGINALES
ACTUAL]])
+SUMIF(CATEGORIAS[[#All],[SUBGRUPO]],A87,CATEGORIAS[[#All],[PRODUCCION
ADICIONALES
ACTUAL]])
+SUMIF(CATEGORIAS[[#All],[SUBGRUPO]],A87,CATEGORIAS[[#All],[PROYECCION
DE INGRESO
DEL SALDO]])</f>
        <v>8690065.3168137632</v>
      </c>
      <c r="G87" s="71">
        <f>+SUMIF(CATEGORIAS[[#All],[SUBGRUPO]],A87,CATEGORIAS[[#All],[PRODUCCION
PARTIDAS
ORIGINALES
ACTUAL]])
+SUMIF(CATEGORIAS[[#All],[SUBGRUPO]],A87,CATEGORIAS[[#All],[PRODUCCION
ADICIONALES
ACTUAL]])</f>
        <v>8690065.3168137632</v>
      </c>
      <c r="H87" s="71">
        <f>+SUMIF(CATEGORIAS[[#All],[SUBGRUPO]],A87,CATEGORIAS[[#All],[PROYECCION
DE INGRESO
DEL SALDO]])</f>
        <v>0</v>
      </c>
      <c r="I87" s="71">
        <f t="shared" ref="I87:I89" si="86">G87+H87</f>
        <v>8690065.3168137632</v>
      </c>
      <c r="K87" s="71">
        <f>+SUMIF(CATEGORIAS[[#All],[SUBGRUPO]],A87,CATEGORIAS[[#All],[COSTO
ACUMULADO  AX]])
+SUMIF(CATEGORIAS[[#All],[SUBGRUPO]],A87,CATEGORIAS[[#All],[CAMBIO DE
CATEGORIA]])
+SUMIF(CATEGORIAS[[#All],[SUBGRUPO]],A87,CATEGORIAS[[#All],[PROVISIONES]])</f>
        <v>11477630</v>
      </c>
      <c r="L87" s="71">
        <f>+SUMIF(CATEGORIAS[[#All],[SUBGRUPO]],A87,CATEGORIAS[[#All],[PROYECCION
TOTAL DE COSTO]])</f>
        <v>0</v>
      </c>
      <c r="M87" s="71">
        <f t="shared" ref="M87:M89" si="87">K87+L87</f>
        <v>11477630</v>
      </c>
      <c r="O87" s="71">
        <f t="shared" ref="O87:O89" si="88">I87</f>
        <v>8690065.3168137632</v>
      </c>
      <c r="P87" s="71">
        <f t="shared" ref="P87:P89" si="89">M87</f>
        <v>11477630</v>
      </c>
      <c r="Q87" s="227">
        <f t="shared" ref="Q87:Q89" si="90">O87-P87</f>
        <v>-2787564.6831862368</v>
      </c>
    </row>
    <row r="88" spans="1:17" ht="15" customHeight="1" x14ac:dyDescent="0.25">
      <c r="A88" s="14" t="str">
        <f>'Matriz de Produccion'!A88</f>
        <v>1H09</v>
      </c>
      <c r="B88" s="6" t="str">
        <f>VLOOKUP(A88,'Analisis por Categorias'!B:C,2,FALSE)</f>
        <v>Permisos</v>
      </c>
      <c r="D88" s="3">
        <f>SUMIF(CATEGORIAS[[#All],[SUBGRUPO]],A88,CATEGORIAS[[#All],[PRESUPUESTO
(ORIGINAL)]])</f>
        <v>16500000</v>
      </c>
      <c r="E88" s="3">
        <f>+SUMIF(CATEGORIAS[[#All],[SUBGRUPO]],A88,CATEGORIAS[[#All],[PRODUCCION
PARTIDAS
ORIGINALES
ACTUAL]])
+SUMIF(CATEGORIAS[[#All],[SUBGRUPO]],A88,CATEGORIAS[[#All],[PRODUCCION
ADICIONALES
ACTUAL]])
+SUMIF(CATEGORIAS[[#All],[SUBGRUPO]],A88,CATEGORIAS[[#All],[PROYECCION
DE INGRESO
DEL SALDO]])</f>
        <v>22274339.061612315</v>
      </c>
      <c r="G88" s="71">
        <f>+SUMIF(CATEGORIAS[[#All],[SUBGRUPO]],A88,CATEGORIAS[[#All],[PRODUCCION
PARTIDAS
ORIGINALES
ACTUAL]])
+SUMIF(CATEGORIAS[[#All],[SUBGRUPO]],A88,CATEGORIAS[[#All],[PRODUCCION
ADICIONALES
ACTUAL]])</f>
        <v>22274339.061612315</v>
      </c>
      <c r="H88" s="71">
        <f>+SUMIF(CATEGORIAS[[#All],[SUBGRUPO]],A88,CATEGORIAS[[#All],[PROYECCION
DE INGRESO
DEL SALDO]])</f>
        <v>0</v>
      </c>
      <c r="I88" s="71">
        <f t="shared" si="86"/>
        <v>22274339.061612315</v>
      </c>
      <c r="K88" s="71">
        <f>+SUMIF(CATEGORIAS[[#All],[SUBGRUPO]],A88,CATEGORIAS[[#All],[COSTO
ACUMULADO  AX]])
+SUMIF(CATEGORIAS[[#All],[SUBGRUPO]],A88,CATEGORIAS[[#All],[CAMBIO DE
CATEGORIA]])
+SUMIF(CATEGORIAS[[#All],[SUBGRUPO]],A88,CATEGORIAS[[#All],[PROVISIONES]])</f>
        <v>3040935</v>
      </c>
      <c r="L88" s="71">
        <f>+SUMIF(CATEGORIAS[[#All],[SUBGRUPO]],A88,CATEGORIAS[[#All],[PROYECCION
TOTAL DE COSTO]])</f>
        <v>0</v>
      </c>
      <c r="M88" s="71">
        <f t="shared" si="87"/>
        <v>3040935</v>
      </c>
      <c r="O88" s="71">
        <f t="shared" si="88"/>
        <v>22274339.061612315</v>
      </c>
      <c r="P88" s="71">
        <f t="shared" si="89"/>
        <v>3040935</v>
      </c>
      <c r="Q88" s="227">
        <f t="shared" si="90"/>
        <v>19233404.061612315</v>
      </c>
    </row>
    <row r="89" spans="1:17" ht="15" hidden="1" customHeight="1" x14ac:dyDescent="0.25">
      <c r="A89" s="14" t="str">
        <f>'Matriz de Produccion'!A89</f>
        <v>1H10</v>
      </c>
      <c r="B89" s="6" t="e">
        <f>VLOOKUP(A89,'Analisis por Categorias'!B:C,2,FALSE)</f>
        <v>#N/A</v>
      </c>
      <c r="D89" s="3">
        <f>SUMIF(CATEGORIAS[[#All],[SUBGRUPO]],A89,CATEGORIAS[[#All],[PRESUPUESTO
(ORIGINAL)]])</f>
        <v>0</v>
      </c>
      <c r="E89" s="3">
        <f>+SUMIF(CATEGORIAS[[#All],[SUBGRUPO]],A89,CATEGORIAS[[#All],[PRODUCCION
PARTIDAS
ORIGINALES
ACTUAL]])
+SUMIF(CATEGORIAS[[#All],[SUBGRUPO]],A89,CATEGORIAS[[#All],[PRODUCCION
ADICIONALES
ACTUAL]])
+SUMIF(CATEGORIAS[[#All],[SUBGRUPO]],A89,CATEGORIAS[[#All],[PROYECCION
DE INGRESO
DEL SALDO]])</f>
        <v>0</v>
      </c>
      <c r="G89" s="71">
        <f>+SUMIF(CATEGORIAS[[#All],[SUBGRUPO]],A89,CATEGORIAS[[#All],[PRODUCCION
PARTIDAS
ORIGINALES
ACTUAL]])
+SUMIF(CATEGORIAS[[#All],[SUBGRUPO]],A89,CATEGORIAS[[#All],[PRODUCCION
ADICIONALES
ACTUAL]])</f>
        <v>0</v>
      </c>
      <c r="H89" s="71">
        <f>+SUMIF(CATEGORIAS[[#All],[SUBGRUPO]],A89,CATEGORIAS[[#All],[PROYECCION
DE INGRESO
DEL SALDO]])</f>
        <v>0</v>
      </c>
      <c r="I89" s="71">
        <f t="shared" si="86"/>
        <v>0</v>
      </c>
      <c r="K89" s="71">
        <f>+SUMIF(CATEGORIAS[[#All],[SUBGRUPO]],A89,CATEGORIAS[[#All],[COSTO
ACUMULADO  AX]])
+SUMIF(CATEGORIAS[[#All],[SUBGRUPO]],A89,CATEGORIAS[[#All],[CAMBIO DE
CATEGORIA]])
+SUMIF(CATEGORIAS[[#All],[SUBGRUPO]],A89,CATEGORIAS[[#All],[PROVISIONES]])</f>
        <v>0</v>
      </c>
      <c r="L89" s="71">
        <f>+SUMIF(CATEGORIAS[[#All],[SUBGRUPO]],A89,CATEGORIAS[[#All],[PROYECCION
TOTAL DE COSTO]])</f>
        <v>0</v>
      </c>
      <c r="M89" s="71">
        <f t="shared" si="87"/>
        <v>0</v>
      </c>
      <c r="O89" s="71">
        <f t="shared" si="88"/>
        <v>0</v>
      </c>
      <c r="P89" s="71">
        <f t="shared" si="89"/>
        <v>0</v>
      </c>
      <c r="Q89" s="227">
        <f t="shared" si="90"/>
        <v>0</v>
      </c>
    </row>
    <row r="90" spans="1:17" ht="15" hidden="1" customHeight="1" x14ac:dyDescent="0.25">
      <c r="A90" s="14" t="str">
        <f>'Matriz de Produccion'!A90</f>
        <v>1H11</v>
      </c>
      <c r="B90" s="6" t="e">
        <f>VLOOKUP(A90,'Analisis por Categorias'!B:C,2,FALSE)</f>
        <v>#N/A</v>
      </c>
      <c r="D90" s="3">
        <f>SUMIF(CATEGORIAS[[#All],[SUBGRUPO]],A90,CATEGORIAS[[#All],[PRESUPUESTO
(ORIGINAL)]])</f>
        <v>0</v>
      </c>
      <c r="E90" s="3">
        <f>+SUMIF(CATEGORIAS[[#All],[SUBGRUPO]],A90,CATEGORIAS[[#All],[PRODUCCION
PARTIDAS
ORIGINALES
ACTUAL]])
+SUMIF(CATEGORIAS[[#All],[SUBGRUPO]],A90,CATEGORIAS[[#All],[PRODUCCION
ADICIONALES
ACTUAL]])
+SUMIF(CATEGORIAS[[#All],[SUBGRUPO]],A90,CATEGORIAS[[#All],[PROYECCION
DE INGRESO
DEL SALDO]])</f>
        <v>0</v>
      </c>
      <c r="G90" s="71">
        <f>+SUMIF(CATEGORIAS[[#All],[SUBGRUPO]],A90,CATEGORIAS[[#All],[PRODUCCION
PARTIDAS
ORIGINALES
ACTUAL]])
+SUMIF(CATEGORIAS[[#All],[SUBGRUPO]],A90,CATEGORIAS[[#All],[PRODUCCION
ADICIONALES
ACTUAL]])</f>
        <v>0</v>
      </c>
      <c r="H90" s="71">
        <f>+SUMIF(CATEGORIAS[[#All],[SUBGRUPO]],A90,CATEGORIAS[[#All],[PROYECCION
DE INGRESO
DEL SALDO]])</f>
        <v>0</v>
      </c>
      <c r="I90" s="71">
        <f t="shared" ref="I90" si="91">G90+H90</f>
        <v>0</v>
      </c>
      <c r="K90" s="71">
        <f>+SUMIF(CATEGORIAS[[#All],[SUBGRUPO]],A90,CATEGORIAS[[#All],[COSTO
ACUMULADO  AX]])
+SUMIF(CATEGORIAS[[#All],[SUBGRUPO]],A90,CATEGORIAS[[#All],[CAMBIO DE
CATEGORIA]])
+SUMIF(CATEGORIAS[[#All],[SUBGRUPO]],A90,CATEGORIAS[[#All],[PROVISIONES]])</f>
        <v>0</v>
      </c>
      <c r="L90" s="71">
        <f>+SUMIF(CATEGORIAS[[#All],[SUBGRUPO]],A90,CATEGORIAS[[#All],[PROYECCION
TOTAL DE COSTO]])</f>
        <v>0</v>
      </c>
      <c r="M90" s="71">
        <f t="shared" ref="M90" si="92">K90+L90</f>
        <v>0</v>
      </c>
      <c r="O90" s="71">
        <f t="shared" ref="O90" si="93">I90</f>
        <v>0</v>
      </c>
      <c r="P90" s="71">
        <f t="shared" ref="P90" si="94">M90</f>
        <v>0</v>
      </c>
      <c r="Q90" s="227">
        <f t="shared" ref="Q90" si="95">O90-P90</f>
        <v>0</v>
      </c>
    </row>
    <row r="91" spans="1:17" ht="8.25" customHeight="1" x14ac:dyDescent="0.25">
      <c r="Q91" s="226"/>
    </row>
    <row r="92" spans="1:17" ht="14.25" customHeight="1" x14ac:dyDescent="0.25">
      <c r="A92" s="14" t="str">
        <f>'Matriz de Produccion'!A92</f>
        <v>1I00</v>
      </c>
      <c r="B92" s="81" t="str">
        <f>'Matriz de Produccion'!B92:B92</f>
        <v>I - GASTOS GENERALES</v>
      </c>
      <c r="D92" s="82">
        <f>SUM(D93:D106)</f>
        <v>194544741.2074329</v>
      </c>
      <c r="E92" s="82">
        <f>SUM(E93:E106)</f>
        <v>247748617.79628068</v>
      </c>
      <c r="G92" s="83">
        <f>SUM(G93:G106)</f>
        <v>247748617.79628068</v>
      </c>
      <c r="H92" s="83">
        <f>SUM(H93:H106)</f>
        <v>0</v>
      </c>
      <c r="I92" s="83">
        <f>SUM(I93:I106)</f>
        <v>247748617.79628068</v>
      </c>
      <c r="K92" s="84">
        <f>SUM(K93:K106)</f>
        <v>174581266</v>
      </c>
      <c r="L92" s="84">
        <f>SUM(L93:L106)</f>
        <v>2000000</v>
      </c>
      <c r="M92" s="84">
        <f>SUM(M93:M106)</f>
        <v>176581266</v>
      </c>
      <c r="O92" s="12">
        <f>SUM(O93:O106)</f>
        <v>247748617.79628068</v>
      </c>
      <c r="P92" s="11">
        <f>SUM(P93:P106)</f>
        <v>176581266</v>
      </c>
      <c r="Q92" s="225">
        <f>SUM(Q93:Q106)</f>
        <v>71167351.796280712</v>
      </c>
    </row>
    <row r="93" spans="1:17" ht="15" customHeight="1" x14ac:dyDescent="0.25">
      <c r="A93" s="14" t="str">
        <f>'Matriz de Produccion'!A93</f>
        <v>1I01</v>
      </c>
      <c r="B93" s="6" t="str">
        <f>VLOOKUP(A93,'Analisis por Categorias'!B:C,2,FALSE)</f>
        <v>Gastos De Contratación</v>
      </c>
      <c r="D93" s="3">
        <f>SUMIF(CATEGORIAS[[#All],[SUBGRUPO]],A93,CATEGORIAS[[#All],[PRESUPUESTO
(ORIGINAL)]])</f>
        <v>39447434.040254258</v>
      </c>
      <c r="E93" s="3">
        <f>+SUMIF(CATEGORIAS[[#All],[SUBGRUPO]],A93,CATEGORIAS[[#All],[PRODUCCION
PARTIDAS
ORIGINALES
ACTUAL]])
+SUMIF(CATEGORIAS[[#All],[SUBGRUPO]],A93,CATEGORIAS[[#All],[PRODUCCION
ADICIONALES
ACTUAL]])
+SUMIF(CATEGORIAS[[#All],[SUBGRUPO]],A93,CATEGORIAS[[#All],[PROYECCION
DE INGRESO
DEL SALDO]])</f>
        <v>61221017.133051813</v>
      </c>
      <c r="G93" s="71">
        <f>+SUMIF(CATEGORIAS[[#All],[SUBGRUPO]],A93,CATEGORIAS[[#All],[PRODUCCION
PARTIDAS
ORIGINALES
ACTUAL]])
+SUMIF(CATEGORIAS[[#All],[SUBGRUPO]],A93,CATEGORIAS[[#All],[PRODUCCION
ADICIONALES
ACTUAL]])</f>
        <v>61221017.133051813</v>
      </c>
      <c r="H93" s="71">
        <f>+SUMIF(CATEGORIAS[[#All],[SUBGRUPO]],A93,CATEGORIAS[[#All],[PROYECCION
DE INGRESO
DEL SALDO]])</f>
        <v>0</v>
      </c>
      <c r="I93" s="71">
        <f t="shared" ref="I93:I98" si="96">G93+H93</f>
        <v>61221017.133051813</v>
      </c>
      <c r="K93" s="71">
        <f>+SUMIF(CATEGORIAS[[#All],[SUBGRUPO]],A93,CATEGORIAS[[#All],[COSTO
ACUMULADO  AX]])
+SUMIF(CATEGORIAS[[#All],[SUBGRUPO]],A93,CATEGORIAS[[#All],[CAMBIO DE
CATEGORIA]])
+SUMIF(CATEGORIAS[[#All],[SUBGRUPO]],A93,CATEGORIAS[[#All],[PROVISIONES]])</f>
        <v>12625104</v>
      </c>
      <c r="L93" s="71">
        <f>+SUMIF(CATEGORIAS[[#All],[SUBGRUPO]],A93,CATEGORIAS[[#All],[PROYECCION
TOTAL DE COSTO]])</f>
        <v>0</v>
      </c>
      <c r="M93" s="71">
        <f t="shared" ref="M93:M98" si="97">K93+L93</f>
        <v>12625104</v>
      </c>
      <c r="O93" s="71">
        <f t="shared" ref="O93:O98" si="98">I93</f>
        <v>61221017.133051813</v>
      </c>
      <c r="P93" s="71">
        <f t="shared" ref="P93:P98" si="99">M93</f>
        <v>12625104</v>
      </c>
      <c r="Q93" s="227">
        <f t="shared" ref="Q93:Q98" si="100">O93-P93</f>
        <v>48595913.133051813</v>
      </c>
    </row>
    <row r="94" spans="1:17" ht="15" customHeight="1" x14ac:dyDescent="0.25">
      <c r="A94" s="14" t="str">
        <f>'Matriz de Produccion'!A94</f>
        <v>1I02</v>
      </c>
      <c r="B94" s="6" t="str">
        <f>VLOOKUP(A94,'Analisis por Categorias'!B:C,2,FALSE)</f>
        <v>Otros gastos generales</v>
      </c>
      <c r="D94" s="3">
        <f>SUMIF(CATEGORIAS[[#All],[SUBGRUPO]],A94,CATEGORIAS[[#All],[PRESUPUESTO
(ORIGINAL)]])</f>
        <v>45917952.31962958</v>
      </c>
      <c r="E94" s="3">
        <f>+SUMIF(CATEGORIAS[[#All],[SUBGRUPO]],A94,CATEGORIAS[[#All],[PRODUCCION
PARTIDAS
ORIGINALES
ACTUAL]])
+SUMIF(CATEGORIAS[[#All],[SUBGRUPO]],A94,CATEGORIAS[[#All],[PRODUCCION
ADICIONALES
ACTUAL]])
+SUMIF(CATEGORIAS[[#All],[SUBGRUPO]],A94,CATEGORIAS[[#All],[PROYECCION
DE INGRESO
DEL SALDO]])</f>
        <v>63911052.645077571</v>
      </c>
      <c r="G94" s="71">
        <f>+SUMIF(CATEGORIAS[[#All],[SUBGRUPO]],A94,CATEGORIAS[[#All],[PRODUCCION
PARTIDAS
ORIGINALES
ACTUAL]])
+SUMIF(CATEGORIAS[[#All],[SUBGRUPO]],A94,CATEGORIAS[[#All],[PRODUCCION
ADICIONALES
ACTUAL]])</f>
        <v>63911052.645077571</v>
      </c>
      <c r="H94" s="71">
        <f>+SUMIF(CATEGORIAS[[#All],[SUBGRUPO]],A94,CATEGORIAS[[#All],[PROYECCION
DE INGRESO
DEL SALDO]])</f>
        <v>0</v>
      </c>
      <c r="I94" s="71">
        <f t="shared" si="96"/>
        <v>63911052.645077571</v>
      </c>
      <c r="K94" s="71">
        <f>+SUMIF(CATEGORIAS[[#All],[SUBGRUPO]],A94,CATEGORIAS[[#All],[COSTO
ACUMULADO  AX]])
+SUMIF(CATEGORIAS[[#All],[SUBGRUPO]],A94,CATEGORIAS[[#All],[CAMBIO DE
CATEGORIA]])
+SUMIF(CATEGORIAS[[#All],[SUBGRUPO]],A94,CATEGORIAS[[#All],[PROVISIONES]])</f>
        <v>77322784</v>
      </c>
      <c r="L94" s="71">
        <f>+SUMIF(CATEGORIAS[[#All],[SUBGRUPO]],A94,CATEGORIAS[[#All],[PROYECCION
TOTAL DE COSTO]])</f>
        <v>0</v>
      </c>
      <c r="M94" s="71">
        <f t="shared" si="97"/>
        <v>77322784</v>
      </c>
      <c r="O94" s="71">
        <f t="shared" si="98"/>
        <v>63911052.645077571</v>
      </c>
      <c r="P94" s="71">
        <f t="shared" si="99"/>
        <v>77322784</v>
      </c>
      <c r="Q94" s="227">
        <f t="shared" si="100"/>
        <v>-13411731.354922429</v>
      </c>
    </row>
    <row r="95" spans="1:17" ht="15" customHeight="1" x14ac:dyDescent="0.25">
      <c r="A95" s="14" t="str">
        <f>'Matriz de Produccion'!A95</f>
        <v>1I03</v>
      </c>
      <c r="B95" s="6" t="str">
        <f>VLOOKUP(A95,'Analisis por Categorias'!B:C,2,FALSE)</f>
        <v>Enlaces Internet</v>
      </c>
      <c r="D95" s="3">
        <f>SUMIF(CATEGORIAS[[#All],[SUBGRUPO]],A95,CATEGORIAS[[#All],[PRESUPUESTO
(ORIGINAL)]])</f>
        <v>7200000</v>
      </c>
      <c r="E95" s="3">
        <f>+SUMIF(CATEGORIAS[[#All],[SUBGRUPO]],A95,CATEGORIAS[[#All],[PRODUCCION
PARTIDAS
ORIGINALES
ACTUAL]])
+SUMIF(CATEGORIAS[[#All],[SUBGRUPO]],A95,CATEGORIAS[[#All],[PRODUCCION
ADICIONALES
ACTUAL]])
+SUMIF(CATEGORIAS[[#All],[SUBGRUPO]],A95,CATEGORIAS[[#All],[PROYECCION
DE INGRESO
DEL SALDO]])</f>
        <v>8493629.0144417845</v>
      </c>
      <c r="G95" s="71">
        <f>+SUMIF(CATEGORIAS[[#All],[SUBGRUPO]],A95,CATEGORIAS[[#All],[PRODUCCION
PARTIDAS
ORIGINALES
ACTUAL]])
+SUMIF(CATEGORIAS[[#All],[SUBGRUPO]],A95,CATEGORIAS[[#All],[PRODUCCION
ADICIONALES
ACTUAL]])</f>
        <v>8493629.0144417845</v>
      </c>
      <c r="H95" s="71">
        <f>+SUMIF(CATEGORIAS[[#All],[SUBGRUPO]],A95,CATEGORIAS[[#All],[PROYECCION
DE INGRESO
DEL SALDO]])</f>
        <v>0</v>
      </c>
      <c r="I95" s="71">
        <f t="shared" si="96"/>
        <v>8493629.0144417845</v>
      </c>
      <c r="K95" s="71">
        <f>+SUMIF(CATEGORIAS[[#All],[SUBGRUPO]],A95,CATEGORIAS[[#All],[COSTO
ACUMULADO  AX]])
+SUMIF(CATEGORIAS[[#All],[SUBGRUPO]],A95,CATEGORIAS[[#All],[CAMBIO DE
CATEGORIA]])
+SUMIF(CATEGORIAS[[#All],[SUBGRUPO]],A95,CATEGORIAS[[#All],[PROVISIONES]])</f>
        <v>7233514</v>
      </c>
      <c r="L95" s="71">
        <f>+SUMIF(CATEGORIAS[[#All],[SUBGRUPO]],A95,CATEGORIAS[[#All],[PROYECCION
TOTAL DE COSTO]])</f>
        <v>0</v>
      </c>
      <c r="M95" s="85">
        <f t="shared" si="97"/>
        <v>7233514</v>
      </c>
      <c r="O95" s="85">
        <f t="shared" si="98"/>
        <v>8493629.0144417845</v>
      </c>
      <c r="P95" s="85">
        <f t="shared" si="99"/>
        <v>7233514</v>
      </c>
      <c r="Q95" s="228">
        <f t="shared" si="100"/>
        <v>1260115.0144417845</v>
      </c>
    </row>
    <row r="96" spans="1:17" ht="15" customHeight="1" x14ac:dyDescent="0.25">
      <c r="A96" s="14" t="str">
        <f>'Matriz de Produccion'!A96</f>
        <v>1I04</v>
      </c>
      <c r="B96" s="6" t="str">
        <f>VLOOKUP(A96,'Analisis por Categorias'!B:C,2,FALSE)</f>
        <v>Fletes Generales</v>
      </c>
      <c r="D96" s="3">
        <f>SUMIF(CATEGORIAS[[#All],[SUBGRUPO]],A96,CATEGORIAS[[#All],[PRESUPUESTO
(ORIGINAL)]])</f>
        <v>27440623.725000001</v>
      </c>
      <c r="E96" s="3">
        <f>+SUMIF(CATEGORIAS[[#All],[SUBGRUPO]],A96,CATEGORIAS[[#All],[PRODUCCION
PARTIDAS
ORIGINALES
ACTUAL]])
+SUMIF(CATEGORIAS[[#All],[SUBGRUPO]],A96,CATEGORIAS[[#All],[PRODUCCION
ADICIONALES
ACTUAL]])
+SUMIF(CATEGORIAS[[#All],[SUBGRUPO]],A96,CATEGORIAS[[#All],[PROYECCION
DE INGRESO
DEL SALDO]])</f>
        <v>23210430.39544734</v>
      </c>
      <c r="G96" s="71">
        <f>+SUMIF(CATEGORIAS[[#All],[SUBGRUPO]],A96,CATEGORIAS[[#All],[PRODUCCION
PARTIDAS
ORIGINALES
ACTUAL]])
+SUMIF(CATEGORIAS[[#All],[SUBGRUPO]],A96,CATEGORIAS[[#All],[PRODUCCION
ADICIONALES
ACTUAL]])</f>
        <v>23210430.39544734</v>
      </c>
      <c r="H96" s="71">
        <f>+SUMIF(CATEGORIAS[[#All],[SUBGRUPO]],A96,CATEGORIAS[[#All],[PROYECCION
DE INGRESO
DEL SALDO]])</f>
        <v>0</v>
      </c>
      <c r="I96" s="71">
        <f t="shared" si="96"/>
        <v>23210430.39544734</v>
      </c>
      <c r="K96" s="71">
        <f>+SUMIF(CATEGORIAS[[#All],[SUBGRUPO]],A96,CATEGORIAS[[#All],[COSTO
ACUMULADO  AX]])
+SUMIF(CATEGORIAS[[#All],[SUBGRUPO]],A96,CATEGORIAS[[#All],[CAMBIO DE
CATEGORIA]])
+SUMIF(CATEGORIAS[[#All],[SUBGRUPO]],A96,CATEGORIAS[[#All],[PROVISIONES]])</f>
        <v>18195059</v>
      </c>
      <c r="L96" s="71">
        <f>+SUMIF(CATEGORIAS[[#All],[SUBGRUPO]],A96,CATEGORIAS[[#All],[PROYECCION
TOTAL DE COSTO]])</f>
        <v>0</v>
      </c>
      <c r="M96" s="71">
        <f t="shared" si="97"/>
        <v>18195059</v>
      </c>
      <c r="O96" s="71">
        <f t="shared" si="98"/>
        <v>23210430.39544734</v>
      </c>
      <c r="P96" s="71">
        <f t="shared" si="99"/>
        <v>18195059</v>
      </c>
      <c r="Q96" s="227">
        <f t="shared" si="100"/>
        <v>5015371.3954473399</v>
      </c>
    </row>
    <row r="97" spans="1:17" ht="15" customHeight="1" x14ac:dyDescent="0.25">
      <c r="A97" s="14" t="str">
        <f>'Matriz de Produccion'!A97</f>
        <v>1I05</v>
      </c>
      <c r="B97" s="6" t="str">
        <f>VLOOKUP(A97,'Analisis por Categorias'!B:C,2,FALSE)</f>
        <v>Comunicación</v>
      </c>
      <c r="D97" s="3">
        <f>SUMIF(CATEGORIAS[[#All],[SUBGRUPO]],A97,CATEGORIAS[[#All],[PRESUPUESTO
(ORIGINAL)]])</f>
        <v>7611063.4056433411</v>
      </c>
      <c r="E97" s="3">
        <f>+SUMIF(CATEGORIAS[[#All],[SUBGRUPO]],A97,CATEGORIAS[[#All],[PRODUCCION
PARTIDAS
ORIGINALES
ACTUAL]])
+SUMIF(CATEGORIAS[[#All],[SUBGRUPO]],A97,CATEGORIAS[[#All],[PRODUCCION
ADICIONALES
ACTUAL]])
+SUMIF(CATEGORIAS[[#All],[SUBGRUPO]],A97,CATEGORIAS[[#All],[PROYECCION
DE INGRESO
DEL SALDO]])</f>
        <v>10292483.535002772</v>
      </c>
      <c r="G97" s="71">
        <f>+SUMIF(CATEGORIAS[[#All],[SUBGRUPO]],A97,CATEGORIAS[[#All],[PRODUCCION
PARTIDAS
ORIGINALES
ACTUAL]])
+SUMIF(CATEGORIAS[[#All],[SUBGRUPO]],A97,CATEGORIAS[[#All],[PRODUCCION
ADICIONALES
ACTUAL]])</f>
        <v>10292483.535002772</v>
      </c>
      <c r="H97" s="71">
        <f>+SUMIF(CATEGORIAS[[#All],[SUBGRUPO]],A97,CATEGORIAS[[#All],[PROYECCION
DE INGRESO
DEL SALDO]])</f>
        <v>0</v>
      </c>
      <c r="I97" s="71">
        <f t="shared" si="96"/>
        <v>10292483.535002772</v>
      </c>
      <c r="K97" s="71">
        <f>+SUMIF(CATEGORIAS[[#All],[SUBGRUPO]],A97,CATEGORIAS[[#All],[COSTO
ACUMULADO  AX]])
+SUMIF(CATEGORIAS[[#All],[SUBGRUPO]],A97,CATEGORIAS[[#All],[CAMBIO DE
CATEGORIA]])
+SUMIF(CATEGORIAS[[#All],[SUBGRUPO]],A97,CATEGORIAS[[#All],[PROVISIONES]])</f>
        <v>1232634</v>
      </c>
      <c r="L97" s="71">
        <f>+SUMIF(CATEGORIAS[[#All],[SUBGRUPO]],A97,CATEGORIAS[[#All],[PROYECCION
TOTAL DE COSTO]])</f>
        <v>0</v>
      </c>
      <c r="M97" s="85">
        <f t="shared" si="97"/>
        <v>1232634</v>
      </c>
      <c r="O97" s="85">
        <f t="shared" si="98"/>
        <v>10292483.535002772</v>
      </c>
      <c r="P97" s="85">
        <f t="shared" si="99"/>
        <v>1232634</v>
      </c>
      <c r="Q97" s="228">
        <f t="shared" si="100"/>
        <v>9059849.5350027718</v>
      </c>
    </row>
    <row r="98" spans="1:17" ht="15" hidden="1" customHeight="1" x14ac:dyDescent="0.25">
      <c r="A98" s="14" t="str">
        <f>'Matriz de Produccion'!A98</f>
        <v>1I06</v>
      </c>
      <c r="B98" s="6" t="str">
        <f>VLOOKUP(A98,'Analisis por Categorias'!B:C,2,FALSE)</f>
        <v>Computadores</v>
      </c>
      <c r="D98" s="3">
        <f>SUMIF(CATEGORIAS[[#All],[SUBGRUPO]],A98,CATEGORIAS[[#All],[PRESUPUESTO
(ORIGINAL)]])</f>
        <v>9839991.2000000011</v>
      </c>
      <c r="E98" s="3">
        <f>+SUMIF(CATEGORIAS[[#All],[SUBGRUPO]],A98,CATEGORIAS[[#All],[PRODUCCION
PARTIDAS
ORIGINALES
ACTUAL]])
+SUMIF(CATEGORIAS[[#All],[SUBGRUPO]],A98,CATEGORIAS[[#All],[PRODUCCION
ADICIONALES
ACTUAL]])
+SUMIF(CATEGORIAS[[#All],[SUBGRUPO]],A98,CATEGORIAS[[#All],[PROYECCION
DE INGRESO
DEL SALDO]])</f>
        <v>11671351.011997472</v>
      </c>
      <c r="G98" s="71">
        <f>+SUMIF(CATEGORIAS[[#All],[SUBGRUPO]],A98,CATEGORIAS[[#All],[PRODUCCION
PARTIDAS
ORIGINALES
ACTUAL]])
+SUMIF(CATEGORIAS[[#All],[SUBGRUPO]],A98,CATEGORIAS[[#All],[PRODUCCION
ADICIONALES
ACTUAL]])</f>
        <v>11671351.011997472</v>
      </c>
      <c r="H98" s="71">
        <f>+SUMIF(CATEGORIAS[[#All],[SUBGRUPO]],A98,CATEGORIAS[[#All],[PROYECCION
DE INGRESO
DEL SALDO]])</f>
        <v>0</v>
      </c>
      <c r="I98" s="71">
        <f t="shared" si="96"/>
        <v>11671351.011997472</v>
      </c>
      <c r="K98" s="71">
        <f>+SUMIF(CATEGORIAS[[#All],[SUBGRUPO]],A98,CATEGORIAS[[#All],[COSTO
ACUMULADO  AX]])
+SUMIF(CATEGORIAS[[#All],[SUBGRUPO]],A98,CATEGORIAS[[#All],[CAMBIO DE
CATEGORIA]])
+SUMIF(CATEGORIAS[[#All],[SUBGRUPO]],A98,CATEGORIAS[[#All],[PROVISIONES]])</f>
        <v>30559796</v>
      </c>
      <c r="L98" s="71">
        <f>+SUMIF(CATEGORIAS[[#All],[SUBGRUPO]],A98,CATEGORIAS[[#All],[PROYECCION
TOTAL DE COSTO]])</f>
        <v>0</v>
      </c>
      <c r="M98" s="71">
        <f t="shared" si="97"/>
        <v>30559796</v>
      </c>
      <c r="O98" s="71">
        <f t="shared" si="98"/>
        <v>11671351.011997472</v>
      </c>
      <c r="P98" s="71">
        <f t="shared" si="99"/>
        <v>30559796</v>
      </c>
      <c r="Q98" s="227">
        <f t="shared" si="100"/>
        <v>-18888444.988002528</v>
      </c>
    </row>
    <row r="99" spans="1:17" ht="15" customHeight="1" x14ac:dyDescent="0.25">
      <c r="A99" s="14" t="str">
        <f>'Matriz de Produccion'!A99</f>
        <v>1I07</v>
      </c>
      <c r="B99" s="6" t="str">
        <f>VLOOKUP(A99,'Analisis por Categorias'!B:C,2,FALSE)</f>
        <v>Impresoras / Fotocopias</v>
      </c>
      <c r="D99" s="3">
        <f>SUMIF(CATEGORIAS[[#All],[SUBGRUPO]],A99,CATEGORIAS[[#All],[PRESUPUESTO
(ORIGINAL)]])</f>
        <v>6988715.5472142855</v>
      </c>
      <c r="E99" s="3">
        <f>+SUMIF(CATEGORIAS[[#All],[SUBGRUPO]],A99,CATEGORIAS[[#All],[PRODUCCION
PARTIDAS
ORIGINALES
ACTUAL]])
+SUMIF(CATEGORIAS[[#All],[SUBGRUPO]],A99,CATEGORIAS[[#All],[PRODUCCION
ADICIONALES
ACTUAL]])
+SUMIF(CATEGORIAS[[#All],[SUBGRUPO]],A99,CATEGORIAS[[#All],[PROYECCION
DE INGRESO
DEL SALDO]])</f>
        <v>8800966.7923478894</v>
      </c>
      <c r="G99" s="71">
        <f>+SUMIF(CATEGORIAS[[#All],[SUBGRUPO]],A99,CATEGORIAS[[#All],[PRODUCCION
PARTIDAS
ORIGINALES
ACTUAL]])
+SUMIF(CATEGORIAS[[#All],[SUBGRUPO]],A99,CATEGORIAS[[#All],[PRODUCCION
ADICIONALES
ACTUAL]])</f>
        <v>8800966.7923478894</v>
      </c>
      <c r="H99" s="71">
        <f>+SUMIF(CATEGORIAS[[#All],[SUBGRUPO]],A99,CATEGORIAS[[#All],[PROYECCION
DE INGRESO
DEL SALDO]])</f>
        <v>0</v>
      </c>
      <c r="I99" s="71">
        <f t="shared" ref="I99:I103" si="101">G99+H99</f>
        <v>8800966.7923478894</v>
      </c>
      <c r="K99" s="71">
        <f>+SUMIF(CATEGORIAS[[#All],[SUBGRUPO]],A99,CATEGORIAS[[#All],[COSTO
ACUMULADO  AX]])
+SUMIF(CATEGORIAS[[#All],[SUBGRUPO]],A99,CATEGORIAS[[#All],[CAMBIO DE
CATEGORIA]])
+SUMIF(CATEGORIAS[[#All],[SUBGRUPO]],A99,CATEGORIAS[[#All],[PROVISIONES]])</f>
        <v>9836783</v>
      </c>
      <c r="L99" s="71">
        <f>+SUMIF(CATEGORIAS[[#All],[SUBGRUPO]],A99,CATEGORIAS[[#All],[PROYECCION
TOTAL DE COSTO]])</f>
        <v>0</v>
      </c>
      <c r="M99" s="85">
        <f t="shared" ref="M99:M103" si="102">K99+L99</f>
        <v>9836783</v>
      </c>
      <c r="O99" s="85">
        <f t="shared" ref="O99:O103" si="103">I99</f>
        <v>8800966.7923478894</v>
      </c>
      <c r="P99" s="85">
        <f t="shared" ref="P99:P103" si="104">M99</f>
        <v>9836783</v>
      </c>
      <c r="Q99" s="228">
        <f t="shared" ref="Q99:Q103" si="105">O99-P99</f>
        <v>-1035816.2076521106</v>
      </c>
    </row>
    <row r="100" spans="1:17" ht="15" hidden="1" customHeight="1" x14ac:dyDescent="0.25">
      <c r="A100" s="14" t="str">
        <f>'Matriz de Produccion'!A100</f>
        <v>1I08</v>
      </c>
      <c r="B100" s="6" t="str">
        <f>VLOOKUP(A100,'Analisis por Categorias'!B:C,2,FALSE)</f>
        <v>Calificaciones</v>
      </c>
      <c r="D100" s="3">
        <f>SUMIF(CATEGORIAS[[#All],[SUBGRUPO]],A100,CATEGORIAS[[#All],[PRESUPUESTO
(ORIGINAL)]])</f>
        <v>30843363.248571426</v>
      </c>
      <c r="E100" s="3">
        <f>+SUMIF(CATEGORIAS[[#All],[SUBGRUPO]],A100,CATEGORIAS[[#All],[PRODUCCION
PARTIDAS
ORIGINALES
ACTUAL]])
+SUMIF(CATEGORIAS[[#All],[SUBGRUPO]],A100,CATEGORIAS[[#All],[PRODUCCION
ADICIONALES
ACTUAL]])
+SUMIF(CATEGORIAS[[#All],[SUBGRUPO]],A100,CATEGORIAS[[#All],[PROYECCION
DE INGRESO
DEL SALDO]])</f>
        <v>34036748.358429968</v>
      </c>
      <c r="G100" s="71">
        <f>+SUMIF(CATEGORIAS[[#All],[SUBGRUPO]],A100,CATEGORIAS[[#All],[PRODUCCION
PARTIDAS
ORIGINALES
ACTUAL]])
+SUMIF(CATEGORIAS[[#All],[SUBGRUPO]],A100,CATEGORIAS[[#All],[PRODUCCION
ADICIONALES
ACTUAL]])</f>
        <v>34036748.358429968</v>
      </c>
      <c r="H100" s="71">
        <f>+SUMIF(CATEGORIAS[[#All],[SUBGRUPO]],A100,CATEGORIAS[[#All],[PROYECCION
DE INGRESO
DEL SALDO]])</f>
        <v>0</v>
      </c>
      <c r="I100" s="71">
        <f t="shared" si="101"/>
        <v>34036748.358429968</v>
      </c>
      <c r="K100" s="71">
        <f>+SUMIF(CATEGORIAS[[#All],[SUBGRUPO]],A100,CATEGORIAS[[#All],[COSTO
ACUMULADO  AX]])
+SUMIF(CATEGORIAS[[#All],[SUBGRUPO]],A100,CATEGORIAS[[#All],[CAMBIO DE
CATEGORIA]])
+SUMIF(CATEGORIAS[[#All],[SUBGRUPO]],A100,CATEGORIAS[[#All],[PROVISIONES]])</f>
        <v>4544089</v>
      </c>
      <c r="L100" s="71">
        <f>+SUMIF(CATEGORIAS[[#All],[SUBGRUPO]],A100,CATEGORIAS[[#All],[PROYECCION
TOTAL DE COSTO]])</f>
        <v>0</v>
      </c>
      <c r="M100" s="85">
        <f t="shared" si="102"/>
        <v>4544089</v>
      </c>
      <c r="O100" s="85">
        <f t="shared" si="103"/>
        <v>34036748.358429968</v>
      </c>
      <c r="P100" s="85">
        <f t="shared" si="104"/>
        <v>4544089</v>
      </c>
      <c r="Q100" s="228">
        <f t="shared" si="105"/>
        <v>29492659.358429968</v>
      </c>
    </row>
    <row r="101" spans="1:17" ht="15" customHeight="1" x14ac:dyDescent="0.25">
      <c r="A101" s="14" t="str">
        <f>'Matriz de Produccion'!A101</f>
        <v>1I09</v>
      </c>
      <c r="B101" s="6" t="str">
        <f>VLOOKUP(A101,'Analisis por Categorias'!B:C,2,FALSE)</f>
        <v>Elementos Seguridad Indirectos</v>
      </c>
      <c r="D101" s="3">
        <f>SUMIF(CATEGORIAS[[#All],[SUBGRUPO]],A101,CATEGORIAS[[#All],[PRESUPUESTO
(ORIGINAL)]])</f>
        <v>14137964.285714285</v>
      </c>
      <c r="E101" s="3">
        <f>+SUMIF(CATEGORIAS[[#All],[SUBGRUPO]],A101,CATEGORIAS[[#All],[PRODUCCION
PARTIDAS
ORIGINALES
ACTUAL]])
+SUMIF(CATEGORIAS[[#All],[SUBGRUPO]],A101,CATEGORIAS[[#All],[PRODUCCION
ADICIONALES
ACTUAL]])
+SUMIF(CATEGORIAS[[#All],[SUBGRUPO]],A101,CATEGORIAS[[#All],[PROYECCION
DE INGRESO
DEL SALDO]])</f>
        <v>19259966.928273432</v>
      </c>
      <c r="G101" s="71">
        <f>+SUMIF(CATEGORIAS[[#All],[SUBGRUPO]],A101,CATEGORIAS[[#All],[PRODUCCION
PARTIDAS
ORIGINALES
ACTUAL]])
+SUMIF(CATEGORIAS[[#All],[SUBGRUPO]],A101,CATEGORIAS[[#All],[PRODUCCION
ADICIONALES
ACTUAL]])</f>
        <v>19259966.928273432</v>
      </c>
      <c r="H101" s="71">
        <f>+SUMIF(CATEGORIAS[[#All],[SUBGRUPO]],A101,CATEGORIAS[[#All],[PROYECCION
DE INGRESO
DEL SALDO]])</f>
        <v>0</v>
      </c>
      <c r="I101" s="71">
        <f t="shared" si="101"/>
        <v>19259966.928273432</v>
      </c>
      <c r="K101" s="71">
        <f>+SUMIF(CATEGORIAS[[#All],[SUBGRUPO]],A101,CATEGORIAS[[#All],[COSTO
ACUMULADO  AX]])
+SUMIF(CATEGORIAS[[#All],[SUBGRUPO]],A101,CATEGORIAS[[#All],[CAMBIO DE
CATEGORIA]])
+SUMIF(CATEGORIAS[[#All],[SUBGRUPO]],A101,CATEGORIAS[[#All],[PROVISIONES]])</f>
        <v>10592171</v>
      </c>
      <c r="L101" s="71">
        <f>+SUMIF(CATEGORIAS[[#All],[SUBGRUPO]],A101,CATEGORIAS[[#All],[PROYECCION
TOTAL DE COSTO]])</f>
        <v>0</v>
      </c>
      <c r="M101" s="85">
        <f t="shared" si="102"/>
        <v>10592171</v>
      </c>
      <c r="O101" s="85">
        <f t="shared" si="103"/>
        <v>19259966.928273432</v>
      </c>
      <c r="P101" s="85">
        <f t="shared" si="104"/>
        <v>10592171</v>
      </c>
      <c r="Q101" s="228">
        <f t="shared" si="105"/>
        <v>8667795.928273432</v>
      </c>
    </row>
    <row r="102" spans="1:17" ht="15" customHeight="1" x14ac:dyDescent="0.25">
      <c r="A102" s="14" t="str">
        <f>'Matriz de Produccion'!A102</f>
        <v>1I10</v>
      </c>
      <c r="B102" s="6" t="str">
        <f>VLOOKUP(A102,'Analisis por Categorias'!B:C,2,FALSE)</f>
        <v>Café. Y Agua Potab.</v>
      </c>
      <c r="D102" s="3">
        <f>SUMIF(CATEGORIAS[[#All],[SUBGRUPO]],A102,CATEGORIAS[[#All],[PRESUPUESTO
(ORIGINAL)]])</f>
        <v>5117633.4354056884</v>
      </c>
      <c r="E102" s="3">
        <f>+SUMIF(CATEGORIAS[[#All],[SUBGRUPO]],A102,CATEGORIAS[[#All],[PRODUCCION
PARTIDAS
ORIGINALES
ACTUAL]])
+SUMIF(CATEGORIAS[[#All],[SUBGRUPO]],A102,CATEGORIAS[[#All],[PRODUCCION
ADICIONALES
ACTUAL]])
+SUMIF(CATEGORIAS[[#All],[SUBGRUPO]],A102,CATEGORIAS[[#All],[PROYECCION
DE INGRESO
DEL SALDO]])</f>
        <v>6850971.9822106585</v>
      </c>
      <c r="G102" s="71">
        <f>+SUMIF(CATEGORIAS[[#All],[SUBGRUPO]],A102,CATEGORIAS[[#All],[PRODUCCION
PARTIDAS
ORIGINALES
ACTUAL]])
+SUMIF(CATEGORIAS[[#All],[SUBGRUPO]],A102,CATEGORIAS[[#All],[PRODUCCION
ADICIONALES
ACTUAL]])</f>
        <v>6850971.9822106585</v>
      </c>
      <c r="H102" s="71">
        <f>+SUMIF(CATEGORIAS[[#All],[SUBGRUPO]],A102,CATEGORIAS[[#All],[PROYECCION
DE INGRESO
DEL SALDO]])</f>
        <v>0</v>
      </c>
      <c r="I102" s="71">
        <f t="shared" si="101"/>
        <v>6850971.9822106585</v>
      </c>
      <c r="K102" s="71">
        <f>+SUMIF(CATEGORIAS[[#All],[SUBGRUPO]],A102,CATEGORIAS[[#All],[COSTO
ACUMULADO  AX]])
+SUMIF(CATEGORIAS[[#All],[SUBGRUPO]],A102,CATEGORIAS[[#All],[CAMBIO DE
CATEGORIA]])
+SUMIF(CATEGORIAS[[#All],[SUBGRUPO]],A102,CATEGORIAS[[#All],[PROVISIONES]])</f>
        <v>2439332</v>
      </c>
      <c r="L102" s="71">
        <f>+SUMIF(CATEGORIAS[[#All],[SUBGRUPO]],A102,CATEGORIAS[[#All],[PROYECCION
TOTAL DE COSTO]])</f>
        <v>2000000</v>
      </c>
      <c r="M102" s="85">
        <f t="shared" si="102"/>
        <v>4439332</v>
      </c>
      <c r="O102" s="85">
        <f t="shared" si="103"/>
        <v>6850971.9822106585</v>
      </c>
      <c r="P102" s="85">
        <f t="shared" si="104"/>
        <v>4439332</v>
      </c>
      <c r="Q102" s="228">
        <f t="shared" si="105"/>
        <v>2411639.9822106585</v>
      </c>
    </row>
    <row r="103" spans="1:17" ht="15" hidden="1" customHeight="1" x14ac:dyDescent="0.25">
      <c r="A103" s="14" t="str">
        <f>'Matriz de Produccion'!A103</f>
        <v>1I11</v>
      </c>
      <c r="B103" s="6" t="e">
        <f>VLOOKUP(A103,'Analisis por Categorias'!B:C,2,FALSE)</f>
        <v>#N/A</v>
      </c>
      <c r="D103" s="3">
        <f>SUMIF(CATEGORIAS[[#All],[SUBGRUPO]],A103,CATEGORIAS[[#All],[PRESUPUESTO
(ORIGINAL)]])</f>
        <v>0</v>
      </c>
      <c r="E103" s="3">
        <f>+SUMIF(CATEGORIAS[[#All],[SUBGRUPO]],A103,CATEGORIAS[[#All],[PRODUCCION
PARTIDAS
ORIGINALES
ACTUAL]])
+SUMIF(CATEGORIAS[[#All],[SUBGRUPO]],A103,CATEGORIAS[[#All],[PRODUCCION
ADICIONALES
ACTUAL]])
+SUMIF(CATEGORIAS[[#All],[SUBGRUPO]],A103,CATEGORIAS[[#All],[PROYECCION
DE INGRESO
DEL SALDO]])</f>
        <v>0</v>
      </c>
      <c r="G103" s="71">
        <f>+SUMIF(CATEGORIAS[[#All],[SUBGRUPO]],A103,CATEGORIAS[[#All],[PRODUCCION
PARTIDAS
ORIGINALES
ACTUAL]])
+SUMIF(CATEGORIAS[[#All],[SUBGRUPO]],A103,CATEGORIAS[[#All],[PRODUCCION
ADICIONALES
ACTUAL]])</f>
        <v>0</v>
      </c>
      <c r="H103" s="71">
        <f>+SUMIF(CATEGORIAS[[#All],[SUBGRUPO]],A103,CATEGORIAS[[#All],[PROYECCION
DE INGRESO
DEL SALDO]])</f>
        <v>0</v>
      </c>
      <c r="I103" s="71">
        <f t="shared" si="101"/>
        <v>0</v>
      </c>
      <c r="K103" s="71">
        <f>+SUMIF(CATEGORIAS[[#All],[SUBGRUPO]],A103,CATEGORIAS[[#All],[COSTO
ACUMULADO  AX]])
+SUMIF(CATEGORIAS[[#All],[SUBGRUPO]],A103,CATEGORIAS[[#All],[CAMBIO DE
CATEGORIA]])
+SUMIF(CATEGORIAS[[#All],[SUBGRUPO]],A103,CATEGORIAS[[#All],[PROVISIONES]])</f>
        <v>0</v>
      </c>
      <c r="L103" s="71">
        <f>+SUMIF(CATEGORIAS[[#All],[SUBGRUPO]],A103,CATEGORIAS[[#All],[PROYECCION
TOTAL DE COSTO]])</f>
        <v>0</v>
      </c>
      <c r="M103" s="85">
        <f t="shared" si="102"/>
        <v>0</v>
      </c>
      <c r="O103" s="85">
        <f t="shared" si="103"/>
        <v>0</v>
      </c>
      <c r="P103" s="85">
        <f t="shared" si="104"/>
        <v>0</v>
      </c>
      <c r="Q103" s="228">
        <f t="shared" si="105"/>
        <v>0</v>
      </c>
    </row>
    <row r="104" spans="1:17" ht="15" hidden="1" customHeight="1" x14ac:dyDescent="0.25">
      <c r="A104" s="14" t="str">
        <f>'Matriz de Produccion'!A104</f>
        <v>1I12</v>
      </c>
      <c r="B104" s="6" t="e">
        <f>VLOOKUP(A104,'Analisis por Categorias'!B:C,2,FALSE)</f>
        <v>#N/A</v>
      </c>
      <c r="D104" s="3">
        <f>SUMIF(CATEGORIAS[[#All],[SUBGRUPO]],A104,CATEGORIAS[[#All],[PRESUPUESTO
(ORIGINAL)]])</f>
        <v>0</v>
      </c>
      <c r="E104" s="3">
        <f>+SUMIF(CATEGORIAS[[#All],[SUBGRUPO]],A104,CATEGORIAS[[#All],[PRODUCCION
PARTIDAS
ORIGINALES
ACTUAL]])
+SUMIF(CATEGORIAS[[#All],[SUBGRUPO]],A104,CATEGORIAS[[#All],[PRODUCCION
ADICIONALES
ACTUAL]])
+SUMIF(CATEGORIAS[[#All],[SUBGRUPO]],A104,CATEGORIAS[[#All],[PROYECCION
DE INGRESO
DEL SALDO]])</f>
        <v>0</v>
      </c>
      <c r="G104" s="71">
        <f>+SUMIF(CATEGORIAS[[#All],[SUBGRUPO]],A104,CATEGORIAS[[#All],[PRODUCCION
PARTIDAS
ORIGINALES
ACTUAL]])
+SUMIF(CATEGORIAS[[#All],[SUBGRUPO]],A104,CATEGORIAS[[#All],[PRODUCCION
ADICIONALES
ACTUAL]])</f>
        <v>0</v>
      </c>
      <c r="H104" s="71">
        <f>+SUMIF(CATEGORIAS[[#All],[SUBGRUPO]],A104,CATEGORIAS[[#All],[PROYECCION
DE INGRESO
DEL SALDO]])</f>
        <v>0</v>
      </c>
      <c r="I104" s="71">
        <f t="shared" ref="I104:I106" si="106">G104+H104</f>
        <v>0</v>
      </c>
      <c r="K104" s="71">
        <f>+SUMIF(CATEGORIAS[[#All],[SUBGRUPO]],A104,CATEGORIAS[[#All],[COSTO
ACUMULADO  AX]])
+SUMIF(CATEGORIAS[[#All],[SUBGRUPO]],A104,CATEGORIAS[[#All],[CAMBIO DE
CATEGORIA]])
+SUMIF(CATEGORIAS[[#All],[SUBGRUPO]],A104,CATEGORIAS[[#All],[PROVISIONES]])</f>
        <v>0</v>
      </c>
      <c r="L104" s="71">
        <f>+SUMIF(CATEGORIAS[[#All],[SUBGRUPO]],A104,CATEGORIAS[[#All],[PROYECCION
TOTAL DE COSTO]])</f>
        <v>0</v>
      </c>
      <c r="M104" s="85">
        <f t="shared" ref="M104:M106" si="107">K104+L104</f>
        <v>0</v>
      </c>
      <c r="O104" s="85">
        <f t="shared" ref="O104:O106" si="108">I104</f>
        <v>0</v>
      </c>
      <c r="P104" s="85">
        <f t="shared" ref="P104:P106" si="109">M104</f>
        <v>0</v>
      </c>
      <c r="Q104" s="228">
        <f t="shared" ref="Q104:Q106" si="110">O104-P104</f>
        <v>0</v>
      </c>
    </row>
    <row r="105" spans="1:17" ht="15" hidden="1" customHeight="1" x14ac:dyDescent="0.25">
      <c r="A105" s="14" t="str">
        <f>'Matriz de Produccion'!A105</f>
        <v>1I13</v>
      </c>
      <c r="B105" s="6" t="e">
        <f>VLOOKUP(A105,'Analisis por Categorias'!B:C,2,FALSE)</f>
        <v>#N/A</v>
      </c>
      <c r="D105" s="3">
        <f>SUMIF(CATEGORIAS[[#All],[SUBGRUPO]],A105,CATEGORIAS[[#All],[PRESUPUESTO
(ORIGINAL)]])</f>
        <v>0</v>
      </c>
      <c r="E105" s="3">
        <f>+SUMIF(CATEGORIAS[[#All],[SUBGRUPO]],A105,CATEGORIAS[[#All],[PRODUCCION
PARTIDAS
ORIGINALES
ACTUAL]])
+SUMIF(CATEGORIAS[[#All],[SUBGRUPO]],A105,CATEGORIAS[[#All],[PRODUCCION
ADICIONALES
ACTUAL]])
+SUMIF(CATEGORIAS[[#All],[SUBGRUPO]],A105,CATEGORIAS[[#All],[PROYECCION
DE INGRESO
DEL SALDO]])</f>
        <v>0</v>
      </c>
      <c r="G105" s="71">
        <f>+SUMIF(CATEGORIAS[[#All],[SUBGRUPO]],A105,CATEGORIAS[[#All],[PRODUCCION
PARTIDAS
ORIGINALES
ACTUAL]])
+SUMIF(CATEGORIAS[[#All],[SUBGRUPO]],A105,CATEGORIAS[[#All],[PRODUCCION
ADICIONALES
ACTUAL]])</f>
        <v>0</v>
      </c>
      <c r="H105" s="71">
        <f>+SUMIF(CATEGORIAS[[#All],[SUBGRUPO]],A105,CATEGORIAS[[#All],[PROYECCION
DE INGRESO
DEL SALDO]])</f>
        <v>0</v>
      </c>
      <c r="I105" s="71">
        <f t="shared" si="106"/>
        <v>0</v>
      </c>
      <c r="K105" s="71">
        <f>+SUMIF(CATEGORIAS[[#All],[SUBGRUPO]],A105,CATEGORIAS[[#All],[COSTO
ACUMULADO  AX]])
+SUMIF(CATEGORIAS[[#All],[SUBGRUPO]],A105,CATEGORIAS[[#All],[CAMBIO DE
CATEGORIA]])
+SUMIF(CATEGORIAS[[#All],[SUBGRUPO]],A105,CATEGORIAS[[#All],[PROVISIONES]])</f>
        <v>0</v>
      </c>
      <c r="L105" s="71">
        <f>+SUMIF(CATEGORIAS[[#All],[SUBGRUPO]],A105,CATEGORIAS[[#All],[PROYECCION
TOTAL DE COSTO]])</f>
        <v>0</v>
      </c>
      <c r="M105" s="85">
        <f t="shared" si="107"/>
        <v>0</v>
      </c>
      <c r="O105" s="85">
        <f t="shared" si="108"/>
        <v>0</v>
      </c>
      <c r="P105" s="85">
        <f t="shared" si="109"/>
        <v>0</v>
      </c>
      <c r="Q105" s="228">
        <f t="shared" si="110"/>
        <v>0</v>
      </c>
    </row>
    <row r="106" spans="1:17" ht="15" hidden="1" customHeight="1" x14ac:dyDescent="0.25">
      <c r="A106" s="14" t="str">
        <f>'Matriz de Produccion'!A106</f>
        <v>1I14</v>
      </c>
      <c r="B106" s="6" t="e">
        <f>VLOOKUP(A106,'Analisis por Categorias'!B:C,2,FALSE)</f>
        <v>#N/A</v>
      </c>
      <c r="D106" s="3">
        <f>SUMIF(CATEGORIAS[[#All],[SUBGRUPO]],A106,CATEGORIAS[[#All],[PRESUPUESTO
(ORIGINAL)]])</f>
        <v>0</v>
      </c>
      <c r="E106" s="3">
        <f>+SUMIF(CATEGORIAS[[#All],[SUBGRUPO]],A106,CATEGORIAS[[#All],[PRODUCCION
PARTIDAS
ORIGINALES
ACTUAL]])
+SUMIF(CATEGORIAS[[#All],[SUBGRUPO]],A106,CATEGORIAS[[#All],[PRODUCCION
ADICIONALES
ACTUAL]])
+SUMIF(CATEGORIAS[[#All],[SUBGRUPO]],A106,CATEGORIAS[[#All],[PROYECCION
DE INGRESO
DEL SALDO]])</f>
        <v>0</v>
      </c>
      <c r="G106" s="71">
        <f>+SUMIF(CATEGORIAS[[#All],[SUBGRUPO]],A106,CATEGORIAS[[#All],[PRODUCCION
PARTIDAS
ORIGINALES
ACTUAL]])
+SUMIF(CATEGORIAS[[#All],[SUBGRUPO]],A106,CATEGORIAS[[#All],[PRODUCCION
ADICIONALES
ACTUAL]])</f>
        <v>0</v>
      </c>
      <c r="H106" s="71">
        <f>+SUMIF(CATEGORIAS[[#All],[SUBGRUPO]],A106,CATEGORIAS[[#All],[PROYECCION
DE INGRESO
DEL SALDO]])</f>
        <v>0</v>
      </c>
      <c r="I106" s="71">
        <f t="shared" si="106"/>
        <v>0</v>
      </c>
      <c r="K106" s="71">
        <f>+SUMIF(CATEGORIAS[[#All],[SUBGRUPO]],A106,CATEGORIAS[[#All],[COSTO
ACUMULADO  AX]])
+SUMIF(CATEGORIAS[[#All],[SUBGRUPO]],A106,CATEGORIAS[[#All],[CAMBIO DE
CATEGORIA]])
+SUMIF(CATEGORIAS[[#All],[SUBGRUPO]],A106,CATEGORIAS[[#All],[PROVISIONES]])</f>
        <v>0</v>
      </c>
      <c r="L106" s="71">
        <f>+SUMIF(CATEGORIAS[[#All],[SUBGRUPO]],A106,CATEGORIAS[[#All],[PROYECCION
TOTAL DE COSTO]])</f>
        <v>0</v>
      </c>
      <c r="M106" s="85">
        <f t="shared" si="107"/>
        <v>0</v>
      </c>
      <c r="O106" s="85">
        <f t="shared" si="108"/>
        <v>0</v>
      </c>
      <c r="P106" s="85">
        <f t="shared" si="109"/>
        <v>0</v>
      </c>
      <c r="Q106" s="228">
        <f t="shared" si="110"/>
        <v>0</v>
      </c>
    </row>
    <row r="107" spans="1:17" ht="8.25" customHeight="1" x14ac:dyDescent="0.25">
      <c r="Q107" s="226"/>
    </row>
    <row r="108" spans="1:17" ht="14.25" customHeight="1" x14ac:dyDescent="0.25">
      <c r="A108" s="14" t="str">
        <f>'Matriz de Produccion'!A108</f>
        <v>1J00</v>
      </c>
      <c r="B108" s="81" t="s">
        <v>245</v>
      </c>
      <c r="D108" s="82">
        <f>SUM(D109:D111)</f>
        <v>59828637.61628902</v>
      </c>
      <c r="E108" s="82">
        <f>SUM(E109:E111)</f>
        <v>61938096.957085773</v>
      </c>
      <c r="G108" s="83">
        <f>SUM(G109:G111)</f>
        <v>61938096.951980434</v>
      </c>
      <c r="H108" s="83">
        <f>SUM(H109:H111)</f>
        <v>5.1053371280431747E-3</v>
      </c>
      <c r="I108" s="83">
        <f>SUM(I109:I111)</f>
        <v>61938096.957085773</v>
      </c>
      <c r="K108" s="84">
        <f>SUM(K109:K111)</f>
        <v>97354183</v>
      </c>
      <c r="L108" s="84">
        <f>SUM(L109:L111)</f>
        <v>0</v>
      </c>
      <c r="M108" s="84">
        <f>SUM(M109:M111)</f>
        <v>97354183</v>
      </c>
      <c r="O108" s="12">
        <f>SUM(O109:O111)</f>
        <v>61938096.957085773</v>
      </c>
      <c r="P108" s="11">
        <f>SUM(P109:P111)</f>
        <v>97354183</v>
      </c>
      <c r="Q108" s="225">
        <f>SUM(Q109:Q111)</f>
        <v>-35416086.042914227</v>
      </c>
    </row>
    <row r="109" spans="1:17" ht="15" customHeight="1" x14ac:dyDescent="0.25">
      <c r="A109" s="14" t="str">
        <f>'Matriz de Produccion'!A109</f>
        <v>1J01</v>
      </c>
      <c r="B109" s="6" t="str">
        <f>VLOOKUP(A109,'Analisis por Categorias'!B:C,2,FALSE)</f>
        <v>Boleta Garantia</v>
      </c>
      <c r="D109" s="3">
        <f>SUMIF(CATEGORIAS[[#All],[SUBGRUPO]],A109,CATEGORIAS[[#All],[PRESUPUESTO
(ORIGINAL)]])</f>
        <v>12191666.666902319</v>
      </c>
      <c r="E109" s="3">
        <f>+SUMIF(CATEGORIAS[[#All],[SUBGRUPO]],A109,CATEGORIAS[[#All],[PRODUCCION
PARTIDAS
ORIGINALES
ACTUAL]])
+SUMIF(CATEGORIAS[[#All],[SUBGRUPO]],A109,CATEGORIAS[[#All],[PRODUCCION
ADICIONALES
ACTUAL]])
+SUMIF(CATEGORIAS[[#All],[SUBGRUPO]],A109,CATEGORIAS[[#All],[PROYECCION
DE INGRESO
DEL SALDO]])</f>
        <v>12621524.776162468</v>
      </c>
      <c r="G109" s="71">
        <f>+SUMIF(CATEGORIAS[[#All],[SUBGRUPO]],A109,CATEGORIAS[[#All],[PRODUCCION
PARTIDAS
ORIGINALES
ACTUAL]])
+SUMIF(CATEGORIAS[[#All],[SUBGRUPO]],A109,CATEGORIAS[[#All],[PRODUCCION
ADICIONALES
ACTUAL]])</f>
        <v>12621524.774544301</v>
      </c>
      <c r="H109" s="71">
        <f>+SUMIF(CATEGORIAS[[#All],[SUBGRUPO]],A109,CATEGORIAS[[#All],[PROYECCION
DE INGRESO
DEL SALDO]])</f>
        <v>1.6181673854589462E-3</v>
      </c>
      <c r="I109" s="71">
        <f>G109+H109</f>
        <v>12621524.776162468</v>
      </c>
      <c r="K109" s="71">
        <f>+SUMIF(CATEGORIAS[[#All],[SUBGRUPO]],A109,CATEGORIAS[[#All],[COSTO
ACUMULADO  AX]])
+SUMIF(CATEGORIAS[[#All],[SUBGRUPO]],A109,CATEGORIAS[[#All],[CAMBIO DE
CATEGORIA]])
+SUMIF(CATEGORIAS[[#All],[SUBGRUPO]],A109,CATEGORIAS[[#All],[PROVISIONES]])</f>
        <v>10424583</v>
      </c>
      <c r="L109" s="71">
        <f>+SUMIF(CATEGORIAS[[#All],[SUBGRUPO]],A109,CATEGORIAS[[#All],[PROYECCION
TOTAL DE COSTO]])</f>
        <v>0</v>
      </c>
      <c r="M109" s="71">
        <f>K109+L109</f>
        <v>10424583</v>
      </c>
      <c r="O109" s="71">
        <f>I109</f>
        <v>12621524.776162468</v>
      </c>
      <c r="P109" s="71">
        <f>M109</f>
        <v>10424583</v>
      </c>
      <c r="Q109" s="227">
        <f>O109-P109</f>
        <v>2196941.7761624679</v>
      </c>
    </row>
    <row r="110" spans="1:17" ht="15" customHeight="1" x14ac:dyDescent="0.25">
      <c r="A110" s="14" t="str">
        <f>'Matriz de Produccion'!A110</f>
        <v>1J02</v>
      </c>
      <c r="B110" s="6" t="str">
        <f>VLOOKUP(A110,'Analisis por Categorias'!B:C,2,FALSE)</f>
        <v>Gastos por Seguros</v>
      </c>
      <c r="D110" s="3">
        <f>SUMIF(CATEGORIAS[[#All],[SUBGRUPO]],A110,CATEGORIAS[[#All],[PRESUPUESTO
(ORIGINAL)]])</f>
        <v>39324470.949226037</v>
      </c>
      <c r="E110" s="3">
        <f>+SUMIF(CATEGORIAS[[#All],[SUBGRUPO]],A110,CATEGORIAS[[#All],[PRODUCCION
PARTIDAS
ORIGINALES
ACTUAL]])
+SUMIF(CATEGORIAS[[#All],[SUBGRUPO]],A110,CATEGORIAS[[#All],[PRODUCCION
ADICIONALES
ACTUAL]])
+SUMIF(CATEGORIAS[[#All],[SUBGRUPO]],A110,CATEGORIAS[[#All],[PROYECCION
DE INGRESO
DEL SALDO]])</f>
        <v>40710987.103928268</v>
      </c>
      <c r="G110" s="71">
        <f>+SUMIF(CATEGORIAS[[#All],[SUBGRUPO]],A110,CATEGORIAS[[#All],[PRODUCCION
PARTIDAS
ORIGINALES
ACTUAL]])
+SUMIF(CATEGORIAS[[#All],[SUBGRUPO]],A110,CATEGORIAS[[#All],[PRODUCCION
ADICIONALES
ACTUAL]])</f>
        <v>40710987.101610504</v>
      </c>
      <c r="H110" s="71">
        <f>+SUMIF(CATEGORIAS[[#All],[SUBGRUPO]],A110,CATEGORIAS[[#All],[PROYECCION
DE INGRESO
DEL SALDO]])</f>
        <v>2.3177638649940491E-3</v>
      </c>
      <c r="I110" s="71">
        <f>G110+H110</f>
        <v>40710987.103928268</v>
      </c>
      <c r="K110" s="71">
        <f>+SUMIF(CATEGORIAS[[#All],[SUBGRUPO]],A110,CATEGORIAS[[#All],[COSTO
ACUMULADO  AX]])
+SUMIF(CATEGORIAS[[#All],[SUBGRUPO]],A110,CATEGORIAS[[#All],[CAMBIO DE
CATEGORIA]])
+SUMIF(CATEGORIAS[[#All],[SUBGRUPO]],A110,CATEGORIAS[[#All],[PROVISIONES]])</f>
        <v>44031610</v>
      </c>
      <c r="L110" s="71">
        <f>+SUMIF(CATEGORIAS[[#All],[SUBGRUPO]],A110,CATEGORIAS[[#All],[PROYECCION
TOTAL DE COSTO]])</f>
        <v>0</v>
      </c>
      <c r="M110" s="71">
        <f>K110+L110</f>
        <v>44031610</v>
      </c>
      <c r="O110" s="71">
        <f>I110</f>
        <v>40710987.103928268</v>
      </c>
      <c r="P110" s="71">
        <f>M110</f>
        <v>44031610</v>
      </c>
      <c r="Q110" s="227">
        <f>O110-P110</f>
        <v>-3320622.896071732</v>
      </c>
    </row>
    <row r="111" spans="1:17" ht="15" customHeight="1" x14ac:dyDescent="0.25">
      <c r="A111" s="14" t="str">
        <f>'Matriz de Produccion'!A111</f>
        <v>1J03</v>
      </c>
      <c r="B111" s="6" t="str">
        <f>VLOOKUP(A111,'Analisis por Categorias'!B:C,2,FALSE)</f>
        <v>Costos Financieros</v>
      </c>
      <c r="D111" s="3">
        <f>SUMIF(CATEGORIAS[[#All],[SUBGRUPO]],A111,CATEGORIAS[[#All],[PRESUPUESTO
(ORIGINAL)]])</f>
        <v>8312500.000160668</v>
      </c>
      <c r="E111" s="3">
        <f>+SUMIF(CATEGORIAS[[#All],[SUBGRUPO]],A111,CATEGORIAS[[#All],[PRODUCCION
PARTIDAS
ORIGINALES
ACTUAL]])
+SUMIF(CATEGORIAS[[#All],[SUBGRUPO]],A111,CATEGORIAS[[#All],[PRODUCCION
ADICIONALES
ACTUAL]])
+SUMIF(CATEGORIAS[[#All],[SUBGRUPO]],A111,CATEGORIAS[[#All],[PROYECCION
DE INGRESO
DEL SALDO]])</f>
        <v>8605585.0769950356</v>
      </c>
      <c r="G111" s="71">
        <f>+SUMIF(CATEGORIAS[[#All],[SUBGRUPO]],A111,CATEGORIAS[[#All],[PRODUCCION
PARTIDAS
ORIGINALES
ACTUAL]])
+SUMIF(CATEGORIAS[[#All],[SUBGRUPO]],A111,CATEGORIAS[[#All],[PRODUCCION
ADICIONALES
ACTUAL]])</f>
        <v>8605585.0758256298</v>
      </c>
      <c r="H111" s="71">
        <f>+SUMIF(CATEGORIAS[[#All],[SUBGRUPO]],A111,CATEGORIAS[[#All],[PROYECCION
DE INGRESO
DEL SALDO]])</f>
        <v>1.1694058775901794E-3</v>
      </c>
      <c r="I111" s="71">
        <f>G111+H111</f>
        <v>8605585.0769950356</v>
      </c>
      <c r="K111" s="71">
        <f>+SUMIF(CATEGORIAS[[#All],[SUBGRUPO]],A111,CATEGORIAS[[#All],[COSTO
ACUMULADO  AX]])
+SUMIF(CATEGORIAS[[#All],[SUBGRUPO]],A111,CATEGORIAS[[#All],[CAMBIO DE
CATEGORIA]])
+SUMIF(CATEGORIAS[[#All],[SUBGRUPO]],A111,CATEGORIAS[[#All],[PROVISIONES]])</f>
        <v>42897990</v>
      </c>
      <c r="L111" s="71">
        <f>+SUMIF(CATEGORIAS[[#All],[SUBGRUPO]],A111,CATEGORIAS[[#All],[PROYECCION
TOTAL DE COSTO]])</f>
        <v>0</v>
      </c>
      <c r="M111" s="71">
        <f>K111+L111</f>
        <v>42897990</v>
      </c>
      <c r="O111" s="71">
        <f>I111</f>
        <v>8605585.0769950356</v>
      </c>
      <c r="P111" s="71">
        <f>M111</f>
        <v>42897990</v>
      </c>
      <c r="Q111" s="227">
        <f>O111-P111</f>
        <v>-34292404.923004963</v>
      </c>
    </row>
    <row r="112" spans="1:17" ht="8.25" customHeight="1" x14ac:dyDescent="0.25">
      <c r="Q112" s="226"/>
    </row>
    <row r="113" spans="1:17" ht="13.5" customHeight="1" x14ac:dyDescent="0.25">
      <c r="A113" s="14" t="str">
        <f>'Matriz de Produccion'!A113</f>
        <v>1K00</v>
      </c>
      <c r="B113" s="81" t="s">
        <v>249</v>
      </c>
      <c r="D113" s="82">
        <f>SUM(D114:D116)</f>
        <v>380000000.0073449</v>
      </c>
      <c r="E113" s="82">
        <f>SUM(E114:E116)</f>
        <v>380000000.0073449</v>
      </c>
      <c r="G113" s="83">
        <f>SUM(G114:G116)</f>
        <v>380000000.0073449</v>
      </c>
      <c r="H113" s="83">
        <f>SUM(H114:H116)</f>
        <v>0</v>
      </c>
      <c r="I113" s="83">
        <f>SUM(I114:I116)</f>
        <v>380000000.0073449</v>
      </c>
      <c r="K113" s="84">
        <f>SUM(K114:K116)</f>
        <v>380000000.0073449</v>
      </c>
      <c r="L113" s="84">
        <f>SUM(L114:L116)</f>
        <v>0</v>
      </c>
      <c r="M113" s="84">
        <f>SUM(M114:M116)</f>
        <v>380000000.0073449</v>
      </c>
      <c r="O113" s="12">
        <f>SUM(O114:O116)</f>
        <v>380000000.0073449</v>
      </c>
      <c r="P113" s="11">
        <f>SUM(P114:P116)</f>
        <v>380000000.0073449</v>
      </c>
      <c r="Q113" s="225">
        <f>SUM(Q114:Q116)</f>
        <v>0</v>
      </c>
    </row>
    <row r="114" spans="1:17" ht="15" customHeight="1" x14ac:dyDescent="0.25">
      <c r="A114" s="14" t="str">
        <f>'Matriz de Produccion'!A114</f>
        <v>1K01</v>
      </c>
      <c r="B114" s="6" t="str">
        <f>VLOOKUP(A114,'Analisis por Categorias'!B:C,2,FALSE)</f>
        <v>Oficina Central</v>
      </c>
      <c r="D114" s="3">
        <f>SUMIF(CATEGORIAS[[#All],[SUBGRUPO]],A114,CATEGORIAS[[#All],[PRESUPUESTO
(ORIGINAL)]])</f>
        <v>190000000.00367245</v>
      </c>
      <c r="E114" s="3">
        <f>+SUMIF(CATEGORIAS[[#All],[SUBGRUPO]],A114,CATEGORIAS[[#All],[PRODUCCION
PARTIDAS
ORIGINALES
ACTUAL]])
+SUMIF(CATEGORIAS[[#All],[SUBGRUPO]],A114,CATEGORIAS[[#All],[PRODUCCION
ADICIONALES
ACTUAL]])
+SUMIF(CATEGORIAS[[#All],[SUBGRUPO]],A114,CATEGORIAS[[#All],[PROYECCION
DE INGRESO
DEL SALDO]])</f>
        <v>190000000.00367245</v>
      </c>
      <c r="G114" s="71">
        <f>+SUMIF(CATEGORIAS[[#All],[SUBGRUPO]],A114,CATEGORIAS[[#All],[PRODUCCION
PARTIDAS
ORIGINALES
ACTUAL]])
+SUMIF(CATEGORIAS[[#All],[SUBGRUPO]],A114,CATEGORIAS[[#All],[PRODUCCION
ADICIONALES
ACTUAL]])</f>
        <v>190000000.00367245</v>
      </c>
      <c r="H114" s="71">
        <f>+SUMIF(CATEGORIAS[[#All],[SUBGRUPO]],A114,CATEGORIAS[[#All],[PROYECCION
DE INGRESO
DEL SALDO]])</f>
        <v>0</v>
      </c>
      <c r="I114" s="71">
        <f>G114+H114</f>
        <v>190000000.00367245</v>
      </c>
      <c r="K114" s="71">
        <f>+SUMIF(CATEGORIAS[[#All],[SUBGRUPO]],A114,CATEGORIAS[[#All],[COSTO
ACUMULADO  AX]])
+SUMIF(CATEGORIAS[[#All],[SUBGRUPO]],A114,CATEGORIAS[[#All],[CAMBIO DE
CATEGORIA]])
+SUMIF(CATEGORIAS[[#All],[SUBGRUPO]],A114,CATEGORIAS[[#All],[PROVISIONES]])</f>
        <v>190000000.00367245</v>
      </c>
      <c r="L114" s="71">
        <f>+SUMIF(CATEGORIAS[[#All],[SUBGRUPO]],A114,CATEGORIAS[[#All],[PROYECCION
TOTAL DE COSTO]])</f>
        <v>0</v>
      </c>
      <c r="M114" s="71">
        <f>K114+L114</f>
        <v>190000000.00367245</v>
      </c>
      <c r="O114" s="71">
        <f>I114</f>
        <v>190000000.00367245</v>
      </c>
      <c r="P114" s="71">
        <f>M114</f>
        <v>190000000.00367245</v>
      </c>
      <c r="Q114" s="227">
        <f>O114-P114</f>
        <v>0</v>
      </c>
    </row>
    <row r="115" spans="1:17" ht="15" customHeight="1" x14ac:dyDescent="0.25">
      <c r="A115" s="14" t="str">
        <f>'Matriz de Produccion'!A115</f>
        <v>1K02</v>
      </c>
      <c r="B115" s="6" t="str">
        <f>VLOOKUP(A115,'Analisis por Categorias'!B:C,2,FALSE)</f>
        <v>Imprevistos</v>
      </c>
      <c r="D115" s="3">
        <f>SUMIF(CATEGORIAS[[#All],[SUBGRUPO]],A115,CATEGORIAS[[#All],[PRESUPUESTO
(ORIGINAL)]])</f>
        <v>47500000.000918113</v>
      </c>
      <c r="E115" s="3">
        <f>+SUMIF(CATEGORIAS[[#All],[SUBGRUPO]],A115,CATEGORIAS[[#All],[PRODUCCION
PARTIDAS
ORIGINALES
ACTUAL]])
+SUMIF(CATEGORIAS[[#All],[SUBGRUPO]],A115,CATEGORIAS[[#All],[PRODUCCION
ADICIONALES
ACTUAL]])
+SUMIF(CATEGORIAS[[#All],[SUBGRUPO]],A115,CATEGORIAS[[#All],[PROYECCION
DE INGRESO
DEL SALDO]])</f>
        <v>47500000.000918113</v>
      </c>
      <c r="G115" s="71">
        <f>+SUMIF(CATEGORIAS[[#All],[SUBGRUPO]],A115,CATEGORIAS[[#All],[PRODUCCION
PARTIDAS
ORIGINALES
ACTUAL]])
+SUMIF(CATEGORIAS[[#All],[SUBGRUPO]],A115,CATEGORIAS[[#All],[PRODUCCION
ADICIONALES
ACTUAL]])</f>
        <v>47500000.000918113</v>
      </c>
      <c r="H115" s="71">
        <f>+SUMIF(CATEGORIAS[[#All],[SUBGRUPO]],A115,CATEGORIAS[[#All],[PROYECCION
DE INGRESO
DEL SALDO]])</f>
        <v>0</v>
      </c>
      <c r="I115" s="71">
        <f>G115+H115</f>
        <v>47500000.000918113</v>
      </c>
      <c r="K115" s="71">
        <f>+SUMIF(CATEGORIAS[[#All],[SUBGRUPO]],A115,CATEGORIAS[[#All],[COSTO
ACUMULADO  AX]])
+SUMIF(CATEGORIAS[[#All],[SUBGRUPO]],A115,CATEGORIAS[[#All],[CAMBIO DE
CATEGORIA]])
+SUMIF(CATEGORIAS[[#All],[SUBGRUPO]],A115,CATEGORIAS[[#All],[PROVISIONES]])</f>
        <v>47500000.000918113</v>
      </c>
      <c r="L115" s="71">
        <f>+SUMIF(CATEGORIAS[[#All],[SUBGRUPO]],A115,CATEGORIAS[[#All],[PROYECCION
TOTAL DE COSTO]])</f>
        <v>0</v>
      </c>
      <c r="M115" s="85">
        <f>K115+L115</f>
        <v>47500000.000918113</v>
      </c>
      <c r="O115" s="85">
        <f>I115</f>
        <v>47500000.000918113</v>
      </c>
      <c r="P115" s="85">
        <f>M115</f>
        <v>47500000.000918113</v>
      </c>
      <c r="Q115" s="228">
        <f>O115-P115</f>
        <v>0</v>
      </c>
    </row>
    <row r="116" spans="1:17" ht="15" customHeight="1" x14ac:dyDescent="0.25">
      <c r="A116" s="14" t="str">
        <f>'Matriz de Produccion'!A116</f>
        <v>1K03</v>
      </c>
      <c r="B116" s="6" t="str">
        <f>VLOOKUP(A116,'Analisis por Categorias'!B:C,2,FALSE)</f>
        <v>Utilidades</v>
      </c>
      <c r="D116" s="3">
        <f>SUMIF(CATEGORIAS[[#All],[SUBGRUPO]],A116,CATEGORIAS[[#All],[PRESUPUESTO
(ORIGINAL)]])</f>
        <v>142500000.00275433</v>
      </c>
      <c r="E116" s="3">
        <f>+SUMIF(CATEGORIAS[[#All],[SUBGRUPO]],A116,CATEGORIAS[[#All],[PRODUCCION
PARTIDAS
ORIGINALES
ACTUAL]])
+SUMIF(CATEGORIAS[[#All],[SUBGRUPO]],A116,CATEGORIAS[[#All],[PRODUCCION
ADICIONALES
ACTUAL]])
+SUMIF(CATEGORIAS[[#All],[SUBGRUPO]],A116,CATEGORIAS[[#All],[PROYECCION
DE INGRESO
DEL SALDO]])</f>
        <v>142500000.00275433</v>
      </c>
      <c r="G116" s="71">
        <f>+SUMIF(CATEGORIAS[[#All],[SUBGRUPO]],A116,CATEGORIAS[[#All],[PRODUCCION
PARTIDAS
ORIGINALES
ACTUAL]])
+SUMIF(CATEGORIAS[[#All],[SUBGRUPO]],A116,CATEGORIAS[[#All],[PRODUCCION
ADICIONALES
ACTUAL]])</f>
        <v>142500000.00275433</v>
      </c>
      <c r="H116" s="71">
        <f>+SUMIF(CATEGORIAS[[#All],[SUBGRUPO]],A116,CATEGORIAS[[#All],[PROYECCION
DE INGRESO
DEL SALDO]])</f>
        <v>0</v>
      </c>
      <c r="I116" s="71">
        <f>G116+H116</f>
        <v>142500000.00275433</v>
      </c>
      <c r="K116" s="71">
        <f>+SUMIF(CATEGORIAS[[#All],[SUBGRUPO]],A116,CATEGORIAS[[#All],[COSTO
ACUMULADO  AX]])
+SUMIF(CATEGORIAS[[#All],[SUBGRUPO]],A116,CATEGORIAS[[#All],[CAMBIO DE
CATEGORIA]])
+SUMIF(CATEGORIAS[[#All],[SUBGRUPO]],A116,CATEGORIAS[[#All],[PROVISIONES]])</f>
        <v>142500000.00275433</v>
      </c>
      <c r="L116" s="71">
        <f>+SUMIF(CATEGORIAS[[#All],[SUBGRUPO]],A116,CATEGORIAS[[#All],[PROYECCION
TOTAL DE COSTO]])</f>
        <v>0</v>
      </c>
      <c r="M116" s="71">
        <f>K116+L116</f>
        <v>142500000.00275433</v>
      </c>
      <c r="O116" s="71">
        <f>I116</f>
        <v>142500000.00275433</v>
      </c>
      <c r="P116" s="71">
        <f>M116</f>
        <v>142500000.00275433</v>
      </c>
      <c r="Q116" s="227">
        <f>O116-P116</f>
        <v>0</v>
      </c>
    </row>
    <row r="117" spans="1:17" ht="13.5" customHeight="1" x14ac:dyDescent="0.25">
      <c r="Q117" s="226"/>
    </row>
    <row r="118" spans="1:17" x14ac:dyDescent="0.25">
      <c r="B118" s="7" t="s">
        <v>250</v>
      </c>
      <c r="D118" s="4">
        <f>SUM(D119:D129)</f>
        <v>4750000000.2055159</v>
      </c>
      <c r="E118" s="4">
        <f>SUM(E119:E129)</f>
        <v>6013966118.1520185</v>
      </c>
      <c r="G118" s="13">
        <f>SUM(G119:G129)</f>
        <v>6013966118.1469126</v>
      </c>
      <c r="H118" s="13">
        <f>SUM(H119:H129)</f>
        <v>5.105871707201004E-3</v>
      </c>
      <c r="I118" s="13">
        <f>SUM(I119:I129)</f>
        <v>6013966118.1520185</v>
      </c>
      <c r="K118" s="9">
        <f>SUM(K119:K129)</f>
        <v>5623840296.9188471</v>
      </c>
      <c r="L118" s="9">
        <f>SUM(L119:L129)</f>
        <v>4384841</v>
      </c>
      <c r="M118" s="9">
        <f>SUM(M119:M129)</f>
        <v>5628225137.9188471</v>
      </c>
      <c r="O118" s="12">
        <f>SUM(O119:O129)</f>
        <v>6013966118.1520185</v>
      </c>
      <c r="P118" s="11">
        <f>SUM(P119:P129)</f>
        <v>5628225137.9188471</v>
      </c>
      <c r="Q118" s="225">
        <f>SUM(Q119:Q129)</f>
        <v>385740980.2331717</v>
      </c>
    </row>
    <row r="119" spans="1:17" x14ac:dyDescent="0.25">
      <c r="A119" s="14" t="str">
        <f>'Matriz de Produccion'!A119</f>
        <v>0A00</v>
      </c>
      <c r="B119" s="81" t="s">
        <v>185</v>
      </c>
      <c r="D119" s="86">
        <f>D9</f>
        <v>989503980.44566989</v>
      </c>
      <c r="E119" s="86">
        <f>E9</f>
        <v>1239884575.233088</v>
      </c>
      <c r="G119" s="85">
        <f>G9</f>
        <v>1239884575.2330875</v>
      </c>
      <c r="H119" s="85">
        <f>H9</f>
        <v>4.76837158203125E-7</v>
      </c>
      <c r="I119" s="85">
        <f t="shared" ref="I119:I129" si="111">G119+H119</f>
        <v>1239884575.233088</v>
      </c>
      <c r="K119" s="85">
        <f>K9</f>
        <v>1021487689</v>
      </c>
      <c r="L119" s="85">
        <f>L9</f>
        <v>0</v>
      </c>
      <c r="M119" s="85">
        <f t="shared" ref="M119:M129" si="112">K119+L119</f>
        <v>1021487689</v>
      </c>
      <c r="O119" s="85">
        <f>O9</f>
        <v>1239884575.233088</v>
      </c>
      <c r="P119" s="85">
        <f>P9</f>
        <v>1021487689</v>
      </c>
      <c r="Q119" s="228">
        <f t="shared" ref="Q119:Q129" si="113">O119-P119</f>
        <v>218396886.23308802</v>
      </c>
    </row>
    <row r="120" spans="1:17" x14ac:dyDescent="0.25">
      <c r="A120" s="14" t="str">
        <f>'Matriz de Produccion'!A120</f>
        <v>0B00</v>
      </c>
      <c r="B120" s="81" t="s">
        <v>196</v>
      </c>
      <c r="D120" s="86">
        <f>D19</f>
        <v>654136807.94229996</v>
      </c>
      <c r="E120" s="86">
        <f>E19</f>
        <v>679183187.46936965</v>
      </c>
      <c r="G120" s="85">
        <f>G19</f>
        <v>679183187.46936965</v>
      </c>
      <c r="H120" s="85">
        <f>H19</f>
        <v>0</v>
      </c>
      <c r="I120" s="85">
        <f t="shared" si="111"/>
        <v>679183187.46936965</v>
      </c>
      <c r="K120" s="85">
        <f>K19</f>
        <v>891155239</v>
      </c>
      <c r="L120" s="85">
        <f>L19</f>
        <v>0</v>
      </c>
      <c r="M120" s="85">
        <f t="shared" si="112"/>
        <v>891155239</v>
      </c>
      <c r="O120" s="85">
        <f>O19</f>
        <v>679183187.46936965</v>
      </c>
      <c r="P120" s="85">
        <f>P19</f>
        <v>891155239</v>
      </c>
      <c r="Q120" s="228">
        <f t="shared" si="113"/>
        <v>-211972051.53063035</v>
      </c>
    </row>
    <row r="121" spans="1:17" x14ac:dyDescent="0.25">
      <c r="A121" s="14" t="str">
        <f>'Matriz de Produccion'!A121</f>
        <v>0C00</v>
      </c>
      <c r="B121" s="81" t="s">
        <v>201</v>
      </c>
      <c r="D121" s="86">
        <f>D30</f>
        <v>438661457.75153172</v>
      </c>
      <c r="E121" s="86">
        <f>E30</f>
        <v>495177817.53729898</v>
      </c>
      <c r="G121" s="85">
        <f>G30</f>
        <v>495177817.53729898</v>
      </c>
      <c r="H121" s="85">
        <f>H30</f>
        <v>0</v>
      </c>
      <c r="I121" s="85">
        <f t="shared" si="111"/>
        <v>495177817.53729898</v>
      </c>
      <c r="K121" s="85">
        <f>K30</f>
        <v>627380767.99974489</v>
      </c>
      <c r="L121" s="85">
        <f>L30</f>
        <v>0</v>
      </c>
      <c r="M121" s="85">
        <f t="shared" si="112"/>
        <v>627380767.99974489</v>
      </c>
      <c r="O121" s="85">
        <f>O30</f>
        <v>495177817.53729898</v>
      </c>
      <c r="P121" s="85">
        <f>P30</f>
        <v>627380767.99974489</v>
      </c>
      <c r="Q121" s="228">
        <f t="shared" si="113"/>
        <v>-132202950.46244591</v>
      </c>
    </row>
    <row r="122" spans="1:17" x14ac:dyDescent="0.25">
      <c r="A122" s="14" t="str">
        <f>'Matriz de Produccion'!A122</f>
        <v>0D00</v>
      </c>
      <c r="B122" s="81" t="s">
        <v>206</v>
      </c>
      <c r="D122" s="86">
        <f>D38</f>
        <v>825206144.46633112</v>
      </c>
      <c r="E122" s="86">
        <f>E38</f>
        <v>1005746952.9262139</v>
      </c>
      <c r="G122" s="85">
        <f>G38</f>
        <v>1005746952.9262139</v>
      </c>
      <c r="H122" s="85">
        <f>H38</f>
        <v>0</v>
      </c>
      <c r="I122" s="85">
        <f t="shared" si="111"/>
        <v>1005746952.9262139</v>
      </c>
      <c r="K122" s="85">
        <f>K38</f>
        <v>718626203.34471464</v>
      </c>
      <c r="L122" s="85">
        <f>L38</f>
        <v>0</v>
      </c>
      <c r="M122" s="85">
        <f t="shared" si="112"/>
        <v>718626203.34471464</v>
      </c>
      <c r="O122" s="85">
        <f>O38</f>
        <v>1005746952.9262139</v>
      </c>
      <c r="P122" s="85">
        <f>P38</f>
        <v>718626203.34471464</v>
      </c>
      <c r="Q122" s="228">
        <f>O122-P122</f>
        <v>287120749.58149922</v>
      </c>
    </row>
    <row r="123" spans="1:17" x14ac:dyDescent="0.25">
      <c r="A123" s="14" t="str">
        <f>'Matriz de Produccion'!A123</f>
        <v>0X00</v>
      </c>
      <c r="B123" s="81" t="s">
        <v>212</v>
      </c>
      <c r="D123" s="86">
        <f>D49</f>
        <v>110221472.6512</v>
      </c>
      <c r="E123" s="86">
        <f>E49</f>
        <v>238680817.17854521</v>
      </c>
      <c r="G123" s="85">
        <f>G49</f>
        <v>238680817.17854521</v>
      </c>
      <c r="H123" s="85">
        <f>H49</f>
        <v>3.7252902984619141E-9</v>
      </c>
      <c r="I123" s="85">
        <f t="shared" si="111"/>
        <v>238680817.17854521</v>
      </c>
      <c r="K123" s="85">
        <f>K49</f>
        <v>187957917.34266669</v>
      </c>
      <c r="L123" s="85">
        <f>L49</f>
        <v>0</v>
      </c>
      <c r="M123" s="85">
        <f t="shared" si="112"/>
        <v>187957917.34266669</v>
      </c>
      <c r="O123" s="85">
        <f>O49</f>
        <v>238680817.17854521</v>
      </c>
      <c r="P123" s="85">
        <f>P49</f>
        <v>187957917.34266669</v>
      </c>
      <c r="Q123" s="228">
        <f t="shared" si="113"/>
        <v>50722899.835878521</v>
      </c>
    </row>
    <row r="124" spans="1:17" ht="16.5" customHeight="1" x14ac:dyDescent="0.25">
      <c r="A124" s="14" t="str">
        <f>'Matriz de Produccion'!A124</f>
        <v>1F00</v>
      </c>
      <c r="B124" s="81" t="s">
        <v>221</v>
      </c>
      <c r="D124" s="86">
        <f>D59</f>
        <v>849346597.24778163</v>
      </c>
      <c r="E124" s="86">
        <f>E59</f>
        <v>1307317730.5885222</v>
      </c>
      <c r="G124" s="85">
        <f>G59</f>
        <v>1307317730.5885222</v>
      </c>
      <c r="H124" s="85">
        <f>H59</f>
        <v>5.2154064178466797E-8</v>
      </c>
      <c r="I124" s="85">
        <f t="shared" si="111"/>
        <v>1307317730.5885222</v>
      </c>
      <c r="K124" s="85">
        <f>K59</f>
        <v>1289015809.924376</v>
      </c>
      <c r="L124" s="85">
        <f>L59</f>
        <v>1902303.5</v>
      </c>
      <c r="M124" s="85">
        <f t="shared" si="112"/>
        <v>1290918113.424376</v>
      </c>
      <c r="O124" s="85">
        <f>O59</f>
        <v>1307317730.5885222</v>
      </c>
      <c r="P124" s="85">
        <f>P59</f>
        <v>1290918113.424376</v>
      </c>
      <c r="Q124" s="228">
        <f t="shared" si="113"/>
        <v>16399617.164146185</v>
      </c>
    </row>
    <row r="125" spans="1:17" x14ac:dyDescent="0.25">
      <c r="A125" s="14" t="str">
        <f>'Matriz de Produccion'!A125</f>
        <v>1G00</v>
      </c>
      <c r="B125" s="81" t="s">
        <v>223</v>
      </c>
      <c r="D125" s="86">
        <f>D73</f>
        <v>112795628.36</v>
      </c>
      <c r="E125" s="86">
        <f>E73</f>
        <v>161450051.27994096</v>
      </c>
      <c r="G125" s="85">
        <f>G73</f>
        <v>161450051.27994096</v>
      </c>
      <c r="H125" s="85">
        <f>H73</f>
        <v>0</v>
      </c>
      <c r="I125" s="85">
        <f t="shared" si="111"/>
        <v>161450051.27994096</v>
      </c>
      <c r="K125" s="85">
        <f>K73</f>
        <v>131407294.3</v>
      </c>
      <c r="L125" s="85">
        <f>L73</f>
        <v>482537.5</v>
      </c>
      <c r="M125" s="85">
        <f t="shared" si="112"/>
        <v>131889831.8</v>
      </c>
      <c r="O125" s="85">
        <f>O73</f>
        <v>161450051.27994096</v>
      </c>
      <c r="P125" s="85">
        <f>P73</f>
        <v>131889831.8</v>
      </c>
      <c r="Q125" s="228">
        <f>O125-P125</f>
        <v>29560219.479940966</v>
      </c>
    </row>
    <row r="126" spans="1:17" x14ac:dyDescent="0.25">
      <c r="A126" s="14" t="str">
        <f>'Matriz de Produccion'!A126</f>
        <v>1H00</v>
      </c>
      <c r="B126" s="81" t="s">
        <v>228</v>
      </c>
      <c r="D126" s="86">
        <f>D79</f>
        <v>135754532.50963384</v>
      </c>
      <c r="E126" s="86">
        <f>E79</f>
        <v>196838271.17832854</v>
      </c>
      <c r="G126" s="85">
        <f>G79</f>
        <v>196838271.17832854</v>
      </c>
      <c r="H126" s="85">
        <f>H79</f>
        <v>1.862645149230957E-9</v>
      </c>
      <c r="I126" s="85">
        <f t="shared" si="111"/>
        <v>196838271.17832854</v>
      </c>
      <c r="K126" s="85">
        <f>K79</f>
        <v>104873927</v>
      </c>
      <c r="L126" s="85">
        <f>L79</f>
        <v>0</v>
      </c>
      <c r="M126" s="85">
        <f t="shared" si="112"/>
        <v>104873927</v>
      </c>
      <c r="O126" s="85">
        <f>O79</f>
        <v>196838271.17832854</v>
      </c>
      <c r="P126" s="85">
        <f>P79</f>
        <v>104873927</v>
      </c>
      <c r="Q126" s="228">
        <f t="shared" si="113"/>
        <v>91964344.178328544</v>
      </c>
    </row>
    <row r="127" spans="1:17" x14ac:dyDescent="0.25">
      <c r="A127" s="14" t="str">
        <f>'Matriz de Produccion'!A127</f>
        <v>1I00</v>
      </c>
      <c r="B127" s="81" t="s">
        <v>237</v>
      </c>
      <c r="D127" s="86">
        <f>D92</f>
        <v>194544741.2074329</v>
      </c>
      <c r="E127" s="86">
        <f>E92</f>
        <v>247748617.79628068</v>
      </c>
      <c r="G127" s="85">
        <f>G92</f>
        <v>247748617.79628068</v>
      </c>
      <c r="H127" s="85">
        <f>H92</f>
        <v>0</v>
      </c>
      <c r="I127" s="85">
        <f t="shared" si="111"/>
        <v>247748617.79628068</v>
      </c>
      <c r="K127" s="85">
        <f>K92</f>
        <v>174581266</v>
      </c>
      <c r="L127" s="85">
        <f>L92</f>
        <v>2000000</v>
      </c>
      <c r="M127" s="85">
        <f t="shared" si="112"/>
        <v>176581266</v>
      </c>
      <c r="O127" s="85">
        <f>O92</f>
        <v>247748617.79628068</v>
      </c>
      <c r="P127" s="85">
        <f>P92</f>
        <v>176581266</v>
      </c>
      <c r="Q127" s="228">
        <f t="shared" si="113"/>
        <v>71167351.796280682</v>
      </c>
    </row>
    <row r="128" spans="1:17" ht="15" customHeight="1" x14ac:dyDescent="0.25">
      <c r="A128" s="14" t="str">
        <f>'Matriz de Produccion'!A128</f>
        <v>1J00</v>
      </c>
      <c r="B128" s="81" t="s">
        <v>245</v>
      </c>
      <c r="D128" s="86">
        <f>D108</f>
        <v>59828637.61628902</v>
      </c>
      <c r="E128" s="86">
        <f>E108</f>
        <v>61938096.957085773</v>
      </c>
      <c r="F128" s="86"/>
      <c r="G128" s="86">
        <f>G108</f>
        <v>61938096.951980434</v>
      </c>
      <c r="H128" s="86">
        <f>H108</f>
        <v>5.1053371280431747E-3</v>
      </c>
      <c r="I128" s="85">
        <f t="shared" si="111"/>
        <v>61938096.957085773</v>
      </c>
      <c r="K128" s="85">
        <f>K108</f>
        <v>97354183</v>
      </c>
      <c r="L128" s="85">
        <f>L108</f>
        <v>0</v>
      </c>
      <c r="M128" s="85">
        <f t="shared" si="112"/>
        <v>97354183</v>
      </c>
      <c r="O128" s="85">
        <f>O108</f>
        <v>61938096.957085773</v>
      </c>
      <c r="P128" s="85">
        <f>P108</f>
        <v>97354183</v>
      </c>
      <c r="Q128" s="228">
        <f t="shared" si="113"/>
        <v>-35416086.042914227</v>
      </c>
    </row>
    <row r="129" spans="1:17" ht="15" customHeight="1" x14ac:dyDescent="0.25">
      <c r="A129" s="14" t="str">
        <f>A113</f>
        <v>1K00</v>
      </c>
      <c r="B129" s="81" t="s">
        <v>249</v>
      </c>
      <c r="D129" s="86">
        <f>D113</f>
        <v>380000000.0073449</v>
      </c>
      <c r="E129" s="86">
        <f>E113</f>
        <v>380000000.0073449</v>
      </c>
      <c r="F129" s="86"/>
      <c r="G129" s="86">
        <f>G113</f>
        <v>380000000.0073449</v>
      </c>
      <c r="H129" s="86">
        <f>H113</f>
        <v>0</v>
      </c>
      <c r="I129" s="85">
        <f t="shared" si="111"/>
        <v>380000000.0073449</v>
      </c>
      <c r="K129" s="86">
        <f>K113</f>
        <v>380000000.0073449</v>
      </c>
      <c r="L129" s="86">
        <f>L113</f>
        <v>0</v>
      </c>
      <c r="M129" s="85">
        <f t="shared" si="112"/>
        <v>380000000.0073449</v>
      </c>
      <c r="O129" s="86">
        <f>O113</f>
        <v>380000000.0073449</v>
      </c>
      <c r="P129" s="86">
        <f>P113</f>
        <v>380000000.0073449</v>
      </c>
      <c r="Q129" s="228">
        <f t="shared" si="113"/>
        <v>0</v>
      </c>
    </row>
    <row r="131" spans="1:17" x14ac:dyDescent="0.25">
      <c r="M131" s="234"/>
    </row>
    <row r="132" spans="1:17" x14ac:dyDescent="0.25">
      <c r="M132" s="335"/>
    </row>
  </sheetData>
  <sheetProtection selectLockedCells="1" autoFilter="0" selectUnlockedCells="1"/>
  <mergeCells count="8">
    <mergeCell ref="O4:Q4"/>
    <mergeCell ref="G4:I4"/>
    <mergeCell ref="K4:M4"/>
    <mergeCell ref="G1:M1"/>
    <mergeCell ref="B1:D1"/>
    <mergeCell ref="O1:Q1"/>
    <mergeCell ref="G2:M2"/>
    <mergeCell ref="O2:P2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  <rowBreaks count="2" manualBreakCount="2">
    <brk id="56" max="16383" man="1"/>
    <brk id="11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AAD9-AF2E-4728-898F-912DB10089AF}">
  <dimension ref="B1:O37"/>
  <sheetViews>
    <sheetView workbookViewId="0">
      <selection activeCell="E1" sqref="E1"/>
    </sheetView>
  </sheetViews>
  <sheetFormatPr baseColWidth="10" defaultColWidth="11.42578125" defaultRowHeight="15" x14ac:dyDescent="0.25"/>
  <cols>
    <col min="3" max="3" width="57.7109375" bestFit="1" customWidth="1"/>
    <col min="5" max="5" width="13.7109375" customWidth="1"/>
    <col min="9" max="10" width="11.7109375" bestFit="1" customWidth="1"/>
    <col min="14" max="14" width="17.5703125" bestFit="1" customWidth="1"/>
    <col min="15" max="15" width="25" bestFit="1" customWidth="1"/>
  </cols>
  <sheetData>
    <row r="1" spans="2:15" x14ac:dyDescent="0.25">
      <c r="E1" t="s">
        <v>273</v>
      </c>
      <c r="F1" s="219">
        <v>36028.1</v>
      </c>
    </row>
    <row r="3" spans="2:15" x14ac:dyDescent="0.25">
      <c r="J3" s="215">
        <f>SUM(J5:J67)</f>
        <v>-3.7252902984619141E-8</v>
      </c>
    </row>
    <row r="4" spans="2:15" x14ac:dyDescent="0.25">
      <c r="B4" s="216" t="s">
        <v>274</v>
      </c>
      <c r="C4" s="216" t="s">
        <v>275</v>
      </c>
      <c r="D4" s="251" t="s">
        <v>276</v>
      </c>
      <c r="E4" s="251" t="s">
        <v>277</v>
      </c>
      <c r="F4" s="251" t="s">
        <v>278</v>
      </c>
      <c r="G4" s="253" t="s">
        <v>279</v>
      </c>
      <c r="H4" s="251" t="s">
        <v>280</v>
      </c>
      <c r="I4" s="253" t="s">
        <v>281</v>
      </c>
      <c r="J4" s="253" t="s">
        <v>282</v>
      </c>
      <c r="N4" s="256" t="s">
        <v>283</v>
      </c>
      <c r="O4" t="s">
        <v>284</v>
      </c>
    </row>
    <row r="5" spans="2:15" x14ac:dyDescent="0.25">
      <c r="B5" t="s">
        <v>285</v>
      </c>
      <c r="C5" t="s">
        <v>286</v>
      </c>
      <c r="D5" s="247" t="s">
        <v>287</v>
      </c>
      <c r="E5" s="252"/>
      <c r="F5" s="252"/>
      <c r="G5" s="215"/>
      <c r="H5" s="252"/>
      <c r="I5" s="215"/>
      <c r="J5" s="217"/>
      <c r="K5" s="215"/>
      <c r="N5" s="248" t="s">
        <v>288</v>
      </c>
      <c r="O5" s="215">
        <v>-41642160.93883834</v>
      </c>
    </row>
    <row r="6" spans="2:15" x14ac:dyDescent="0.25">
      <c r="B6" t="s">
        <v>285</v>
      </c>
      <c r="C6" t="s">
        <v>289</v>
      </c>
      <c r="D6" s="247" t="s">
        <v>287</v>
      </c>
      <c r="E6" s="252">
        <v>117.642</v>
      </c>
      <c r="F6" s="252">
        <v>107840</v>
      </c>
      <c r="G6" s="215">
        <v>12686513.279999999</v>
      </c>
      <c r="H6" s="252">
        <f>$F$1*2.72</f>
        <v>97996.432000000001</v>
      </c>
      <c r="I6" s="215">
        <f>+H6*E6*1.05</f>
        <v>12104921.0660112</v>
      </c>
      <c r="J6" s="215">
        <f>G6-I6</f>
        <v>581592.2139887996</v>
      </c>
      <c r="K6" s="215" t="s">
        <v>290</v>
      </c>
      <c r="N6" s="248" t="s">
        <v>285</v>
      </c>
      <c r="O6" s="215">
        <v>19835555.330247011</v>
      </c>
    </row>
    <row r="7" spans="2:15" x14ac:dyDescent="0.25">
      <c r="B7" t="s">
        <v>285</v>
      </c>
      <c r="C7" t="s">
        <v>291</v>
      </c>
      <c r="D7" s="247" t="s">
        <v>287</v>
      </c>
      <c r="E7" s="252">
        <v>748.58799999999997</v>
      </c>
      <c r="F7" s="252">
        <v>118161</v>
      </c>
      <c r="G7" s="215">
        <v>88453906.667999998</v>
      </c>
      <c r="H7" s="252">
        <f>$F$1*2.72</f>
        <v>97996.432000000001</v>
      </c>
      <c r="I7" s="215">
        <f t="shared" ref="I7:I8" si="0">+H7*E7*1.05</f>
        <v>77026900.68991679</v>
      </c>
      <c r="J7" s="215">
        <f t="shared" ref="J7:J8" si="1">G7-I7</f>
        <v>11427005.978083208</v>
      </c>
      <c r="K7" s="215" t="s">
        <v>290</v>
      </c>
      <c r="N7" s="248" t="s">
        <v>292</v>
      </c>
      <c r="O7" s="215">
        <v>6266554.6491999924</v>
      </c>
    </row>
    <row r="8" spans="2:15" x14ac:dyDescent="0.25">
      <c r="B8" t="s">
        <v>285</v>
      </c>
      <c r="C8" t="s">
        <v>293</v>
      </c>
      <c r="D8" s="247" t="s">
        <v>287</v>
      </c>
      <c r="E8" s="252">
        <v>416.85</v>
      </c>
      <c r="F8" s="252">
        <v>128482</v>
      </c>
      <c r="G8" s="215">
        <v>53557721.700000003</v>
      </c>
      <c r="H8" s="252">
        <f>$F$1*2.9</f>
        <v>104481.48999999999</v>
      </c>
      <c r="I8" s="215">
        <f t="shared" si="0"/>
        <v>45730764.561825</v>
      </c>
      <c r="J8" s="215">
        <f t="shared" si="1"/>
        <v>7826957.1381750032</v>
      </c>
      <c r="K8" s="215" t="s">
        <v>290</v>
      </c>
      <c r="N8" s="248" t="s">
        <v>294</v>
      </c>
      <c r="O8" s="215">
        <v>-40810619.25</v>
      </c>
    </row>
    <row r="9" spans="2:15" x14ac:dyDescent="0.25">
      <c r="B9" t="s">
        <v>294</v>
      </c>
      <c r="C9" t="s">
        <v>295</v>
      </c>
      <c r="D9" s="247" t="s">
        <v>287</v>
      </c>
      <c r="E9" s="252">
        <v>17329.349999999999</v>
      </c>
      <c r="F9" s="252">
        <v>14500</v>
      </c>
      <c r="G9" s="215">
        <v>251275574.99999997</v>
      </c>
      <c r="H9" s="252"/>
      <c r="I9" s="215"/>
      <c r="J9" s="215">
        <f>(G9-I9)-2.09547579288483E-08</f>
        <v>251275574.99999994</v>
      </c>
      <c r="K9" s="215"/>
      <c r="N9" s="248" t="s">
        <v>296</v>
      </c>
      <c r="O9" s="215">
        <v>-19569977</v>
      </c>
    </row>
    <row r="10" spans="2:15" x14ac:dyDescent="0.25">
      <c r="B10" t="s">
        <v>294</v>
      </c>
      <c r="C10" t="s">
        <v>295</v>
      </c>
      <c r="D10" s="247" t="s">
        <v>287</v>
      </c>
      <c r="E10" s="252">
        <v>4332.3374999999996</v>
      </c>
      <c r="F10" s="252"/>
      <c r="G10" s="215"/>
      <c r="H10" s="252">
        <v>17950</v>
      </c>
      <c r="I10" s="215">
        <f>-H10*E10</f>
        <v>-77765458.125</v>
      </c>
      <c r="J10" s="215">
        <f>I10</f>
        <v>-77765458.125</v>
      </c>
      <c r="K10" s="215"/>
      <c r="N10" s="248" t="s">
        <v>297</v>
      </c>
      <c r="O10" s="215">
        <v>13260000</v>
      </c>
    </row>
    <row r="11" spans="2:15" x14ac:dyDescent="0.25">
      <c r="B11" t="s">
        <v>294</v>
      </c>
      <c r="C11" t="s">
        <v>295</v>
      </c>
      <c r="D11" s="247" t="s">
        <v>287</v>
      </c>
      <c r="E11" s="252">
        <v>12997.012499999999</v>
      </c>
      <c r="F11" s="252"/>
      <c r="G11" s="215"/>
      <c r="H11" s="252">
        <v>16490</v>
      </c>
      <c r="I11" s="215">
        <f>-H11*E11</f>
        <v>-214320736.12499997</v>
      </c>
      <c r="J11" s="215">
        <f>I11</f>
        <v>-214320736.12499997</v>
      </c>
      <c r="K11" s="215"/>
      <c r="N11" s="248" t="s">
        <v>298</v>
      </c>
      <c r="O11" s="215">
        <v>189002771.34359804</v>
      </c>
    </row>
    <row r="12" spans="2:15" x14ac:dyDescent="0.25">
      <c r="B12" t="s">
        <v>292</v>
      </c>
      <c r="C12" t="s">
        <v>299</v>
      </c>
      <c r="D12" s="247" t="s">
        <v>300</v>
      </c>
      <c r="E12" s="252">
        <v>128098.01</v>
      </c>
      <c r="F12" s="252">
        <v>818</v>
      </c>
      <c r="G12" s="215">
        <v>104784172.17999999</v>
      </c>
      <c r="H12" s="252">
        <f>699+55</f>
        <v>754</v>
      </c>
      <c r="I12" s="215">
        <f>+H12*E12*1.02</f>
        <v>98517617.5308</v>
      </c>
      <c r="J12" s="215">
        <f t="shared" ref="J12:J17" si="2">G12-I12</f>
        <v>6266554.6491999924</v>
      </c>
      <c r="K12" s="215" t="s">
        <v>301</v>
      </c>
      <c r="N12" s="248" t="s">
        <v>302</v>
      </c>
      <c r="O12" s="215">
        <v>-16146234.755325735</v>
      </c>
    </row>
    <row r="13" spans="2:15" x14ac:dyDescent="0.25">
      <c r="B13" t="s">
        <v>303</v>
      </c>
      <c r="C13" t="s">
        <v>304</v>
      </c>
      <c r="D13" s="247" t="s">
        <v>305</v>
      </c>
      <c r="E13" s="252">
        <v>124367</v>
      </c>
      <c r="F13" s="252">
        <v>60</v>
      </c>
      <c r="G13" s="215">
        <v>7462020</v>
      </c>
      <c r="H13" s="252">
        <f>820000/25000</f>
        <v>32.799999999999997</v>
      </c>
      <c r="I13" s="215">
        <f>+H13*E13*1.02</f>
        <v>4160822.3519999995</v>
      </c>
      <c r="J13" s="215">
        <f t="shared" si="2"/>
        <v>3301197.6480000005</v>
      </c>
      <c r="K13" s="215" t="s">
        <v>301</v>
      </c>
      <c r="N13" s="248" t="s">
        <v>306</v>
      </c>
      <c r="O13" s="215">
        <v>-76454898.668214262</v>
      </c>
    </row>
    <row r="14" spans="2:15" x14ac:dyDescent="0.25">
      <c r="B14" t="s">
        <v>297</v>
      </c>
      <c r="C14" t="s">
        <v>307</v>
      </c>
      <c r="D14" s="247" t="s">
        <v>287</v>
      </c>
      <c r="E14" s="252">
        <v>3700</v>
      </c>
      <c r="F14" s="252">
        <v>19800</v>
      </c>
      <c r="G14" s="215">
        <v>73260000</v>
      </c>
      <c r="H14" s="252">
        <v>60000000</v>
      </c>
      <c r="I14" s="215">
        <f>H14</f>
        <v>60000000</v>
      </c>
      <c r="J14" s="215">
        <f t="shared" si="2"/>
        <v>13260000</v>
      </c>
      <c r="K14" s="215"/>
      <c r="N14" s="248" t="s">
        <v>308</v>
      </c>
      <c r="O14" s="215">
        <v>-12750000</v>
      </c>
    </row>
    <row r="15" spans="2:15" x14ac:dyDescent="0.25">
      <c r="B15" t="s">
        <v>309</v>
      </c>
      <c r="C15" t="s">
        <v>310</v>
      </c>
      <c r="D15" s="247" t="s">
        <v>311</v>
      </c>
      <c r="E15" s="252">
        <v>7</v>
      </c>
      <c r="F15" s="252">
        <f>61*75638.0952380952</f>
        <v>4613923.8095238069</v>
      </c>
      <c r="G15" s="215">
        <f>F15*E15</f>
        <v>32297466.666666649</v>
      </c>
      <c r="H15" s="252">
        <f>21*F1</f>
        <v>756590.1</v>
      </c>
      <c r="I15" s="215">
        <f>H15*E15</f>
        <v>5296130.7</v>
      </c>
      <c r="J15" s="215">
        <f t="shared" si="2"/>
        <v>27001335.96666665</v>
      </c>
      <c r="K15" s="215"/>
      <c r="N15" s="248" t="s">
        <v>309</v>
      </c>
      <c r="O15" s="215">
        <v>27001335.96666665</v>
      </c>
    </row>
    <row r="16" spans="2:15" x14ac:dyDescent="0.25">
      <c r="B16" t="s">
        <v>298</v>
      </c>
      <c r="C16" t="s">
        <v>312</v>
      </c>
      <c r="D16" s="247" t="s">
        <v>313</v>
      </c>
      <c r="E16" s="252">
        <v>180002.73</v>
      </c>
      <c r="F16" s="252">
        <f>G16/E16</f>
        <v>2248.089172358018</v>
      </c>
      <c r="G16" s="215">
        <v>404662188.3078838</v>
      </c>
      <c r="H16" s="252">
        <f>((250000/196)*0.25)+((5700000/43/196)*1.3)</f>
        <v>1198.0897009966779</v>
      </c>
      <c r="I16" s="215">
        <f>H16*E16</f>
        <v>215659416.96428576</v>
      </c>
      <c r="J16" s="215">
        <f t="shared" si="2"/>
        <v>189002771.34359804</v>
      </c>
      <c r="K16" s="215" t="s">
        <v>314</v>
      </c>
      <c r="L16" s="254"/>
      <c r="N16" s="248" t="s">
        <v>315</v>
      </c>
      <c r="O16" s="215">
        <v>-51293524.325333335</v>
      </c>
    </row>
    <row r="17" spans="2:15" x14ac:dyDescent="0.25">
      <c r="B17" t="s">
        <v>302</v>
      </c>
      <c r="C17" t="s">
        <v>316</v>
      </c>
      <c r="D17" s="247" t="s">
        <v>313</v>
      </c>
      <c r="E17" s="252">
        <v>180002.73</v>
      </c>
      <c r="F17" s="252">
        <f>G17/E17</f>
        <v>826.6674031916682</v>
      </c>
      <c r="G17" s="215">
        <v>148802389.37651101</v>
      </c>
      <c r="H17" s="252">
        <f>(((5800*22)/196)+((4800*22/196)*0.1))*1.3</f>
        <v>916.36734693877554</v>
      </c>
      <c r="I17" s="215">
        <f>H17*E17</f>
        <v>164948624.13183674</v>
      </c>
      <c r="J17" s="215">
        <f t="shared" si="2"/>
        <v>-16146234.755325735</v>
      </c>
      <c r="K17" s="215" t="s">
        <v>317</v>
      </c>
      <c r="N17" s="248" t="s">
        <v>303</v>
      </c>
      <c r="O17" s="215">
        <v>3301197.6480000005</v>
      </c>
    </row>
    <row r="18" spans="2:15" x14ac:dyDescent="0.25">
      <c r="B18" t="s">
        <v>288</v>
      </c>
      <c r="C18" t="s">
        <v>318</v>
      </c>
      <c r="E18" s="215"/>
      <c r="F18" s="215"/>
      <c r="G18" s="215"/>
      <c r="H18" s="252"/>
      <c r="I18" s="215"/>
      <c r="J18" s="215"/>
      <c r="K18" s="215"/>
      <c r="N18" s="248" t="s">
        <v>319</v>
      </c>
      <c r="O18" s="215">
        <v>2.0954757928848267E-8</v>
      </c>
    </row>
    <row r="19" spans="2:15" x14ac:dyDescent="0.25">
      <c r="B19" t="s">
        <v>288</v>
      </c>
      <c r="C19" s="255" t="s">
        <v>320</v>
      </c>
      <c r="D19" s="247" t="s">
        <v>311</v>
      </c>
      <c r="E19" s="247">
        <v>7.5</v>
      </c>
      <c r="G19" s="215"/>
      <c r="H19" s="252">
        <v>2530000</v>
      </c>
      <c r="I19" s="215">
        <f t="shared" ref="I19:I20" si="3">H19*E19</f>
        <v>18975000</v>
      </c>
      <c r="J19" s="215">
        <f t="shared" ref="J19:J20" si="4">G19-I19</f>
        <v>-18975000</v>
      </c>
      <c r="K19" s="215"/>
    </row>
    <row r="20" spans="2:15" x14ac:dyDescent="0.25">
      <c r="B20" t="s">
        <v>288</v>
      </c>
      <c r="C20" s="255" t="s">
        <v>321</v>
      </c>
      <c r="D20" s="247" t="s">
        <v>311</v>
      </c>
      <c r="E20" s="247">
        <v>7</v>
      </c>
      <c r="G20" s="215"/>
      <c r="H20" s="252">
        <v>2106000</v>
      </c>
      <c r="I20" s="215">
        <f t="shared" si="3"/>
        <v>14742000</v>
      </c>
      <c r="J20" s="215">
        <f t="shared" si="4"/>
        <v>-14742000</v>
      </c>
      <c r="K20" s="215"/>
    </row>
    <row r="21" spans="2:15" x14ac:dyDescent="0.25">
      <c r="B21" t="s">
        <v>288</v>
      </c>
      <c r="C21" s="255" t="s">
        <v>322</v>
      </c>
      <c r="D21" s="247" t="s">
        <v>311</v>
      </c>
      <c r="E21" s="247">
        <f>E20+E19</f>
        <v>14.5</v>
      </c>
      <c r="H21" s="252">
        <v>680543.06547619053</v>
      </c>
      <c r="I21" s="215">
        <f>(H21*E21)+-1942713.51056642</f>
        <v>7925160.9388383431</v>
      </c>
      <c r="J21" s="215">
        <f t="shared" ref="J21:J23" si="5">G21-I21</f>
        <v>-7925160.9388383431</v>
      </c>
    </row>
    <row r="22" spans="2:15" x14ac:dyDescent="0.25">
      <c r="B22" t="s">
        <v>296</v>
      </c>
      <c r="C22" t="s">
        <v>323</v>
      </c>
      <c r="H22" s="247"/>
    </row>
    <row r="23" spans="2:15" x14ac:dyDescent="0.25">
      <c r="B23" t="s">
        <v>296</v>
      </c>
      <c r="C23" s="255" t="s">
        <v>324</v>
      </c>
      <c r="D23" s="247" t="s">
        <v>305</v>
      </c>
      <c r="E23" s="247">
        <v>1</v>
      </c>
      <c r="H23" s="252">
        <v>19569977</v>
      </c>
      <c r="I23" s="215">
        <f t="shared" ref="I23" si="6">H23*E23</f>
        <v>19569977</v>
      </c>
      <c r="J23" s="215">
        <f t="shared" si="5"/>
        <v>-19569977</v>
      </c>
    </row>
    <row r="24" spans="2:15" x14ac:dyDescent="0.25">
      <c r="B24" t="s">
        <v>308</v>
      </c>
      <c r="C24" t="s">
        <v>325</v>
      </c>
      <c r="E24" s="247"/>
      <c r="H24" s="247"/>
    </row>
    <row r="25" spans="2:15" x14ac:dyDescent="0.25">
      <c r="B25" t="s">
        <v>308</v>
      </c>
      <c r="C25" s="255" t="s">
        <v>326</v>
      </c>
      <c r="E25" s="247">
        <v>61</v>
      </c>
      <c r="H25" s="252">
        <v>60000</v>
      </c>
      <c r="I25" s="215">
        <f t="shared" ref="I25:I30" si="7">H25*E25</f>
        <v>3660000</v>
      </c>
      <c r="J25" s="215">
        <f t="shared" ref="J25:J31" si="8">G25-I25</f>
        <v>-3660000</v>
      </c>
    </row>
    <row r="26" spans="2:15" x14ac:dyDescent="0.25">
      <c r="B26" t="s">
        <v>308</v>
      </c>
      <c r="C26" s="255" t="s">
        <v>327</v>
      </c>
      <c r="E26" s="247">
        <v>77</v>
      </c>
      <c r="H26" s="252">
        <v>50000</v>
      </c>
      <c r="I26" s="215">
        <f t="shared" si="7"/>
        <v>3850000</v>
      </c>
      <c r="J26" s="215">
        <f t="shared" si="8"/>
        <v>-3850000</v>
      </c>
    </row>
    <row r="27" spans="2:15" x14ac:dyDescent="0.25">
      <c r="B27" t="s">
        <v>308</v>
      </c>
      <c r="C27" s="255" t="s">
        <v>328</v>
      </c>
      <c r="E27" s="247">
        <v>50</v>
      </c>
      <c r="H27" s="252">
        <v>40000</v>
      </c>
      <c r="I27" s="215">
        <f t="shared" si="7"/>
        <v>2000000</v>
      </c>
      <c r="J27" s="215">
        <f t="shared" si="8"/>
        <v>-2000000</v>
      </c>
    </row>
    <row r="28" spans="2:15" x14ac:dyDescent="0.25">
      <c r="B28" t="s">
        <v>308</v>
      </c>
      <c r="C28" s="255" t="s">
        <v>329</v>
      </c>
      <c r="E28" s="247">
        <v>6</v>
      </c>
      <c r="H28" s="252">
        <v>40000</v>
      </c>
      <c r="I28" s="215">
        <f t="shared" si="7"/>
        <v>240000</v>
      </c>
      <c r="J28" s="215">
        <f t="shared" si="8"/>
        <v>-240000</v>
      </c>
    </row>
    <row r="29" spans="2:15" x14ac:dyDescent="0.25">
      <c r="B29" t="s">
        <v>308</v>
      </c>
      <c r="C29" s="255" t="s">
        <v>330</v>
      </c>
      <c r="E29" s="247">
        <v>16</v>
      </c>
      <c r="H29" s="252">
        <v>150000</v>
      </c>
      <c r="I29" s="215">
        <f t="shared" si="7"/>
        <v>2400000</v>
      </c>
      <c r="J29" s="215">
        <f t="shared" si="8"/>
        <v>-2400000</v>
      </c>
    </row>
    <row r="30" spans="2:15" x14ac:dyDescent="0.25">
      <c r="B30" t="s">
        <v>308</v>
      </c>
      <c r="C30" s="255" t="s">
        <v>331</v>
      </c>
      <c r="E30" s="247">
        <v>4</v>
      </c>
      <c r="H30" s="252">
        <v>150000</v>
      </c>
      <c r="I30" s="215">
        <f t="shared" si="7"/>
        <v>600000</v>
      </c>
      <c r="J30" s="215">
        <f t="shared" si="8"/>
        <v>-600000</v>
      </c>
    </row>
    <row r="31" spans="2:15" x14ac:dyDescent="0.25">
      <c r="B31" t="s">
        <v>306</v>
      </c>
      <c r="C31" t="s">
        <v>332</v>
      </c>
      <c r="D31" s="247" t="s">
        <v>313</v>
      </c>
      <c r="E31" s="252">
        <v>1560</v>
      </c>
      <c r="F31" s="252">
        <v>14002.728693812138</v>
      </c>
      <c r="G31" s="215">
        <f>F31*E31</f>
        <v>21844256.762346935</v>
      </c>
      <c r="H31" s="252">
        <f>F31</f>
        <v>14002.728693812138</v>
      </c>
      <c r="I31" s="215">
        <f>H31*E31*4.5</f>
        <v>98299155.4305612</v>
      </c>
      <c r="J31" s="215">
        <f t="shared" si="8"/>
        <v>-76454898.668214262</v>
      </c>
      <c r="K31" s="215" t="s">
        <v>333</v>
      </c>
    </row>
    <row r="32" spans="2:15" x14ac:dyDescent="0.25">
      <c r="B32" t="s">
        <v>315</v>
      </c>
      <c r="C32" t="s">
        <v>334</v>
      </c>
      <c r="D32" s="247" t="s">
        <v>335</v>
      </c>
      <c r="E32" s="252">
        <f>38*7</f>
        <v>266</v>
      </c>
      <c r="F32" s="252">
        <v>50000</v>
      </c>
      <c r="G32" s="215">
        <f>F32*E32</f>
        <v>13300000</v>
      </c>
      <c r="H32" s="252"/>
      <c r="I32" s="215"/>
      <c r="J32" s="215">
        <f t="shared" ref="J32:J37" si="9">G32-I32</f>
        <v>13300000</v>
      </c>
    </row>
    <row r="33" spans="2:10" x14ac:dyDescent="0.25">
      <c r="B33" t="s">
        <v>315</v>
      </c>
      <c r="C33" s="255" t="s">
        <v>336</v>
      </c>
      <c r="D33" s="247" t="s">
        <v>335</v>
      </c>
      <c r="E33" s="252">
        <f>46*7</f>
        <v>322</v>
      </c>
      <c r="F33" s="252"/>
      <c r="G33" s="215"/>
      <c r="H33" s="252">
        <f>2.21*$F$1</f>
        <v>79622.100999999995</v>
      </c>
      <c r="I33" s="215">
        <f>H33*E33</f>
        <v>25638316.522</v>
      </c>
      <c r="J33" s="215">
        <f t="shared" si="9"/>
        <v>-25638316.522</v>
      </c>
    </row>
    <row r="34" spans="2:10" x14ac:dyDescent="0.25">
      <c r="B34" t="s">
        <v>315</v>
      </c>
      <c r="C34" s="255" t="s">
        <v>337</v>
      </c>
      <c r="D34" s="247" t="s">
        <v>311</v>
      </c>
      <c r="E34" s="252">
        <f>10*7</f>
        <v>70</v>
      </c>
      <c r="F34" s="252"/>
      <c r="G34" s="215"/>
      <c r="H34" s="252">
        <f>4.41*$F$1</f>
        <v>158883.921</v>
      </c>
      <c r="I34" s="215">
        <f t="shared" ref="I34:I37" si="10">H34*E34</f>
        <v>11121874.470000001</v>
      </c>
      <c r="J34" s="215">
        <f t="shared" si="9"/>
        <v>-11121874.470000001</v>
      </c>
    </row>
    <row r="35" spans="2:10" x14ac:dyDescent="0.25">
      <c r="B35" t="s">
        <v>315</v>
      </c>
      <c r="C35" s="255" t="s">
        <v>338</v>
      </c>
      <c r="D35" s="247" t="s">
        <v>305</v>
      </c>
      <c r="E35" s="252">
        <v>1</v>
      </c>
      <c r="F35" s="252"/>
      <c r="G35" s="215"/>
      <c r="H35" s="252">
        <v>10000000</v>
      </c>
      <c r="I35" s="215">
        <f t="shared" si="10"/>
        <v>10000000</v>
      </c>
      <c r="J35" s="215">
        <f t="shared" si="9"/>
        <v>-10000000</v>
      </c>
    </row>
    <row r="36" spans="2:10" x14ac:dyDescent="0.25">
      <c r="B36" t="s">
        <v>315</v>
      </c>
      <c r="C36" s="255" t="s">
        <v>339</v>
      </c>
      <c r="D36" s="247" t="s">
        <v>335</v>
      </c>
      <c r="E36" s="252">
        <v>1</v>
      </c>
      <c r="F36" s="252"/>
      <c r="G36" s="215"/>
      <c r="H36" s="252">
        <v>2000000</v>
      </c>
      <c r="I36" s="215">
        <f t="shared" si="10"/>
        <v>2000000</v>
      </c>
      <c r="J36" s="215">
        <f t="shared" si="9"/>
        <v>-2000000</v>
      </c>
    </row>
    <row r="37" spans="2:10" x14ac:dyDescent="0.25">
      <c r="B37" t="s">
        <v>315</v>
      </c>
      <c r="C37" s="255" t="s">
        <v>340</v>
      </c>
      <c r="D37" s="247" t="s">
        <v>311</v>
      </c>
      <c r="E37" s="252">
        <v>7</v>
      </c>
      <c r="F37" s="252"/>
      <c r="G37" s="215"/>
      <c r="H37" s="252">
        <v>2261904.7619047621</v>
      </c>
      <c r="I37" s="215">
        <f t="shared" si="10"/>
        <v>15833333.333333336</v>
      </c>
      <c r="J37" s="215">
        <f t="shared" si="9"/>
        <v>-15833333.333333336</v>
      </c>
    </row>
  </sheetData>
  <autoFilter ref="B4:J37" xr:uid="{439AAAD9-AF2E-4728-898F-912DB10089AF}"/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A1:P573"/>
  <sheetViews>
    <sheetView workbookViewId="0">
      <selection activeCell="P1" sqref="P1"/>
    </sheetView>
  </sheetViews>
  <sheetFormatPr baseColWidth="10" defaultColWidth="11.42578125" defaultRowHeight="15" x14ac:dyDescent="0.25"/>
  <cols>
    <col min="1" max="1" width="13.42578125" bestFit="1" customWidth="1"/>
    <col min="2" max="2" width="14" bestFit="1" customWidth="1"/>
    <col min="3" max="3" width="12" bestFit="1" customWidth="1"/>
    <col min="4" max="4" width="12.7109375" bestFit="1" customWidth="1"/>
    <col min="5" max="5" width="18" customWidth="1"/>
    <col min="6" max="6" width="15.42578125" bestFit="1" customWidth="1"/>
    <col min="7" max="7" width="17.7109375" bestFit="1" customWidth="1"/>
    <col min="8" max="8" width="18.5703125" bestFit="1" customWidth="1"/>
    <col min="9" max="9" width="17.7109375" customWidth="1"/>
    <col min="10" max="10" width="16.7109375" bestFit="1" customWidth="1"/>
    <col min="11" max="11" width="11.7109375" bestFit="1" customWidth="1"/>
    <col min="12" max="12" width="15.5703125" bestFit="1" customWidth="1"/>
    <col min="13" max="13" width="14.7109375" bestFit="1" customWidth="1"/>
    <col min="14" max="14" width="19.7109375" bestFit="1" customWidth="1"/>
    <col min="15" max="15" width="5.28515625" customWidth="1"/>
    <col min="16" max="16" width="19.28515625" customWidth="1"/>
  </cols>
  <sheetData>
    <row r="1" spans="1:16" x14ac:dyDescent="0.25">
      <c r="E1" s="65">
        <f t="shared" ref="E1:J1" si="0">SUM(E3:E989)</f>
        <v>0</v>
      </c>
      <c r="F1" s="65">
        <f t="shared" si="0"/>
        <v>0</v>
      </c>
      <c r="G1" s="65">
        <f t="shared" si="0"/>
        <v>0</v>
      </c>
      <c r="H1" s="65">
        <f t="shared" si="0"/>
        <v>0</v>
      </c>
      <c r="I1" s="65">
        <f t="shared" si="0"/>
        <v>-789843587</v>
      </c>
      <c r="J1" s="65">
        <f t="shared" si="0"/>
        <v>-712072209.05000007</v>
      </c>
      <c r="K1" s="65"/>
      <c r="L1" s="65">
        <f>SUM(L3:L989)</f>
        <v>789843587</v>
      </c>
      <c r="M1" s="65">
        <f>SUM(M3:M989)</f>
        <v>509364568</v>
      </c>
      <c r="N1" s="65">
        <f>SUM(N3:N989)</f>
        <v>202707641.04999998</v>
      </c>
      <c r="O1" s="124"/>
      <c r="P1" s="131">
        <f>SUM(I1:N1)</f>
        <v>0</v>
      </c>
    </row>
    <row r="2" spans="1:16" ht="30" x14ac:dyDescent="0.25">
      <c r="A2" s="191" t="s">
        <v>1450</v>
      </c>
      <c r="B2" s="191" t="s">
        <v>1451</v>
      </c>
      <c r="C2" s="191" t="s">
        <v>1452</v>
      </c>
      <c r="D2" s="191" t="s">
        <v>1453</v>
      </c>
      <c r="E2" s="191" t="s">
        <v>1454</v>
      </c>
      <c r="F2" s="191" t="s">
        <v>1455</v>
      </c>
      <c r="G2" s="191" t="s">
        <v>1456</v>
      </c>
      <c r="H2" s="191" t="s">
        <v>1457</v>
      </c>
      <c r="I2" s="191" t="s">
        <v>1458</v>
      </c>
      <c r="J2" s="191" t="s">
        <v>1459</v>
      </c>
      <c r="K2" s="191" t="s">
        <v>1460</v>
      </c>
      <c r="L2" s="192" t="s">
        <v>1461</v>
      </c>
      <c r="M2" s="192" t="s">
        <v>1462</v>
      </c>
      <c r="N2" s="192" t="s">
        <v>1463</v>
      </c>
      <c r="O2" s="124"/>
      <c r="P2" s="131">
        <f>'Matriz de Proyecciones'!M118</f>
        <v>5628225137.9188471</v>
      </c>
    </row>
    <row r="3" spans="1:16" x14ac:dyDescent="0.25">
      <c r="A3" s="206" t="str">
        <f>Indice!$I$11</f>
        <v>EIMI00398</v>
      </c>
      <c r="B3">
        <v>0</v>
      </c>
      <c r="C3" s="39">
        <f>Indice!$I$12</f>
        <v>46053</v>
      </c>
      <c r="E3">
        <f>ROUND(SUMIFS(CATEGORIAS[[#All],[TOTAL PRODUCCION
ACTUAL]],CATEGORIAS[[#All],[CATEGORIA2]],Imputar[[#This Row],[Categoría]]),0)</f>
        <v>0</v>
      </c>
      <c r="F3">
        <v>0</v>
      </c>
      <c r="G3">
        <f>ROUND(SUMIFS(CATEGORIAS[[#All],[PROYECCION
DE INGRESO
DEL SALDO]],CATEGORIAS[[#All],[CATEGORIA2]],Imputar[[#This Row],[Categoría]]),0)</f>
        <v>0</v>
      </c>
      <c r="H3">
        <f>ROUND(SUMIFS(CATEGORIAS[[#All],[CAMBIO DE
CATEGORIA]],CATEGORIAS[[#All],[CATEGORIA2]],Imputar[[#This Row],[Categoría]]),0)</f>
        <v>0</v>
      </c>
      <c r="I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">
        <f>+ROUND(SUMIFS(CATEGORIAS[[#All],[PROYECCION
TOTAL DE COSTO]],CATEGORIAS[[#All],[CATEGORIA2]],Imputar[[#This Row],[Categoría]]),0)
-Imputar[[#This Row],[Inventario]]
-Imputar[[#This Row],[Pedidos no Rec]]</f>
        <v>-5500021</v>
      </c>
      <c r="K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">
        <f>_xlfn.IFNA(VLOOKUP(Imputar[[#This Row],[Categoría]],EIMI!C:T,8,0),0)</f>
        <v>0</v>
      </c>
      <c r="M3">
        <f>_xlfn.IFNA(VLOOKUP(Imputar[[#This Row],[Categoría]],EIMI!C:T,9,0),0)</f>
        <v>5500021</v>
      </c>
      <c r="N3">
        <f>_xlfn.IFNA(VLOOKUP(Imputar[[#This Row],[Categoría]],EIMI!C:T,10,0),0)</f>
        <v>0</v>
      </c>
      <c r="P3" s="131">
        <f>P1-P2</f>
        <v>-5628225137.9188471</v>
      </c>
    </row>
    <row r="4" spans="1:16" x14ac:dyDescent="0.25">
      <c r="A4" s="206" t="str">
        <f>Indice!$I$11</f>
        <v>EIMI00398</v>
      </c>
      <c r="B4" t="s">
        <v>377</v>
      </c>
      <c r="C4" s="39">
        <f>Indice!$I$12</f>
        <v>46053</v>
      </c>
      <c r="E4">
        <f>ROUND(SUMIFS(CATEGORIAS[[#All],[TOTAL PRODUCCION
ACTUAL]],CATEGORIAS[[#All],[CATEGORIA2]],Imputar[[#This Row],[Categoría]]),0)</f>
        <v>0</v>
      </c>
      <c r="F4">
        <v>0</v>
      </c>
      <c r="G4">
        <f>ROUND(SUMIFS(CATEGORIAS[[#All],[PROYECCION
DE INGRESO
DEL SALDO]],CATEGORIAS[[#All],[CATEGORIA2]],Imputar[[#This Row],[Categoría]]),0)</f>
        <v>0</v>
      </c>
      <c r="H4">
        <f>ROUND(SUMIFS(CATEGORIAS[[#All],[CAMBIO DE
CATEGORIA]],CATEGORIAS[[#All],[CATEGORIA2]],Imputar[[#This Row],[Categoría]]),0)</f>
        <v>0</v>
      </c>
      <c r="I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">
        <f>+ROUND(SUMIFS(CATEGORIAS[[#All],[PROYECCION
TOTAL DE COSTO]],CATEGORIAS[[#All],[CATEGORIA2]],Imputar[[#This Row],[Categoría]]),0)
-Imputar[[#This Row],[Inventario]]
-Imputar[[#This Row],[Pedidos no Rec]]</f>
        <v>-1015681</v>
      </c>
      <c r="K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">
        <f>_xlfn.IFNA(VLOOKUP(Imputar[[#This Row],[Categoría]],EIMI!C:T,8,0),0)</f>
        <v>0</v>
      </c>
      <c r="M4">
        <f>_xlfn.IFNA(VLOOKUP(Imputar[[#This Row],[Categoría]],EIMI!C:T,9,0),0)</f>
        <v>1015681</v>
      </c>
      <c r="N4">
        <f>_xlfn.IFNA(VLOOKUP(Imputar[[#This Row],[Categoría]],EIMI!C:T,10,0),0)</f>
        <v>0</v>
      </c>
    </row>
    <row r="5" spans="1:16" x14ac:dyDescent="0.25">
      <c r="A5" s="206" t="str">
        <f>Indice!$I$11</f>
        <v>EIMI00398</v>
      </c>
      <c r="B5" t="s">
        <v>378</v>
      </c>
      <c r="C5" s="39">
        <f>Indice!$I$12</f>
        <v>46053</v>
      </c>
      <c r="E5">
        <f>ROUND(SUMIFS(CATEGORIAS[[#All],[TOTAL PRODUCCION
ACTUAL]],CATEGORIAS[[#All],[CATEGORIA2]],Imputar[[#This Row],[Categoría]]),0)</f>
        <v>0</v>
      </c>
      <c r="F5">
        <v>0</v>
      </c>
      <c r="G5">
        <f>ROUND(SUMIFS(CATEGORIAS[[#All],[PROYECCION
DE INGRESO
DEL SALDO]],CATEGORIAS[[#All],[CATEGORIA2]],Imputar[[#This Row],[Categoría]]),0)</f>
        <v>0</v>
      </c>
      <c r="H5">
        <f>ROUND(SUMIFS(CATEGORIAS[[#All],[CAMBIO DE
CATEGORIA]],CATEGORIAS[[#All],[CATEGORIA2]],Imputar[[#This Row],[Categoría]]),0)</f>
        <v>0</v>
      </c>
      <c r="I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">
        <f>+ROUND(SUMIFS(CATEGORIAS[[#All],[PROYECCION
TOTAL DE COSTO]],CATEGORIAS[[#All],[CATEGORIA2]],Imputar[[#This Row],[Categoría]]),0)
-Imputar[[#This Row],[Inventario]]
-Imputar[[#This Row],[Pedidos no Rec]]</f>
        <v>0</v>
      </c>
      <c r="K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">
        <f>_xlfn.IFNA(VLOOKUP(Imputar[[#This Row],[Categoría]],EIMI!C:T,8,0),0)</f>
        <v>0</v>
      </c>
      <c r="M5">
        <f>_xlfn.IFNA(VLOOKUP(Imputar[[#This Row],[Categoría]],EIMI!C:T,9,0),0)</f>
        <v>0</v>
      </c>
      <c r="N5">
        <f>_xlfn.IFNA(VLOOKUP(Imputar[[#This Row],[Categoría]],EIMI!C:T,10,0),0)</f>
        <v>0</v>
      </c>
    </row>
    <row r="6" spans="1:16" x14ac:dyDescent="0.25">
      <c r="A6" s="206" t="str">
        <f>Indice!$I$11</f>
        <v>EIMI00398</v>
      </c>
      <c r="B6" t="s">
        <v>380</v>
      </c>
      <c r="C6" s="39">
        <f>Indice!$I$12</f>
        <v>46053</v>
      </c>
      <c r="E6">
        <f>ROUND(SUMIFS(CATEGORIAS[[#All],[TOTAL PRODUCCION
ACTUAL]],CATEGORIAS[[#All],[CATEGORIA2]],Imputar[[#This Row],[Categoría]]),0)</f>
        <v>0</v>
      </c>
      <c r="F6">
        <v>0</v>
      </c>
      <c r="G6">
        <f>ROUND(SUMIFS(CATEGORIAS[[#All],[PROYECCION
DE INGRESO
DEL SALDO]],CATEGORIAS[[#All],[CATEGORIA2]],Imputar[[#This Row],[Categoría]]),0)</f>
        <v>0</v>
      </c>
      <c r="H6">
        <f>ROUND(SUMIFS(CATEGORIAS[[#All],[CAMBIO DE
CATEGORIA]],CATEGORIAS[[#All],[CATEGORIA2]],Imputar[[#This Row],[Categoría]]),0)</f>
        <v>0</v>
      </c>
      <c r="I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">
        <f>+ROUND(SUMIFS(CATEGORIAS[[#All],[PROYECCION
TOTAL DE COSTO]],CATEGORIAS[[#All],[CATEGORIA2]],Imputar[[#This Row],[Categoría]]),0)
-Imputar[[#This Row],[Inventario]]
-Imputar[[#This Row],[Pedidos no Rec]]</f>
        <v>0</v>
      </c>
      <c r="K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">
        <f>_xlfn.IFNA(VLOOKUP(Imputar[[#This Row],[Categoría]],EIMI!C:T,8,0),0)</f>
        <v>0</v>
      </c>
      <c r="M6">
        <f>_xlfn.IFNA(VLOOKUP(Imputar[[#This Row],[Categoría]],EIMI!C:T,9,0),0)</f>
        <v>0</v>
      </c>
      <c r="N6">
        <f>_xlfn.IFNA(VLOOKUP(Imputar[[#This Row],[Categoría]],EIMI!C:T,10,0),0)</f>
        <v>0</v>
      </c>
    </row>
    <row r="7" spans="1:16" x14ac:dyDescent="0.25">
      <c r="A7" s="206" t="str">
        <f>Indice!$I$11</f>
        <v>EIMI00398</v>
      </c>
      <c r="B7" t="s">
        <v>382</v>
      </c>
      <c r="C7" s="39">
        <f>Indice!$I$12</f>
        <v>46053</v>
      </c>
      <c r="E7">
        <f>ROUND(SUMIFS(CATEGORIAS[[#All],[TOTAL PRODUCCION
ACTUAL]],CATEGORIAS[[#All],[CATEGORIA2]],Imputar[[#This Row],[Categoría]]),0)</f>
        <v>0</v>
      </c>
      <c r="F7">
        <v>0</v>
      </c>
      <c r="G7">
        <f>ROUND(SUMIFS(CATEGORIAS[[#All],[PROYECCION
DE INGRESO
DEL SALDO]],CATEGORIAS[[#All],[CATEGORIA2]],Imputar[[#This Row],[Categoría]]),0)</f>
        <v>0</v>
      </c>
      <c r="H7">
        <f>ROUND(SUMIFS(CATEGORIAS[[#All],[CAMBIO DE
CATEGORIA]],CATEGORIAS[[#All],[CATEGORIA2]],Imputar[[#This Row],[Categoría]]),0)</f>
        <v>0</v>
      </c>
      <c r="I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">
        <f>+ROUND(SUMIFS(CATEGORIAS[[#All],[PROYECCION
TOTAL DE COSTO]],CATEGORIAS[[#All],[CATEGORIA2]],Imputar[[#This Row],[Categoría]]),0)
-Imputar[[#This Row],[Inventario]]
-Imputar[[#This Row],[Pedidos no Rec]]</f>
        <v>0</v>
      </c>
      <c r="K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">
        <f>_xlfn.IFNA(VLOOKUP(Imputar[[#This Row],[Categoría]],EIMI!C:T,8,0),0)</f>
        <v>0</v>
      </c>
      <c r="M7">
        <f>_xlfn.IFNA(VLOOKUP(Imputar[[#This Row],[Categoría]],EIMI!C:T,9,0),0)</f>
        <v>0</v>
      </c>
      <c r="N7">
        <f>_xlfn.IFNA(VLOOKUP(Imputar[[#This Row],[Categoría]],EIMI!C:T,10,0),0)</f>
        <v>0</v>
      </c>
    </row>
    <row r="8" spans="1:16" x14ac:dyDescent="0.25">
      <c r="A8" s="206" t="str">
        <f>Indice!$I$11</f>
        <v>EIMI00398</v>
      </c>
      <c r="B8" t="s">
        <v>384</v>
      </c>
      <c r="C8" s="39">
        <f>Indice!$I$12</f>
        <v>46053</v>
      </c>
      <c r="E8">
        <f>ROUND(SUMIFS(CATEGORIAS[[#All],[TOTAL PRODUCCION
ACTUAL]],CATEGORIAS[[#All],[CATEGORIA2]],Imputar[[#This Row],[Categoría]]),0)</f>
        <v>0</v>
      </c>
      <c r="F8">
        <v>0</v>
      </c>
      <c r="G8">
        <f>ROUND(SUMIFS(CATEGORIAS[[#All],[PROYECCION
DE INGRESO
DEL SALDO]],CATEGORIAS[[#All],[CATEGORIA2]],Imputar[[#This Row],[Categoría]]),0)</f>
        <v>0</v>
      </c>
      <c r="H8">
        <f>ROUND(SUMIFS(CATEGORIAS[[#All],[CAMBIO DE
CATEGORIA]],CATEGORIAS[[#All],[CATEGORIA2]],Imputar[[#This Row],[Categoría]]),0)</f>
        <v>0</v>
      </c>
      <c r="I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">
        <f>+ROUND(SUMIFS(CATEGORIAS[[#All],[PROYECCION
TOTAL DE COSTO]],CATEGORIAS[[#All],[CATEGORIA2]],Imputar[[#This Row],[Categoría]]),0)
-Imputar[[#This Row],[Inventario]]
-Imputar[[#This Row],[Pedidos no Rec]]</f>
        <v>0</v>
      </c>
      <c r="K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">
        <f>_xlfn.IFNA(VLOOKUP(Imputar[[#This Row],[Categoría]],EIMI!C:T,8,0),0)</f>
        <v>0</v>
      </c>
      <c r="M8">
        <f>_xlfn.IFNA(VLOOKUP(Imputar[[#This Row],[Categoría]],EIMI!C:T,9,0),0)</f>
        <v>0</v>
      </c>
      <c r="N8">
        <f>_xlfn.IFNA(VLOOKUP(Imputar[[#This Row],[Categoría]],EIMI!C:T,10,0),0)</f>
        <v>0</v>
      </c>
    </row>
    <row r="9" spans="1:16" x14ac:dyDescent="0.25">
      <c r="A9" s="206" t="str">
        <f>Indice!$I$11</f>
        <v>EIMI00398</v>
      </c>
      <c r="B9" t="s">
        <v>386</v>
      </c>
      <c r="C9" s="39">
        <f>Indice!$I$12</f>
        <v>46053</v>
      </c>
      <c r="E9">
        <f>ROUND(SUMIFS(CATEGORIAS[[#All],[TOTAL PRODUCCION
ACTUAL]],CATEGORIAS[[#All],[CATEGORIA2]],Imputar[[#This Row],[Categoría]]),0)</f>
        <v>0</v>
      </c>
      <c r="F9">
        <v>0</v>
      </c>
      <c r="G9">
        <f>ROUND(SUMIFS(CATEGORIAS[[#All],[PROYECCION
DE INGRESO
DEL SALDO]],CATEGORIAS[[#All],[CATEGORIA2]],Imputar[[#This Row],[Categoría]]),0)</f>
        <v>0</v>
      </c>
      <c r="H9">
        <f>ROUND(SUMIFS(CATEGORIAS[[#All],[CAMBIO DE
CATEGORIA]],CATEGORIAS[[#All],[CATEGORIA2]],Imputar[[#This Row],[Categoría]]),0)</f>
        <v>0</v>
      </c>
      <c r="I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">
        <f>+ROUND(SUMIFS(CATEGORIAS[[#All],[PROYECCION
TOTAL DE COSTO]],CATEGORIAS[[#All],[CATEGORIA2]],Imputar[[#This Row],[Categoría]]),0)
-Imputar[[#This Row],[Inventario]]
-Imputar[[#This Row],[Pedidos no Rec]]</f>
        <v>0</v>
      </c>
      <c r="K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">
        <f>_xlfn.IFNA(VLOOKUP(Imputar[[#This Row],[Categoría]],EIMI!C:T,8,0),0)</f>
        <v>0</v>
      </c>
      <c r="M9">
        <f>_xlfn.IFNA(VLOOKUP(Imputar[[#This Row],[Categoría]],EIMI!C:T,9,0),0)</f>
        <v>0</v>
      </c>
      <c r="N9">
        <f>_xlfn.IFNA(VLOOKUP(Imputar[[#This Row],[Categoría]],EIMI!C:T,10,0),0)</f>
        <v>0</v>
      </c>
    </row>
    <row r="10" spans="1:16" x14ac:dyDescent="0.25">
      <c r="A10" s="206" t="str">
        <f>Indice!$I$11</f>
        <v>EIMI00398</v>
      </c>
      <c r="B10" t="s">
        <v>388</v>
      </c>
      <c r="C10" s="39">
        <f>Indice!$I$12</f>
        <v>46053</v>
      </c>
      <c r="E10">
        <f>ROUND(SUMIFS(CATEGORIAS[[#All],[TOTAL PRODUCCION
ACTUAL]],CATEGORIAS[[#All],[CATEGORIA2]],Imputar[[#This Row],[Categoría]]),0)</f>
        <v>0</v>
      </c>
      <c r="F10">
        <v>0</v>
      </c>
      <c r="G10">
        <f>ROUND(SUMIFS(CATEGORIAS[[#All],[PROYECCION
DE INGRESO
DEL SALDO]],CATEGORIAS[[#All],[CATEGORIA2]],Imputar[[#This Row],[Categoría]]),0)</f>
        <v>0</v>
      </c>
      <c r="H10">
        <f>ROUND(SUMIFS(CATEGORIAS[[#All],[CAMBIO DE
CATEGORIA]],CATEGORIAS[[#All],[CATEGORIA2]],Imputar[[#This Row],[Categoría]]),0)</f>
        <v>0</v>
      </c>
      <c r="I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-1258899</v>
      </c>
      <c r="J10">
        <f>+ROUND(SUMIFS(CATEGORIAS[[#All],[PROYECCION
TOTAL DE COSTO]],CATEGORIAS[[#All],[CATEGORIA2]],Imputar[[#This Row],[Categoría]]),0)
-Imputar[[#This Row],[Inventario]]
-Imputar[[#This Row],[Pedidos no Rec]]</f>
        <v>0</v>
      </c>
      <c r="K1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10">
        <f>_xlfn.IFNA(VLOOKUP(Imputar[[#This Row],[Categoría]],EIMI!C:T,8,0),0)</f>
        <v>1258899</v>
      </c>
      <c r="M10">
        <f>_xlfn.IFNA(VLOOKUP(Imputar[[#This Row],[Categoría]],EIMI!C:T,9,0),0)</f>
        <v>0</v>
      </c>
      <c r="N10">
        <f>_xlfn.IFNA(VLOOKUP(Imputar[[#This Row],[Categoría]],EIMI!C:T,10,0),0)</f>
        <v>0</v>
      </c>
    </row>
    <row r="11" spans="1:16" hidden="1" x14ac:dyDescent="0.25">
      <c r="A11" s="206" t="str">
        <f>Indice!$I$11</f>
        <v>EIMI00398</v>
      </c>
      <c r="B11" t="s">
        <v>390</v>
      </c>
      <c r="C11" s="39">
        <f>Indice!$I$12</f>
        <v>46053</v>
      </c>
      <c r="E11">
        <f>ROUND(SUMIFS(CATEGORIAS[[#All],[TOTAL PRODUCCION
ACTUAL]],CATEGORIAS[[#All],[CATEGORIA2]],Imputar[[#This Row],[Categoría]]),0)</f>
        <v>0</v>
      </c>
      <c r="F11">
        <v>0</v>
      </c>
      <c r="G11">
        <f>ROUND(SUMIFS(CATEGORIAS[[#All],[PROYECCION
DE INGRESO
DEL SALDO]],CATEGORIAS[[#All],[CATEGORIA2]],Imputar[[#This Row],[Categoría]]),0)</f>
        <v>0</v>
      </c>
      <c r="H11">
        <f>ROUND(SUMIFS(CATEGORIAS[[#All],[CAMBIO DE
CATEGORIA]],CATEGORIAS[[#All],[CATEGORIA2]],Imputar[[#This Row],[Categoría]]),0)</f>
        <v>0</v>
      </c>
      <c r="I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">
        <f>+ROUND(SUMIFS(CATEGORIAS[[#All],[PROYECCION
TOTAL DE COSTO]],CATEGORIAS[[#All],[CATEGORIA2]],Imputar[[#This Row],[Categoría]]),0)
-Imputar[[#This Row],[Inventario]]
-Imputar[[#This Row],[Pedidos no Rec]]</f>
        <v>0</v>
      </c>
      <c r="K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">
        <f>_xlfn.IFNA(VLOOKUP(Imputar[[#This Row],[Categoría]],EIMI!C:T,8,0),0)</f>
        <v>0</v>
      </c>
      <c r="M11">
        <f>_xlfn.IFNA(VLOOKUP(Imputar[[#This Row],[Categoría]],EIMI!C:T,9,0),0)</f>
        <v>0</v>
      </c>
      <c r="N11">
        <f>_xlfn.IFNA(VLOOKUP(Imputar[[#This Row],[Categoría]],EIMI!C:T,10,0),0)</f>
        <v>0</v>
      </c>
    </row>
    <row r="12" spans="1:16" hidden="1" x14ac:dyDescent="0.25">
      <c r="A12" s="206" t="str">
        <f>Indice!$I$11</f>
        <v>EIMI00398</v>
      </c>
      <c r="B12" t="s">
        <v>392</v>
      </c>
      <c r="C12" s="39">
        <f>Indice!$I$12</f>
        <v>46053</v>
      </c>
      <c r="E12">
        <f>ROUND(SUMIFS(CATEGORIAS[[#All],[TOTAL PRODUCCION
ACTUAL]],CATEGORIAS[[#All],[CATEGORIA2]],Imputar[[#This Row],[Categoría]]),0)</f>
        <v>0</v>
      </c>
      <c r="F12">
        <v>0</v>
      </c>
      <c r="G12">
        <f>ROUND(SUMIFS(CATEGORIAS[[#All],[PROYECCION
DE INGRESO
DEL SALDO]],CATEGORIAS[[#All],[CATEGORIA2]],Imputar[[#This Row],[Categoría]]),0)</f>
        <v>0</v>
      </c>
      <c r="H12">
        <f>ROUND(SUMIFS(CATEGORIAS[[#All],[CAMBIO DE
CATEGORIA]],CATEGORIAS[[#All],[CATEGORIA2]],Imputar[[#This Row],[Categoría]]),0)</f>
        <v>0</v>
      </c>
      <c r="I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">
        <f>+ROUND(SUMIFS(CATEGORIAS[[#All],[PROYECCION
TOTAL DE COSTO]],CATEGORIAS[[#All],[CATEGORIA2]],Imputar[[#This Row],[Categoría]]),0)
-Imputar[[#This Row],[Inventario]]
-Imputar[[#This Row],[Pedidos no Rec]]</f>
        <v>0</v>
      </c>
      <c r="K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">
        <f>_xlfn.IFNA(VLOOKUP(Imputar[[#This Row],[Categoría]],EIMI!C:T,8,0),0)</f>
        <v>0</v>
      </c>
      <c r="M12">
        <f>_xlfn.IFNA(VLOOKUP(Imputar[[#This Row],[Categoría]],EIMI!C:T,9,0),0)</f>
        <v>0</v>
      </c>
      <c r="N12">
        <f>_xlfn.IFNA(VLOOKUP(Imputar[[#This Row],[Categoría]],EIMI!C:T,10,0),0)</f>
        <v>0</v>
      </c>
    </row>
    <row r="13" spans="1:16" hidden="1" x14ac:dyDescent="0.25">
      <c r="A13" s="206" t="str">
        <f>Indice!$I$11</f>
        <v>EIMI00398</v>
      </c>
      <c r="B13" t="s">
        <v>394</v>
      </c>
      <c r="C13" s="39">
        <f>Indice!$I$12</f>
        <v>46053</v>
      </c>
      <c r="E13">
        <f>ROUND(SUMIFS(CATEGORIAS[[#All],[TOTAL PRODUCCION
ACTUAL]],CATEGORIAS[[#All],[CATEGORIA2]],Imputar[[#This Row],[Categoría]]),0)</f>
        <v>0</v>
      </c>
      <c r="F13">
        <v>0</v>
      </c>
      <c r="G13">
        <f>ROUND(SUMIFS(CATEGORIAS[[#All],[PROYECCION
DE INGRESO
DEL SALDO]],CATEGORIAS[[#All],[CATEGORIA2]],Imputar[[#This Row],[Categoría]]),0)</f>
        <v>0</v>
      </c>
      <c r="H13">
        <f>ROUND(SUMIFS(CATEGORIAS[[#All],[CAMBIO DE
CATEGORIA]],CATEGORIAS[[#All],[CATEGORIA2]],Imputar[[#This Row],[Categoría]]),0)</f>
        <v>0</v>
      </c>
      <c r="I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">
        <f>+ROUND(SUMIFS(CATEGORIAS[[#All],[PROYECCION
TOTAL DE COSTO]],CATEGORIAS[[#All],[CATEGORIA2]],Imputar[[#This Row],[Categoría]]),0)
-Imputar[[#This Row],[Inventario]]
-Imputar[[#This Row],[Pedidos no Rec]]</f>
        <v>0</v>
      </c>
      <c r="K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">
        <f>_xlfn.IFNA(VLOOKUP(Imputar[[#This Row],[Categoría]],EIMI!C:T,8,0),0)</f>
        <v>0</v>
      </c>
      <c r="M13">
        <f>_xlfn.IFNA(VLOOKUP(Imputar[[#This Row],[Categoría]],EIMI!C:T,9,0),0)</f>
        <v>0</v>
      </c>
      <c r="N13">
        <f>_xlfn.IFNA(VLOOKUP(Imputar[[#This Row],[Categoría]],EIMI!C:T,10,0),0)</f>
        <v>0</v>
      </c>
    </row>
    <row r="14" spans="1:16" x14ac:dyDescent="0.25">
      <c r="A14" s="206" t="str">
        <f>Indice!$I$11</f>
        <v>EIMI00398</v>
      </c>
      <c r="B14" t="s">
        <v>397</v>
      </c>
      <c r="C14" s="39">
        <f>Indice!$I$12</f>
        <v>46053</v>
      </c>
      <c r="E14">
        <f>ROUND(SUMIFS(CATEGORIAS[[#All],[TOTAL PRODUCCION
ACTUAL]],CATEGORIAS[[#All],[CATEGORIA2]],Imputar[[#This Row],[Categoría]]),0)</f>
        <v>0</v>
      </c>
      <c r="F14">
        <v>0</v>
      </c>
      <c r="G14">
        <f>ROUND(SUMIFS(CATEGORIAS[[#All],[PROYECCION
DE INGRESO
DEL SALDO]],CATEGORIAS[[#All],[CATEGORIA2]],Imputar[[#This Row],[Categoría]]),0)</f>
        <v>0</v>
      </c>
      <c r="H14">
        <f>ROUND(SUMIFS(CATEGORIAS[[#All],[CAMBIO DE
CATEGORIA]],CATEGORIAS[[#All],[CATEGORIA2]],Imputar[[#This Row],[Categoría]]),0)</f>
        <v>0</v>
      </c>
      <c r="I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">
        <f>+ROUND(SUMIFS(CATEGORIAS[[#All],[PROYECCION
TOTAL DE COSTO]],CATEGORIAS[[#All],[CATEGORIA2]],Imputar[[#This Row],[Categoría]]),0)
-Imputar[[#This Row],[Inventario]]
-Imputar[[#This Row],[Pedidos no Rec]]</f>
        <v>0</v>
      </c>
      <c r="K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">
        <f>_xlfn.IFNA(VLOOKUP(Imputar[[#This Row],[Categoría]],EIMI!C:T,8,0),0)</f>
        <v>0</v>
      </c>
      <c r="M14">
        <f>_xlfn.IFNA(VLOOKUP(Imputar[[#This Row],[Categoría]],EIMI!C:T,9,0),0)</f>
        <v>0</v>
      </c>
      <c r="N14">
        <f>_xlfn.IFNA(VLOOKUP(Imputar[[#This Row],[Categoría]],EIMI!C:T,10,0),0)</f>
        <v>0</v>
      </c>
    </row>
    <row r="15" spans="1:16" hidden="1" x14ac:dyDescent="0.25">
      <c r="A15" s="206" t="str">
        <f>Indice!$I$11</f>
        <v>EIMI00398</v>
      </c>
      <c r="B15" t="s">
        <v>399</v>
      </c>
      <c r="C15" s="39">
        <f>Indice!$I$12</f>
        <v>46053</v>
      </c>
      <c r="E15">
        <f>ROUND(SUMIFS(CATEGORIAS[[#All],[TOTAL PRODUCCION
ACTUAL]],CATEGORIAS[[#All],[CATEGORIA2]],Imputar[[#This Row],[Categoría]]),0)</f>
        <v>0</v>
      </c>
      <c r="F15">
        <v>0</v>
      </c>
      <c r="G15">
        <f>ROUND(SUMIFS(CATEGORIAS[[#All],[PROYECCION
DE INGRESO
DEL SALDO]],CATEGORIAS[[#All],[CATEGORIA2]],Imputar[[#This Row],[Categoría]]),0)</f>
        <v>0</v>
      </c>
      <c r="H15">
        <f>ROUND(SUMIFS(CATEGORIAS[[#All],[CAMBIO DE
CATEGORIA]],CATEGORIAS[[#All],[CATEGORIA2]],Imputar[[#This Row],[Categoría]]),0)</f>
        <v>0</v>
      </c>
      <c r="I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">
        <f>+ROUND(SUMIFS(CATEGORIAS[[#All],[PROYECCION
TOTAL DE COSTO]],CATEGORIAS[[#All],[CATEGORIA2]],Imputar[[#This Row],[Categoría]]),0)
-Imputar[[#This Row],[Inventario]]
-Imputar[[#This Row],[Pedidos no Rec]]</f>
        <v>0</v>
      </c>
      <c r="K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">
        <f>_xlfn.IFNA(VLOOKUP(Imputar[[#This Row],[Categoría]],EIMI!C:T,8,0),0)</f>
        <v>0</v>
      </c>
      <c r="M15">
        <f>_xlfn.IFNA(VLOOKUP(Imputar[[#This Row],[Categoría]],EIMI!C:T,9,0),0)</f>
        <v>0</v>
      </c>
      <c r="N15">
        <f>_xlfn.IFNA(VLOOKUP(Imputar[[#This Row],[Categoría]],EIMI!C:T,10,0),0)</f>
        <v>0</v>
      </c>
    </row>
    <row r="16" spans="1:16" x14ac:dyDescent="0.25">
      <c r="A16" s="206" t="str">
        <f>Indice!$I$11</f>
        <v>EIMI00398</v>
      </c>
      <c r="B16" t="s">
        <v>401</v>
      </c>
      <c r="C16" s="39">
        <f>Indice!$I$12</f>
        <v>46053</v>
      </c>
      <c r="E16">
        <f>ROUND(SUMIFS(CATEGORIAS[[#All],[TOTAL PRODUCCION
ACTUAL]],CATEGORIAS[[#All],[CATEGORIA2]],Imputar[[#This Row],[Categoría]]),0)</f>
        <v>0</v>
      </c>
      <c r="F16">
        <v>0</v>
      </c>
      <c r="G16">
        <f>ROUND(SUMIFS(CATEGORIAS[[#All],[PROYECCION
DE INGRESO
DEL SALDO]],CATEGORIAS[[#All],[CATEGORIA2]],Imputar[[#This Row],[Categoría]]),0)</f>
        <v>0</v>
      </c>
      <c r="H16">
        <f>ROUND(SUMIFS(CATEGORIAS[[#All],[CAMBIO DE
CATEGORIA]],CATEGORIAS[[#All],[CATEGORIA2]],Imputar[[#This Row],[Categoría]]),0)</f>
        <v>0</v>
      </c>
      <c r="I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">
        <f>+ROUND(SUMIFS(CATEGORIAS[[#All],[PROYECCION
TOTAL DE COSTO]],CATEGORIAS[[#All],[CATEGORIA2]],Imputar[[#This Row],[Categoría]]),0)
-Imputar[[#This Row],[Inventario]]
-Imputar[[#This Row],[Pedidos no Rec]]</f>
        <v>0</v>
      </c>
      <c r="K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">
        <f>_xlfn.IFNA(VLOOKUP(Imputar[[#This Row],[Categoría]],EIMI!C:T,8,0),0)</f>
        <v>0</v>
      </c>
      <c r="M16">
        <f>_xlfn.IFNA(VLOOKUP(Imputar[[#This Row],[Categoría]],EIMI!C:T,9,0),0)</f>
        <v>0</v>
      </c>
      <c r="N16">
        <f>_xlfn.IFNA(VLOOKUP(Imputar[[#This Row],[Categoría]],EIMI!C:T,10,0),0)</f>
        <v>0</v>
      </c>
    </row>
    <row r="17" spans="1:14" hidden="1" x14ac:dyDescent="0.25">
      <c r="A17" s="206" t="str">
        <f>Indice!$I$11</f>
        <v>EIMI00398</v>
      </c>
      <c r="B17" t="s">
        <v>403</v>
      </c>
      <c r="C17" s="39">
        <f>Indice!$I$12</f>
        <v>46053</v>
      </c>
      <c r="E17">
        <f>ROUND(SUMIFS(CATEGORIAS[[#All],[TOTAL PRODUCCION
ACTUAL]],CATEGORIAS[[#All],[CATEGORIA2]],Imputar[[#This Row],[Categoría]]),0)</f>
        <v>0</v>
      </c>
      <c r="F17">
        <v>0</v>
      </c>
      <c r="G17">
        <f>ROUND(SUMIFS(CATEGORIAS[[#All],[PROYECCION
DE INGRESO
DEL SALDO]],CATEGORIAS[[#All],[CATEGORIA2]],Imputar[[#This Row],[Categoría]]),0)</f>
        <v>0</v>
      </c>
      <c r="H17">
        <f>ROUND(SUMIFS(CATEGORIAS[[#All],[CAMBIO DE
CATEGORIA]],CATEGORIAS[[#All],[CATEGORIA2]],Imputar[[#This Row],[Categoría]]),0)</f>
        <v>0</v>
      </c>
      <c r="I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">
        <f>+ROUND(SUMIFS(CATEGORIAS[[#All],[PROYECCION
TOTAL DE COSTO]],CATEGORIAS[[#All],[CATEGORIA2]],Imputar[[#This Row],[Categoría]]),0)
-Imputar[[#This Row],[Inventario]]
-Imputar[[#This Row],[Pedidos no Rec]]</f>
        <v>0</v>
      </c>
      <c r="K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">
        <f>_xlfn.IFNA(VLOOKUP(Imputar[[#This Row],[Categoría]],EIMI!C:T,8,0),0)</f>
        <v>0</v>
      </c>
      <c r="M17">
        <f>_xlfn.IFNA(VLOOKUP(Imputar[[#This Row],[Categoría]],EIMI!C:T,9,0),0)</f>
        <v>0</v>
      </c>
      <c r="N17">
        <f>_xlfn.IFNA(VLOOKUP(Imputar[[#This Row],[Categoría]],EIMI!C:T,10,0),0)</f>
        <v>0</v>
      </c>
    </row>
    <row r="18" spans="1:14" x14ac:dyDescent="0.25">
      <c r="A18" s="206" t="str">
        <f>Indice!$I$11</f>
        <v>EIMI00398</v>
      </c>
      <c r="B18" t="s">
        <v>405</v>
      </c>
      <c r="C18" s="39">
        <f>Indice!$I$12</f>
        <v>46053</v>
      </c>
      <c r="E18">
        <f>ROUND(SUMIFS(CATEGORIAS[[#All],[TOTAL PRODUCCION
ACTUAL]],CATEGORIAS[[#All],[CATEGORIA2]],Imputar[[#This Row],[Categoría]]),0)</f>
        <v>0</v>
      </c>
      <c r="F18">
        <v>0</v>
      </c>
      <c r="G18">
        <f>ROUND(SUMIFS(CATEGORIAS[[#All],[PROYECCION
DE INGRESO
DEL SALDO]],CATEGORIAS[[#All],[CATEGORIA2]],Imputar[[#This Row],[Categoría]]),0)</f>
        <v>0</v>
      </c>
      <c r="H18">
        <f>ROUND(SUMIFS(CATEGORIAS[[#All],[CAMBIO DE
CATEGORIA]],CATEGORIAS[[#All],[CATEGORIA2]],Imputar[[#This Row],[Categoría]]),0)</f>
        <v>0</v>
      </c>
      <c r="I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-443042</v>
      </c>
      <c r="J18">
        <f>+ROUND(SUMIFS(CATEGORIAS[[#All],[PROYECCION
TOTAL DE COSTO]],CATEGORIAS[[#All],[CATEGORIA2]],Imputar[[#This Row],[Categoría]]),0)
-Imputar[[#This Row],[Inventario]]
-Imputar[[#This Row],[Pedidos no Rec]]</f>
        <v>0</v>
      </c>
      <c r="K1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18">
        <f>_xlfn.IFNA(VLOOKUP(Imputar[[#This Row],[Categoría]],EIMI!C:T,8,0),0)</f>
        <v>443042</v>
      </c>
      <c r="M18">
        <f>_xlfn.IFNA(VLOOKUP(Imputar[[#This Row],[Categoría]],EIMI!C:T,9,0),0)</f>
        <v>0</v>
      </c>
      <c r="N18">
        <f>_xlfn.IFNA(VLOOKUP(Imputar[[#This Row],[Categoría]],EIMI!C:T,10,0),0)</f>
        <v>0</v>
      </c>
    </row>
    <row r="19" spans="1:14" hidden="1" x14ac:dyDescent="0.25">
      <c r="A19" s="206" t="str">
        <f>Indice!$I$11</f>
        <v>EIMI00398</v>
      </c>
      <c r="B19" t="s">
        <v>407</v>
      </c>
      <c r="C19" s="39">
        <f>Indice!$I$12</f>
        <v>46053</v>
      </c>
      <c r="E19">
        <f>ROUND(SUMIFS(CATEGORIAS[[#All],[TOTAL PRODUCCION
ACTUAL]],CATEGORIAS[[#All],[CATEGORIA2]],Imputar[[#This Row],[Categoría]]),0)</f>
        <v>0</v>
      </c>
      <c r="F19">
        <v>0</v>
      </c>
      <c r="G19">
        <f>ROUND(SUMIFS(CATEGORIAS[[#All],[PROYECCION
DE INGRESO
DEL SALDO]],CATEGORIAS[[#All],[CATEGORIA2]],Imputar[[#This Row],[Categoría]]),0)</f>
        <v>0</v>
      </c>
      <c r="H19">
        <f>ROUND(SUMIFS(CATEGORIAS[[#All],[CAMBIO DE
CATEGORIA]],CATEGORIAS[[#All],[CATEGORIA2]],Imputar[[#This Row],[Categoría]]),0)</f>
        <v>0</v>
      </c>
      <c r="I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">
        <f>+ROUND(SUMIFS(CATEGORIAS[[#All],[PROYECCION
TOTAL DE COSTO]],CATEGORIAS[[#All],[CATEGORIA2]],Imputar[[#This Row],[Categoría]]),0)
-Imputar[[#This Row],[Inventario]]
-Imputar[[#This Row],[Pedidos no Rec]]</f>
        <v>0</v>
      </c>
      <c r="K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">
        <f>_xlfn.IFNA(VLOOKUP(Imputar[[#This Row],[Categoría]],EIMI!C:T,8,0),0)</f>
        <v>0</v>
      </c>
      <c r="M19">
        <f>_xlfn.IFNA(VLOOKUP(Imputar[[#This Row],[Categoría]],EIMI!C:T,9,0),0)</f>
        <v>0</v>
      </c>
      <c r="N19">
        <f>_xlfn.IFNA(VLOOKUP(Imputar[[#This Row],[Categoría]],EIMI!C:T,10,0),0)</f>
        <v>0</v>
      </c>
    </row>
    <row r="20" spans="1:14" hidden="1" x14ac:dyDescent="0.25">
      <c r="A20" s="206" t="str">
        <f>Indice!$I$11</f>
        <v>EIMI00398</v>
      </c>
      <c r="B20" t="s">
        <v>409</v>
      </c>
      <c r="C20" s="39">
        <f>Indice!$I$12</f>
        <v>46053</v>
      </c>
      <c r="E20">
        <f>ROUND(SUMIFS(CATEGORIAS[[#All],[TOTAL PRODUCCION
ACTUAL]],CATEGORIAS[[#All],[CATEGORIA2]],Imputar[[#This Row],[Categoría]]),0)</f>
        <v>0</v>
      </c>
      <c r="F20">
        <v>0</v>
      </c>
      <c r="G20">
        <f>ROUND(SUMIFS(CATEGORIAS[[#All],[PROYECCION
DE INGRESO
DEL SALDO]],CATEGORIAS[[#All],[CATEGORIA2]],Imputar[[#This Row],[Categoría]]),0)</f>
        <v>0</v>
      </c>
      <c r="H20">
        <f>ROUND(SUMIFS(CATEGORIAS[[#All],[CAMBIO DE
CATEGORIA]],CATEGORIAS[[#All],[CATEGORIA2]],Imputar[[#This Row],[Categoría]]),0)</f>
        <v>0</v>
      </c>
      <c r="I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">
        <f>+ROUND(SUMIFS(CATEGORIAS[[#All],[PROYECCION
TOTAL DE COSTO]],CATEGORIAS[[#All],[CATEGORIA2]],Imputar[[#This Row],[Categoría]]),0)
-Imputar[[#This Row],[Inventario]]
-Imputar[[#This Row],[Pedidos no Rec]]</f>
        <v>0</v>
      </c>
      <c r="K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">
        <f>_xlfn.IFNA(VLOOKUP(Imputar[[#This Row],[Categoría]],EIMI!C:T,8,0),0)</f>
        <v>0</v>
      </c>
      <c r="M20">
        <f>_xlfn.IFNA(VLOOKUP(Imputar[[#This Row],[Categoría]],EIMI!C:T,9,0),0)</f>
        <v>0</v>
      </c>
      <c r="N20">
        <f>_xlfn.IFNA(VLOOKUP(Imputar[[#This Row],[Categoría]],EIMI!C:T,10,0),0)</f>
        <v>0</v>
      </c>
    </row>
    <row r="21" spans="1:14" hidden="1" x14ac:dyDescent="0.25">
      <c r="A21" s="206" t="str">
        <f>Indice!$I$11</f>
        <v>EIMI00398</v>
      </c>
      <c r="B21" t="s">
        <v>411</v>
      </c>
      <c r="C21" s="39">
        <f>Indice!$I$12</f>
        <v>46053</v>
      </c>
      <c r="E21">
        <f>ROUND(SUMIFS(CATEGORIAS[[#All],[TOTAL PRODUCCION
ACTUAL]],CATEGORIAS[[#All],[CATEGORIA2]],Imputar[[#This Row],[Categoría]]),0)</f>
        <v>0</v>
      </c>
      <c r="F21">
        <v>0</v>
      </c>
      <c r="G21">
        <f>ROUND(SUMIFS(CATEGORIAS[[#All],[PROYECCION
DE INGRESO
DEL SALDO]],CATEGORIAS[[#All],[CATEGORIA2]],Imputar[[#This Row],[Categoría]]),0)</f>
        <v>0</v>
      </c>
      <c r="H21">
        <f>ROUND(SUMIFS(CATEGORIAS[[#All],[CAMBIO DE
CATEGORIA]],CATEGORIAS[[#All],[CATEGORIA2]],Imputar[[#This Row],[Categoría]]),0)</f>
        <v>0</v>
      </c>
      <c r="I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">
        <f>+ROUND(SUMIFS(CATEGORIAS[[#All],[PROYECCION
TOTAL DE COSTO]],CATEGORIAS[[#All],[CATEGORIA2]],Imputar[[#This Row],[Categoría]]),0)
-Imputar[[#This Row],[Inventario]]
-Imputar[[#This Row],[Pedidos no Rec]]</f>
        <v>0</v>
      </c>
      <c r="K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">
        <f>_xlfn.IFNA(VLOOKUP(Imputar[[#This Row],[Categoría]],EIMI!C:T,8,0),0)</f>
        <v>0</v>
      </c>
      <c r="M21">
        <f>_xlfn.IFNA(VLOOKUP(Imputar[[#This Row],[Categoría]],EIMI!C:T,9,0),0)</f>
        <v>0</v>
      </c>
      <c r="N21">
        <f>_xlfn.IFNA(VLOOKUP(Imputar[[#This Row],[Categoría]],EIMI!C:T,10,0),0)</f>
        <v>0</v>
      </c>
    </row>
    <row r="22" spans="1:14" hidden="1" x14ac:dyDescent="0.25">
      <c r="A22" s="206" t="str">
        <f>Indice!$I$11</f>
        <v>EIMI00398</v>
      </c>
      <c r="B22" t="s">
        <v>413</v>
      </c>
      <c r="C22" s="39">
        <f>Indice!$I$12</f>
        <v>46053</v>
      </c>
      <c r="E22">
        <f>ROUND(SUMIFS(CATEGORIAS[[#All],[TOTAL PRODUCCION
ACTUAL]],CATEGORIAS[[#All],[CATEGORIA2]],Imputar[[#This Row],[Categoría]]),0)</f>
        <v>0</v>
      </c>
      <c r="F22">
        <v>0</v>
      </c>
      <c r="G22">
        <f>ROUND(SUMIFS(CATEGORIAS[[#All],[PROYECCION
DE INGRESO
DEL SALDO]],CATEGORIAS[[#All],[CATEGORIA2]],Imputar[[#This Row],[Categoría]]),0)</f>
        <v>0</v>
      </c>
      <c r="H22">
        <f>ROUND(SUMIFS(CATEGORIAS[[#All],[CAMBIO DE
CATEGORIA]],CATEGORIAS[[#All],[CATEGORIA2]],Imputar[[#This Row],[Categoría]]),0)</f>
        <v>0</v>
      </c>
      <c r="I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">
        <f>+ROUND(SUMIFS(CATEGORIAS[[#All],[PROYECCION
TOTAL DE COSTO]],CATEGORIAS[[#All],[CATEGORIA2]],Imputar[[#This Row],[Categoría]]),0)
-Imputar[[#This Row],[Inventario]]
-Imputar[[#This Row],[Pedidos no Rec]]</f>
        <v>0</v>
      </c>
      <c r="K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">
        <f>_xlfn.IFNA(VLOOKUP(Imputar[[#This Row],[Categoría]],EIMI!C:T,8,0),0)</f>
        <v>0</v>
      </c>
      <c r="M22">
        <f>_xlfn.IFNA(VLOOKUP(Imputar[[#This Row],[Categoría]],EIMI!C:T,9,0),0)</f>
        <v>0</v>
      </c>
      <c r="N22">
        <f>_xlfn.IFNA(VLOOKUP(Imputar[[#This Row],[Categoría]],EIMI!C:T,10,0),0)</f>
        <v>0</v>
      </c>
    </row>
    <row r="23" spans="1:14" hidden="1" x14ac:dyDescent="0.25">
      <c r="A23" s="206" t="str">
        <f>Indice!$I$11</f>
        <v>EIMI00398</v>
      </c>
      <c r="B23" t="s">
        <v>415</v>
      </c>
      <c r="C23" s="39">
        <f>Indice!$I$12</f>
        <v>46053</v>
      </c>
      <c r="E23">
        <f>ROUND(SUMIFS(CATEGORIAS[[#All],[TOTAL PRODUCCION
ACTUAL]],CATEGORIAS[[#All],[CATEGORIA2]],Imputar[[#This Row],[Categoría]]),0)</f>
        <v>0</v>
      </c>
      <c r="F23">
        <v>0</v>
      </c>
      <c r="G23">
        <f>ROUND(SUMIFS(CATEGORIAS[[#All],[PROYECCION
DE INGRESO
DEL SALDO]],CATEGORIAS[[#All],[CATEGORIA2]],Imputar[[#This Row],[Categoría]]),0)</f>
        <v>0</v>
      </c>
      <c r="H23">
        <f>ROUND(SUMIFS(CATEGORIAS[[#All],[CAMBIO DE
CATEGORIA]],CATEGORIAS[[#All],[CATEGORIA2]],Imputar[[#This Row],[Categoría]]),0)</f>
        <v>0</v>
      </c>
      <c r="I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">
        <f>+ROUND(SUMIFS(CATEGORIAS[[#All],[PROYECCION
TOTAL DE COSTO]],CATEGORIAS[[#All],[CATEGORIA2]],Imputar[[#This Row],[Categoría]]),0)
-Imputar[[#This Row],[Inventario]]
-Imputar[[#This Row],[Pedidos no Rec]]</f>
        <v>0</v>
      </c>
      <c r="K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">
        <f>_xlfn.IFNA(VLOOKUP(Imputar[[#This Row],[Categoría]],EIMI!C:T,8,0),0)</f>
        <v>0</v>
      </c>
      <c r="M23">
        <f>_xlfn.IFNA(VLOOKUP(Imputar[[#This Row],[Categoría]],EIMI!C:T,9,0),0)</f>
        <v>0</v>
      </c>
      <c r="N23">
        <f>_xlfn.IFNA(VLOOKUP(Imputar[[#This Row],[Categoría]],EIMI!C:T,10,0),0)</f>
        <v>0</v>
      </c>
    </row>
    <row r="24" spans="1:14" hidden="1" x14ac:dyDescent="0.25">
      <c r="A24" s="206" t="str">
        <f>Indice!$I$11</f>
        <v>EIMI00398</v>
      </c>
      <c r="B24" t="s">
        <v>417</v>
      </c>
      <c r="C24" s="39">
        <f>Indice!$I$12</f>
        <v>46053</v>
      </c>
      <c r="E24">
        <f>ROUND(SUMIFS(CATEGORIAS[[#All],[TOTAL PRODUCCION
ACTUAL]],CATEGORIAS[[#All],[CATEGORIA2]],Imputar[[#This Row],[Categoría]]),0)</f>
        <v>0</v>
      </c>
      <c r="F24">
        <v>0</v>
      </c>
      <c r="G24">
        <f>ROUND(SUMIFS(CATEGORIAS[[#All],[PROYECCION
DE INGRESO
DEL SALDO]],CATEGORIAS[[#All],[CATEGORIA2]],Imputar[[#This Row],[Categoría]]),0)</f>
        <v>0</v>
      </c>
      <c r="H24">
        <f>ROUND(SUMIFS(CATEGORIAS[[#All],[CAMBIO DE
CATEGORIA]],CATEGORIAS[[#All],[CATEGORIA2]],Imputar[[#This Row],[Categoría]]),0)</f>
        <v>0</v>
      </c>
      <c r="I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">
        <f>+ROUND(SUMIFS(CATEGORIAS[[#All],[PROYECCION
TOTAL DE COSTO]],CATEGORIAS[[#All],[CATEGORIA2]],Imputar[[#This Row],[Categoría]]),0)
-Imputar[[#This Row],[Inventario]]
-Imputar[[#This Row],[Pedidos no Rec]]</f>
        <v>0</v>
      </c>
      <c r="K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">
        <f>_xlfn.IFNA(VLOOKUP(Imputar[[#This Row],[Categoría]],EIMI!C:T,8,0),0)</f>
        <v>0</v>
      </c>
      <c r="M24">
        <f>_xlfn.IFNA(VLOOKUP(Imputar[[#This Row],[Categoría]],EIMI!C:T,9,0),0)</f>
        <v>0</v>
      </c>
      <c r="N24">
        <f>_xlfn.IFNA(VLOOKUP(Imputar[[#This Row],[Categoría]],EIMI!C:T,10,0),0)</f>
        <v>0</v>
      </c>
    </row>
    <row r="25" spans="1:14" hidden="1" x14ac:dyDescent="0.25">
      <c r="A25" s="206" t="str">
        <f>Indice!$I$11</f>
        <v>EIMI00398</v>
      </c>
      <c r="B25" t="s">
        <v>419</v>
      </c>
      <c r="C25" s="39">
        <f>Indice!$I$12</f>
        <v>46053</v>
      </c>
      <c r="E25">
        <f>ROUND(SUMIFS(CATEGORIAS[[#All],[TOTAL PRODUCCION
ACTUAL]],CATEGORIAS[[#All],[CATEGORIA2]],Imputar[[#This Row],[Categoría]]),0)</f>
        <v>0</v>
      </c>
      <c r="F25">
        <v>0</v>
      </c>
      <c r="G25">
        <f>ROUND(SUMIFS(CATEGORIAS[[#All],[PROYECCION
DE INGRESO
DEL SALDO]],CATEGORIAS[[#All],[CATEGORIA2]],Imputar[[#This Row],[Categoría]]),0)</f>
        <v>0</v>
      </c>
      <c r="H25">
        <f>ROUND(SUMIFS(CATEGORIAS[[#All],[CAMBIO DE
CATEGORIA]],CATEGORIAS[[#All],[CATEGORIA2]],Imputar[[#This Row],[Categoría]]),0)</f>
        <v>0</v>
      </c>
      <c r="I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">
        <f>+ROUND(SUMIFS(CATEGORIAS[[#All],[PROYECCION
TOTAL DE COSTO]],CATEGORIAS[[#All],[CATEGORIA2]],Imputar[[#This Row],[Categoría]]),0)
-Imputar[[#This Row],[Inventario]]
-Imputar[[#This Row],[Pedidos no Rec]]</f>
        <v>0</v>
      </c>
      <c r="K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">
        <f>_xlfn.IFNA(VLOOKUP(Imputar[[#This Row],[Categoría]],EIMI!C:T,8,0),0)</f>
        <v>0</v>
      </c>
      <c r="M25">
        <f>_xlfn.IFNA(VLOOKUP(Imputar[[#This Row],[Categoría]],EIMI!C:T,9,0),0)</f>
        <v>0</v>
      </c>
      <c r="N25">
        <f>_xlfn.IFNA(VLOOKUP(Imputar[[#This Row],[Categoría]],EIMI!C:T,10,0),0)</f>
        <v>0</v>
      </c>
    </row>
    <row r="26" spans="1:14" hidden="1" x14ac:dyDescent="0.25">
      <c r="A26" s="206" t="str">
        <f>Indice!$I$11</f>
        <v>EIMI00398</v>
      </c>
      <c r="B26" t="s">
        <v>421</v>
      </c>
      <c r="C26" s="39">
        <f>Indice!$I$12</f>
        <v>46053</v>
      </c>
      <c r="E26">
        <f>ROUND(SUMIFS(CATEGORIAS[[#All],[TOTAL PRODUCCION
ACTUAL]],CATEGORIAS[[#All],[CATEGORIA2]],Imputar[[#This Row],[Categoría]]),0)</f>
        <v>0</v>
      </c>
      <c r="F26">
        <v>0</v>
      </c>
      <c r="G26">
        <f>ROUND(SUMIFS(CATEGORIAS[[#All],[PROYECCION
DE INGRESO
DEL SALDO]],CATEGORIAS[[#All],[CATEGORIA2]],Imputar[[#This Row],[Categoría]]),0)</f>
        <v>0</v>
      </c>
      <c r="H26">
        <f>ROUND(SUMIFS(CATEGORIAS[[#All],[CAMBIO DE
CATEGORIA]],CATEGORIAS[[#All],[CATEGORIA2]],Imputar[[#This Row],[Categoría]]),0)</f>
        <v>0</v>
      </c>
      <c r="I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">
        <f>+ROUND(SUMIFS(CATEGORIAS[[#All],[PROYECCION
TOTAL DE COSTO]],CATEGORIAS[[#All],[CATEGORIA2]],Imputar[[#This Row],[Categoría]]),0)
-Imputar[[#This Row],[Inventario]]
-Imputar[[#This Row],[Pedidos no Rec]]</f>
        <v>0</v>
      </c>
      <c r="K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">
        <f>_xlfn.IFNA(VLOOKUP(Imputar[[#This Row],[Categoría]],EIMI!C:T,8,0),0)</f>
        <v>0</v>
      </c>
      <c r="M26">
        <f>_xlfn.IFNA(VLOOKUP(Imputar[[#This Row],[Categoría]],EIMI!C:T,9,0),0)</f>
        <v>0</v>
      </c>
      <c r="N26">
        <f>_xlfn.IFNA(VLOOKUP(Imputar[[#This Row],[Categoría]],EIMI!C:T,10,0),0)</f>
        <v>0</v>
      </c>
    </row>
    <row r="27" spans="1:14" x14ac:dyDescent="0.25">
      <c r="A27" s="206" t="str">
        <f>Indice!$I$11</f>
        <v>EIMI00398</v>
      </c>
      <c r="B27" t="s">
        <v>424</v>
      </c>
      <c r="C27" s="39">
        <f>Indice!$I$12</f>
        <v>46053</v>
      </c>
      <c r="E27">
        <f>ROUND(SUMIFS(CATEGORIAS[[#All],[TOTAL PRODUCCION
ACTUAL]],CATEGORIAS[[#All],[CATEGORIA2]],Imputar[[#This Row],[Categoría]]),0)</f>
        <v>0</v>
      </c>
      <c r="F27">
        <v>0</v>
      </c>
      <c r="G27">
        <f>ROUND(SUMIFS(CATEGORIAS[[#All],[PROYECCION
DE INGRESO
DEL SALDO]],CATEGORIAS[[#All],[CATEGORIA2]],Imputar[[#This Row],[Categoría]]),0)</f>
        <v>0</v>
      </c>
      <c r="H27">
        <f>ROUND(SUMIFS(CATEGORIAS[[#All],[CAMBIO DE
CATEGORIA]],CATEGORIAS[[#All],[CATEGORIA2]],Imputar[[#This Row],[Categoría]]),0)</f>
        <v>0</v>
      </c>
      <c r="I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-1393899</v>
      </c>
      <c r="J27">
        <f>+ROUND(SUMIFS(CATEGORIAS[[#All],[PROYECCION
TOTAL DE COSTO]],CATEGORIAS[[#All],[CATEGORIA2]],Imputar[[#This Row],[Categoría]]),0)
-Imputar[[#This Row],[Inventario]]
-Imputar[[#This Row],[Pedidos no Rec]]</f>
        <v>0</v>
      </c>
      <c r="K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27">
        <f>_xlfn.IFNA(VLOOKUP(Imputar[[#This Row],[Categoría]],EIMI!C:T,8,0),0)</f>
        <v>1393899</v>
      </c>
      <c r="M27">
        <f>_xlfn.IFNA(VLOOKUP(Imputar[[#This Row],[Categoría]],EIMI!C:T,9,0),0)</f>
        <v>0</v>
      </c>
      <c r="N27">
        <f>_xlfn.IFNA(VLOOKUP(Imputar[[#This Row],[Categoría]],EIMI!C:T,10,0),0)</f>
        <v>0</v>
      </c>
    </row>
    <row r="28" spans="1:14" hidden="1" x14ac:dyDescent="0.25">
      <c r="A28" s="206" t="str">
        <f>Indice!$I$11</f>
        <v>EIMI00398</v>
      </c>
      <c r="B28" t="s">
        <v>426</v>
      </c>
      <c r="C28" s="39">
        <f>Indice!$I$12</f>
        <v>46053</v>
      </c>
      <c r="E28">
        <f>ROUND(SUMIFS(CATEGORIAS[[#All],[TOTAL PRODUCCION
ACTUAL]],CATEGORIAS[[#All],[CATEGORIA2]],Imputar[[#This Row],[Categoría]]),0)</f>
        <v>0</v>
      </c>
      <c r="F28">
        <v>0</v>
      </c>
      <c r="G28">
        <f>ROUND(SUMIFS(CATEGORIAS[[#All],[PROYECCION
DE INGRESO
DEL SALDO]],CATEGORIAS[[#All],[CATEGORIA2]],Imputar[[#This Row],[Categoría]]),0)</f>
        <v>0</v>
      </c>
      <c r="H28">
        <f>ROUND(SUMIFS(CATEGORIAS[[#All],[CAMBIO DE
CATEGORIA]],CATEGORIAS[[#All],[CATEGORIA2]],Imputar[[#This Row],[Categoría]]),0)</f>
        <v>0</v>
      </c>
      <c r="I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">
        <f>+ROUND(SUMIFS(CATEGORIAS[[#All],[PROYECCION
TOTAL DE COSTO]],CATEGORIAS[[#All],[CATEGORIA2]],Imputar[[#This Row],[Categoría]]),0)
-Imputar[[#This Row],[Inventario]]
-Imputar[[#This Row],[Pedidos no Rec]]</f>
        <v>0</v>
      </c>
      <c r="K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">
        <f>_xlfn.IFNA(VLOOKUP(Imputar[[#This Row],[Categoría]],EIMI!C:T,8,0),0)</f>
        <v>0</v>
      </c>
      <c r="M28">
        <f>_xlfn.IFNA(VLOOKUP(Imputar[[#This Row],[Categoría]],EIMI!C:T,9,0),0)</f>
        <v>0</v>
      </c>
      <c r="N28">
        <f>_xlfn.IFNA(VLOOKUP(Imputar[[#This Row],[Categoría]],EIMI!C:T,10,0),0)</f>
        <v>0</v>
      </c>
    </row>
    <row r="29" spans="1:14" x14ac:dyDescent="0.25">
      <c r="A29" s="206" t="str">
        <f>Indice!$I$11</f>
        <v>EIMI00398</v>
      </c>
      <c r="B29" t="s">
        <v>288</v>
      </c>
      <c r="C29" s="39">
        <f>Indice!$I$12</f>
        <v>46053</v>
      </c>
      <c r="E29">
        <f>ROUND(SUMIFS(CATEGORIAS[[#All],[TOTAL PRODUCCION
ACTUAL]],CATEGORIAS[[#All],[CATEGORIA2]],Imputar[[#This Row],[Categoría]]),0)</f>
        <v>0</v>
      </c>
      <c r="F29">
        <v>0</v>
      </c>
      <c r="G29">
        <f>ROUND(SUMIFS(CATEGORIAS[[#All],[PROYECCION
DE INGRESO
DEL SALDO]],CATEGORIAS[[#All],[CATEGORIA2]],Imputar[[#This Row],[Categoría]]),0)</f>
        <v>0</v>
      </c>
      <c r="H29">
        <f>ROUND(SUMIFS(CATEGORIAS[[#All],[CAMBIO DE
CATEGORIA]],CATEGORIAS[[#All],[CATEGORIA2]],Imputar[[#This Row],[Categoría]]),0)</f>
        <v>0</v>
      </c>
      <c r="I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-7404938</v>
      </c>
      <c r="J29">
        <f>+ROUND(SUMIFS(CATEGORIAS[[#All],[PROYECCION
TOTAL DE COSTO]],CATEGORIAS[[#All],[CATEGORIA2]],Imputar[[#This Row],[Categoría]]),0)
-Imputar[[#This Row],[Inventario]]
-Imputar[[#This Row],[Pedidos no Rec]]</f>
        <v>0</v>
      </c>
      <c r="K2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29">
        <f>_xlfn.IFNA(VLOOKUP(Imputar[[#This Row],[Categoría]],EIMI!C:T,8,0),0)</f>
        <v>7404938</v>
      </c>
      <c r="M29">
        <f>_xlfn.IFNA(VLOOKUP(Imputar[[#This Row],[Categoría]],EIMI!C:T,9,0),0)</f>
        <v>0</v>
      </c>
      <c r="N29">
        <f>_xlfn.IFNA(VLOOKUP(Imputar[[#This Row],[Categoría]],EIMI!C:T,10,0),0)</f>
        <v>0</v>
      </c>
    </row>
    <row r="30" spans="1:14" x14ac:dyDescent="0.25">
      <c r="A30" s="206" t="str">
        <f>Indice!$I$11</f>
        <v>EIMI00398</v>
      </c>
      <c r="B30" t="s">
        <v>428</v>
      </c>
      <c r="C30" s="39">
        <f>Indice!$I$12</f>
        <v>46053</v>
      </c>
      <c r="E30">
        <f>ROUND(SUMIFS(CATEGORIAS[[#All],[TOTAL PRODUCCION
ACTUAL]],CATEGORIAS[[#All],[CATEGORIA2]],Imputar[[#This Row],[Categoría]]),0)</f>
        <v>0</v>
      </c>
      <c r="F30">
        <v>0</v>
      </c>
      <c r="G30">
        <f>ROUND(SUMIFS(CATEGORIAS[[#All],[PROYECCION
DE INGRESO
DEL SALDO]],CATEGORIAS[[#All],[CATEGORIA2]],Imputar[[#This Row],[Categoría]]),0)</f>
        <v>0</v>
      </c>
      <c r="H30">
        <f>ROUND(SUMIFS(CATEGORIAS[[#All],[CAMBIO DE
CATEGORIA]],CATEGORIAS[[#All],[CATEGORIA2]],Imputar[[#This Row],[Categoría]]),0)</f>
        <v>0</v>
      </c>
      <c r="I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-452991</v>
      </c>
      <c r="J30">
        <f>+ROUND(SUMIFS(CATEGORIAS[[#All],[PROYECCION
TOTAL DE COSTO]],CATEGORIAS[[#All],[CATEGORIA2]],Imputar[[#This Row],[Categoría]]),0)
-Imputar[[#This Row],[Inventario]]
-Imputar[[#This Row],[Pedidos no Rec]]</f>
        <v>0</v>
      </c>
      <c r="K3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0">
        <f>_xlfn.IFNA(VLOOKUP(Imputar[[#This Row],[Categoría]],EIMI!C:T,8,0),0)</f>
        <v>452991</v>
      </c>
      <c r="M30">
        <f>_xlfn.IFNA(VLOOKUP(Imputar[[#This Row],[Categoría]],EIMI!C:T,9,0),0)</f>
        <v>0</v>
      </c>
      <c r="N30">
        <f>_xlfn.IFNA(VLOOKUP(Imputar[[#This Row],[Categoría]],EIMI!C:T,10,0),0)</f>
        <v>0</v>
      </c>
    </row>
    <row r="31" spans="1:14" hidden="1" x14ac:dyDescent="0.25">
      <c r="A31" s="206" t="str">
        <f>Indice!$I$11</f>
        <v>EIMI00398</v>
      </c>
      <c r="B31" t="s">
        <v>434</v>
      </c>
      <c r="C31" s="39">
        <f>Indice!$I$12</f>
        <v>46053</v>
      </c>
      <c r="E31">
        <f>ROUND(SUMIFS(CATEGORIAS[[#All],[TOTAL PRODUCCION
ACTUAL]],CATEGORIAS[[#All],[CATEGORIA2]],Imputar[[#This Row],[Categoría]]),0)</f>
        <v>0</v>
      </c>
      <c r="F31">
        <v>0</v>
      </c>
      <c r="G31">
        <f>ROUND(SUMIFS(CATEGORIAS[[#All],[PROYECCION
DE INGRESO
DEL SALDO]],CATEGORIAS[[#All],[CATEGORIA2]],Imputar[[#This Row],[Categoría]]),0)</f>
        <v>0</v>
      </c>
      <c r="H31">
        <f>ROUND(SUMIFS(CATEGORIAS[[#All],[CAMBIO DE
CATEGORIA]],CATEGORIAS[[#All],[CATEGORIA2]],Imputar[[#This Row],[Categoría]]),0)</f>
        <v>0</v>
      </c>
      <c r="I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">
        <f>+ROUND(SUMIFS(CATEGORIAS[[#All],[PROYECCION
TOTAL DE COSTO]],CATEGORIAS[[#All],[CATEGORIA2]],Imputar[[#This Row],[Categoría]]),0)
-Imputar[[#This Row],[Inventario]]
-Imputar[[#This Row],[Pedidos no Rec]]</f>
        <v>0</v>
      </c>
      <c r="K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">
        <f>_xlfn.IFNA(VLOOKUP(Imputar[[#This Row],[Categoría]],EIMI!C:T,8,0),0)</f>
        <v>0</v>
      </c>
      <c r="M31">
        <f>_xlfn.IFNA(VLOOKUP(Imputar[[#This Row],[Categoría]],EIMI!C:T,9,0),0)</f>
        <v>0</v>
      </c>
      <c r="N31">
        <f>_xlfn.IFNA(VLOOKUP(Imputar[[#This Row],[Categoría]],EIMI!C:T,10,0),0)</f>
        <v>0</v>
      </c>
    </row>
    <row r="32" spans="1:14" hidden="1" x14ac:dyDescent="0.25">
      <c r="A32" s="206" t="str">
        <f>Indice!$I$11</f>
        <v>EIMI00398</v>
      </c>
      <c r="B32" t="s">
        <v>436</v>
      </c>
      <c r="C32" s="39">
        <f>Indice!$I$12</f>
        <v>46053</v>
      </c>
      <c r="E32">
        <f>ROUND(SUMIFS(CATEGORIAS[[#All],[TOTAL PRODUCCION
ACTUAL]],CATEGORIAS[[#All],[CATEGORIA2]],Imputar[[#This Row],[Categoría]]),0)</f>
        <v>0</v>
      </c>
      <c r="F32">
        <v>0</v>
      </c>
      <c r="G32">
        <f>ROUND(SUMIFS(CATEGORIAS[[#All],[PROYECCION
DE INGRESO
DEL SALDO]],CATEGORIAS[[#All],[CATEGORIA2]],Imputar[[#This Row],[Categoría]]),0)</f>
        <v>0</v>
      </c>
      <c r="H32">
        <f>ROUND(SUMIFS(CATEGORIAS[[#All],[CAMBIO DE
CATEGORIA]],CATEGORIAS[[#All],[CATEGORIA2]],Imputar[[#This Row],[Categoría]]),0)</f>
        <v>0</v>
      </c>
      <c r="I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">
        <f>+ROUND(SUMIFS(CATEGORIAS[[#All],[PROYECCION
TOTAL DE COSTO]],CATEGORIAS[[#All],[CATEGORIA2]],Imputar[[#This Row],[Categoría]]),0)
-Imputar[[#This Row],[Inventario]]
-Imputar[[#This Row],[Pedidos no Rec]]</f>
        <v>0</v>
      </c>
      <c r="K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">
        <f>_xlfn.IFNA(VLOOKUP(Imputar[[#This Row],[Categoría]],EIMI!C:T,8,0),0)</f>
        <v>0</v>
      </c>
      <c r="M32">
        <f>_xlfn.IFNA(VLOOKUP(Imputar[[#This Row],[Categoría]],EIMI!C:T,9,0),0)</f>
        <v>0</v>
      </c>
      <c r="N32">
        <f>_xlfn.IFNA(VLOOKUP(Imputar[[#This Row],[Categoría]],EIMI!C:T,10,0),0)</f>
        <v>0</v>
      </c>
    </row>
    <row r="33" spans="1:14" hidden="1" x14ac:dyDescent="0.25">
      <c r="A33" s="206" t="str">
        <f>Indice!$I$11</f>
        <v>EIMI00398</v>
      </c>
      <c r="B33" t="s">
        <v>438</v>
      </c>
      <c r="C33" s="39">
        <f>Indice!$I$12</f>
        <v>46053</v>
      </c>
      <c r="E33">
        <f>ROUND(SUMIFS(CATEGORIAS[[#All],[TOTAL PRODUCCION
ACTUAL]],CATEGORIAS[[#All],[CATEGORIA2]],Imputar[[#This Row],[Categoría]]),0)</f>
        <v>0</v>
      </c>
      <c r="F33">
        <v>0</v>
      </c>
      <c r="G33">
        <f>ROUND(SUMIFS(CATEGORIAS[[#All],[PROYECCION
DE INGRESO
DEL SALDO]],CATEGORIAS[[#All],[CATEGORIA2]],Imputar[[#This Row],[Categoría]]),0)</f>
        <v>0</v>
      </c>
      <c r="H33">
        <f>ROUND(SUMIFS(CATEGORIAS[[#All],[CAMBIO DE
CATEGORIA]],CATEGORIAS[[#All],[CATEGORIA2]],Imputar[[#This Row],[Categoría]]),0)</f>
        <v>0</v>
      </c>
      <c r="I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">
        <f>+ROUND(SUMIFS(CATEGORIAS[[#All],[PROYECCION
TOTAL DE COSTO]],CATEGORIAS[[#All],[CATEGORIA2]],Imputar[[#This Row],[Categoría]]),0)
-Imputar[[#This Row],[Inventario]]
-Imputar[[#This Row],[Pedidos no Rec]]</f>
        <v>0</v>
      </c>
      <c r="K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">
        <f>_xlfn.IFNA(VLOOKUP(Imputar[[#This Row],[Categoría]],EIMI!C:T,8,0),0)</f>
        <v>0</v>
      </c>
      <c r="M33">
        <f>_xlfn.IFNA(VLOOKUP(Imputar[[#This Row],[Categoría]],EIMI!C:T,9,0),0)</f>
        <v>0</v>
      </c>
      <c r="N33">
        <f>_xlfn.IFNA(VLOOKUP(Imputar[[#This Row],[Categoría]],EIMI!C:T,10,0),0)</f>
        <v>0</v>
      </c>
    </row>
    <row r="34" spans="1:14" x14ac:dyDescent="0.25">
      <c r="A34" s="206" t="str">
        <f>Indice!$I$11</f>
        <v>EIMI00398</v>
      </c>
      <c r="B34" t="s">
        <v>440</v>
      </c>
      <c r="C34" s="39">
        <f>Indice!$I$12</f>
        <v>46053</v>
      </c>
      <c r="E34">
        <f>ROUND(SUMIFS(CATEGORIAS[[#All],[TOTAL PRODUCCION
ACTUAL]],CATEGORIAS[[#All],[CATEGORIA2]],Imputar[[#This Row],[Categoría]]),0)</f>
        <v>0</v>
      </c>
      <c r="F34">
        <v>0</v>
      </c>
      <c r="G34">
        <f>ROUND(SUMIFS(CATEGORIAS[[#All],[PROYECCION
DE INGRESO
DEL SALDO]],CATEGORIAS[[#All],[CATEGORIA2]],Imputar[[#This Row],[Categoría]]),0)</f>
        <v>0</v>
      </c>
      <c r="H34">
        <f>ROUND(SUMIFS(CATEGORIAS[[#All],[CAMBIO DE
CATEGORIA]],CATEGORIAS[[#All],[CATEGORIA2]],Imputar[[#This Row],[Categoría]]),0)</f>
        <v>0</v>
      </c>
      <c r="I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-182627191</v>
      </c>
      <c r="J34">
        <f>+ROUND(SUMIFS(CATEGORIAS[[#All],[PROYECCION
TOTAL DE COSTO]],CATEGORIAS[[#All],[CATEGORIA2]],Imputar[[#This Row],[Categoría]]),0)
-Imputar[[#This Row],[Inventario]]
-Imputar[[#This Row],[Pedidos no Rec]]</f>
        <v>0</v>
      </c>
      <c r="K3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">
        <f>_xlfn.IFNA(VLOOKUP(Imputar[[#This Row],[Categoría]],EIMI!C:T,8,0),0)</f>
        <v>182627191</v>
      </c>
      <c r="M34">
        <f>_xlfn.IFNA(VLOOKUP(Imputar[[#This Row],[Categoría]],EIMI!C:T,9,0),0)</f>
        <v>0</v>
      </c>
      <c r="N34">
        <f>_xlfn.IFNA(VLOOKUP(Imputar[[#This Row],[Categoría]],EIMI!C:T,10,0),0)</f>
        <v>0</v>
      </c>
    </row>
    <row r="35" spans="1:14" x14ac:dyDescent="0.25">
      <c r="A35" s="206" t="str">
        <f>Indice!$I$11</f>
        <v>EIMI00398</v>
      </c>
      <c r="B35" t="s">
        <v>442</v>
      </c>
      <c r="C35" s="39">
        <f>Indice!$I$12</f>
        <v>46053</v>
      </c>
      <c r="E35">
        <f>ROUND(SUMIFS(CATEGORIAS[[#All],[TOTAL PRODUCCION
ACTUAL]],CATEGORIAS[[#All],[CATEGORIA2]],Imputar[[#This Row],[Categoría]]),0)</f>
        <v>0</v>
      </c>
      <c r="F35">
        <v>0</v>
      </c>
      <c r="G35">
        <f>ROUND(SUMIFS(CATEGORIAS[[#All],[PROYECCION
DE INGRESO
DEL SALDO]],CATEGORIAS[[#All],[CATEGORIA2]],Imputar[[#This Row],[Categoría]]),0)</f>
        <v>0</v>
      </c>
      <c r="H35">
        <f>ROUND(SUMIFS(CATEGORIAS[[#All],[CAMBIO DE
CATEGORIA]],CATEGORIAS[[#All],[CATEGORIA2]],Imputar[[#This Row],[Categoría]]),0)</f>
        <v>0</v>
      </c>
      <c r="I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-73492012</v>
      </c>
      <c r="J35">
        <f>+ROUND(SUMIFS(CATEGORIAS[[#All],[PROYECCION
TOTAL DE COSTO]],CATEGORIAS[[#All],[CATEGORIA2]],Imputar[[#This Row],[Categoría]]),0)
-Imputar[[#This Row],[Inventario]]
-Imputar[[#This Row],[Pedidos no Rec]]</f>
        <v>0</v>
      </c>
      <c r="K3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">
        <f>_xlfn.IFNA(VLOOKUP(Imputar[[#This Row],[Categoría]],EIMI!C:T,8,0),0)</f>
        <v>73492012</v>
      </c>
      <c r="M35">
        <f>_xlfn.IFNA(VLOOKUP(Imputar[[#This Row],[Categoría]],EIMI!C:T,9,0),0)</f>
        <v>0</v>
      </c>
      <c r="N35">
        <f>_xlfn.IFNA(VLOOKUP(Imputar[[#This Row],[Categoría]],EIMI!C:T,10,0),0)</f>
        <v>0</v>
      </c>
    </row>
    <row r="36" spans="1:14" x14ac:dyDescent="0.25">
      <c r="A36" s="206" t="str">
        <f>Indice!$I$11</f>
        <v>EIMI00398</v>
      </c>
      <c r="B36" t="s">
        <v>444</v>
      </c>
      <c r="C36" s="39">
        <f>Indice!$I$12</f>
        <v>46053</v>
      </c>
      <c r="E36">
        <f>ROUND(SUMIFS(CATEGORIAS[[#All],[TOTAL PRODUCCION
ACTUAL]],CATEGORIAS[[#All],[CATEGORIA2]],Imputar[[#This Row],[Categoría]]),0)</f>
        <v>0</v>
      </c>
      <c r="F36">
        <v>0</v>
      </c>
      <c r="G36">
        <f>ROUND(SUMIFS(CATEGORIAS[[#All],[PROYECCION
DE INGRESO
DEL SALDO]],CATEGORIAS[[#All],[CATEGORIA2]],Imputar[[#This Row],[Categoría]]),0)</f>
        <v>0</v>
      </c>
      <c r="H36">
        <f>ROUND(SUMIFS(CATEGORIAS[[#All],[CAMBIO DE
CATEGORIA]],CATEGORIAS[[#All],[CATEGORIA2]],Imputar[[#This Row],[Categoría]]),0)</f>
        <v>0</v>
      </c>
      <c r="I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-16524772</v>
      </c>
      <c r="J36">
        <f>+ROUND(SUMIFS(CATEGORIAS[[#All],[PROYECCION
TOTAL DE COSTO]],CATEGORIAS[[#All],[CATEGORIA2]],Imputar[[#This Row],[Categoría]]),0)
-Imputar[[#This Row],[Inventario]]
-Imputar[[#This Row],[Pedidos no Rec]]</f>
        <v>0</v>
      </c>
      <c r="K3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6">
        <f>_xlfn.IFNA(VLOOKUP(Imputar[[#This Row],[Categoría]],EIMI!C:T,8,0),0)</f>
        <v>16524772</v>
      </c>
      <c r="M36">
        <f>_xlfn.IFNA(VLOOKUP(Imputar[[#This Row],[Categoría]],EIMI!C:T,9,0),0)</f>
        <v>0</v>
      </c>
      <c r="N36">
        <f>_xlfn.IFNA(VLOOKUP(Imputar[[#This Row],[Categoría]],EIMI!C:T,10,0),0)</f>
        <v>0</v>
      </c>
    </row>
    <row r="37" spans="1:14" x14ac:dyDescent="0.25">
      <c r="A37" s="206" t="str">
        <f>Indice!$I$11</f>
        <v>EIMI00398</v>
      </c>
      <c r="B37" t="s">
        <v>446</v>
      </c>
      <c r="C37" s="39">
        <f>Indice!$I$12</f>
        <v>46053</v>
      </c>
      <c r="E37">
        <f>ROUND(SUMIFS(CATEGORIAS[[#All],[TOTAL PRODUCCION
ACTUAL]],CATEGORIAS[[#All],[CATEGORIA2]],Imputar[[#This Row],[Categoría]]),0)</f>
        <v>0</v>
      </c>
      <c r="F37">
        <v>0</v>
      </c>
      <c r="G37">
        <f>ROUND(SUMIFS(CATEGORIAS[[#All],[PROYECCION
DE INGRESO
DEL SALDO]],CATEGORIAS[[#All],[CATEGORIA2]],Imputar[[#This Row],[Categoría]]),0)</f>
        <v>0</v>
      </c>
      <c r="H37">
        <f>ROUND(SUMIFS(CATEGORIAS[[#All],[CAMBIO DE
CATEGORIA]],CATEGORIAS[[#All],[CATEGORIA2]],Imputar[[#This Row],[Categoría]]),0)</f>
        <v>0</v>
      </c>
      <c r="I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-17338026</v>
      </c>
      <c r="J37">
        <f>+ROUND(SUMIFS(CATEGORIAS[[#All],[PROYECCION
TOTAL DE COSTO]],CATEGORIAS[[#All],[CATEGORIA2]],Imputar[[#This Row],[Categoría]]),0)
-Imputar[[#This Row],[Inventario]]
-Imputar[[#This Row],[Pedidos no Rec]]</f>
        <v>0</v>
      </c>
      <c r="K3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">
        <f>_xlfn.IFNA(VLOOKUP(Imputar[[#This Row],[Categoría]],EIMI!C:T,8,0),0)</f>
        <v>17338026</v>
      </c>
      <c r="M37">
        <f>_xlfn.IFNA(VLOOKUP(Imputar[[#This Row],[Categoría]],EIMI!C:T,9,0),0)</f>
        <v>0</v>
      </c>
      <c r="N37">
        <f>_xlfn.IFNA(VLOOKUP(Imputar[[#This Row],[Categoría]],EIMI!C:T,10,0),0)</f>
        <v>0</v>
      </c>
    </row>
    <row r="38" spans="1:14" x14ac:dyDescent="0.25">
      <c r="A38" s="206" t="str">
        <f>Indice!$I$11</f>
        <v>EIMI00398</v>
      </c>
      <c r="B38" t="s">
        <v>448</v>
      </c>
      <c r="C38" s="39">
        <f>Indice!$I$12</f>
        <v>46053</v>
      </c>
      <c r="E38">
        <f>ROUND(SUMIFS(CATEGORIAS[[#All],[TOTAL PRODUCCION
ACTUAL]],CATEGORIAS[[#All],[CATEGORIA2]],Imputar[[#This Row],[Categoría]]),0)</f>
        <v>0</v>
      </c>
      <c r="F38">
        <v>0</v>
      </c>
      <c r="G38">
        <f>ROUND(SUMIFS(CATEGORIAS[[#All],[PROYECCION
DE INGRESO
DEL SALDO]],CATEGORIAS[[#All],[CATEGORIA2]],Imputar[[#This Row],[Categoría]]),0)</f>
        <v>0</v>
      </c>
      <c r="H38">
        <f>ROUND(SUMIFS(CATEGORIAS[[#All],[CAMBIO DE
CATEGORIA]],CATEGORIAS[[#All],[CATEGORIA2]],Imputar[[#This Row],[Categoría]]),0)</f>
        <v>0</v>
      </c>
      <c r="I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-34752716</v>
      </c>
      <c r="J38">
        <f>+ROUND(SUMIFS(CATEGORIAS[[#All],[PROYECCION
TOTAL DE COSTO]],CATEGORIAS[[#All],[CATEGORIA2]],Imputar[[#This Row],[Categoría]]),0)
-Imputar[[#This Row],[Inventario]]
-Imputar[[#This Row],[Pedidos no Rec]]</f>
        <v>0</v>
      </c>
      <c r="K3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">
        <f>_xlfn.IFNA(VLOOKUP(Imputar[[#This Row],[Categoría]],EIMI!C:T,8,0),0)</f>
        <v>34752716</v>
      </c>
      <c r="M38">
        <f>_xlfn.IFNA(VLOOKUP(Imputar[[#This Row],[Categoría]],EIMI!C:T,9,0),0)</f>
        <v>0</v>
      </c>
      <c r="N38">
        <f>_xlfn.IFNA(VLOOKUP(Imputar[[#This Row],[Categoría]],EIMI!C:T,10,0),0)</f>
        <v>0</v>
      </c>
    </row>
    <row r="39" spans="1:14" x14ac:dyDescent="0.25">
      <c r="A39" s="206" t="str">
        <f>Indice!$I$11</f>
        <v>EIMI00398</v>
      </c>
      <c r="B39" t="s">
        <v>450</v>
      </c>
      <c r="C39" s="39">
        <f>Indice!$I$12</f>
        <v>46053</v>
      </c>
      <c r="E39">
        <f>ROUND(SUMIFS(CATEGORIAS[[#All],[TOTAL PRODUCCION
ACTUAL]],CATEGORIAS[[#All],[CATEGORIA2]],Imputar[[#This Row],[Categoría]]),0)</f>
        <v>0</v>
      </c>
      <c r="F39">
        <v>0</v>
      </c>
      <c r="G39">
        <f>ROUND(SUMIFS(CATEGORIAS[[#All],[PROYECCION
DE INGRESO
DEL SALDO]],CATEGORIAS[[#All],[CATEGORIA2]],Imputar[[#This Row],[Categoría]]),0)</f>
        <v>0</v>
      </c>
      <c r="H39">
        <f>ROUND(SUMIFS(CATEGORIAS[[#All],[CAMBIO DE
CATEGORIA]],CATEGORIAS[[#All],[CATEGORIA2]],Imputar[[#This Row],[Categoría]]),0)</f>
        <v>0</v>
      </c>
      <c r="I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">
        <f>+ROUND(SUMIFS(CATEGORIAS[[#All],[PROYECCION
TOTAL DE COSTO]],CATEGORIAS[[#All],[CATEGORIA2]],Imputar[[#This Row],[Categoría]]),0)
-Imputar[[#This Row],[Inventario]]
-Imputar[[#This Row],[Pedidos no Rec]]</f>
        <v>0</v>
      </c>
      <c r="K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">
        <f>_xlfn.IFNA(VLOOKUP(Imputar[[#This Row],[Categoría]],EIMI!C:T,8,0),0)</f>
        <v>0</v>
      </c>
      <c r="M39">
        <f>_xlfn.IFNA(VLOOKUP(Imputar[[#This Row],[Categoría]],EIMI!C:T,9,0),0)</f>
        <v>0</v>
      </c>
      <c r="N39">
        <f>_xlfn.IFNA(VLOOKUP(Imputar[[#This Row],[Categoría]],EIMI!C:T,10,0),0)</f>
        <v>0</v>
      </c>
    </row>
    <row r="40" spans="1:14" x14ac:dyDescent="0.25">
      <c r="A40" s="206" t="str">
        <f>Indice!$I$11</f>
        <v>EIMI00398</v>
      </c>
      <c r="B40" t="s">
        <v>452</v>
      </c>
      <c r="C40" s="39">
        <f>Indice!$I$12</f>
        <v>46053</v>
      </c>
      <c r="E40">
        <f>ROUND(SUMIFS(CATEGORIAS[[#All],[TOTAL PRODUCCION
ACTUAL]],CATEGORIAS[[#All],[CATEGORIA2]],Imputar[[#This Row],[Categoría]]),0)</f>
        <v>0</v>
      </c>
      <c r="F40">
        <v>0</v>
      </c>
      <c r="G40">
        <f>ROUND(SUMIFS(CATEGORIAS[[#All],[PROYECCION
DE INGRESO
DEL SALDO]],CATEGORIAS[[#All],[CATEGORIA2]],Imputar[[#This Row],[Categoría]]),0)</f>
        <v>0</v>
      </c>
      <c r="H40">
        <f>ROUND(SUMIFS(CATEGORIAS[[#All],[CAMBIO DE
CATEGORIA]],CATEGORIAS[[#All],[CATEGORIA2]],Imputar[[#This Row],[Categoría]]),0)</f>
        <v>0</v>
      </c>
      <c r="I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-30722107</v>
      </c>
      <c r="J40">
        <f>+ROUND(SUMIFS(CATEGORIAS[[#All],[PROYECCION
TOTAL DE COSTO]],CATEGORIAS[[#All],[CATEGORIA2]],Imputar[[#This Row],[Categoría]]),0)
-Imputar[[#This Row],[Inventario]]
-Imputar[[#This Row],[Pedidos no Rec]]</f>
        <v>0</v>
      </c>
      <c r="K4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">
        <f>_xlfn.IFNA(VLOOKUP(Imputar[[#This Row],[Categoría]],EIMI!C:T,8,0),0)</f>
        <v>30722107</v>
      </c>
      <c r="M40">
        <f>_xlfn.IFNA(VLOOKUP(Imputar[[#This Row],[Categoría]],EIMI!C:T,9,0),0)</f>
        <v>0</v>
      </c>
      <c r="N40">
        <f>_xlfn.IFNA(VLOOKUP(Imputar[[#This Row],[Categoría]],EIMI!C:T,10,0),0)</f>
        <v>0</v>
      </c>
    </row>
    <row r="41" spans="1:14" x14ac:dyDescent="0.25">
      <c r="A41" s="206" t="str">
        <f>Indice!$I$11</f>
        <v>EIMI00398</v>
      </c>
      <c r="B41" t="s">
        <v>454</v>
      </c>
      <c r="C41" s="39">
        <f>Indice!$I$12</f>
        <v>46053</v>
      </c>
      <c r="E41">
        <f>ROUND(SUMIFS(CATEGORIAS[[#All],[TOTAL PRODUCCION
ACTUAL]],CATEGORIAS[[#All],[CATEGORIA2]],Imputar[[#This Row],[Categoría]]),0)</f>
        <v>0</v>
      </c>
      <c r="F41">
        <v>0</v>
      </c>
      <c r="G41">
        <f>ROUND(SUMIFS(CATEGORIAS[[#All],[PROYECCION
DE INGRESO
DEL SALDO]],CATEGORIAS[[#All],[CATEGORIA2]],Imputar[[#This Row],[Categoría]]),0)</f>
        <v>0</v>
      </c>
      <c r="H41">
        <f>ROUND(SUMIFS(CATEGORIAS[[#All],[CAMBIO DE
CATEGORIA]],CATEGORIAS[[#All],[CATEGORIA2]],Imputar[[#This Row],[Categoría]]),0)</f>
        <v>0</v>
      </c>
      <c r="I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-46772446</v>
      </c>
      <c r="J41">
        <f>+ROUND(SUMIFS(CATEGORIAS[[#All],[PROYECCION
TOTAL DE COSTO]],CATEGORIAS[[#All],[CATEGORIA2]],Imputar[[#This Row],[Categoría]]),0)
-Imputar[[#This Row],[Inventario]]
-Imputar[[#This Row],[Pedidos no Rec]]</f>
        <v>-5726619</v>
      </c>
      <c r="K4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1">
        <f>_xlfn.IFNA(VLOOKUP(Imputar[[#This Row],[Categoría]],EIMI!C:T,8,0),0)</f>
        <v>46772446</v>
      </c>
      <c r="M41">
        <f>_xlfn.IFNA(VLOOKUP(Imputar[[#This Row],[Categoría]],EIMI!C:T,9,0),0)</f>
        <v>5672319</v>
      </c>
      <c r="N41">
        <f>_xlfn.IFNA(VLOOKUP(Imputar[[#This Row],[Categoría]],EIMI!C:T,10,0),0)</f>
        <v>54300</v>
      </c>
    </row>
    <row r="42" spans="1:14" hidden="1" x14ac:dyDescent="0.25">
      <c r="A42" s="206" t="str">
        <f>Indice!$I$11</f>
        <v>EIMI00398</v>
      </c>
      <c r="B42" t="s">
        <v>456</v>
      </c>
      <c r="C42" s="39">
        <f>Indice!$I$12</f>
        <v>46053</v>
      </c>
      <c r="E42">
        <f>ROUND(SUMIFS(CATEGORIAS[[#All],[TOTAL PRODUCCION
ACTUAL]],CATEGORIAS[[#All],[CATEGORIA2]],Imputar[[#This Row],[Categoría]]),0)</f>
        <v>0</v>
      </c>
      <c r="F42">
        <v>0</v>
      </c>
      <c r="G42">
        <f>ROUND(SUMIFS(CATEGORIAS[[#All],[PROYECCION
DE INGRESO
DEL SALDO]],CATEGORIAS[[#All],[CATEGORIA2]],Imputar[[#This Row],[Categoría]]),0)</f>
        <v>0</v>
      </c>
      <c r="H42">
        <f>ROUND(SUMIFS(CATEGORIAS[[#All],[CAMBIO DE
CATEGORIA]],CATEGORIAS[[#All],[CATEGORIA2]],Imputar[[#This Row],[Categoría]]),0)</f>
        <v>0</v>
      </c>
      <c r="I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">
        <f>+ROUND(SUMIFS(CATEGORIAS[[#All],[PROYECCION
TOTAL DE COSTO]],CATEGORIAS[[#All],[CATEGORIA2]],Imputar[[#This Row],[Categoría]]),0)
-Imputar[[#This Row],[Inventario]]
-Imputar[[#This Row],[Pedidos no Rec]]</f>
        <v>0</v>
      </c>
      <c r="K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">
        <f>_xlfn.IFNA(VLOOKUP(Imputar[[#This Row],[Categoría]],EIMI!C:T,8,0),0)</f>
        <v>0</v>
      </c>
      <c r="M42">
        <f>_xlfn.IFNA(VLOOKUP(Imputar[[#This Row],[Categoría]],EIMI!C:T,9,0),0)</f>
        <v>0</v>
      </c>
      <c r="N42">
        <f>_xlfn.IFNA(VLOOKUP(Imputar[[#This Row],[Categoría]],EIMI!C:T,10,0),0)</f>
        <v>0</v>
      </c>
    </row>
    <row r="43" spans="1:14" x14ac:dyDescent="0.25">
      <c r="A43" s="206" t="str">
        <f>Indice!$I$11</f>
        <v>EIMI00398</v>
      </c>
      <c r="B43" t="s">
        <v>461</v>
      </c>
      <c r="C43" s="39">
        <f>Indice!$I$12</f>
        <v>46053</v>
      </c>
      <c r="E43">
        <f>ROUND(SUMIFS(CATEGORIAS[[#All],[TOTAL PRODUCCION
ACTUAL]],CATEGORIAS[[#All],[CATEGORIA2]],Imputar[[#This Row],[Categoría]]),0)</f>
        <v>0</v>
      </c>
      <c r="F43">
        <v>0</v>
      </c>
      <c r="G43">
        <f>ROUND(SUMIFS(CATEGORIAS[[#All],[PROYECCION
DE INGRESO
DEL SALDO]],CATEGORIAS[[#All],[CATEGORIA2]],Imputar[[#This Row],[Categoría]]),0)</f>
        <v>0</v>
      </c>
      <c r="H43">
        <f>ROUND(SUMIFS(CATEGORIAS[[#All],[CAMBIO DE
CATEGORIA]],CATEGORIAS[[#All],[CATEGORIA2]],Imputar[[#This Row],[Categoría]]),0)</f>
        <v>0</v>
      </c>
      <c r="I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-5195084</v>
      </c>
      <c r="J43">
        <f>+ROUND(SUMIFS(CATEGORIAS[[#All],[PROYECCION
TOTAL DE COSTO]],CATEGORIAS[[#All],[CATEGORIA2]],Imputar[[#This Row],[Categoría]]),0)
-Imputar[[#This Row],[Inventario]]
-Imputar[[#This Row],[Pedidos no Rec]]</f>
        <v>-272800</v>
      </c>
      <c r="K4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">
        <f>_xlfn.IFNA(VLOOKUP(Imputar[[#This Row],[Categoría]],EIMI!C:T,8,0),0)</f>
        <v>5195084</v>
      </c>
      <c r="M43">
        <f>_xlfn.IFNA(VLOOKUP(Imputar[[#This Row],[Categoría]],EIMI!C:T,9,0),0)</f>
        <v>0</v>
      </c>
      <c r="N43">
        <f>_xlfn.IFNA(VLOOKUP(Imputar[[#This Row],[Categoría]],EIMI!C:T,10,0),0)</f>
        <v>272800</v>
      </c>
    </row>
    <row r="44" spans="1:14" hidden="1" x14ac:dyDescent="0.25">
      <c r="A44" s="206" t="str">
        <f>Indice!$I$11</f>
        <v>EIMI00398</v>
      </c>
      <c r="B44" t="s">
        <v>463</v>
      </c>
      <c r="C44" s="39">
        <f>Indice!$I$12</f>
        <v>46053</v>
      </c>
      <c r="E44">
        <f>ROUND(SUMIFS(CATEGORIAS[[#All],[TOTAL PRODUCCION
ACTUAL]],CATEGORIAS[[#All],[CATEGORIA2]],Imputar[[#This Row],[Categoría]]),0)</f>
        <v>0</v>
      </c>
      <c r="F44">
        <v>0</v>
      </c>
      <c r="G44">
        <f>ROUND(SUMIFS(CATEGORIAS[[#All],[PROYECCION
DE INGRESO
DEL SALDO]],CATEGORIAS[[#All],[CATEGORIA2]],Imputar[[#This Row],[Categoría]]),0)</f>
        <v>0</v>
      </c>
      <c r="H44">
        <f>ROUND(SUMIFS(CATEGORIAS[[#All],[CAMBIO DE
CATEGORIA]],CATEGORIAS[[#All],[CATEGORIA2]],Imputar[[#This Row],[Categoría]]),0)</f>
        <v>0</v>
      </c>
      <c r="I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">
        <f>+ROUND(SUMIFS(CATEGORIAS[[#All],[PROYECCION
TOTAL DE COSTO]],CATEGORIAS[[#All],[CATEGORIA2]],Imputar[[#This Row],[Categoría]]),0)
-Imputar[[#This Row],[Inventario]]
-Imputar[[#This Row],[Pedidos no Rec]]</f>
        <v>0</v>
      </c>
      <c r="K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">
        <f>_xlfn.IFNA(VLOOKUP(Imputar[[#This Row],[Categoría]],EIMI!C:T,8,0),0)</f>
        <v>0</v>
      </c>
      <c r="M44">
        <f>_xlfn.IFNA(VLOOKUP(Imputar[[#This Row],[Categoría]],EIMI!C:T,9,0),0)</f>
        <v>0</v>
      </c>
      <c r="N44">
        <f>_xlfn.IFNA(VLOOKUP(Imputar[[#This Row],[Categoría]],EIMI!C:T,10,0),0)</f>
        <v>0</v>
      </c>
    </row>
    <row r="45" spans="1:14" hidden="1" x14ac:dyDescent="0.25">
      <c r="A45" s="206" t="str">
        <f>Indice!$I$11</f>
        <v>EIMI00398</v>
      </c>
      <c r="B45" t="s">
        <v>465</v>
      </c>
      <c r="C45" s="39">
        <f>Indice!$I$12</f>
        <v>46053</v>
      </c>
      <c r="E45">
        <f>ROUND(SUMIFS(CATEGORIAS[[#All],[TOTAL PRODUCCION
ACTUAL]],CATEGORIAS[[#All],[CATEGORIA2]],Imputar[[#This Row],[Categoría]]),0)</f>
        <v>0</v>
      </c>
      <c r="F45">
        <v>0</v>
      </c>
      <c r="G45">
        <f>ROUND(SUMIFS(CATEGORIAS[[#All],[PROYECCION
DE INGRESO
DEL SALDO]],CATEGORIAS[[#All],[CATEGORIA2]],Imputar[[#This Row],[Categoría]]),0)</f>
        <v>0</v>
      </c>
      <c r="H45">
        <f>ROUND(SUMIFS(CATEGORIAS[[#All],[CAMBIO DE
CATEGORIA]],CATEGORIAS[[#All],[CATEGORIA2]],Imputar[[#This Row],[Categoría]]),0)</f>
        <v>0</v>
      </c>
      <c r="I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">
        <f>+ROUND(SUMIFS(CATEGORIAS[[#All],[PROYECCION
TOTAL DE COSTO]],CATEGORIAS[[#All],[CATEGORIA2]],Imputar[[#This Row],[Categoría]]),0)
-Imputar[[#This Row],[Inventario]]
-Imputar[[#This Row],[Pedidos no Rec]]</f>
        <v>0</v>
      </c>
      <c r="K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">
        <f>_xlfn.IFNA(VLOOKUP(Imputar[[#This Row],[Categoría]],EIMI!C:T,8,0),0)</f>
        <v>0</v>
      </c>
      <c r="M45">
        <f>_xlfn.IFNA(VLOOKUP(Imputar[[#This Row],[Categoría]],EIMI!C:T,9,0),0)</f>
        <v>0</v>
      </c>
      <c r="N45">
        <f>_xlfn.IFNA(VLOOKUP(Imputar[[#This Row],[Categoría]],EIMI!C:T,10,0),0)</f>
        <v>0</v>
      </c>
    </row>
    <row r="46" spans="1:14" hidden="1" x14ac:dyDescent="0.25">
      <c r="A46" s="206" t="str">
        <f>Indice!$I$11</f>
        <v>EIMI00398</v>
      </c>
      <c r="B46" t="s">
        <v>466</v>
      </c>
      <c r="C46" s="39">
        <f>Indice!$I$12</f>
        <v>46053</v>
      </c>
      <c r="E46">
        <f>ROUND(SUMIFS(CATEGORIAS[[#All],[TOTAL PRODUCCION
ACTUAL]],CATEGORIAS[[#All],[CATEGORIA2]],Imputar[[#This Row],[Categoría]]),0)</f>
        <v>0</v>
      </c>
      <c r="F46">
        <v>0</v>
      </c>
      <c r="G46">
        <f>ROUND(SUMIFS(CATEGORIAS[[#All],[PROYECCION
DE INGRESO
DEL SALDO]],CATEGORIAS[[#All],[CATEGORIA2]],Imputar[[#This Row],[Categoría]]),0)</f>
        <v>0</v>
      </c>
      <c r="H46">
        <f>ROUND(SUMIFS(CATEGORIAS[[#All],[CAMBIO DE
CATEGORIA]],CATEGORIAS[[#All],[CATEGORIA2]],Imputar[[#This Row],[Categoría]]),0)</f>
        <v>0</v>
      </c>
      <c r="I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">
        <f>+ROUND(SUMIFS(CATEGORIAS[[#All],[PROYECCION
TOTAL DE COSTO]],CATEGORIAS[[#All],[CATEGORIA2]],Imputar[[#This Row],[Categoría]]),0)
-Imputar[[#This Row],[Inventario]]
-Imputar[[#This Row],[Pedidos no Rec]]</f>
        <v>0</v>
      </c>
      <c r="K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">
        <f>_xlfn.IFNA(VLOOKUP(Imputar[[#This Row],[Categoría]],EIMI!C:T,8,0),0)</f>
        <v>0</v>
      </c>
      <c r="M46">
        <f>_xlfn.IFNA(VLOOKUP(Imputar[[#This Row],[Categoría]],EIMI!C:T,9,0),0)</f>
        <v>0</v>
      </c>
      <c r="N46">
        <f>_xlfn.IFNA(VLOOKUP(Imputar[[#This Row],[Categoría]],EIMI!C:T,10,0),0)</f>
        <v>0</v>
      </c>
    </row>
    <row r="47" spans="1:14" x14ac:dyDescent="0.25">
      <c r="A47" s="206" t="str">
        <f>Indice!$I$11</f>
        <v>EIMI00398</v>
      </c>
      <c r="B47" t="s">
        <v>470</v>
      </c>
      <c r="C47" s="39">
        <f>Indice!$I$12</f>
        <v>46053</v>
      </c>
      <c r="E47">
        <f>ROUND(SUMIFS(CATEGORIAS[[#All],[TOTAL PRODUCCION
ACTUAL]],CATEGORIAS[[#All],[CATEGORIA2]],Imputar[[#This Row],[Categoría]]),0)</f>
        <v>0</v>
      </c>
      <c r="F47">
        <v>0</v>
      </c>
      <c r="G47">
        <f>ROUND(SUMIFS(CATEGORIAS[[#All],[PROYECCION
DE INGRESO
DEL SALDO]],CATEGORIAS[[#All],[CATEGORIA2]],Imputar[[#This Row],[Categoría]]),0)</f>
        <v>0</v>
      </c>
      <c r="H47">
        <f>ROUND(SUMIFS(CATEGORIAS[[#All],[CAMBIO DE
CATEGORIA]],CATEGORIAS[[#All],[CATEGORIA2]],Imputar[[#This Row],[Categoría]]),0)</f>
        <v>0</v>
      </c>
      <c r="I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-16831501</v>
      </c>
      <c r="J47">
        <f>+ROUND(SUMIFS(CATEGORIAS[[#All],[PROYECCION
TOTAL DE COSTO]],CATEGORIAS[[#All],[CATEGORIA2]],Imputar[[#This Row],[Categoría]]),0)
-Imputar[[#This Row],[Inventario]]
-Imputar[[#This Row],[Pedidos no Rec]]</f>
        <v>-77500</v>
      </c>
      <c r="K4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">
        <f>_xlfn.IFNA(VLOOKUP(Imputar[[#This Row],[Categoría]],EIMI!C:T,8,0),0)</f>
        <v>16831501</v>
      </c>
      <c r="M47">
        <f>_xlfn.IFNA(VLOOKUP(Imputar[[#This Row],[Categoría]],EIMI!C:T,9,0),0)</f>
        <v>0</v>
      </c>
      <c r="N47">
        <f>_xlfn.IFNA(VLOOKUP(Imputar[[#This Row],[Categoría]],EIMI!C:T,10,0),0)</f>
        <v>77500</v>
      </c>
    </row>
    <row r="48" spans="1:14" hidden="1" x14ac:dyDescent="0.25">
      <c r="A48" s="206" t="str">
        <f>Indice!$I$11</f>
        <v>EIMI00398</v>
      </c>
      <c r="B48" t="s">
        <v>472</v>
      </c>
      <c r="C48" s="39">
        <f>Indice!$I$12</f>
        <v>46053</v>
      </c>
      <c r="E48">
        <f>ROUND(SUMIFS(CATEGORIAS[[#All],[TOTAL PRODUCCION
ACTUAL]],CATEGORIAS[[#All],[CATEGORIA2]],Imputar[[#This Row],[Categoría]]),0)</f>
        <v>0</v>
      </c>
      <c r="F48">
        <v>0</v>
      </c>
      <c r="G48">
        <f>ROUND(SUMIFS(CATEGORIAS[[#All],[PROYECCION
DE INGRESO
DEL SALDO]],CATEGORIAS[[#All],[CATEGORIA2]],Imputar[[#This Row],[Categoría]]),0)</f>
        <v>0</v>
      </c>
      <c r="H48">
        <f>ROUND(SUMIFS(CATEGORIAS[[#All],[CAMBIO DE
CATEGORIA]],CATEGORIAS[[#All],[CATEGORIA2]],Imputar[[#This Row],[Categoría]]),0)</f>
        <v>0</v>
      </c>
      <c r="I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">
        <f>+ROUND(SUMIFS(CATEGORIAS[[#All],[PROYECCION
TOTAL DE COSTO]],CATEGORIAS[[#All],[CATEGORIA2]],Imputar[[#This Row],[Categoría]]),0)
-Imputar[[#This Row],[Inventario]]
-Imputar[[#This Row],[Pedidos no Rec]]</f>
        <v>0</v>
      </c>
      <c r="K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">
        <f>_xlfn.IFNA(VLOOKUP(Imputar[[#This Row],[Categoría]],EIMI!C:T,8,0),0)</f>
        <v>0</v>
      </c>
      <c r="M48">
        <f>_xlfn.IFNA(VLOOKUP(Imputar[[#This Row],[Categoría]],EIMI!C:T,9,0),0)</f>
        <v>0</v>
      </c>
      <c r="N48">
        <f>_xlfn.IFNA(VLOOKUP(Imputar[[#This Row],[Categoría]],EIMI!C:T,10,0),0)</f>
        <v>0</v>
      </c>
    </row>
    <row r="49" spans="1:14" x14ac:dyDescent="0.25">
      <c r="A49" s="206" t="str">
        <f>Indice!$I$11</f>
        <v>EIMI00398</v>
      </c>
      <c r="B49" t="s">
        <v>474</v>
      </c>
      <c r="C49" s="39">
        <f>Indice!$I$12</f>
        <v>46053</v>
      </c>
      <c r="E49">
        <f>ROUND(SUMIFS(CATEGORIAS[[#All],[TOTAL PRODUCCION
ACTUAL]],CATEGORIAS[[#All],[CATEGORIA2]],Imputar[[#This Row],[Categoría]]),0)</f>
        <v>0</v>
      </c>
      <c r="F49">
        <v>0</v>
      </c>
      <c r="G49">
        <f>ROUND(SUMIFS(CATEGORIAS[[#All],[PROYECCION
DE INGRESO
DEL SALDO]],CATEGORIAS[[#All],[CATEGORIA2]],Imputar[[#This Row],[Categoría]]),0)</f>
        <v>0</v>
      </c>
      <c r="H49">
        <f>ROUND(SUMIFS(CATEGORIAS[[#All],[CAMBIO DE
CATEGORIA]],CATEGORIAS[[#All],[CATEGORIA2]],Imputar[[#This Row],[Categoría]]),0)</f>
        <v>0</v>
      </c>
      <c r="I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-352517</v>
      </c>
      <c r="J49">
        <f>+ROUND(SUMIFS(CATEGORIAS[[#All],[PROYECCION
TOTAL DE COSTO]],CATEGORIAS[[#All],[CATEGORIA2]],Imputar[[#This Row],[Categoría]]),0)
-Imputar[[#This Row],[Inventario]]
-Imputar[[#This Row],[Pedidos no Rec]]</f>
        <v>0</v>
      </c>
      <c r="K4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">
        <f>_xlfn.IFNA(VLOOKUP(Imputar[[#This Row],[Categoría]],EIMI!C:T,8,0),0)</f>
        <v>352517</v>
      </c>
      <c r="M49">
        <f>_xlfn.IFNA(VLOOKUP(Imputar[[#This Row],[Categoría]],EIMI!C:T,9,0),0)</f>
        <v>0</v>
      </c>
      <c r="N49">
        <f>_xlfn.IFNA(VLOOKUP(Imputar[[#This Row],[Categoría]],EIMI!C:T,10,0),0)</f>
        <v>0</v>
      </c>
    </row>
    <row r="50" spans="1:14" x14ac:dyDescent="0.25">
      <c r="A50" s="206" t="str">
        <f>Indice!$I$11</f>
        <v>EIMI00398</v>
      </c>
      <c r="B50" t="s">
        <v>476</v>
      </c>
      <c r="C50" s="39">
        <f>Indice!$I$12</f>
        <v>46053</v>
      </c>
      <c r="E50">
        <f>ROUND(SUMIFS(CATEGORIAS[[#All],[TOTAL PRODUCCION
ACTUAL]],CATEGORIAS[[#All],[CATEGORIA2]],Imputar[[#This Row],[Categoría]]),0)</f>
        <v>0</v>
      </c>
      <c r="F50">
        <v>0</v>
      </c>
      <c r="G50">
        <f>ROUND(SUMIFS(CATEGORIAS[[#All],[PROYECCION
DE INGRESO
DEL SALDO]],CATEGORIAS[[#All],[CATEGORIA2]],Imputar[[#This Row],[Categoría]]),0)</f>
        <v>0</v>
      </c>
      <c r="H50">
        <f>ROUND(SUMIFS(CATEGORIAS[[#All],[CAMBIO DE
CATEGORIA]],CATEGORIAS[[#All],[CATEGORIA2]],Imputar[[#This Row],[Categoría]]),0)</f>
        <v>0</v>
      </c>
      <c r="I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-4423245</v>
      </c>
      <c r="J50">
        <f>+ROUND(SUMIFS(CATEGORIAS[[#All],[PROYECCION
TOTAL DE COSTO]],CATEGORIAS[[#All],[CATEGORIA2]],Imputar[[#This Row],[Categoría]]),0)
-Imputar[[#This Row],[Inventario]]
-Imputar[[#This Row],[Pedidos no Rec]]</f>
        <v>0</v>
      </c>
      <c r="K5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0">
        <f>_xlfn.IFNA(VLOOKUP(Imputar[[#This Row],[Categoría]],EIMI!C:T,8,0),0)</f>
        <v>4423245</v>
      </c>
      <c r="M50">
        <f>_xlfn.IFNA(VLOOKUP(Imputar[[#This Row],[Categoría]],EIMI!C:T,9,0),0)</f>
        <v>0</v>
      </c>
      <c r="N50">
        <f>_xlfn.IFNA(VLOOKUP(Imputar[[#This Row],[Categoría]],EIMI!C:T,10,0),0)</f>
        <v>0</v>
      </c>
    </row>
    <row r="51" spans="1:14" hidden="1" x14ac:dyDescent="0.25">
      <c r="A51" s="206" t="str">
        <f>Indice!$I$11</f>
        <v>EIMI00398</v>
      </c>
      <c r="B51" t="s">
        <v>478</v>
      </c>
      <c r="C51" s="39">
        <f>Indice!$I$12</f>
        <v>46053</v>
      </c>
      <c r="E51">
        <f>ROUND(SUMIFS(CATEGORIAS[[#All],[TOTAL PRODUCCION
ACTUAL]],CATEGORIAS[[#All],[CATEGORIA2]],Imputar[[#This Row],[Categoría]]),0)</f>
        <v>0</v>
      </c>
      <c r="F51">
        <v>0</v>
      </c>
      <c r="G51">
        <f>ROUND(SUMIFS(CATEGORIAS[[#All],[PROYECCION
DE INGRESO
DEL SALDO]],CATEGORIAS[[#All],[CATEGORIA2]],Imputar[[#This Row],[Categoría]]),0)</f>
        <v>0</v>
      </c>
      <c r="H51">
        <f>ROUND(SUMIFS(CATEGORIAS[[#All],[CAMBIO DE
CATEGORIA]],CATEGORIAS[[#All],[CATEGORIA2]],Imputar[[#This Row],[Categoría]]),0)</f>
        <v>0</v>
      </c>
      <c r="I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">
        <f>+ROUND(SUMIFS(CATEGORIAS[[#All],[PROYECCION
TOTAL DE COSTO]],CATEGORIAS[[#All],[CATEGORIA2]],Imputar[[#This Row],[Categoría]]),0)
-Imputar[[#This Row],[Inventario]]
-Imputar[[#This Row],[Pedidos no Rec]]</f>
        <v>0</v>
      </c>
      <c r="K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">
        <f>_xlfn.IFNA(VLOOKUP(Imputar[[#This Row],[Categoría]],EIMI!C:T,8,0),0)</f>
        <v>0</v>
      </c>
      <c r="M51">
        <f>_xlfn.IFNA(VLOOKUP(Imputar[[#This Row],[Categoría]],EIMI!C:T,9,0),0)</f>
        <v>0</v>
      </c>
      <c r="N51">
        <f>_xlfn.IFNA(VLOOKUP(Imputar[[#This Row],[Categoría]],EIMI!C:T,10,0),0)</f>
        <v>0</v>
      </c>
    </row>
    <row r="52" spans="1:14" x14ac:dyDescent="0.25">
      <c r="A52" s="206" t="str">
        <f>Indice!$I$11</f>
        <v>EIMI00398</v>
      </c>
      <c r="B52" t="s">
        <v>285</v>
      </c>
      <c r="C52" s="39">
        <f>Indice!$I$12</f>
        <v>46053</v>
      </c>
      <c r="E52">
        <f>ROUND(SUMIFS(CATEGORIAS[[#All],[TOTAL PRODUCCION
ACTUAL]],CATEGORIAS[[#All],[CATEGORIA2]],Imputar[[#This Row],[Categoría]]),0)</f>
        <v>0</v>
      </c>
      <c r="F52">
        <v>0</v>
      </c>
      <c r="G52">
        <f>ROUND(SUMIFS(CATEGORIAS[[#All],[PROYECCION
DE INGRESO
DEL SALDO]],CATEGORIAS[[#All],[CATEGORIA2]],Imputar[[#This Row],[Categoría]]),0)</f>
        <v>0</v>
      </c>
      <c r="H52">
        <f>ROUND(SUMIFS(CATEGORIAS[[#All],[CAMBIO DE
CATEGORIA]],CATEGORIAS[[#All],[CATEGORIA2]],Imputar[[#This Row],[Categoría]]),0)</f>
        <v>0</v>
      </c>
      <c r="I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">
        <f>+ROUND(SUMIFS(CATEGORIAS[[#All],[PROYECCION
TOTAL DE COSTO]],CATEGORIAS[[#All],[CATEGORIA2]],Imputar[[#This Row],[Categoría]]),0)
-Imputar[[#This Row],[Inventario]]
-Imputar[[#This Row],[Pedidos no Rec]]</f>
        <v>-1988923</v>
      </c>
      <c r="K5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2">
        <f>_xlfn.IFNA(VLOOKUP(Imputar[[#This Row],[Categoría]],EIMI!C:T,8,0),0)</f>
        <v>0</v>
      </c>
      <c r="M52">
        <f>_xlfn.IFNA(VLOOKUP(Imputar[[#This Row],[Categoría]],EIMI!C:T,9,0),0)</f>
        <v>1974003</v>
      </c>
      <c r="N52">
        <f>_xlfn.IFNA(VLOOKUP(Imputar[[#This Row],[Categoría]],EIMI!C:T,10,0),0)</f>
        <v>14920</v>
      </c>
    </row>
    <row r="53" spans="1:14" hidden="1" x14ac:dyDescent="0.25">
      <c r="A53" s="206" t="str">
        <f>Indice!$I$11</f>
        <v>EIMI00398</v>
      </c>
      <c r="B53" t="s">
        <v>481</v>
      </c>
      <c r="C53" s="39">
        <f>Indice!$I$12</f>
        <v>46053</v>
      </c>
      <c r="E53">
        <f>ROUND(SUMIFS(CATEGORIAS[[#All],[TOTAL PRODUCCION
ACTUAL]],CATEGORIAS[[#All],[CATEGORIA2]],Imputar[[#This Row],[Categoría]]),0)</f>
        <v>0</v>
      </c>
      <c r="F53">
        <v>0</v>
      </c>
      <c r="G53">
        <f>ROUND(SUMIFS(CATEGORIAS[[#All],[PROYECCION
DE INGRESO
DEL SALDO]],CATEGORIAS[[#All],[CATEGORIA2]],Imputar[[#This Row],[Categoría]]),0)</f>
        <v>0</v>
      </c>
      <c r="H53">
        <f>ROUND(SUMIFS(CATEGORIAS[[#All],[CAMBIO DE
CATEGORIA]],CATEGORIAS[[#All],[CATEGORIA2]],Imputar[[#This Row],[Categoría]]),0)</f>
        <v>0</v>
      </c>
      <c r="I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">
        <f>+ROUND(SUMIFS(CATEGORIAS[[#All],[PROYECCION
TOTAL DE COSTO]],CATEGORIAS[[#All],[CATEGORIA2]],Imputar[[#This Row],[Categoría]]),0)
-Imputar[[#This Row],[Inventario]]
-Imputar[[#This Row],[Pedidos no Rec]]</f>
        <v>0</v>
      </c>
      <c r="K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">
        <f>_xlfn.IFNA(VLOOKUP(Imputar[[#This Row],[Categoría]],EIMI!C:T,8,0),0)</f>
        <v>0</v>
      </c>
      <c r="M53">
        <f>_xlfn.IFNA(VLOOKUP(Imputar[[#This Row],[Categoría]],EIMI!C:T,9,0),0)</f>
        <v>0</v>
      </c>
      <c r="N53">
        <f>_xlfn.IFNA(VLOOKUP(Imputar[[#This Row],[Categoría]],EIMI!C:T,10,0),0)</f>
        <v>0</v>
      </c>
    </row>
    <row r="54" spans="1:14" hidden="1" x14ac:dyDescent="0.25">
      <c r="A54" s="206" t="str">
        <f>Indice!$I$11</f>
        <v>EIMI00398</v>
      </c>
      <c r="B54" t="s">
        <v>483</v>
      </c>
      <c r="C54" s="39">
        <f>Indice!$I$12</f>
        <v>46053</v>
      </c>
      <c r="E54">
        <f>ROUND(SUMIFS(CATEGORIAS[[#All],[TOTAL PRODUCCION
ACTUAL]],CATEGORIAS[[#All],[CATEGORIA2]],Imputar[[#This Row],[Categoría]]),0)</f>
        <v>0</v>
      </c>
      <c r="F54">
        <v>0</v>
      </c>
      <c r="G54">
        <f>ROUND(SUMIFS(CATEGORIAS[[#All],[PROYECCION
DE INGRESO
DEL SALDO]],CATEGORIAS[[#All],[CATEGORIA2]],Imputar[[#This Row],[Categoría]]),0)</f>
        <v>0</v>
      </c>
      <c r="H54">
        <f>ROUND(SUMIFS(CATEGORIAS[[#All],[CAMBIO DE
CATEGORIA]],CATEGORIAS[[#All],[CATEGORIA2]],Imputar[[#This Row],[Categoría]]),0)</f>
        <v>0</v>
      </c>
      <c r="I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">
        <f>+ROUND(SUMIFS(CATEGORIAS[[#All],[PROYECCION
TOTAL DE COSTO]],CATEGORIAS[[#All],[CATEGORIA2]],Imputar[[#This Row],[Categoría]]),0)
-Imputar[[#This Row],[Inventario]]
-Imputar[[#This Row],[Pedidos no Rec]]</f>
        <v>0</v>
      </c>
      <c r="K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">
        <f>_xlfn.IFNA(VLOOKUP(Imputar[[#This Row],[Categoría]],EIMI!C:T,8,0),0)</f>
        <v>0</v>
      </c>
      <c r="M54">
        <f>_xlfn.IFNA(VLOOKUP(Imputar[[#This Row],[Categoría]],EIMI!C:T,9,0),0)</f>
        <v>0</v>
      </c>
      <c r="N54">
        <f>_xlfn.IFNA(VLOOKUP(Imputar[[#This Row],[Categoría]],EIMI!C:T,10,0),0)</f>
        <v>0</v>
      </c>
    </row>
    <row r="55" spans="1:14" hidden="1" x14ac:dyDescent="0.25">
      <c r="A55" s="206" t="str">
        <f>Indice!$I$11</f>
        <v>EIMI00398</v>
      </c>
      <c r="B55" t="s">
        <v>485</v>
      </c>
      <c r="C55" s="39">
        <f>Indice!$I$12</f>
        <v>46053</v>
      </c>
      <c r="E55">
        <f>ROUND(SUMIFS(CATEGORIAS[[#All],[TOTAL PRODUCCION
ACTUAL]],CATEGORIAS[[#All],[CATEGORIA2]],Imputar[[#This Row],[Categoría]]),0)</f>
        <v>0</v>
      </c>
      <c r="F55">
        <v>0</v>
      </c>
      <c r="G55">
        <f>ROUND(SUMIFS(CATEGORIAS[[#All],[PROYECCION
DE INGRESO
DEL SALDO]],CATEGORIAS[[#All],[CATEGORIA2]],Imputar[[#This Row],[Categoría]]),0)</f>
        <v>0</v>
      </c>
      <c r="H55">
        <f>ROUND(SUMIFS(CATEGORIAS[[#All],[CAMBIO DE
CATEGORIA]],CATEGORIAS[[#All],[CATEGORIA2]],Imputar[[#This Row],[Categoría]]),0)</f>
        <v>0</v>
      </c>
      <c r="I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">
        <f>+ROUND(SUMIFS(CATEGORIAS[[#All],[PROYECCION
TOTAL DE COSTO]],CATEGORIAS[[#All],[CATEGORIA2]],Imputar[[#This Row],[Categoría]]),0)
-Imputar[[#This Row],[Inventario]]
-Imputar[[#This Row],[Pedidos no Rec]]</f>
        <v>0</v>
      </c>
      <c r="K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">
        <f>_xlfn.IFNA(VLOOKUP(Imputar[[#This Row],[Categoría]],EIMI!C:T,8,0),0)</f>
        <v>0</v>
      </c>
      <c r="M55">
        <f>_xlfn.IFNA(VLOOKUP(Imputar[[#This Row],[Categoría]],EIMI!C:T,9,0),0)</f>
        <v>0</v>
      </c>
      <c r="N55">
        <f>_xlfn.IFNA(VLOOKUP(Imputar[[#This Row],[Categoría]],EIMI!C:T,10,0),0)</f>
        <v>0</v>
      </c>
    </row>
    <row r="56" spans="1:14" hidden="1" x14ac:dyDescent="0.25">
      <c r="A56" s="206" t="str">
        <f>Indice!$I$11</f>
        <v>EIMI00398</v>
      </c>
      <c r="B56" t="s">
        <v>487</v>
      </c>
      <c r="C56" s="39">
        <f>Indice!$I$12</f>
        <v>46053</v>
      </c>
      <c r="E56">
        <f>ROUND(SUMIFS(CATEGORIAS[[#All],[TOTAL PRODUCCION
ACTUAL]],CATEGORIAS[[#All],[CATEGORIA2]],Imputar[[#This Row],[Categoría]]),0)</f>
        <v>0</v>
      </c>
      <c r="F56">
        <v>0</v>
      </c>
      <c r="G56">
        <f>ROUND(SUMIFS(CATEGORIAS[[#All],[PROYECCION
DE INGRESO
DEL SALDO]],CATEGORIAS[[#All],[CATEGORIA2]],Imputar[[#This Row],[Categoría]]),0)</f>
        <v>0</v>
      </c>
      <c r="H56">
        <f>ROUND(SUMIFS(CATEGORIAS[[#All],[CAMBIO DE
CATEGORIA]],CATEGORIAS[[#All],[CATEGORIA2]],Imputar[[#This Row],[Categoría]]),0)</f>
        <v>0</v>
      </c>
      <c r="I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">
        <f>+ROUND(SUMIFS(CATEGORIAS[[#All],[PROYECCION
TOTAL DE COSTO]],CATEGORIAS[[#All],[CATEGORIA2]],Imputar[[#This Row],[Categoría]]),0)
-Imputar[[#This Row],[Inventario]]
-Imputar[[#This Row],[Pedidos no Rec]]</f>
        <v>0</v>
      </c>
      <c r="K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">
        <f>_xlfn.IFNA(VLOOKUP(Imputar[[#This Row],[Categoría]],EIMI!C:T,8,0),0)</f>
        <v>0</v>
      </c>
      <c r="M56">
        <f>_xlfn.IFNA(VLOOKUP(Imputar[[#This Row],[Categoría]],EIMI!C:T,9,0),0)</f>
        <v>0</v>
      </c>
      <c r="N56">
        <f>_xlfn.IFNA(VLOOKUP(Imputar[[#This Row],[Categoría]],EIMI!C:T,10,0),0)</f>
        <v>0</v>
      </c>
    </row>
    <row r="57" spans="1:14" hidden="1" x14ac:dyDescent="0.25">
      <c r="A57" s="206" t="str">
        <f>Indice!$I$11</f>
        <v>EIMI00398</v>
      </c>
      <c r="B57" t="s">
        <v>489</v>
      </c>
      <c r="C57" s="39">
        <f>Indice!$I$12</f>
        <v>46053</v>
      </c>
      <c r="E57">
        <f>ROUND(SUMIFS(CATEGORIAS[[#All],[TOTAL PRODUCCION
ACTUAL]],CATEGORIAS[[#All],[CATEGORIA2]],Imputar[[#This Row],[Categoría]]),0)</f>
        <v>0</v>
      </c>
      <c r="F57">
        <v>0</v>
      </c>
      <c r="G57">
        <f>ROUND(SUMIFS(CATEGORIAS[[#All],[PROYECCION
DE INGRESO
DEL SALDO]],CATEGORIAS[[#All],[CATEGORIA2]],Imputar[[#This Row],[Categoría]]),0)</f>
        <v>0</v>
      </c>
      <c r="H57">
        <f>ROUND(SUMIFS(CATEGORIAS[[#All],[CAMBIO DE
CATEGORIA]],CATEGORIAS[[#All],[CATEGORIA2]],Imputar[[#This Row],[Categoría]]),0)</f>
        <v>0</v>
      </c>
      <c r="I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7">
        <f>+ROUND(SUMIFS(CATEGORIAS[[#All],[PROYECCION
TOTAL DE COSTO]],CATEGORIAS[[#All],[CATEGORIA2]],Imputar[[#This Row],[Categoría]]),0)
-Imputar[[#This Row],[Inventario]]
-Imputar[[#This Row],[Pedidos no Rec]]</f>
        <v>0</v>
      </c>
      <c r="K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7">
        <f>_xlfn.IFNA(VLOOKUP(Imputar[[#This Row],[Categoría]],EIMI!C:T,8,0),0)</f>
        <v>0</v>
      </c>
      <c r="M57">
        <f>_xlfn.IFNA(VLOOKUP(Imputar[[#This Row],[Categoría]],EIMI!C:T,9,0),0)</f>
        <v>0</v>
      </c>
      <c r="N57">
        <f>_xlfn.IFNA(VLOOKUP(Imputar[[#This Row],[Categoría]],EIMI!C:T,10,0),0)</f>
        <v>0</v>
      </c>
    </row>
    <row r="58" spans="1:14" x14ac:dyDescent="0.25">
      <c r="A58" s="206" t="str">
        <f>Indice!$I$11</f>
        <v>EIMI00398</v>
      </c>
      <c r="B58" t="s">
        <v>491</v>
      </c>
      <c r="C58" s="39">
        <f>Indice!$I$12</f>
        <v>46053</v>
      </c>
      <c r="E58">
        <f>ROUND(SUMIFS(CATEGORIAS[[#All],[TOTAL PRODUCCION
ACTUAL]],CATEGORIAS[[#All],[CATEGORIA2]],Imputar[[#This Row],[Categoría]]),0)</f>
        <v>0</v>
      </c>
      <c r="F58">
        <v>0</v>
      </c>
      <c r="G58">
        <f>ROUND(SUMIFS(CATEGORIAS[[#All],[PROYECCION
DE INGRESO
DEL SALDO]],CATEGORIAS[[#All],[CATEGORIA2]],Imputar[[#This Row],[Categoría]]),0)</f>
        <v>0</v>
      </c>
      <c r="H58">
        <f>ROUND(SUMIFS(CATEGORIAS[[#All],[CAMBIO DE
CATEGORIA]],CATEGORIAS[[#All],[CATEGORIA2]],Imputar[[#This Row],[Categoría]]),0)</f>
        <v>0</v>
      </c>
      <c r="I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8">
        <f>+ROUND(SUMIFS(CATEGORIAS[[#All],[PROYECCION
TOTAL DE COSTO]],CATEGORIAS[[#All],[CATEGORIA2]],Imputar[[#This Row],[Categoría]]),0)
-Imputar[[#This Row],[Inventario]]
-Imputar[[#This Row],[Pedidos no Rec]]</f>
        <v>-4070863</v>
      </c>
      <c r="K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8">
        <f>_xlfn.IFNA(VLOOKUP(Imputar[[#This Row],[Categoría]],EIMI!C:T,8,0),0)</f>
        <v>0</v>
      </c>
      <c r="M58">
        <f>_xlfn.IFNA(VLOOKUP(Imputar[[#This Row],[Categoría]],EIMI!C:T,9,0),0)</f>
        <v>4070863</v>
      </c>
      <c r="N58">
        <f>_xlfn.IFNA(VLOOKUP(Imputar[[#This Row],[Categoría]],EIMI!C:T,10,0),0)</f>
        <v>0</v>
      </c>
    </row>
    <row r="59" spans="1:14" hidden="1" x14ac:dyDescent="0.25">
      <c r="A59" s="206" t="str">
        <f>Indice!$I$11</f>
        <v>EIMI00398</v>
      </c>
      <c r="B59" t="s">
        <v>493</v>
      </c>
      <c r="C59" s="39">
        <f>Indice!$I$12</f>
        <v>46053</v>
      </c>
      <c r="E59">
        <f>ROUND(SUMIFS(CATEGORIAS[[#All],[TOTAL PRODUCCION
ACTUAL]],CATEGORIAS[[#All],[CATEGORIA2]],Imputar[[#This Row],[Categoría]]),0)</f>
        <v>0</v>
      </c>
      <c r="F59">
        <v>0</v>
      </c>
      <c r="G59">
        <f>ROUND(SUMIFS(CATEGORIAS[[#All],[PROYECCION
DE INGRESO
DEL SALDO]],CATEGORIAS[[#All],[CATEGORIA2]],Imputar[[#This Row],[Categoría]]),0)</f>
        <v>0</v>
      </c>
      <c r="H59">
        <f>ROUND(SUMIFS(CATEGORIAS[[#All],[CAMBIO DE
CATEGORIA]],CATEGORIAS[[#All],[CATEGORIA2]],Imputar[[#This Row],[Categoría]]),0)</f>
        <v>0</v>
      </c>
      <c r="I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9">
        <f>+ROUND(SUMIFS(CATEGORIAS[[#All],[PROYECCION
TOTAL DE COSTO]],CATEGORIAS[[#All],[CATEGORIA2]],Imputar[[#This Row],[Categoría]]),0)
-Imputar[[#This Row],[Inventario]]
-Imputar[[#This Row],[Pedidos no Rec]]</f>
        <v>0</v>
      </c>
      <c r="K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9">
        <f>_xlfn.IFNA(VLOOKUP(Imputar[[#This Row],[Categoría]],EIMI!C:T,8,0),0)</f>
        <v>0</v>
      </c>
      <c r="M59">
        <f>_xlfn.IFNA(VLOOKUP(Imputar[[#This Row],[Categoría]],EIMI!C:T,9,0),0)</f>
        <v>0</v>
      </c>
      <c r="N59">
        <f>_xlfn.IFNA(VLOOKUP(Imputar[[#This Row],[Categoría]],EIMI!C:T,10,0),0)</f>
        <v>0</v>
      </c>
    </row>
    <row r="60" spans="1:14" x14ac:dyDescent="0.25">
      <c r="A60" s="206" t="str">
        <f>Indice!$I$11</f>
        <v>EIMI00398</v>
      </c>
      <c r="B60" t="s">
        <v>292</v>
      </c>
      <c r="C60" s="39">
        <f>Indice!$I$12</f>
        <v>46053</v>
      </c>
      <c r="E60">
        <f>ROUND(SUMIFS(CATEGORIAS[[#All],[TOTAL PRODUCCION
ACTUAL]],CATEGORIAS[[#All],[CATEGORIA2]],Imputar[[#This Row],[Categoría]]),0)</f>
        <v>0</v>
      </c>
      <c r="F60">
        <v>0</v>
      </c>
      <c r="G60">
        <f>ROUND(SUMIFS(CATEGORIAS[[#All],[PROYECCION
DE INGRESO
DEL SALDO]],CATEGORIAS[[#All],[CATEGORIA2]],Imputar[[#This Row],[Categoría]]),0)</f>
        <v>0</v>
      </c>
      <c r="H60">
        <f>ROUND(SUMIFS(CATEGORIAS[[#All],[CAMBIO DE
CATEGORIA]],CATEGORIAS[[#All],[CATEGORIA2]],Imputar[[#This Row],[Categoría]]),0)</f>
        <v>0</v>
      </c>
      <c r="I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0">
        <f>+ROUND(SUMIFS(CATEGORIAS[[#All],[PROYECCION
TOTAL DE COSTO]],CATEGORIAS[[#All],[CATEGORIA2]],Imputar[[#This Row],[Categoría]]),0)
-Imputar[[#This Row],[Inventario]]
-Imputar[[#This Row],[Pedidos no Rec]]</f>
        <v>-11751710</v>
      </c>
      <c r="K6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60">
        <f>_xlfn.IFNA(VLOOKUP(Imputar[[#This Row],[Categoría]],EIMI!C:T,8,0),0)</f>
        <v>0</v>
      </c>
      <c r="M60">
        <f>_xlfn.IFNA(VLOOKUP(Imputar[[#This Row],[Categoría]],EIMI!C:T,9,0),0)</f>
        <v>11751710</v>
      </c>
      <c r="N60">
        <f>_xlfn.IFNA(VLOOKUP(Imputar[[#This Row],[Categoría]],EIMI!C:T,10,0),0)</f>
        <v>0</v>
      </c>
    </row>
    <row r="61" spans="1:14" hidden="1" x14ac:dyDescent="0.25">
      <c r="A61" s="206" t="str">
        <f>Indice!$I$11</f>
        <v>EIMI00398</v>
      </c>
      <c r="B61" t="s">
        <v>495</v>
      </c>
      <c r="C61" s="39">
        <f>Indice!$I$12</f>
        <v>46053</v>
      </c>
      <c r="E61">
        <f>ROUND(SUMIFS(CATEGORIAS[[#All],[TOTAL PRODUCCION
ACTUAL]],CATEGORIAS[[#All],[CATEGORIA2]],Imputar[[#This Row],[Categoría]]),0)</f>
        <v>0</v>
      </c>
      <c r="F61">
        <v>0</v>
      </c>
      <c r="G61">
        <f>ROUND(SUMIFS(CATEGORIAS[[#All],[PROYECCION
DE INGRESO
DEL SALDO]],CATEGORIAS[[#All],[CATEGORIA2]],Imputar[[#This Row],[Categoría]]),0)</f>
        <v>0</v>
      </c>
      <c r="H61">
        <f>ROUND(SUMIFS(CATEGORIAS[[#All],[CAMBIO DE
CATEGORIA]],CATEGORIAS[[#All],[CATEGORIA2]],Imputar[[#This Row],[Categoría]]),0)</f>
        <v>0</v>
      </c>
      <c r="I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1">
        <f>+ROUND(SUMIFS(CATEGORIAS[[#All],[PROYECCION
TOTAL DE COSTO]],CATEGORIAS[[#All],[CATEGORIA2]],Imputar[[#This Row],[Categoría]]),0)
-Imputar[[#This Row],[Inventario]]
-Imputar[[#This Row],[Pedidos no Rec]]</f>
        <v>0</v>
      </c>
      <c r="K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1">
        <f>_xlfn.IFNA(VLOOKUP(Imputar[[#This Row],[Categoría]],EIMI!C:T,8,0),0)</f>
        <v>0</v>
      </c>
      <c r="M61">
        <f>_xlfn.IFNA(VLOOKUP(Imputar[[#This Row],[Categoría]],EIMI!C:T,9,0),0)</f>
        <v>0</v>
      </c>
      <c r="N61">
        <f>_xlfn.IFNA(VLOOKUP(Imputar[[#This Row],[Categoría]],EIMI!C:T,10,0),0)</f>
        <v>0</v>
      </c>
    </row>
    <row r="62" spans="1:14" x14ac:dyDescent="0.25">
      <c r="A62" s="206" t="str">
        <f>Indice!$I$11</f>
        <v>EIMI00398</v>
      </c>
      <c r="B62" t="s">
        <v>497</v>
      </c>
      <c r="C62" s="39">
        <f>Indice!$I$12</f>
        <v>46053</v>
      </c>
      <c r="E62">
        <f>ROUND(SUMIFS(CATEGORIAS[[#All],[TOTAL PRODUCCION
ACTUAL]],CATEGORIAS[[#All],[CATEGORIA2]],Imputar[[#This Row],[Categoría]]),0)</f>
        <v>0</v>
      </c>
      <c r="F62">
        <v>0</v>
      </c>
      <c r="G62">
        <f>ROUND(SUMIFS(CATEGORIAS[[#All],[PROYECCION
DE INGRESO
DEL SALDO]],CATEGORIAS[[#All],[CATEGORIA2]],Imputar[[#This Row],[Categoría]]),0)</f>
        <v>0</v>
      </c>
      <c r="H62">
        <f>ROUND(SUMIFS(CATEGORIAS[[#All],[CAMBIO DE
CATEGORIA]],CATEGORIAS[[#All],[CATEGORIA2]],Imputar[[#This Row],[Categoría]]),0)</f>
        <v>0</v>
      </c>
      <c r="I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2">
        <f>+ROUND(SUMIFS(CATEGORIAS[[#All],[PROYECCION
TOTAL DE COSTO]],CATEGORIAS[[#All],[CATEGORIA2]],Imputar[[#This Row],[Categoría]]),0)
-Imputar[[#This Row],[Inventario]]
-Imputar[[#This Row],[Pedidos no Rec]]</f>
        <v>0</v>
      </c>
      <c r="K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2">
        <f>_xlfn.IFNA(VLOOKUP(Imputar[[#This Row],[Categoría]],EIMI!C:T,8,0),0)</f>
        <v>0</v>
      </c>
      <c r="M62">
        <f>_xlfn.IFNA(VLOOKUP(Imputar[[#This Row],[Categoría]],EIMI!C:T,9,0),0)</f>
        <v>0</v>
      </c>
      <c r="N62">
        <f>_xlfn.IFNA(VLOOKUP(Imputar[[#This Row],[Categoría]],EIMI!C:T,10,0),0)</f>
        <v>0</v>
      </c>
    </row>
    <row r="63" spans="1:14" hidden="1" x14ac:dyDescent="0.25">
      <c r="A63" s="206" t="str">
        <f>Indice!$I$11</f>
        <v>EIMI00398</v>
      </c>
      <c r="B63" t="s">
        <v>499</v>
      </c>
      <c r="C63" s="39">
        <f>Indice!$I$12</f>
        <v>46053</v>
      </c>
      <c r="E63">
        <f>ROUND(SUMIFS(CATEGORIAS[[#All],[TOTAL PRODUCCION
ACTUAL]],CATEGORIAS[[#All],[CATEGORIA2]],Imputar[[#This Row],[Categoría]]),0)</f>
        <v>0</v>
      </c>
      <c r="F63">
        <v>0</v>
      </c>
      <c r="G63">
        <f>ROUND(SUMIFS(CATEGORIAS[[#All],[PROYECCION
DE INGRESO
DEL SALDO]],CATEGORIAS[[#All],[CATEGORIA2]],Imputar[[#This Row],[Categoría]]),0)</f>
        <v>0</v>
      </c>
      <c r="H63">
        <f>ROUND(SUMIFS(CATEGORIAS[[#All],[CAMBIO DE
CATEGORIA]],CATEGORIAS[[#All],[CATEGORIA2]],Imputar[[#This Row],[Categoría]]),0)</f>
        <v>0</v>
      </c>
      <c r="I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3">
        <f>+ROUND(SUMIFS(CATEGORIAS[[#All],[PROYECCION
TOTAL DE COSTO]],CATEGORIAS[[#All],[CATEGORIA2]],Imputar[[#This Row],[Categoría]]),0)
-Imputar[[#This Row],[Inventario]]
-Imputar[[#This Row],[Pedidos no Rec]]</f>
        <v>0</v>
      </c>
      <c r="K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3">
        <f>_xlfn.IFNA(VLOOKUP(Imputar[[#This Row],[Categoría]],EIMI!C:T,8,0),0)</f>
        <v>0</v>
      </c>
      <c r="M63">
        <f>_xlfn.IFNA(VLOOKUP(Imputar[[#This Row],[Categoría]],EIMI!C:T,9,0),0)</f>
        <v>0</v>
      </c>
      <c r="N63">
        <f>_xlfn.IFNA(VLOOKUP(Imputar[[#This Row],[Categoría]],EIMI!C:T,10,0),0)</f>
        <v>0</v>
      </c>
    </row>
    <row r="64" spans="1:14" hidden="1" x14ac:dyDescent="0.25">
      <c r="A64" s="206" t="str">
        <f>Indice!$I$11</f>
        <v>EIMI00398</v>
      </c>
      <c r="B64" t="s">
        <v>501</v>
      </c>
      <c r="C64" s="39">
        <f>Indice!$I$12</f>
        <v>46053</v>
      </c>
      <c r="E64">
        <f>ROUND(SUMIFS(CATEGORIAS[[#All],[TOTAL PRODUCCION
ACTUAL]],CATEGORIAS[[#All],[CATEGORIA2]],Imputar[[#This Row],[Categoría]]),0)</f>
        <v>0</v>
      </c>
      <c r="F64">
        <v>0</v>
      </c>
      <c r="G64">
        <f>ROUND(SUMIFS(CATEGORIAS[[#All],[PROYECCION
DE INGRESO
DEL SALDO]],CATEGORIAS[[#All],[CATEGORIA2]],Imputar[[#This Row],[Categoría]]),0)</f>
        <v>0</v>
      </c>
      <c r="H64">
        <f>ROUND(SUMIFS(CATEGORIAS[[#All],[CAMBIO DE
CATEGORIA]],CATEGORIAS[[#All],[CATEGORIA2]],Imputar[[#This Row],[Categoría]]),0)</f>
        <v>0</v>
      </c>
      <c r="I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4">
        <f>+ROUND(SUMIFS(CATEGORIAS[[#All],[PROYECCION
TOTAL DE COSTO]],CATEGORIAS[[#All],[CATEGORIA2]],Imputar[[#This Row],[Categoría]]),0)
-Imputar[[#This Row],[Inventario]]
-Imputar[[#This Row],[Pedidos no Rec]]</f>
        <v>0</v>
      </c>
      <c r="K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4">
        <f>_xlfn.IFNA(VLOOKUP(Imputar[[#This Row],[Categoría]],EIMI!C:T,8,0),0)</f>
        <v>0</v>
      </c>
      <c r="M64">
        <f>_xlfn.IFNA(VLOOKUP(Imputar[[#This Row],[Categoría]],EIMI!C:T,9,0),0)</f>
        <v>0</v>
      </c>
      <c r="N64">
        <f>_xlfn.IFNA(VLOOKUP(Imputar[[#This Row],[Categoría]],EIMI!C:T,10,0),0)</f>
        <v>0</v>
      </c>
    </row>
    <row r="65" spans="1:14" hidden="1" x14ac:dyDescent="0.25">
      <c r="A65" s="206" t="str">
        <f>Indice!$I$11</f>
        <v>EIMI00398</v>
      </c>
      <c r="B65" t="s">
        <v>503</v>
      </c>
      <c r="C65" s="39">
        <f>Indice!$I$12</f>
        <v>46053</v>
      </c>
      <c r="E65">
        <f>ROUND(SUMIFS(CATEGORIAS[[#All],[TOTAL PRODUCCION
ACTUAL]],CATEGORIAS[[#All],[CATEGORIA2]],Imputar[[#This Row],[Categoría]]),0)</f>
        <v>0</v>
      </c>
      <c r="F65">
        <v>0</v>
      </c>
      <c r="G65">
        <f>ROUND(SUMIFS(CATEGORIAS[[#All],[PROYECCION
DE INGRESO
DEL SALDO]],CATEGORIAS[[#All],[CATEGORIA2]],Imputar[[#This Row],[Categoría]]),0)</f>
        <v>0</v>
      </c>
      <c r="H65">
        <f>ROUND(SUMIFS(CATEGORIAS[[#All],[CAMBIO DE
CATEGORIA]],CATEGORIAS[[#All],[CATEGORIA2]],Imputar[[#This Row],[Categoría]]),0)</f>
        <v>0</v>
      </c>
      <c r="I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5">
        <f>+ROUND(SUMIFS(CATEGORIAS[[#All],[PROYECCION
TOTAL DE COSTO]],CATEGORIAS[[#All],[CATEGORIA2]],Imputar[[#This Row],[Categoría]]),0)
-Imputar[[#This Row],[Inventario]]
-Imputar[[#This Row],[Pedidos no Rec]]</f>
        <v>0</v>
      </c>
      <c r="K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5">
        <f>_xlfn.IFNA(VLOOKUP(Imputar[[#This Row],[Categoría]],EIMI!C:T,8,0),0)</f>
        <v>0</v>
      </c>
      <c r="M65">
        <f>_xlfn.IFNA(VLOOKUP(Imputar[[#This Row],[Categoría]],EIMI!C:T,9,0),0)</f>
        <v>0</v>
      </c>
      <c r="N65">
        <f>_xlfn.IFNA(VLOOKUP(Imputar[[#This Row],[Categoría]],EIMI!C:T,10,0),0)</f>
        <v>0</v>
      </c>
    </row>
    <row r="66" spans="1:14" x14ac:dyDescent="0.25">
      <c r="A66" s="206" t="str">
        <f>Indice!$I$11</f>
        <v>EIMI00398</v>
      </c>
      <c r="B66" t="s">
        <v>505</v>
      </c>
      <c r="C66" s="39">
        <f>Indice!$I$12</f>
        <v>46053</v>
      </c>
      <c r="E66">
        <f>ROUND(SUMIFS(CATEGORIAS[[#All],[TOTAL PRODUCCION
ACTUAL]],CATEGORIAS[[#All],[CATEGORIA2]],Imputar[[#This Row],[Categoría]]),0)</f>
        <v>0</v>
      </c>
      <c r="F66">
        <v>0</v>
      </c>
      <c r="G66">
        <f>ROUND(SUMIFS(CATEGORIAS[[#All],[PROYECCION
DE INGRESO
DEL SALDO]],CATEGORIAS[[#All],[CATEGORIA2]],Imputar[[#This Row],[Categoría]]),0)</f>
        <v>0</v>
      </c>
      <c r="H66">
        <f>ROUND(SUMIFS(CATEGORIAS[[#All],[CAMBIO DE
CATEGORIA]],CATEGORIAS[[#All],[CATEGORIA2]],Imputar[[#This Row],[Categoría]]),0)</f>
        <v>0</v>
      </c>
      <c r="I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6">
        <f>+ROUND(SUMIFS(CATEGORIAS[[#All],[PROYECCION
TOTAL DE COSTO]],CATEGORIAS[[#All],[CATEGORIA2]],Imputar[[#This Row],[Categoría]]),0)
-Imputar[[#This Row],[Inventario]]
-Imputar[[#This Row],[Pedidos no Rec]]</f>
        <v>0</v>
      </c>
      <c r="K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6">
        <f>_xlfn.IFNA(VLOOKUP(Imputar[[#This Row],[Categoría]],EIMI!C:T,8,0),0)</f>
        <v>0</v>
      </c>
      <c r="M66">
        <f>_xlfn.IFNA(VLOOKUP(Imputar[[#This Row],[Categoría]],EIMI!C:T,9,0),0)</f>
        <v>0</v>
      </c>
      <c r="N66">
        <f>_xlfn.IFNA(VLOOKUP(Imputar[[#This Row],[Categoría]],EIMI!C:T,10,0),0)</f>
        <v>0</v>
      </c>
    </row>
    <row r="67" spans="1:14" hidden="1" x14ac:dyDescent="0.25">
      <c r="A67" s="206" t="str">
        <f>Indice!$I$11</f>
        <v>EIMI00398</v>
      </c>
      <c r="B67" t="s">
        <v>507</v>
      </c>
      <c r="C67" s="39">
        <f>Indice!$I$12</f>
        <v>46053</v>
      </c>
      <c r="E67">
        <f>ROUND(SUMIFS(CATEGORIAS[[#All],[TOTAL PRODUCCION
ACTUAL]],CATEGORIAS[[#All],[CATEGORIA2]],Imputar[[#This Row],[Categoría]]),0)</f>
        <v>0</v>
      </c>
      <c r="F67">
        <v>0</v>
      </c>
      <c r="G67">
        <f>ROUND(SUMIFS(CATEGORIAS[[#All],[PROYECCION
DE INGRESO
DEL SALDO]],CATEGORIAS[[#All],[CATEGORIA2]],Imputar[[#This Row],[Categoría]]),0)</f>
        <v>0</v>
      </c>
      <c r="H67">
        <f>ROUND(SUMIFS(CATEGORIAS[[#All],[CAMBIO DE
CATEGORIA]],CATEGORIAS[[#All],[CATEGORIA2]],Imputar[[#This Row],[Categoría]]),0)</f>
        <v>0</v>
      </c>
      <c r="I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7">
        <f>+ROUND(SUMIFS(CATEGORIAS[[#All],[PROYECCION
TOTAL DE COSTO]],CATEGORIAS[[#All],[CATEGORIA2]],Imputar[[#This Row],[Categoría]]),0)
-Imputar[[#This Row],[Inventario]]
-Imputar[[#This Row],[Pedidos no Rec]]</f>
        <v>0</v>
      </c>
      <c r="K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7">
        <f>_xlfn.IFNA(VLOOKUP(Imputar[[#This Row],[Categoría]],EIMI!C:T,8,0),0)</f>
        <v>0</v>
      </c>
      <c r="M67">
        <f>_xlfn.IFNA(VLOOKUP(Imputar[[#This Row],[Categoría]],EIMI!C:T,9,0),0)</f>
        <v>0</v>
      </c>
      <c r="N67">
        <f>_xlfn.IFNA(VLOOKUP(Imputar[[#This Row],[Categoría]],EIMI!C:T,10,0),0)</f>
        <v>0</v>
      </c>
    </row>
    <row r="68" spans="1:14" x14ac:dyDescent="0.25">
      <c r="A68" s="206" t="str">
        <f>Indice!$I$11</f>
        <v>EIMI00398</v>
      </c>
      <c r="B68" t="s">
        <v>294</v>
      </c>
      <c r="C68" s="39">
        <f>Indice!$I$12</f>
        <v>46053</v>
      </c>
      <c r="E68">
        <f>ROUND(SUMIFS(CATEGORIAS[[#All],[TOTAL PRODUCCION
ACTUAL]],CATEGORIAS[[#All],[CATEGORIA2]],Imputar[[#This Row],[Categoría]]),0)</f>
        <v>0</v>
      </c>
      <c r="F68">
        <v>0</v>
      </c>
      <c r="G68">
        <f>ROUND(SUMIFS(CATEGORIAS[[#All],[PROYECCION
DE INGRESO
DEL SALDO]],CATEGORIAS[[#All],[CATEGORIA2]],Imputar[[#This Row],[Categoría]]),0)</f>
        <v>0</v>
      </c>
      <c r="H68">
        <f>ROUND(SUMIFS(CATEGORIAS[[#All],[CAMBIO DE
CATEGORIA]],CATEGORIAS[[#All],[CATEGORIA2]],Imputar[[#This Row],[Categoría]]),0)</f>
        <v>0</v>
      </c>
      <c r="I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8">
        <f>+ROUND(SUMIFS(CATEGORIAS[[#All],[PROYECCION
TOTAL DE COSTO]],CATEGORIAS[[#All],[CATEGORIA2]],Imputar[[#This Row],[Categoría]]),0)
-Imputar[[#This Row],[Inventario]]
-Imputar[[#This Row],[Pedidos no Rec]]</f>
        <v>-7696651</v>
      </c>
      <c r="K6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68">
        <f>_xlfn.IFNA(VLOOKUP(Imputar[[#This Row],[Categoría]],EIMI!C:T,8,0),0)</f>
        <v>0</v>
      </c>
      <c r="M68">
        <f>_xlfn.IFNA(VLOOKUP(Imputar[[#This Row],[Categoría]],EIMI!C:T,9,0),0)</f>
        <v>6925270</v>
      </c>
      <c r="N68">
        <f>_xlfn.IFNA(VLOOKUP(Imputar[[#This Row],[Categoría]],EIMI!C:T,10,0),0)</f>
        <v>771381</v>
      </c>
    </row>
    <row r="69" spans="1:14" hidden="1" x14ac:dyDescent="0.25">
      <c r="A69" s="206" t="str">
        <f>Indice!$I$11</f>
        <v>EIMI00398</v>
      </c>
      <c r="B69" t="s">
        <v>510</v>
      </c>
      <c r="C69" s="39">
        <f>Indice!$I$12</f>
        <v>46053</v>
      </c>
      <c r="E69">
        <f>ROUND(SUMIFS(CATEGORIAS[[#All],[TOTAL PRODUCCION
ACTUAL]],CATEGORIAS[[#All],[CATEGORIA2]],Imputar[[#This Row],[Categoría]]),0)</f>
        <v>0</v>
      </c>
      <c r="F69">
        <v>0</v>
      </c>
      <c r="G69">
        <f>ROUND(SUMIFS(CATEGORIAS[[#All],[PROYECCION
DE INGRESO
DEL SALDO]],CATEGORIAS[[#All],[CATEGORIA2]],Imputar[[#This Row],[Categoría]]),0)</f>
        <v>0</v>
      </c>
      <c r="H69">
        <f>ROUND(SUMIFS(CATEGORIAS[[#All],[CAMBIO DE
CATEGORIA]],CATEGORIAS[[#All],[CATEGORIA2]],Imputar[[#This Row],[Categoría]]),0)</f>
        <v>0</v>
      </c>
      <c r="I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69">
        <f>+ROUND(SUMIFS(CATEGORIAS[[#All],[PROYECCION
TOTAL DE COSTO]],CATEGORIAS[[#All],[CATEGORIA2]],Imputar[[#This Row],[Categoría]]),0)
-Imputar[[#This Row],[Inventario]]
-Imputar[[#This Row],[Pedidos no Rec]]</f>
        <v>0</v>
      </c>
      <c r="K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69">
        <f>_xlfn.IFNA(VLOOKUP(Imputar[[#This Row],[Categoría]],EIMI!C:T,8,0),0)</f>
        <v>0</v>
      </c>
      <c r="M69">
        <f>_xlfn.IFNA(VLOOKUP(Imputar[[#This Row],[Categoría]],EIMI!C:T,9,0),0)</f>
        <v>0</v>
      </c>
      <c r="N69">
        <f>_xlfn.IFNA(VLOOKUP(Imputar[[#This Row],[Categoría]],EIMI!C:T,10,0),0)</f>
        <v>0</v>
      </c>
    </row>
    <row r="70" spans="1:14" hidden="1" x14ac:dyDescent="0.25">
      <c r="A70" s="206" t="str">
        <f>Indice!$I$11</f>
        <v>EIMI00398</v>
      </c>
      <c r="B70" t="s">
        <v>513</v>
      </c>
      <c r="C70" s="39">
        <f>Indice!$I$12</f>
        <v>46053</v>
      </c>
      <c r="E70">
        <f>ROUND(SUMIFS(CATEGORIAS[[#All],[TOTAL PRODUCCION
ACTUAL]],CATEGORIAS[[#All],[CATEGORIA2]],Imputar[[#This Row],[Categoría]]),0)</f>
        <v>0</v>
      </c>
      <c r="F70">
        <v>0</v>
      </c>
      <c r="G70">
        <f>ROUND(SUMIFS(CATEGORIAS[[#All],[PROYECCION
DE INGRESO
DEL SALDO]],CATEGORIAS[[#All],[CATEGORIA2]],Imputar[[#This Row],[Categoría]]),0)</f>
        <v>0</v>
      </c>
      <c r="H70">
        <f>ROUND(SUMIFS(CATEGORIAS[[#All],[CAMBIO DE
CATEGORIA]],CATEGORIAS[[#All],[CATEGORIA2]],Imputar[[#This Row],[Categoría]]),0)</f>
        <v>0</v>
      </c>
      <c r="I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0">
        <f>+ROUND(SUMIFS(CATEGORIAS[[#All],[PROYECCION
TOTAL DE COSTO]],CATEGORIAS[[#All],[CATEGORIA2]],Imputar[[#This Row],[Categoría]]),0)
-Imputar[[#This Row],[Inventario]]
-Imputar[[#This Row],[Pedidos no Rec]]</f>
        <v>0</v>
      </c>
      <c r="K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0">
        <f>_xlfn.IFNA(VLOOKUP(Imputar[[#This Row],[Categoría]],EIMI!C:T,8,0),0)</f>
        <v>0</v>
      </c>
      <c r="M70">
        <f>_xlfn.IFNA(VLOOKUP(Imputar[[#This Row],[Categoría]],EIMI!C:T,9,0),0)</f>
        <v>0</v>
      </c>
      <c r="N70">
        <f>_xlfn.IFNA(VLOOKUP(Imputar[[#This Row],[Categoría]],EIMI!C:T,10,0),0)</f>
        <v>0</v>
      </c>
    </row>
    <row r="71" spans="1:14" hidden="1" x14ac:dyDescent="0.25">
      <c r="A71" s="206" t="str">
        <f>Indice!$I$11</f>
        <v>EIMI00398</v>
      </c>
      <c r="B71" t="s">
        <v>515</v>
      </c>
      <c r="C71" s="39">
        <f>Indice!$I$12</f>
        <v>46053</v>
      </c>
      <c r="E71">
        <f>ROUND(SUMIFS(CATEGORIAS[[#All],[TOTAL PRODUCCION
ACTUAL]],CATEGORIAS[[#All],[CATEGORIA2]],Imputar[[#This Row],[Categoría]]),0)</f>
        <v>0</v>
      </c>
      <c r="F71">
        <v>0</v>
      </c>
      <c r="G71">
        <f>ROUND(SUMIFS(CATEGORIAS[[#All],[PROYECCION
DE INGRESO
DEL SALDO]],CATEGORIAS[[#All],[CATEGORIA2]],Imputar[[#This Row],[Categoría]]),0)</f>
        <v>0</v>
      </c>
      <c r="H71">
        <f>ROUND(SUMIFS(CATEGORIAS[[#All],[CAMBIO DE
CATEGORIA]],CATEGORIAS[[#All],[CATEGORIA2]],Imputar[[#This Row],[Categoría]]),0)</f>
        <v>0</v>
      </c>
      <c r="I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1">
        <f>+ROUND(SUMIFS(CATEGORIAS[[#All],[PROYECCION
TOTAL DE COSTO]],CATEGORIAS[[#All],[CATEGORIA2]],Imputar[[#This Row],[Categoría]]),0)
-Imputar[[#This Row],[Inventario]]
-Imputar[[#This Row],[Pedidos no Rec]]</f>
        <v>0</v>
      </c>
      <c r="K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1">
        <f>_xlfn.IFNA(VLOOKUP(Imputar[[#This Row],[Categoría]],EIMI!C:T,8,0),0)</f>
        <v>0</v>
      </c>
      <c r="M71">
        <f>_xlfn.IFNA(VLOOKUP(Imputar[[#This Row],[Categoría]],EIMI!C:T,9,0),0)</f>
        <v>0</v>
      </c>
      <c r="N71">
        <f>_xlfn.IFNA(VLOOKUP(Imputar[[#This Row],[Categoría]],EIMI!C:T,10,0),0)</f>
        <v>0</v>
      </c>
    </row>
    <row r="72" spans="1:14" hidden="1" x14ac:dyDescent="0.25">
      <c r="A72" s="206" t="str">
        <f>Indice!$I$11</f>
        <v>EIMI00398</v>
      </c>
      <c r="B72" t="s">
        <v>517</v>
      </c>
      <c r="C72" s="39">
        <f>Indice!$I$12</f>
        <v>46053</v>
      </c>
      <c r="E72">
        <f>ROUND(SUMIFS(CATEGORIAS[[#All],[TOTAL PRODUCCION
ACTUAL]],CATEGORIAS[[#All],[CATEGORIA2]],Imputar[[#This Row],[Categoría]]),0)</f>
        <v>0</v>
      </c>
      <c r="F72">
        <v>0</v>
      </c>
      <c r="G72">
        <f>ROUND(SUMIFS(CATEGORIAS[[#All],[PROYECCION
DE INGRESO
DEL SALDO]],CATEGORIAS[[#All],[CATEGORIA2]],Imputar[[#This Row],[Categoría]]),0)</f>
        <v>0</v>
      </c>
      <c r="H72">
        <f>ROUND(SUMIFS(CATEGORIAS[[#All],[CAMBIO DE
CATEGORIA]],CATEGORIAS[[#All],[CATEGORIA2]],Imputar[[#This Row],[Categoría]]),0)</f>
        <v>0</v>
      </c>
      <c r="I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2">
        <f>+ROUND(SUMIFS(CATEGORIAS[[#All],[PROYECCION
TOTAL DE COSTO]],CATEGORIAS[[#All],[CATEGORIA2]],Imputar[[#This Row],[Categoría]]),0)
-Imputar[[#This Row],[Inventario]]
-Imputar[[#This Row],[Pedidos no Rec]]</f>
        <v>0</v>
      </c>
      <c r="K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2">
        <f>_xlfn.IFNA(VLOOKUP(Imputar[[#This Row],[Categoría]],EIMI!C:T,8,0),0)</f>
        <v>0</v>
      </c>
      <c r="M72">
        <f>_xlfn.IFNA(VLOOKUP(Imputar[[#This Row],[Categoría]],EIMI!C:T,9,0),0)</f>
        <v>0</v>
      </c>
      <c r="N72">
        <f>_xlfn.IFNA(VLOOKUP(Imputar[[#This Row],[Categoría]],EIMI!C:T,10,0),0)</f>
        <v>0</v>
      </c>
    </row>
    <row r="73" spans="1:14" hidden="1" x14ac:dyDescent="0.25">
      <c r="A73" s="206" t="str">
        <f>Indice!$I$11</f>
        <v>EIMI00398</v>
      </c>
      <c r="B73" t="s">
        <v>519</v>
      </c>
      <c r="C73" s="39">
        <f>Indice!$I$12</f>
        <v>46053</v>
      </c>
      <c r="E73">
        <f>ROUND(SUMIFS(CATEGORIAS[[#All],[TOTAL PRODUCCION
ACTUAL]],CATEGORIAS[[#All],[CATEGORIA2]],Imputar[[#This Row],[Categoría]]),0)</f>
        <v>0</v>
      </c>
      <c r="F73">
        <v>0</v>
      </c>
      <c r="G73">
        <f>ROUND(SUMIFS(CATEGORIAS[[#All],[PROYECCION
DE INGRESO
DEL SALDO]],CATEGORIAS[[#All],[CATEGORIA2]],Imputar[[#This Row],[Categoría]]),0)</f>
        <v>0</v>
      </c>
      <c r="H73">
        <f>ROUND(SUMIFS(CATEGORIAS[[#All],[CAMBIO DE
CATEGORIA]],CATEGORIAS[[#All],[CATEGORIA2]],Imputar[[#This Row],[Categoría]]),0)</f>
        <v>0</v>
      </c>
      <c r="I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3">
        <f>+ROUND(SUMIFS(CATEGORIAS[[#All],[PROYECCION
TOTAL DE COSTO]],CATEGORIAS[[#All],[CATEGORIA2]],Imputar[[#This Row],[Categoría]]),0)
-Imputar[[#This Row],[Inventario]]
-Imputar[[#This Row],[Pedidos no Rec]]</f>
        <v>0</v>
      </c>
      <c r="K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3">
        <f>_xlfn.IFNA(VLOOKUP(Imputar[[#This Row],[Categoría]],EIMI!C:T,8,0),0)</f>
        <v>0</v>
      </c>
      <c r="M73">
        <f>_xlfn.IFNA(VLOOKUP(Imputar[[#This Row],[Categoría]],EIMI!C:T,9,0),0)</f>
        <v>0</v>
      </c>
      <c r="N73">
        <f>_xlfn.IFNA(VLOOKUP(Imputar[[#This Row],[Categoría]],EIMI!C:T,10,0),0)</f>
        <v>0</v>
      </c>
    </row>
    <row r="74" spans="1:14" hidden="1" x14ac:dyDescent="0.25">
      <c r="A74" s="206" t="str">
        <f>Indice!$I$11</f>
        <v>EIMI00398</v>
      </c>
      <c r="B74" t="s">
        <v>521</v>
      </c>
      <c r="C74" s="39">
        <f>Indice!$I$12</f>
        <v>46053</v>
      </c>
      <c r="E74">
        <f>ROUND(SUMIFS(CATEGORIAS[[#All],[TOTAL PRODUCCION
ACTUAL]],CATEGORIAS[[#All],[CATEGORIA2]],Imputar[[#This Row],[Categoría]]),0)</f>
        <v>0</v>
      </c>
      <c r="F74">
        <v>0</v>
      </c>
      <c r="G74">
        <f>ROUND(SUMIFS(CATEGORIAS[[#All],[PROYECCION
DE INGRESO
DEL SALDO]],CATEGORIAS[[#All],[CATEGORIA2]],Imputar[[#This Row],[Categoría]]),0)</f>
        <v>0</v>
      </c>
      <c r="H74">
        <f>ROUND(SUMIFS(CATEGORIAS[[#All],[CAMBIO DE
CATEGORIA]],CATEGORIAS[[#All],[CATEGORIA2]],Imputar[[#This Row],[Categoría]]),0)</f>
        <v>0</v>
      </c>
      <c r="I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4">
        <f>+ROUND(SUMIFS(CATEGORIAS[[#All],[PROYECCION
TOTAL DE COSTO]],CATEGORIAS[[#All],[CATEGORIA2]],Imputar[[#This Row],[Categoría]]),0)
-Imputar[[#This Row],[Inventario]]
-Imputar[[#This Row],[Pedidos no Rec]]</f>
        <v>0</v>
      </c>
      <c r="K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4">
        <f>_xlfn.IFNA(VLOOKUP(Imputar[[#This Row],[Categoría]],EIMI!C:T,8,0),0)</f>
        <v>0</v>
      </c>
      <c r="M74">
        <f>_xlfn.IFNA(VLOOKUP(Imputar[[#This Row],[Categoría]],EIMI!C:T,9,0),0)</f>
        <v>0</v>
      </c>
      <c r="N74">
        <f>_xlfn.IFNA(VLOOKUP(Imputar[[#This Row],[Categoría]],EIMI!C:T,10,0),0)</f>
        <v>0</v>
      </c>
    </row>
    <row r="75" spans="1:14" hidden="1" x14ac:dyDescent="0.25">
      <c r="A75" s="206" t="str">
        <f>Indice!$I$11</f>
        <v>EIMI00398</v>
      </c>
      <c r="B75" t="s">
        <v>523</v>
      </c>
      <c r="C75" s="39">
        <f>Indice!$I$12</f>
        <v>46053</v>
      </c>
      <c r="E75">
        <f>ROUND(SUMIFS(CATEGORIAS[[#All],[TOTAL PRODUCCION
ACTUAL]],CATEGORIAS[[#All],[CATEGORIA2]],Imputar[[#This Row],[Categoría]]),0)</f>
        <v>0</v>
      </c>
      <c r="F75">
        <v>0</v>
      </c>
      <c r="G75">
        <f>ROUND(SUMIFS(CATEGORIAS[[#All],[PROYECCION
DE INGRESO
DEL SALDO]],CATEGORIAS[[#All],[CATEGORIA2]],Imputar[[#This Row],[Categoría]]),0)</f>
        <v>0</v>
      </c>
      <c r="H75">
        <f>ROUND(SUMIFS(CATEGORIAS[[#All],[CAMBIO DE
CATEGORIA]],CATEGORIAS[[#All],[CATEGORIA2]],Imputar[[#This Row],[Categoría]]),0)</f>
        <v>0</v>
      </c>
      <c r="I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5">
        <f>+ROUND(SUMIFS(CATEGORIAS[[#All],[PROYECCION
TOTAL DE COSTO]],CATEGORIAS[[#All],[CATEGORIA2]],Imputar[[#This Row],[Categoría]]),0)
-Imputar[[#This Row],[Inventario]]
-Imputar[[#This Row],[Pedidos no Rec]]</f>
        <v>0</v>
      </c>
      <c r="K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5">
        <f>_xlfn.IFNA(VLOOKUP(Imputar[[#This Row],[Categoría]],EIMI!C:T,8,0),0)</f>
        <v>0</v>
      </c>
      <c r="M75">
        <f>_xlfn.IFNA(VLOOKUP(Imputar[[#This Row],[Categoría]],EIMI!C:T,9,0),0)</f>
        <v>0</v>
      </c>
      <c r="N75">
        <f>_xlfn.IFNA(VLOOKUP(Imputar[[#This Row],[Categoría]],EIMI!C:T,10,0),0)</f>
        <v>0</v>
      </c>
    </row>
    <row r="76" spans="1:14" hidden="1" x14ac:dyDescent="0.25">
      <c r="A76" s="206" t="str">
        <f>Indice!$I$11</f>
        <v>EIMI00398</v>
      </c>
      <c r="B76" t="s">
        <v>525</v>
      </c>
      <c r="C76" s="39">
        <f>Indice!$I$12</f>
        <v>46053</v>
      </c>
      <c r="E76">
        <f>ROUND(SUMIFS(CATEGORIAS[[#All],[TOTAL PRODUCCION
ACTUAL]],CATEGORIAS[[#All],[CATEGORIA2]],Imputar[[#This Row],[Categoría]]),0)</f>
        <v>0</v>
      </c>
      <c r="F76">
        <v>0</v>
      </c>
      <c r="G76">
        <f>ROUND(SUMIFS(CATEGORIAS[[#All],[PROYECCION
DE INGRESO
DEL SALDO]],CATEGORIAS[[#All],[CATEGORIA2]],Imputar[[#This Row],[Categoría]]),0)</f>
        <v>0</v>
      </c>
      <c r="H76">
        <f>ROUND(SUMIFS(CATEGORIAS[[#All],[CAMBIO DE
CATEGORIA]],CATEGORIAS[[#All],[CATEGORIA2]],Imputar[[#This Row],[Categoría]]),0)</f>
        <v>0</v>
      </c>
      <c r="I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6">
        <f>+ROUND(SUMIFS(CATEGORIAS[[#All],[PROYECCION
TOTAL DE COSTO]],CATEGORIAS[[#All],[CATEGORIA2]],Imputar[[#This Row],[Categoría]]),0)
-Imputar[[#This Row],[Inventario]]
-Imputar[[#This Row],[Pedidos no Rec]]</f>
        <v>0</v>
      </c>
      <c r="K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6">
        <f>_xlfn.IFNA(VLOOKUP(Imputar[[#This Row],[Categoría]],EIMI!C:T,8,0),0)</f>
        <v>0</v>
      </c>
      <c r="M76">
        <f>_xlfn.IFNA(VLOOKUP(Imputar[[#This Row],[Categoría]],EIMI!C:T,9,0),0)</f>
        <v>0</v>
      </c>
      <c r="N76">
        <f>_xlfn.IFNA(VLOOKUP(Imputar[[#This Row],[Categoría]],EIMI!C:T,10,0),0)</f>
        <v>0</v>
      </c>
    </row>
    <row r="77" spans="1:14" hidden="1" x14ac:dyDescent="0.25">
      <c r="A77" s="206" t="str">
        <f>Indice!$I$11</f>
        <v>EIMI00398</v>
      </c>
      <c r="B77" t="s">
        <v>527</v>
      </c>
      <c r="C77" s="39">
        <f>Indice!$I$12</f>
        <v>46053</v>
      </c>
      <c r="E77">
        <f>ROUND(SUMIFS(CATEGORIAS[[#All],[TOTAL PRODUCCION
ACTUAL]],CATEGORIAS[[#All],[CATEGORIA2]],Imputar[[#This Row],[Categoría]]),0)</f>
        <v>0</v>
      </c>
      <c r="F77">
        <v>0</v>
      </c>
      <c r="G77">
        <f>ROUND(SUMIFS(CATEGORIAS[[#All],[PROYECCION
DE INGRESO
DEL SALDO]],CATEGORIAS[[#All],[CATEGORIA2]],Imputar[[#This Row],[Categoría]]),0)</f>
        <v>0</v>
      </c>
      <c r="H77">
        <f>ROUND(SUMIFS(CATEGORIAS[[#All],[CAMBIO DE
CATEGORIA]],CATEGORIAS[[#All],[CATEGORIA2]],Imputar[[#This Row],[Categoría]]),0)</f>
        <v>0</v>
      </c>
      <c r="I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7">
        <f>+ROUND(SUMIFS(CATEGORIAS[[#All],[PROYECCION
TOTAL DE COSTO]],CATEGORIAS[[#All],[CATEGORIA2]],Imputar[[#This Row],[Categoría]]),0)
-Imputar[[#This Row],[Inventario]]
-Imputar[[#This Row],[Pedidos no Rec]]</f>
        <v>0</v>
      </c>
      <c r="K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7">
        <f>_xlfn.IFNA(VLOOKUP(Imputar[[#This Row],[Categoría]],EIMI!C:T,8,0),0)</f>
        <v>0</v>
      </c>
      <c r="M77">
        <f>_xlfn.IFNA(VLOOKUP(Imputar[[#This Row],[Categoría]],EIMI!C:T,9,0),0)</f>
        <v>0</v>
      </c>
      <c r="N77">
        <f>_xlfn.IFNA(VLOOKUP(Imputar[[#This Row],[Categoría]],EIMI!C:T,10,0),0)</f>
        <v>0</v>
      </c>
    </row>
    <row r="78" spans="1:14" hidden="1" x14ac:dyDescent="0.25">
      <c r="A78" s="206" t="str">
        <f>Indice!$I$11</f>
        <v>EIMI00398</v>
      </c>
      <c r="B78" t="s">
        <v>529</v>
      </c>
      <c r="C78" s="39">
        <f>Indice!$I$12</f>
        <v>46053</v>
      </c>
      <c r="E78">
        <f>ROUND(SUMIFS(CATEGORIAS[[#All],[TOTAL PRODUCCION
ACTUAL]],CATEGORIAS[[#All],[CATEGORIA2]],Imputar[[#This Row],[Categoría]]),0)</f>
        <v>0</v>
      </c>
      <c r="F78">
        <v>0</v>
      </c>
      <c r="G78">
        <f>ROUND(SUMIFS(CATEGORIAS[[#All],[PROYECCION
DE INGRESO
DEL SALDO]],CATEGORIAS[[#All],[CATEGORIA2]],Imputar[[#This Row],[Categoría]]),0)</f>
        <v>0</v>
      </c>
      <c r="H78">
        <f>ROUND(SUMIFS(CATEGORIAS[[#All],[CAMBIO DE
CATEGORIA]],CATEGORIAS[[#All],[CATEGORIA2]],Imputar[[#This Row],[Categoría]]),0)</f>
        <v>0</v>
      </c>
      <c r="I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8">
        <f>+ROUND(SUMIFS(CATEGORIAS[[#All],[PROYECCION
TOTAL DE COSTO]],CATEGORIAS[[#All],[CATEGORIA2]],Imputar[[#This Row],[Categoría]]),0)
-Imputar[[#This Row],[Inventario]]
-Imputar[[#This Row],[Pedidos no Rec]]</f>
        <v>0</v>
      </c>
      <c r="K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8">
        <f>_xlfn.IFNA(VLOOKUP(Imputar[[#This Row],[Categoría]],EIMI!C:T,8,0),0)</f>
        <v>0</v>
      </c>
      <c r="M78">
        <f>_xlfn.IFNA(VLOOKUP(Imputar[[#This Row],[Categoría]],EIMI!C:T,9,0),0)</f>
        <v>0</v>
      </c>
      <c r="N78">
        <f>_xlfn.IFNA(VLOOKUP(Imputar[[#This Row],[Categoría]],EIMI!C:T,10,0),0)</f>
        <v>0</v>
      </c>
    </row>
    <row r="79" spans="1:14" hidden="1" x14ac:dyDescent="0.25">
      <c r="A79" s="206" t="str">
        <f>Indice!$I$11</f>
        <v>EIMI00398</v>
      </c>
      <c r="B79" t="s">
        <v>531</v>
      </c>
      <c r="C79" s="39">
        <f>Indice!$I$12</f>
        <v>46053</v>
      </c>
      <c r="E79">
        <f>ROUND(SUMIFS(CATEGORIAS[[#All],[TOTAL PRODUCCION
ACTUAL]],CATEGORIAS[[#All],[CATEGORIA2]],Imputar[[#This Row],[Categoría]]),0)</f>
        <v>0</v>
      </c>
      <c r="F79">
        <v>0</v>
      </c>
      <c r="G79">
        <f>ROUND(SUMIFS(CATEGORIAS[[#All],[PROYECCION
DE INGRESO
DEL SALDO]],CATEGORIAS[[#All],[CATEGORIA2]],Imputar[[#This Row],[Categoría]]),0)</f>
        <v>0</v>
      </c>
      <c r="H79">
        <f>ROUND(SUMIFS(CATEGORIAS[[#All],[CAMBIO DE
CATEGORIA]],CATEGORIAS[[#All],[CATEGORIA2]],Imputar[[#This Row],[Categoría]]),0)</f>
        <v>0</v>
      </c>
      <c r="I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79">
        <f>+ROUND(SUMIFS(CATEGORIAS[[#All],[PROYECCION
TOTAL DE COSTO]],CATEGORIAS[[#All],[CATEGORIA2]],Imputar[[#This Row],[Categoría]]),0)
-Imputar[[#This Row],[Inventario]]
-Imputar[[#This Row],[Pedidos no Rec]]</f>
        <v>0</v>
      </c>
      <c r="K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79">
        <f>_xlfn.IFNA(VLOOKUP(Imputar[[#This Row],[Categoría]],EIMI!C:T,8,0),0)</f>
        <v>0</v>
      </c>
      <c r="M79">
        <f>_xlfn.IFNA(VLOOKUP(Imputar[[#This Row],[Categoría]],EIMI!C:T,9,0),0)</f>
        <v>0</v>
      </c>
      <c r="N79">
        <f>_xlfn.IFNA(VLOOKUP(Imputar[[#This Row],[Categoría]],EIMI!C:T,10,0),0)</f>
        <v>0</v>
      </c>
    </row>
    <row r="80" spans="1:14" x14ac:dyDescent="0.25">
      <c r="A80" s="206" t="str">
        <f>Indice!$I$11</f>
        <v>EIMI00398</v>
      </c>
      <c r="B80" t="s">
        <v>533</v>
      </c>
      <c r="C80" s="39">
        <f>Indice!$I$12</f>
        <v>46053</v>
      </c>
      <c r="E80">
        <f>ROUND(SUMIFS(CATEGORIAS[[#All],[TOTAL PRODUCCION
ACTUAL]],CATEGORIAS[[#All],[CATEGORIA2]],Imputar[[#This Row],[Categoría]]),0)</f>
        <v>0</v>
      </c>
      <c r="F80">
        <v>0</v>
      </c>
      <c r="G80">
        <f>ROUND(SUMIFS(CATEGORIAS[[#All],[PROYECCION
DE INGRESO
DEL SALDO]],CATEGORIAS[[#All],[CATEGORIA2]],Imputar[[#This Row],[Categoría]]),0)</f>
        <v>0</v>
      </c>
      <c r="H80">
        <f>ROUND(SUMIFS(CATEGORIAS[[#All],[CAMBIO DE
CATEGORIA]],CATEGORIAS[[#All],[CATEGORIA2]],Imputar[[#This Row],[Categoría]]),0)</f>
        <v>0</v>
      </c>
      <c r="I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0">
        <f>+ROUND(SUMIFS(CATEGORIAS[[#All],[PROYECCION
TOTAL DE COSTO]],CATEGORIAS[[#All],[CATEGORIA2]],Imputar[[#This Row],[Categoría]]),0)
-Imputar[[#This Row],[Inventario]]
-Imputar[[#This Row],[Pedidos no Rec]]</f>
        <v>0</v>
      </c>
      <c r="K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0">
        <f>_xlfn.IFNA(VLOOKUP(Imputar[[#This Row],[Categoría]],EIMI!C:T,8,0),0)</f>
        <v>0</v>
      </c>
      <c r="M80">
        <f>_xlfn.IFNA(VLOOKUP(Imputar[[#This Row],[Categoría]],EIMI!C:T,9,0),0)</f>
        <v>0</v>
      </c>
      <c r="N80">
        <f>_xlfn.IFNA(VLOOKUP(Imputar[[#This Row],[Categoría]],EIMI!C:T,10,0),0)</f>
        <v>0</v>
      </c>
    </row>
    <row r="81" spans="1:14" hidden="1" x14ac:dyDescent="0.25">
      <c r="A81" s="206" t="str">
        <f>Indice!$I$11</f>
        <v>EIMI00398</v>
      </c>
      <c r="B81" t="s">
        <v>535</v>
      </c>
      <c r="C81" s="39">
        <f>Indice!$I$12</f>
        <v>46053</v>
      </c>
      <c r="E81">
        <f>ROUND(SUMIFS(CATEGORIAS[[#All],[TOTAL PRODUCCION
ACTUAL]],CATEGORIAS[[#All],[CATEGORIA2]],Imputar[[#This Row],[Categoría]]),0)</f>
        <v>0</v>
      </c>
      <c r="F81">
        <v>0</v>
      </c>
      <c r="G81">
        <f>ROUND(SUMIFS(CATEGORIAS[[#All],[PROYECCION
DE INGRESO
DEL SALDO]],CATEGORIAS[[#All],[CATEGORIA2]],Imputar[[#This Row],[Categoría]]),0)</f>
        <v>0</v>
      </c>
      <c r="H81">
        <f>ROUND(SUMIFS(CATEGORIAS[[#All],[CAMBIO DE
CATEGORIA]],CATEGORIAS[[#All],[CATEGORIA2]],Imputar[[#This Row],[Categoría]]),0)</f>
        <v>0</v>
      </c>
      <c r="I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1">
        <f>+ROUND(SUMIFS(CATEGORIAS[[#All],[PROYECCION
TOTAL DE COSTO]],CATEGORIAS[[#All],[CATEGORIA2]],Imputar[[#This Row],[Categoría]]),0)
-Imputar[[#This Row],[Inventario]]
-Imputar[[#This Row],[Pedidos no Rec]]</f>
        <v>0</v>
      </c>
      <c r="K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1">
        <f>_xlfn.IFNA(VLOOKUP(Imputar[[#This Row],[Categoría]],EIMI!C:T,8,0),0)</f>
        <v>0</v>
      </c>
      <c r="M81">
        <f>_xlfn.IFNA(VLOOKUP(Imputar[[#This Row],[Categoría]],EIMI!C:T,9,0),0)</f>
        <v>0</v>
      </c>
      <c r="N81">
        <f>_xlfn.IFNA(VLOOKUP(Imputar[[#This Row],[Categoría]],EIMI!C:T,10,0),0)</f>
        <v>0</v>
      </c>
    </row>
    <row r="82" spans="1:14" hidden="1" x14ac:dyDescent="0.25">
      <c r="A82" s="206" t="str">
        <f>Indice!$I$11</f>
        <v>EIMI00398</v>
      </c>
      <c r="B82" t="s">
        <v>537</v>
      </c>
      <c r="C82" s="39">
        <f>Indice!$I$12</f>
        <v>46053</v>
      </c>
      <c r="E82">
        <f>ROUND(SUMIFS(CATEGORIAS[[#All],[TOTAL PRODUCCION
ACTUAL]],CATEGORIAS[[#All],[CATEGORIA2]],Imputar[[#This Row],[Categoría]]),0)</f>
        <v>0</v>
      </c>
      <c r="F82">
        <v>0</v>
      </c>
      <c r="G82">
        <f>ROUND(SUMIFS(CATEGORIAS[[#All],[PROYECCION
DE INGRESO
DEL SALDO]],CATEGORIAS[[#All],[CATEGORIA2]],Imputar[[#This Row],[Categoría]]),0)</f>
        <v>0</v>
      </c>
      <c r="H82">
        <f>ROUND(SUMIFS(CATEGORIAS[[#All],[CAMBIO DE
CATEGORIA]],CATEGORIAS[[#All],[CATEGORIA2]],Imputar[[#This Row],[Categoría]]),0)</f>
        <v>0</v>
      </c>
      <c r="I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2">
        <f>+ROUND(SUMIFS(CATEGORIAS[[#All],[PROYECCION
TOTAL DE COSTO]],CATEGORIAS[[#All],[CATEGORIA2]],Imputar[[#This Row],[Categoría]]),0)
-Imputar[[#This Row],[Inventario]]
-Imputar[[#This Row],[Pedidos no Rec]]</f>
        <v>0</v>
      </c>
      <c r="K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2">
        <f>_xlfn.IFNA(VLOOKUP(Imputar[[#This Row],[Categoría]],EIMI!C:T,8,0),0)</f>
        <v>0</v>
      </c>
      <c r="M82">
        <f>_xlfn.IFNA(VLOOKUP(Imputar[[#This Row],[Categoría]],EIMI!C:T,9,0),0)</f>
        <v>0</v>
      </c>
      <c r="N82">
        <f>_xlfn.IFNA(VLOOKUP(Imputar[[#This Row],[Categoría]],EIMI!C:T,10,0),0)</f>
        <v>0</v>
      </c>
    </row>
    <row r="83" spans="1:14" hidden="1" x14ac:dyDescent="0.25">
      <c r="A83" s="206" t="str">
        <f>Indice!$I$11</f>
        <v>EIMI00398</v>
      </c>
      <c r="B83" t="s">
        <v>539</v>
      </c>
      <c r="C83" s="39">
        <f>Indice!$I$12</f>
        <v>46053</v>
      </c>
      <c r="E83">
        <f>ROUND(SUMIFS(CATEGORIAS[[#All],[TOTAL PRODUCCION
ACTUAL]],CATEGORIAS[[#All],[CATEGORIA2]],Imputar[[#This Row],[Categoría]]),0)</f>
        <v>0</v>
      </c>
      <c r="F83">
        <v>0</v>
      </c>
      <c r="G83">
        <f>ROUND(SUMIFS(CATEGORIAS[[#All],[PROYECCION
DE INGRESO
DEL SALDO]],CATEGORIAS[[#All],[CATEGORIA2]],Imputar[[#This Row],[Categoría]]),0)</f>
        <v>0</v>
      </c>
      <c r="H83">
        <f>ROUND(SUMIFS(CATEGORIAS[[#All],[CAMBIO DE
CATEGORIA]],CATEGORIAS[[#All],[CATEGORIA2]],Imputar[[#This Row],[Categoría]]),0)</f>
        <v>0</v>
      </c>
      <c r="I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3">
        <f>+ROUND(SUMIFS(CATEGORIAS[[#All],[PROYECCION
TOTAL DE COSTO]],CATEGORIAS[[#All],[CATEGORIA2]],Imputar[[#This Row],[Categoría]]),0)
-Imputar[[#This Row],[Inventario]]
-Imputar[[#This Row],[Pedidos no Rec]]</f>
        <v>0</v>
      </c>
      <c r="K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3">
        <f>_xlfn.IFNA(VLOOKUP(Imputar[[#This Row],[Categoría]],EIMI!C:T,8,0),0)</f>
        <v>0</v>
      </c>
      <c r="M83">
        <f>_xlfn.IFNA(VLOOKUP(Imputar[[#This Row],[Categoría]],EIMI!C:T,9,0),0)</f>
        <v>0</v>
      </c>
      <c r="N83">
        <f>_xlfn.IFNA(VLOOKUP(Imputar[[#This Row],[Categoría]],EIMI!C:T,10,0),0)</f>
        <v>0</v>
      </c>
    </row>
    <row r="84" spans="1:14" hidden="1" x14ac:dyDescent="0.25">
      <c r="A84" s="206" t="str">
        <f>Indice!$I$11</f>
        <v>EIMI00398</v>
      </c>
      <c r="B84" t="s">
        <v>541</v>
      </c>
      <c r="C84" s="39">
        <f>Indice!$I$12</f>
        <v>46053</v>
      </c>
      <c r="E84">
        <f>ROUND(SUMIFS(CATEGORIAS[[#All],[TOTAL PRODUCCION
ACTUAL]],CATEGORIAS[[#All],[CATEGORIA2]],Imputar[[#This Row],[Categoría]]),0)</f>
        <v>0</v>
      </c>
      <c r="F84">
        <v>0</v>
      </c>
      <c r="G84">
        <f>ROUND(SUMIFS(CATEGORIAS[[#All],[PROYECCION
DE INGRESO
DEL SALDO]],CATEGORIAS[[#All],[CATEGORIA2]],Imputar[[#This Row],[Categoría]]),0)</f>
        <v>0</v>
      </c>
      <c r="H84">
        <f>ROUND(SUMIFS(CATEGORIAS[[#All],[CAMBIO DE
CATEGORIA]],CATEGORIAS[[#All],[CATEGORIA2]],Imputar[[#This Row],[Categoría]]),0)</f>
        <v>0</v>
      </c>
      <c r="I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4">
        <f>+ROUND(SUMIFS(CATEGORIAS[[#All],[PROYECCION
TOTAL DE COSTO]],CATEGORIAS[[#All],[CATEGORIA2]],Imputar[[#This Row],[Categoría]]),0)
-Imputar[[#This Row],[Inventario]]
-Imputar[[#This Row],[Pedidos no Rec]]</f>
        <v>0</v>
      </c>
      <c r="K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4">
        <f>_xlfn.IFNA(VLOOKUP(Imputar[[#This Row],[Categoría]],EIMI!C:T,8,0),0)</f>
        <v>0</v>
      </c>
      <c r="M84">
        <f>_xlfn.IFNA(VLOOKUP(Imputar[[#This Row],[Categoría]],EIMI!C:T,9,0),0)</f>
        <v>0</v>
      </c>
      <c r="N84">
        <f>_xlfn.IFNA(VLOOKUP(Imputar[[#This Row],[Categoría]],EIMI!C:T,10,0),0)</f>
        <v>0</v>
      </c>
    </row>
    <row r="85" spans="1:14" hidden="1" x14ac:dyDescent="0.25">
      <c r="A85" s="206" t="str">
        <f>Indice!$I$11</f>
        <v>EIMI00398</v>
      </c>
      <c r="B85" t="s">
        <v>543</v>
      </c>
      <c r="C85" s="39">
        <f>Indice!$I$12</f>
        <v>46053</v>
      </c>
      <c r="E85">
        <f>ROUND(SUMIFS(CATEGORIAS[[#All],[TOTAL PRODUCCION
ACTUAL]],CATEGORIAS[[#All],[CATEGORIA2]],Imputar[[#This Row],[Categoría]]),0)</f>
        <v>0</v>
      </c>
      <c r="F85">
        <v>0</v>
      </c>
      <c r="G85">
        <f>ROUND(SUMIFS(CATEGORIAS[[#All],[PROYECCION
DE INGRESO
DEL SALDO]],CATEGORIAS[[#All],[CATEGORIA2]],Imputar[[#This Row],[Categoría]]),0)</f>
        <v>0</v>
      </c>
      <c r="H85">
        <f>ROUND(SUMIFS(CATEGORIAS[[#All],[CAMBIO DE
CATEGORIA]],CATEGORIAS[[#All],[CATEGORIA2]],Imputar[[#This Row],[Categoría]]),0)</f>
        <v>0</v>
      </c>
      <c r="I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5">
        <f>+ROUND(SUMIFS(CATEGORIAS[[#All],[PROYECCION
TOTAL DE COSTO]],CATEGORIAS[[#All],[CATEGORIA2]],Imputar[[#This Row],[Categoría]]),0)
-Imputar[[#This Row],[Inventario]]
-Imputar[[#This Row],[Pedidos no Rec]]</f>
        <v>0</v>
      </c>
      <c r="K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5">
        <f>_xlfn.IFNA(VLOOKUP(Imputar[[#This Row],[Categoría]],EIMI!C:T,8,0),0)</f>
        <v>0</v>
      </c>
      <c r="M85">
        <f>_xlfn.IFNA(VLOOKUP(Imputar[[#This Row],[Categoría]],EIMI!C:T,9,0),0)</f>
        <v>0</v>
      </c>
      <c r="N85">
        <f>_xlfn.IFNA(VLOOKUP(Imputar[[#This Row],[Categoría]],EIMI!C:T,10,0),0)</f>
        <v>0</v>
      </c>
    </row>
    <row r="86" spans="1:14" hidden="1" x14ac:dyDescent="0.25">
      <c r="A86" s="206" t="str">
        <f>Indice!$I$11</f>
        <v>EIMI00398</v>
      </c>
      <c r="B86" t="s">
        <v>545</v>
      </c>
      <c r="C86" s="39">
        <f>Indice!$I$12</f>
        <v>46053</v>
      </c>
      <c r="E86">
        <f>ROUND(SUMIFS(CATEGORIAS[[#All],[TOTAL PRODUCCION
ACTUAL]],CATEGORIAS[[#All],[CATEGORIA2]],Imputar[[#This Row],[Categoría]]),0)</f>
        <v>0</v>
      </c>
      <c r="F86">
        <v>0</v>
      </c>
      <c r="G86">
        <f>ROUND(SUMIFS(CATEGORIAS[[#All],[PROYECCION
DE INGRESO
DEL SALDO]],CATEGORIAS[[#All],[CATEGORIA2]],Imputar[[#This Row],[Categoría]]),0)</f>
        <v>0</v>
      </c>
      <c r="H86">
        <f>ROUND(SUMIFS(CATEGORIAS[[#All],[CAMBIO DE
CATEGORIA]],CATEGORIAS[[#All],[CATEGORIA2]],Imputar[[#This Row],[Categoría]]),0)</f>
        <v>0</v>
      </c>
      <c r="I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6">
        <f>+ROUND(SUMIFS(CATEGORIAS[[#All],[PROYECCION
TOTAL DE COSTO]],CATEGORIAS[[#All],[CATEGORIA2]],Imputar[[#This Row],[Categoría]]),0)
-Imputar[[#This Row],[Inventario]]
-Imputar[[#This Row],[Pedidos no Rec]]</f>
        <v>0</v>
      </c>
      <c r="K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6">
        <f>_xlfn.IFNA(VLOOKUP(Imputar[[#This Row],[Categoría]],EIMI!C:T,8,0),0)</f>
        <v>0</v>
      </c>
      <c r="M86">
        <f>_xlfn.IFNA(VLOOKUP(Imputar[[#This Row],[Categoría]],EIMI!C:T,9,0),0)</f>
        <v>0</v>
      </c>
      <c r="N86">
        <f>_xlfn.IFNA(VLOOKUP(Imputar[[#This Row],[Categoría]],EIMI!C:T,10,0),0)</f>
        <v>0</v>
      </c>
    </row>
    <row r="87" spans="1:14" hidden="1" x14ac:dyDescent="0.25">
      <c r="A87" s="206" t="str">
        <f>Indice!$I$11</f>
        <v>EIMI00398</v>
      </c>
      <c r="B87" t="s">
        <v>547</v>
      </c>
      <c r="C87" s="39">
        <f>Indice!$I$12</f>
        <v>46053</v>
      </c>
      <c r="E87">
        <f>ROUND(SUMIFS(CATEGORIAS[[#All],[TOTAL PRODUCCION
ACTUAL]],CATEGORIAS[[#All],[CATEGORIA2]],Imputar[[#This Row],[Categoría]]),0)</f>
        <v>0</v>
      </c>
      <c r="F87">
        <v>0</v>
      </c>
      <c r="G87">
        <f>ROUND(SUMIFS(CATEGORIAS[[#All],[PROYECCION
DE INGRESO
DEL SALDO]],CATEGORIAS[[#All],[CATEGORIA2]],Imputar[[#This Row],[Categoría]]),0)</f>
        <v>0</v>
      </c>
      <c r="H87">
        <f>ROUND(SUMIFS(CATEGORIAS[[#All],[CAMBIO DE
CATEGORIA]],CATEGORIAS[[#All],[CATEGORIA2]],Imputar[[#This Row],[Categoría]]),0)</f>
        <v>0</v>
      </c>
      <c r="I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7">
        <f>+ROUND(SUMIFS(CATEGORIAS[[#All],[PROYECCION
TOTAL DE COSTO]],CATEGORIAS[[#All],[CATEGORIA2]],Imputar[[#This Row],[Categoría]]),0)
-Imputar[[#This Row],[Inventario]]
-Imputar[[#This Row],[Pedidos no Rec]]</f>
        <v>0</v>
      </c>
      <c r="K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7">
        <f>_xlfn.IFNA(VLOOKUP(Imputar[[#This Row],[Categoría]],EIMI!C:T,8,0),0)</f>
        <v>0</v>
      </c>
      <c r="M87">
        <f>_xlfn.IFNA(VLOOKUP(Imputar[[#This Row],[Categoría]],EIMI!C:T,9,0),0)</f>
        <v>0</v>
      </c>
      <c r="N87">
        <f>_xlfn.IFNA(VLOOKUP(Imputar[[#This Row],[Categoría]],EIMI!C:T,10,0),0)</f>
        <v>0</v>
      </c>
    </row>
    <row r="88" spans="1:14" x14ac:dyDescent="0.25">
      <c r="A88" s="206" t="str">
        <f>Indice!$I$11</f>
        <v>EIMI00398</v>
      </c>
      <c r="B88" t="s">
        <v>296</v>
      </c>
      <c r="C88" s="39">
        <f>Indice!$I$12</f>
        <v>46053</v>
      </c>
      <c r="E88">
        <f>ROUND(SUMIFS(CATEGORIAS[[#All],[TOTAL PRODUCCION
ACTUAL]],CATEGORIAS[[#All],[CATEGORIA2]],Imputar[[#This Row],[Categoría]]),0)</f>
        <v>0</v>
      </c>
      <c r="F88">
        <v>0</v>
      </c>
      <c r="G88">
        <f>ROUND(SUMIFS(CATEGORIAS[[#All],[PROYECCION
DE INGRESO
DEL SALDO]],CATEGORIAS[[#All],[CATEGORIA2]],Imputar[[#This Row],[Categoría]]),0)</f>
        <v>0</v>
      </c>
      <c r="H88">
        <f>ROUND(SUMIFS(CATEGORIAS[[#All],[CAMBIO DE
CATEGORIA]],CATEGORIAS[[#All],[CATEGORIA2]],Imputar[[#This Row],[Categoría]]),0)</f>
        <v>0</v>
      </c>
      <c r="I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8">
        <f>+ROUND(SUMIFS(CATEGORIAS[[#All],[PROYECCION
TOTAL DE COSTO]],CATEGORIAS[[#All],[CATEGORIA2]],Imputar[[#This Row],[Categoría]]),0)
-Imputar[[#This Row],[Inventario]]
-Imputar[[#This Row],[Pedidos no Rec]]</f>
        <v>-6912560</v>
      </c>
      <c r="K8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88">
        <f>_xlfn.IFNA(VLOOKUP(Imputar[[#This Row],[Categoría]],EIMI!C:T,8,0),0)</f>
        <v>0</v>
      </c>
      <c r="M88">
        <f>_xlfn.IFNA(VLOOKUP(Imputar[[#This Row],[Categoría]],EIMI!C:T,9,0),0)</f>
        <v>6912560</v>
      </c>
      <c r="N88">
        <f>_xlfn.IFNA(VLOOKUP(Imputar[[#This Row],[Categoría]],EIMI!C:T,10,0),0)</f>
        <v>0</v>
      </c>
    </row>
    <row r="89" spans="1:14" hidden="1" x14ac:dyDescent="0.25">
      <c r="A89" s="206" t="str">
        <f>Indice!$I$11</f>
        <v>EIMI00398</v>
      </c>
      <c r="B89" t="s">
        <v>549</v>
      </c>
      <c r="C89" s="39">
        <f>Indice!$I$12</f>
        <v>46053</v>
      </c>
      <c r="E89">
        <f>ROUND(SUMIFS(CATEGORIAS[[#All],[TOTAL PRODUCCION
ACTUAL]],CATEGORIAS[[#All],[CATEGORIA2]],Imputar[[#This Row],[Categoría]]),0)</f>
        <v>0</v>
      </c>
      <c r="F89">
        <v>0</v>
      </c>
      <c r="G89">
        <f>ROUND(SUMIFS(CATEGORIAS[[#All],[PROYECCION
DE INGRESO
DEL SALDO]],CATEGORIAS[[#All],[CATEGORIA2]],Imputar[[#This Row],[Categoría]]),0)</f>
        <v>0</v>
      </c>
      <c r="H89">
        <f>ROUND(SUMIFS(CATEGORIAS[[#All],[CAMBIO DE
CATEGORIA]],CATEGORIAS[[#All],[CATEGORIA2]],Imputar[[#This Row],[Categoría]]),0)</f>
        <v>0</v>
      </c>
      <c r="I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89">
        <f>+ROUND(SUMIFS(CATEGORIAS[[#All],[PROYECCION
TOTAL DE COSTO]],CATEGORIAS[[#All],[CATEGORIA2]],Imputar[[#This Row],[Categoría]]),0)
-Imputar[[#This Row],[Inventario]]
-Imputar[[#This Row],[Pedidos no Rec]]</f>
        <v>0</v>
      </c>
      <c r="K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89">
        <f>_xlfn.IFNA(VLOOKUP(Imputar[[#This Row],[Categoría]],EIMI!C:T,8,0),0)</f>
        <v>0</v>
      </c>
      <c r="M89">
        <f>_xlfn.IFNA(VLOOKUP(Imputar[[#This Row],[Categoría]],EIMI!C:T,9,0),0)</f>
        <v>0</v>
      </c>
      <c r="N89">
        <f>_xlfn.IFNA(VLOOKUP(Imputar[[#This Row],[Categoría]],EIMI!C:T,10,0),0)</f>
        <v>0</v>
      </c>
    </row>
    <row r="90" spans="1:14" x14ac:dyDescent="0.25">
      <c r="A90" s="206" t="str">
        <f>Indice!$I$11</f>
        <v>EIMI00398</v>
      </c>
      <c r="B90" t="s">
        <v>551</v>
      </c>
      <c r="C90" s="39">
        <f>Indice!$I$12</f>
        <v>46053</v>
      </c>
      <c r="E90">
        <f>ROUND(SUMIFS(CATEGORIAS[[#All],[TOTAL PRODUCCION
ACTUAL]],CATEGORIAS[[#All],[CATEGORIA2]],Imputar[[#This Row],[Categoría]]),0)</f>
        <v>0</v>
      </c>
      <c r="F90">
        <v>0</v>
      </c>
      <c r="G90">
        <f>ROUND(SUMIFS(CATEGORIAS[[#All],[PROYECCION
DE INGRESO
DEL SALDO]],CATEGORIAS[[#All],[CATEGORIA2]],Imputar[[#This Row],[Categoría]]),0)</f>
        <v>0</v>
      </c>
      <c r="H90">
        <f>ROUND(SUMIFS(CATEGORIAS[[#All],[CAMBIO DE
CATEGORIA]],CATEGORIAS[[#All],[CATEGORIA2]],Imputar[[#This Row],[Categoría]]),0)</f>
        <v>0</v>
      </c>
      <c r="I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0">
        <f>+ROUND(SUMIFS(CATEGORIAS[[#All],[PROYECCION
TOTAL DE COSTO]],CATEGORIAS[[#All],[CATEGORIA2]],Imputar[[#This Row],[Categoría]]),0)
-Imputar[[#This Row],[Inventario]]
-Imputar[[#This Row],[Pedidos no Rec]]</f>
        <v>0</v>
      </c>
      <c r="K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0">
        <f>_xlfn.IFNA(VLOOKUP(Imputar[[#This Row],[Categoría]],EIMI!C:T,8,0),0)</f>
        <v>0</v>
      </c>
      <c r="M90">
        <f>_xlfn.IFNA(VLOOKUP(Imputar[[#This Row],[Categoría]],EIMI!C:T,9,0),0)</f>
        <v>0</v>
      </c>
      <c r="N90">
        <f>_xlfn.IFNA(VLOOKUP(Imputar[[#This Row],[Categoría]],EIMI!C:T,10,0),0)</f>
        <v>0</v>
      </c>
    </row>
    <row r="91" spans="1:14" hidden="1" x14ac:dyDescent="0.25">
      <c r="A91" s="206" t="str">
        <f>Indice!$I$11</f>
        <v>EIMI00398</v>
      </c>
      <c r="B91" t="s">
        <v>553</v>
      </c>
      <c r="C91" s="39">
        <f>Indice!$I$12</f>
        <v>46053</v>
      </c>
      <c r="E91">
        <f>ROUND(SUMIFS(CATEGORIAS[[#All],[TOTAL PRODUCCION
ACTUAL]],CATEGORIAS[[#All],[CATEGORIA2]],Imputar[[#This Row],[Categoría]]),0)</f>
        <v>0</v>
      </c>
      <c r="F91">
        <v>0</v>
      </c>
      <c r="G91">
        <f>ROUND(SUMIFS(CATEGORIAS[[#All],[PROYECCION
DE INGRESO
DEL SALDO]],CATEGORIAS[[#All],[CATEGORIA2]],Imputar[[#This Row],[Categoría]]),0)</f>
        <v>0</v>
      </c>
      <c r="H91">
        <f>ROUND(SUMIFS(CATEGORIAS[[#All],[CAMBIO DE
CATEGORIA]],CATEGORIAS[[#All],[CATEGORIA2]],Imputar[[#This Row],[Categoría]]),0)</f>
        <v>0</v>
      </c>
      <c r="I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1">
        <f>+ROUND(SUMIFS(CATEGORIAS[[#All],[PROYECCION
TOTAL DE COSTO]],CATEGORIAS[[#All],[CATEGORIA2]],Imputar[[#This Row],[Categoría]]),0)
-Imputar[[#This Row],[Inventario]]
-Imputar[[#This Row],[Pedidos no Rec]]</f>
        <v>0</v>
      </c>
      <c r="K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1">
        <f>_xlfn.IFNA(VLOOKUP(Imputar[[#This Row],[Categoría]],EIMI!C:T,8,0),0)</f>
        <v>0</v>
      </c>
      <c r="M91">
        <f>_xlfn.IFNA(VLOOKUP(Imputar[[#This Row],[Categoría]],EIMI!C:T,9,0),0)</f>
        <v>0</v>
      </c>
      <c r="N91">
        <f>_xlfn.IFNA(VLOOKUP(Imputar[[#This Row],[Categoría]],EIMI!C:T,10,0),0)</f>
        <v>0</v>
      </c>
    </row>
    <row r="92" spans="1:14" hidden="1" x14ac:dyDescent="0.25">
      <c r="A92" s="206" t="str">
        <f>Indice!$I$11</f>
        <v>EIMI00398</v>
      </c>
      <c r="B92" t="s">
        <v>555</v>
      </c>
      <c r="C92" s="39">
        <f>Indice!$I$12</f>
        <v>46053</v>
      </c>
      <c r="E92">
        <f>ROUND(SUMIFS(CATEGORIAS[[#All],[TOTAL PRODUCCION
ACTUAL]],CATEGORIAS[[#All],[CATEGORIA2]],Imputar[[#This Row],[Categoría]]),0)</f>
        <v>0</v>
      </c>
      <c r="F92">
        <v>0</v>
      </c>
      <c r="G92">
        <f>ROUND(SUMIFS(CATEGORIAS[[#All],[PROYECCION
DE INGRESO
DEL SALDO]],CATEGORIAS[[#All],[CATEGORIA2]],Imputar[[#This Row],[Categoría]]),0)</f>
        <v>0</v>
      </c>
      <c r="H92">
        <f>ROUND(SUMIFS(CATEGORIAS[[#All],[CAMBIO DE
CATEGORIA]],CATEGORIAS[[#All],[CATEGORIA2]],Imputar[[#This Row],[Categoría]]),0)</f>
        <v>0</v>
      </c>
      <c r="I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2">
        <f>+ROUND(SUMIFS(CATEGORIAS[[#All],[PROYECCION
TOTAL DE COSTO]],CATEGORIAS[[#All],[CATEGORIA2]],Imputar[[#This Row],[Categoría]]),0)
-Imputar[[#This Row],[Inventario]]
-Imputar[[#This Row],[Pedidos no Rec]]</f>
        <v>0</v>
      </c>
      <c r="K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2">
        <f>_xlfn.IFNA(VLOOKUP(Imputar[[#This Row],[Categoría]],EIMI!C:T,8,0),0)</f>
        <v>0</v>
      </c>
      <c r="M92">
        <f>_xlfn.IFNA(VLOOKUP(Imputar[[#This Row],[Categoría]],EIMI!C:T,9,0),0)</f>
        <v>0</v>
      </c>
      <c r="N92">
        <f>_xlfn.IFNA(VLOOKUP(Imputar[[#This Row],[Categoría]],EIMI!C:T,10,0),0)</f>
        <v>0</v>
      </c>
    </row>
    <row r="93" spans="1:14" hidden="1" x14ac:dyDescent="0.25">
      <c r="A93" s="206" t="str">
        <f>Indice!$I$11</f>
        <v>EIMI00398</v>
      </c>
      <c r="B93" t="s">
        <v>557</v>
      </c>
      <c r="C93" s="39">
        <f>Indice!$I$12</f>
        <v>46053</v>
      </c>
      <c r="E93">
        <f>ROUND(SUMIFS(CATEGORIAS[[#All],[TOTAL PRODUCCION
ACTUAL]],CATEGORIAS[[#All],[CATEGORIA2]],Imputar[[#This Row],[Categoría]]),0)</f>
        <v>0</v>
      </c>
      <c r="F93">
        <v>0</v>
      </c>
      <c r="G93">
        <f>ROUND(SUMIFS(CATEGORIAS[[#All],[PROYECCION
DE INGRESO
DEL SALDO]],CATEGORIAS[[#All],[CATEGORIA2]],Imputar[[#This Row],[Categoría]]),0)</f>
        <v>0</v>
      </c>
      <c r="H93">
        <f>ROUND(SUMIFS(CATEGORIAS[[#All],[CAMBIO DE
CATEGORIA]],CATEGORIAS[[#All],[CATEGORIA2]],Imputar[[#This Row],[Categoría]]),0)</f>
        <v>0</v>
      </c>
      <c r="I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3">
        <f>+ROUND(SUMIFS(CATEGORIAS[[#All],[PROYECCION
TOTAL DE COSTO]],CATEGORIAS[[#All],[CATEGORIA2]],Imputar[[#This Row],[Categoría]]),0)
-Imputar[[#This Row],[Inventario]]
-Imputar[[#This Row],[Pedidos no Rec]]</f>
        <v>0</v>
      </c>
      <c r="K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3">
        <f>_xlfn.IFNA(VLOOKUP(Imputar[[#This Row],[Categoría]],EIMI!C:T,8,0),0)</f>
        <v>0</v>
      </c>
      <c r="M93">
        <f>_xlfn.IFNA(VLOOKUP(Imputar[[#This Row],[Categoría]],EIMI!C:T,9,0),0)</f>
        <v>0</v>
      </c>
      <c r="N93">
        <f>_xlfn.IFNA(VLOOKUP(Imputar[[#This Row],[Categoría]],EIMI!C:T,10,0),0)</f>
        <v>0</v>
      </c>
    </row>
    <row r="94" spans="1:14" hidden="1" x14ac:dyDescent="0.25">
      <c r="A94" s="206" t="str">
        <f>Indice!$I$11</f>
        <v>EIMI00398</v>
      </c>
      <c r="B94" t="s">
        <v>559</v>
      </c>
      <c r="C94" s="39">
        <f>Indice!$I$12</f>
        <v>46053</v>
      </c>
      <c r="E94">
        <f>ROUND(SUMIFS(CATEGORIAS[[#All],[TOTAL PRODUCCION
ACTUAL]],CATEGORIAS[[#All],[CATEGORIA2]],Imputar[[#This Row],[Categoría]]),0)</f>
        <v>0</v>
      </c>
      <c r="F94">
        <v>0</v>
      </c>
      <c r="G94">
        <f>ROUND(SUMIFS(CATEGORIAS[[#All],[PROYECCION
DE INGRESO
DEL SALDO]],CATEGORIAS[[#All],[CATEGORIA2]],Imputar[[#This Row],[Categoría]]),0)</f>
        <v>0</v>
      </c>
      <c r="H94">
        <f>ROUND(SUMIFS(CATEGORIAS[[#All],[CAMBIO DE
CATEGORIA]],CATEGORIAS[[#All],[CATEGORIA2]],Imputar[[#This Row],[Categoría]]),0)</f>
        <v>0</v>
      </c>
      <c r="I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4">
        <f>+ROUND(SUMIFS(CATEGORIAS[[#All],[PROYECCION
TOTAL DE COSTO]],CATEGORIAS[[#All],[CATEGORIA2]],Imputar[[#This Row],[Categoría]]),0)
-Imputar[[#This Row],[Inventario]]
-Imputar[[#This Row],[Pedidos no Rec]]</f>
        <v>0</v>
      </c>
      <c r="K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4">
        <f>_xlfn.IFNA(VLOOKUP(Imputar[[#This Row],[Categoría]],EIMI!C:T,8,0),0)</f>
        <v>0</v>
      </c>
      <c r="M94">
        <f>_xlfn.IFNA(VLOOKUP(Imputar[[#This Row],[Categoría]],EIMI!C:T,9,0),0)</f>
        <v>0</v>
      </c>
      <c r="N94">
        <f>_xlfn.IFNA(VLOOKUP(Imputar[[#This Row],[Categoría]],EIMI!C:T,10,0),0)</f>
        <v>0</v>
      </c>
    </row>
    <row r="95" spans="1:14" hidden="1" x14ac:dyDescent="0.25">
      <c r="A95" s="206" t="str">
        <f>Indice!$I$11</f>
        <v>EIMI00398</v>
      </c>
      <c r="B95" t="s">
        <v>561</v>
      </c>
      <c r="C95" s="39">
        <f>Indice!$I$12</f>
        <v>46053</v>
      </c>
      <c r="E95">
        <f>ROUND(SUMIFS(CATEGORIAS[[#All],[TOTAL PRODUCCION
ACTUAL]],CATEGORIAS[[#All],[CATEGORIA2]],Imputar[[#This Row],[Categoría]]),0)</f>
        <v>0</v>
      </c>
      <c r="F95">
        <v>0</v>
      </c>
      <c r="G95">
        <f>ROUND(SUMIFS(CATEGORIAS[[#All],[PROYECCION
DE INGRESO
DEL SALDO]],CATEGORIAS[[#All],[CATEGORIA2]],Imputar[[#This Row],[Categoría]]),0)</f>
        <v>0</v>
      </c>
      <c r="H95">
        <f>ROUND(SUMIFS(CATEGORIAS[[#All],[CAMBIO DE
CATEGORIA]],CATEGORIAS[[#All],[CATEGORIA2]],Imputar[[#This Row],[Categoría]]),0)</f>
        <v>0</v>
      </c>
      <c r="I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5">
        <f>+ROUND(SUMIFS(CATEGORIAS[[#All],[PROYECCION
TOTAL DE COSTO]],CATEGORIAS[[#All],[CATEGORIA2]],Imputar[[#This Row],[Categoría]]),0)
-Imputar[[#This Row],[Inventario]]
-Imputar[[#This Row],[Pedidos no Rec]]</f>
        <v>0</v>
      </c>
      <c r="K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5">
        <f>_xlfn.IFNA(VLOOKUP(Imputar[[#This Row],[Categoría]],EIMI!C:T,8,0),0)</f>
        <v>0</v>
      </c>
      <c r="M95">
        <f>_xlfn.IFNA(VLOOKUP(Imputar[[#This Row],[Categoría]],EIMI!C:T,9,0),0)</f>
        <v>0</v>
      </c>
      <c r="N95">
        <f>_xlfn.IFNA(VLOOKUP(Imputar[[#This Row],[Categoría]],EIMI!C:T,10,0),0)</f>
        <v>0</v>
      </c>
    </row>
    <row r="96" spans="1:14" x14ac:dyDescent="0.25">
      <c r="A96" s="206" t="str">
        <f>Indice!$I$11</f>
        <v>EIMI00398</v>
      </c>
      <c r="B96" t="s">
        <v>563</v>
      </c>
      <c r="C96" s="39">
        <f>Indice!$I$12</f>
        <v>46053</v>
      </c>
      <c r="E96">
        <f>ROUND(SUMIFS(CATEGORIAS[[#All],[TOTAL PRODUCCION
ACTUAL]],CATEGORIAS[[#All],[CATEGORIA2]],Imputar[[#This Row],[Categoría]]),0)</f>
        <v>0</v>
      </c>
      <c r="F96">
        <v>0</v>
      </c>
      <c r="G96">
        <f>ROUND(SUMIFS(CATEGORIAS[[#All],[PROYECCION
DE INGRESO
DEL SALDO]],CATEGORIAS[[#All],[CATEGORIA2]],Imputar[[#This Row],[Categoría]]),0)</f>
        <v>0</v>
      </c>
      <c r="H96">
        <f>ROUND(SUMIFS(CATEGORIAS[[#All],[CAMBIO DE
CATEGORIA]],CATEGORIAS[[#All],[CATEGORIA2]],Imputar[[#This Row],[Categoría]]),0)</f>
        <v>0</v>
      </c>
      <c r="I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6">
        <f>+ROUND(SUMIFS(CATEGORIAS[[#All],[PROYECCION
TOTAL DE COSTO]],CATEGORIAS[[#All],[CATEGORIA2]],Imputar[[#This Row],[Categoría]]),0)
-Imputar[[#This Row],[Inventario]]
-Imputar[[#This Row],[Pedidos no Rec]]</f>
        <v>0</v>
      </c>
      <c r="K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6">
        <f>_xlfn.IFNA(VLOOKUP(Imputar[[#This Row],[Categoría]],EIMI!C:T,8,0),0)</f>
        <v>0</v>
      </c>
      <c r="M96">
        <f>_xlfn.IFNA(VLOOKUP(Imputar[[#This Row],[Categoría]],EIMI!C:T,9,0),0)</f>
        <v>0</v>
      </c>
      <c r="N96">
        <f>_xlfn.IFNA(VLOOKUP(Imputar[[#This Row],[Categoría]],EIMI!C:T,10,0),0)</f>
        <v>0</v>
      </c>
    </row>
    <row r="97" spans="1:14" hidden="1" x14ac:dyDescent="0.25">
      <c r="A97" s="206" t="str">
        <f>Indice!$I$11</f>
        <v>EIMI00398</v>
      </c>
      <c r="B97" t="s">
        <v>565</v>
      </c>
      <c r="C97" s="39">
        <f>Indice!$I$12</f>
        <v>46053</v>
      </c>
      <c r="E97">
        <f>ROUND(SUMIFS(CATEGORIAS[[#All],[TOTAL PRODUCCION
ACTUAL]],CATEGORIAS[[#All],[CATEGORIA2]],Imputar[[#This Row],[Categoría]]),0)</f>
        <v>0</v>
      </c>
      <c r="F97">
        <v>0</v>
      </c>
      <c r="G97">
        <f>ROUND(SUMIFS(CATEGORIAS[[#All],[PROYECCION
DE INGRESO
DEL SALDO]],CATEGORIAS[[#All],[CATEGORIA2]],Imputar[[#This Row],[Categoría]]),0)</f>
        <v>0</v>
      </c>
      <c r="H97">
        <f>ROUND(SUMIFS(CATEGORIAS[[#All],[CAMBIO DE
CATEGORIA]],CATEGORIAS[[#All],[CATEGORIA2]],Imputar[[#This Row],[Categoría]]),0)</f>
        <v>0</v>
      </c>
      <c r="I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7">
        <f>+ROUND(SUMIFS(CATEGORIAS[[#All],[PROYECCION
TOTAL DE COSTO]],CATEGORIAS[[#All],[CATEGORIA2]],Imputar[[#This Row],[Categoría]]),0)
-Imputar[[#This Row],[Inventario]]
-Imputar[[#This Row],[Pedidos no Rec]]</f>
        <v>0</v>
      </c>
      <c r="K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7">
        <f>_xlfn.IFNA(VLOOKUP(Imputar[[#This Row],[Categoría]],EIMI!C:T,8,0),0)</f>
        <v>0</v>
      </c>
      <c r="M97">
        <f>_xlfn.IFNA(VLOOKUP(Imputar[[#This Row],[Categoría]],EIMI!C:T,9,0),0)</f>
        <v>0</v>
      </c>
      <c r="N97">
        <f>_xlfn.IFNA(VLOOKUP(Imputar[[#This Row],[Categoría]],EIMI!C:T,10,0),0)</f>
        <v>0</v>
      </c>
    </row>
    <row r="98" spans="1:14" x14ac:dyDescent="0.25">
      <c r="A98" s="206" t="str">
        <f>Indice!$I$11</f>
        <v>EIMI00398</v>
      </c>
      <c r="B98" t="s">
        <v>567</v>
      </c>
      <c r="C98" s="39">
        <f>Indice!$I$12</f>
        <v>46053</v>
      </c>
      <c r="E98">
        <f>ROUND(SUMIFS(CATEGORIAS[[#All],[TOTAL PRODUCCION
ACTUAL]],CATEGORIAS[[#All],[CATEGORIA2]],Imputar[[#This Row],[Categoría]]),0)</f>
        <v>0</v>
      </c>
      <c r="F98">
        <v>0</v>
      </c>
      <c r="G98">
        <f>ROUND(SUMIFS(CATEGORIAS[[#All],[PROYECCION
DE INGRESO
DEL SALDO]],CATEGORIAS[[#All],[CATEGORIA2]],Imputar[[#This Row],[Categoría]]),0)</f>
        <v>0</v>
      </c>
      <c r="H98">
        <f>ROUND(SUMIFS(CATEGORIAS[[#All],[CAMBIO DE
CATEGORIA]],CATEGORIAS[[#All],[CATEGORIA2]],Imputar[[#This Row],[Categoría]]),0)</f>
        <v>0</v>
      </c>
      <c r="I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8">
        <f>+ROUND(SUMIFS(CATEGORIAS[[#All],[PROYECCION
TOTAL DE COSTO]],CATEGORIAS[[#All],[CATEGORIA2]],Imputar[[#This Row],[Categoría]]),0)
-Imputar[[#This Row],[Inventario]]
-Imputar[[#This Row],[Pedidos no Rec]]</f>
        <v>0</v>
      </c>
      <c r="K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8">
        <f>_xlfn.IFNA(VLOOKUP(Imputar[[#This Row],[Categoría]],EIMI!C:T,8,0),0)</f>
        <v>0</v>
      </c>
      <c r="M98">
        <f>_xlfn.IFNA(VLOOKUP(Imputar[[#This Row],[Categoría]],EIMI!C:T,9,0),0)</f>
        <v>0</v>
      </c>
      <c r="N98">
        <f>_xlfn.IFNA(VLOOKUP(Imputar[[#This Row],[Categoría]],EIMI!C:T,10,0),0)</f>
        <v>0</v>
      </c>
    </row>
    <row r="99" spans="1:14" hidden="1" x14ac:dyDescent="0.25">
      <c r="A99" s="206" t="str">
        <f>Indice!$I$11</f>
        <v>EIMI00398</v>
      </c>
      <c r="B99" t="s">
        <v>569</v>
      </c>
      <c r="C99" s="39">
        <f>Indice!$I$12</f>
        <v>46053</v>
      </c>
      <c r="E99">
        <f>ROUND(SUMIFS(CATEGORIAS[[#All],[TOTAL PRODUCCION
ACTUAL]],CATEGORIAS[[#All],[CATEGORIA2]],Imputar[[#This Row],[Categoría]]),0)</f>
        <v>0</v>
      </c>
      <c r="F99">
        <v>0</v>
      </c>
      <c r="G99">
        <f>ROUND(SUMIFS(CATEGORIAS[[#All],[PROYECCION
DE INGRESO
DEL SALDO]],CATEGORIAS[[#All],[CATEGORIA2]],Imputar[[#This Row],[Categoría]]),0)</f>
        <v>0</v>
      </c>
      <c r="H99">
        <f>ROUND(SUMIFS(CATEGORIAS[[#All],[CAMBIO DE
CATEGORIA]],CATEGORIAS[[#All],[CATEGORIA2]],Imputar[[#This Row],[Categoría]]),0)</f>
        <v>0</v>
      </c>
      <c r="I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99">
        <f>+ROUND(SUMIFS(CATEGORIAS[[#All],[PROYECCION
TOTAL DE COSTO]],CATEGORIAS[[#All],[CATEGORIA2]],Imputar[[#This Row],[Categoría]]),0)
-Imputar[[#This Row],[Inventario]]
-Imputar[[#This Row],[Pedidos no Rec]]</f>
        <v>0</v>
      </c>
      <c r="K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99">
        <f>_xlfn.IFNA(VLOOKUP(Imputar[[#This Row],[Categoría]],EIMI!C:T,8,0),0)</f>
        <v>0</v>
      </c>
      <c r="M99">
        <f>_xlfn.IFNA(VLOOKUP(Imputar[[#This Row],[Categoría]],EIMI!C:T,9,0),0)</f>
        <v>0</v>
      </c>
      <c r="N99">
        <f>_xlfn.IFNA(VLOOKUP(Imputar[[#This Row],[Categoría]],EIMI!C:T,10,0),0)</f>
        <v>0</v>
      </c>
    </row>
    <row r="100" spans="1:14" hidden="1" x14ac:dyDescent="0.25">
      <c r="A100" s="206" t="str">
        <f>Indice!$I$11</f>
        <v>EIMI00398</v>
      </c>
      <c r="B100" t="s">
        <v>571</v>
      </c>
      <c r="C100" s="39">
        <f>Indice!$I$12</f>
        <v>46053</v>
      </c>
      <c r="E100">
        <f>ROUND(SUMIFS(CATEGORIAS[[#All],[TOTAL PRODUCCION
ACTUAL]],CATEGORIAS[[#All],[CATEGORIA2]],Imputar[[#This Row],[Categoría]]),0)</f>
        <v>0</v>
      </c>
      <c r="F100">
        <v>0</v>
      </c>
      <c r="G100">
        <f>ROUND(SUMIFS(CATEGORIAS[[#All],[PROYECCION
DE INGRESO
DEL SALDO]],CATEGORIAS[[#All],[CATEGORIA2]],Imputar[[#This Row],[Categoría]]),0)</f>
        <v>0</v>
      </c>
      <c r="H100">
        <f>ROUND(SUMIFS(CATEGORIAS[[#All],[CAMBIO DE
CATEGORIA]],CATEGORIAS[[#All],[CATEGORIA2]],Imputar[[#This Row],[Categoría]]),0)</f>
        <v>0</v>
      </c>
      <c r="I1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0">
        <f>+ROUND(SUMIFS(CATEGORIAS[[#All],[PROYECCION
TOTAL DE COSTO]],CATEGORIAS[[#All],[CATEGORIA2]],Imputar[[#This Row],[Categoría]]),0)
-Imputar[[#This Row],[Inventario]]
-Imputar[[#This Row],[Pedidos no Rec]]</f>
        <v>0</v>
      </c>
      <c r="K1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0">
        <f>_xlfn.IFNA(VLOOKUP(Imputar[[#This Row],[Categoría]],EIMI!C:T,8,0),0)</f>
        <v>0</v>
      </c>
      <c r="M100">
        <f>_xlfn.IFNA(VLOOKUP(Imputar[[#This Row],[Categoría]],EIMI!C:T,9,0),0)</f>
        <v>0</v>
      </c>
      <c r="N100">
        <f>_xlfn.IFNA(VLOOKUP(Imputar[[#This Row],[Categoría]],EIMI!C:T,10,0),0)</f>
        <v>0</v>
      </c>
    </row>
    <row r="101" spans="1:14" hidden="1" x14ac:dyDescent="0.25">
      <c r="A101" s="206" t="str">
        <f>Indice!$I$11</f>
        <v>EIMI00398</v>
      </c>
      <c r="B101" t="s">
        <v>573</v>
      </c>
      <c r="C101" s="39">
        <f>Indice!$I$12</f>
        <v>46053</v>
      </c>
      <c r="E101">
        <f>ROUND(SUMIFS(CATEGORIAS[[#All],[TOTAL PRODUCCION
ACTUAL]],CATEGORIAS[[#All],[CATEGORIA2]],Imputar[[#This Row],[Categoría]]),0)</f>
        <v>0</v>
      </c>
      <c r="F101">
        <v>0</v>
      </c>
      <c r="G101">
        <f>ROUND(SUMIFS(CATEGORIAS[[#All],[PROYECCION
DE INGRESO
DEL SALDO]],CATEGORIAS[[#All],[CATEGORIA2]],Imputar[[#This Row],[Categoría]]),0)</f>
        <v>0</v>
      </c>
      <c r="H101">
        <f>ROUND(SUMIFS(CATEGORIAS[[#All],[CAMBIO DE
CATEGORIA]],CATEGORIAS[[#All],[CATEGORIA2]],Imputar[[#This Row],[Categoría]]),0)</f>
        <v>0</v>
      </c>
      <c r="I1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1">
        <f>+ROUND(SUMIFS(CATEGORIAS[[#All],[PROYECCION
TOTAL DE COSTO]],CATEGORIAS[[#All],[CATEGORIA2]],Imputar[[#This Row],[Categoría]]),0)
-Imputar[[#This Row],[Inventario]]
-Imputar[[#This Row],[Pedidos no Rec]]</f>
        <v>0</v>
      </c>
      <c r="K1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1">
        <f>_xlfn.IFNA(VLOOKUP(Imputar[[#This Row],[Categoría]],EIMI!C:T,8,0),0)</f>
        <v>0</v>
      </c>
      <c r="M101">
        <f>_xlfn.IFNA(VLOOKUP(Imputar[[#This Row],[Categoría]],EIMI!C:T,9,0),0)</f>
        <v>0</v>
      </c>
      <c r="N101">
        <f>_xlfn.IFNA(VLOOKUP(Imputar[[#This Row],[Categoría]],EIMI!C:T,10,0),0)</f>
        <v>0</v>
      </c>
    </row>
    <row r="102" spans="1:14" hidden="1" x14ac:dyDescent="0.25">
      <c r="A102" s="206" t="str">
        <f>Indice!$I$11</f>
        <v>EIMI00398</v>
      </c>
      <c r="B102" t="s">
        <v>575</v>
      </c>
      <c r="C102" s="39">
        <f>Indice!$I$12</f>
        <v>46053</v>
      </c>
      <c r="E102">
        <f>ROUND(SUMIFS(CATEGORIAS[[#All],[TOTAL PRODUCCION
ACTUAL]],CATEGORIAS[[#All],[CATEGORIA2]],Imputar[[#This Row],[Categoría]]),0)</f>
        <v>0</v>
      </c>
      <c r="F102">
        <v>0</v>
      </c>
      <c r="G102">
        <f>ROUND(SUMIFS(CATEGORIAS[[#All],[PROYECCION
DE INGRESO
DEL SALDO]],CATEGORIAS[[#All],[CATEGORIA2]],Imputar[[#This Row],[Categoría]]),0)</f>
        <v>0</v>
      </c>
      <c r="H102">
        <f>ROUND(SUMIFS(CATEGORIAS[[#All],[CAMBIO DE
CATEGORIA]],CATEGORIAS[[#All],[CATEGORIA2]],Imputar[[#This Row],[Categoría]]),0)</f>
        <v>0</v>
      </c>
      <c r="I1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2">
        <f>+ROUND(SUMIFS(CATEGORIAS[[#All],[PROYECCION
TOTAL DE COSTO]],CATEGORIAS[[#All],[CATEGORIA2]],Imputar[[#This Row],[Categoría]]),0)
-Imputar[[#This Row],[Inventario]]
-Imputar[[#This Row],[Pedidos no Rec]]</f>
        <v>0</v>
      </c>
      <c r="K1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2">
        <f>_xlfn.IFNA(VLOOKUP(Imputar[[#This Row],[Categoría]],EIMI!C:T,8,0),0)</f>
        <v>0</v>
      </c>
      <c r="M102">
        <f>_xlfn.IFNA(VLOOKUP(Imputar[[#This Row],[Categoría]],EIMI!C:T,9,0),0)</f>
        <v>0</v>
      </c>
      <c r="N102">
        <f>_xlfn.IFNA(VLOOKUP(Imputar[[#This Row],[Categoría]],EIMI!C:T,10,0),0)</f>
        <v>0</v>
      </c>
    </row>
    <row r="103" spans="1:14" hidden="1" x14ac:dyDescent="0.25">
      <c r="A103" s="206" t="str">
        <f>Indice!$I$11</f>
        <v>EIMI00398</v>
      </c>
      <c r="B103" t="s">
        <v>577</v>
      </c>
      <c r="C103" s="39">
        <f>Indice!$I$12</f>
        <v>46053</v>
      </c>
      <c r="E103">
        <f>ROUND(SUMIFS(CATEGORIAS[[#All],[TOTAL PRODUCCION
ACTUAL]],CATEGORIAS[[#All],[CATEGORIA2]],Imputar[[#This Row],[Categoría]]),0)</f>
        <v>0</v>
      </c>
      <c r="F103">
        <v>0</v>
      </c>
      <c r="G103">
        <f>ROUND(SUMIFS(CATEGORIAS[[#All],[PROYECCION
DE INGRESO
DEL SALDO]],CATEGORIAS[[#All],[CATEGORIA2]],Imputar[[#This Row],[Categoría]]),0)</f>
        <v>0</v>
      </c>
      <c r="H103">
        <f>ROUND(SUMIFS(CATEGORIAS[[#All],[CAMBIO DE
CATEGORIA]],CATEGORIAS[[#All],[CATEGORIA2]],Imputar[[#This Row],[Categoría]]),0)</f>
        <v>0</v>
      </c>
      <c r="I1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3">
        <f>+ROUND(SUMIFS(CATEGORIAS[[#All],[PROYECCION
TOTAL DE COSTO]],CATEGORIAS[[#All],[CATEGORIA2]],Imputar[[#This Row],[Categoría]]),0)
-Imputar[[#This Row],[Inventario]]
-Imputar[[#This Row],[Pedidos no Rec]]</f>
        <v>0</v>
      </c>
      <c r="K1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3">
        <f>_xlfn.IFNA(VLOOKUP(Imputar[[#This Row],[Categoría]],EIMI!C:T,8,0),0)</f>
        <v>0</v>
      </c>
      <c r="M103">
        <f>_xlfn.IFNA(VLOOKUP(Imputar[[#This Row],[Categoría]],EIMI!C:T,9,0),0)</f>
        <v>0</v>
      </c>
      <c r="N103">
        <f>_xlfn.IFNA(VLOOKUP(Imputar[[#This Row],[Categoría]],EIMI!C:T,10,0),0)</f>
        <v>0</v>
      </c>
    </row>
    <row r="104" spans="1:14" x14ac:dyDescent="0.25">
      <c r="A104" s="206" t="str">
        <f>Indice!$I$11</f>
        <v>EIMI00398</v>
      </c>
      <c r="B104" t="s">
        <v>579</v>
      </c>
      <c r="C104" s="39">
        <f>Indice!$I$12</f>
        <v>46053</v>
      </c>
      <c r="E104">
        <f>ROUND(SUMIFS(CATEGORIAS[[#All],[TOTAL PRODUCCION
ACTUAL]],CATEGORIAS[[#All],[CATEGORIA2]],Imputar[[#This Row],[Categoría]]),0)</f>
        <v>0</v>
      </c>
      <c r="F104">
        <v>0</v>
      </c>
      <c r="G104">
        <f>ROUND(SUMIFS(CATEGORIAS[[#All],[PROYECCION
DE INGRESO
DEL SALDO]],CATEGORIAS[[#All],[CATEGORIA2]],Imputar[[#This Row],[Categoría]]),0)</f>
        <v>0</v>
      </c>
      <c r="H104">
        <f>ROUND(SUMIFS(CATEGORIAS[[#All],[CAMBIO DE
CATEGORIA]],CATEGORIAS[[#All],[CATEGORIA2]],Imputar[[#This Row],[Categoría]]),0)</f>
        <v>0</v>
      </c>
      <c r="I1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4">
        <f>+ROUND(SUMIFS(CATEGORIAS[[#All],[PROYECCION
TOTAL DE COSTO]],CATEGORIAS[[#All],[CATEGORIA2]],Imputar[[#This Row],[Categoría]]),0)
-Imputar[[#This Row],[Inventario]]
-Imputar[[#This Row],[Pedidos no Rec]]</f>
        <v>0</v>
      </c>
      <c r="K1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4">
        <f>_xlfn.IFNA(VLOOKUP(Imputar[[#This Row],[Categoría]],EIMI!C:T,8,0),0)</f>
        <v>0</v>
      </c>
      <c r="M104">
        <f>_xlfn.IFNA(VLOOKUP(Imputar[[#This Row],[Categoría]],EIMI!C:T,9,0),0)</f>
        <v>0</v>
      </c>
      <c r="N104">
        <f>_xlfn.IFNA(VLOOKUP(Imputar[[#This Row],[Categoría]],EIMI!C:T,10,0),0)</f>
        <v>0</v>
      </c>
    </row>
    <row r="105" spans="1:14" hidden="1" x14ac:dyDescent="0.25">
      <c r="A105" s="206" t="str">
        <f>Indice!$I$11</f>
        <v>EIMI00398</v>
      </c>
      <c r="B105" t="s">
        <v>581</v>
      </c>
      <c r="C105" s="39">
        <f>Indice!$I$12</f>
        <v>46053</v>
      </c>
      <c r="E105">
        <f>ROUND(SUMIFS(CATEGORIAS[[#All],[TOTAL PRODUCCION
ACTUAL]],CATEGORIAS[[#All],[CATEGORIA2]],Imputar[[#This Row],[Categoría]]),0)</f>
        <v>0</v>
      </c>
      <c r="F105">
        <v>0</v>
      </c>
      <c r="G105">
        <f>ROUND(SUMIFS(CATEGORIAS[[#All],[PROYECCION
DE INGRESO
DEL SALDO]],CATEGORIAS[[#All],[CATEGORIA2]],Imputar[[#This Row],[Categoría]]),0)</f>
        <v>0</v>
      </c>
      <c r="H105">
        <f>ROUND(SUMIFS(CATEGORIAS[[#All],[CAMBIO DE
CATEGORIA]],CATEGORIAS[[#All],[CATEGORIA2]],Imputar[[#This Row],[Categoría]]),0)</f>
        <v>0</v>
      </c>
      <c r="I1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5">
        <f>+ROUND(SUMIFS(CATEGORIAS[[#All],[PROYECCION
TOTAL DE COSTO]],CATEGORIAS[[#All],[CATEGORIA2]],Imputar[[#This Row],[Categoría]]),0)
-Imputar[[#This Row],[Inventario]]
-Imputar[[#This Row],[Pedidos no Rec]]</f>
        <v>0</v>
      </c>
      <c r="K1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5">
        <f>_xlfn.IFNA(VLOOKUP(Imputar[[#This Row],[Categoría]],EIMI!C:T,8,0),0)</f>
        <v>0</v>
      </c>
      <c r="M105">
        <f>_xlfn.IFNA(VLOOKUP(Imputar[[#This Row],[Categoría]],EIMI!C:T,9,0),0)</f>
        <v>0</v>
      </c>
      <c r="N105">
        <f>_xlfn.IFNA(VLOOKUP(Imputar[[#This Row],[Categoría]],EIMI!C:T,10,0),0)</f>
        <v>0</v>
      </c>
    </row>
    <row r="106" spans="1:14" x14ac:dyDescent="0.25">
      <c r="A106" s="206" t="str">
        <f>Indice!$I$11</f>
        <v>EIMI00398</v>
      </c>
      <c r="B106" t="s">
        <v>583</v>
      </c>
      <c r="C106" s="39">
        <f>Indice!$I$12</f>
        <v>46053</v>
      </c>
      <c r="E106">
        <f>ROUND(SUMIFS(CATEGORIAS[[#All],[TOTAL PRODUCCION
ACTUAL]],CATEGORIAS[[#All],[CATEGORIA2]],Imputar[[#This Row],[Categoría]]),0)</f>
        <v>0</v>
      </c>
      <c r="F106">
        <v>0</v>
      </c>
      <c r="G106">
        <f>ROUND(SUMIFS(CATEGORIAS[[#All],[PROYECCION
DE INGRESO
DEL SALDO]],CATEGORIAS[[#All],[CATEGORIA2]],Imputar[[#This Row],[Categoría]]),0)</f>
        <v>0</v>
      </c>
      <c r="H106">
        <f>ROUND(SUMIFS(CATEGORIAS[[#All],[CAMBIO DE
CATEGORIA]],CATEGORIAS[[#All],[CATEGORIA2]],Imputar[[#This Row],[Categoría]]),0)</f>
        <v>0</v>
      </c>
      <c r="I1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6">
        <f>+ROUND(SUMIFS(CATEGORIAS[[#All],[PROYECCION
TOTAL DE COSTO]],CATEGORIAS[[#All],[CATEGORIA2]],Imputar[[#This Row],[Categoría]]),0)
-Imputar[[#This Row],[Inventario]]
-Imputar[[#This Row],[Pedidos no Rec]]</f>
        <v>0</v>
      </c>
      <c r="K1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6">
        <f>_xlfn.IFNA(VLOOKUP(Imputar[[#This Row],[Categoría]],EIMI!C:T,8,0),0)</f>
        <v>0</v>
      </c>
      <c r="M106">
        <f>_xlfn.IFNA(VLOOKUP(Imputar[[#This Row],[Categoría]],EIMI!C:T,9,0),0)</f>
        <v>0</v>
      </c>
      <c r="N106">
        <f>_xlfn.IFNA(VLOOKUP(Imputar[[#This Row],[Categoría]],EIMI!C:T,10,0),0)</f>
        <v>0</v>
      </c>
    </row>
    <row r="107" spans="1:14" hidden="1" x14ac:dyDescent="0.25">
      <c r="A107" s="206" t="str">
        <f>Indice!$I$11</f>
        <v>EIMI00398</v>
      </c>
      <c r="B107" t="s">
        <v>585</v>
      </c>
      <c r="C107" s="39">
        <f>Indice!$I$12</f>
        <v>46053</v>
      </c>
      <c r="E107">
        <f>ROUND(SUMIFS(CATEGORIAS[[#All],[TOTAL PRODUCCION
ACTUAL]],CATEGORIAS[[#All],[CATEGORIA2]],Imputar[[#This Row],[Categoría]]),0)</f>
        <v>0</v>
      </c>
      <c r="F107">
        <v>0</v>
      </c>
      <c r="G107">
        <f>ROUND(SUMIFS(CATEGORIAS[[#All],[PROYECCION
DE INGRESO
DEL SALDO]],CATEGORIAS[[#All],[CATEGORIA2]],Imputar[[#This Row],[Categoría]]),0)</f>
        <v>0</v>
      </c>
      <c r="H107">
        <f>ROUND(SUMIFS(CATEGORIAS[[#All],[CAMBIO DE
CATEGORIA]],CATEGORIAS[[#All],[CATEGORIA2]],Imputar[[#This Row],[Categoría]]),0)</f>
        <v>0</v>
      </c>
      <c r="I1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7">
        <f>+ROUND(SUMIFS(CATEGORIAS[[#All],[PROYECCION
TOTAL DE COSTO]],CATEGORIAS[[#All],[CATEGORIA2]],Imputar[[#This Row],[Categoría]]),0)
-Imputar[[#This Row],[Inventario]]
-Imputar[[#This Row],[Pedidos no Rec]]</f>
        <v>0</v>
      </c>
      <c r="K1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7">
        <f>_xlfn.IFNA(VLOOKUP(Imputar[[#This Row],[Categoría]],EIMI!C:T,8,0),0)</f>
        <v>0</v>
      </c>
      <c r="M107">
        <f>_xlfn.IFNA(VLOOKUP(Imputar[[#This Row],[Categoría]],EIMI!C:T,9,0),0)</f>
        <v>0</v>
      </c>
      <c r="N107">
        <f>_xlfn.IFNA(VLOOKUP(Imputar[[#This Row],[Categoría]],EIMI!C:T,10,0),0)</f>
        <v>0</v>
      </c>
    </row>
    <row r="108" spans="1:14" hidden="1" x14ac:dyDescent="0.25">
      <c r="A108" s="206" t="str">
        <f>Indice!$I$11</f>
        <v>EIMI00398</v>
      </c>
      <c r="B108" t="s">
        <v>587</v>
      </c>
      <c r="C108" s="39">
        <f>Indice!$I$12</f>
        <v>46053</v>
      </c>
      <c r="E108">
        <f>ROUND(SUMIFS(CATEGORIAS[[#All],[TOTAL PRODUCCION
ACTUAL]],CATEGORIAS[[#All],[CATEGORIA2]],Imputar[[#This Row],[Categoría]]),0)</f>
        <v>0</v>
      </c>
      <c r="F108">
        <v>0</v>
      </c>
      <c r="G108">
        <f>ROUND(SUMIFS(CATEGORIAS[[#All],[PROYECCION
DE INGRESO
DEL SALDO]],CATEGORIAS[[#All],[CATEGORIA2]],Imputar[[#This Row],[Categoría]]),0)</f>
        <v>0</v>
      </c>
      <c r="H108">
        <f>ROUND(SUMIFS(CATEGORIAS[[#All],[CAMBIO DE
CATEGORIA]],CATEGORIAS[[#All],[CATEGORIA2]],Imputar[[#This Row],[Categoría]]),0)</f>
        <v>0</v>
      </c>
      <c r="I1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8">
        <f>+ROUND(SUMIFS(CATEGORIAS[[#All],[PROYECCION
TOTAL DE COSTO]],CATEGORIAS[[#All],[CATEGORIA2]],Imputar[[#This Row],[Categoría]]),0)
-Imputar[[#This Row],[Inventario]]
-Imputar[[#This Row],[Pedidos no Rec]]</f>
        <v>0</v>
      </c>
      <c r="K1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8">
        <f>_xlfn.IFNA(VLOOKUP(Imputar[[#This Row],[Categoría]],EIMI!C:T,8,0),0)</f>
        <v>0</v>
      </c>
      <c r="M108">
        <f>_xlfn.IFNA(VLOOKUP(Imputar[[#This Row],[Categoría]],EIMI!C:T,9,0),0)</f>
        <v>0</v>
      </c>
      <c r="N108">
        <f>_xlfn.IFNA(VLOOKUP(Imputar[[#This Row],[Categoría]],EIMI!C:T,10,0),0)</f>
        <v>0</v>
      </c>
    </row>
    <row r="109" spans="1:14" hidden="1" x14ac:dyDescent="0.25">
      <c r="A109" s="206" t="str">
        <f>Indice!$I$11</f>
        <v>EIMI00398</v>
      </c>
      <c r="B109" t="s">
        <v>589</v>
      </c>
      <c r="C109" s="39">
        <f>Indice!$I$12</f>
        <v>46053</v>
      </c>
      <c r="E109">
        <f>ROUND(SUMIFS(CATEGORIAS[[#All],[TOTAL PRODUCCION
ACTUAL]],CATEGORIAS[[#All],[CATEGORIA2]],Imputar[[#This Row],[Categoría]]),0)</f>
        <v>0</v>
      </c>
      <c r="F109">
        <v>0</v>
      </c>
      <c r="G109">
        <f>ROUND(SUMIFS(CATEGORIAS[[#All],[PROYECCION
DE INGRESO
DEL SALDO]],CATEGORIAS[[#All],[CATEGORIA2]],Imputar[[#This Row],[Categoría]]),0)</f>
        <v>0</v>
      </c>
      <c r="H109">
        <f>ROUND(SUMIFS(CATEGORIAS[[#All],[CAMBIO DE
CATEGORIA]],CATEGORIAS[[#All],[CATEGORIA2]],Imputar[[#This Row],[Categoría]]),0)</f>
        <v>0</v>
      </c>
      <c r="I1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09">
        <f>+ROUND(SUMIFS(CATEGORIAS[[#All],[PROYECCION
TOTAL DE COSTO]],CATEGORIAS[[#All],[CATEGORIA2]],Imputar[[#This Row],[Categoría]]),0)
-Imputar[[#This Row],[Inventario]]
-Imputar[[#This Row],[Pedidos no Rec]]</f>
        <v>0</v>
      </c>
      <c r="K1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09">
        <f>_xlfn.IFNA(VLOOKUP(Imputar[[#This Row],[Categoría]],EIMI!C:T,8,0),0)</f>
        <v>0</v>
      </c>
      <c r="M109">
        <f>_xlfn.IFNA(VLOOKUP(Imputar[[#This Row],[Categoría]],EIMI!C:T,9,0),0)</f>
        <v>0</v>
      </c>
      <c r="N109">
        <f>_xlfn.IFNA(VLOOKUP(Imputar[[#This Row],[Categoría]],EIMI!C:T,10,0),0)</f>
        <v>0</v>
      </c>
    </row>
    <row r="110" spans="1:14" hidden="1" x14ac:dyDescent="0.25">
      <c r="A110" s="206" t="str">
        <f>Indice!$I$11</f>
        <v>EIMI00398</v>
      </c>
      <c r="B110" t="s">
        <v>591</v>
      </c>
      <c r="C110" s="39">
        <f>Indice!$I$12</f>
        <v>46053</v>
      </c>
      <c r="E110">
        <f>ROUND(SUMIFS(CATEGORIAS[[#All],[TOTAL PRODUCCION
ACTUAL]],CATEGORIAS[[#All],[CATEGORIA2]],Imputar[[#This Row],[Categoría]]),0)</f>
        <v>0</v>
      </c>
      <c r="F110">
        <v>0</v>
      </c>
      <c r="G110">
        <f>ROUND(SUMIFS(CATEGORIAS[[#All],[PROYECCION
DE INGRESO
DEL SALDO]],CATEGORIAS[[#All],[CATEGORIA2]],Imputar[[#This Row],[Categoría]]),0)</f>
        <v>0</v>
      </c>
      <c r="H110">
        <f>ROUND(SUMIFS(CATEGORIAS[[#All],[CAMBIO DE
CATEGORIA]],CATEGORIAS[[#All],[CATEGORIA2]],Imputar[[#This Row],[Categoría]]),0)</f>
        <v>0</v>
      </c>
      <c r="I1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0">
        <f>+ROUND(SUMIFS(CATEGORIAS[[#All],[PROYECCION
TOTAL DE COSTO]],CATEGORIAS[[#All],[CATEGORIA2]],Imputar[[#This Row],[Categoría]]),0)
-Imputar[[#This Row],[Inventario]]
-Imputar[[#This Row],[Pedidos no Rec]]</f>
        <v>0</v>
      </c>
      <c r="K1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0">
        <f>_xlfn.IFNA(VLOOKUP(Imputar[[#This Row],[Categoría]],EIMI!C:T,8,0),0)</f>
        <v>0</v>
      </c>
      <c r="M110">
        <f>_xlfn.IFNA(VLOOKUP(Imputar[[#This Row],[Categoría]],EIMI!C:T,9,0),0)</f>
        <v>0</v>
      </c>
      <c r="N110">
        <f>_xlfn.IFNA(VLOOKUP(Imputar[[#This Row],[Categoría]],EIMI!C:T,10,0),0)</f>
        <v>0</v>
      </c>
    </row>
    <row r="111" spans="1:14" hidden="1" x14ac:dyDescent="0.25">
      <c r="A111" s="206" t="str">
        <f>Indice!$I$11</f>
        <v>EIMI00398</v>
      </c>
      <c r="B111" t="s">
        <v>593</v>
      </c>
      <c r="C111" s="39">
        <f>Indice!$I$12</f>
        <v>46053</v>
      </c>
      <c r="E111">
        <f>ROUND(SUMIFS(CATEGORIAS[[#All],[TOTAL PRODUCCION
ACTUAL]],CATEGORIAS[[#All],[CATEGORIA2]],Imputar[[#This Row],[Categoría]]),0)</f>
        <v>0</v>
      </c>
      <c r="F111">
        <v>0</v>
      </c>
      <c r="G111">
        <f>ROUND(SUMIFS(CATEGORIAS[[#All],[PROYECCION
DE INGRESO
DEL SALDO]],CATEGORIAS[[#All],[CATEGORIA2]],Imputar[[#This Row],[Categoría]]),0)</f>
        <v>0</v>
      </c>
      <c r="H111">
        <f>ROUND(SUMIFS(CATEGORIAS[[#All],[CAMBIO DE
CATEGORIA]],CATEGORIAS[[#All],[CATEGORIA2]],Imputar[[#This Row],[Categoría]]),0)</f>
        <v>0</v>
      </c>
      <c r="I1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1">
        <f>+ROUND(SUMIFS(CATEGORIAS[[#All],[PROYECCION
TOTAL DE COSTO]],CATEGORIAS[[#All],[CATEGORIA2]],Imputar[[#This Row],[Categoría]]),0)
-Imputar[[#This Row],[Inventario]]
-Imputar[[#This Row],[Pedidos no Rec]]</f>
        <v>0</v>
      </c>
      <c r="K1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1">
        <f>_xlfn.IFNA(VLOOKUP(Imputar[[#This Row],[Categoría]],EIMI!C:T,8,0),0)</f>
        <v>0</v>
      </c>
      <c r="M111">
        <f>_xlfn.IFNA(VLOOKUP(Imputar[[#This Row],[Categoría]],EIMI!C:T,9,0),0)</f>
        <v>0</v>
      </c>
      <c r="N111">
        <f>_xlfn.IFNA(VLOOKUP(Imputar[[#This Row],[Categoría]],EIMI!C:T,10,0),0)</f>
        <v>0</v>
      </c>
    </row>
    <row r="112" spans="1:14" x14ac:dyDescent="0.25">
      <c r="A112" s="206" t="str">
        <f>Indice!$I$11</f>
        <v>EIMI00398</v>
      </c>
      <c r="B112" t="s">
        <v>595</v>
      </c>
      <c r="C112" s="39">
        <f>Indice!$I$12</f>
        <v>46053</v>
      </c>
      <c r="E112">
        <f>ROUND(SUMIFS(CATEGORIAS[[#All],[TOTAL PRODUCCION
ACTUAL]],CATEGORIAS[[#All],[CATEGORIA2]],Imputar[[#This Row],[Categoría]]),0)</f>
        <v>0</v>
      </c>
      <c r="F112">
        <v>0</v>
      </c>
      <c r="G112">
        <f>ROUND(SUMIFS(CATEGORIAS[[#All],[PROYECCION
DE INGRESO
DEL SALDO]],CATEGORIAS[[#All],[CATEGORIA2]],Imputar[[#This Row],[Categoría]]),0)</f>
        <v>0</v>
      </c>
      <c r="H112">
        <f>ROUND(SUMIFS(CATEGORIAS[[#All],[CAMBIO DE
CATEGORIA]],CATEGORIAS[[#All],[CATEGORIA2]],Imputar[[#This Row],[Categoría]]),0)</f>
        <v>0</v>
      </c>
      <c r="I1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2">
        <f>+ROUND(SUMIFS(CATEGORIAS[[#All],[PROYECCION
TOTAL DE COSTO]],CATEGORIAS[[#All],[CATEGORIA2]],Imputar[[#This Row],[Categoría]]),0)
-Imputar[[#This Row],[Inventario]]
-Imputar[[#This Row],[Pedidos no Rec]]</f>
        <v>0</v>
      </c>
      <c r="K1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2">
        <f>_xlfn.IFNA(VLOOKUP(Imputar[[#This Row],[Categoría]],EIMI!C:T,8,0),0)</f>
        <v>0</v>
      </c>
      <c r="M112">
        <f>_xlfn.IFNA(VLOOKUP(Imputar[[#This Row],[Categoría]],EIMI!C:T,9,0),0)</f>
        <v>0</v>
      </c>
      <c r="N112">
        <f>_xlfn.IFNA(VLOOKUP(Imputar[[#This Row],[Categoría]],EIMI!C:T,10,0),0)</f>
        <v>0</v>
      </c>
    </row>
    <row r="113" spans="1:14" hidden="1" x14ac:dyDescent="0.25">
      <c r="A113" s="206" t="str">
        <f>Indice!$I$11</f>
        <v>EIMI00398</v>
      </c>
      <c r="B113" t="s">
        <v>597</v>
      </c>
      <c r="C113" s="39">
        <f>Indice!$I$12</f>
        <v>46053</v>
      </c>
      <c r="E113">
        <f>ROUND(SUMIFS(CATEGORIAS[[#All],[TOTAL PRODUCCION
ACTUAL]],CATEGORIAS[[#All],[CATEGORIA2]],Imputar[[#This Row],[Categoría]]),0)</f>
        <v>0</v>
      </c>
      <c r="F113">
        <v>0</v>
      </c>
      <c r="G113">
        <f>ROUND(SUMIFS(CATEGORIAS[[#All],[PROYECCION
DE INGRESO
DEL SALDO]],CATEGORIAS[[#All],[CATEGORIA2]],Imputar[[#This Row],[Categoría]]),0)</f>
        <v>0</v>
      </c>
      <c r="H113">
        <f>ROUND(SUMIFS(CATEGORIAS[[#All],[CAMBIO DE
CATEGORIA]],CATEGORIAS[[#All],[CATEGORIA2]],Imputar[[#This Row],[Categoría]]),0)</f>
        <v>0</v>
      </c>
      <c r="I1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3">
        <f>+ROUND(SUMIFS(CATEGORIAS[[#All],[PROYECCION
TOTAL DE COSTO]],CATEGORIAS[[#All],[CATEGORIA2]],Imputar[[#This Row],[Categoría]]),0)
-Imputar[[#This Row],[Inventario]]
-Imputar[[#This Row],[Pedidos no Rec]]</f>
        <v>0</v>
      </c>
      <c r="K1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3">
        <f>_xlfn.IFNA(VLOOKUP(Imputar[[#This Row],[Categoría]],EIMI!C:T,8,0),0)</f>
        <v>0</v>
      </c>
      <c r="M113">
        <f>_xlfn.IFNA(VLOOKUP(Imputar[[#This Row],[Categoría]],EIMI!C:T,9,0),0)</f>
        <v>0</v>
      </c>
      <c r="N113">
        <f>_xlfn.IFNA(VLOOKUP(Imputar[[#This Row],[Categoría]],EIMI!C:T,10,0),0)</f>
        <v>0</v>
      </c>
    </row>
    <row r="114" spans="1:14" hidden="1" x14ac:dyDescent="0.25">
      <c r="A114" s="206" t="str">
        <f>Indice!$I$11</f>
        <v>EIMI00398</v>
      </c>
      <c r="B114" t="s">
        <v>599</v>
      </c>
      <c r="C114" s="39">
        <f>Indice!$I$12</f>
        <v>46053</v>
      </c>
      <c r="E114">
        <f>ROUND(SUMIFS(CATEGORIAS[[#All],[TOTAL PRODUCCION
ACTUAL]],CATEGORIAS[[#All],[CATEGORIA2]],Imputar[[#This Row],[Categoría]]),0)</f>
        <v>0</v>
      </c>
      <c r="F114">
        <v>0</v>
      </c>
      <c r="G114">
        <f>ROUND(SUMIFS(CATEGORIAS[[#All],[PROYECCION
DE INGRESO
DEL SALDO]],CATEGORIAS[[#All],[CATEGORIA2]],Imputar[[#This Row],[Categoría]]),0)</f>
        <v>0</v>
      </c>
      <c r="H114">
        <f>ROUND(SUMIFS(CATEGORIAS[[#All],[CAMBIO DE
CATEGORIA]],CATEGORIAS[[#All],[CATEGORIA2]],Imputar[[#This Row],[Categoría]]),0)</f>
        <v>0</v>
      </c>
      <c r="I1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4">
        <f>+ROUND(SUMIFS(CATEGORIAS[[#All],[PROYECCION
TOTAL DE COSTO]],CATEGORIAS[[#All],[CATEGORIA2]],Imputar[[#This Row],[Categoría]]),0)
-Imputar[[#This Row],[Inventario]]
-Imputar[[#This Row],[Pedidos no Rec]]</f>
        <v>0</v>
      </c>
      <c r="K1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4">
        <f>_xlfn.IFNA(VLOOKUP(Imputar[[#This Row],[Categoría]],EIMI!C:T,8,0),0)</f>
        <v>0</v>
      </c>
      <c r="M114">
        <f>_xlfn.IFNA(VLOOKUP(Imputar[[#This Row],[Categoría]],EIMI!C:T,9,0),0)</f>
        <v>0</v>
      </c>
      <c r="N114">
        <f>_xlfn.IFNA(VLOOKUP(Imputar[[#This Row],[Categoría]],EIMI!C:T,10,0),0)</f>
        <v>0</v>
      </c>
    </row>
    <row r="115" spans="1:14" hidden="1" x14ac:dyDescent="0.25">
      <c r="A115" s="206" t="str">
        <f>Indice!$I$11</f>
        <v>EIMI00398</v>
      </c>
      <c r="B115" t="s">
        <v>601</v>
      </c>
      <c r="C115" s="39">
        <f>Indice!$I$12</f>
        <v>46053</v>
      </c>
      <c r="E115">
        <f>ROUND(SUMIFS(CATEGORIAS[[#All],[TOTAL PRODUCCION
ACTUAL]],CATEGORIAS[[#All],[CATEGORIA2]],Imputar[[#This Row],[Categoría]]),0)</f>
        <v>0</v>
      </c>
      <c r="F115">
        <v>0</v>
      </c>
      <c r="G115">
        <f>ROUND(SUMIFS(CATEGORIAS[[#All],[PROYECCION
DE INGRESO
DEL SALDO]],CATEGORIAS[[#All],[CATEGORIA2]],Imputar[[#This Row],[Categoría]]),0)</f>
        <v>0</v>
      </c>
      <c r="H115">
        <f>ROUND(SUMIFS(CATEGORIAS[[#All],[CAMBIO DE
CATEGORIA]],CATEGORIAS[[#All],[CATEGORIA2]],Imputar[[#This Row],[Categoría]]),0)</f>
        <v>0</v>
      </c>
      <c r="I1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5">
        <f>+ROUND(SUMIFS(CATEGORIAS[[#All],[PROYECCION
TOTAL DE COSTO]],CATEGORIAS[[#All],[CATEGORIA2]],Imputar[[#This Row],[Categoría]]),0)
-Imputar[[#This Row],[Inventario]]
-Imputar[[#This Row],[Pedidos no Rec]]</f>
        <v>0</v>
      </c>
      <c r="K1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5">
        <f>_xlfn.IFNA(VLOOKUP(Imputar[[#This Row],[Categoría]],EIMI!C:T,8,0),0)</f>
        <v>0</v>
      </c>
      <c r="M115">
        <f>_xlfn.IFNA(VLOOKUP(Imputar[[#This Row],[Categoría]],EIMI!C:T,9,0),0)</f>
        <v>0</v>
      </c>
      <c r="N115">
        <f>_xlfn.IFNA(VLOOKUP(Imputar[[#This Row],[Categoría]],EIMI!C:T,10,0),0)</f>
        <v>0</v>
      </c>
    </row>
    <row r="116" spans="1:14" hidden="1" x14ac:dyDescent="0.25">
      <c r="A116" s="206" t="str">
        <f>Indice!$I$11</f>
        <v>EIMI00398</v>
      </c>
      <c r="B116" t="s">
        <v>603</v>
      </c>
      <c r="C116" s="39">
        <f>Indice!$I$12</f>
        <v>46053</v>
      </c>
      <c r="E116">
        <f>ROUND(SUMIFS(CATEGORIAS[[#All],[TOTAL PRODUCCION
ACTUAL]],CATEGORIAS[[#All],[CATEGORIA2]],Imputar[[#This Row],[Categoría]]),0)</f>
        <v>0</v>
      </c>
      <c r="F116">
        <v>0</v>
      </c>
      <c r="G116">
        <f>ROUND(SUMIFS(CATEGORIAS[[#All],[PROYECCION
DE INGRESO
DEL SALDO]],CATEGORIAS[[#All],[CATEGORIA2]],Imputar[[#This Row],[Categoría]]),0)</f>
        <v>0</v>
      </c>
      <c r="H116">
        <f>ROUND(SUMIFS(CATEGORIAS[[#All],[CAMBIO DE
CATEGORIA]],CATEGORIAS[[#All],[CATEGORIA2]],Imputar[[#This Row],[Categoría]]),0)</f>
        <v>0</v>
      </c>
      <c r="I1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6">
        <f>+ROUND(SUMIFS(CATEGORIAS[[#All],[PROYECCION
TOTAL DE COSTO]],CATEGORIAS[[#All],[CATEGORIA2]],Imputar[[#This Row],[Categoría]]),0)
-Imputar[[#This Row],[Inventario]]
-Imputar[[#This Row],[Pedidos no Rec]]</f>
        <v>0</v>
      </c>
      <c r="K1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6">
        <f>_xlfn.IFNA(VLOOKUP(Imputar[[#This Row],[Categoría]],EIMI!C:T,8,0),0)</f>
        <v>0</v>
      </c>
      <c r="M116">
        <f>_xlfn.IFNA(VLOOKUP(Imputar[[#This Row],[Categoría]],EIMI!C:T,9,0),0)</f>
        <v>0</v>
      </c>
      <c r="N116">
        <f>_xlfn.IFNA(VLOOKUP(Imputar[[#This Row],[Categoría]],EIMI!C:T,10,0),0)</f>
        <v>0</v>
      </c>
    </row>
    <row r="117" spans="1:14" hidden="1" x14ac:dyDescent="0.25">
      <c r="A117" s="206" t="str">
        <f>Indice!$I$11</f>
        <v>EIMI00398</v>
      </c>
      <c r="B117" t="s">
        <v>605</v>
      </c>
      <c r="C117" s="39">
        <f>Indice!$I$12</f>
        <v>46053</v>
      </c>
      <c r="E117">
        <f>ROUND(SUMIFS(CATEGORIAS[[#All],[TOTAL PRODUCCION
ACTUAL]],CATEGORIAS[[#All],[CATEGORIA2]],Imputar[[#This Row],[Categoría]]),0)</f>
        <v>0</v>
      </c>
      <c r="F117">
        <v>0</v>
      </c>
      <c r="G117">
        <f>ROUND(SUMIFS(CATEGORIAS[[#All],[PROYECCION
DE INGRESO
DEL SALDO]],CATEGORIAS[[#All],[CATEGORIA2]],Imputar[[#This Row],[Categoría]]),0)</f>
        <v>0</v>
      </c>
      <c r="H117">
        <f>ROUND(SUMIFS(CATEGORIAS[[#All],[CAMBIO DE
CATEGORIA]],CATEGORIAS[[#All],[CATEGORIA2]],Imputar[[#This Row],[Categoría]]),0)</f>
        <v>0</v>
      </c>
      <c r="I1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7">
        <f>+ROUND(SUMIFS(CATEGORIAS[[#All],[PROYECCION
TOTAL DE COSTO]],CATEGORIAS[[#All],[CATEGORIA2]],Imputar[[#This Row],[Categoría]]),0)
-Imputar[[#This Row],[Inventario]]
-Imputar[[#This Row],[Pedidos no Rec]]</f>
        <v>0</v>
      </c>
      <c r="K1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7">
        <f>_xlfn.IFNA(VLOOKUP(Imputar[[#This Row],[Categoría]],EIMI!C:T,8,0),0)</f>
        <v>0</v>
      </c>
      <c r="M117">
        <f>_xlfn.IFNA(VLOOKUP(Imputar[[#This Row],[Categoría]],EIMI!C:T,9,0),0)</f>
        <v>0</v>
      </c>
      <c r="N117">
        <f>_xlfn.IFNA(VLOOKUP(Imputar[[#This Row],[Categoría]],EIMI!C:T,10,0),0)</f>
        <v>0</v>
      </c>
    </row>
    <row r="118" spans="1:14" hidden="1" x14ac:dyDescent="0.25">
      <c r="A118" s="206" t="str">
        <f>Indice!$I$11</f>
        <v>EIMI00398</v>
      </c>
      <c r="B118" t="s">
        <v>607</v>
      </c>
      <c r="C118" s="39">
        <f>Indice!$I$12</f>
        <v>46053</v>
      </c>
      <c r="E118">
        <f>ROUND(SUMIFS(CATEGORIAS[[#All],[TOTAL PRODUCCION
ACTUAL]],CATEGORIAS[[#All],[CATEGORIA2]],Imputar[[#This Row],[Categoría]]),0)</f>
        <v>0</v>
      </c>
      <c r="F118">
        <v>0</v>
      </c>
      <c r="G118">
        <f>ROUND(SUMIFS(CATEGORIAS[[#All],[PROYECCION
DE INGRESO
DEL SALDO]],CATEGORIAS[[#All],[CATEGORIA2]],Imputar[[#This Row],[Categoría]]),0)</f>
        <v>0</v>
      </c>
      <c r="H118">
        <f>ROUND(SUMIFS(CATEGORIAS[[#All],[CAMBIO DE
CATEGORIA]],CATEGORIAS[[#All],[CATEGORIA2]],Imputar[[#This Row],[Categoría]]),0)</f>
        <v>0</v>
      </c>
      <c r="I1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8">
        <f>+ROUND(SUMIFS(CATEGORIAS[[#All],[PROYECCION
TOTAL DE COSTO]],CATEGORIAS[[#All],[CATEGORIA2]],Imputar[[#This Row],[Categoría]]),0)
-Imputar[[#This Row],[Inventario]]
-Imputar[[#This Row],[Pedidos no Rec]]</f>
        <v>0</v>
      </c>
      <c r="K1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8">
        <f>_xlfn.IFNA(VLOOKUP(Imputar[[#This Row],[Categoría]],EIMI!C:T,8,0),0)</f>
        <v>0</v>
      </c>
      <c r="M118">
        <f>_xlfn.IFNA(VLOOKUP(Imputar[[#This Row],[Categoría]],EIMI!C:T,9,0),0)</f>
        <v>0</v>
      </c>
      <c r="N118">
        <f>_xlfn.IFNA(VLOOKUP(Imputar[[#This Row],[Categoría]],EIMI!C:T,10,0),0)</f>
        <v>0</v>
      </c>
    </row>
    <row r="119" spans="1:14" hidden="1" x14ac:dyDescent="0.25">
      <c r="A119" s="206" t="str">
        <f>Indice!$I$11</f>
        <v>EIMI00398</v>
      </c>
      <c r="B119" t="s">
        <v>609</v>
      </c>
      <c r="C119" s="39">
        <f>Indice!$I$12</f>
        <v>46053</v>
      </c>
      <c r="E119">
        <f>ROUND(SUMIFS(CATEGORIAS[[#All],[TOTAL PRODUCCION
ACTUAL]],CATEGORIAS[[#All],[CATEGORIA2]],Imputar[[#This Row],[Categoría]]),0)</f>
        <v>0</v>
      </c>
      <c r="F119">
        <v>0</v>
      </c>
      <c r="G119">
        <f>ROUND(SUMIFS(CATEGORIAS[[#All],[PROYECCION
DE INGRESO
DEL SALDO]],CATEGORIAS[[#All],[CATEGORIA2]],Imputar[[#This Row],[Categoría]]),0)</f>
        <v>0</v>
      </c>
      <c r="H119">
        <f>ROUND(SUMIFS(CATEGORIAS[[#All],[CAMBIO DE
CATEGORIA]],CATEGORIAS[[#All],[CATEGORIA2]],Imputar[[#This Row],[Categoría]]),0)</f>
        <v>0</v>
      </c>
      <c r="I1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19">
        <f>+ROUND(SUMIFS(CATEGORIAS[[#All],[PROYECCION
TOTAL DE COSTO]],CATEGORIAS[[#All],[CATEGORIA2]],Imputar[[#This Row],[Categoría]]),0)
-Imputar[[#This Row],[Inventario]]
-Imputar[[#This Row],[Pedidos no Rec]]</f>
        <v>0</v>
      </c>
      <c r="K1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19">
        <f>_xlfn.IFNA(VLOOKUP(Imputar[[#This Row],[Categoría]],EIMI!C:T,8,0),0)</f>
        <v>0</v>
      </c>
      <c r="M119">
        <f>_xlfn.IFNA(VLOOKUP(Imputar[[#This Row],[Categoría]],EIMI!C:T,9,0),0)</f>
        <v>0</v>
      </c>
      <c r="N119">
        <f>_xlfn.IFNA(VLOOKUP(Imputar[[#This Row],[Categoría]],EIMI!C:T,10,0),0)</f>
        <v>0</v>
      </c>
    </row>
    <row r="120" spans="1:14" hidden="1" x14ac:dyDescent="0.25">
      <c r="A120" s="206" t="str">
        <f>Indice!$I$11</f>
        <v>EIMI00398</v>
      </c>
      <c r="B120" t="s">
        <v>611</v>
      </c>
      <c r="C120" s="39">
        <f>Indice!$I$12</f>
        <v>46053</v>
      </c>
      <c r="E120">
        <f>ROUND(SUMIFS(CATEGORIAS[[#All],[TOTAL PRODUCCION
ACTUAL]],CATEGORIAS[[#All],[CATEGORIA2]],Imputar[[#This Row],[Categoría]]),0)</f>
        <v>0</v>
      </c>
      <c r="F120">
        <v>0</v>
      </c>
      <c r="G120">
        <f>ROUND(SUMIFS(CATEGORIAS[[#All],[PROYECCION
DE INGRESO
DEL SALDO]],CATEGORIAS[[#All],[CATEGORIA2]],Imputar[[#This Row],[Categoría]]),0)</f>
        <v>0</v>
      </c>
      <c r="H120">
        <f>ROUND(SUMIFS(CATEGORIAS[[#All],[CAMBIO DE
CATEGORIA]],CATEGORIAS[[#All],[CATEGORIA2]],Imputar[[#This Row],[Categoría]]),0)</f>
        <v>0</v>
      </c>
      <c r="I1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0">
        <f>+ROUND(SUMIFS(CATEGORIAS[[#All],[PROYECCION
TOTAL DE COSTO]],CATEGORIAS[[#All],[CATEGORIA2]],Imputar[[#This Row],[Categoría]]),0)
-Imputar[[#This Row],[Inventario]]
-Imputar[[#This Row],[Pedidos no Rec]]</f>
        <v>0</v>
      </c>
      <c r="K1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0">
        <f>_xlfn.IFNA(VLOOKUP(Imputar[[#This Row],[Categoría]],EIMI!C:T,8,0),0)</f>
        <v>0</v>
      </c>
      <c r="M120">
        <f>_xlfn.IFNA(VLOOKUP(Imputar[[#This Row],[Categoría]],EIMI!C:T,9,0),0)</f>
        <v>0</v>
      </c>
      <c r="N120">
        <f>_xlfn.IFNA(VLOOKUP(Imputar[[#This Row],[Categoría]],EIMI!C:T,10,0),0)</f>
        <v>0</v>
      </c>
    </row>
    <row r="121" spans="1:14" hidden="1" x14ac:dyDescent="0.25">
      <c r="A121" s="206" t="str">
        <f>Indice!$I$11</f>
        <v>EIMI00398</v>
      </c>
      <c r="B121" t="s">
        <v>613</v>
      </c>
      <c r="C121" s="39">
        <f>Indice!$I$12</f>
        <v>46053</v>
      </c>
      <c r="E121">
        <f>ROUND(SUMIFS(CATEGORIAS[[#All],[TOTAL PRODUCCION
ACTUAL]],CATEGORIAS[[#All],[CATEGORIA2]],Imputar[[#This Row],[Categoría]]),0)</f>
        <v>0</v>
      </c>
      <c r="F121">
        <v>0</v>
      </c>
      <c r="G121">
        <f>ROUND(SUMIFS(CATEGORIAS[[#All],[PROYECCION
DE INGRESO
DEL SALDO]],CATEGORIAS[[#All],[CATEGORIA2]],Imputar[[#This Row],[Categoría]]),0)</f>
        <v>0</v>
      </c>
      <c r="H121">
        <f>ROUND(SUMIFS(CATEGORIAS[[#All],[CAMBIO DE
CATEGORIA]],CATEGORIAS[[#All],[CATEGORIA2]],Imputar[[#This Row],[Categoría]]),0)</f>
        <v>0</v>
      </c>
      <c r="I1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1">
        <f>+ROUND(SUMIFS(CATEGORIAS[[#All],[PROYECCION
TOTAL DE COSTO]],CATEGORIAS[[#All],[CATEGORIA2]],Imputar[[#This Row],[Categoría]]),0)
-Imputar[[#This Row],[Inventario]]
-Imputar[[#This Row],[Pedidos no Rec]]</f>
        <v>0</v>
      </c>
      <c r="K1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1">
        <f>_xlfn.IFNA(VLOOKUP(Imputar[[#This Row],[Categoría]],EIMI!C:T,8,0),0)</f>
        <v>0</v>
      </c>
      <c r="M121">
        <f>_xlfn.IFNA(VLOOKUP(Imputar[[#This Row],[Categoría]],EIMI!C:T,9,0),0)</f>
        <v>0</v>
      </c>
      <c r="N121">
        <f>_xlfn.IFNA(VLOOKUP(Imputar[[#This Row],[Categoría]],EIMI!C:T,10,0),0)</f>
        <v>0</v>
      </c>
    </row>
    <row r="122" spans="1:14" hidden="1" x14ac:dyDescent="0.25">
      <c r="A122" s="206" t="str">
        <f>Indice!$I$11</f>
        <v>EIMI00398</v>
      </c>
      <c r="B122" t="s">
        <v>615</v>
      </c>
      <c r="C122" s="39">
        <f>Indice!$I$12</f>
        <v>46053</v>
      </c>
      <c r="E122">
        <f>ROUND(SUMIFS(CATEGORIAS[[#All],[TOTAL PRODUCCION
ACTUAL]],CATEGORIAS[[#All],[CATEGORIA2]],Imputar[[#This Row],[Categoría]]),0)</f>
        <v>0</v>
      </c>
      <c r="F122">
        <v>0</v>
      </c>
      <c r="G122">
        <f>ROUND(SUMIFS(CATEGORIAS[[#All],[PROYECCION
DE INGRESO
DEL SALDO]],CATEGORIAS[[#All],[CATEGORIA2]],Imputar[[#This Row],[Categoría]]),0)</f>
        <v>0</v>
      </c>
      <c r="H122">
        <f>ROUND(SUMIFS(CATEGORIAS[[#All],[CAMBIO DE
CATEGORIA]],CATEGORIAS[[#All],[CATEGORIA2]],Imputar[[#This Row],[Categoría]]),0)</f>
        <v>0</v>
      </c>
      <c r="I1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2">
        <f>+ROUND(SUMIFS(CATEGORIAS[[#All],[PROYECCION
TOTAL DE COSTO]],CATEGORIAS[[#All],[CATEGORIA2]],Imputar[[#This Row],[Categoría]]),0)
-Imputar[[#This Row],[Inventario]]
-Imputar[[#This Row],[Pedidos no Rec]]</f>
        <v>0</v>
      </c>
      <c r="K1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2">
        <f>_xlfn.IFNA(VLOOKUP(Imputar[[#This Row],[Categoría]],EIMI!C:T,8,0),0)</f>
        <v>0</v>
      </c>
      <c r="M122">
        <f>_xlfn.IFNA(VLOOKUP(Imputar[[#This Row],[Categoría]],EIMI!C:T,9,0),0)</f>
        <v>0</v>
      </c>
      <c r="N122">
        <f>_xlfn.IFNA(VLOOKUP(Imputar[[#This Row],[Categoría]],EIMI!C:T,10,0),0)</f>
        <v>0</v>
      </c>
    </row>
    <row r="123" spans="1:14" hidden="1" x14ac:dyDescent="0.25">
      <c r="A123" s="206" t="str">
        <f>Indice!$I$11</f>
        <v>EIMI00398</v>
      </c>
      <c r="B123" t="s">
        <v>617</v>
      </c>
      <c r="C123" s="39">
        <f>Indice!$I$12</f>
        <v>46053</v>
      </c>
      <c r="E123">
        <f>ROUND(SUMIFS(CATEGORIAS[[#All],[TOTAL PRODUCCION
ACTUAL]],CATEGORIAS[[#All],[CATEGORIA2]],Imputar[[#This Row],[Categoría]]),0)</f>
        <v>0</v>
      </c>
      <c r="F123">
        <v>0</v>
      </c>
      <c r="G123">
        <f>ROUND(SUMIFS(CATEGORIAS[[#All],[PROYECCION
DE INGRESO
DEL SALDO]],CATEGORIAS[[#All],[CATEGORIA2]],Imputar[[#This Row],[Categoría]]),0)</f>
        <v>0</v>
      </c>
      <c r="H123">
        <f>ROUND(SUMIFS(CATEGORIAS[[#All],[CAMBIO DE
CATEGORIA]],CATEGORIAS[[#All],[CATEGORIA2]],Imputar[[#This Row],[Categoría]]),0)</f>
        <v>0</v>
      </c>
      <c r="I1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3">
        <f>+ROUND(SUMIFS(CATEGORIAS[[#All],[PROYECCION
TOTAL DE COSTO]],CATEGORIAS[[#All],[CATEGORIA2]],Imputar[[#This Row],[Categoría]]),0)
-Imputar[[#This Row],[Inventario]]
-Imputar[[#This Row],[Pedidos no Rec]]</f>
        <v>0</v>
      </c>
      <c r="K1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3">
        <f>_xlfn.IFNA(VLOOKUP(Imputar[[#This Row],[Categoría]],EIMI!C:T,8,0),0)</f>
        <v>0</v>
      </c>
      <c r="M123">
        <f>_xlfn.IFNA(VLOOKUP(Imputar[[#This Row],[Categoría]],EIMI!C:T,9,0),0)</f>
        <v>0</v>
      </c>
      <c r="N123">
        <f>_xlfn.IFNA(VLOOKUP(Imputar[[#This Row],[Categoría]],EIMI!C:T,10,0),0)</f>
        <v>0</v>
      </c>
    </row>
    <row r="124" spans="1:14" hidden="1" x14ac:dyDescent="0.25">
      <c r="A124" s="206" t="str">
        <f>Indice!$I$11</f>
        <v>EIMI00398</v>
      </c>
      <c r="B124" t="s">
        <v>619</v>
      </c>
      <c r="C124" s="39">
        <f>Indice!$I$12</f>
        <v>46053</v>
      </c>
      <c r="E124">
        <f>ROUND(SUMIFS(CATEGORIAS[[#All],[TOTAL PRODUCCION
ACTUAL]],CATEGORIAS[[#All],[CATEGORIA2]],Imputar[[#This Row],[Categoría]]),0)</f>
        <v>0</v>
      </c>
      <c r="F124">
        <v>0</v>
      </c>
      <c r="G124">
        <f>ROUND(SUMIFS(CATEGORIAS[[#All],[PROYECCION
DE INGRESO
DEL SALDO]],CATEGORIAS[[#All],[CATEGORIA2]],Imputar[[#This Row],[Categoría]]),0)</f>
        <v>0</v>
      </c>
      <c r="H124">
        <f>ROUND(SUMIFS(CATEGORIAS[[#All],[CAMBIO DE
CATEGORIA]],CATEGORIAS[[#All],[CATEGORIA2]],Imputar[[#This Row],[Categoría]]),0)</f>
        <v>0</v>
      </c>
      <c r="I1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4">
        <f>+ROUND(SUMIFS(CATEGORIAS[[#All],[PROYECCION
TOTAL DE COSTO]],CATEGORIAS[[#All],[CATEGORIA2]],Imputar[[#This Row],[Categoría]]),0)
-Imputar[[#This Row],[Inventario]]
-Imputar[[#This Row],[Pedidos no Rec]]</f>
        <v>0</v>
      </c>
      <c r="K1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4">
        <f>_xlfn.IFNA(VLOOKUP(Imputar[[#This Row],[Categoría]],EIMI!C:T,8,0),0)</f>
        <v>0</v>
      </c>
      <c r="M124">
        <f>_xlfn.IFNA(VLOOKUP(Imputar[[#This Row],[Categoría]],EIMI!C:T,9,0),0)</f>
        <v>0</v>
      </c>
      <c r="N124">
        <f>_xlfn.IFNA(VLOOKUP(Imputar[[#This Row],[Categoría]],EIMI!C:T,10,0),0)</f>
        <v>0</v>
      </c>
    </row>
    <row r="125" spans="1:14" hidden="1" x14ac:dyDescent="0.25">
      <c r="A125" s="206" t="str">
        <f>Indice!$I$11</f>
        <v>EIMI00398</v>
      </c>
      <c r="B125" t="s">
        <v>621</v>
      </c>
      <c r="C125" s="39">
        <f>Indice!$I$12</f>
        <v>46053</v>
      </c>
      <c r="E125">
        <f>ROUND(SUMIFS(CATEGORIAS[[#All],[TOTAL PRODUCCION
ACTUAL]],CATEGORIAS[[#All],[CATEGORIA2]],Imputar[[#This Row],[Categoría]]),0)</f>
        <v>0</v>
      </c>
      <c r="F125">
        <v>0</v>
      </c>
      <c r="G125">
        <f>ROUND(SUMIFS(CATEGORIAS[[#All],[PROYECCION
DE INGRESO
DEL SALDO]],CATEGORIAS[[#All],[CATEGORIA2]],Imputar[[#This Row],[Categoría]]),0)</f>
        <v>0</v>
      </c>
      <c r="H125">
        <f>ROUND(SUMIFS(CATEGORIAS[[#All],[CAMBIO DE
CATEGORIA]],CATEGORIAS[[#All],[CATEGORIA2]],Imputar[[#This Row],[Categoría]]),0)</f>
        <v>0</v>
      </c>
      <c r="I1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5">
        <f>+ROUND(SUMIFS(CATEGORIAS[[#All],[PROYECCION
TOTAL DE COSTO]],CATEGORIAS[[#All],[CATEGORIA2]],Imputar[[#This Row],[Categoría]]),0)
-Imputar[[#This Row],[Inventario]]
-Imputar[[#This Row],[Pedidos no Rec]]</f>
        <v>0</v>
      </c>
      <c r="K1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5">
        <f>_xlfn.IFNA(VLOOKUP(Imputar[[#This Row],[Categoría]],EIMI!C:T,8,0),0)</f>
        <v>0</v>
      </c>
      <c r="M125">
        <f>_xlfn.IFNA(VLOOKUP(Imputar[[#This Row],[Categoría]],EIMI!C:T,9,0),0)</f>
        <v>0</v>
      </c>
      <c r="N125">
        <f>_xlfn.IFNA(VLOOKUP(Imputar[[#This Row],[Categoría]],EIMI!C:T,10,0),0)</f>
        <v>0</v>
      </c>
    </row>
    <row r="126" spans="1:14" hidden="1" x14ac:dyDescent="0.25">
      <c r="A126" s="206" t="str">
        <f>Indice!$I$11</f>
        <v>EIMI00398</v>
      </c>
      <c r="B126" t="s">
        <v>623</v>
      </c>
      <c r="C126" s="39">
        <f>Indice!$I$12</f>
        <v>46053</v>
      </c>
      <c r="E126">
        <f>ROUND(SUMIFS(CATEGORIAS[[#All],[TOTAL PRODUCCION
ACTUAL]],CATEGORIAS[[#All],[CATEGORIA2]],Imputar[[#This Row],[Categoría]]),0)</f>
        <v>0</v>
      </c>
      <c r="F126">
        <v>0</v>
      </c>
      <c r="G126">
        <f>ROUND(SUMIFS(CATEGORIAS[[#All],[PROYECCION
DE INGRESO
DEL SALDO]],CATEGORIAS[[#All],[CATEGORIA2]],Imputar[[#This Row],[Categoría]]),0)</f>
        <v>0</v>
      </c>
      <c r="H126">
        <f>ROUND(SUMIFS(CATEGORIAS[[#All],[CAMBIO DE
CATEGORIA]],CATEGORIAS[[#All],[CATEGORIA2]],Imputar[[#This Row],[Categoría]]),0)</f>
        <v>0</v>
      </c>
      <c r="I1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6">
        <f>+ROUND(SUMIFS(CATEGORIAS[[#All],[PROYECCION
TOTAL DE COSTO]],CATEGORIAS[[#All],[CATEGORIA2]],Imputar[[#This Row],[Categoría]]),0)
-Imputar[[#This Row],[Inventario]]
-Imputar[[#This Row],[Pedidos no Rec]]</f>
        <v>0</v>
      </c>
      <c r="K1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6">
        <f>_xlfn.IFNA(VLOOKUP(Imputar[[#This Row],[Categoría]],EIMI!C:T,8,0),0)</f>
        <v>0</v>
      </c>
      <c r="M126">
        <f>_xlfn.IFNA(VLOOKUP(Imputar[[#This Row],[Categoría]],EIMI!C:T,9,0),0)</f>
        <v>0</v>
      </c>
      <c r="N126">
        <f>_xlfn.IFNA(VLOOKUP(Imputar[[#This Row],[Categoría]],EIMI!C:T,10,0),0)</f>
        <v>0</v>
      </c>
    </row>
    <row r="127" spans="1:14" hidden="1" x14ac:dyDescent="0.25">
      <c r="A127" s="206" t="str">
        <f>Indice!$I$11</f>
        <v>EIMI00398</v>
      </c>
      <c r="B127" t="s">
        <v>625</v>
      </c>
      <c r="C127" s="39">
        <f>Indice!$I$12</f>
        <v>46053</v>
      </c>
      <c r="E127">
        <f>ROUND(SUMIFS(CATEGORIAS[[#All],[TOTAL PRODUCCION
ACTUAL]],CATEGORIAS[[#All],[CATEGORIA2]],Imputar[[#This Row],[Categoría]]),0)</f>
        <v>0</v>
      </c>
      <c r="F127">
        <v>0</v>
      </c>
      <c r="G127">
        <f>ROUND(SUMIFS(CATEGORIAS[[#All],[PROYECCION
DE INGRESO
DEL SALDO]],CATEGORIAS[[#All],[CATEGORIA2]],Imputar[[#This Row],[Categoría]]),0)</f>
        <v>0</v>
      </c>
      <c r="H127">
        <f>ROUND(SUMIFS(CATEGORIAS[[#All],[CAMBIO DE
CATEGORIA]],CATEGORIAS[[#All],[CATEGORIA2]],Imputar[[#This Row],[Categoría]]),0)</f>
        <v>0</v>
      </c>
      <c r="I1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7">
        <f>+ROUND(SUMIFS(CATEGORIAS[[#All],[PROYECCION
TOTAL DE COSTO]],CATEGORIAS[[#All],[CATEGORIA2]],Imputar[[#This Row],[Categoría]]),0)
-Imputar[[#This Row],[Inventario]]
-Imputar[[#This Row],[Pedidos no Rec]]</f>
        <v>0</v>
      </c>
      <c r="K1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7">
        <f>_xlfn.IFNA(VLOOKUP(Imputar[[#This Row],[Categoría]],EIMI!C:T,8,0),0)</f>
        <v>0</v>
      </c>
      <c r="M127">
        <f>_xlfn.IFNA(VLOOKUP(Imputar[[#This Row],[Categoría]],EIMI!C:T,9,0),0)</f>
        <v>0</v>
      </c>
      <c r="N127">
        <f>_xlfn.IFNA(VLOOKUP(Imputar[[#This Row],[Categoría]],EIMI!C:T,10,0),0)</f>
        <v>0</v>
      </c>
    </row>
    <row r="128" spans="1:14" hidden="1" x14ac:dyDescent="0.25">
      <c r="A128" s="206" t="str">
        <f>Indice!$I$11</f>
        <v>EIMI00398</v>
      </c>
      <c r="B128" t="s">
        <v>627</v>
      </c>
      <c r="C128" s="39">
        <f>Indice!$I$12</f>
        <v>46053</v>
      </c>
      <c r="E128">
        <f>ROUND(SUMIFS(CATEGORIAS[[#All],[TOTAL PRODUCCION
ACTUAL]],CATEGORIAS[[#All],[CATEGORIA2]],Imputar[[#This Row],[Categoría]]),0)</f>
        <v>0</v>
      </c>
      <c r="F128">
        <v>0</v>
      </c>
      <c r="G128">
        <f>ROUND(SUMIFS(CATEGORIAS[[#All],[PROYECCION
DE INGRESO
DEL SALDO]],CATEGORIAS[[#All],[CATEGORIA2]],Imputar[[#This Row],[Categoría]]),0)</f>
        <v>0</v>
      </c>
      <c r="H128">
        <f>ROUND(SUMIFS(CATEGORIAS[[#All],[CAMBIO DE
CATEGORIA]],CATEGORIAS[[#All],[CATEGORIA2]],Imputar[[#This Row],[Categoría]]),0)</f>
        <v>0</v>
      </c>
      <c r="I1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8">
        <f>+ROUND(SUMIFS(CATEGORIAS[[#All],[PROYECCION
TOTAL DE COSTO]],CATEGORIAS[[#All],[CATEGORIA2]],Imputar[[#This Row],[Categoría]]),0)
-Imputar[[#This Row],[Inventario]]
-Imputar[[#This Row],[Pedidos no Rec]]</f>
        <v>0</v>
      </c>
      <c r="K1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8">
        <f>_xlfn.IFNA(VLOOKUP(Imputar[[#This Row],[Categoría]],EIMI!C:T,8,0),0)</f>
        <v>0</v>
      </c>
      <c r="M128">
        <f>_xlfn.IFNA(VLOOKUP(Imputar[[#This Row],[Categoría]],EIMI!C:T,9,0),0)</f>
        <v>0</v>
      </c>
      <c r="N128">
        <f>_xlfn.IFNA(VLOOKUP(Imputar[[#This Row],[Categoría]],EIMI!C:T,10,0),0)</f>
        <v>0</v>
      </c>
    </row>
    <row r="129" spans="1:14" hidden="1" x14ac:dyDescent="0.25">
      <c r="A129" s="206" t="str">
        <f>Indice!$I$11</f>
        <v>EIMI00398</v>
      </c>
      <c r="B129" t="s">
        <v>629</v>
      </c>
      <c r="C129" s="39">
        <f>Indice!$I$12</f>
        <v>46053</v>
      </c>
      <c r="E129">
        <f>ROUND(SUMIFS(CATEGORIAS[[#All],[TOTAL PRODUCCION
ACTUAL]],CATEGORIAS[[#All],[CATEGORIA2]],Imputar[[#This Row],[Categoría]]),0)</f>
        <v>0</v>
      </c>
      <c r="F129">
        <v>0</v>
      </c>
      <c r="G129">
        <f>ROUND(SUMIFS(CATEGORIAS[[#All],[PROYECCION
DE INGRESO
DEL SALDO]],CATEGORIAS[[#All],[CATEGORIA2]],Imputar[[#This Row],[Categoría]]),0)</f>
        <v>0</v>
      </c>
      <c r="H129">
        <f>ROUND(SUMIFS(CATEGORIAS[[#All],[CAMBIO DE
CATEGORIA]],CATEGORIAS[[#All],[CATEGORIA2]],Imputar[[#This Row],[Categoría]]),0)</f>
        <v>0</v>
      </c>
      <c r="I1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29">
        <f>+ROUND(SUMIFS(CATEGORIAS[[#All],[PROYECCION
TOTAL DE COSTO]],CATEGORIAS[[#All],[CATEGORIA2]],Imputar[[#This Row],[Categoría]]),0)
-Imputar[[#This Row],[Inventario]]
-Imputar[[#This Row],[Pedidos no Rec]]</f>
        <v>0</v>
      </c>
      <c r="K1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29">
        <f>_xlfn.IFNA(VLOOKUP(Imputar[[#This Row],[Categoría]],EIMI!C:T,8,0),0)</f>
        <v>0</v>
      </c>
      <c r="M129">
        <f>_xlfn.IFNA(VLOOKUP(Imputar[[#This Row],[Categoría]],EIMI!C:T,9,0),0)</f>
        <v>0</v>
      </c>
      <c r="N129">
        <f>_xlfn.IFNA(VLOOKUP(Imputar[[#This Row],[Categoría]],EIMI!C:T,10,0),0)</f>
        <v>0</v>
      </c>
    </row>
    <row r="130" spans="1:14" hidden="1" x14ac:dyDescent="0.25">
      <c r="A130" s="206" t="str">
        <f>Indice!$I$11</f>
        <v>EIMI00398</v>
      </c>
      <c r="B130" t="s">
        <v>631</v>
      </c>
      <c r="C130" s="39">
        <f>Indice!$I$12</f>
        <v>46053</v>
      </c>
      <c r="E130">
        <f>ROUND(SUMIFS(CATEGORIAS[[#All],[TOTAL PRODUCCION
ACTUAL]],CATEGORIAS[[#All],[CATEGORIA2]],Imputar[[#This Row],[Categoría]]),0)</f>
        <v>0</v>
      </c>
      <c r="F130">
        <v>0</v>
      </c>
      <c r="G130">
        <f>ROUND(SUMIFS(CATEGORIAS[[#All],[PROYECCION
DE INGRESO
DEL SALDO]],CATEGORIAS[[#All],[CATEGORIA2]],Imputar[[#This Row],[Categoría]]),0)</f>
        <v>0</v>
      </c>
      <c r="H130">
        <f>ROUND(SUMIFS(CATEGORIAS[[#All],[CAMBIO DE
CATEGORIA]],CATEGORIAS[[#All],[CATEGORIA2]],Imputar[[#This Row],[Categoría]]),0)</f>
        <v>0</v>
      </c>
      <c r="I1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0">
        <f>+ROUND(SUMIFS(CATEGORIAS[[#All],[PROYECCION
TOTAL DE COSTO]],CATEGORIAS[[#All],[CATEGORIA2]],Imputar[[#This Row],[Categoría]]),0)
-Imputar[[#This Row],[Inventario]]
-Imputar[[#This Row],[Pedidos no Rec]]</f>
        <v>0</v>
      </c>
      <c r="K1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0">
        <f>_xlfn.IFNA(VLOOKUP(Imputar[[#This Row],[Categoría]],EIMI!C:T,8,0),0)</f>
        <v>0</v>
      </c>
      <c r="M130">
        <f>_xlfn.IFNA(VLOOKUP(Imputar[[#This Row],[Categoría]],EIMI!C:T,9,0),0)</f>
        <v>0</v>
      </c>
      <c r="N130">
        <f>_xlfn.IFNA(VLOOKUP(Imputar[[#This Row],[Categoría]],EIMI!C:T,10,0),0)</f>
        <v>0</v>
      </c>
    </row>
    <row r="131" spans="1:14" hidden="1" x14ac:dyDescent="0.25">
      <c r="A131" s="206" t="str">
        <f>Indice!$I$11</f>
        <v>EIMI00398</v>
      </c>
      <c r="B131" t="s">
        <v>633</v>
      </c>
      <c r="C131" s="39">
        <f>Indice!$I$12</f>
        <v>46053</v>
      </c>
      <c r="E131">
        <f>ROUND(SUMIFS(CATEGORIAS[[#All],[TOTAL PRODUCCION
ACTUAL]],CATEGORIAS[[#All],[CATEGORIA2]],Imputar[[#This Row],[Categoría]]),0)</f>
        <v>0</v>
      </c>
      <c r="F131">
        <v>0</v>
      </c>
      <c r="G131">
        <f>ROUND(SUMIFS(CATEGORIAS[[#All],[PROYECCION
DE INGRESO
DEL SALDO]],CATEGORIAS[[#All],[CATEGORIA2]],Imputar[[#This Row],[Categoría]]),0)</f>
        <v>0</v>
      </c>
      <c r="H131">
        <f>ROUND(SUMIFS(CATEGORIAS[[#All],[CAMBIO DE
CATEGORIA]],CATEGORIAS[[#All],[CATEGORIA2]],Imputar[[#This Row],[Categoría]]),0)</f>
        <v>0</v>
      </c>
      <c r="I1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1">
        <f>+ROUND(SUMIFS(CATEGORIAS[[#All],[PROYECCION
TOTAL DE COSTO]],CATEGORIAS[[#All],[CATEGORIA2]],Imputar[[#This Row],[Categoría]]),0)
-Imputar[[#This Row],[Inventario]]
-Imputar[[#This Row],[Pedidos no Rec]]</f>
        <v>0</v>
      </c>
      <c r="K1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1">
        <f>_xlfn.IFNA(VLOOKUP(Imputar[[#This Row],[Categoría]],EIMI!C:T,8,0),0)</f>
        <v>0</v>
      </c>
      <c r="M131">
        <f>_xlfn.IFNA(VLOOKUP(Imputar[[#This Row],[Categoría]],EIMI!C:T,9,0),0)</f>
        <v>0</v>
      </c>
      <c r="N131">
        <f>_xlfn.IFNA(VLOOKUP(Imputar[[#This Row],[Categoría]],EIMI!C:T,10,0),0)</f>
        <v>0</v>
      </c>
    </row>
    <row r="132" spans="1:14" hidden="1" x14ac:dyDescent="0.25">
      <c r="A132" s="206" t="str">
        <f>Indice!$I$11</f>
        <v>EIMI00398</v>
      </c>
      <c r="B132" t="s">
        <v>635</v>
      </c>
      <c r="C132" s="39">
        <f>Indice!$I$12</f>
        <v>46053</v>
      </c>
      <c r="E132">
        <f>ROUND(SUMIFS(CATEGORIAS[[#All],[TOTAL PRODUCCION
ACTUAL]],CATEGORIAS[[#All],[CATEGORIA2]],Imputar[[#This Row],[Categoría]]),0)</f>
        <v>0</v>
      </c>
      <c r="F132">
        <v>0</v>
      </c>
      <c r="G132">
        <f>ROUND(SUMIFS(CATEGORIAS[[#All],[PROYECCION
DE INGRESO
DEL SALDO]],CATEGORIAS[[#All],[CATEGORIA2]],Imputar[[#This Row],[Categoría]]),0)</f>
        <v>0</v>
      </c>
      <c r="H132">
        <f>ROUND(SUMIFS(CATEGORIAS[[#All],[CAMBIO DE
CATEGORIA]],CATEGORIAS[[#All],[CATEGORIA2]],Imputar[[#This Row],[Categoría]]),0)</f>
        <v>0</v>
      </c>
      <c r="I1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2">
        <f>+ROUND(SUMIFS(CATEGORIAS[[#All],[PROYECCION
TOTAL DE COSTO]],CATEGORIAS[[#All],[CATEGORIA2]],Imputar[[#This Row],[Categoría]]),0)
-Imputar[[#This Row],[Inventario]]
-Imputar[[#This Row],[Pedidos no Rec]]</f>
        <v>0</v>
      </c>
      <c r="K1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2">
        <f>_xlfn.IFNA(VLOOKUP(Imputar[[#This Row],[Categoría]],EIMI!C:T,8,0),0)</f>
        <v>0</v>
      </c>
      <c r="M132">
        <f>_xlfn.IFNA(VLOOKUP(Imputar[[#This Row],[Categoría]],EIMI!C:T,9,0),0)</f>
        <v>0</v>
      </c>
      <c r="N132">
        <f>_xlfn.IFNA(VLOOKUP(Imputar[[#This Row],[Categoría]],EIMI!C:T,10,0),0)</f>
        <v>0</v>
      </c>
    </row>
    <row r="133" spans="1:14" hidden="1" x14ac:dyDescent="0.25">
      <c r="A133" s="206" t="str">
        <f>Indice!$I$11</f>
        <v>EIMI00398</v>
      </c>
      <c r="B133" t="s">
        <v>637</v>
      </c>
      <c r="C133" s="39">
        <f>Indice!$I$12</f>
        <v>46053</v>
      </c>
      <c r="E133">
        <f>ROUND(SUMIFS(CATEGORIAS[[#All],[TOTAL PRODUCCION
ACTUAL]],CATEGORIAS[[#All],[CATEGORIA2]],Imputar[[#This Row],[Categoría]]),0)</f>
        <v>0</v>
      </c>
      <c r="F133">
        <v>0</v>
      </c>
      <c r="G133">
        <f>ROUND(SUMIFS(CATEGORIAS[[#All],[PROYECCION
DE INGRESO
DEL SALDO]],CATEGORIAS[[#All],[CATEGORIA2]],Imputar[[#This Row],[Categoría]]),0)</f>
        <v>0</v>
      </c>
      <c r="H133">
        <f>ROUND(SUMIFS(CATEGORIAS[[#All],[CAMBIO DE
CATEGORIA]],CATEGORIAS[[#All],[CATEGORIA2]],Imputar[[#This Row],[Categoría]]),0)</f>
        <v>0</v>
      </c>
      <c r="I1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3">
        <f>+ROUND(SUMIFS(CATEGORIAS[[#All],[PROYECCION
TOTAL DE COSTO]],CATEGORIAS[[#All],[CATEGORIA2]],Imputar[[#This Row],[Categoría]]),0)
-Imputar[[#This Row],[Inventario]]
-Imputar[[#This Row],[Pedidos no Rec]]</f>
        <v>0</v>
      </c>
      <c r="K1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3">
        <f>_xlfn.IFNA(VLOOKUP(Imputar[[#This Row],[Categoría]],EIMI!C:T,8,0),0)</f>
        <v>0</v>
      </c>
      <c r="M133">
        <f>_xlfn.IFNA(VLOOKUP(Imputar[[#This Row],[Categoría]],EIMI!C:T,9,0),0)</f>
        <v>0</v>
      </c>
      <c r="N133">
        <f>_xlfn.IFNA(VLOOKUP(Imputar[[#This Row],[Categoría]],EIMI!C:T,10,0),0)</f>
        <v>0</v>
      </c>
    </row>
    <row r="134" spans="1:14" hidden="1" x14ac:dyDescent="0.25">
      <c r="A134" s="206" t="str">
        <f>Indice!$I$11</f>
        <v>EIMI00398</v>
      </c>
      <c r="B134" t="s">
        <v>639</v>
      </c>
      <c r="C134" s="39">
        <f>Indice!$I$12</f>
        <v>46053</v>
      </c>
      <c r="E134">
        <f>ROUND(SUMIFS(CATEGORIAS[[#All],[TOTAL PRODUCCION
ACTUAL]],CATEGORIAS[[#All],[CATEGORIA2]],Imputar[[#This Row],[Categoría]]),0)</f>
        <v>0</v>
      </c>
      <c r="F134">
        <v>0</v>
      </c>
      <c r="G134">
        <f>ROUND(SUMIFS(CATEGORIAS[[#All],[PROYECCION
DE INGRESO
DEL SALDO]],CATEGORIAS[[#All],[CATEGORIA2]],Imputar[[#This Row],[Categoría]]),0)</f>
        <v>0</v>
      </c>
      <c r="H134">
        <f>ROUND(SUMIFS(CATEGORIAS[[#All],[CAMBIO DE
CATEGORIA]],CATEGORIAS[[#All],[CATEGORIA2]],Imputar[[#This Row],[Categoría]]),0)</f>
        <v>0</v>
      </c>
      <c r="I1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4">
        <f>+ROUND(SUMIFS(CATEGORIAS[[#All],[PROYECCION
TOTAL DE COSTO]],CATEGORIAS[[#All],[CATEGORIA2]],Imputar[[#This Row],[Categoría]]),0)
-Imputar[[#This Row],[Inventario]]
-Imputar[[#This Row],[Pedidos no Rec]]</f>
        <v>0</v>
      </c>
      <c r="K1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4">
        <f>_xlfn.IFNA(VLOOKUP(Imputar[[#This Row],[Categoría]],EIMI!C:T,8,0),0)</f>
        <v>0</v>
      </c>
      <c r="M134">
        <f>_xlfn.IFNA(VLOOKUP(Imputar[[#This Row],[Categoría]],EIMI!C:T,9,0),0)</f>
        <v>0</v>
      </c>
      <c r="N134">
        <f>_xlfn.IFNA(VLOOKUP(Imputar[[#This Row],[Categoría]],EIMI!C:T,10,0),0)</f>
        <v>0</v>
      </c>
    </row>
    <row r="135" spans="1:14" hidden="1" x14ac:dyDescent="0.25">
      <c r="A135" s="206" t="str">
        <f>Indice!$I$11</f>
        <v>EIMI00398</v>
      </c>
      <c r="B135" t="s">
        <v>641</v>
      </c>
      <c r="C135" s="39">
        <f>Indice!$I$12</f>
        <v>46053</v>
      </c>
      <c r="E135">
        <f>ROUND(SUMIFS(CATEGORIAS[[#All],[TOTAL PRODUCCION
ACTUAL]],CATEGORIAS[[#All],[CATEGORIA2]],Imputar[[#This Row],[Categoría]]),0)</f>
        <v>0</v>
      </c>
      <c r="F135">
        <v>0</v>
      </c>
      <c r="G135">
        <f>ROUND(SUMIFS(CATEGORIAS[[#All],[PROYECCION
DE INGRESO
DEL SALDO]],CATEGORIAS[[#All],[CATEGORIA2]],Imputar[[#This Row],[Categoría]]),0)</f>
        <v>0</v>
      </c>
      <c r="H135">
        <f>ROUND(SUMIFS(CATEGORIAS[[#All],[CAMBIO DE
CATEGORIA]],CATEGORIAS[[#All],[CATEGORIA2]],Imputar[[#This Row],[Categoría]]),0)</f>
        <v>0</v>
      </c>
      <c r="I1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5">
        <f>+ROUND(SUMIFS(CATEGORIAS[[#All],[PROYECCION
TOTAL DE COSTO]],CATEGORIAS[[#All],[CATEGORIA2]],Imputar[[#This Row],[Categoría]]),0)
-Imputar[[#This Row],[Inventario]]
-Imputar[[#This Row],[Pedidos no Rec]]</f>
        <v>0</v>
      </c>
      <c r="K1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5">
        <f>_xlfn.IFNA(VLOOKUP(Imputar[[#This Row],[Categoría]],EIMI!C:T,8,0),0)</f>
        <v>0</v>
      </c>
      <c r="M135">
        <f>_xlfn.IFNA(VLOOKUP(Imputar[[#This Row],[Categoría]],EIMI!C:T,9,0),0)</f>
        <v>0</v>
      </c>
      <c r="N135">
        <f>_xlfn.IFNA(VLOOKUP(Imputar[[#This Row],[Categoría]],EIMI!C:T,10,0),0)</f>
        <v>0</v>
      </c>
    </row>
    <row r="136" spans="1:14" hidden="1" x14ac:dyDescent="0.25">
      <c r="A136" s="206" t="str">
        <f>Indice!$I$11</f>
        <v>EIMI00398</v>
      </c>
      <c r="B136" t="s">
        <v>643</v>
      </c>
      <c r="C136" s="39">
        <f>Indice!$I$12</f>
        <v>46053</v>
      </c>
      <c r="E136">
        <f>ROUND(SUMIFS(CATEGORIAS[[#All],[TOTAL PRODUCCION
ACTUAL]],CATEGORIAS[[#All],[CATEGORIA2]],Imputar[[#This Row],[Categoría]]),0)</f>
        <v>0</v>
      </c>
      <c r="F136">
        <v>0</v>
      </c>
      <c r="G136">
        <f>ROUND(SUMIFS(CATEGORIAS[[#All],[PROYECCION
DE INGRESO
DEL SALDO]],CATEGORIAS[[#All],[CATEGORIA2]],Imputar[[#This Row],[Categoría]]),0)</f>
        <v>0</v>
      </c>
      <c r="H136">
        <f>ROUND(SUMIFS(CATEGORIAS[[#All],[CAMBIO DE
CATEGORIA]],CATEGORIAS[[#All],[CATEGORIA2]],Imputar[[#This Row],[Categoría]]),0)</f>
        <v>0</v>
      </c>
      <c r="I1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6">
        <f>+ROUND(SUMIFS(CATEGORIAS[[#All],[PROYECCION
TOTAL DE COSTO]],CATEGORIAS[[#All],[CATEGORIA2]],Imputar[[#This Row],[Categoría]]),0)
-Imputar[[#This Row],[Inventario]]
-Imputar[[#This Row],[Pedidos no Rec]]</f>
        <v>0</v>
      </c>
      <c r="K1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6">
        <f>_xlfn.IFNA(VLOOKUP(Imputar[[#This Row],[Categoría]],EIMI!C:T,8,0),0)</f>
        <v>0</v>
      </c>
      <c r="M136">
        <f>_xlfn.IFNA(VLOOKUP(Imputar[[#This Row],[Categoría]],EIMI!C:T,9,0),0)</f>
        <v>0</v>
      </c>
      <c r="N136">
        <f>_xlfn.IFNA(VLOOKUP(Imputar[[#This Row],[Categoría]],EIMI!C:T,10,0),0)</f>
        <v>0</v>
      </c>
    </row>
    <row r="137" spans="1:14" hidden="1" x14ac:dyDescent="0.25">
      <c r="A137" s="206" t="str">
        <f>Indice!$I$11</f>
        <v>EIMI00398</v>
      </c>
      <c r="B137" t="s">
        <v>645</v>
      </c>
      <c r="C137" s="39">
        <f>Indice!$I$12</f>
        <v>46053</v>
      </c>
      <c r="E137">
        <f>ROUND(SUMIFS(CATEGORIAS[[#All],[TOTAL PRODUCCION
ACTUAL]],CATEGORIAS[[#All],[CATEGORIA2]],Imputar[[#This Row],[Categoría]]),0)</f>
        <v>0</v>
      </c>
      <c r="F137">
        <v>0</v>
      </c>
      <c r="G137">
        <f>ROUND(SUMIFS(CATEGORIAS[[#All],[PROYECCION
DE INGRESO
DEL SALDO]],CATEGORIAS[[#All],[CATEGORIA2]],Imputar[[#This Row],[Categoría]]),0)</f>
        <v>0</v>
      </c>
      <c r="H137">
        <f>ROUND(SUMIFS(CATEGORIAS[[#All],[CAMBIO DE
CATEGORIA]],CATEGORIAS[[#All],[CATEGORIA2]],Imputar[[#This Row],[Categoría]]),0)</f>
        <v>0</v>
      </c>
      <c r="I1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7">
        <f>+ROUND(SUMIFS(CATEGORIAS[[#All],[PROYECCION
TOTAL DE COSTO]],CATEGORIAS[[#All],[CATEGORIA2]],Imputar[[#This Row],[Categoría]]),0)
-Imputar[[#This Row],[Inventario]]
-Imputar[[#This Row],[Pedidos no Rec]]</f>
        <v>0</v>
      </c>
      <c r="K1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7">
        <f>_xlfn.IFNA(VLOOKUP(Imputar[[#This Row],[Categoría]],EIMI!C:T,8,0),0)</f>
        <v>0</v>
      </c>
      <c r="M137">
        <f>_xlfn.IFNA(VLOOKUP(Imputar[[#This Row],[Categoría]],EIMI!C:T,9,0),0)</f>
        <v>0</v>
      </c>
      <c r="N137">
        <f>_xlfn.IFNA(VLOOKUP(Imputar[[#This Row],[Categoría]],EIMI!C:T,10,0),0)</f>
        <v>0</v>
      </c>
    </row>
    <row r="138" spans="1:14" hidden="1" x14ac:dyDescent="0.25">
      <c r="A138" s="206" t="str">
        <f>Indice!$I$11</f>
        <v>EIMI00398</v>
      </c>
      <c r="B138" t="s">
        <v>647</v>
      </c>
      <c r="C138" s="39">
        <f>Indice!$I$12</f>
        <v>46053</v>
      </c>
      <c r="E138">
        <f>ROUND(SUMIFS(CATEGORIAS[[#All],[TOTAL PRODUCCION
ACTUAL]],CATEGORIAS[[#All],[CATEGORIA2]],Imputar[[#This Row],[Categoría]]),0)</f>
        <v>0</v>
      </c>
      <c r="F138">
        <v>0</v>
      </c>
      <c r="G138">
        <f>ROUND(SUMIFS(CATEGORIAS[[#All],[PROYECCION
DE INGRESO
DEL SALDO]],CATEGORIAS[[#All],[CATEGORIA2]],Imputar[[#This Row],[Categoría]]),0)</f>
        <v>0</v>
      </c>
      <c r="H138">
        <f>ROUND(SUMIFS(CATEGORIAS[[#All],[CAMBIO DE
CATEGORIA]],CATEGORIAS[[#All],[CATEGORIA2]],Imputar[[#This Row],[Categoría]]),0)</f>
        <v>0</v>
      </c>
      <c r="I1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8">
        <f>+ROUND(SUMIFS(CATEGORIAS[[#All],[PROYECCION
TOTAL DE COSTO]],CATEGORIAS[[#All],[CATEGORIA2]],Imputar[[#This Row],[Categoría]]),0)
-Imputar[[#This Row],[Inventario]]
-Imputar[[#This Row],[Pedidos no Rec]]</f>
        <v>0</v>
      </c>
      <c r="K1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8">
        <f>_xlfn.IFNA(VLOOKUP(Imputar[[#This Row],[Categoría]],EIMI!C:T,8,0),0)</f>
        <v>0</v>
      </c>
      <c r="M138">
        <f>_xlfn.IFNA(VLOOKUP(Imputar[[#This Row],[Categoría]],EIMI!C:T,9,0),0)</f>
        <v>0</v>
      </c>
      <c r="N138">
        <f>_xlfn.IFNA(VLOOKUP(Imputar[[#This Row],[Categoría]],EIMI!C:T,10,0),0)</f>
        <v>0</v>
      </c>
    </row>
    <row r="139" spans="1:14" hidden="1" x14ac:dyDescent="0.25">
      <c r="A139" s="206" t="str">
        <f>Indice!$I$11</f>
        <v>EIMI00398</v>
      </c>
      <c r="B139" t="s">
        <v>649</v>
      </c>
      <c r="C139" s="39">
        <f>Indice!$I$12</f>
        <v>46053</v>
      </c>
      <c r="E139">
        <f>ROUND(SUMIFS(CATEGORIAS[[#All],[TOTAL PRODUCCION
ACTUAL]],CATEGORIAS[[#All],[CATEGORIA2]],Imputar[[#This Row],[Categoría]]),0)</f>
        <v>0</v>
      </c>
      <c r="F139">
        <v>0</v>
      </c>
      <c r="G139">
        <f>ROUND(SUMIFS(CATEGORIAS[[#All],[PROYECCION
DE INGRESO
DEL SALDO]],CATEGORIAS[[#All],[CATEGORIA2]],Imputar[[#This Row],[Categoría]]),0)</f>
        <v>0</v>
      </c>
      <c r="H139">
        <f>ROUND(SUMIFS(CATEGORIAS[[#All],[CAMBIO DE
CATEGORIA]],CATEGORIAS[[#All],[CATEGORIA2]],Imputar[[#This Row],[Categoría]]),0)</f>
        <v>0</v>
      </c>
      <c r="I1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39">
        <f>+ROUND(SUMIFS(CATEGORIAS[[#All],[PROYECCION
TOTAL DE COSTO]],CATEGORIAS[[#All],[CATEGORIA2]],Imputar[[#This Row],[Categoría]]),0)
-Imputar[[#This Row],[Inventario]]
-Imputar[[#This Row],[Pedidos no Rec]]</f>
        <v>0</v>
      </c>
      <c r="K1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39">
        <f>_xlfn.IFNA(VLOOKUP(Imputar[[#This Row],[Categoría]],EIMI!C:T,8,0),0)</f>
        <v>0</v>
      </c>
      <c r="M139">
        <f>_xlfn.IFNA(VLOOKUP(Imputar[[#This Row],[Categoría]],EIMI!C:T,9,0),0)</f>
        <v>0</v>
      </c>
      <c r="N139">
        <f>_xlfn.IFNA(VLOOKUP(Imputar[[#This Row],[Categoría]],EIMI!C:T,10,0),0)</f>
        <v>0</v>
      </c>
    </row>
    <row r="140" spans="1:14" hidden="1" x14ac:dyDescent="0.25">
      <c r="A140" s="206" t="str">
        <f>Indice!$I$11</f>
        <v>EIMI00398</v>
      </c>
      <c r="B140" t="s">
        <v>651</v>
      </c>
      <c r="C140" s="39">
        <f>Indice!$I$12</f>
        <v>46053</v>
      </c>
      <c r="E140">
        <f>ROUND(SUMIFS(CATEGORIAS[[#All],[TOTAL PRODUCCION
ACTUAL]],CATEGORIAS[[#All],[CATEGORIA2]],Imputar[[#This Row],[Categoría]]),0)</f>
        <v>0</v>
      </c>
      <c r="F140">
        <v>0</v>
      </c>
      <c r="G140">
        <f>ROUND(SUMIFS(CATEGORIAS[[#All],[PROYECCION
DE INGRESO
DEL SALDO]],CATEGORIAS[[#All],[CATEGORIA2]],Imputar[[#This Row],[Categoría]]),0)</f>
        <v>0</v>
      </c>
      <c r="H140">
        <f>ROUND(SUMIFS(CATEGORIAS[[#All],[CAMBIO DE
CATEGORIA]],CATEGORIAS[[#All],[CATEGORIA2]],Imputar[[#This Row],[Categoría]]),0)</f>
        <v>0</v>
      </c>
      <c r="I1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0">
        <f>+ROUND(SUMIFS(CATEGORIAS[[#All],[PROYECCION
TOTAL DE COSTO]],CATEGORIAS[[#All],[CATEGORIA2]],Imputar[[#This Row],[Categoría]]),0)
-Imputar[[#This Row],[Inventario]]
-Imputar[[#This Row],[Pedidos no Rec]]</f>
        <v>0</v>
      </c>
      <c r="K1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0">
        <f>_xlfn.IFNA(VLOOKUP(Imputar[[#This Row],[Categoría]],EIMI!C:T,8,0),0)</f>
        <v>0</v>
      </c>
      <c r="M140">
        <f>_xlfn.IFNA(VLOOKUP(Imputar[[#This Row],[Categoría]],EIMI!C:T,9,0),0)</f>
        <v>0</v>
      </c>
      <c r="N140">
        <f>_xlfn.IFNA(VLOOKUP(Imputar[[#This Row],[Categoría]],EIMI!C:T,10,0),0)</f>
        <v>0</v>
      </c>
    </row>
    <row r="141" spans="1:14" hidden="1" x14ac:dyDescent="0.25">
      <c r="A141" s="206" t="str">
        <f>Indice!$I$11</f>
        <v>EIMI00398</v>
      </c>
      <c r="B141" t="s">
        <v>653</v>
      </c>
      <c r="C141" s="39">
        <f>Indice!$I$12</f>
        <v>46053</v>
      </c>
      <c r="E141">
        <f>ROUND(SUMIFS(CATEGORIAS[[#All],[TOTAL PRODUCCION
ACTUAL]],CATEGORIAS[[#All],[CATEGORIA2]],Imputar[[#This Row],[Categoría]]),0)</f>
        <v>0</v>
      </c>
      <c r="F141">
        <v>0</v>
      </c>
      <c r="G141">
        <f>ROUND(SUMIFS(CATEGORIAS[[#All],[PROYECCION
DE INGRESO
DEL SALDO]],CATEGORIAS[[#All],[CATEGORIA2]],Imputar[[#This Row],[Categoría]]),0)</f>
        <v>0</v>
      </c>
      <c r="H141">
        <f>ROUND(SUMIFS(CATEGORIAS[[#All],[CAMBIO DE
CATEGORIA]],CATEGORIAS[[#All],[CATEGORIA2]],Imputar[[#This Row],[Categoría]]),0)</f>
        <v>0</v>
      </c>
      <c r="I1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1">
        <f>+ROUND(SUMIFS(CATEGORIAS[[#All],[PROYECCION
TOTAL DE COSTO]],CATEGORIAS[[#All],[CATEGORIA2]],Imputar[[#This Row],[Categoría]]),0)
-Imputar[[#This Row],[Inventario]]
-Imputar[[#This Row],[Pedidos no Rec]]</f>
        <v>0</v>
      </c>
      <c r="K1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1">
        <f>_xlfn.IFNA(VLOOKUP(Imputar[[#This Row],[Categoría]],EIMI!C:T,8,0),0)</f>
        <v>0</v>
      </c>
      <c r="M141">
        <f>_xlfn.IFNA(VLOOKUP(Imputar[[#This Row],[Categoría]],EIMI!C:T,9,0),0)</f>
        <v>0</v>
      </c>
      <c r="N141">
        <f>_xlfn.IFNA(VLOOKUP(Imputar[[#This Row],[Categoría]],EIMI!C:T,10,0),0)</f>
        <v>0</v>
      </c>
    </row>
    <row r="142" spans="1:14" hidden="1" x14ac:dyDescent="0.25">
      <c r="A142" s="206" t="str">
        <f>Indice!$I$11</f>
        <v>EIMI00398</v>
      </c>
      <c r="B142" t="s">
        <v>655</v>
      </c>
      <c r="C142" s="39">
        <f>Indice!$I$12</f>
        <v>46053</v>
      </c>
      <c r="E142">
        <f>ROUND(SUMIFS(CATEGORIAS[[#All],[TOTAL PRODUCCION
ACTUAL]],CATEGORIAS[[#All],[CATEGORIA2]],Imputar[[#This Row],[Categoría]]),0)</f>
        <v>0</v>
      </c>
      <c r="F142">
        <v>0</v>
      </c>
      <c r="G142">
        <f>ROUND(SUMIFS(CATEGORIAS[[#All],[PROYECCION
DE INGRESO
DEL SALDO]],CATEGORIAS[[#All],[CATEGORIA2]],Imputar[[#This Row],[Categoría]]),0)</f>
        <v>0</v>
      </c>
      <c r="H142">
        <f>ROUND(SUMIFS(CATEGORIAS[[#All],[CAMBIO DE
CATEGORIA]],CATEGORIAS[[#All],[CATEGORIA2]],Imputar[[#This Row],[Categoría]]),0)</f>
        <v>0</v>
      </c>
      <c r="I1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2">
        <f>+ROUND(SUMIFS(CATEGORIAS[[#All],[PROYECCION
TOTAL DE COSTO]],CATEGORIAS[[#All],[CATEGORIA2]],Imputar[[#This Row],[Categoría]]),0)
-Imputar[[#This Row],[Inventario]]
-Imputar[[#This Row],[Pedidos no Rec]]</f>
        <v>0</v>
      </c>
      <c r="K1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2">
        <f>_xlfn.IFNA(VLOOKUP(Imputar[[#This Row],[Categoría]],EIMI!C:T,8,0),0)</f>
        <v>0</v>
      </c>
      <c r="M142">
        <f>_xlfn.IFNA(VLOOKUP(Imputar[[#This Row],[Categoría]],EIMI!C:T,9,0),0)</f>
        <v>0</v>
      </c>
      <c r="N142">
        <f>_xlfn.IFNA(VLOOKUP(Imputar[[#This Row],[Categoría]],EIMI!C:T,10,0),0)</f>
        <v>0</v>
      </c>
    </row>
    <row r="143" spans="1:14" hidden="1" x14ac:dyDescent="0.25">
      <c r="A143" s="206" t="str">
        <f>Indice!$I$11</f>
        <v>EIMI00398</v>
      </c>
      <c r="B143" t="s">
        <v>657</v>
      </c>
      <c r="C143" s="39">
        <f>Indice!$I$12</f>
        <v>46053</v>
      </c>
      <c r="E143">
        <f>ROUND(SUMIFS(CATEGORIAS[[#All],[TOTAL PRODUCCION
ACTUAL]],CATEGORIAS[[#All],[CATEGORIA2]],Imputar[[#This Row],[Categoría]]),0)</f>
        <v>0</v>
      </c>
      <c r="F143">
        <v>0</v>
      </c>
      <c r="G143">
        <f>ROUND(SUMIFS(CATEGORIAS[[#All],[PROYECCION
DE INGRESO
DEL SALDO]],CATEGORIAS[[#All],[CATEGORIA2]],Imputar[[#This Row],[Categoría]]),0)</f>
        <v>0</v>
      </c>
      <c r="H143">
        <f>ROUND(SUMIFS(CATEGORIAS[[#All],[CAMBIO DE
CATEGORIA]],CATEGORIAS[[#All],[CATEGORIA2]],Imputar[[#This Row],[Categoría]]),0)</f>
        <v>0</v>
      </c>
      <c r="I1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3">
        <f>+ROUND(SUMIFS(CATEGORIAS[[#All],[PROYECCION
TOTAL DE COSTO]],CATEGORIAS[[#All],[CATEGORIA2]],Imputar[[#This Row],[Categoría]]),0)
-Imputar[[#This Row],[Inventario]]
-Imputar[[#This Row],[Pedidos no Rec]]</f>
        <v>0</v>
      </c>
      <c r="K1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3">
        <f>_xlfn.IFNA(VLOOKUP(Imputar[[#This Row],[Categoría]],EIMI!C:T,8,0),0)</f>
        <v>0</v>
      </c>
      <c r="M143">
        <f>_xlfn.IFNA(VLOOKUP(Imputar[[#This Row],[Categoría]],EIMI!C:T,9,0),0)</f>
        <v>0</v>
      </c>
      <c r="N143">
        <f>_xlfn.IFNA(VLOOKUP(Imputar[[#This Row],[Categoría]],EIMI!C:T,10,0),0)</f>
        <v>0</v>
      </c>
    </row>
    <row r="144" spans="1:14" hidden="1" x14ac:dyDescent="0.25">
      <c r="A144" s="206" t="str">
        <f>Indice!$I$11</f>
        <v>EIMI00398</v>
      </c>
      <c r="B144" t="s">
        <v>659</v>
      </c>
      <c r="C144" s="39">
        <f>Indice!$I$12</f>
        <v>46053</v>
      </c>
      <c r="E144">
        <f>ROUND(SUMIFS(CATEGORIAS[[#All],[TOTAL PRODUCCION
ACTUAL]],CATEGORIAS[[#All],[CATEGORIA2]],Imputar[[#This Row],[Categoría]]),0)</f>
        <v>0</v>
      </c>
      <c r="F144">
        <v>0</v>
      </c>
      <c r="G144">
        <f>ROUND(SUMIFS(CATEGORIAS[[#All],[PROYECCION
DE INGRESO
DEL SALDO]],CATEGORIAS[[#All],[CATEGORIA2]],Imputar[[#This Row],[Categoría]]),0)</f>
        <v>0</v>
      </c>
      <c r="H144">
        <f>ROUND(SUMIFS(CATEGORIAS[[#All],[CAMBIO DE
CATEGORIA]],CATEGORIAS[[#All],[CATEGORIA2]],Imputar[[#This Row],[Categoría]]),0)</f>
        <v>0</v>
      </c>
      <c r="I1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4">
        <f>+ROUND(SUMIFS(CATEGORIAS[[#All],[PROYECCION
TOTAL DE COSTO]],CATEGORIAS[[#All],[CATEGORIA2]],Imputar[[#This Row],[Categoría]]),0)
-Imputar[[#This Row],[Inventario]]
-Imputar[[#This Row],[Pedidos no Rec]]</f>
        <v>0</v>
      </c>
      <c r="K1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4">
        <f>_xlfn.IFNA(VLOOKUP(Imputar[[#This Row],[Categoría]],EIMI!C:T,8,0),0)</f>
        <v>0</v>
      </c>
      <c r="M144">
        <f>_xlfn.IFNA(VLOOKUP(Imputar[[#This Row],[Categoría]],EIMI!C:T,9,0),0)</f>
        <v>0</v>
      </c>
      <c r="N144">
        <f>_xlfn.IFNA(VLOOKUP(Imputar[[#This Row],[Categoría]],EIMI!C:T,10,0),0)</f>
        <v>0</v>
      </c>
    </row>
    <row r="145" spans="1:14" hidden="1" x14ac:dyDescent="0.25">
      <c r="A145" s="206" t="str">
        <f>Indice!$I$11</f>
        <v>EIMI00398</v>
      </c>
      <c r="B145" t="s">
        <v>661</v>
      </c>
      <c r="C145" s="39">
        <f>Indice!$I$12</f>
        <v>46053</v>
      </c>
      <c r="E145">
        <f>ROUND(SUMIFS(CATEGORIAS[[#All],[TOTAL PRODUCCION
ACTUAL]],CATEGORIAS[[#All],[CATEGORIA2]],Imputar[[#This Row],[Categoría]]),0)</f>
        <v>0</v>
      </c>
      <c r="F145">
        <v>0</v>
      </c>
      <c r="G145">
        <f>ROUND(SUMIFS(CATEGORIAS[[#All],[PROYECCION
DE INGRESO
DEL SALDO]],CATEGORIAS[[#All],[CATEGORIA2]],Imputar[[#This Row],[Categoría]]),0)</f>
        <v>0</v>
      </c>
      <c r="H145">
        <f>ROUND(SUMIFS(CATEGORIAS[[#All],[CAMBIO DE
CATEGORIA]],CATEGORIAS[[#All],[CATEGORIA2]],Imputar[[#This Row],[Categoría]]),0)</f>
        <v>0</v>
      </c>
      <c r="I1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5">
        <f>+ROUND(SUMIFS(CATEGORIAS[[#All],[PROYECCION
TOTAL DE COSTO]],CATEGORIAS[[#All],[CATEGORIA2]],Imputar[[#This Row],[Categoría]]),0)
-Imputar[[#This Row],[Inventario]]
-Imputar[[#This Row],[Pedidos no Rec]]</f>
        <v>0</v>
      </c>
      <c r="K1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5">
        <f>_xlfn.IFNA(VLOOKUP(Imputar[[#This Row],[Categoría]],EIMI!C:T,8,0),0)</f>
        <v>0</v>
      </c>
      <c r="M145">
        <f>_xlfn.IFNA(VLOOKUP(Imputar[[#This Row],[Categoría]],EIMI!C:T,9,0),0)</f>
        <v>0</v>
      </c>
      <c r="N145">
        <f>_xlfn.IFNA(VLOOKUP(Imputar[[#This Row],[Categoría]],EIMI!C:T,10,0),0)</f>
        <v>0</v>
      </c>
    </row>
    <row r="146" spans="1:14" hidden="1" x14ac:dyDescent="0.25">
      <c r="A146" s="206" t="str">
        <f>Indice!$I$11</f>
        <v>EIMI00398</v>
      </c>
      <c r="B146" t="s">
        <v>663</v>
      </c>
      <c r="C146" s="39">
        <f>Indice!$I$12</f>
        <v>46053</v>
      </c>
      <c r="E146">
        <f>ROUND(SUMIFS(CATEGORIAS[[#All],[TOTAL PRODUCCION
ACTUAL]],CATEGORIAS[[#All],[CATEGORIA2]],Imputar[[#This Row],[Categoría]]),0)</f>
        <v>0</v>
      </c>
      <c r="F146">
        <v>0</v>
      </c>
      <c r="G146">
        <f>ROUND(SUMIFS(CATEGORIAS[[#All],[PROYECCION
DE INGRESO
DEL SALDO]],CATEGORIAS[[#All],[CATEGORIA2]],Imputar[[#This Row],[Categoría]]),0)</f>
        <v>0</v>
      </c>
      <c r="H146">
        <f>ROUND(SUMIFS(CATEGORIAS[[#All],[CAMBIO DE
CATEGORIA]],CATEGORIAS[[#All],[CATEGORIA2]],Imputar[[#This Row],[Categoría]]),0)</f>
        <v>0</v>
      </c>
      <c r="I1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6">
        <f>+ROUND(SUMIFS(CATEGORIAS[[#All],[PROYECCION
TOTAL DE COSTO]],CATEGORIAS[[#All],[CATEGORIA2]],Imputar[[#This Row],[Categoría]]),0)
-Imputar[[#This Row],[Inventario]]
-Imputar[[#This Row],[Pedidos no Rec]]</f>
        <v>0</v>
      </c>
      <c r="K1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6">
        <f>_xlfn.IFNA(VLOOKUP(Imputar[[#This Row],[Categoría]],EIMI!C:T,8,0),0)</f>
        <v>0</v>
      </c>
      <c r="M146">
        <f>_xlfn.IFNA(VLOOKUP(Imputar[[#This Row],[Categoría]],EIMI!C:T,9,0),0)</f>
        <v>0</v>
      </c>
      <c r="N146">
        <f>_xlfn.IFNA(VLOOKUP(Imputar[[#This Row],[Categoría]],EIMI!C:T,10,0),0)</f>
        <v>0</v>
      </c>
    </row>
    <row r="147" spans="1:14" hidden="1" x14ac:dyDescent="0.25">
      <c r="A147" s="206" t="str">
        <f>Indice!$I$11</f>
        <v>EIMI00398</v>
      </c>
      <c r="B147" t="s">
        <v>665</v>
      </c>
      <c r="C147" s="39">
        <f>Indice!$I$12</f>
        <v>46053</v>
      </c>
      <c r="E147">
        <f>ROUND(SUMIFS(CATEGORIAS[[#All],[TOTAL PRODUCCION
ACTUAL]],CATEGORIAS[[#All],[CATEGORIA2]],Imputar[[#This Row],[Categoría]]),0)</f>
        <v>0</v>
      </c>
      <c r="F147">
        <v>0</v>
      </c>
      <c r="G147">
        <f>ROUND(SUMIFS(CATEGORIAS[[#All],[PROYECCION
DE INGRESO
DEL SALDO]],CATEGORIAS[[#All],[CATEGORIA2]],Imputar[[#This Row],[Categoría]]),0)</f>
        <v>0</v>
      </c>
      <c r="H147">
        <f>ROUND(SUMIFS(CATEGORIAS[[#All],[CAMBIO DE
CATEGORIA]],CATEGORIAS[[#All],[CATEGORIA2]],Imputar[[#This Row],[Categoría]]),0)</f>
        <v>0</v>
      </c>
      <c r="I1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7">
        <f>+ROUND(SUMIFS(CATEGORIAS[[#All],[PROYECCION
TOTAL DE COSTO]],CATEGORIAS[[#All],[CATEGORIA2]],Imputar[[#This Row],[Categoría]]),0)
-Imputar[[#This Row],[Inventario]]
-Imputar[[#This Row],[Pedidos no Rec]]</f>
        <v>0</v>
      </c>
      <c r="K1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7">
        <f>_xlfn.IFNA(VLOOKUP(Imputar[[#This Row],[Categoría]],EIMI!C:T,8,0),0)</f>
        <v>0</v>
      </c>
      <c r="M147">
        <f>_xlfn.IFNA(VLOOKUP(Imputar[[#This Row],[Categoría]],EIMI!C:T,9,0),0)</f>
        <v>0</v>
      </c>
      <c r="N147">
        <f>_xlfn.IFNA(VLOOKUP(Imputar[[#This Row],[Categoría]],EIMI!C:T,10,0),0)</f>
        <v>0</v>
      </c>
    </row>
    <row r="148" spans="1:14" hidden="1" x14ac:dyDescent="0.25">
      <c r="A148" s="206" t="str">
        <f>Indice!$I$11</f>
        <v>EIMI00398</v>
      </c>
      <c r="B148" t="s">
        <v>667</v>
      </c>
      <c r="C148" s="39">
        <f>Indice!$I$12</f>
        <v>46053</v>
      </c>
      <c r="E148">
        <f>ROUND(SUMIFS(CATEGORIAS[[#All],[TOTAL PRODUCCION
ACTUAL]],CATEGORIAS[[#All],[CATEGORIA2]],Imputar[[#This Row],[Categoría]]),0)</f>
        <v>0</v>
      </c>
      <c r="F148">
        <v>0</v>
      </c>
      <c r="G148">
        <f>ROUND(SUMIFS(CATEGORIAS[[#All],[PROYECCION
DE INGRESO
DEL SALDO]],CATEGORIAS[[#All],[CATEGORIA2]],Imputar[[#This Row],[Categoría]]),0)</f>
        <v>0</v>
      </c>
      <c r="H148">
        <f>ROUND(SUMIFS(CATEGORIAS[[#All],[CAMBIO DE
CATEGORIA]],CATEGORIAS[[#All],[CATEGORIA2]],Imputar[[#This Row],[Categoría]]),0)</f>
        <v>0</v>
      </c>
      <c r="I1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8">
        <f>+ROUND(SUMIFS(CATEGORIAS[[#All],[PROYECCION
TOTAL DE COSTO]],CATEGORIAS[[#All],[CATEGORIA2]],Imputar[[#This Row],[Categoría]]),0)
-Imputar[[#This Row],[Inventario]]
-Imputar[[#This Row],[Pedidos no Rec]]</f>
        <v>0</v>
      </c>
      <c r="K1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8">
        <f>_xlfn.IFNA(VLOOKUP(Imputar[[#This Row],[Categoría]],EIMI!C:T,8,0),0)</f>
        <v>0</v>
      </c>
      <c r="M148">
        <f>_xlfn.IFNA(VLOOKUP(Imputar[[#This Row],[Categoría]],EIMI!C:T,9,0),0)</f>
        <v>0</v>
      </c>
      <c r="N148">
        <f>_xlfn.IFNA(VLOOKUP(Imputar[[#This Row],[Categoría]],EIMI!C:T,10,0),0)</f>
        <v>0</v>
      </c>
    </row>
    <row r="149" spans="1:14" hidden="1" x14ac:dyDescent="0.25">
      <c r="A149" s="206" t="str">
        <f>Indice!$I$11</f>
        <v>EIMI00398</v>
      </c>
      <c r="B149" t="s">
        <v>669</v>
      </c>
      <c r="C149" s="39">
        <f>Indice!$I$12</f>
        <v>46053</v>
      </c>
      <c r="E149">
        <f>ROUND(SUMIFS(CATEGORIAS[[#All],[TOTAL PRODUCCION
ACTUAL]],CATEGORIAS[[#All],[CATEGORIA2]],Imputar[[#This Row],[Categoría]]),0)</f>
        <v>0</v>
      </c>
      <c r="F149">
        <v>0</v>
      </c>
      <c r="G149">
        <f>ROUND(SUMIFS(CATEGORIAS[[#All],[PROYECCION
DE INGRESO
DEL SALDO]],CATEGORIAS[[#All],[CATEGORIA2]],Imputar[[#This Row],[Categoría]]),0)</f>
        <v>0</v>
      </c>
      <c r="H149">
        <f>ROUND(SUMIFS(CATEGORIAS[[#All],[CAMBIO DE
CATEGORIA]],CATEGORIAS[[#All],[CATEGORIA2]],Imputar[[#This Row],[Categoría]]),0)</f>
        <v>0</v>
      </c>
      <c r="I1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49">
        <f>+ROUND(SUMIFS(CATEGORIAS[[#All],[PROYECCION
TOTAL DE COSTO]],CATEGORIAS[[#All],[CATEGORIA2]],Imputar[[#This Row],[Categoría]]),0)
-Imputar[[#This Row],[Inventario]]
-Imputar[[#This Row],[Pedidos no Rec]]</f>
        <v>0</v>
      </c>
      <c r="K1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49">
        <f>_xlfn.IFNA(VLOOKUP(Imputar[[#This Row],[Categoría]],EIMI!C:T,8,0),0)</f>
        <v>0</v>
      </c>
      <c r="M149">
        <f>_xlfn.IFNA(VLOOKUP(Imputar[[#This Row],[Categoría]],EIMI!C:T,9,0),0)</f>
        <v>0</v>
      </c>
      <c r="N149">
        <f>_xlfn.IFNA(VLOOKUP(Imputar[[#This Row],[Categoría]],EIMI!C:T,10,0),0)</f>
        <v>0</v>
      </c>
    </row>
    <row r="150" spans="1:14" hidden="1" x14ac:dyDescent="0.25">
      <c r="A150" s="206" t="str">
        <f>Indice!$I$11</f>
        <v>EIMI00398</v>
      </c>
      <c r="B150" t="s">
        <v>671</v>
      </c>
      <c r="C150" s="39">
        <f>Indice!$I$12</f>
        <v>46053</v>
      </c>
      <c r="E150">
        <f>ROUND(SUMIFS(CATEGORIAS[[#All],[TOTAL PRODUCCION
ACTUAL]],CATEGORIAS[[#All],[CATEGORIA2]],Imputar[[#This Row],[Categoría]]),0)</f>
        <v>0</v>
      </c>
      <c r="F150">
        <v>0</v>
      </c>
      <c r="G150">
        <f>ROUND(SUMIFS(CATEGORIAS[[#All],[PROYECCION
DE INGRESO
DEL SALDO]],CATEGORIAS[[#All],[CATEGORIA2]],Imputar[[#This Row],[Categoría]]),0)</f>
        <v>0</v>
      </c>
      <c r="H150">
        <f>ROUND(SUMIFS(CATEGORIAS[[#All],[CAMBIO DE
CATEGORIA]],CATEGORIAS[[#All],[CATEGORIA2]],Imputar[[#This Row],[Categoría]]),0)</f>
        <v>0</v>
      </c>
      <c r="I1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0">
        <f>+ROUND(SUMIFS(CATEGORIAS[[#All],[PROYECCION
TOTAL DE COSTO]],CATEGORIAS[[#All],[CATEGORIA2]],Imputar[[#This Row],[Categoría]]),0)
-Imputar[[#This Row],[Inventario]]
-Imputar[[#This Row],[Pedidos no Rec]]</f>
        <v>0</v>
      </c>
      <c r="K1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0">
        <f>_xlfn.IFNA(VLOOKUP(Imputar[[#This Row],[Categoría]],EIMI!C:T,8,0),0)</f>
        <v>0</v>
      </c>
      <c r="M150">
        <f>_xlfn.IFNA(VLOOKUP(Imputar[[#This Row],[Categoría]],EIMI!C:T,9,0),0)</f>
        <v>0</v>
      </c>
      <c r="N150">
        <f>_xlfn.IFNA(VLOOKUP(Imputar[[#This Row],[Categoría]],EIMI!C:T,10,0),0)</f>
        <v>0</v>
      </c>
    </row>
    <row r="151" spans="1:14" hidden="1" x14ac:dyDescent="0.25">
      <c r="A151" s="206" t="str">
        <f>Indice!$I$11</f>
        <v>EIMI00398</v>
      </c>
      <c r="B151" t="s">
        <v>673</v>
      </c>
      <c r="C151" s="39">
        <f>Indice!$I$12</f>
        <v>46053</v>
      </c>
      <c r="E151">
        <f>ROUND(SUMIFS(CATEGORIAS[[#All],[TOTAL PRODUCCION
ACTUAL]],CATEGORIAS[[#All],[CATEGORIA2]],Imputar[[#This Row],[Categoría]]),0)</f>
        <v>0</v>
      </c>
      <c r="F151">
        <v>0</v>
      </c>
      <c r="G151">
        <f>ROUND(SUMIFS(CATEGORIAS[[#All],[PROYECCION
DE INGRESO
DEL SALDO]],CATEGORIAS[[#All],[CATEGORIA2]],Imputar[[#This Row],[Categoría]]),0)</f>
        <v>0</v>
      </c>
      <c r="H151">
        <f>ROUND(SUMIFS(CATEGORIAS[[#All],[CAMBIO DE
CATEGORIA]],CATEGORIAS[[#All],[CATEGORIA2]],Imputar[[#This Row],[Categoría]]),0)</f>
        <v>0</v>
      </c>
      <c r="I1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1">
        <f>+ROUND(SUMIFS(CATEGORIAS[[#All],[PROYECCION
TOTAL DE COSTO]],CATEGORIAS[[#All],[CATEGORIA2]],Imputar[[#This Row],[Categoría]]),0)
-Imputar[[#This Row],[Inventario]]
-Imputar[[#This Row],[Pedidos no Rec]]</f>
        <v>0</v>
      </c>
      <c r="K1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1">
        <f>_xlfn.IFNA(VLOOKUP(Imputar[[#This Row],[Categoría]],EIMI!C:T,8,0),0)</f>
        <v>0</v>
      </c>
      <c r="M151">
        <f>_xlfn.IFNA(VLOOKUP(Imputar[[#This Row],[Categoría]],EIMI!C:T,9,0),0)</f>
        <v>0</v>
      </c>
      <c r="N151">
        <f>_xlfn.IFNA(VLOOKUP(Imputar[[#This Row],[Categoría]],EIMI!C:T,10,0),0)</f>
        <v>0</v>
      </c>
    </row>
    <row r="152" spans="1:14" hidden="1" x14ac:dyDescent="0.25">
      <c r="A152" s="206" t="str">
        <f>Indice!$I$11</f>
        <v>EIMI00398</v>
      </c>
      <c r="B152" t="s">
        <v>675</v>
      </c>
      <c r="C152" s="39">
        <f>Indice!$I$12</f>
        <v>46053</v>
      </c>
      <c r="E152">
        <f>ROUND(SUMIFS(CATEGORIAS[[#All],[TOTAL PRODUCCION
ACTUAL]],CATEGORIAS[[#All],[CATEGORIA2]],Imputar[[#This Row],[Categoría]]),0)</f>
        <v>0</v>
      </c>
      <c r="F152">
        <v>0</v>
      </c>
      <c r="G152">
        <f>ROUND(SUMIFS(CATEGORIAS[[#All],[PROYECCION
DE INGRESO
DEL SALDO]],CATEGORIAS[[#All],[CATEGORIA2]],Imputar[[#This Row],[Categoría]]),0)</f>
        <v>0</v>
      </c>
      <c r="H152">
        <f>ROUND(SUMIFS(CATEGORIAS[[#All],[CAMBIO DE
CATEGORIA]],CATEGORIAS[[#All],[CATEGORIA2]],Imputar[[#This Row],[Categoría]]),0)</f>
        <v>0</v>
      </c>
      <c r="I1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2">
        <f>+ROUND(SUMIFS(CATEGORIAS[[#All],[PROYECCION
TOTAL DE COSTO]],CATEGORIAS[[#All],[CATEGORIA2]],Imputar[[#This Row],[Categoría]]),0)
-Imputar[[#This Row],[Inventario]]
-Imputar[[#This Row],[Pedidos no Rec]]</f>
        <v>0</v>
      </c>
      <c r="K1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2">
        <f>_xlfn.IFNA(VLOOKUP(Imputar[[#This Row],[Categoría]],EIMI!C:T,8,0),0)</f>
        <v>0</v>
      </c>
      <c r="M152">
        <f>_xlfn.IFNA(VLOOKUP(Imputar[[#This Row],[Categoría]],EIMI!C:T,9,0),0)</f>
        <v>0</v>
      </c>
      <c r="N152">
        <f>_xlfn.IFNA(VLOOKUP(Imputar[[#This Row],[Categoría]],EIMI!C:T,10,0),0)</f>
        <v>0</v>
      </c>
    </row>
    <row r="153" spans="1:14" hidden="1" x14ac:dyDescent="0.25">
      <c r="A153" s="206" t="str">
        <f>Indice!$I$11</f>
        <v>EIMI00398</v>
      </c>
      <c r="B153" t="s">
        <v>677</v>
      </c>
      <c r="C153" s="39">
        <f>Indice!$I$12</f>
        <v>46053</v>
      </c>
      <c r="E153">
        <f>ROUND(SUMIFS(CATEGORIAS[[#All],[TOTAL PRODUCCION
ACTUAL]],CATEGORIAS[[#All],[CATEGORIA2]],Imputar[[#This Row],[Categoría]]),0)</f>
        <v>0</v>
      </c>
      <c r="F153">
        <v>0</v>
      </c>
      <c r="G153">
        <f>ROUND(SUMIFS(CATEGORIAS[[#All],[PROYECCION
DE INGRESO
DEL SALDO]],CATEGORIAS[[#All],[CATEGORIA2]],Imputar[[#This Row],[Categoría]]),0)</f>
        <v>0</v>
      </c>
      <c r="H153">
        <f>ROUND(SUMIFS(CATEGORIAS[[#All],[CAMBIO DE
CATEGORIA]],CATEGORIAS[[#All],[CATEGORIA2]],Imputar[[#This Row],[Categoría]]),0)</f>
        <v>0</v>
      </c>
      <c r="I1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3">
        <f>+ROUND(SUMIFS(CATEGORIAS[[#All],[PROYECCION
TOTAL DE COSTO]],CATEGORIAS[[#All],[CATEGORIA2]],Imputar[[#This Row],[Categoría]]),0)
-Imputar[[#This Row],[Inventario]]
-Imputar[[#This Row],[Pedidos no Rec]]</f>
        <v>0</v>
      </c>
      <c r="K1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3">
        <f>_xlfn.IFNA(VLOOKUP(Imputar[[#This Row],[Categoría]],EIMI!C:T,8,0),0)</f>
        <v>0</v>
      </c>
      <c r="M153">
        <f>_xlfn.IFNA(VLOOKUP(Imputar[[#This Row],[Categoría]],EIMI!C:T,9,0),0)</f>
        <v>0</v>
      </c>
      <c r="N153">
        <f>_xlfn.IFNA(VLOOKUP(Imputar[[#This Row],[Categoría]],EIMI!C:T,10,0),0)</f>
        <v>0</v>
      </c>
    </row>
    <row r="154" spans="1:14" hidden="1" x14ac:dyDescent="0.25">
      <c r="A154" s="206" t="str">
        <f>Indice!$I$11</f>
        <v>EIMI00398</v>
      </c>
      <c r="B154" t="s">
        <v>679</v>
      </c>
      <c r="C154" s="39">
        <f>Indice!$I$12</f>
        <v>46053</v>
      </c>
      <c r="E154">
        <f>ROUND(SUMIFS(CATEGORIAS[[#All],[TOTAL PRODUCCION
ACTUAL]],CATEGORIAS[[#All],[CATEGORIA2]],Imputar[[#This Row],[Categoría]]),0)</f>
        <v>0</v>
      </c>
      <c r="F154">
        <v>0</v>
      </c>
      <c r="G154">
        <f>ROUND(SUMIFS(CATEGORIAS[[#All],[PROYECCION
DE INGRESO
DEL SALDO]],CATEGORIAS[[#All],[CATEGORIA2]],Imputar[[#This Row],[Categoría]]),0)</f>
        <v>0</v>
      </c>
      <c r="H154">
        <f>ROUND(SUMIFS(CATEGORIAS[[#All],[CAMBIO DE
CATEGORIA]],CATEGORIAS[[#All],[CATEGORIA2]],Imputar[[#This Row],[Categoría]]),0)</f>
        <v>0</v>
      </c>
      <c r="I1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4">
        <f>+ROUND(SUMIFS(CATEGORIAS[[#All],[PROYECCION
TOTAL DE COSTO]],CATEGORIAS[[#All],[CATEGORIA2]],Imputar[[#This Row],[Categoría]]),0)
-Imputar[[#This Row],[Inventario]]
-Imputar[[#This Row],[Pedidos no Rec]]</f>
        <v>0</v>
      </c>
      <c r="K1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4">
        <f>_xlfn.IFNA(VLOOKUP(Imputar[[#This Row],[Categoría]],EIMI!C:T,8,0),0)</f>
        <v>0</v>
      </c>
      <c r="M154">
        <f>_xlfn.IFNA(VLOOKUP(Imputar[[#This Row],[Categoría]],EIMI!C:T,9,0),0)</f>
        <v>0</v>
      </c>
      <c r="N154">
        <f>_xlfn.IFNA(VLOOKUP(Imputar[[#This Row],[Categoría]],EIMI!C:T,10,0),0)</f>
        <v>0</v>
      </c>
    </row>
    <row r="155" spans="1:14" hidden="1" x14ac:dyDescent="0.25">
      <c r="A155" s="206" t="str">
        <f>Indice!$I$11</f>
        <v>EIMI00398</v>
      </c>
      <c r="B155" t="s">
        <v>681</v>
      </c>
      <c r="C155" s="39">
        <f>Indice!$I$12</f>
        <v>46053</v>
      </c>
      <c r="E155">
        <f>ROUND(SUMIFS(CATEGORIAS[[#All],[TOTAL PRODUCCION
ACTUAL]],CATEGORIAS[[#All],[CATEGORIA2]],Imputar[[#This Row],[Categoría]]),0)</f>
        <v>0</v>
      </c>
      <c r="F155">
        <v>0</v>
      </c>
      <c r="G155">
        <f>ROUND(SUMIFS(CATEGORIAS[[#All],[PROYECCION
DE INGRESO
DEL SALDO]],CATEGORIAS[[#All],[CATEGORIA2]],Imputar[[#This Row],[Categoría]]),0)</f>
        <v>0</v>
      </c>
      <c r="H155">
        <f>ROUND(SUMIFS(CATEGORIAS[[#All],[CAMBIO DE
CATEGORIA]],CATEGORIAS[[#All],[CATEGORIA2]],Imputar[[#This Row],[Categoría]]),0)</f>
        <v>0</v>
      </c>
      <c r="I1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5">
        <f>+ROUND(SUMIFS(CATEGORIAS[[#All],[PROYECCION
TOTAL DE COSTO]],CATEGORIAS[[#All],[CATEGORIA2]],Imputar[[#This Row],[Categoría]]),0)
-Imputar[[#This Row],[Inventario]]
-Imputar[[#This Row],[Pedidos no Rec]]</f>
        <v>0</v>
      </c>
      <c r="K1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5">
        <f>_xlfn.IFNA(VLOOKUP(Imputar[[#This Row],[Categoría]],EIMI!C:T,8,0),0)</f>
        <v>0</v>
      </c>
      <c r="M155">
        <f>_xlfn.IFNA(VLOOKUP(Imputar[[#This Row],[Categoría]],EIMI!C:T,9,0),0)</f>
        <v>0</v>
      </c>
      <c r="N155">
        <f>_xlfn.IFNA(VLOOKUP(Imputar[[#This Row],[Categoría]],EIMI!C:T,10,0),0)</f>
        <v>0</v>
      </c>
    </row>
    <row r="156" spans="1:14" hidden="1" x14ac:dyDescent="0.25">
      <c r="A156" s="206" t="str">
        <f>Indice!$I$11</f>
        <v>EIMI00398</v>
      </c>
      <c r="B156" t="s">
        <v>683</v>
      </c>
      <c r="C156" s="39">
        <f>Indice!$I$12</f>
        <v>46053</v>
      </c>
      <c r="E156">
        <f>ROUND(SUMIFS(CATEGORIAS[[#All],[TOTAL PRODUCCION
ACTUAL]],CATEGORIAS[[#All],[CATEGORIA2]],Imputar[[#This Row],[Categoría]]),0)</f>
        <v>0</v>
      </c>
      <c r="F156">
        <v>0</v>
      </c>
      <c r="G156">
        <f>ROUND(SUMIFS(CATEGORIAS[[#All],[PROYECCION
DE INGRESO
DEL SALDO]],CATEGORIAS[[#All],[CATEGORIA2]],Imputar[[#This Row],[Categoría]]),0)</f>
        <v>0</v>
      </c>
      <c r="H156">
        <f>ROUND(SUMIFS(CATEGORIAS[[#All],[CAMBIO DE
CATEGORIA]],CATEGORIAS[[#All],[CATEGORIA2]],Imputar[[#This Row],[Categoría]]),0)</f>
        <v>0</v>
      </c>
      <c r="I1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6">
        <f>+ROUND(SUMIFS(CATEGORIAS[[#All],[PROYECCION
TOTAL DE COSTO]],CATEGORIAS[[#All],[CATEGORIA2]],Imputar[[#This Row],[Categoría]]),0)
-Imputar[[#This Row],[Inventario]]
-Imputar[[#This Row],[Pedidos no Rec]]</f>
        <v>0</v>
      </c>
      <c r="K1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6">
        <f>_xlfn.IFNA(VLOOKUP(Imputar[[#This Row],[Categoría]],EIMI!C:T,8,0),0)</f>
        <v>0</v>
      </c>
      <c r="M156">
        <f>_xlfn.IFNA(VLOOKUP(Imputar[[#This Row],[Categoría]],EIMI!C:T,9,0),0)</f>
        <v>0</v>
      </c>
      <c r="N156">
        <f>_xlfn.IFNA(VLOOKUP(Imputar[[#This Row],[Categoría]],EIMI!C:T,10,0),0)</f>
        <v>0</v>
      </c>
    </row>
    <row r="157" spans="1:14" hidden="1" x14ac:dyDescent="0.25">
      <c r="A157" s="206" t="str">
        <f>Indice!$I$11</f>
        <v>EIMI00398</v>
      </c>
      <c r="B157" t="s">
        <v>685</v>
      </c>
      <c r="C157" s="39">
        <f>Indice!$I$12</f>
        <v>46053</v>
      </c>
      <c r="E157">
        <f>ROUND(SUMIFS(CATEGORIAS[[#All],[TOTAL PRODUCCION
ACTUAL]],CATEGORIAS[[#All],[CATEGORIA2]],Imputar[[#This Row],[Categoría]]),0)</f>
        <v>0</v>
      </c>
      <c r="F157">
        <v>0</v>
      </c>
      <c r="G157">
        <f>ROUND(SUMIFS(CATEGORIAS[[#All],[PROYECCION
DE INGRESO
DEL SALDO]],CATEGORIAS[[#All],[CATEGORIA2]],Imputar[[#This Row],[Categoría]]),0)</f>
        <v>0</v>
      </c>
      <c r="H157">
        <f>ROUND(SUMIFS(CATEGORIAS[[#All],[CAMBIO DE
CATEGORIA]],CATEGORIAS[[#All],[CATEGORIA2]],Imputar[[#This Row],[Categoría]]),0)</f>
        <v>0</v>
      </c>
      <c r="I1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7">
        <f>+ROUND(SUMIFS(CATEGORIAS[[#All],[PROYECCION
TOTAL DE COSTO]],CATEGORIAS[[#All],[CATEGORIA2]],Imputar[[#This Row],[Categoría]]),0)
-Imputar[[#This Row],[Inventario]]
-Imputar[[#This Row],[Pedidos no Rec]]</f>
        <v>0</v>
      </c>
      <c r="K1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7">
        <f>_xlfn.IFNA(VLOOKUP(Imputar[[#This Row],[Categoría]],EIMI!C:T,8,0),0)</f>
        <v>0</v>
      </c>
      <c r="M157">
        <f>_xlfn.IFNA(VLOOKUP(Imputar[[#This Row],[Categoría]],EIMI!C:T,9,0),0)</f>
        <v>0</v>
      </c>
      <c r="N157">
        <f>_xlfn.IFNA(VLOOKUP(Imputar[[#This Row],[Categoría]],EIMI!C:T,10,0),0)</f>
        <v>0</v>
      </c>
    </row>
    <row r="158" spans="1:14" hidden="1" x14ac:dyDescent="0.25">
      <c r="A158" s="206" t="str">
        <f>Indice!$I$11</f>
        <v>EIMI00398</v>
      </c>
      <c r="B158" t="s">
        <v>687</v>
      </c>
      <c r="C158" s="39">
        <f>Indice!$I$12</f>
        <v>46053</v>
      </c>
      <c r="E158">
        <f>ROUND(SUMIFS(CATEGORIAS[[#All],[TOTAL PRODUCCION
ACTUAL]],CATEGORIAS[[#All],[CATEGORIA2]],Imputar[[#This Row],[Categoría]]),0)</f>
        <v>0</v>
      </c>
      <c r="F158">
        <v>0</v>
      </c>
      <c r="G158">
        <f>ROUND(SUMIFS(CATEGORIAS[[#All],[PROYECCION
DE INGRESO
DEL SALDO]],CATEGORIAS[[#All],[CATEGORIA2]],Imputar[[#This Row],[Categoría]]),0)</f>
        <v>0</v>
      </c>
      <c r="H158">
        <f>ROUND(SUMIFS(CATEGORIAS[[#All],[CAMBIO DE
CATEGORIA]],CATEGORIAS[[#All],[CATEGORIA2]],Imputar[[#This Row],[Categoría]]),0)</f>
        <v>0</v>
      </c>
      <c r="I1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8">
        <f>+ROUND(SUMIFS(CATEGORIAS[[#All],[PROYECCION
TOTAL DE COSTO]],CATEGORIAS[[#All],[CATEGORIA2]],Imputar[[#This Row],[Categoría]]),0)
-Imputar[[#This Row],[Inventario]]
-Imputar[[#This Row],[Pedidos no Rec]]</f>
        <v>0</v>
      </c>
      <c r="K1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8">
        <f>_xlfn.IFNA(VLOOKUP(Imputar[[#This Row],[Categoría]],EIMI!C:T,8,0),0)</f>
        <v>0</v>
      </c>
      <c r="M158">
        <f>_xlfn.IFNA(VLOOKUP(Imputar[[#This Row],[Categoría]],EIMI!C:T,9,0),0)</f>
        <v>0</v>
      </c>
      <c r="N158">
        <f>_xlfn.IFNA(VLOOKUP(Imputar[[#This Row],[Categoría]],EIMI!C:T,10,0),0)</f>
        <v>0</v>
      </c>
    </row>
    <row r="159" spans="1:14" hidden="1" x14ac:dyDescent="0.25">
      <c r="A159" s="206" t="str">
        <f>Indice!$I$11</f>
        <v>EIMI00398</v>
      </c>
      <c r="B159" t="s">
        <v>689</v>
      </c>
      <c r="C159" s="39">
        <f>Indice!$I$12</f>
        <v>46053</v>
      </c>
      <c r="E159">
        <f>ROUND(SUMIFS(CATEGORIAS[[#All],[TOTAL PRODUCCION
ACTUAL]],CATEGORIAS[[#All],[CATEGORIA2]],Imputar[[#This Row],[Categoría]]),0)</f>
        <v>0</v>
      </c>
      <c r="F159">
        <v>0</v>
      </c>
      <c r="G159">
        <f>ROUND(SUMIFS(CATEGORIAS[[#All],[PROYECCION
DE INGRESO
DEL SALDO]],CATEGORIAS[[#All],[CATEGORIA2]],Imputar[[#This Row],[Categoría]]),0)</f>
        <v>0</v>
      </c>
      <c r="H159">
        <f>ROUND(SUMIFS(CATEGORIAS[[#All],[CAMBIO DE
CATEGORIA]],CATEGORIAS[[#All],[CATEGORIA2]],Imputar[[#This Row],[Categoría]]),0)</f>
        <v>0</v>
      </c>
      <c r="I1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59">
        <f>+ROUND(SUMIFS(CATEGORIAS[[#All],[PROYECCION
TOTAL DE COSTO]],CATEGORIAS[[#All],[CATEGORIA2]],Imputar[[#This Row],[Categoría]]),0)
-Imputar[[#This Row],[Inventario]]
-Imputar[[#This Row],[Pedidos no Rec]]</f>
        <v>0</v>
      </c>
      <c r="K1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59">
        <f>_xlfn.IFNA(VLOOKUP(Imputar[[#This Row],[Categoría]],EIMI!C:T,8,0),0)</f>
        <v>0</v>
      </c>
      <c r="M159">
        <f>_xlfn.IFNA(VLOOKUP(Imputar[[#This Row],[Categoría]],EIMI!C:T,9,0),0)</f>
        <v>0</v>
      </c>
      <c r="N159">
        <f>_xlfn.IFNA(VLOOKUP(Imputar[[#This Row],[Categoría]],EIMI!C:T,10,0),0)</f>
        <v>0</v>
      </c>
    </row>
    <row r="160" spans="1:14" hidden="1" x14ac:dyDescent="0.25">
      <c r="A160" s="206" t="str">
        <f>Indice!$I$11</f>
        <v>EIMI00398</v>
      </c>
      <c r="B160" t="s">
        <v>691</v>
      </c>
      <c r="C160" s="39">
        <f>Indice!$I$12</f>
        <v>46053</v>
      </c>
      <c r="E160">
        <f>ROUND(SUMIFS(CATEGORIAS[[#All],[TOTAL PRODUCCION
ACTUAL]],CATEGORIAS[[#All],[CATEGORIA2]],Imputar[[#This Row],[Categoría]]),0)</f>
        <v>0</v>
      </c>
      <c r="F160">
        <v>0</v>
      </c>
      <c r="G160">
        <f>ROUND(SUMIFS(CATEGORIAS[[#All],[PROYECCION
DE INGRESO
DEL SALDO]],CATEGORIAS[[#All],[CATEGORIA2]],Imputar[[#This Row],[Categoría]]),0)</f>
        <v>0</v>
      </c>
      <c r="H160">
        <f>ROUND(SUMIFS(CATEGORIAS[[#All],[CAMBIO DE
CATEGORIA]],CATEGORIAS[[#All],[CATEGORIA2]],Imputar[[#This Row],[Categoría]]),0)</f>
        <v>0</v>
      </c>
      <c r="I1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0">
        <f>+ROUND(SUMIFS(CATEGORIAS[[#All],[PROYECCION
TOTAL DE COSTO]],CATEGORIAS[[#All],[CATEGORIA2]],Imputar[[#This Row],[Categoría]]),0)
-Imputar[[#This Row],[Inventario]]
-Imputar[[#This Row],[Pedidos no Rec]]</f>
        <v>0</v>
      </c>
      <c r="K1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0">
        <f>_xlfn.IFNA(VLOOKUP(Imputar[[#This Row],[Categoría]],EIMI!C:T,8,0),0)</f>
        <v>0</v>
      </c>
      <c r="M160">
        <f>_xlfn.IFNA(VLOOKUP(Imputar[[#This Row],[Categoría]],EIMI!C:T,9,0),0)</f>
        <v>0</v>
      </c>
      <c r="N160">
        <f>_xlfn.IFNA(VLOOKUP(Imputar[[#This Row],[Categoría]],EIMI!C:T,10,0),0)</f>
        <v>0</v>
      </c>
    </row>
    <row r="161" spans="1:14" hidden="1" x14ac:dyDescent="0.25">
      <c r="A161" s="206" t="str">
        <f>Indice!$I$11</f>
        <v>EIMI00398</v>
      </c>
      <c r="B161" t="s">
        <v>693</v>
      </c>
      <c r="C161" s="39">
        <f>Indice!$I$12</f>
        <v>46053</v>
      </c>
      <c r="E161">
        <f>ROUND(SUMIFS(CATEGORIAS[[#All],[TOTAL PRODUCCION
ACTUAL]],CATEGORIAS[[#All],[CATEGORIA2]],Imputar[[#This Row],[Categoría]]),0)</f>
        <v>0</v>
      </c>
      <c r="F161">
        <v>0</v>
      </c>
      <c r="G161">
        <f>ROUND(SUMIFS(CATEGORIAS[[#All],[PROYECCION
DE INGRESO
DEL SALDO]],CATEGORIAS[[#All],[CATEGORIA2]],Imputar[[#This Row],[Categoría]]),0)</f>
        <v>0</v>
      </c>
      <c r="H161">
        <f>ROUND(SUMIFS(CATEGORIAS[[#All],[CAMBIO DE
CATEGORIA]],CATEGORIAS[[#All],[CATEGORIA2]],Imputar[[#This Row],[Categoría]]),0)</f>
        <v>0</v>
      </c>
      <c r="I1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1">
        <f>+ROUND(SUMIFS(CATEGORIAS[[#All],[PROYECCION
TOTAL DE COSTO]],CATEGORIAS[[#All],[CATEGORIA2]],Imputar[[#This Row],[Categoría]]),0)
-Imputar[[#This Row],[Inventario]]
-Imputar[[#This Row],[Pedidos no Rec]]</f>
        <v>0</v>
      </c>
      <c r="K1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1">
        <f>_xlfn.IFNA(VLOOKUP(Imputar[[#This Row],[Categoría]],EIMI!C:T,8,0),0)</f>
        <v>0</v>
      </c>
      <c r="M161">
        <f>_xlfn.IFNA(VLOOKUP(Imputar[[#This Row],[Categoría]],EIMI!C:T,9,0),0)</f>
        <v>0</v>
      </c>
      <c r="N161">
        <f>_xlfn.IFNA(VLOOKUP(Imputar[[#This Row],[Categoría]],EIMI!C:T,10,0),0)</f>
        <v>0</v>
      </c>
    </row>
    <row r="162" spans="1:14" hidden="1" x14ac:dyDescent="0.25">
      <c r="A162" s="206" t="str">
        <f>Indice!$I$11</f>
        <v>EIMI00398</v>
      </c>
      <c r="B162" t="s">
        <v>695</v>
      </c>
      <c r="C162" s="39">
        <f>Indice!$I$12</f>
        <v>46053</v>
      </c>
      <c r="E162">
        <f>ROUND(SUMIFS(CATEGORIAS[[#All],[TOTAL PRODUCCION
ACTUAL]],CATEGORIAS[[#All],[CATEGORIA2]],Imputar[[#This Row],[Categoría]]),0)</f>
        <v>0</v>
      </c>
      <c r="F162">
        <v>0</v>
      </c>
      <c r="G162">
        <f>ROUND(SUMIFS(CATEGORIAS[[#All],[PROYECCION
DE INGRESO
DEL SALDO]],CATEGORIAS[[#All],[CATEGORIA2]],Imputar[[#This Row],[Categoría]]),0)</f>
        <v>0</v>
      </c>
      <c r="H162">
        <f>ROUND(SUMIFS(CATEGORIAS[[#All],[CAMBIO DE
CATEGORIA]],CATEGORIAS[[#All],[CATEGORIA2]],Imputar[[#This Row],[Categoría]]),0)</f>
        <v>0</v>
      </c>
      <c r="I1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2">
        <f>+ROUND(SUMIFS(CATEGORIAS[[#All],[PROYECCION
TOTAL DE COSTO]],CATEGORIAS[[#All],[CATEGORIA2]],Imputar[[#This Row],[Categoría]]),0)
-Imputar[[#This Row],[Inventario]]
-Imputar[[#This Row],[Pedidos no Rec]]</f>
        <v>0</v>
      </c>
      <c r="K1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2">
        <f>_xlfn.IFNA(VLOOKUP(Imputar[[#This Row],[Categoría]],EIMI!C:T,8,0),0)</f>
        <v>0</v>
      </c>
      <c r="M162">
        <f>_xlfn.IFNA(VLOOKUP(Imputar[[#This Row],[Categoría]],EIMI!C:T,9,0),0)</f>
        <v>0</v>
      </c>
      <c r="N162">
        <f>_xlfn.IFNA(VLOOKUP(Imputar[[#This Row],[Categoría]],EIMI!C:T,10,0),0)</f>
        <v>0</v>
      </c>
    </row>
    <row r="163" spans="1:14" hidden="1" x14ac:dyDescent="0.25">
      <c r="A163" s="206" t="str">
        <f>Indice!$I$11</f>
        <v>EIMI00398</v>
      </c>
      <c r="B163" t="s">
        <v>697</v>
      </c>
      <c r="C163" s="39">
        <f>Indice!$I$12</f>
        <v>46053</v>
      </c>
      <c r="E163">
        <f>ROUND(SUMIFS(CATEGORIAS[[#All],[TOTAL PRODUCCION
ACTUAL]],CATEGORIAS[[#All],[CATEGORIA2]],Imputar[[#This Row],[Categoría]]),0)</f>
        <v>0</v>
      </c>
      <c r="F163">
        <v>0</v>
      </c>
      <c r="G163">
        <f>ROUND(SUMIFS(CATEGORIAS[[#All],[PROYECCION
DE INGRESO
DEL SALDO]],CATEGORIAS[[#All],[CATEGORIA2]],Imputar[[#This Row],[Categoría]]),0)</f>
        <v>0</v>
      </c>
      <c r="H163">
        <f>ROUND(SUMIFS(CATEGORIAS[[#All],[CAMBIO DE
CATEGORIA]],CATEGORIAS[[#All],[CATEGORIA2]],Imputar[[#This Row],[Categoría]]),0)</f>
        <v>0</v>
      </c>
      <c r="I1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3">
        <f>+ROUND(SUMIFS(CATEGORIAS[[#All],[PROYECCION
TOTAL DE COSTO]],CATEGORIAS[[#All],[CATEGORIA2]],Imputar[[#This Row],[Categoría]]),0)
-Imputar[[#This Row],[Inventario]]
-Imputar[[#This Row],[Pedidos no Rec]]</f>
        <v>0</v>
      </c>
      <c r="K1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3">
        <f>_xlfn.IFNA(VLOOKUP(Imputar[[#This Row],[Categoría]],EIMI!C:T,8,0),0)</f>
        <v>0</v>
      </c>
      <c r="M163">
        <f>_xlfn.IFNA(VLOOKUP(Imputar[[#This Row],[Categoría]],EIMI!C:T,9,0),0)</f>
        <v>0</v>
      </c>
      <c r="N163">
        <f>_xlfn.IFNA(VLOOKUP(Imputar[[#This Row],[Categoría]],EIMI!C:T,10,0),0)</f>
        <v>0</v>
      </c>
    </row>
    <row r="164" spans="1:14" hidden="1" x14ac:dyDescent="0.25">
      <c r="A164" s="206" t="str">
        <f>Indice!$I$11</f>
        <v>EIMI00398</v>
      </c>
      <c r="B164" t="s">
        <v>702</v>
      </c>
      <c r="C164" s="39">
        <f>Indice!$I$12</f>
        <v>46053</v>
      </c>
      <c r="E164">
        <f>ROUND(SUMIFS(CATEGORIAS[[#All],[TOTAL PRODUCCION
ACTUAL]],CATEGORIAS[[#All],[CATEGORIA2]],Imputar[[#This Row],[Categoría]]),0)</f>
        <v>0</v>
      </c>
      <c r="F164">
        <v>0</v>
      </c>
      <c r="G164">
        <f>ROUND(SUMIFS(CATEGORIAS[[#All],[PROYECCION
DE INGRESO
DEL SALDO]],CATEGORIAS[[#All],[CATEGORIA2]],Imputar[[#This Row],[Categoría]]),0)</f>
        <v>0</v>
      </c>
      <c r="H164">
        <f>ROUND(SUMIFS(CATEGORIAS[[#All],[CAMBIO DE
CATEGORIA]],CATEGORIAS[[#All],[CATEGORIA2]],Imputar[[#This Row],[Categoría]]),0)</f>
        <v>0</v>
      </c>
      <c r="I1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4">
        <f>+ROUND(SUMIFS(CATEGORIAS[[#All],[PROYECCION
TOTAL DE COSTO]],CATEGORIAS[[#All],[CATEGORIA2]],Imputar[[#This Row],[Categoría]]),0)
-Imputar[[#This Row],[Inventario]]
-Imputar[[#This Row],[Pedidos no Rec]]</f>
        <v>0</v>
      </c>
      <c r="K1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4">
        <f>_xlfn.IFNA(VLOOKUP(Imputar[[#This Row],[Categoría]],EIMI!C:T,8,0),0)</f>
        <v>0</v>
      </c>
      <c r="M164">
        <f>_xlfn.IFNA(VLOOKUP(Imputar[[#This Row],[Categoría]],EIMI!C:T,9,0),0)</f>
        <v>0</v>
      </c>
      <c r="N164">
        <f>_xlfn.IFNA(VLOOKUP(Imputar[[#This Row],[Categoría]],EIMI!C:T,10,0),0)</f>
        <v>0</v>
      </c>
    </row>
    <row r="165" spans="1:14" hidden="1" x14ac:dyDescent="0.25">
      <c r="A165" s="206" t="str">
        <f>Indice!$I$11</f>
        <v>EIMI00398</v>
      </c>
      <c r="B165" t="s">
        <v>704</v>
      </c>
      <c r="C165" s="39">
        <f>Indice!$I$12</f>
        <v>46053</v>
      </c>
      <c r="E165">
        <f>ROUND(SUMIFS(CATEGORIAS[[#All],[TOTAL PRODUCCION
ACTUAL]],CATEGORIAS[[#All],[CATEGORIA2]],Imputar[[#This Row],[Categoría]]),0)</f>
        <v>0</v>
      </c>
      <c r="F165">
        <v>0</v>
      </c>
      <c r="G165">
        <f>ROUND(SUMIFS(CATEGORIAS[[#All],[PROYECCION
DE INGRESO
DEL SALDO]],CATEGORIAS[[#All],[CATEGORIA2]],Imputar[[#This Row],[Categoría]]),0)</f>
        <v>0</v>
      </c>
      <c r="H165">
        <f>ROUND(SUMIFS(CATEGORIAS[[#All],[CAMBIO DE
CATEGORIA]],CATEGORIAS[[#All],[CATEGORIA2]],Imputar[[#This Row],[Categoría]]),0)</f>
        <v>0</v>
      </c>
      <c r="I1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5">
        <f>+ROUND(SUMIFS(CATEGORIAS[[#All],[PROYECCION
TOTAL DE COSTO]],CATEGORIAS[[#All],[CATEGORIA2]],Imputar[[#This Row],[Categoría]]),0)
-Imputar[[#This Row],[Inventario]]
-Imputar[[#This Row],[Pedidos no Rec]]</f>
        <v>0</v>
      </c>
      <c r="K1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5">
        <f>_xlfn.IFNA(VLOOKUP(Imputar[[#This Row],[Categoría]],EIMI!C:T,8,0),0)</f>
        <v>0</v>
      </c>
      <c r="M165">
        <f>_xlfn.IFNA(VLOOKUP(Imputar[[#This Row],[Categoría]],EIMI!C:T,9,0),0)</f>
        <v>0</v>
      </c>
      <c r="N165">
        <f>_xlfn.IFNA(VLOOKUP(Imputar[[#This Row],[Categoría]],EIMI!C:T,10,0),0)</f>
        <v>0</v>
      </c>
    </row>
    <row r="166" spans="1:14" hidden="1" x14ac:dyDescent="0.25">
      <c r="A166" s="206" t="str">
        <f>Indice!$I$11</f>
        <v>EIMI00398</v>
      </c>
      <c r="B166" t="s">
        <v>706</v>
      </c>
      <c r="C166" s="39">
        <f>Indice!$I$12</f>
        <v>46053</v>
      </c>
      <c r="E166">
        <f>ROUND(SUMIFS(CATEGORIAS[[#All],[TOTAL PRODUCCION
ACTUAL]],CATEGORIAS[[#All],[CATEGORIA2]],Imputar[[#This Row],[Categoría]]),0)</f>
        <v>0</v>
      </c>
      <c r="F166">
        <v>0</v>
      </c>
      <c r="G166">
        <f>ROUND(SUMIFS(CATEGORIAS[[#All],[PROYECCION
DE INGRESO
DEL SALDO]],CATEGORIAS[[#All],[CATEGORIA2]],Imputar[[#This Row],[Categoría]]),0)</f>
        <v>0</v>
      </c>
      <c r="H166">
        <f>ROUND(SUMIFS(CATEGORIAS[[#All],[CAMBIO DE
CATEGORIA]],CATEGORIAS[[#All],[CATEGORIA2]],Imputar[[#This Row],[Categoría]]),0)</f>
        <v>0</v>
      </c>
      <c r="I1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6">
        <f>+ROUND(SUMIFS(CATEGORIAS[[#All],[PROYECCION
TOTAL DE COSTO]],CATEGORIAS[[#All],[CATEGORIA2]],Imputar[[#This Row],[Categoría]]),0)
-Imputar[[#This Row],[Inventario]]
-Imputar[[#This Row],[Pedidos no Rec]]</f>
        <v>0</v>
      </c>
      <c r="K1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6">
        <f>_xlfn.IFNA(VLOOKUP(Imputar[[#This Row],[Categoría]],EIMI!C:T,8,0),0)</f>
        <v>0</v>
      </c>
      <c r="M166">
        <f>_xlfn.IFNA(VLOOKUP(Imputar[[#This Row],[Categoría]],EIMI!C:T,9,0),0)</f>
        <v>0</v>
      </c>
      <c r="N166">
        <f>_xlfn.IFNA(VLOOKUP(Imputar[[#This Row],[Categoría]],EIMI!C:T,10,0),0)</f>
        <v>0</v>
      </c>
    </row>
    <row r="167" spans="1:14" hidden="1" x14ac:dyDescent="0.25">
      <c r="A167" s="206" t="str">
        <f>Indice!$I$11</f>
        <v>EIMI00398</v>
      </c>
      <c r="B167" t="s">
        <v>708</v>
      </c>
      <c r="C167" s="39">
        <f>Indice!$I$12</f>
        <v>46053</v>
      </c>
      <c r="E167">
        <f>ROUND(SUMIFS(CATEGORIAS[[#All],[TOTAL PRODUCCION
ACTUAL]],CATEGORIAS[[#All],[CATEGORIA2]],Imputar[[#This Row],[Categoría]]),0)</f>
        <v>0</v>
      </c>
      <c r="F167">
        <v>0</v>
      </c>
      <c r="G167">
        <f>ROUND(SUMIFS(CATEGORIAS[[#All],[PROYECCION
DE INGRESO
DEL SALDO]],CATEGORIAS[[#All],[CATEGORIA2]],Imputar[[#This Row],[Categoría]]),0)</f>
        <v>0</v>
      </c>
      <c r="H167">
        <f>ROUND(SUMIFS(CATEGORIAS[[#All],[CAMBIO DE
CATEGORIA]],CATEGORIAS[[#All],[CATEGORIA2]],Imputar[[#This Row],[Categoría]]),0)</f>
        <v>0</v>
      </c>
      <c r="I1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7">
        <f>+ROUND(SUMIFS(CATEGORIAS[[#All],[PROYECCION
TOTAL DE COSTO]],CATEGORIAS[[#All],[CATEGORIA2]],Imputar[[#This Row],[Categoría]]),0)
-Imputar[[#This Row],[Inventario]]
-Imputar[[#This Row],[Pedidos no Rec]]</f>
        <v>0</v>
      </c>
      <c r="K1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7">
        <f>_xlfn.IFNA(VLOOKUP(Imputar[[#This Row],[Categoría]],EIMI!C:T,8,0),0)</f>
        <v>0</v>
      </c>
      <c r="M167">
        <f>_xlfn.IFNA(VLOOKUP(Imputar[[#This Row],[Categoría]],EIMI!C:T,9,0),0)</f>
        <v>0</v>
      </c>
      <c r="N167">
        <f>_xlfn.IFNA(VLOOKUP(Imputar[[#This Row],[Categoría]],EIMI!C:T,10,0),0)</f>
        <v>0</v>
      </c>
    </row>
    <row r="168" spans="1:14" hidden="1" x14ac:dyDescent="0.25">
      <c r="A168" s="206" t="str">
        <f>Indice!$I$11</f>
        <v>EIMI00398</v>
      </c>
      <c r="B168" t="s">
        <v>710</v>
      </c>
      <c r="C168" s="39">
        <f>Indice!$I$12</f>
        <v>46053</v>
      </c>
      <c r="E168">
        <f>ROUND(SUMIFS(CATEGORIAS[[#All],[TOTAL PRODUCCION
ACTUAL]],CATEGORIAS[[#All],[CATEGORIA2]],Imputar[[#This Row],[Categoría]]),0)</f>
        <v>0</v>
      </c>
      <c r="F168">
        <v>0</v>
      </c>
      <c r="G168">
        <f>ROUND(SUMIFS(CATEGORIAS[[#All],[PROYECCION
DE INGRESO
DEL SALDO]],CATEGORIAS[[#All],[CATEGORIA2]],Imputar[[#This Row],[Categoría]]),0)</f>
        <v>0</v>
      </c>
      <c r="H168">
        <f>ROUND(SUMIFS(CATEGORIAS[[#All],[CAMBIO DE
CATEGORIA]],CATEGORIAS[[#All],[CATEGORIA2]],Imputar[[#This Row],[Categoría]]),0)</f>
        <v>0</v>
      </c>
      <c r="I1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8">
        <f>+ROUND(SUMIFS(CATEGORIAS[[#All],[PROYECCION
TOTAL DE COSTO]],CATEGORIAS[[#All],[CATEGORIA2]],Imputar[[#This Row],[Categoría]]),0)
-Imputar[[#This Row],[Inventario]]
-Imputar[[#This Row],[Pedidos no Rec]]</f>
        <v>0</v>
      </c>
      <c r="K1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8">
        <f>_xlfn.IFNA(VLOOKUP(Imputar[[#This Row],[Categoría]],EIMI!C:T,8,0),0)</f>
        <v>0</v>
      </c>
      <c r="M168">
        <f>_xlfn.IFNA(VLOOKUP(Imputar[[#This Row],[Categoría]],EIMI!C:T,9,0),0)</f>
        <v>0</v>
      </c>
      <c r="N168">
        <f>_xlfn.IFNA(VLOOKUP(Imputar[[#This Row],[Categoría]],EIMI!C:T,10,0),0)</f>
        <v>0</v>
      </c>
    </row>
    <row r="169" spans="1:14" hidden="1" x14ac:dyDescent="0.25">
      <c r="A169" s="206" t="str">
        <f>Indice!$I$11</f>
        <v>EIMI00398</v>
      </c>
      <c r="B169" t="s">
        <v>712</v>
      </c>
      <c r="C169" s="39">
        <f>Indice!$I$12</f>
        <v>46053</v>
      </c>
      <c r="E169">
        <f>ROUND(SUMIFS(CATEGORIAS[[#All],[TOTAL PRODUCCION
ACTUAL]],CATEGORIAS[[#All],[CATEGORIA2]],Imputar[[#This Row],[Categoría]]),0)</f>
        <v>0</v>
      </c>
      <c r="F169">
        <v>0</v>
      </c>
      <c r="G169">
        <f>ROUND(SUMIFS(CATEGORIAS[[#All],[PROYECCION
DE INGRESO
DEL SALDO]],CATEGORIAS[[#All],[CATEGORIA2]],Imputar[[#This Row],[Categoría]]),0)</f>
        <v>0</v>
      </c>
      <c r="H169">
        <f>ROUND(SUMIFS(CATEGORIAS[[#All],[CAMBIO DE
CATEGORIA]],CATEGORIAS[[#All],[CATEGORIA2]],Imputar[[#This Row],[Categoría]]),0)</f>
        <v>0</v>
      </c>
      <c r="I1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69">
        <f>+ROUND(SUMIFS(CATEGORIAS[[#All],[PROYECCION
TOTAL DE COSTO]],CATEGORIAS[[#All],[CATEGORIA2]],Imputar[[#This Row],[Categoría]]),0)
-Imputar[[#This Row],[Inventario]]
-Imputar[[#This Row],[Pedidos no Rec]]</f>
        <v>0</v>
      </c>
      <c r="K1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69">
        <f>_xlfn.IFNA(VLOOKUP(Imputar[[#This Row],[Categoría]],EIMI!C:T,8,0),0)</f>
        <v>0</v>
      </c>
      <c r="M169">
        <f>_xlfn.IFNA(VLOOKUP(Imputar[[#This Row],[Categoría]],EIMI!C:T,9,0),0)</f>
        <v>0</v>
      </c>
      <c r="N169">
        <f>_xlfn.IFNA(VLOOKUP(Imputar[[#This Row],[Categoría]],EIMI!C:T,10,0),0)</f>
        <v>0</v>
      </c>
    </row>
    <row r="170" spans="1:14" hidden="1" x14ac:dyDescent="0.25">
      <c r="A170" s="206" t="str">
        <f>Indice!$I$11</f>
        <v>EIMI00398</v>
      </c>
      <c r="B170" t="s">
        <v>714</v>
      </c>
      <c r="C170" s="39">
        <f>Indice!$I$12</f>
        <v>46053</v>
      </c>
      <c r="E170">
        <f>ROUND(SUMIFS(CATEGORIAS[[#All],[TOTAL PRODUCCION
ACTUAL]],CATEGORIAS[[#All],[CATEGORIA2]],Imputar[[#This Row],[Categoría]]),0)</f>
        <v>0</v>
      </c>
      <c r="F170">
        <v>0</v>
      </c>
      <c r="G170">
        <f>ROUND(SUMIFS(CATEGORIAS[[#All],[PROYECCION
DE INGRESO
DEL SALDO]],CATEGORIAS[[#All],[CATEGORIA2]],Imputar[[#This Row],[Categoría]]),0)</f>
        <v>0</v>
      </c>
      <c r="H170">
        <f>ROUND(SUMIFS(CATEGORIAS[[#All],[CAMBIO DE
CATEGORIA]],CATEGORIAS[[#All],[CATEGORIA2]],Imputar[[#This Row],[Categoría]]),0)</f>
        <v>0</v>
      </c>
      <c r="I1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0">
        <f>+ROUND(SUMIFS(CATEGORIAS[[#All],[PROYECCION
TOTAL DE COSTO]],CATEGORIAS[[#All],[CATEGORIA2]],Imputar[[#This Row],[Categoría]]),0)
-Imputar[[#This Row],[Inventario]]
-Imputar[[#This Row],[Pedidos no Rec]]</f>
        <v>0</v>
      </c>
      <c r="K1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0">
        <f>_xlfn.IFNA(VLOOKUP(Imputar[[#This Row],[Categoría]],EIMI!C:T,8,0),0)</f>
        <v>0</v>
      </c>
      <c r="M170">
        <f>_xlfn.IFNA(VLOOKUP(Imputar[[#This Row],[Categoría]],EIMI!C:T,9,0),0)</f>
        <v>0</v>
      </c>
      <c r="N170">
        <f>_xlfn.IFNA(VLOOKUP(Imputar[[#This Row],[Categoría]],EIMI!C:T,10,0),0)</f>
        <v>0</v>
      </c>
    </row>
    <row r="171" spans="1:14" hidden="1" x14ac:dyDescent="0.25">
      <c r="A171" s="206" t="str">
        <f>Indice!$I$11</f>
        <v>EIMI00398</v>
      </c>
      <c r="B171" t="s">
        <v>716</v>
      </c>
      <c r="C171" s="39">
        <f>Indice!$I$12</f>
        <v>46053</v>
      </c>
      <c r="E171">
        <f>ROUND(SUMIFS(CATEGORIAS[[#All],[TOTAL PRODUCCION
ACTUAL]],CATEGORIAS[[#All],[CATEGORIA2]],Imputar[[#This Row],[Categoría]]),0)</f>
        <v>0</v>
      </c>
      <c r="F171">
        <v>0</v>
      </c>
      <c r="G171">
        <f>ROUND(SUMIFS(CATEGORIAS[[#All],[PROYECCION
DE INGRESO
DEL SALDO]],CATEGORIAS[[#All],[CATEGORIA2]],Imputar[[#This Row],[Categoría]]),0)</f>
        <v>0</v>
      </c>
      <c r="H171">
        <f>ROUND(SUMIFS(CATEGORIAS[[#All],[CAMBIO DE
CATEGORIA]],CATEGORIAS[[#All],[CATEGORIA2]],Imputar[[#This Row],[Categoría]]),0)</f>
        <v>0</v>
      </c>
      <c r="I1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1">
        <f>+ROUND(SUMIFS(CATEGORIAS[[#All],[PROYECCION
TOTAL DE COSTO]],CATEGORIAS[[#All],[CATEGORIA2]],Imputar[[#This Row],[Categoría]]),0)
-Imputar[[#This Row],[Inventario]]
-Imputar[[#This Row],[Pedidos no Rec]]</f>
        <v>0</v>
      </c>
      <c r="K1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1">
        <f>_xlfn.IFNA(VLOOKUP(Imputar[[#This Row],[Categoría]],EIMI!C:T,8,0),0)</f>
        <v>0</v>
      </c>
      <c r="M171">
        <f>_xlfn.IFNA(VLOOKUP(Imputar[[#This Row],[Categoría]],EIMI!C:T,9,0),0)</f>
        <v>0</v>
      </c>
      <c r="N171">
        <f>_xlfn.IFNA(VLOOKUP(Imputar[[#This Row],[Categoría]],EIMI!C:T,10,0),0)</f>
        <v>0</v>
      </c>
    </row>
    <row r="172" spans="1:14" hidden="1" x14ac:dyDescent="0.25">
      <c r="A172" s="206" t="str">
        <f>Indice!$I$11</f>
        <v>EIMI00398</v>
      </c>
      <c r="B172" t="s">
        <v>718</v>
      </c>
      <c r="C172" s="39">
        <f>Indice!$I$12</f>
        <v>46053</v>
      </c>
      <c r="E172">
        <f>ROUND(SUMIFS(CATEGORIAS[[#All],[TOTAL PRODUCCION
ACTUAL]],CATEGORIAS[[#All],[CATEGORIA2]],Imputar[[#This Row],[Categoría]]),0)</f>
        <v>0</v>
      </c>
      <c r="F172">
        <v>0</v>
      </c>
      <c r="G172">
        <f>ROUND(SUMIFS(CATEGORIAS[[#All],[PROYECCION
DE INGRESO
DEL SALDO]],CATEGORIAS[[#All],[CATEGORIA2]],Imputar[[#This Row],[Categoría]]),0)</f>
        <v>0</v>
      </c>
      <c r="H172">
        <f>ROUND(SUMIFS(CATEGORIAS[[#All],[CAMBIO DE
CATEGORIA]],CATEGORIAS[[#All],[CATEGORIA2]],Imputar[[#This Row],[Categoría]]),0)</f>
        <v>0</v>
      </c>
      <c r="I1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2">
        <f>+ROUND(SUMIFS(CATEGORIAS[[#All],[PROYECCION
TOTAL DE COSTO]],CATEGORIAS[[#All],[CATEGORIA2]],Imputar[[#This Row],[Categoría]]),0)
-Imputar[[#This Row],[Inventario]]
-Imputar[[#This Row],[Pedidos no Rec]]</f>
        <v>0</v>
      </c>
      <c r="K1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2">
        <f>_xlfn.IFNA(VLOOKUP(Imputar[[#This Row],[Categoría]],EIMI!C:T,8,0),0)</f>
        <v>0</v>
      </c>
      <c r="M172">
        <f>_xlfn.IFNA(VLOOKUP(Imputar[[#This Row],[Categoría]],EIMI!C:T,9,0),0)</f>
        <v>0</v>
      </c>
      <c r="N172">
        <f>_xlfn.IFNA(VLOOKUP(Imputar[[#This Row],[Categoría]],EIMI!C:T,10,0),0)</f>
        <v>0</v>
      </c>
    </row>
    <row r="173" spans="1:14" hidden="1" x14ac:dyDescent="0.25">
      <c r="A173" s="206" t="str">
        <f>Indice!$I$11</f>
        <v>EIMI00398</v>
      </c>
      <c r="B173" t="s">
        <v>720</v>
      </c>
      <c r="C173" s="39">
        <f>Indice!$I$12</f>
        <v>46053</v>
      </c>
      <c r="E173">
        <f>ROUND(SUMIFS(CATEGORIAS[[#All],[TOTAL PRODUCCION
ACTUAL]],CATEGORIAS[[#All],[CATEGORIA2]],Imputar[[#This Row],[Categoría]]),0)</f>
        <v>0</v>
      </c>
      <c r="F173">
        <v>0</v>
      </c>
      <c r="G173">
        <f>ROUND(SUMIFS(CATEGORIAS[[#All],[PROYECCION
DE INGRESO
DEL SALDO]],CATEGORIAS[[#All],[CATEGORIA2]],Imputar[[#This Row],[Categoría]]),0)</f>
        <v>0</v>
      </c>
      <c r="H173">
        <f>ROUND(SUMIFS(CATEGORIAS[[#All],[CAMBIO DE
CATEGORIA]],CATEGORIAS[[#All],[CATEGORIA2]],Imputar[[#This Row],[Categoría]]),0)</f>
        <v>0</v>
      </c>
      <c r="I1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3">
        <f>+ROUND(SUMIFS(CATEGORIAS[[#All],[PROYECCION
TOTAL DE COSTO]],CATEGORIAS[[#All],[CATEGORIA2]],Imputar[[#This Row],[Categoría]]),0)
-Imputar[[#This Row],[Inventario]]
-Imputar[[#This Row],[Pedidos no Rec]]</f>
        <v>0</v>
      </c>
      <c r="K1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3">
        <f>_xlfn.IFNA(VLOOKUP(Imputar[[#This Row],[Categoría]],EIMI!C:T,8,0),0)</f>
        <v>0</v>
      </c>
      <c r="M173">
        <f>_xlfn.IFNA(VLOOKUP(Imputar[[#This Row],[Categoría]],EIMI!C:T,9,0),0)</f>
        <v>0</v>
      </c>
      <c r="N173">
        <f>_xlfn.IFNA(VLOOKUP(Imputar[[#This Row],[Categoría]],EIMI!C:T,10,0),0)</f>
        <v>0</v>
      </c>
    </row>
    <row r="174" spans="1:14" hidden="1" x14ac:dyDescent="0.25">
      <c r="A174" s="206" t="str">
        <f>Indice!$I$11</f>
        <v>EIMI00398</v>
      </c>
      <c r="B174" t="s">
        <v>722</v>
      </c>
      <c r="C174" s="39">
        <f>Indice!$I$12</f>
        <v>46053</v>
      </c>
      <c r="E174">
        <f>ROUND(SUMIFS(CATEGORIAS[[#All],[TOTAL PRODUCCION
ACTUAL]],CATEGORIAS[[#All],[CATEGORIA2]],Imputar[[#This Row],[Categoría]]),0)</f>
        <v>0</v>
      </c>
      <c r="F174">
        <v>0</v>
      </c>
      <c r="G174">
        <f>ROUND(SUMIFS(CATEGORIAS[[#All],[PROYECCION
DE INGRESO
DEL SALDO]],CATEGORIAS[[#All],[CATEGORIA2]],Imputar[[#This Row],[Categoría]]),0)</f>
        <v>0</v>
      </c>
      <c r="H174">
        <f>ROUND(SUMIFS(CATEGORIAS[[#All],[CAMBIO DE
CATEGORIA]],CATEGORIAS[[#All],[CATEGORIA2]],Imputar[[#This Row],[Categoría]]),0)</f>
        <v>0</v>
      </c>
      <c r="I1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4">
        <f>+ROUND(SUMIFS(CATEGORIAS[[#All],[PROYECCION
TOTAL DE COSTO]],CATEGORIAS[[#All],[CATEGORIA2]],Imputar[[#This Row],[Categoría]]),0)
-Imputar[[#This Row],[Inventario]]
-Imputar[[#This Row],[Pedidos no Rec]]</f>
        <v>0</v>
      </c>
      <c r="K1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4">
        <f>_xlfn.IFNA(VLOOKUP(Imputar[[#This Row],[Categoría]],EIMI!C:T,8,0),0)</f>
        <v>0</v>
      </c>
      <c r="M174">
        <f>_xlfn.IFNA(VLOOKUP(Imputar[[#This Row],[Categoría]],EIMI!C:T,9,0),0)</f>
        <v>0</v>
      </c>
      <c r="N174">
        <f>_xlfn.IFNA(VLOOKUP(Imputar[[#This Row],[Categoría]],EIMI!C:T,10,0),0)</f>
        <v>0</v>
      </c>
    </row>
    <row r="175" spans="1:14" hidden="1" x14ac:dyDescent="0.25">
      <c r="A175" s="206" t="str">
        <f>Indice!$I$11</f>
        <v>EIMI00398</v>
      </c>
      <c r="B175" t="s">
        <v>724</v>
      </c>
      <c r="C175" s="39">
        <f>Indice!$I$12</f>
        <v>46053</v>
      </c>
      <c r="E175">
        <f>ROUND(SUMIFS(CATEGORIAS[[#All],[TOTAL PRODUCCION
ACTUAL]],CATEGORIAS[[#All],[CATEGORIA2]],Imputar[[#This Row],[Categoría]]),0)</f>
        <v>0</v>
      </c>
      <c r="F175">
        <v>0</v>
      </c>
      <c r="G175">
        <f>ROUND(SUMIFS(CATEGORIAS[[#All],[PROYECCION
DE INGRESO
DEL SALDO]],CATEGORIAS[[#All],[CATEGORIA2]],Imputar[[#This Row],[Categoría]]),0)</f>
        <v>0</v>
      </c>
      <c r="H175">
        <f>ROUND(SUMIFS(CATEGORIAS[[#All],[CAMBIO DE
CATEGORIA]],CATEGORIAS[[#All],[CATEGORIA2]],Imputar[[#This Row],[Categoría]]),0)</f>
        <v>0</v>
      </c>
      <c r="I1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5">
        <f>+ROUND(SUMIFS(CATEGORIAS[[#All],[PROYECCION
TOTAL DE COSTO]],CATEGORIAS[[#All],[CATEGORIA2]],Imputar[[#This Row],[Categoría]]),0)
-Imputar[[#This Row],[Inventario]]
-Imputar[[#This Row],[Pedidos no Rec]]</f>
        <v>0</v>
      </c>
      <c r="K1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5">
        <f>_xlfn.IFNA(VLOOKUP(Imputar[[#This Row],[Categoría]],EIMI!C:T,8,0),0)</f>
        <v>0</v>
      </c>
      <c r="M175">
        <f>_xlfn.IFNA(VLOOKUP(Imputar[[#This Row],[Categoría]],EIMI!C:T,9,0),0)</f>
        <v>0</v>
      </c>
      <c r="N175">
        <f>_xlfn.IFNA(VLOOKUP(Imputar[[#This Row],[Categoría]],EIMI!C:T,10,0),0)</f>
        <v>0</v>
      </c>
    </row>
    <row r="176" spans="1:14" x14ac:dyDescent="0.25">
      <c r="A176" s="206" t="str">
        <f>Indice!$I$11</f>
        <v>EIMI00398</v>
      </c>
      <c r="B176" t="s">
        <v>297</v>
      </c>
      <c r="C176" s="39">
        <f>Indice!$I$12</f>
        <v>46053</v>
      </c>
      <c r="E176">
        <f>ROUND(SUMIFS(CATEGORIAS[[#All],[TOTAL PRODUCCION
ACTUAL]],CATEGORIAS[[#All],[CATEGORIA2]],Imputar[[#This Row],[Categoría]]),0)</f>
        <v>0</v>
      </c>
      <c r="F176">
        <v>0</v>
      </c>
      <c r="G176">
        <f>ROUND(SUMIFS(CATEGORIAS[[#All],[PROYECCION
DE INGRESO
DEL SALDO]],CATEGORIAS[[#All],[CATEGORIA2]],Imputar[[#This Row],[Categoría]]),0)</f>
        <v>0</v>
      </c>
      <c r="H176">
        <f>ROUND(SUMIFS(CATEGORIAS[[#All],[CAMBIO DE
CATEGORIA]],CATEGORIAS[[#All],[CATEGORIA2]],Imputar[[#This Row],[Categoría]]),0)</f>
        <v>0</v>
      </c>
      <c r="I1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6">
        <f>+ROUND(SUMIFS(CATEGORIAS[[#All],[PROYECCION
TOTAL DE COSTO]],CATEGORIAS[[#All],[CATEGORIA2]],Imputar[[#This Row],[Categoría]]),0)
-Imputar[[#This Row],[Inventario]]
-Imputar[[#This Row],[Pedidos no Rec]]</f>
        <v>0</v>
      </c>
      <c r="K1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6">
        <f>_xlfn.IFNA(VLOOKUP(Imputar[[#This Row],[Categoría]],EIMI!C:T,8,0),0)</f>
        <v>0</v>
      </c>
      <c r="M176">
        <f>_xlfn.IFNA(VLOOKUP(Imputar[[#This Row],[Categoría]],EIMI!C:T,9,0),0)</f>
        <v>0</v>
      </c>
      <c r="N176">
        <f>_xlfn.IFNA(VLOOKUP(Imputar[[#This Row],[Categoría]],EIMI!C:T,10,0),0)</f>
        <v>0</v>
      </c>
    </row>
    <row r="177" spans="1:14" hidden="1" x14ac:dyDescent="0.25">
      <c r="A177" s="206" t="str">
        <f>Indice!$I$11</f>
        <v>EIMI00398</v>
      </c>
      <c r="B177" t="s">
        <v>727</v>
      </c>
      <c r="C177" s="39">
        <f>Indice!$I$12</f>
        <v>46053</v>
      </c>
      <c r="E177">
        <f>ROUND(SUMIFS(CATEGORIAS[[#All],[TOTAL PRODUCCION
ACTUAL]],CATEGORIAS[[#All],[CATEGORIA2]],Imputar[[#This Row],[Categoría]]),0)</f>
        <v>0</v>
      </c>
      <c r="F177">
        <v>0</v>
      </c>
      <c r="G177">
        <f>ROUND(SUMIFS(CATEGORIAS[[#All],[PROYECCION
DE INGRESO
DEL SALDO]],CATEGORIAS[[#All],[CATEGORIA2]],Imputar[[#This Row],[Categoría]]),0)</f>
        <v>0</v>
      </c>
      <c r="H177">
        <f>ROUND(SUMIFS(CATEGORIAS[[#All],[CAMBIO DE
CATEGORIA]],CATEGORIAS[[#All],[CATEGORIA2]],Imputar[[#This Row],[Categoría]]),0)</f>
        <v>0</v>
      </c>
      <c r="I1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7">
        <f>+ROUND(SUMIFS(CATEGORIAS[[#All],[PROYECCION
TOTAL DE COSTO]],CATEGORIAS[[#All],[CATEGORIA2]],Imputar[[#This Row],[Categoría]]),0)
-Imputar[[#This Row],[Inventario]]
-Imputar[[#This Row],[Pedidos no Rec]]</f>
        <v>0</v>
      </c>
      <c r="K1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7">
        <f>_xlfn.IFNA(VLOOKUP(Imputar[[#This Row],[Categoría]],EIMI!C:T,8,0),0)</f>
        <v>0</v>
      </c>
      <c r="M177">
        <f>_xlfn.IFNA(VLOOKUP(Imputar[[#This Row],[Categoría]],EIMI!C:T,9,0),0)</f>
        <v>0</v>
      </c>
      <c r="N177">
        <f>_xlfn.IFNA(VLOOKUP(Imputar[[#This Row],[Categoría]],EIMI!C:T,10,0),0)</f>
        <v>0</v>
      </c>
    </row>
    <row r="178" spans="1:14" hidden="1" x14ac:dyDescent="0.25">
      <c r="A178" s="206" t="str">
        <f>Indice!$I$11</f>
        <v>EIMI00398</v>
      </c>
      <c r="B178" t="s">
        <v>729</v>
      </c>
      <c r="C178" s="39">
        <f>Indice!$I$12</f>
        <v>46053</v>
      </c>
      <c r="E178">
        <f>ROUND(SUMIFS(CATEGORIAS[[#All],[TOTAL PRODUCCION
ACTUAL]],CATEGORIAS[[#All],[CATEGORIA2]],Imputar[[#This Row],[Categoría]]),0)</f>
        <v>0</v>
      </c>
      <c r="F178">
        <v>0</v>
      </c>
      <c r="G178">
        <f>ROUND(SUMIFS(CATEGORIAS[[#All],[PROYECCION
DE INGRESO
DEL SALDO]],CATEGORIAS[[#All],[CATEGORIA2]],Imputar[[#This Row],[Categoría]]),0)</f>
        <v>0</v>
      </c>
      <c r="H178">
        <f>ROUND(SUMIFS(CATEGORIAS[[#All],[CAMBIO DE
CATEGORIA]],CATEGORIAS[[#All],[CATEGORIA2]],Imputar[[#This Row],[Categoría]]),0)</f>
        <v>0</v>
      </c>
      <c r="I1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8">
        <f>+ROUND(SUMIFS(CATEGORIAS[[#All],[PROYECCION
TOTAL DE COSTO]],CATEGORIAS[[#All],[CATEGORIA2]],Imputar[[#This Row],[Categoría]]),0)
-Imputar[[#This Row],[Inventario]]
-Imputar[[#This Row],[Pedidos no Rec]]</f>
        <v>0</v>
      </c>
      <c r="K1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8">
        <f>_xlfn.IFNA(VLOOKUP(Imputar[[#This Row],[Categoría]],EIMI!C:T,8,0),0)</f>
        <v>0</v>
      </c>
      <c r="M178">
        <f>_xlfn.IFNA(VLOOKUP(Imputar[[#This Row],[Categoría]],EIMI!C:T,9,0),0)</f>
        <v>0</v>
      </c>
      <c r="N178">
        <f>_xlfn.IFNA(VLOOKUP(Imputar[[#This Row],[Categoría]],EIMI!C:T,10,0),0)</f>
        <v>0</v>
      </c>
    </row>
    <row r="179" spans="1:14" hidden="1" x14ac:dyDescent="0.25">
      <c r="A179" s="206" t="str">
        <f>Indice!$I$11</f>
        <v>EIMI00398</v>
      </c>
      <c r="B179" t="s">
        <v>731</v>
      </c>
      <c r="C179" s="39">
        <f>Indice!$I$12</f>
        <v>46053</v>
      </c>
      <c r="E179">
        <f>ROUND(SUMIFS(CATEGORIAS[[#All],[TOTAL PRODUCCION
ACTUAL]],CATEGORIAS[[#All],[CATEGORIA2]],Imputar[[#This Row],[Categoría]]),0)</f>
        <v>0</v>
      </c>
      <c r="F179">
        <v>0</v>
      </c>
      <c r="G179">
        <f>ROUND(SUMIFS(CATEGORIAS[[#All],[PROYECCION
DE INGRESO
DEL SALDO]],CATEGORIAS[[#All],[CATEGORIA2]],Imputar[[#This Row],[Categoría]]),0)</f>
        <v>0</v>
      </c>
      <c r="H179">
        <f>ROUND(SUMIFS(CATEGORIAS[[#All],[CAMBIO DE
CATEGORIA]],CATEGORIAS[[#All],[CATEGORIA2]],Imputar[[#This Row],[Categoría]]),0)</f>
        <v>0</v>
      </c>
      <c r="I1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79">
        <f>+ROUND(SUMIFS(CATEGORIAS[[#All],[PROYECCION
TOTAL DE COSTO]],CATEGORIAS[[#All],[CATEGORIA2]],Imputar[[#This Row],[Categoría]]),0)
-Imputar[[#This Row],[Inventario]]
-Imputar[[#This Row],[Pedidos no Rec]]</f>
        <v>0</v>
      </c>
      <c r="K1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79">
        <f>_xlfn.IFNA(VLOOKUP(Imputar[[#This Row],[Categoría]],EIMI!C:T,8,0),0)</f>
        <v>0</v>
      </c>
      <c r="M179">
        <f>_xlfn.IFNA(VLOOKUP(Imputar[[#This Row],[Categoría]],EIMI!C:T,9,0),0)</f>
        <v>0</v>
      </c>
      <c r="N179">
        <f>_xlfn.IFNA(VLOOKUP(Imputar[[#This Row],[Categoría]],EIMI!C:T,10,0),0)</f>
        <v>0</v>
      </c>
    </row>
    <row r="180" spans="1:14" hidden="1" x14ac:dyDescent="0.25">
      <c r="A180" s="206" t="str">
        <f>Indice!$I$11</f>
        <v>EIMI00398</v>
      </c>
      <c r="B180" t="s">
        <v>733</v>
      </c>
      <c r="C180" s="39">
        <f>Indice!$I$12</f>
        <v>46053</v>
      </c>
      <c r="E180">
        <f>ROUND(SUMIFS(CATEGORIAS[[#All],[TOTAL PRODUCCION
ACTUAL]],CATEGORIAS[[#All],[CATEGORIA2]],Imputar[[#This Row],[Categoría]]),0)</f>
        <v>0</v>
      </c>
      <c r="F180">
        <v>0</v>
      </c>
      <c r="G180">
        <f>ROUND(SUMIFS(CATEGORIAS[[#All],[PROYECCION
DE INGRESO
DEL SALDO]],CATEGORIAS[[#All],[CATEGORIA2]],Imputar[[#This Row],[Categoría]]),0)</f>
        <v>0</v>
      </c>
      <c r="H180">
        <f>ROUND(SUMIFS(CATEGORIAS[[#All],[CAMBIO DE
CATEGORIA]],CATEGORIAS[[#All],[CATEGORIA2]],Imputar[[#This Row],[Categoría]]),0)</f>
        <v>0</v>
      </c>
      <c r="I1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0">
        <f>+ROUND(SUMIFS(CATEGORIAS[[#All],[PROYECCION
TOTAL DE COSTO]],CATEGORIAS[[#All],[CATEGORIA2]],Imputar[[#This Row],[Categoría]]),0)
-Imputar[[#This Row],[Inventario]]
-Imputar[[#This Row],[Pedidos no Rec]]</f>
        <v>0</v>
      </c>
      <c r="K1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0">
        <f>_xlfn.IFNA(VLOOKUP(Imputar[[#This Row],[Categoría]],EIMI!C:T,8,0),0)</f>
        <v>0</v>
      </c>
      <c r="M180">
        <f>_xlfn.IFNA(VLOOKUP(Imputar[[#This Row],[Categoría]],EIMI!C:T,9,0),0)</f>
        <v>0</v>
      </c>
      <c r="N180">
        <f>_xlfn.IFNA(VLOOKUP(Imputar[[#This Row],[Categoría]],EIMI!C:T,10,0),0)</f>
        <v>0</v>
      </c>
    </row>
    <row r="181" spans="1:14" hidden="1" x14ac:dyDescent="0.25">
      <c r="A181" s="206" t="str">
        <f>Indice!$I$11</f>
        <v>EIMI00398</v>
      </c>
      <c r="B181" t="s">
        <v>735</v>
      </c>
      <c r="C181" s="39">
        <f>Indice!$I$12</f>
        <v>46053</v>
      </c>
      <c r="E181">
        <f>ROUND(SUMIFS(CATEGORIAS[[#All],[TOTAL PRODUCCION
ACTUAL]],CATEGORIAS[[#All],[CATEGORIA2]],Imputar[[#This Row],[Categoría]]),0)</f>
        <v>0</v>
      </c>
      <c r="F181">
        <v>0</v>
      </c>
      <c r="G181">
        <f>ROUND(SUMIFS(CATEGORIAS[[#All],[PROYECCION
DE INGRESO
DEL SALDO]],CATEGORIAS[[#All],[CATEGORIA2]],Imputar[[#This Row],[Categoría]]),0)</f>
        <v>0</v>
      </c>
      <c r="H181">
        <f>ROUND(SUMIFS(CATEGORIAS[[#All],[CAMBIO DE
CATEGORIA]],CATEGORIAS[[#All],[CATEGORIA2]],Imputar[[#This Row],[Categoría]]),0)</f>
        <v>0</v>
      </c>
      <c r="I1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1">
        <f>+ROUND(SUMIFS(CATEGORIAS[[#All],[PROYECCION
TOTAL DE COSTO]],CATEGORIAS[[#All],[CATEGORIA2]],Imputar[[#This Row],[Categoría]]),0)
-Imputar[[#This Row],[Inventario]]
-Imputar[[#This Row],[Pedidos no Rec]]</f>
        <v>0</v>
      </c>
      <c r="K1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1">
        <f>_xlfn.IFNA(VLOOKUP(Imputar[[#This Row],[Categoría]],EIMI!C:T,8,0),0)</f>
        <v>0</v>
      </c>
      <c r="M181">
        <f>_xlfn.IFNA(VLOOKUP(Imputar[[#This Row],[Categoría]],EIMI!C:T,9,0),0)</f>
        <v>0</v>
      </c>
      <c r="N181">
        <f>_xlfn.IFNA(VLOOKUP(Imputar[[#This Row],[Categoría]],EIMI!C:T,10,0),0)</f>
        <v>0</v>
      </c>
    </row>
    <row r="182" spans="1:14" hidden="1" x14ac:dyDescent="0.25">
      <c r="A182" s="206" t="str">
        <f>Indice!$I$11</f>
        <v>EIMI00398</v>
      </c>
      <c r="B182" t="s">
        <v>737</v>
      </c>
      <c r="C182" s="39">
        <f>Indice!$I$12</f>
        <v>46053</v>
      </c>
      <c r="E182">
        <f>ROUND(SUMIFS(CATEGORIAS[[#All],[TOTAL PRODUCCION
ACTUAL]],CATEGORIAS[[#All],[CATEGORIA2]],Imputar[[#This Row],[Categoría]]),0)</f>
        <v>0</v>
      </c>
      <c r="F182">
        <v>0</v>
      </c>
      <c r="G182">
        <f>ROUND(SUMIFS(CATEGORIAS[[#All],[PROYECCION
DE INGRESO
DEL SALDO]],CATEGORIAS[[#All],[CATEGORIA2]],Imputar[[#This Row],[Categoría]]),0)</f>
        <v>0</v>
      </c>
      <c r="H182">
        <f>ROUND(SUMIFS(CATEGORIAS[[#All],[CAMBIO DE
CATEGORIA]],CATEGORIAS[[#All],[CATEGORIA2]],Imputar[[#This Row],[Categoría]]),0)</f>
        <v>0</v>
      </c>
      <c r="I1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2">
        <f>+ROUND(SUMIFS(CATEGORIAS[[#All],[PROYECCION
TOTAL DE COSTO]],CATEGORIAS[[#All],[CATEGORIA2]],Imputar[[#This Row],[Categoría]]),0)
-Imputar[[#This Row],[Inventario]]
-Imputar[[#This Row],[Pedidos no Rec]]</f>
        <v>0</v>
      </c>
      <c r="K1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2">
        <f>_xlfn.IFNA(VLOOKUP(Imputar[[#This Row],[Categoría]],EIMI!C:T,8,0),0)</f>
        <v>0</v>
      </c>
      <c r="M182">
        <f>_xlfn.IFNA(VLOOKUP(Imputar[[#This Row],[Categoría]],EIMI!C:T,9,0),0)</f>
        <v>0</v>
      </c>
      <c r="N182">
        <f>_xlfn.IFNA(VLOOKUP(Imputar[[#This Row],[Categoría]],EIMI!C:T,10,0),0)</f>
        <v>0</v>
      </c>
    </row>
    <row r="183" spans="1:14" hidden="1" x14ac:dyDescent="0.25">
      <c r="A183" s="206" t="str">
        <f>Indice!$I$11</f>
        <v>EIMI00398</v>
      </c>
      <c r="B183" t="s">
        <v>739</v>
      </c>
      <c r="C183" s="39">
        <f>Indice!$I$12</f>
        <v>46053</v>
      </c>
      <c r="E183">
        <f>ROUND(SUMIFS(CATEGORIAS[[#All],[TOTAL PRODUCCION
ACTUAL]],CATEGORIAS[[#All],[CATEGORIA2]],Imputar[[#This Row],[Categoría]]),0)</f>
        <v>0</v>
      </c>
      <c r="F183">
        <v>0</v>
      </c>
      <c r="G183">
        <f>ROUND(SUMIFS(CATEGORIAS[[#All],[PROYECCION
DE INGRESO
DEL SALDO]],CATEGORIAS[[#All],[CATEGORIA2]],Imputar[[#This Row],[Categoría]]),0)</f>
        <v>0</v>
      </c>
      <c r="H183">
        <f>ROUND(SUMIFS(CATEGORIAS[[#All],[CAMBIO DE
CATEGORIA]],CATEGORIAS[[#All],[CATEGORIA2]],Imputar[[#This Row],[Categoría]]),0)</f>
        <v>0</v>
      </c>
      <c r="I1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3">
        <f>+ROUND(SUMIFS(CATEGORIAS[[#All],[PROYECCION
TOTAL DE COSTO]],CATEGORIAS[[#All],[CATEGORIA2]],Imputar[[#This Row],[Categoría]]),0)
-Imputar[[#This Row],[Inventario]]
-Imputar[[#This Row],[Pedidos no Rec]]</f>
        <v>0</v>
      </c>
      <c r="K1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3">
        <f>_xlfn.IFNA(VLOOKUP(Imputar[[#This Row],[Categoría]],EIMI!C:T,8,0),0)</f>
        <v>0</v>
      </c>
      <c r="M183">
        <f>_xlfn.IFNA(VLOOKUP(Imputar[[#This Row],[Categoría]],EIMI!C:T,9,0),0)</f>
        <v>0</v>
      </c>
      <c r="N183">
        <f>_xlfn.IFNA(VLOOKUP(Imputar[[#This Row],[Categoría]],EIMI!C:T,10,0),0)</f>
        <v>0</v>
      </c>
    </row>
    <row r="184" spans="1:14" hidden="1" x14ac:dyDescent="0.25">
      <c r="A184" s="206" t="str">
        <f>Indice!$I$11</f>
        <v>EIMI00398</v>
      </c>
      <c r="B184" t="s">
        <v>741</v>
      </c>
      <c r="C184" s="39">
        <f>Indice!$I$12</f>
        <v>46053</v>
      </c>
      <c r="E184">
        <f>ROUND(SUMIFS(CATEGORIAS[[#All],[TOTAL PRODUCCION
ACTUAL]],CATEGORIAS[[#All],[CATEGORIA2]],Imputar[[#This Row],[Categoría]]),0)</f>
        <v>0</v>
      </c>
      <c r="F184">
        <v>0</v>
      </c>
      <c r="G184">
        <f>ROUND(SUMIFS(CATEGORIAS[[#All],[PROYECCION
DE INGRESO
DEL SALDO]],CATEGORIAS[[#All],[CATEGORIA2]],Imputar[[#This Row],[Categoría]]),0)</f>
        <v>0</v>
      </c>
      <c r="H184">
        <f>ROUND(SUMIFS(CATEGORIAS[[#All],[CAMBIO DE
CATEGORIA]],CATEGORIAS[[#All],[CATEGORIA2]],Imputar[[#This Row],[Categoría]]),0)</f>
        <v>0</v>
      </c>
      <c r="I1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4">
        <f>+ROUND(SUMIFS(CATEGORIAS[[#All],[PROYECCION
TOTAL DE COSTO]],CATEGORIAS[[#All],[CATEGORIA2]],Imputar[[#This Row],[Categoría]]),0)
-Imputar[[#This Row],[Inventario]]
-Imputar[[#This Row],[Pedidos no Rec]]</f>
        <v>0</v>
      </c>
      <c r="K1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4">
        <f>_xlfn.IFNA(VLOOKUP(Imputar[[#This Row],[Categoría]],EIMI!C:T,8,0),0)</f>
        <v>0</v>
      </c>
      <c r="M184">
        <f>_xlfn.IFNA(VLOOKUP(Imputar[[#This Row],[Categoría]],EIMI!C:T,9,0),0)</f>
        <v>0</v>
      </c>
      <c r="N184">
        <f>_xlfn.IFNA(VLOOKUP(Imputar[[#This Row],[Categoría]],EIMI!C:T,10,0),0)</f>
        <v>0</v>
      </c>
    </row>
    <row r="185" spans="1:14" hidden="1" x14ac:dyDescent="0.25">
      <c r="A185" s="206" t="str">
        <f>Indice!$I$11</f>
        <v>EIMI00398</v>
      </c>
      <c r="B185" t="s">
        <v>743</v>
      </c>
      <c r="C185" s="39">
        <f>Indice!$I$12</f>
        <v>46053</v>
      </c>
      <c r="E185">
        <f>ROUND(SUMIFS(CATEGORIAS[[#All],[TOTAL PRODUCCION
ACTUAL]],CATEGORIAS[[#All],[CATEGORIA2]],Imputar[[#This Row],[Categoría]]),0)</f>
        <v>0</v>
      </c>
      <c r="F185">
        <v>0</v>
      </c>
      <c r="G185">
        <f>ROUND(SUMIFS(CATEGORIAS[[#All],[PROYECCION
DE INGRESO
DEL SALDO]],CATEGORIAS[[#All],[CATEGORIA2]],Imputar[[#This Row],[Categoría]]),0)</f>
        <v>0</v>
      </c>
      <c r="H185">
        <f>ROUND(SUMIFS(CATEGORIAS[[#All],[CAMBIO DE
CATEGORIA]],CATEGORIAS[[#All],[CATEGORIA2]],Imputar[[#This Row],[Categoría]]),0)</f>
        <v>0</v>
      </c>
      <c r="I1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5">
        <f>+ROUND(SUMIFS(CATEGORIAS[[#All],[PROYECCION
TOTAL DE COSTO]],CATEGORIAS[[#All],[CATEGORIA2]],Imputar[[#This Row],[Categoría]]),0)
-Imputar[[#This Row],[Inventario]]
-Imputar[[#This Row],[Pedidos no Rec]]</f>
        <v>0</v>
      </c>
      <c r="K1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5">
        <f>_xlfn.IFNA(VLOOKUP(Imputar[[#This Row],[Categoría]],EIMI!C:T,8,0),0)</f>
        <v>0</v>
      </c>
      <c r="M185">
        <f>_xlfn.IFNA(VLOOKUP(Imputar[[#This Row],[Categoría]],EIMI!C:T,9,0),0)</f>
        <v>0</v>
      </c>
      <c r="N185">
        <f>_xlfn.IFNA(VLOOKUP(Imputar[[#This Row],[Categoría]],EIMI!C:T,10,0),0)</f>
        <v>0</v>
      </c>
    </row>
    <row r="186" spans="1:14" hidden="1" x14ac:dyDescent="0.25">
      <c r="A186" s="206" t="str">
        <f>Indice!$I$11</f>
        <v>EIMI00398</v>
      </c>
      <c r="B186" t="s">
        <v>745</v>
      </c>
      <c r="C186" s="39">
        <f>Indice!$I$12</f>
        <v>46053</v>
      </c>
      <c r="E186">
        <f>ROUND(SUMIFS(CATEGORIAS[[#All],[TOTAL PRODUCCION
ACTUAL]],CATEGORIAS[[#All],[CATEGORIA2]],Imputar[[#This Row],[Categoría]]),0)</f>
        <v>0</v>
      </c>
      <c r="F186">
        <v>0</v>
      </c>
      <c r="G186">
        <f>ROUND(SUMIFS(CATEGORIAS[[#All],[PROYECCION
DE INGRESO
DEL SALDO]],CATEGORIAS[[#All],[CATEGORIA2]],Imputar[[#This Row],[Categoría]]),0)</f>
        <v>0</v>
      </c>
      <c r="H186">
        <f>ROUND(SUMIFS(CATEGORIAS[[#All],[CAMBIO DE
CATEGORIA]],CATEGORIAS[[#All],[CATEGORIA2]],Imputar[[#This Row],[Categoría]]),0)</f>
        <v>0</v>
      </c>
      <c r="I1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6">
        <f>+ROUND(SUMIFS(CATEGORIAS[[#All],[PROYECCION
TOTAL DE COSTO]],CATEGORIAS[[#All],[CATEGORIA2]],Imputar[[#This Row],[Categoría]]),0)
-Imputar[[#This Row],[Inventario]]
-Imputar[[#This Row],[Pedidos no Rec]]</f>
        <v>0</v>
      </c>
      <c r="K1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6">
        <f>_xlfn.IFNA(VLOOKUP(Imputar[[#This Row],[Categoría]],EIMI!C:T,8,0),0)</f>
        <v>0</v>
      </c>
      <c r="M186">
        <f>_xlfn.IFNA(VLOOKUP(Imputar[[#This Row],[Categoría]],EIMI!C:T,9,0),0)</f>
        <v>0</v>
      </c>
      <c r="N186">
        <f>_xlfn.IFNA(VLOOKUP(Imputar[[#This Row],[Categoría]],EIMI!C:T,10,0),0)</f>
        <v>0</v>
      </c>
    </row>
    <row r="187" spans="1:14" hidden="1" x14ac:dyDescent="0.25">
      <c r="A187" s="206" t="str">
        <f>Indice!$I$11</f>
        <v>EIMI00398</v>
      </c>
      <c r="B187" t="s">
        <v>747</v>
      </c>
      <c r="C187" s="39">
        <f>Indice!$I$12</f>
        <v>46053</v>
      </c>
      <c r="E187">
        <f>ROUND(SUMIFS(CATEGORIAS[[#All],[TOTAL PRODUCCION
ACTUAL]],CATEGORIAS[[#All],[CATEGORIA2]],Imputar[[#This Row],[Categoría]]),0)</f>
        <v>0</v>
      </c>
      <c r="F187">
        <v>0</v>
      </c>
      <c r="G187">
        <f>ROUND(SUMIFS(CATEGORIAS[[#All],[PROYECCION
DE INGRESO
DEL SALDO]],CATEGORIAS[[#All],[CATEGORIA2]],Imputar[[#This Row],[Categoría]]),0)</f>
        <v>0</v>
      </c>
      <c r="H187">
        <f>ROUND(SUMIFS(CATEGORIAS[[#All],[CAMBIO DE
CATEGORIA]],CATEGORIAS[[#All],[CATEGORIA2]],Imputar[[#This Row],[Categoría]]),0)</f>
        <v>0</v>
      </c>
      <c r="I1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7">
        <f>+ROUND(SUMIFS(CATEGORIAS[[#All],[PROYECCION
TOTAL DE COSTO]],CATEGORIAS[[#All],[CATEGORIA2]],Imputar[[#This Row],[Categoría]]),0)
-Imputar[[#This Row],[Inventario]]
-Imputar[[#This Row],[Pedidos no Rec]]</f>
        <v>0</v>
      </c>
      <c r="K1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7">
        <f>_xlfn.IFNA(VLOOKUP(Imputar[[#This Row],[Categoría]],EIMI!C:T,8,0),0)</f>
        <v>0</v>
      </c>
      <c r="M187">
        <f>_xlfn.IFNA(VLOOKUP(Imputar[[#This Row],[Categoría]],EIMI!C:T,9,0),0)</f>
        <v>0</v>
      </c>
      <c r="N187">
        <f>_xlfn.IFNA(VLOOKUP(Imputar[[#This Row],[Categoría]],EIMI!C:T,10,0),0)</f>
        <v>0</v>
      </c>
    </row>
    <row r="188" spans="1:14" hidden="1" x14ac:dyDescent="0.25">
      <c r="A188" s="206" t="str">
        <f>Indice!$I$11</f>
        <v>EIMI00398</v>
      </c>
      <c r="B188" t="s">
        <v>749</v>
      </c>
      <c r="C188" s="39">
        <f>Indice!$I$12</f>
        <v>46053</v>
      </c>
      <c r="E188">
        <f>ROUND(SUMIFS(CATEGORIAS[[#All],[TOTAL PRODUCCION
ACTUAL]],CATEGORIAS[[#All],[CATEGORIA2]],Imputar[[#This Row],[Categoría]]),0)</f>
        <v>0</v>
      </c>
      <c r="F188">
        <v>0</v>
      </c>
      <c r="G188">
        <f>ROUND(SUMIFS(CATEGORIAS[[#All],[PROYECCION
DE INGRESO
DEL SALDO]],CATEGORIAS[[#All],[CATEGORIA2]],Imputar[[#This Row],[Categoría]]),0)</f>
        <v>0</v>
      </c>
      <c r="H188">
        <f>ROUND(SUMIFS(CATEGORIAS[[#All],[CAMBIO DE
CATEGORIA]],CATEGORIAS[[#All],[CATEGORIA2]],Imputar[[#This Row],[Categoría]]),0)</f>
        <v>0</v>
      </c>
      <c r="I1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8">
        <f>+ROUND(SUMIFS(CATEGORIAS[[#All],[PROYECCION
TOTAL DE COSTO]],CATEGORIAS[[#All],[CATEGORIA2]],Imputar[[#This Row],[Categoría]]),0)
-Imputar[[#This Row],[Inventario]]
-Imputar[[#This Row],[Pedidos no Rec]]</f>
        <v>0</v>
      </c>
      <c r="K1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8">
        <f>_xlfn.IFNA(VLOOKUP(Imputar[[#This Row],[Categoría]],EIMI!C:T,8,0),0)</f>
        <v>0</v>
      </c>
      <c r="M188">
        <f>_xlfn.IFNA(VLOOKUP(Imputar[[#This Row],[Categoría]],EIMI!C:T,9,0),0)</f>
        <v>0</v>
      </c>
      <c r="N188">
        <f>_xlfn.IFNA(VLOOKUP(Imputar[[#This Row],[Categoría]],EIMI!C:T,10,0),0)</f>
        <v>0</v>
      </c>
    </row>
    <row r="189" spans="1:14" hidden="1" x14ac:dyDescent="0.25">
      <c r="A189" s="206" t="str">
        <f>Indice!$I$11</f>
        <v>EIMI00398</v>
      </c>
      <c r="B189" t="s">
        <v>751</v>
      </c>
      <c r="C189" s="39">
        <f>Indice!$I$12</f>
        <v>46053</v>
      </c>
      <c r="E189">
        <f>ROUND(SUMIFS(CATEGORIAS[[#All],[TOTAL PRODUCCION
ACTUAL]],CATEGORIAS[[#All],[CATEGORIA2]],Imputar[[#This Row],[Categoría]]),0)</f>
        <v>0</v>
      </c>
      <c r="F189">
        <v>0</v>
      </c>
      <c r="G189">
        <f>ROUND(SUMIFS(CATEGORIAS[[#All],[PROYECCION
DE INGRESO
DEL SALDO]],CATEGORIAS[[#All],[CATEGORIA2]],Imputar[[#This Row],[Categoría]]),0)</f>
        <v>0</v>
      </c>
      <c r="H189">
        <f>ROUND(SUMIFS(CATEGORIAS[[#All],[CAMBIO DE
CATEGORIA]],CATEGORIAS[[#All],[CATEGORIA2]],Imputar[[#This Row],[Categoría]]),0)</f>
        <v>0</v>
      </c>
      <c r="I1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89">
        <f>+ROUND(SUMIFS(CATEGORIAS[[#All],[PROYECCION
TOTAL DE COSTO]],CATEGORIAS[[#All],[CATEGORIA2]],Imputar[[#This Row],[Categoría]]),0)
-Imputar[[#This Row],[Inventario]]
-Imputar[[#This Row],[Pedidos no Rec]]</f>
        <v>0</v>
      </c>
      <c r="K1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89">
        <f>_xlfn.IFNA(VLOOKUP(Imputar[[#This Row],[Categoría]],EIMI!C:T,8,0),0)</f>
        <v>0</v>
      </c>
      <c r="M189">
        <f>_xlfn.IFNA(VLOOKUP(Imputar[[#This Row],[Categoría]],EIMI!C:T,9,0),0)</f>
        <v>0</v>
      </c>
      <c r="N189">
        <f>_xlfn.IFNA(VLOOKUP(Imputar[[#This Row],[Categoría]],EIMI!C:T,10,0),0)</f>
        <v>0</v>
      </c>
    </row>
    <row r="190" spans="1:14" hidden="1" x14ac:dyDescent="0.25">
      <c r="A190" s="206" t="str">
        <f>Indice!$I$11</f>
        <v>EIMI00398</v>
      </c>
      <c r="B190" t="s">
        <v>753</v>
      </c>
      <c r="C190" s="39">
        <f>Indice!$I$12</f>
        <v>46053</v>
      </c>
      <c r="E190">
        <f>ROUND(SUMIFS(CATEGORIAS[[#All],[TOTAL PRODUCCION
ACTUAL]],CATEGORIAS[[#All],[CATEGORIA2]],Imputar[[#This Row],[Categoría]]),0)</f>
        <v>0</v>
      </c>
      <c r="F190">
        <v>0</v>
      </c>
      <c r="G190">
        <f>ROUND(SUMIFS(CATEGORIAS[[#All],[PROYECCION
DE INGRESO
DEL SALDO]],CATEGORIAS[[#All],[CATEGORIA2]],Imputar[[#This Row],[Categoría]]),0)</f>
        <v>0</v>
      </c>
      <c r="H190">
        <f>ROUND(SUMIFS(CATEGORIAS[[#All],[CAMBIO DE
CATEGORIA]],CATEGORIAS[[#All],[CATEGORIA2]],Imputar[[#This Row],[Categoría]]),0)</f>
        <v>0</v>
      </c>
      <c r="I1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0">
        <f>+ROUND(SUMIFS(CATEGORIAS[[#All],[PROYECCION
TOTAL DE COSTO]],CATEGORIAS[[#All],[CATEGORIA2]],Imputar[[#This Row],[Categoría]]),0)
-Imputar[[#This Row],[Inventario]]
-Imputar[[#This Row],[Pedidos no Rec]]</f>
        <v>0</v>
      </c>
      <c r="K1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0">
        <f>_xlfn.IFNA(VLOOKUP(Imputar[[#This Row],[Categoría]],EIMI!C:T,8,0),0)</f>
        <v>0</v>
      </c>
      <c r="M190">
        <f>_xlfn.IFNA(VLOOKUP(Imputar[[#This Row],[Categoría]],EIMI!C:T,9,0),0)</f>
        <v>0</v>
      </c>
      <c r="N190">
        <f>_xlfn.IFNA(VLOOKUP(Imputar[[#This Row],[Categoría]],EIMI!C:T,10,0),0)</f>
        <v>0</v>
      </c>
    </row>
    <row r="191" spans="1:14" hidden="1" x14ac:dyDescent="0.25">
      <c r="A191" s="206" t="str">
        <f>Indice!$I$11</f>
        <v>EIMI00398</v>
      </c>
      <c r="B191" t="s">
        <v>755</v>
      </c>
      <c r="C191" s="39">
        <f>Indice!$I$12</f>
        <v>46053</v>
      </c>
      <c r="E191">
        <f>ROUND(SUMIFS(CATEGORIAS[[#All],[TOTAL PRODUCCION
ACTUAL]],CATEGORIAS[[#All],[CATEGORIA2]],Imputar[[#This Row],[Categoría]]),0)</f>
        <v>0</v>
      </c>
      <c r="F191">
        <v>0</v>
      </c>
      <c r="G191">
        <f>ROUND(SUMIFS(CATEGORIAS[[#All],[PROYECCION
DE INGRESO
DEL SALDO]],CATEGORIAS[[#All],[CATEGORIA2]],Imputar[[#This Row],[Categoría]]),0)</f>
        <v>0</v>
      </c>
      <c r="H191">
        <f>ROUND(SUMIFS(CATEGORIAS[[#All],[CAMBIO DE
CATEGORIA]],CATEGORIAS[[#All],[CATEGORIA2]],Imputar[[#This Row],[Categoría]]),0)</f>
        <v>0</v>
      </c>
      <c r="I1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1">
        <f>+ROUND(SUMIFS(CATEGORIAS[[#All],[PROYECCION
TOTAL DE COSTO]],CATEGORIAS[[#All],[CATEGORIA2]],Imputar[[#This Row],[Categoría]]),0)
-Imputar[[#This Row],[Inventario]]
-Imputar[[#This Row],[Pedidos no Rec]]</f>
        <v>0</v>
      </c>
      <c r="K1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1">
        <f>_xlfn.IFNA(VLOOKUP(Imputar[[#This Row],[Categoría]],EIMI!C:T,8,0),0)</f>
        <v>0</v>
      </c>
      <c r="M191">
        <f>_xlfn.IFNA(VLOOKUP(Imputar[[#This Row],[Categoría]],EIMI!C:T,9,0),0)</f>
        <v>0</v>
      </c>
      <c r="N191">
        <f>_xlfn.IFNA(VLOOKUP(Imputar[[#This Row],[Categoría]],EIMI!C:T,10,0),0)</f>
        <v>0</v>
      </c>
    </row>
    <row r="192" spans="1:14" hidden="1" x14ac:dyDescent="0.25">
      <c r="A192" s="206" t="str">
        <f>Indice!$I$11</f>
        <v>EIMI00398</v>
      </c>
      <c r="B192" t="s">
        <v>757</v>
      </c>
      <c r="C192" s="39">
        <f>Indice!$I$12</f>
        <v>46053</v>
      </c>
      <c r="E192">
        <f>ROUND(SUMIFS(CATEGORIAS[[#All],[TOTAL PRODUCCION
ACTUAL]],CATEGORIAS[[#All],[CATEGORIA2]],Imputar[[#This Row],[Categoría]]),0)</f>
        <v>0</v>
      </c>
      <c r="F192">
        <v>0</v>
      </c>
      <c r="G192">
        <f>ROUND(SUMIFS(CATEGORIAS[[#All],[PROYECCION
DE INGRESO
DEL SALDO]],CATEGORIAS[[#All],[CATEGORIA2]],Imputar[[#This Row],[Categoría]]),0)</f>
        <v>0</v>
      </c>
      <c r="H192">
        <f>ROUND(SUMIFS(CATEGORIAS[[#All],[CAMBIO DE
CATEGORIA]],CATEGORIAS[[#All],[CATEGORIA2]],Imputar[[#This Row],[Categoría]]),0)</f>
        <v>0</v>
      </c>
      <c r="I1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2">
        <f>+ROUND(SUMIFS(CATEGORIAS[[#All],[PROYECCION
TOTAL DE COSTO]],CATEGORIAS[[#All],[CATEGORIA2]],Imputar[[#This Row],[Categoría]]),0)
-Imputar[[#This Row],[Inventario]]
-Imputar[[#This Row],[Pedidos no Rec]]</f>
        <v>0</v>
      </c>
      <c r="K1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2">
        <f>_xlfn.IFNA(VLOOKUP(Imputar[[#This Row],[Categoría]],EIMI!C:T,8,0),0)</f>
        <v>0</v>
      </c>
      <c r="M192">
        <f>_xlfn.IFNA(VLOOKUP(Imputar[[#This Row],[Categoría]],EIMI!C:T,9,0),0)</f>
        <v>0</v>
      </c>
      <c r="N192">
        <f>_xlfn.IFNA(VLOOKUP(Imputar[[#This Row],[Categoría]],EIMI!C:T,10,0),0)</f>
        <v>0</v>
      </c>
    </row>
    <row r="193" spans="1:14" hidden="1" x14ac:dyDescent="0.25">
      <c r="A193" s="206" t="str">
        <f>Indice!$I$11</f>
        <v>EIMI00398</v>
      </c>
      <c r="B193" t="s">
        <v>759</v>
      </c>
      <c r="C193" s="39">
        <f>Indice!$I$12</f>
        <v>46053</v>
      </c>
      <c r="E193">
        <f>ROUND(SUMIFS(CATEGORIAS[[#All],[TOTAL PRODUCCION
ACTUAL]],CATEGORIAS[[#All],[CATEGORIA2]],Imputar[[#This Row],[Categoría]]),0)</f>
        <v>0</v>
      </c>
      <c r="F193">
        <v>0</v>
      </c>
      <c r="G193">
        <f>ROUND(SUMIFS(CATEGORIAS[[#All],[PROYECCION
DE INGRESO
DEL SALDO]],CATEGORIAS[[#All],[CATEGORIA2]],Imputar[[#This Row],[Categoría]]),0)</f>
        <v>0</v>
      </c>
      <c r="H193">
        <f>ROUND(SUMIFS(CATEGORIAS[[#All],[CAMBIO DE
CATEGORIA]],CATEGORIAS[[#All],[CATEGORIA2]],Imputar[[#This Row],[Categoría]]),0)</f>
        <v>0</v>
      </c>
      <c r="I1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3">
        <f>+ROUND(SUMIFS(CATEGORIAS[[#All],[PROYECCION
TOTAL DE COSTO]],CATEGORIAS[[#All],[CATEGORIA2]],Imputar[[#This Row],[Categoría]]),0)
-Imputar[[#This Row],[Inventario]]
-Imputar[[#This Row],[Pedidos no Rec]]</f>
        <v>0</v>
      </c>
      <c r="K1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3">
        <f>_xlfn.IFNA(VLOOKUP(Imputar[[#This Row],[Categoría]],EIMI!C:T,8,0),0)</f>
        <v>0</v>
      </c>
      <c r="M193">
        <f>_xlfn.IFNA(VLOOKUP(Imputar[[#This Row],[Categoría]],EIMI!C:T,9,0),0)</f>
        <v>0</v>
      </c>
      <c r="N193">
        <f>_xlfn.IFNA(VLOOKUP(Imputar[[#This Row],[Categoría]],EIMI!C:T,10,0),0)</f>
        <v>0</v>
      </c>
    </row>
    <row r="194" spans="1:14" hidden="1" x14ac:dyDescent="0.25">
      <c r="A194" s="206" t="str">
        <f>Indice!$I$11</f>
        <v>EIMI00398</v>
      </c>
      <c r="B194" t="s">
        <v>761</v>
      </c>
      <c r="C194" s="39">
        <f>Indice!$I$12</f>
        <v>46053</v>
      </c>
      <c r="E194">
        <f>ROUND(SUMIFS(CATEGORIAS[[#All],[TOTAL PRODUCCION
ACTUAL]],CATEGORIAS[[#All],[CATEGORIA2]],Imputar[[#This Row],[Categoría]]),0)</f>
        <v>0</v>
      </c>
      <c r="F194">
        <v>0</v>
      </c>
      <c r="G194">
        <f>ROUND(SUMIFS(CATEGORIAS[[#All],[PROYECCION
DE INGRESO
DEL SALDO]],CATEGORIAS[[#All],[CATEGORIA2]],Imputar[[#This Row],[Categoría]]),0)</f>
        <v>0</v>
      </c>
      <c r="H194">
        <f>ROUND(SUMIFS(CATEGORIAS[[#All],[CAMBIO DE
CATEGORIA]],CATEGORIAS[[#All],[CATEGORIA2]],Imputar[[#This Row],[Categoría]]),0)</f>
        <v>0</v>
      </c>
      <c r="I1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4">
        <f>+ROUND(SUMIFS(CATEGORIAS[[#All],[PROYECCION
TOTAL DE COSTO]],CATEGORIAS[[#All],[CATEGORIA2]],Imputar[[#This Row],[Categoría]]),0)
-Imputar[[#This Row],[Inventario]]
-Imputar[[#This Row],[Pedidos no Rec]]</f>
        <v>0</v>
      </c>
      <c r="K1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4">
        <f>_xlfn.IFNA(VLOOKUP(Imputar[[#This Row],[Categoría]],EIMI!C:T,8,0),0)</f>
        <v>0</v>
      </c>
      <c r="M194">
        <f>_xlfn.IFNA(VLOOKUP(Imputar[[#This Row],[Categoría]],EIMI!C:T,9,0),0)</f>
        <v>0</v>
      </c>
      <c r="N194">
        <f>_xlfn.IFNA(VLOOKUP(Imputar[[#This Row],[Categoría]],EIMI!C:T,10,0),0)</f>
        <v>0</v>
      </c>
    </row>
    <row r="195" spans="1:14" hidden="1" x14ac:dyDescent="0.25">
      <c r="A195" s="206" t="str">
        <f>Indice!$I$11</f>
        <v>EIMI00398</v>
      </c>
      <c r="B195" t="s">
        <v>763</v>
      </c>
      <c r="C195" s="39">
        <f>Indice!$I$12</f>
        <v>46053</v>
      </c>
      <c r="E195">
        <f>ROUND(SUMIFS(CATEGORIAS[[#All],[TOTAL PRODUCCION
ACTUAL]],CATEGORIAS[[#All],[CATEGORIA2]],Imputar[[#This Row],[Categoría]]),0)</f>
        <v>0</v>
      </c>
      <c r="F195">
        <v>0</v>
      </c>
      <c r="G195">
        <f>ROUND(SUMIFS(CATEGORIAS[[#All],[PROYECCION
DE INGRESO
DEL SALDO]],CATEGORIAS[[#All],[CATEGORIA2]],Imputar[[#This Row],[Categoría]]),0)</f>
        <v>0</v>
      </c>
      <c r="H195">
        <f>ROUND(SUMIFS(CATEGORIAS[[#All],[CAMBIO DE
CATEGORIA]],CATEGORIAS[[#All],[CATEGORIA2]],Imputar[[#This Row],[Categoría]]),0)</f>
        <v>0</v>
      </c>
      <c r="I1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5">
        <f>+ROUND(SUMIFS(CATEGORIAS[[#All],[PROYECCION
TOTAL DE COSTO]],CATEGORIAS[[#All],[CATEGORIA2]],Imputar[[#This Row],[Categoría]]),0)
-Imputar[[#This Row],[Inventario]]
-Imputar[[#This Row],[Pedidos no Rec]]</f>
        <v>0</v>
      </c>
      <c r="K1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5">
        <f>_xlfn.IFNA(VLOOKUP(Imputar[[#This Row],[Categoría]],EIMI!C:T,8,0),0)</f>
        <v>0</v>
      </c>
      <c r="M195">
        <f>_xlfn.IFNA(VLOOKUP(Imputar[[#This Row],[Categoría]],EIMI!C:T,9,0),0)</f>
        <v>0</v>
      </c>
      <c r="N195">
        <f>_xlfn.IFNA(VLOOKUP(Imputar[[#This Row],[Categoría]],EIMI!C:T,10,0),0)</f>
        <v>0</v>
      </c>
    </row>
    <row r="196" spans="1:14" x14ac:dyDescent="0.25">
      <c r="A196" s="206" t="str">
        <f>Indice!$I$11</f>
        <v>EIMI00398</v>
      </c>
      <c r="B196" t="s">
        <v>765</v>
      </c>
      <c r="C196" s="39">
        <f>Indice!$I$12</f>
        <v>46053</v>
      </c>
      <c r="E196">
        <f>ROUND(SUMIFS(CATEGORIAS[[#All],[TOTAL PRODUCCION
ACTUAL]],CATEGORIAS[[#All],[CATEGORIA2]],Imputar[[#This Row],[Categoría]]),0)</f>
        <v>0</v>
      </c>
      <c r="F196">
        <v>0</v>
      </c>
      <c r="G196">
        <f>ROUND(SUMIFS(CATEGORIAS[[#All],[PROYECCION
DE INGRESO
DEL SALDO]],CATEGORIAS[[#All],[CATEGORIA2]],Imputar[[#This Row],[Categoría]]),0)</f>
        <v>0</v>
      </c>
      <c r="H196">
        <f>ROUND(SUMIFS(CATEGORIAS[[#All],[CAMBIO DE
CATEGORIA]],CATEGORIAS[[#All],[CATEGORIA2]],Imputar[[#This Row],[Categoría]]),0)</f>
        <v>0</v>
      </c>
      <c r="I1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6">
        <f>+ROUND(SUMIFS(CATEGORIAS[[#All],[PROYECCION
TOTAL DE COSTO]],CATEGORIAS[[#All],[CATEGORIA2]],Imputar[[#This Row],[Categoría]]),0)
-Imputar[[#This Row],[Inventario]]
-Imputar[[#This Row],[Pedidos no Rec]]</f>
        <v>0</v>
      </c>
      <c r="K1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6">
        <f>_xlfn.IFNA(VLOOKUP(Imputar[[#This Row],[Categoría]],EIMI!C:T,8,0),0)</f>
        <v>0</v>
      </c>
      <c r="M196">
        <f>_xlfn.IFNA(VLOOKUP(Imputar[[#This Row],[Categoría]],EIMI!C:T,9,0),0)</f>
        <v>0</v>
      </c>
      <c r="N196">
        <f>_xlfn.IFNA(VLOOKUP(Imputar[[#This Row],[Categoría]],EIMI!C:T,10,0),0)</f>
        <v>0</v>
      </c>
    </row>
    <row r="197" spans="1:14" hidden="1" x14ac:dyDescent="0.25">
      <c r="A197" s="206" t="str">
        <f>Indice!$I$11</f>
        <v>EIMI00398</v>
      </c>
      <c r="B197" t="s">
        <v>767</v>
      </c>
      <c r="C197" s="39">
        <f>Indice!$I$12</f>
        <v>46053</v>
      </c>
      <c r="E197">
        <f>ROUND(SUMIFS(CATEGORIAS[[#All],[TOTAL PRODUCCION
ACTUAL]],CATEGORIAS[[#All],[CATEGORIA2]],Imputar[[#This Row],[Categoría]]),0)</f>
        <v>0</v>
      </c>
      <c r="F197">
        <v>0</v>
      </c>
      <c r="G197">
        <f>ROUND(SUMIFS(CATEGORIAS[[#All],[PROYECCION
DE INGRESO
DEL SALDO]],CATEGORIAS[[#All],[CATEGORIA2]],Imputar[[#This Row],[Categoría]]),0)</f>
        <v>0</v>
      </c>
      <c r="H197">
        <f>ROUND(SUMIFS(CATEGORIAS[[#All],[CAMBIO DE
CATEGORIA]],CATEGORIAS[[#All],[CATEGORIA2]],Imputar[[#This Row],[Categoría]]),0)</f>
        <v>0</v>
      </c>
      <c r="I1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7">
        <f>+ROUND(SUMIFS(CATEGORIAS[[#All],[PROYECCION
TOTAL DE COSTO]],CATEGORIAS[[#All],[CATEGORIA2]],Imputar[[#This Row],[Categoría]]),0)
-Imputar[[#This Row],[Inventario]]
-Imputar[[#This Row],[Pedidos no Rec]]</f>
        <v>0</v>
      </c>
      <c r="K1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7">
        <f>_xlfn.IFNA(VLOOKUP(Imputar[[#This Row],[Categoría]],EIMI!C:T,8,0),0)</f>
        <v>0</v>
      </c>
      <c r="M197">
        <f>_xlfn.IFNA(VLOOKUP(Imputar[[#This Row],[Categoría]],EIMI!C:T,9,0),0)</f>
        <v>0</v>
      </c>
      <c r="N197">
        <f>_xlfn.IFNA(VLOOKUP(Imputar[[#This Row],[Categoría]],EIMI!C:T,10,0),0)</f>
        <v>0</v>
      </c>
    </row>
    <row r="198" spans="1:14" x14ac:dyDescent="0.25">
      <c r="A198" s="206" t="str">
        <f>Indice!$I$11</f>
        <v>EIMI00398</v>
      </c>
      <c r="B198" t="s">
        <v>769</v>
      </c>
      <c r="C198" s="39">
        <f>Indice!$I$12</f>
        <v>46053</v>
      </c>
      <c r="E198">
        <f>ROUND(SUMIFS(CATEGORIAS[[#All],[TOTAL PRODUCCION
ACTUAL]],CATEGORIAS[[#All],[CATEGORIA2]],Imputar[[#This Row],[Categoría]]),0)</f>
        <v>0</v>
      </c>
      <c r="F198">
        <v>0</v>
      </c>
      <c r="G198">
        <f>ROUND(SUMIFS(CATEGORIAS[[#All],[PROYECCION
DE INGRESO
DEL SALDO]],CATEGORIAS[[#All],[CATEGORIA2]],Imputar[[#This Row],[Categoría]]),0)</f>
        <v>0</v>
      </c>
      <c r="H198">
        <f>ROUND(SUMIFS(CATEGORIAS[[#All],[CAMBIO DE
CATEGORIA]],CATEGORIAS[[#All],[CATEGORIA2]],Imputar[[#This Row],[Categoría]]),0)</f>
        <v>0</v>
      </c>
      <c r="I1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8">
        <f>+ROUND(SUMIFS(CATEGORIAS[[#All],[PROYECCION
TOTAL DE COSTO]],CATEGORIAS[[#All],[CATEGORIA2]],Imputar[[#This Row],[Categoría]]),0)
-Imputar[[#This Row],[Inventario]]
-Imputar[[#This Row],[Pedidos no Rec]]</f>
        <v>0</v>
      </c>
      <c r="K1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8">
        <f>_xlfn.IFNA(VLOOKUP(Imputar[[#This Row],[Categoría]],EIMI!C:T,8,0),0)</f>
        <v>0</v>
      </c>
      <c r="M198">
        <f>_xlfn.IFNA(VLOOKUP(Imputar[[#This Row],[Categoría]],EIMI!C:T,9,0),0)</f>
        <v>0</v>
      </c>
      <c r="N198">
        <f>_xlfn.IFNA(VLOOKUP(Imputar[[#This Row],[Categoría]],EIMI!C:T,10,0),0)</f>
        <v>0</v>
      </c>
    </row>
    <row r="199" spans="1:14" hidden="1" x14ac:dyDescent="0.25">
      <c r="A199" s="206" t="str">
        <f>Indice!$I$11</f>
        <v>EIMI00398</v>
      </c>
      <c r="B199" t="s">
        <v>771</v>
      </c>
      <c r="C199" s="39">
        <f>Indice!$I$12</f>
        <v>46053</v>
      </c>
      <c r="E199">
        <f>ROUND(SUMIFS(CATEGORIAS[[#All],[TOTAL PRODUCCION
ACTUAL]],CATEGORIAS[[#All],[CATEGORIA2]],Imputar[[#This Row],[Categoría]]),0)</f>
        <v>0</v>
      </c>
      <c r="F199">
        <v>0</v>
      </c>
      <c r="G199">
        <f>ROUND(SUMIFS(CATEGORIAS[[#All],[PROYECCION
DE INGRESO
DEL SALDO]],CATEGORIAS[[#All],[CATEGORIA2]],Imputar[[#This Row],[Categoría]]),0)</f>
        <v>0</v>
      </c>
      <c r="H199">
        <f>ROUND(SUMIFS(CATEGORIAS[[#All],[CAMBIO DE
CATEGORIA]],CATEGORIAS[[#All],[CATEGORIA2]],Imputar[[#This Row],[Categoría]]),0)</f>
        <v>0</v>
      </c>
      <c r="I1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199">
        <f>+ROUND(SUMIFS(CATEGORIAS[[#All],[PROYECCION
TOTAL DE COSTO]],CATEGORIAS[[#All],[CATEGORIA2]],Imputar[[#This Row],[Categoría]]),0)
-Imputar[[#This Row],[Inventario]]
-Imputar[[#This Row],[Pedidos no Rec]]</f>
        <v>0</v>
      </c>
      <c r="K1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199">
        <f>_xlfn.IFNA(VLOOKUP(Imputar[[#This Row],[Categoría]],EIMI!C:T,8,0),0)</f>
        <v>0</v>
      </c>
      <c r="M199">
        <f>_xlfn.IFNA(VLOOKUP(Imputar[[#This Row],[Categoría]],EIMI!C:T,9,0),0)</f>
        <v>0</v>
      </c>
      <c r="N199">
        <f>_xlfn.IFNA(VLOOKUP(Imputar[[#This Row],[Categoría]],EIMI!C:T,10,0),0)</f>
        <v>0</v>
      </c>
    </row>
    <row r="200" spans="1:14" hidden="1" x14ac:dyDescent="0.25">
      <c r="A200" s="206" t="str">
        <f>Indice!$I$11</f>
        <v>EIMI00398</v>
      </c>
      <c r="B200" t="s">
        <v>773</v>
      </c>
      <c r="C200" s="39">
        <f>Indice!$I$12</f>
        <v>46053</v>
      </c>
      <c r="E200">
        <f>ROUND(SUMIFS(CATEGORIAS[[#All],[TOTAL PRODUCCION
ACTUAL]],CATEGORIAS[[#All],[CATEGORIA2]],Imputar[[#This Row],[Categoría]]),0)</f>
        <v>0</v>
      </c>
      <c r="F200">
        <v>0</v>
      </c>
      <c r="G200">
        <f>ROUND(SUMIFS(CATEGORIAS[[#All],[PROYECCION
DE INGRESO
DEL SALDO]],CATEGORIAS[[#All],[CATEGORIA2]],Imputar[[#This Row],[Categoría]]),0)</f>
        <v>0</v>
      </c>
      <c r="H200">
        <f>ROUND(SUMIFS(CATEGORIAS[[#All],[CAMBIO DE
CATEGORIA]],CATEGORIAS[[#All],[CATEGORIA2]],Imputar[[#This Row],[Categoría]]),0)</f>
        <v>0</v>
      </c>
      <c r="I2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0">
        <f>+ROUND(SUMIFS(CATEGORIAS[[#All],[PROYECCION
TOTAL DE COSTO]],CATEGORIAS[[#All],[CATEGORIA2]],Imputar[[#This Row],[Categoría]]),0)
-Imputar[[#This Row],[Inventario]]
-Imputar[[#This Row],[Pedidos no Rec]]</f>
        <v>0</v>
      </c>
      <c r="K2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0">
        <f>_xlfn.IFNA(VLOOKUP(Imputar[[#This Row],[Categoría]],EIMI!C:T,8,0),0)</f>
        <v>0</v>
      </c>
      <c r="M200">
        <f>_xlfn.IFNA(VLOOKUP(Imputar[[#This Row],[Categoría]],EIMI!C:T,9,0),0)</f>
        <v>0</v>
      </c>
      <c r="N200">
        <f>_xlfn.IFNA(VLOOKUP(Imputar[[#This Row],[Categoría]],EIMI!C:T,10,0),0)</f>
        <v>0</v>
      </c>
    </row>
    <row r="201" spans="1:14" hidden="1" x14ac:dyDescent="0.25">
      <c r="A201" s="206" t="str">
        <f>Indice!$I$11</f>
        <v>EIMI00398</v>
      </c>
      <c r="B201" t="s">
        <v>775</v>
      </c>
      <c r="C201" s="39">
        <f>Indice!$I$12</f>
        <v>46053</v>
      </c>
      <c r="E201">
        <f>ROUND(SUMIFS(CATEGORIAS[[#All],[TOTAL PRODUCCION
ACTUAL]],CATEGORIAS[[#All],[CATEGORIA2]],Imputar[[#This Row],[Categoría]]),0)</f>
        <v>0</v>
      </c>
      <c r="F201">
        <v>0</v>
      </c>
      <c r="G201">
        <f>ROUND(SUMIFS(CATEGORIAS[[#All],[PROYECCION
DE INGRESO
DEL SALDO]],CATEGORIAS[[#All],[CATEGORIA2]],Imputar[[#This Row],[Categoría]]),0)</f>
        <v>0</v>
      </c>
      <c r="H201">
        <f>ROUND(SUMIFS(CATEGORIAS[[#All],[CAMBIO DE
CATEGORIA]],CATEGORIAS[[#All],[CATEGORIA2]],Imputar[[#This Row],[Categoría]]),0)</f>
        <v>0</v>
      </c>
      <c r="I2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1">
        <f>+ROUND(SUMIFS(CATEGORIAS[[#All],[PROYECCION
TOTAL DE COSTO]],CATEGORIAS[[#All],[CATEGORIA2]],Imputar[[#This Row],[Categoría]]),0)
-Imputar[[#This Row],[Inventario]]
-Imputar[[#This Row],[Pedidos no Rec]]</f>
        <v>0</v>
      </c>
      <c r="K2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1">
        <f>_xlfn.IFNA(VLOOKUP(Imputar[[#This Row],[Categoría]],EIMI!C:T,8,0),0)</f>
        <v>0</v>
      </c>
      <c r="M201">
        <f>_xlfn.IFNA(VLOOKUP(Imputar[[#This Row],[Categoría]],EIMI!C:T,9,0),0)</f>
        <v>0</v>
      </c>
      <c r="N201">
        <f>_xlfn.IFNA(VLOOKUP(Imputar[[#This Row],[Categoría]],EIMI!C:T,10,0),0)</f>
        <v>0</v>
      </c>
    </row>
    <row r="202" spans="1:14" hidden="1" x14ac:dyDescent="0.25">
      <c r="A202" s="206" t="str">
        <f>Indice!$I$11</f>
        <v>EIMI00398</v>
      </c>
      <c r="B202" t="s">
        <v>777</v>
      </c>
      <c r="C202" s="39">
        <f>Indice!$I$12</f>
        <v>46053</v>
      </c>
      <c r="E202">
        <f>ROUND(SUMIFS(CATEGORIAS[[#All],[TOTAL PRODUCCION
ACTUAL]],CATEGORIAS[[#All],[CATEGORIA2]],Imputar[[#This Row],[Categoría]]),0)</f>
        <v>0</v>
      </c>
      <c r="F202">
        <v>0</v>
      </c>
      <c r="G202">
        <f>ROUND(SUMIFS(CATEGORIAS[[#All],[PROYECCION
DE INGRESO
DEL SALDO]],CATEGORIAS[[#All],[CATEGORIA2]],Imputar[[#This Row],[Categoría]]),0)</f>
        <v>0</v>
      </c>
      <c r="H202">
        <f>ROUND(SUMIFS(CATEGORIAS[[#All],[CAMBIO DE
CATEGORIA]],CATEGORIAS[[#All],[CATEGORIA2]],Imputar[[#This Row],[Categoría]]),0)</f>
        <v>0</v>
      </c>
      <c r="I2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2">
        <f>+ROUND(SUMIFS(CATEGORIAS[[#All],[PROYECCION
TOTAL DE COSTO]],CATEGORIAS[[#All],[CATEGORIA2]],Imputar[[#This Row],[Categoría]]),0)
-Imputar[[#This Row],[Inventario]]
-Imputar[[#This Row],[Pedidos no Rec]]</f>
        <v>0</v>
      </c>
      <c r="K2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2">
        <f>_xlfn.IFNA(VLOOKUP(Imputar[[#This Row],[Categoría]],EIMI!C:T,8,0),0)</f>
        <v>0</v>
      </c>
      <c r="M202">
        <f>_xlfn.IFNA(VLOOKUP(Imputar[[#This Row],[Categoría]],EIMI!C:T,9,0),0)</f>
        <v>0</v>
      </c>
      <c r="N202">
        <f>_xlfn.IFNA(VLOOKUP(Imputar[[#This Row],[Categoría]],EIMI!C:T,10,0),0)</f>
        <v>0</v>
      </c>
    </row>
    <row r="203" spans="1:14" hidden="1" x14ac:dyDescent="0.25">
      <c r="A203" s="206" t="str">
        <f>Indice!$I$11</f>
        <v>EIMI00398</v>
      </c>
      <c r="B203" t="s">
        <v>779</v>
      </c>
      <c r="C203" s="39">
        <f>Indice!$I$12</f>
        <v>46053</v>
      </c>
      <c r="E203">
        <f>ROUND(SUMIFS(CATEGORIAS[[#All],[TOTAL PRODUCCION
ACTUAL]],CATEGORIAS[[#All],[CATEGORIA2]],Imputar[[#This Row],[Categoría]]),0)</f>
        <v>0</v>
      </c>
      <c r="F203">
        <v>0</v>
      </c>
      <c r="G203">
        <f>ROUND(SUMIFS(CATEGORIAS[[#All],[PROYECCION
DE INGRESO
DEL SALDO]],CATEGORIAS[[#All],[CATEGORIA2]],Imputar[[#This Row],[Categoría]]),0)</f>
        <v>0</v>
      </c>
      <c r="H203">
        <f>ROUND(SUMIFS(CATEGORIAS[[#All],[CAMBIO DE
CATEGORIA]],CATEGORIAS[[#All],[CATEGORIA2]],Imputar[[#This Row],[Categoría]]),0)</f>
        <v>0</v>
      </c>
      <c r="I2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3">
        <f>+ROUND(SUMIFS(CATEGORIAS[[#All],[PROYECCION
TOTAL DE COSTO]],CATEGORIAS[[#All],[CATEGORIA2]],Imputar[[#This Row],[Categoría]]),0)
-Imputar[[#This Row],[Inventario]]
-Imputar[[#This Row],[Pedidos no Rec]]</f>
        <v>0</v>
      </c>
      <c r="K2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3">
        <f>_xlfn.IFNA(VLOOKUP(Imputar[[#This Row],[Categoría]],EIMI!C:T,8,0),0)</f>
        <v>0</v>
      </c>
      <c r="M203">
        <f>_xlfn.IFNA(VLOOKUP(Imputar[[#This Row],[Categoría]],EIMI!C:T,9,0),0)</f>
        <v>0</v>
      </c>
      <c r="N203">
        <f>_xlfn.IFNA(VLOOKUP(Imputar[[#This Row],[Categoría]],EIMI!C:T,10,0),0)</f>
        <v>0</v>
      </c>
    </row>
    <row r="204" spans="1:14" x14ac:dyDescent="0.25">
      <c r="A204" s="206" t="str">
        <f>Indice!$I$11</f>
        <v>EIMI00398</v>
      </c>
      <c r="B204" t="s">
        <v>781</v>
      </c>
      <c r="C204" s="39">
        <f>Indice!$I$12</f>
        <v>46053</v>
      </c>
      <c r="E204">
        <f>ROUND(SUMIFS(CATEGORIAS[[#All],[TOTAL PRODUCCION
ACTUAL]],CATEGORIAS[[#All],[CATEGORIA2]],Imputar[[#This Row],[Categoría]]),0)</f>
        <v>0</v>
      </c>
      <c r="F204">
        <v>0</v>
      </c>
      <c r="G204">
        <f>ROUND(SUMIFS(CATEGORIAS[[#All],[PROYECCION
DE INGRESO
DEL SALDO]],CATEGORIAS[[#All],[CATEGORIA2]],Imputar[[#This Row],[Categoría]]),0)</f>
        <v>0</v>
      </c>
      <c r="H204">
        <f>ROUND(SUMIFS(CATEGORIAS[[#All],[CAMBIO DE
CATEGORIA]],CATEGORIAS[[#All],[CATEGORIA2]],Imputar[[#This Row],[Categoría]]),0)</f>
        <v>0</v>
      </c>
      <c r="I2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4">
        <f>+ROUND(SUMIFS(CATEGORIAS[[#All],[PROYECCION
TOTAL DE COSTO]],CATEGORIAS[[#All],[CATEGORIA2]],Imputar[[#This Row],[Categoría]]),0)
-Imputar[[#This Row],[Inventario]]
-Imputar[[#This Row],[Pedidos no Rec]]</f>
        <v>0</v>
      </c>
      <c r="K2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4">
        <f>_xlfn.IFNA(VLOOKUP(Imputar[[#This Row],[Categoría]],EIMI!C:T,8,0),0)</f>
        <v>0</v>
      </c>
      <c r="M204">
        <f>_xlfn.IFNA(VLOOKUP(Imputar[[#This Row],[Categoría]],EIMI!C:T,9,0),0)</f>
        <v>0</v>
      </c>
      <c r="N204">
        <f>_xlfn.IFNA(VLOOKUP(Imputar[[#This Row],[Categoría]],EIMI!C:T,10,0),0)</f>
        <v>0</v>
      </c>
    </row>
    <row r="205" spans="1:14" hidden="1" x14ac:dyDescent="0.25">
      <c r="A205" s="206" t="str">
        <f>Indice!$I$11</f>
        <v>EIMI00398</v>
      </c>
      <c r="B205" t="s">
        <v>783</v>
      </c>
      <c r="C205" s="39">
        <f>Indice!$I$12</f>
        <v>46053</v>
      </c>
      <c r="E205">
        <f>ROUND(SUMIFS(CATEGORIAS[[#All],[TOTAL PRODUCCION
ACTUAL]],CATEGORIAS[[#All],[CATEGORIA2]],Imputar[[#This Row],[Categoría]]),0)</f>
        <v>0</v>
      </c>
      <c r="F205">
        <v>0</v>
      </c>
      <c r="G205">
        <f>ROUND(SUMIFS(CATEGORIAS[[#All],[PROYECCION
DE INGRESO
DEL SALDO]],CATEGORIAS[[#All],[CATEGORIA2]],Imputar[[#This Row],[Categoría]]),0)</f>
        <v>0</v>
      </c>
      <c r="H205">
        <f>ROUND(SUMIFS(CATEGORIAS[[#All],[CAMBIO DE
CATEGORIA]],CATEGORIAS[[#All],[CATEGORIA2]],Imputar[[#This Row],[Categoría]]),0)</f>
        <v>0</v>
      </c>
      <c r="I2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5">
        <f>+ROUND(SUMIFS(CATEGORIAS[[#All],[PROYECCION
TOTAL DE COSTO]],CATEGORIAS[[#All],[CATEGORIA2]],Imputar[[#This Row],[Categoría]]),0)
-Imputar[[#This Row],[Inventario]]
-Imputar[[#This Row],[Pedidos no Rec]]</f>
        <v>0</v>
      </c>
      <c r="K2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5">
        <f>_xlfn.IFNA(VLOOKUP(Imputar[[#This Row],[Categoría]],EIMI!C:T,8,0),0)</f>
        <v>0</v>
      </c>
      <c r="M205">
        <f>_xlfn.IFNA(VLOOKUP(Imputar[[#This Row],[Categoría]],EIMI!C:T,9,0),0)</f>
        <v>0</v>
      </c>
      <c r="N205">
        <f>_xlfn.IFNA(VLOOKUP(Imputar[[#This Row],[Categoría]],EIMI!C:T,10,0),0)</f>
        <v>0</v>
      </c>
    </row>
    <row r="206" spans="1:14" x14ac:dyDescent="0.25">
      <c r="A206" s="206" t="str">
        <f>Indice!$I$11</f>
        <v>EIMI00398</v>
      </c>
      <c r="B206" t="s">
        <v>785</v>
      </c>
      <c r="C206" s="39">
        <f>Indice!$I$12</f>
        <v>46053</v>
      </c>
      <c r="E206">
        <f>ROUND(SUMIFS(CATEGORIAS[[#All],[TOTAL PRODUCCION
ACTUAL]],CATEGORIAS[[#All],[CATEGORIA2]],Imputar[[#This Row],[Categoría]]),0)</f>
        <v>0</v>
      </c>
      <c r="F206">
        <v>0</v>
      </c>
      <c r="G206">
        <f>ROUND(SUMIFS(CATEGORIAS[[#All],[PROYECCION
DE INGRESO
DEL SALDO]],CATEGORIAS[[#All],[CATEGORIA2]],Imputar[[#This Row],[Categoría]]),0)</f>
        <v>0</v>
      </c>
      <c r="H206">
        <f>ROUND(SUMIFS(CATEGORIAS[[#All],[CAMBIO DE
CATEGORIA]],CATEGORIAS[[#All],[CATEGORIA2]],Imputar[[#This Row],[Categoría]]),0)</f>
        <v>0</v>
      </c>
      <c r="I2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6">
        <f>+ROUND(SUMIFS(CATEGORIAS[[#All],[PROYECCION
TOTAL DE COSTO]],CATEGORIAS[[#All],[CATEGORIA2]],Imputar[[#This Row],[Categoría]]),0)
-Imputar[[#This Row],[Inventario]]
-Imputar[[#This Row],[Pedidos no Rec]]</f>
        <v>0</v>
      </c>
      <c r="K2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6">
        <f>_xlfn.IFNA(VLOOKUP(Imputar[[#This Row],[Categoría]],EIMI!C:T,8,0),0)</f>
        <v>0</v>
      </c>
      <c r="M206">
        <f>_xlfn.IFNA(VLOOKUP(Imputar[[#This Row],[Categoría]],EIMI!C:T,9,0),0)</f>
        <v>0</v>
      </c>
      <c r="N206">
        <f>_xlfn.IFNA(VLOOKUP(Imputar[[#This Row],[Categoría]],EIMI!C:T,10,0),0)</f>
        <v>0</v>
      </c>
    </row>
    <row r="207" spans="1:14" hidden="1" x14ac:dyDescent="0.25">
      <c r="A207" s="206" t="str">
        <f>Indice!$I$11</f>
        <v>EIMI00398</v>
      </c>
      <c r="B207" t="s">
        <v>787</v>
      </c>
      <c r="C207" s="39">
        <f>Indice!$I$12</f>
        <v>46053</v>
      </c>
      <c r="E207">
        <f>ROUND(SUMIFS(CATEGORIAS[[#All],[TOTAL PRODUCCION
ACTUAL]],CATEGORIAS[[#All],[CATEGORIA2]],Imputar[[#This Row],[Categoría]]),0)</f>
        <v>0</v>
      </c>
      <c r="F207">
        <v>0</v>
      </c>
      <c r="G207">
        <f>ROUND(SUMIFS(CATEGORIAS[[#All],[PROYECCION
DE INGRESO
DEL SALDO]],CATEGORIAS[[#All],[CATEGORIA2]],Imputar[[#This Row],[Categoría]]),0)</f>
        <v>0</v>
      </c>
      <c r="H207">
        <f>ROUND(SUMIFS(CATEGORIAS[[#All],[CAMBIO DE
CATEGORIA]],CATEGORIAS[[#All],[CATEGORIA2]],Imputar[[#This Row],[Categoría]]),0)</f>
        <v>0</v>
      </c>
      <c r="I2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7">
        <f>+ROUND(SUMIFS(CATEGORIAS[[#All],[PROYECCION
TOTAL DE COSTO]],CATEGORIAS[[#All],[CATEGORIA2]],Imputar[[#This Row],[Categoría]]),0)
-Imputar[[#This Row],[Inventario]]
-Imputar[[#This Row],[Pedidos no Rec]]</f>
        <v>0</v>
      </c>
      <c r="K2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7">
        <f>_xlfn.IFNA(VLOOKUP(Imputar[[#This Row],[Categoría]],EIMI!C:T,8,0),0)</f>
        <v>0</v>
      </c>
      <c r="M207">
        <f>_xlfn.IFNA(VLOOKUP(Imputar[[#This Row],[Categoría]],EIMI!C:T,9,0),0)</f>
        <v>0</v>
      </c>
      <c r="N207">
        <f>_xlfn.IFNA(VLOOKUP(Imputar[[#This Row],[Categoría]],EIMI!C:T,10,0),0)</f>
        <v>0</v>
      </c>
    </row>
    <row r="208" spans="1:14" hidden="1" x14ac:dyDescent="0.25">
      <c r="A208" s="206" t="str">
        <f>Indice!$I$11</f>
        <v>EIMI00398</v>
      </c>
      <c r="B208" t="s">
        <v>789</v>
      </c>
      <c r="C208" s="39">
        <f>Indice!$I$12</f>
        <v>46053</v>
      </c>
      <c r="E208">
        <f>ROUND(SUMIFS(CATEGORIAS[[#All],[TOTAL PRODUCCION
ACTUAL]],CATEGORIAS[[#All],[CATEGORIA2]],Imputar[[#This Row],[Categoría]]),0)</f>
        <v>0</v>
      </c>
      <c r="F208">
        <v>0</v>
      </c>
      <c r="G208">
        <f>ROUND(SUMIFS(CATEGORIAS[[#All],[PROYECCION
DE INGRESO
DEL SALDO]],CATEGORIAS[[#All],[CATEGORIA2]],Imputar[[#This Row],[Categoría]]),0)</f>
        <v>0</v>
      </c>
      <c r="H208">
        <f>ROUND(SUMIFS(CATEGORIAS[[#All],[CAMBIO DE
CATEGORIA]],CATEGORIAS[[#All],[CATEGORIA2]],Imputar[[#This Row],[Categoría]]),0)</f>
        <v>0</v>
      </c>
      <c r="I2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8">
        <f>+ROUND(SUMIFS(CATEGORIAS[[#All],[PROYECCION
TOTAL DE COSTO]],CATEGORIAS[[#All],[CATEGORIA2]],Imputar[[#This Row],[Categoría]]),0)
-Imputar[[#This Row],[Inventario]]
-Imputar[[#This Row],[Pedidos no Rec]]</f>
        <v>0</v>
      </c>
      <c r="K2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8">
        <f>_xlfn.IFNA(VLOOKUP(Imputar[[#This Row],[Categoría]],EIMI!C:T,8,0),0)</f>
        <v>0</v>
      </c>
      <c r="M208">
        <f>_xlfn.IFNA(VLOOKUP(Imputar[[#This Row],[Categoría]],EIMI!C:T,9,0),0)</f>
        <v>0</v>
      </c>
      <c r="N208">
        <f>_xlfn.IFNA(VLOOKUP(Imputar[[#This Row],[Categoría]],EIMI!C:T,10,0),0)</f>
        <v>0</v>
      </c>
    </row>
    <row r="209" spans="1:14" hidden="1" x14ac:dyDescent="0.25">
      <c r="A209" s="206" t="str">
        <f>Indice!$I$11</f>
        <v>EIMI00398</v>
      </c>
      <c r="B209" t="s">
        <v>791</v>
      </c>
      <c r="C209" s="39">
        <f>Indice!$I$12</f>
        <v>46053</v>
      </c>
      <c r="E209">
        <f>ROUND(SUMIFS(CATEGORIAS[[#All],[TOTAL PRODUCCION
ACTUAL]],CATEGORIAS[[#All],[CATEGORIA2]],Imputar[[#This Row],[Categoría]]),0)</f>
        <v>0</v>
      </c>
      <c r="F209">
        <v>0</v>
      </c>
      <c r="G209">
        <f>ROUND(SUMIFS(CATEGORIAS[[#All],[PROYECCION
DE INGRESO
DEL SALDO]],CATEGORIAS[[#All],[CATEGORIA2]],Imputar[[#This Row],[Categoría]]),0)</f>
        <v>0</v>
      </c>
      <c r="H209">
        <f>ROUND(SUMIFS(CATEGORIAS[[#All],[CAMBIO DE
CATEGORIA]],CATEGORIAS[[#All],[CATEGORIA2]],Imputar[[#This Row],[Categoría]]),0)</f>
        <v>0</v>
      </c>
      <c r="I2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09">
        <f>+ROUND(SUMIFS(CATEGORIAS[[#All],[PROYECCION
TOTAL DE COSTO]],CATEGORIAS[[#All],[CATEGORIA2]],Imputar[[#This Row],[Categoría]]),0)
-Imputar[[#This Row],[Inventario]]
-Imputar[[#This Row],[Pedidos no Rec]]</f>
        <v>0</v>
      </c>
      <c r="K2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09">
        <f>_xlfn.IFNA(VLOOKUP(Imputar[[#This Row],[Categoría]],EIMI!C:T,8,0),0)</f>
        <v>0</v>
      </c>
      <c r="M209">
        <f>_xlfn.IFNA(VLOOKUP(Imputar[[#This Row],[Categoría]],EIMI!C:T,9,0),0)</f>
        <v>0</v>
      </c>
      <c r="N209">
        <f>_xlfn.IFNA(VLOOKUP(Imputar[[#This Row],[Categoría]],EIMI!C:T,10,0),0)</f>
        <v>0</v>
      </c>
    </row>
    <row r="210" spans="1:14" hidden="1" x14ac:dyDescent="0.25">
      <c r="A210" s="206" t="str">
        <f>Indice!$I$11</f>
        <v>EIMI00398</v>
      </c>
      <c r="B210" t="s">
        <v>793</v>
      </c>
      <c r="C210" s="39">
        <f>Indice!$I$12</f>
        <v>46053</v>
      </c>
      <c r="E210">
        <f>ROUND(SUMIFS(CATEGORIAS[[#All],[TOTAL PRODUCCION
ACTUAL]],CATEGORIAS[[#All],[CATEGORIA2]],Imputar[[#This Row],[Categoría]]),0)</f>
        <v>0</v>
      </c>
      <c r="F210">
        <v>0</v>
      </c>
      <c r="G210">
        <f>ROUND(SUMIFS(CATEGORIAS[[#All],[PROYECCION
DE INGRESO
DEL SALDO]],CATEGORIAS[[#All],[CATEGORIA2]],Imputar[[#This Row],[Categoría]]),0)</f>
        <v>0</v>
      </c>
      <c r="H210">
        <f>ROUND(SUMIFS(CATEGORIAS[[#All],[CAMBIO DE
CATEGORIA]],CATEGORIAS[[#All],[CATEGORIA2]],Imputar[[#This Row],[Categoría]]),0)</f>
        <v>0</v>
      </c>
      <c r="I2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0">
        <f>+ROUND(SUMIFS(CATEGORIAS[[#All],[PROYECCION
TOTAL DE COSTO]],CATEGORIAS[[#All],[CATEGORIA2]],Imputar[[#This Row],[Categoría]]),0)
-Imputar[[#This Row],[Inventario]]
-Imputar[[#This Row],[Pedidos no Rec]]</f>
        <v>0</v>
      </c>
      <c r="K2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0">
        <f>_xlfn.IFNA(VLOOKUP(Imputar[[#This Row],[Categoría]],EIMI!C:T,8,0),0)</f>
        <v>0</v>
      </c>
      <c r="M210">
        <f>_xlfn.IFNA(VLOOKUP(Imputar[[#This Row],[Categoría]],EIMI!C:T,9,0),0)</f>
        <v>0</v>
      </c>
      <c r="N210">
        <f>_xlfn.IFNA(VLOOKUP(Imputar[[#This Row],[Categoría]],EIMI!C:T,10,0),0)</f>
        <v>0</v>
      </c>
    </row>
    <row r="211" spans="1:14" hidden="1" x14ac:dyDescent="0.25">
      <c r="A211" s="206" t="str">
        <f>Indice!$I$11</f>
        <v>EIMI00398</v>
      </c>
      <c r="B211" t="s">
        <v>795</v>
      </c>
      <c r="C211" s="39">
        <f>Indice!$I$12</f>
        <v>46053</v>
      </c>
      <c r="E211">
        <f>ROUND(SUMIFS(CATEGORIAS[[#All],[TOTAL PRODUCCION
ACTUAL]],CATEGORIAS[[#All],[CATEGORIA2]],Imputar[[#This Row],[Categoría]]),0)</f>
        <v>0</v>
      </c>
      <c r="F211">
        <v>0</v>
      </c>
      <c r="G211">
        <f>ROUND(SUMIFS(CATEGORIAS[[#All],[PROYECCION
DE INGRESO
DEL SALDO]],CATEGORIAS[[#All],[CATEGORIA2]],Imputar[[#This Row],[Categoría]]),0)</f>
        <v>0</v>
      </c>
      <c r="H211">
        <f>ROUND(SUMIFS(CATEGORIAS[[#All],[CAMBIO DE
CATEGORIA]],CATEGORIAS[[#All],[CATEGORIA2]],Imputar[[#This Row],[Categoría]]),0)</f>
        <v>0</v>
      </c>
      <c r="I2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1">
        <f>+ROUND(SUMIFS(CATEGORIAS[[#All],[PROYECCION
TOTAL DE COSTO]],CATEGORIAS[[#All],[CATEGORIA2]],Imputar[[#This Row],[Categoría]]),0)
-Imputar[[#This Row],[Inventario]]
-Imputar[[#This Row],[Pedidos no Rec]]</f>
        <v>0</v>
      </c>
      <c r="K2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1">
        <f>_xlfn.IFNA(VLOOKUP(Imputar[[#This Row],[Categoría]],EIMI!C:T,8,0),0)</f>
        <v>0</v>
      </c>
      <c r="M211">
        <f>_xlfn.IFNA(VLOOKUP(Imputar[[#This Row],[Categoría]],EIMI!C:T,9,0),0)</f>
        <v>0</v>
      </c>
      <c r="N211">
        <f>_xlfn.IFNA(VLOOKUP(Imputar[[#This Row],[Categoría]],EIMI!C:T,10,0),0)</f>
        <v>0</v>
      </c>
    </row>
    <row r="212" spans="1:14" hidden="1" x14ac:dyDescent="0.25">
      <c r="A212" s="206" t="str">
        <f>Indice!$I$11</f>
        <v>EIMI00398</v>
      </c>
      <c r="B212" t="s">
        <v>797</v>
      </c>
      <c r="C212" s="39">
        <f>Indice!$I$12</f>
        <v>46053</v>
      </c>
      <c r="E212">
        <f>ROUND(SUMIFS(CATEGORIAS[[#All],[TOTAL PRODUCCION
ACTUAL]],CATEGORIAS[[#All],[CATEGORIA2]],Imputar[[#This Row],[Categoría]]),0)</f>
        <v>0</v>
      </c>
      <c r="F212">
        <v>0</v>
      </c>
      <c r="G212">
        <f>ROUND(SUMIFS(CATEGORIAS[[#All],[PROYECCION
DE INGRESO
DEL SALDO]],CATEGORIAS[[#All],[CATEGORIA2]],Imputar[[#This Row],[Categoría]]),0)</f>
        <v>0</v>
      </c>
      <c r="H212">
        <f>ROUND(SUMIFS(CATEGORIAS[[#All],[CAMBIO DE
CATEGORIA]],CATEGORIAS[[#All],[CATEGORIA2]],Imputar[[#This Row],[Categoría]]),0)</f>
        <v>0</v>
      </c>
      <c r="I2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2">
        <f>+ROUND(SUMIFS(CATEGORIAS[[#All],[PROYECCION
TOTAL DE COSTO]],CATEGORIAS[[#All],[CATEGORIA2]],Imputar[[#This Row],[Categoría]]),0)
-Imputar[[#This Row],[Inventario]]
-Imputar[[#This Row],[Pedidos no Rec]]</f>
        <v>0</v>
      </c>
      <c r="K2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2">
        <f>_xlfn.IFNA(VLOOKUP(Imputar[[#This Row],[Categoría]],EIMI!C:T,8,0),0)</f>
        <v>0</v>
      </c>
      <c r="M212">
        <f>_xlfn.IFNA(VLOOKUP(Imputar[[#This Row],[Categoría]],EIMI!C:T,9,0),0)</f>
        <v>0</v>
      </c>
      <c r="N212">
        <f>_xlfn.IFNA(VLOOKUP(Imputar[[#This Row],[Categoría]],EIMI!C:T,10,0),0)</f>
        <v>0</v>
      </c>
    </row>
    <row r="213" spans="1:14" hidden="1" x14ac:dyDescent="0.25">
      <c r="A213" s="206" t="str">
        <f>Indice!$I$11</f>
        <v>EIMI00398</v>
      </c>
      <c r="B213" t="s">
        <v>799</v>
      </c>
      <c r="C213" s="39">
        <f>Indice!$I$12</f>
        <v>46053</v>
      </c>
      <c r="E213">
        <f>ROUND(SUMIFS(CATEGORIAS[[#All],[TOTAL PRODUCCION
ACTUAL]],CATEGORIAS[[#All],[CATEGORIA2]],Imputar[[#This Row],[Categoría]]),0)</f>
        <v>0</v>
      </c>
      <c r="F213">
        <v>0</v>
      </c>
      <c r="G213">
        <f>ROUND(SUMIFS(CATEGORIAS[[#All],[PROYECCION
DE INGRESO
DEL SALDO]],CATEGORIAS[[#All],[CATEGORIA2]],Imputar[[#This Row],[Categoría]]),0)</f>
        <v>0</v>
      </c>
      <c r="H213">
        <f>ROUND(SUMIFS(CATEGORIAS[[#All],[CAMBIO DE
CATEGORIA]],CATEGORIAS[[#All],[CATEGORIA2]],Imputar[[#This Row],[Categoría]]),0)</f>
        <v>0</v>
      </c>
      <c r="I2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3">
        <f>+ROUND(SUMIFS(CATEGORIAS[[#All],[PROYECCION
TOTAL DE COSTO]],CATEGORIAS[[#All],[CATEGORIA2]],Imputar[[#This Row],[Categoría]]),0)
-Imputar[[#This Row],[Inventario]]
-Imputar[[#This Row],[Pedidos no Rec]]</f>
        <v>0</v>
      </c>
      <c r="K2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3">
        <f>_xlfn.IFNA(VLOOKUP(Imputar[[#This Row],[Categoría]],EIMI!C:T,8,0),0)</f>
        <v>0</v>
      </c>
      <c r="M213">
        <f>_xlfn.IFNA(VLOOKUP(Imputar[[#This Row],[Categoría]],EIMI!C:T,9,0),0)</f>
        <v>0</v>
      </c>
      <c r="N213">
        <f>_xlfn.IFNA(VLOOKUP(Imputar[[#This Row],[Categoría]],EIMI!C:T,10,0),0)</f>
        <v>0</v>
      </c>
    </row>
    <row r="214" spans="1:14" hidden="1" x14ac:dyDescent="0.25">
      <c r="A214" s="206" t="str">
        <f>Indice!$I$11</f>
        <v>EIMI00398</v>
      </c>
      <c r="B214" t="s">
        <v>801</v>
      </c>
      <c r="C214" s="39">
        <f>Indice!$I$12</f>
        <v>46053</v>
      </c>
      <c r="E214">
        <f>ROUND(SUMIFS(CATEGORIAS[[#All],[TOTAL PRODUCCION
ACTUAL]],CATEGORIAS[[#All],[CATEGORIA2]],Imputar[[#This Row],[Categoría]]),0)</f>
        <v>0</v>
      </c>
      <c r="F214">
        <v>0</v>
      </c>
      <c r="G214">
        <f>ROUND(SUMIFS(CATEGORIAS[[#All],[PROYECCION
DE INGRESO
DEL SALDO]],CATEGORIAS[[#All],[CATEGORIA2]],Imputar[[#This Row],[Categoría]]),0)</f>
        <v>0</v>
      </c>
      <c r="H214">
        <f>ROUND(SUMIFS(CATEGORIAS[[#All],[CAMBIO DE
CATEGORIA]],CATEGORIAS[[#All],[CATEGORIA2]],Imputar[[#This Row],[Categoría]]),0)</f>
        <v>0</v>
      </c>
      <c r="I2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4">
        <f>+ROUND(SUMIFS(CATEGORIAS[[#All],[PROYECCION
TOTAL DE COSTO]],CATEGORIAS[[#All],[CATEGORIA2]],Imputar[[#This Row],[Categoría]]),0)
-Imputar[[#This Row],[Inventario]]
-Imputar[[#This Row],[Pedidos no Rec]]</f>
        <v>0</v>
      </c>
      <c r="K2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4">
        <f>_xlfn.IFNA(VLOOKUP(Imputar[[#This Row],[Categoría]],EIMI!C:T,8,0),0)</f>
        <v>0</v>
      </c>
      <c r="M214">
        <f>_xlfn.IFNA(VLOOKUP(Imputar[[#This Row],[Categoría]],EIMI!C:T,9,0),0)</f>
        <v>0</v>
      </c>
      <c r="N214">
        <f>_xlfn.IFNA(VLOOKUP(Imputar[[#This Row],[Categoría]],EIMI!C:T,10,0),0)</f>
        <v>0</v>
      </c>
    </row>
    <row r="215" spans="1:14" hidden="1" x14ac:dyDescent="0.25">
      <c r="A215" s="206" t="str">
        <f>Indice!$I$11</f>
        <v>EIMI00398</v>
      </c>
      <c r="B215" t="s">
        <v>803</v>
      </c>
      <c r="C215" s="39">
        <f>Indice!$I$12</f>
        <v>46053</v>
      </c>
      <c r="E215">
        <f>ROUND(SUMIFS(CATEGORIAS[[#All],[TOTAL PRODUCCION
ACTUAL]],CATEGORIAS[[#All],[CATEGORIA2]],Imputar[[#This Row],[Categoría]]),0)</f>
        <v>0</v>
      </c>
      <c r="F215">
        <v>0</v>
      </c>
      <c r="G215">
        <f>ROUND(SUMIFS(CATEGORIAS[[#All],[PROYECCION
DE INGRESO
DEL SALDO]],CATEGORIAS[[#All],[CATEGORIA2]],Imputar[[#This Row],[Categoría]]),0)</f>
        <v>0</v>
      </c>
      <c r="H215">
        <f>ROUND(SUMIFS(CATEGORIAS[[#All],[CAMBIO DE
CATEGORIA]],CATEGORIAS[[#All],[CATEGORIA2]],Imputar[[#This Row],[Categoría]]),0)</f>
        <v>0</v>
      </c>
      <c r="I2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5">
        <f>+ROUND(SUMIFS(CATEGORIAS[[#All],[PROYECCION
TOTAL DE COSTO]],CATEGORIAS[[#All],[CATEGORIA2]],Imputar[[#This Row],[Categoría]]),0)
-Imputar[[#This Row],[Inventario]]
-Imputar[[#This Row],[Pedidos no Rec]]</f>
        <v>0</v>
      </c>
      <c r="K2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5">
        <f>_xlfn.IFNA(VLOOKUP(Imputar[[#This Row],[Categoría]],EIMI!C:T,8,0),0)</f>
        <v>0</v>
      </c>
      <c r="M215">
        <f>_xlfn.IFNA(VLOOKUP(Imputar[[#This Row],[Categoría]],EIMI!C:T,9,0),0)</f>
        <v>0</v>
      </c>
      <c r="N215">
        <f>_xlfn.IFNA(VLOOKUP(Imputar[[#This Row],[Categoría]],EIMI!C:T,10,0),0)</f>
        <v>0</v>
      </c>
    </row>
    <row r="216" spans="1:14" x14ac:dyDescent="0.25">
      <c r="A216" s="206" t="str">
        <f>Indice!$I$11</f>
        <v>EIMI00398</v>
      </c>
      <c r="B216" t="s">
        <v>805</v>
      </c>
      <c r="C216" s="39">
        <f>Indice!$I$12</f>
        <v>46053</v>
      </c>
      <c r="E216">
        <f>ROUND(SUMIFS(CATEGORIAS[[#All],[TOTAL PRODUCCION
ACTUAL]],CATEGORIAS[[#All],[CATEGORIA2]],Imputar[[#This Row],[Categoría]]),0)</f>
        <v>0</v>
      </c>
      <c r="F216">
        <v>0</v>
      </c>
      <c r="G216">
        <f>ROUND(SUMIFS(CATEGORIAS[[#All],[PROYECCION
DE INGRESO
DEL SALDO]],CATEGORIAS[[#All],[CATEGORIA2]],Imputar[[#This Row],[Categoría]]),0)</f>
        <v>0</v>
      </c>
      <c r="H216">
        <f>ROUND(SUMIFS(CATEGORIAS[[#All],[CAMBIO DE
CATEGORIA]],CATEGORIAS[[#All],[CATEGORIA2]],Imputar[[#This Row],[Categoría]]),0)</f>
        <v>0</v>
      </c>
      <c r="I2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6">
        <f>+ROUND(SUMIFS(CATEGORIAS[[#All],[PROYECCION
TOTAL DE COSTO]],CATEGORIAS[[#All],[CATEGORIA2]],Imputar[[#This Row],[Categoría]]),0)
-Imputar[[#This Row],[Inventario]]
-Imputar[[#This Row],[Pedidos no Rec]]</f>
        <v>0</v>
      </c>
      <c r="K2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6">
        <f>_xlfn.IFNA(VLOOKUP(Imputar[[#This Row],[Categoría]],EIMI!C:T,8,0),0)</f>
        <v>0</v>
      </c>
      <c r="M216">
        <f>_xlfn.IFNA(VLOOKUP(Imputar[[#This Row],[Categoría]],EIMI!C:T,9,0),0)</f>
        <v>0</v>
      </c>
      <c r="N216">
        <f>_xlfn.IFNA(VLOOKUP(Imputar[[#This Row],[Categoría]],EIMI!C:T,10,0),0)</f>
        <v>0</v>
      </c>
    </row>
    <row r="217" spans="1:14" hidden="1" x14ac:dyDescent="0.25">
      <c r="A217" s="206" t="str">
        <f>Indice!$I$11</f>
        <v>EIMI00398</v>
      </c>
      <c r="B217" t="s">
        <v>807</v>
      </c>
      <c r="C217" s="39">
        <f>Indice!$I$12</f>
        <v>46053</v>
      </c>
      <c r="E217">
        <f>ROUND(SUMIFS(CATEGORIAS[[#All],[TOTAL PRODUCCION
ACTUAL]],CATEGORIAS[[#All],[CATEGORIA2]],Imputar[[#This Row],[Categoría]]),0)</f>
        <v>0</v>
      </c>
      <c r="F217">
        <v>0</v>
      </c>
      <c r="G217">
        <f>ROUND(SUMIFS(CATEGORIAS[[#All],[PROYECCION
DE INGRESO
DEL SALDO]],CATEGORIAS[[#All],[CATEGORIA2]],Imputar[[#This Row],[Categoría]]),0)</f>
        <v>0</v>
      </c>
      <c r="H217">
        <f>ROUND(SUMIFS(CATEGORIAS[[#All],[CAMBIO DE
CATEGORIA]],CATEGORIAS[[#All],[CATEGORIA2]],Imputar[[#This Row],[Categoría]]),0)</f>
        <v>0</v>
      </c>
      <c r="I2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7">
        <f>+ROUND(SUMIFS(CATEGORIAS[[#All],[PROYECCION
TOTAL DE COSTO]],CATEGORIAS[[#All],[CATEGORIA2]],Imputar[[#This Row],[Categoría]]),0)
-Imputar[[#This Row],[Inventario]]
-Imputar[[#This Row],[Pedidos no Rec]]</f>
        <v>0</v>
      </c>
      <c r="K2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7">
        <f>_xlfn.IFNA(VLOOKUP(Imputar[[#This Row],[Categoría]],EIMI!C:T,8,0),0)</f>
        <v>0</v>
      </c>
      <c r="M217">
        <f>_xlfn.IFNA(VLOOKUP(Imputar[[#This Row],[Categoría]],EIMI!C:T,9,0),0)</f>
        <v>0</v>
      </c>
      <c r="N217">
        <f>_xlfn.IFNA(VLOOKUP(Imputar[[#This Row],[Categoría]],EIMI!C:T,10,0),0)</f>
        <v>0</v>
      </c>
    </row>
    <row r="218" spans="1:14" hidden="1" x14ac:dyDescent="0.25">
      <c r="A218" s="206" t="str">
        <f>Indice!$I$11</f>
        <v>EIMI00398</v>
      </c>
      <c r="B218" t="s">
        <v>809</v>
      </c>
      <c r="C218" s="39">
        <f>Indice!$I$12</f>
        <v>46053</v>
      </c>
      <c r="E218">
        <f>ROUND(SUMIFS(CATEGORIAS[[#All],[TOTAL PRODUCCION
ACTUAL]],CATEGORIAS[[#All],[CATEGORIA2]],Imputar[[#This Row],[Categoría]]),0)</f>
        <v>0</v>
      </c>
      <c r="F218">
        <v>0</v>
      </c>
      <c r="G218">
        <f>ROUND(SUMIFS(CATEGORIAS[[#All],[PROYECCION
DE INGRESO
DEL SALDO]],CATEGORIAS[[#All],[CATEGORIA2]],Imputar[[#This Row],[Categoría]]),0)</f>
        <v>0</v>
      </c>
      <c r="H218">
        <f>ROUND(SUMIFS(CATEGORIAS[[#All],[CAMBIO DE
CATEGORIA]],CATEGORIAS[[#All],[CATEGORIA2]],Imputar[[#This Row],[Categoría]]),0)</f>
        <v>0</v>
      </c>
      <c r="I2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8">
        <f>+ROUND(SUMIFS(CATEGORIAS[[#All],[PROYECCION
TOTAL DE COSTO]],CATEGORIAS[[#All],[CATEGORIA2]],Imputar[[#This Row],[Categoría]]),0)
-Imputar[[#This Row],[Inventario]]
-Imputar[[#This Row],[Pedidos no Rec]]</f>
        <v>0</v>
      </c>
      <c r="K2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8">
        <f>_xlfn.IFNA(VLOOKUP(Imputar[[#This Row],[Categoría]],EIMI!C:T,8,0),0)</f>
        <v>0</v>
      </c>
      <c r="M218">
        <f>_xlfn.IFNA(VLOOKUP(Imputar[[#This Row],[Categoría]],EIMI!C:T,9,0),0)</f>
        <v>0</v>
      </c>
      <c r="N218">
        <f>_xlfn.IFNA(VLOOKUP(Imputar[[#This Row],[Categoría]],EIMI!C:T,10,0),0)</f>
        <v>0</v>
      </c>
    </row>
    <row r="219" spans="1:14" hidden="1" x14ac:dyDescent="0.25">
      <c r="A219" s="206" t="str">
        <f>Indice!$I$11</f>
        <v>EIMI00398</v>
      </c>
      <c r="B219" t="s">
        <v>811</v>
      </c>
      <c r="C219" s="39">
        <f>Indice!$I$12</f>
        <v>46053</v>
      </c>
      <c r="E219">
        <f>ROUND(SUMIFS(CATEGORIAS[[#All],[TOTAL PRODUCCION
ACTUAL]],CATEGORIAS[[#All],[CATEGORIA2]],Imputar[[#This Row],[Categoría]]),0)</f>
        <v>0</v>
      </c>
      <c r="F219">
        <v>0</v>
      </c>
      <c r="G219">
        <f>ROUND(SUMIFS(CATEGORIAS[[#All],[PROYECCION
DE INGRESO
DEL SALDO]],CATEGORIAS[[#All],[CATEGORIA2]],Imputar[[#This Row],[Categoría]]),0)</f>
        <v>0</v>
      </c>
      <c r="H219">
        <f>ROUND(SUMIFS(CATEGORIAS[[#All],[CAMBIO DE
CATEGORIA]],CATEGORIAS[[#All],[CATEGORIA2]],Imputar[[#This Row],[Categoría]]),0)</f>
        <v>0</v>
      </c>
      <c r="I2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19">
        <f>+ROUND(SUMIFS(CATEGORIAS[[#All],[PROYECCION
TOTAL DE COSTO]],CATEGORIAS[[#All],[CATEGORIA2]],Imputar[[#This Row],[Categoría]]),0)
-Imputar[[#This Row],[Inventario]]
-Imputar[[#This Row],[Pedidos no Rec]]</f>
        <v>0</v>
      </c>
      <c r="K2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19">
        <f>_xlfn.IFNA(VLOOKUP(Imputar[[#This Row],[Categoría]],EIMI!C:T,8,0),0)</f>
        <v>0</v>
      </c>
      <c r="M219">
        <f>_xlfn.IFNA(VLOOKUP(Imputar[[#This Row],[Categoría]],EIMI!C:T,9,0),0)</f>
        <v>0</v>
      </c>
      <c r="N219">
        <f>_xlfn.IFNA(VLOOKUP(Imputar[[#This Row],[Categoría]],EIMI!C:T,10,0),0)</f>
        <v>0</v>
      </c>
    </row>
    <row r="220" spans="1:14" hidden="1" x14ac:dyDescent="0.25">
      <c r="A220" s="206" t="str">
        <f>Indice!$I$11</f>
        <v>EIMI00398</v>
      </c>
      <c r="B220" t="s">
        <v>813</v>
      </c>
      <c r="C220" s="39">
        <f>Indice!$I$12</f>
        <v>46053</v>
      </c>
      <c r="E220">
        <f>ROUND(SUMIFS(CATEGORIAS[[#All],[TOTAL PRODUCCION
ACTUAL]],CATEGORIAS[[#All],[CATEGORIA2]],Imputar[[#This Row],[Categoría]]),0)</f>
        <v>0</v>
      </c>
      <c r="F220">
        <v>0</v>
      </c>
      <c r="G220">
        <f>ROUND(SUMIFS(CATEGORIAS[[#All],[PROYECCION
DE INGRESO
DEL SALDO]],CATEGORIAS[[#All],[CATEGORIA2]],Imputar[[#This Row],[Categoría]]),0)</f>
        <v>0</v>
      </c>
      <c r="H220">
        <f>ROUND(SUMIFS(CATEGORIAS[[#All],[CAMBIO DE
CATEGORIA]],CATEGORIAS[[#All],[CATEGORIA2]],Imputar[[#This Row],[Categoría]]),0)</f>
        <v>0</v>
      </c>
      <c r="I2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0">
        <f>+ROUND(SUMIFS(CATEGORIAS[[#All],[PROYECCION
TOTAL DE COSTO]],CATEGORIAS[[#All],[CATEGORIA2]],Imputar[[#This Row],[Categoría]]),0)
-Imputar[[#This Row],[Inventario]]
-Imputar[[#This Row],[Pedidos no Rec]]</f>
        <v>0</v>
      </c>
      <c r="K2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0">
        <f>_xlfn.IFNA(VLOOKUP(Imputar[[#This Row],[Categoría]],EIMI!C:T,8,0),0)</f>
        <v>0</v>
      </c>
      <c r="M220">
        <f>_xlfn.IFNA(VLOOKUP(Imputar[[#This Row],[Categoría]],EIMI!C:T,9,0),0)</f>
        <v>0</v>
      </c>
      <c r="N220">
        <f>_xlfn.IFNA(VLOOKUP(Imputar[[#This Row],[Categoría]],EIMI!C:T,10,0),0)</f>
        <v>0</v>
      </c>
    </row>
    <row r="221" spans="1:14" hidden="1" x14ac:dyDescent="0.25">
      <c r="A221" s="206" t="str">
        <f>Indice!$I$11</f>
        <v>EIMI00398</v>
      </c>
      <c r="B221" t="s">
        <v>815</v>
      </c>
      <c r="C221" s="39">
        <f>Indice!$I$12</f>
        <v>46053</v>
      </c>
      <c r="E221">
        <f>ROUND(SUMIFS(CATEGORIAS[[#All],[TOTAL PRODUCCION
ACTUAL]],CATEGORIAS[[#All],[CATEGORIA2]],Imputar[[#This Row],[Categoría]]),0)</f>
        <v>0</v>
      </c>
      <c r="F221">
        <v>0</v>
      </c>
      <c r="G221">
        <f>ROUND(SUMIFS(CATEGORIAS[[#All],[PROYECCION
DE INGRESO
DEL SALDO]],CATEGORIAS[[#All],[CATEGORIA2]],Imputar[[#This Row],[Categoría]]),0)</f>
        <v>0</v>
      </c>
      <c r="H221">
        <f>ROUND(SUMIFS(CATEGORIAS[[#All],[CAMBIO DE
CATEGORIA]],CATEGORIAS[[#All],[CATEGORIA2]],Imputar[[#This Row],[Categoría]]),0)</f>
        <v>0</v>
      </c>
      <c r="I2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1">
        <f>+ROUND(SUMIFS(CATEGORIAS[[#All],[PROYECCION
TOTAL DE COSTO]],CATEGORIAS[[#All],[CATEGORIA2]],Imputar[[#This Row],[Categoría]]),0)
-Imputar[[#This Row],[Inventario]]
-Imputar[[#This Row],[Pedidos no Rec]]</f>
        <v>0</v>
      </c>
      <c r="K2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1">
        <f>_xlfn.IFNA(VLOOKUP(Imputar[[#This Row],[Categoría]],EIMI!C:T,8,0),0)</f>
        <v>0</v>
      </c>
      <c r="M221">
        <f>_xlfn.IFNA(VLOOKUP(Imputar[[#This Row],[Categoría]],EIMI!C:T,9,0),0)</f>
        <v>0</v>
      </c>
      <c r="N221">
        <f>_xlfn.IFNA(VLOOKUP(Imputar[[#This Row],[Categoría]],EIMI!C:T,10,0),0)</f>
        <v>0</v>
      </c>
    </row>
    <row r="222" spans="1:14" hidden="1" x14ac:dyDescent="0.25">
      <c r="A222" s="206" t="str">
        <f>Indice!$I$11</f>
        <v>EIMI00398</v>
      </c>
      <c r="B222" t="s">
        <v>817</v>
      </c>
      <c r="C222" s="39">
        <f>Indice!$I$12</f>
        <v>46053</v>
      </c>
      <c r="E222">
        <f>ROUND(SUMIFS(CATEGORIAS[[#All],[TOTAL PRODUCCION
ACTUAL]],CATEGORIAS[[#All],[CATEGORIA2]],Imputar[[#This Row],[Categoría]]),0)</f>
        <v>0</v>
      </c>
      <c r="F222">
        <v>0</v>
      </c>
      <c r="G222">
        <f>ROUND(SUMIFS(CATEGORIAS[[#All],[PROYECCION
DE INGRESO
DEL SALDO]],CATEGORIAS[[#All],[CATEGORIA2]],Imputar[[#This Row],[Categoría]]),0)</f>
        <v>0</v>
      </c>
      <c r="H222">
        <f>ROUND(SUMIFS(CATEGORIAS[[#All],[CAMBIO DE
CATEGORIA]],CATEGORIAS[[#All],[CATEGORIA2]],Imputar[[#This Row],[Categoría]]),0)</f>
        <v>0</v>
      </c>
      <c r="I2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2">
        <f>+ROUND(SUMIFS(CATEGORIAS[[#All],[PROYECCION
TOTAL DE COSTO]],CATEGORIAS[[#All],[CATEGORIA2]],Imputar[[#This Row],[Categoría]]),0)
-Imputar[[#This Row],[Inventario]]
-Imputar[[#This Row],[Pedidos no Rec]]</f>
        <v>0</v>
      </c>
      <c r="K2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2">
        <f>_xlfn.IFNA(VLOOKUP(Imputar[[#This Row],[Categoría]],EIMI!C:T,8,0),0)</f>
        <v>0</v>
      </c>
      <c r="M222">
        <f>_xlfn.IFNA(VLOOKUP(Imputar[[#This Row],[Categoría]],EIMI!C:T,9,0),0)</f>
        <v>0</v>
      </c>
      <c r="N222">
        <f>_xlfn.IFNA(VLOOKUP(Imputar[[#This Row],[Categoría]],EIMI!C:T,10,0),0)</f>
        <v>0</v>
      </c>
    </row>
    <row r="223" spans="1:14" hidden="1" x14ac:dyDescent="0.25">
      <c r="A223" s="206" t="str">
        <f>Indice!$I$11</f>
        <v>EIMI00398</v>
      </c>
      <c r="B223" t="s">
        <v>819</v>
      </c>
      <c r="C223" s="39">
        <f>Indice!$I$12</f>
        <v>46053</v>
      </c>
      <c r="E223">
        <f>ROUND(SUMIFS(CATEGORIAS[[#All],[TOTAL PRODUCCION
ACTUAL]],CATEGORIAS[[#All],[CATEGORIA2]],Imputar[[#This Row],[Categoría]]),0)</f>
        <v>0</v>
      </c>
      <c r="F223">
        <v>0</v>
      </c>
      <c r="G223">
        <f>ROUND(SUMIFS(CATEGORIAS[[#All],[PROYECCION
DE INGRESO
DEL SALDO]],CATEGORIAS[[#All],[CATEGORIA2]],Imputar[[#This Row],[Categoría]]),0)</f>
        <v>0</v>
      </c>
      <c r="H223">
        <f>ROUND(SUMIFS(CATEGORIAS[[#All],[CAMBIO DE
CATEGORIA]],CATEGORIAS[[#All],[CATEGORIA2]],Imputar[[#This Row],[Categoría]]),0)</f>
        <v>0</v>
      </c>
      <c r="I2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3">
        <f>+ROUND(SUMIFS(CATEGORIAS[[#All],[PROYECCION
TOTAL DE COSTO]],CATEGORIAS[[#All],[CATEGORIA2]],Imputar[[#This Row],[Categoría]]),0)
-Imputar[[#This Row],[Inventario]]
-Imputar[[#This Row],[Pedidos no Rec]]</f>
        <v>0</v>
      </c>
      <c r="K2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3">
        <f>_xlfn.IFNA(VLOOKUP(Imputar[[#This Row],[Categoría]],EIMI!C:T,8,0),0)</f>
        <v>0</v>
      </c>
      <c r="M223">
        <f>_xlfn.IFNA(VLOOKUP(Imputar[[#This Row],[Categoría]],EIMI!C:T,9,0),0)</f>
        <v>0</v>
      </c>
      <c r="N223">
        <f>_xlfn.IFNA(VLOOKUP(Imputar[[#This Row],[Categoría]],EIMI!C:T,10,0),0)</f>
        <v>0</v>
      </c>
    </row>
    <row r="224" spans="1:14" hidden="1" x14ac:dyDescent="0.25">
      <c r="A224" s="206" t="str">
        <f>Indice!$I$11</f>
        <v>EIMI00398</v>
      </c>
      <c r="B224" t="s">
        <v>821</v>
      </c>
      <c r="C224" s="39">
        <f>Indice!$I$12</f>
        <v>46053</v>
      </c>
      <c r="E224">
        <f>ROUND(SUMIFS(CATEGORIAS[[#All],[TOTAL PRODUCCION
ACTUAL]],CATEGORIAS[[#All],[CATEGORIA2]],Imputar[[#This Row],[Categoría]]),0)</f>
        <v>0</v>
      </c>
      <c r="F224">
        <v>0</v>
      </c>
      <c r="G224">
        <f>ROUND(SUMIFS(CATEGORIAS[[#All],[PROYECCION
DE INGRESO
DEL SALDO]],CATEGORIAS[[#All],[CATEGORIA2]],Imputar[[#This Row],[Categoría]]),0)</f>
        <v>0</v>
      </c>
      <c r="H224">
        <f>ROUND(SUMIFS(CATEGORIAS[[#All],[CAMBIO DE
CATEGORIA]],CATEGORIAS[[#All],[CATEGORIA2]],Imputar[[#This Row],[Categoría]]),0)</f>
        <v>0</v>
      </c>
      <c r="I2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4">
        <f>+ROUND(SUMIFS(CATEGORIAS[[#All],[PROYECCION
TOTAL DE COSTO]],CATEGORIAS[[#All],[CATEGORIA2]],Imputar[[#This Row],[Categoría]]),0)
-Imputar[[#This Row],[Inventario]]
-Imputar[[#This Row],[Pedidos no Rec]]</f>
        <v>0</v>
      </c>
      <c r="K2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4">
        <f>_xlfn.IFNA(VLOOKUP(Imputar[[#This Row],[Categoría]],EIMI!C:T,8,0),0)</f>
        <v>0</v>
      </c>
      <c r="M224">
        <f>_xlfn.IFNA(VLOOKUP(Imputar[[#This Row],[Categoría]],EIMI!C:T,9,0),0)</f>
        <v>0</v>
      </c>
      <c r="N224">
        <f>_xlfn.IFNA(VLOOKUP(Imputar[[#This Row],[Categoría]],EIMI!C:T,10,0),0)</f>
        <v>0</v>
      </c>
    </row>
    <row r="225" spans="1:14" hidden="1" x14ac:dyDescent="0.25">
      <c r="A225" s="206" t="str">
        <f>Indice!$I$11</f>
        <v>EIMI00398</v>
      </c>
      <c r="B225" t="s">
        <v>823</v>
      </c>
      <c r="C225" s="39">
        <f>Indice!$I$12</f>
        <v>46053</v>
      </c>
      <c r="E225">
        <f>ROUND(SUMIFS(CATEGORIAS[[#All],[TOTAL PRODUCCION
ACTUAL]],CATEGORIAS[[#All],[CATEGORIA2]],Imputar[[#This Row],[Categoría]]),0)</f>
        <v>0</v>
      </c>
      <c r="F225">
        <v>0</v>
      </c>
      <c r="G225">
        <f>ROUND(SUMIFS(CATEGORIAS[[#All],[PROYECCION
DE INGRESO
DEL SALDO]],CATEGORIAS[[#All],[CATEGORIA2]],Imputar[[#This Row],[Categoría]]),0)</f>
        <v>0</v>
      </c>
      <c r="H225">
        <f>ROUND(SUMIFS(CATEGORIAS[[#All],[CAMBIO DE
CATEGORIA]],CATEGORIAS[[#All],[CATEGORIA2]],Imputar[[#This Row],[Categoría]]),0)</f>
        <v>0</v>
      </c>
      <c r="I2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5">
        <f>+ROUND(SUMIFS(CATEGORIAS[[#All],[PROYECCION
TOTAL DE COSTO]],CATEGORIAS[[#All],[CATEGORIA2]],Imputar[[#This Row],[Categoría]]),0)
-Imputar[[#This Row],[Inventario]]
-Imputar[[#This Row],[Pedidos no Rec]]</f>
        <v>0</v>
      </c>
      <c r="K2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5">
        <f>_xlfn.IFNA(VLOOKUP(Imputar[[#This Row],[Categoría]],EIMI!C:T,8,0),0)</f>
        <v>0</v>
      </c>
      <c r="M225">
        <f>_xlfn.IFNA(VLOOKUP(Imputar[[#This Row],[Categoría]],EIMI!C:T,9,0),0)</f>
        <v>0</v>
      </c>
      <c r="N225">
        <f>_xlfn.IFNA(VLOOKUP(Imputar[[#This Row],[Categoría]],EIMI!C:T,10,0),0)</f>
        <v>0</v>
      </c>
    </row>
    <row r="226" spans="1:14" x14ac:dyDescent="0.25">
      <c r="A226" s="206" t="str">
        <f>Indice!$I$11</f>
        <v>EIMI00398</v>
      </c>
      <c r="B226" t="s">
        <v>825</v>
      </c>
      <c r="C226" s="39">
        <f>Indice!$I$12</f>
        <v>46053</v>
      </c>
      <c r="E226">
        <f>ROUND(SUMIFS(CATEGORIAS[[#All],[TOTAL PRODUCCION
ACTUAL]],CATEGORIAS[[#All],[CATEGORIA2]],Imputar[[#This Row],[Categoría]]),0)</f>
        <v>0</v>
      </c>
      <c r="F226">
        <v>0</v>
      </c>
      <c r="G226">
        <f>ROUND(SUMIFS(CATEGORIAS[[#All],[PROYECCION
DE INGRESO
DEL SALDO]],CATEGORIAS[[#All],[CATEGORIA2]],Imputar[[#This Row],[Categoría]]),0)</f>
        <v>0</v>
      </c>
      <c r="H226">
        <f>ROUND(SUMIFS(CATEGORIAS[[#All],[CAMBIO DE
CATEGORIA]],CATEGORIAS[[#All],[CATEGORIA2]],Imputar[[#This Row],[Categoría]]),0)</f>
        <v>0</v>
      </c>
      <c r="I2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6">
        <f>+ROUND(SUMIFS(CATEGORIAS[[#All],[PROYECCION
TOTAL DE COSTO]],CATEGORIAS[[#All],[CATEGORIA2]],Imputar[[#This Row],[Categoría]]),0)
-Imputar[[#This Row],[Inventario]]
-Imputar[[#This Row],[Pedidos no Rec]]</f>
        <v>0</v>
      </c>
      <c r="K2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6">
        <f>_xlfn.IFNA(VLOOKUP(Imputar[[#This Row],[Categoría]],EIMI!C:T,8,0),0)</f>
        <v>0</v>
      </c>
      <c r="M226">
        <f>_xlfn.IFNA(VLOOKUP(Imputar[[#This Row],[Categoría]],EIMI!C:T,9,0),0)</f>
        <v>0</v>
      </c>
      <c r="N226">
        <f>_xlfn.IFNA(VLOOKUP(Imputar[[#This Row],[Categoría]],EIMI!C:T,10,0),0)</f>
        <v>0</v>
      </c>
    </row>
    <row r="227" spans="1:14" hidden="1" x14ac:dyDescent="0.25">
      <c r="A227" s="206" t="str">
        <f>Indice!$I$11</f>
        <v>EIMI00398</v>
      </c>
      <c r="B227" t="s">
        <v>827</v>
      </c>
      <c r="C227" s="39">
        <f>Indice!$I$12</f>
        <v>46053</v>
      </c>
      <c r="E227">
        <f>ROUND(SUMIFS(CATEGORIAS[[#All],[TOTAL PRODUCCION
ACTUAL]],CATEGORIAS[[#All],[CATEGORIA2]],Imputar[[#This Row],[Categoría]]),0)</f>
        <v>0</v>
      </c>
      <c r="F227">
        <v>0</v>
      </c>
      <c r="G227">
        <f>ROUND(SUMIFS(CATEGORIAS[[#All],[PROYECCION
DE INGRESO
DEL SALDO]],CATEGORIAS[[#All],[CATEGORIA2]],Imputar[[#This Row],[Categoría]]),0)</f>
        <v>0</v>
      </c>
      <c r="H227">
        <f>ROUND(SUMIFS(CATEGORIAS[[#All],[CAMBIO DE
CATEGORIA]],CATEGORIAS[[#All],[CATEGORIA2]],Imputar[[#This Row],[Categoría]]),0)</f>
        <v>0</v>
      </c>
      <c r="I2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7">
        <f>+ROUND(SUMIFS(CATEGORIAS[[#All],[PROYECCION
TOTAL DE COSTO]],CATEGORIAS[[#All],[CATEGORIA2]],Imputar[[#This Row],[Categoría]]),0)
-Imputar[[#This Row],[Inventario]]
-Imputar[[#This Row],[Pedidos no Rec]]</f>
        <v>0</v>
      </c>
      <c r="K2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7">
        <f>_xlfn.IFNA(VLOOKUP(Imputar[[#This Row],[Categoría]],EIMI!C:T,8,0),0)</f>
        <v>0</v>
      </c>
      <c r="M227">
        <f>_xlfn.IFNA(VLOOKUP(Imputar[[#This Row],[Categoría]],EIMI!C:T,9,0),0)</f>
        <v>0</v>
      </c>
      <c r="N227">
        <f>_xlfn.IFNA(VLOOKUP(Imputar[[#This Row],[Categoría]],EIMI!C:T,10,0),0)</f>
        <v>0</v>
      </c>
    </row>
    <row r="228" spans="1:14" hidden="1" x14ac:dyDescent="0.25">
      <c r="A228" s="206" t="str">
        <f>Indice!$I$11</f>
        <v>EIMI00398</v>
      </c>
      <c r="B228" t="s">
        <v>829</v>
      </c>
      <c r="C228" s="39">
        <f>Indice!$I$12</f>
        <v>46053</v>
      </c>
      <c r="E228">
        <f>ROUND(SUMIFS(CATEGORIAS[[#All],[TOTAL PRODUCCION
ACTUAL]],CATEGORIAS[[#All],[CATEGORIA2]],Imputar[[#This Row],[Categoría]]),0)</f>
        <v>0</v>
      </c>
      <c r="F228">
        <v>0</v>
      </c>
      <c r="G228">
        <f>ROUND(SUMIFS(CATEGORIAS[[#All],[PROYECCION
DE INGRESO
DEL SALDO]],CATEGORIAS[[#All],[CATEGORIA2]],Imputar[[#This Row],[Categoría]]),0)</f>
        <v>0</v>
      </c>
      <c r="H228">
        <f>ROUND(SUMIFS(CATEGORIAS[[#All],[CAMBIO DE
CATEGORIA]],CATEGORIAS[[#All],[CATEGORIA2]],Imputar[[#This Row],[Categoría]]),0)</f>
        <v>0</v>
      </c>
      <c r="I2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8">
        <f>+ROUND(SUMIFS(CATEGORIAS[[#All],[PROYECCION
TOTAL DE COSTO]],CATEGORIAS[[#All],[CATEGORIA2]],Imputar[[#This Row],[Categoría]]),0)
-Imputar[[#This Row],[Inventario]]
-Imputar[[#This Row],[Pedidos no Rec]]</f>
        <v>0</v>
      </c>
      <c r="K2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8">
        <f>_xlfn.IFNA(VLOOKUP(Imputar[[#This Row],[Categoría]],EIMI!C:T,8,0),0)</f>
        <v>0</v>
      </c>
      <c r="M228">
        <f>_xlfn.IFNA(VLOOKUP(Imputar[[#This Row],[Categoría]],EIMI!C:T,9,0),0)</f>
        <v>0</v>
      </c>
      <c r="N228">
        <f>_xlfn.IFNA(VLOOKUP(Imputar[[#This Row],[Categoría]],EIMI!C:T,10,0),0)</f>
        <v>0</v>
      </c>
    </row>
    <row r="229" spans="1:14" hidden="1" x14ac:dyDescent="0.25">
      <c r="A229" s="206" t="str">
        <f>Indice!$I$11</f>
        <v>EIMI00398</v>
      </c>
      <c r="B229" t="s">
        <v>831</v>
      </c>
      <c r="C229" s="39">
        <f>Indice!$I$12</f>
        <v>46053</v>
      </c>
      <c r="E229">
        <f>ROUND(SUMIFS(CATEGORIAS[[#All],[TOTAL PRODUCCION
ACTUAL]],CATEGORIAS[[#All],[CATEGORIA2]],Imputar[[#This Row],[Categoría]]),0)</f>
        <v>0</v>
      </c>
      <c r="F229">
        <v>0</v>
      </c>
      <c r="G229">
        <f>ROUND(SUMIFS(CATEGORIAS[[#All],[PROYECCION
DE INGRESO
DEL SALDO]],CATEGORIAS[[#All],[CATEGORIA2]],Imputar[[#This Row],[Categoría]]),0)</f>
        <v>0</v>
      </c>
      <c r="H229">
        <f>ROUND(SUMIFS(CATEGORIAS[[#All],[CAMBIO DE
CATEGORIA]],CATEGORIAS[[#All],[CATEGORIA2]],Imputar[[#This Row],[Categoría]]),0)</f>
        <v>0</v>
      </c>
      <c r="I2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29">
        <f>+ROUND(SUMIFS(CATEGORIAS[[#All],[PROYECCION
TOTAL DE COSTO]],CATEGORIAS[[#All],[CATEGORIA2]],Imputar[[#This Row],[Categoría]]),0)
-Imputar[[#This Row],[Inventario]]
-Imputar[[#This Row],[Pedidos no Rec]]</f>
        <v>0</v>
      </c>
      <c r="K2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29">
        <f>_xlfn.IFNA(VLOOKUP(Imputar[[#This Row],[Categoría]],EIMI!C:T,8,0),0)</f>
        <v>0</v>
      </c>
      <c r="M229">
        <f>_xlfn.IFNA(VLOOKUP(Imputar[[#This Row],[Categoría]],EIMI!C:T,9,0),0)</f>
        <v>0</v>
      </c>
      <c r="N229">
        <f>_xlfn.IFNA(VLOOKUP(Imputar[[#This Row],[Categoría]],EIMI!C:T,10,0),0)</f>
        <v>0</v>
      </c>
    </row>
    <row r="230" spans="1:14" hidden="1" x14ac:dyDescent="0.25">
      <c r="A230" s="206" t="str">
        <f>Indice!$I$11</f>
        <v>EIMI00398</v>
      </c>
      <c r="B230" t="s">
        <v>833</v>
      </c>
      <c r="C230" s="39">
        <f>Indice!$I$12</f>
        <v>46053</v>
      </c>
      <c r="E230">
        <f>ROUND(SUMIFS(CATEGORIAS[[#All],[TOTAL PRODUCCION
ACTUAL]],CATEGORIAS[[#All],[CATEGORIA2]],Imputar[[#This Row],[Categoría]]),0)</f>
        <v>0</v>
      </c>
      <c r="F230">
        <v>0</v>
      </c>
      <c r="G230">
        <f>ROUND(SUMIFS(CATEGORIAS[[#All],[PROYECCION
DE INGRESO
DEL SALDO]],CATEGORIAS[[#All],[CATEGORIA2]],Imputar[[#This Row],[Categoría]]),0)</f>
        <v>0</v>
      </c>
      <c r="H230">
        <f>ROUND(SUMIFS(CATEGORIAS[[#All],[CAMBIO DE
CATEGORIA]],CATEGORIAS[[#All],[CATEGORIA2]],Imputar[[#This Row],[Categoría]]),0)</f>
        <v>0</v>
      </c>
      <c r="I2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0">
        <f>+ROUND(SUMIFS(CATEGORIAS[[#All],[PROYECCION
TOTAL DE COSTO]],CATEGORIAS[[#All],[CATEGORIA2]],Imputar[[#This Row],[Categoría]]),0)
-Imputar[[#This Row],[Inventario]]
-Imputar[[#This Row],[Pedidos no Rec]]</f>
        <v>0</v>
      </c>
      <c r="K2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0">
        <f>_xlfn.IFNA(VLOOKUP(Imputar[[#This Row],[Categoría]],EIMI!C:T,8,0),0)</f>
        <v>0</v>
      </c>
      <c r="M230">
        <f>_xlfn.IFNA(VLOOKUP(Imputar[[#This Row],[Categoría]],EIMI!C:T,9,0),0)</f>
        <v>0</v>
      </c>
      <c r="N230">
        <f>_xlfn.IFNA(VLOOKUP(Imputar[[#This Row],[Categoría]],EIMI!C:T,10,0),0)</f>
        <v>0</v>
      </c>
    </row>
    <row r="231" spans="1:14" hidden="1" x14ac:dyDescent="0.25">
      <c r="A231" s="206" t="str">
        <f>Indice!$I$11</f>
        <v>EIMI00398</v>
      </c>
      <c r="B231" t="s">
        <v>835</v>
      </c>
      <c r="C231" s="39">
        <f>Indice!$I$12</f>
        <v>46053</v>
      </c>
      <c r="E231">
        <f>ROUND(SUMIFS(CATEGORIAS[[#All],[TOTAL PRODUCCION
ACTUAL]],CATEGORIAS[[#All],[CATEGORIA2]],Imputar[[#This Row],[Categoría]]),0)</f>
        <v>0</v>
      </c>
      <c r="F231">
        <v>0</v>
      </c>
      <c r="G231">
        <f>ROUND(SUMIFS(CATEGORIAS[[#All],[PROYECCION
DE INGRESO
DEL SALDO]],CATEGORIAS[[#All],[CATEGORIA2]],Imputar[[#This Row],[Categoría]]),0)</f>
        <v>0</v>
      </c>
      <c r="H231">
        <f>ROUND(SUMIFS(CATEGORIAS[[#All],[CAMBIO DE
CATEGORIA]],CATEGORIAS[[#All],[CATEGORIA2]],Imputar[[#This Row],[Categoría]]),0)</f>
        <v>0</v>
      </c>
      <c r="I2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1">
        <f>+ROUND(SUMIFS(CATEGORIAS[[#All],[PROYECCION
TOTAL DE COSTO]],CATEGORIAS[[#All],[CATEGORIA2]],Imputar[[#This Row],[Categoría]]),0)
-Imputar[[#This Row],[Inventario]]
-Imputar[[#This Row],[Pedidos no Rec]]</f>
        <v>0</v>
      </c>
      <c r="K2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1">
        <f>_xlfn.IFNA(VLOOKUP(Imputar[[#This Row],[Categoría]],EIMI!C:T,8,0),0)</f>
        <v>0</v>
      </c>
      <c r="M231">
        <f>_xlfn.IFNA(VLOOKUP(Imputar[[#This Row],[Categoría]],EIMI!C:T,9,0),0)</f>
        <v>0</v>
      </c>
      <c r="N231">
        <f>_xlfn.IFNA(VLOOKUP(Imputar[[#This Row],[Categoría]],EIMI!C:T,10,0),0)</f>
        <v>0</v>
      </c>
    </row>
    <row r="232" spans="1:14" hidden="1" x14ac:dyDescent="0.25">
      <c r="A232" s="206" t="str">
        <f>Indice!$I$11</f>
        <v>EIMI00398</v>
      </c>
      <c r="B232" t="s">
        <v>837</v>
      </c>
      <c r="C232" s="39">
        <f>Indice!$I$12</f>
        <v>46053</v>
      </c>
      <c r="E232">
        <f>ROUND(SUMIFS(CATEGORIAS[[#All],[TOTAL PRODUCCION
ACTUAL]],CATEGORIAS[[#All],[CATEGORIA2]],Imputar[[#This Row],[Categoría]]),0)</f>
        <v>0</v>
      </c>
      <c r="F232">
        <v>0</v>
      </c>
      <c r="G232">
        <f>ROUND(SUMIFS(CATEGORIAS[[#All],[PROYECCION
DE INGRESO
DEL SALDO]],CATEGORIAS[[#All],[CATEGORIA2]],Imputar[[#This Row],[Categoría]]),0)</f>
        <v>0</v>
      </c>
      <c r="H232">
        <f>ROUND(SUMIFS(CATEGORIAS[[#All],[CAMBIO DE
CATEGORIA]],CATEGORIAS[[#All],[CATEGORIA2]],Imputar[[#This Row],[Categoría]]),0)</f>
        <v>0</v>
      </c>
      <c r="I2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2">
        <f>+ROUND(SUMIFS(CATEGORIAS[[#All],[PROYECCION
TOTAL DE COSTO]],CATEGORIAS[[#All],[CATEGORIA2]],Imputar[[#This Row],[Categoría]]),0)
-Imputar[[#This Row],[Inventario]]
-Imputar[[#This Row],[Pedidos no Rec]]</f>
        <v>0</v>
      </c>
      <c r="K2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2">
        <f>_xlfn.IFNA(VLOOKUP(Imputar[[#This Row],[Categoría]],EIMI!C:T,8,0),0)</f>
        <v>0</v>
      </c>
      <c r="M232">
        <f>_xlfn.IFNA(VLOOKUP(Imputar[[#This Row],[Categoría]],EIMI!C:T,9,0),0)</f>
        <v>0</v>
      </c>
      <c r="N232">
        <f>_xlfn.IFNA(VLOOKUP(Imputar[[#This Row],[Categoría]],EIMI!C:T,10,0),0)</f>
        <v>0</v>
      </c>
    </row>
    <row r="233" spans="1:14" hidden="1" x14ac:dyDescent="0.25">
      <c r="A233" s="206" t="str">
        <f>Indice!$I$11</f>
        <v>EIMI00398</v>
      </c>
      <c r="B233" t="s">
        <v>839</v>
      </c>
      <c r="C233" s="39">
        <f>Indice!$I$12</f>
        <v>46053</v>
      </c>
      <c r="E233">
        <f>ROUND(SUMIFS(CATEGORIAS[[#All],[TOTAL PRODUCCION
ACTUAL]],CATEGORIAS[[#All],[CATEGORIA2]],Imputar[[#This Row],[Categoría]]),0)</f>
        <v>0</v>
      </c>
      <c r="F233">
        <v>0</v>
      </c>
      <c r="G233">
        <f>ROUND(SUMIFS(CATEGORIAS[[#All],[PROYECCION
DE INGRESO
DEL SALDO]],CATEGORIAS[[#All],[CATEGORIA2]],Imputar[[#This Row],[Categoría]]),0)</f>
        <v>0</v>
      </c>
      <c r="H233">
        <f>ROUND(SUMIFS(CATEGORIAS[[#All],[CAMBIO DE
CATEGORIA]],CATEGORIAS[[#All],[CATEGORIA2]],Imputar[[#This Row],[Categoría]]),0)</f>
        <v>0</v>
      </c>
      <c r="I2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3">
        <f>+ROUND(SUMIFS(CATEGORIAS[[#All],[PROYECCION
TOTAL DE COSTO]],CATEGORIAS[[#All],[CATEGORIA2]],Imputar[[#This Row],[Categoría]]),0)
-Imputar[[#This Row],[Inventario]]
-Imputar[[#This Row],[Pedidos no Rec]]</f>
        <v>0</v>
      </c>
      <c r="K2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3">
        <f>_xlfn.IFNA(VLOOKUP(Imputar[[#This Row],[Categoría]],EIMI!C:T,8,0),0)</f>
        <v>0</v>
      </c>
      <c r="M233">
        <f>_xlfn.IFNA(VLOOKUP(Imputar[[#This Row],[Categoría]],EIMI!C:T,9,0),0)</f>
        <v>0</v>
      </c>
      <c r="N233">
        <f>_xlfn.IFNA(VLOOKUP(Imputar[[#This Row],[Categoría]],EIMI!C:T,10,0),0)</f>
        <v>0</v>
      </c>
    </row>
    <row r="234" spans="1:14" x14ac:dyDescent="0.25">
      <c r="A234" s="206" t="str">
        <f>Indice!$I$11</f>
        <v>EIMI00398</v>
      </c>
      <c r="B234" t="s">
        <v>841</v>
      </c>
      <c r="C234" s="39">
        <f>Indice!$I$12</f>
        <v>46053</v>
      </c>
      <c r="E234">
        <f>ROUND(SUMIFS(CATEGORIAS[[#All],[TOTAL PRODUCCION
ACTUAL]],CATEGORIAS[[#All],[CATEGORIA2]],Imputar[[#This Row],[Categoría]]),0)</f>
        <v>0</v>
      </c>
      <c r="F234">
        <v>0</v>
      </c>
      <c r="G234">
        <f>ROUND(SUMIFS(CATEGORIAS[[#All],[PROYECCION
DE INGRESO
DEL SALDO]],CATEGORIAS[[#All],[CATEGORIA2]],Imputar[[#This Row],[Categoría]]),0)</f>
        <v>0</v>
      </c>
      <c r="H234">
        <f>ROUND(SUMIFS(CATEGORIAS[[#All],[CAMBIO DE
CATEGORIA]],CATEGORIAS[[#All],[CATEGORIA2]],Imputar[[#This Row],[Categoría]]),0)</f>
        <v>0</v>
      </c>
      <c r="I2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4">
        <f>+ROUND(SUMIFS(CATEGORIAS[[#All],[PROYECCION
TOTAL DE COSTO]],CATEGORIAS[[#All],[CATEGORIA2]],Imputar[[#This Row],[Categoría]]),0)
-Imputar[[#This Row],[Inventario]]
-Imputar[[#This Row],[Pedidos no Rec]]</f>
        <v>0</v>
      </c>
      <c r="K2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4">
        <f>_xlfn.IFNA(VLOOKUP(Imputar[[#This Row],[Categoría]],EIMI!C:T,8,0),0)</f>
        <v>0</v>
      </c>
      <c r="M234">
        <f>_xlfn.IFNA(VLOOKUP(Imputar[[#This Row],[Categoría]],EIMI!C:T,9,0),0)</f>
        <v>0</v>
      </c>
      <c r="N234">
        <f>_xlfn.IFNA(VLOOKUP(Imputar[[#This Row],[Categoría]],EIMI!C:T,10,0),0)</f>
        <v>0</v>
      </c>
    </row>
    <row r="235" spans="1:14" hidden="1" x14ac:dyDescent="0.25">
      <c r="A235" s="206" t="str">
        <f>Indice!$I$11</f>
        <v>EIMI00398</v>
      </c>
      <c r="B235" t="s">
        <v>843</v>
      </c>
      <c r="C235" s="39">
        <f>Indice!$I$12</f>
        <v>46053</v>
      </c>
      <c r="E235">
        <f>ROUND(SUMIFS(CATEGORIAS[[#All],[TOTAL PRODUCCION
ACTUAL]],CATEGORIAS[[#All],[CATEGORIA2]],Imputar[[#This Row],[Categoría]]),0)</f>
        <v>0</v>
      </c>
      <c r="F235">
        <v>0</v>
      </c>
      <c r="G235">
        <f>ROUND(SUMIFS(CATEGORIAS[[#All],[PROYECCION
DE INGRESO
DEL SALDO]],CATEGORIAS[[#All],[CATEGORIA2]],Imputar[[#This Row],[Categoría]]),0)</f>
        <v>0</v>
      </c>
      <c r="H235">
        <f>ROUND(SUMIFS(CATEGORIAS[[#All],[CAMBIO DE
CATEGORIA]],CATEGORIAS[[#All],[CATEGORIA2]],Imputar[[#This Row],[Categoría]]),0)</f>
        <v>0</v>
      </c>
      <c r="I2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5">
        <f>+ROUND(SUMIFS(CATEGORIAS[[#All],[PROYECCION
TOTAL DE COSTO]],CATEGORIAS[[#All],[CATEGORIA2]],Imputar[[#This Row],[Categoría]]),0)
-Imputar[[#This Row],[Inventario]]
-Imputar[[#This Row],[Pedidos no Rec]]</f>
        <v>0</v>
      </c>
      <c r="K2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5">
        <f>_xlfn.IFNA(VLOOKUP(Imputar[[#This Row],[Categoría]],EIMI!C:T,8,0),0)</f>
        <v>0</v>
      </c>
      <c r="M235">
        <f>_xlfn.IFNA(VLOOKUP(Imputar[[#This Row],[Categoría]],EIMI!C:T,9,0),0)</f>
        <v>0</v>
      </c>
      <c r="N235">
        <f>_xlfn.IFNA(VLOOKUP(Imputar[[#This Row],[Categoría]],EIMI!C:T,10,0),0)</f>
        <v>0</v>
      </c>
    </row>
    <row r="236" spans="1:14" x14ac:dyDescent="0.25">
      <c r="A236" s="206" t="str">
        <f>Indice!$I$11</f>
        <v>EIMI00398</v>
      </c>
      <c r="B236" t="s">
        <v>845</v>
      </c>
      <c r="C236" s="39">
        <f>Indice!$I$12</f>
        <v>46053</v>
      </c>
      <c r="E236">
        <f>ROUND(SUMIFS(CATEGORIAS[[#All],[TOTAL PRODUCCION
ACTUAL]],CATEGORIAS[[#All],[CATEGORIA2]],Imputar[[#This Row],[Categoría]]),0)</f>
        <v>0</v>
      </c>
      <c r="F236">
        <v>0</v>
      </c>
      <c r="G236">
        <f>ROUND(SUMIFS(CATEGORIAS[[#All],[PROYECCION
DE INGRESO
DEL SALDO]],CATEGORIAS[[#All],[CATEGORIA2]],Imputar[[#This Row],[Categoría]]),0)</f>
        <v>0</v>
      </c>
      <c r="H236">
        <f>ROUND(SUMIFS(CATEGORIAS[[#All],[CAMBIO DE
CATEGORIA]],CATEGORIAS[[#All],[CATEGORIA2]],Imputar[[#This Row],[Categoría]]),0)</f>
        <v>0</v>
      </c>
      <c r="I2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6">
        <f>+ROUND(SUMIFS(CATEGORIAS[[#All],[PROYECCION
TOTAL DE COSTO]],CATEGORIAS[[#All],[CATEGORIA2]],Imputar[[#This Row],[Categoría]]),0)
-Imputar[[#This Row],[Inventario]]
-Imputar[[#This Row],[Pedidos no Rec]]</f>
        <v>0</v>
      </c>
      <c r="K2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6">
        <f>_xlfn.IFNA(VLOOKUP(Imputar[[#This Row],[Categoría]],EIMI!C:T,8,0),0)</f>
        <v>0</v>
      </c>
      <c r="M236">
        <f>_xlfn.IFNA(VLOOKUP(Imputar[[#This Row],[Categoría]],EIMI!C:T,9,0),0)</f>
        <v>0</v>
      </c>
      <c r="N236">
        <f>_xlfn.IFNA(VLOOKUP(Imputar[[#This Row],[Categoría]],EIMI!C:T,10,0),0)</f>
        <v>0</v>
      </c>
    </row>
    <row r="237" spans="1:14" hidden="1" x14ac:dyDescent="0.25">
      <c r="A237" s="206" t="str">
        <f>Indice!$I$11</f>
        <v>EIMI00398</v>
      </c>
      <c r="B237" t="s">
        <v>847</v>
      </c>
      <c r="C237" s="39">
        <f>Indice!$I$12</f>
        <v>46053</v>
      </c>
      <c r="E237">
        <f>ROUND(SUMIFS(CATEGORIAS[[#All],[TOTAL PRODUCCION
ACTUAL]],CATEGORIAS[[#All],[CATEGORIA2]],Imputar[[#This Row],[Categoría]]),0)</f>
        <v>0</v>
      </c>
      <c r="F237">
        <v>0</v>
      </c>
      <c r="G237">
        <f>ROUND(SUMIFS(CATEGORIAS[[#All],[PROYECCION
DE INGRESO
DEL SALDO]],CATEGORIAS[[#All],[CATEGORIA2]],Imputar[[#This Row],[Categoría]]),0)</f>
        <v>0</v>
      </c>
      <c r="H237">
        <f>ROUND(SUMIFS(CATEGORIAS[[#All],[CAMBIO DE
CATEGORIA]],CATEGORIAS[[#All],[CATEGORIA2]],Imputar[[#This Row],[Categoría]]),0)</f>
        <v>0</v>
      </c>
      <c r="I2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7">
        <f>+ROUND(SUMIFS(CATEGORIAS[[#All],[PROYECCION
TOTAL DE COSTO]],CATEGORIAS[[#All],[CATEGORIA2]],Imputar[[#This Row],[Categoría]]),0)
-Imputar[[#This Row],[Inventario]]
-Imputar[[#This Row],[Pedidos no Rec]]</f>
        <v>0</v>
      </c>
      <c r="K2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7">
        <f>_xlfn.IFNA(VLOOKUP(Imputar[[#This Row],[Categoría]],EIMI!C:T,8,0),0)</f>
        <v>0</v>
      </c>
      <c r="M237">
        <f>_xlfn.IFNA(VLOOKUP(Imputar[[#This Row],[Categoría]],EIMI!C:T,9,0),0)</f>
        <v>0</v>
      </c>
      <c r="N237">
        <f>_xlfn.IFNA(VLOOKUP(Imputar[[#This Row],[Categoría]],EIMI!C:T,10,0),0)</f>
        <v>0</v>
      </c>
    </row>
    <row r="238" spans="1:14" x14ac:dyDescent="0.25">
      <c r="A238" s="206" t="str">
        <f>Indice!$I$11</f>
        <v>EIMI00398</v>
      </c>
      <c r="B238" t="s">
        <v>849</v>
      </c>
      <c r="C238" s="39">
        <f>Indice!$I$12</f>
        <v>46053</v>
      </c>
      <c r="E238">
        <f>ROUND(SUMIFS(CATEGORIAS[[#All],[TOTAL PRODUCCION
ACTUAL]],CATEGORIAS[[#All],[CATEGORIA2]],Imputar[[#This Row],[Categoría]]),0)</f>
        <v>0</v>
      </c>
      <c r="F238">
        <v>0</v>
      </c>
      <c r="G238">
        <f>ROUND(SUMIFS(CATEGORIAS[[#All],[PROYECCION
DE INGRESO
DEL SALDO]],CATEGORIAS[[#All],[CATEGORIA2]],Imputar[[#This Row],[Categoría]]),0)</f>
        <v>0</v>
      </c>
      <c r="H238">
        <f>ROUND(SUMIFS(CATEGORIAS[[#All],[CAMBIO DE
CATEGORIA]],CATEGORIAS[[#All],[CATEGORIA2]],Imputar[[#This Row],[Categoría]]),0)</f>
        <v>0</v>
      </c>
      <c r="I2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8">
        <f>+ROUND(SUMIFS(CATEGORIAS[[#All],[PROYECCION
TOTAL DE COSTO]],CATEGORIAS[[#All],[CATEGORIA2]],Imputar[[#This Row],[Categoría]]),0)
-Imputar[[#This Row],[Inventario]]
-Imputar[[#This Row],[Pedidos no Rec]]</f>
        <v>0</v>
      </c>
      <c r="K2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8">
        <f>_xlfn.IFNA(VLOOKUP(Imputar[[#This Row],[Categoría]],EIMI!C:T,8,0),0)</f>
        <v>0</v>
      </c>
      <c r="M238">
        <f>_xlfn.IFNA(VLOOKUP(Imputar[[#This Row],[Categoría]],EIMI!C:T,9,0),0)</f>
        <v>0</v>
      </c>
      <c r="N238">
        <f>_xlfn.IFNA(VLOOKUP(Imputar[[#This Row],[Categoría]],EIMI!C:T,10,0),0)</f>
        <v>0</v>
      </c>
    </row>
    <row r="239" spans="1:14" hidden="1" x14ac:dyDescent="0.25">
      <c r="A239" s="206" t="str">
        <f>Indice!$I$11</f>
        <v>EIMI00398</v>
      </c>
      <c r="B239" t="s">
        <v>851</v>
      </c>
      <c r="C239" s="39">
        <f>Indice!$I$12</f>
        <v>46053</v>
      </c>
      <c r="E239">
        <f>ROUND(SUMIFS(CATEGORIAS[[#All],[TOTAL PRODUCCION
ACTUAL]],CATEGORIAS[[#All],[CATEGORIA2]],Imputar[[#This Row],[Categoría]]),0)</f>
        <v>0</v>
      </c>
      <c r="F239">
        <v>0</v>
      </c>
      <c r="G239">
        <f>ROUND(SUMIFS(CATEGORIAS[[#All],[PROYECCION
DE INGRESO
DEL SALDO]],CATEGORIAS[[#All],[CATEGORIA2]],Imputar[[#This Row],[Categoría]]),0)</f>
        <v>0</v>
      </c>
      <c r="H239">
        <f>ROUND(SUMIFS(CATEGORIAS[[#All],[CAMBIO DE
CATEGORIA]],CATEGORIAS[[#All],[CATEGORIA2]],Imputar[[#This Row],[Categoría]]),0)</f>
        <v>0</v>
      </c>
      <c r="I2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39">
        <f>+ROUND(SUMIFS(CATEGORIAS[[#All],[PROYECCION
TOTAL DE COSTO]],CATEGORIAS[[#All],[CATEGORIA2]],Imputar[[#This Row],[Categoría]]),0)
-Imputar[[#This Row],[Inventario]]
-Imputar[[#This Row],[Pedidos no Rec]]</f>
        <v>0</v>
      </c>
      <c r="K2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39">
        <f>_xlfn.IFNA(VLOOKUP(Imputar[[#This Row],[Categoría]],EIMI!C:T,8,0),0)</f>
        <v>0</v>
      </c>
      <c r="M239">
        <f>_xlfn.IFNA(VLOOKUP(Imputar[[#This Row],[Categoría]],EIMI!C:T,9,0),0)</f>
        <v>0</v>
      </c>
      <c r="N239">
        <f>_xlfn.IFNA(VLOOKUP(Imputar[[#This Row],[Categoría]],EIMI!C:T,10,0),0)</f>
        <v>0</v>
      </c>
    </row>
    <row r="240" spans="1:14" x14ac:dyDescent="0.25">
      <c r="A240" s="206" t="str">
        <f>Indice!$I$11</f>
        <v>EIMI00398</v>
      </c>
      <c r="B240" t="s">
        <v>853</v>
      </c>
      <c r="C240" s="39">
        <f>Indice!$I$12</f>
        <v>46053</v>
      </c>
      <c r="E240">
        <f>ROUND(SUMIFS(CATEGORIAS[[#All],[TOTAL PRODUCCION
ACTUAL]],CATEGORIAS[[#All],[CATEGORIA2]],Imputar[[#This Row],[Categoría]]),0)</f>
        <v>0</v>
      </c>
      <c r="F240">
        <v>0</v>
      </c>
      <c r="G240">
        <f>ROUND(SUMIFS(CATEGORIAS[[#All],[PROYECCION
DE INGRESO
DEL SALDO]],CATEGORIAS[[#All],[CATEGORIA2]],Imputar[[#This Row],[Categoría]]),0)</f>
        <v>0</v>
      </c>
      <c r="H240">
        <f>ROUND(SUMIFS(CATEGORIAS[[#All],[CAMBIO DE
CATEGORIA]],CATEGORIAS[[#All],[CATEGORIA2]],Imputar[[#This Row],[Categoría]]),0)</f>
        <v>0</v>
      </c>
      <c r="I2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0">
        <f>+ROUND(SUMIFS(CATEGORIAS[[#All],[PROYECCION
TOTAL DE COSTO]],CATEGORIAS[[#All],[CATEGORIA2]],Imputar[[#This Row],[Categoría]]),0)
-Imputar[[#This Row],[Inventario]]
-Imputar[[#This Row],[Pedidos no Rec]]</f>
        <v>0</v>
      </c>
      <c r="K2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0">
        <f>_xlfn.IFNA(VLOOKUP(Imputar[[#This Row],[Categoría]],EIMI!C:T,8,0),0)</f>
        <v>0</v>
      </c>
      <c r="M240">
        <f>_xlfn.IFNA(VLOOKUP(Imputar[[#This Row],[Categoría]],EIMI!C:T,9,0),0)</f>
        <v>0</v>
      </c>
      <c r="N240">
        <f>_xlfn.IFNA(VLOOKUP(Imputar[[#This Row],[Categoría]],EIMI!C:T,10,0),0)</f>
        <v>0</v>
      </c>
    </row>
    <row r="241" spans="1:14" hidden="1" x14ac:dyDescent="0.25">
      <c r="A241" s="206" t="str">
        <f>Indice!$I$11</f>
        <v>EIMI00398</v>
      </c>
      <c r="B241" t="s">
        <v>855</v>
      </c>
      <c r="C241" s="39">
        <f>Indice!$I$12</f>
        <v>46053</v>
      </c>
      <c r="E241">
        <f>ROUND(SUMIFS(CATEGORIAS[[#All],[TOTAL PRODUCCION
ACTUAL]],CATEGORIAS[[#All],[CATEGORIA2]],Imputar[[#This Row],[Categoría]]),0)</f>
        <v>0</v>
      </c>
      <c r="F241">
        <v>0</v>
      </c>
      <c r="G241">
        <f>ROUND(SUMIFS(CATEGORIAS[[#All],[PROYECCION
DE INGRESO
DEL SALDO]],CATEGORIAS[[#All],[CATEGORIA2]],Imputar[[#This Row],[Categoría]]),0)</f>
        <v>0</v>
      </c>
      <c r="H241">
        <f>ROUND(SUMIFS(CATEGORIAS[[#All],[CAMBIO DE
CATEGORIA]],CATEGORIAS[[#All],[CATEGORIA2]],Imputar[[#This Row],[Categoría]]),0)</f>
        <v>0</v>
      </c>
      <c r="I2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1">
        <f>+ROUND(SUMIFS(CATEGORIAS[[#All],[PROYECCION
TOTAL DE COSTO]],CATEGORIAS[[#All],[CATEGORIA2]],Imputar[[#This Row],[Categoría]]),0)
-Imputar[[#This Row],[Inventario]]
-Imputar[[#This Row],[Pedidos no Rec]]</f>
        <v>0</v>
      </c>
      <c r="K2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1">
        <f>_xlfn.IFNA(VLOOKUP(Imputar[[#This Row],[Categoría]],EIMI!C:T,8,0),0)</f>
        <v>0</v>
      </c>
      <c r="M241">
        <f>_xlfn.IFNA(VLOOKUP(Imputar[[#This Row],[Categoría]],EIMI!C:T,9,0),0)</f>
        <v>0</v>
      </c>
      <c r="N241">
        <f>_xlfn.IFNA(VLOOKUP(Imputar[[#This Row],[Categoría]],EIMI!C:T,10,0),0)</f>
        <v>0</v>
      </c>
    </row>
    <row r="242" spans="1:14" x14ac:dyDescent="0.25">
      <c r="A242" s="206" t="str">
        <f>Indice!$I$11</f>
        <v>EIMI00398</v>
      </c>
      <c r="B242" t="s">
        <v>857</v>
      </c>
      <c r="C242" s="39">
        <f>Indice!$I$12</f>
        <v>46053</v>
      </c>
      <c r="E242">
        <f>ROUND(SUMIFS(CATEGORIAS[[#All],[TOTAL PRODUCCION
ACTUAL]],CATEGORIAS[[#All],[CATEGORIA2]],Imputar[[#This Row],[Categoría]]),0)</f>
        <v>0</v>
      </c>
      <c r="F242">
        <v>0</v>
      </c>
      <c r="G242">
        <f>ROUND(SUMIFS(CATEGORIAS[[#All],[PROYECCION
DE INGRESO
DEL SALDO]],CATEGORIAS[[#All],[CATEGORIA2]],Imputar[[#This Row],[Categoría]]),0)</f>
        <v>0</v>
      </c>
      <c r="H242">
        <f>ROUND(SUMIFS(CATEGORIAS[[#All],[CAMBIO DE
CATEGORIA]],CATEGORIAS[[#All],[CATEGORIA2]],Imputar[[#This Row],[Categoría]]),0)</f>
        <v>0</v>
      </c>
      <c r="I2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2">
        <f>+ROUND(SUMIFS(CATEGORIAS[[#All],[PROYECCION
TOTAL DE COSTO]],CATEGORIAS[[#All],[CATEGORIA2]],Imputar[[#This Row],[Categoría]]),0)
-Imputar[[#This Row],[Inventario]]
-Imputar[[#This Row],[Pedidos no Rec]]</f>
        <v>0</v>
      </c>
      <c r="K2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2">
        <f>_xlfn.IFNA(VLOOKUP(Imputar[[#This Row],[Categoría]],EIMI!C:T,8,0),0)</f>
        <v>0</v>
      </c>
      <c r="M242">
        <f>_xlfn.IFNA(VLOOKUP(Imputar[[#This Row],[Categoría]],EIMI!C:T,9,0),0)</f>
        <v>0</v>
      </c>
      <c r="N242">
        <f>_xlfn.IFNA(VLOOKUP(Imputar[[#This Row],[Categoría]],EIMI!C:T,10,0),0)</f>
        <v>0</v>
      </c>
    </row>
    <row r="243" spans="1:14" hidden="1" x14ac:dyDescent="0.25">
      <c r="A243" s="206" t="str">
        <f>Indice!$I$11</f>
        <v>EIMI00398</v>
      </c>
      <c r="B243" t="s">
        <v>859</v>
      </c>
      <c r="C243" s="39">
        <f>Indice!$I$12</f>
        <v>46053</v>
      </c>
      <c r="E243">
        <f>ROUND(SUMIFS(CATEGORIAS[[#All],[TOTAL PRODUCCION
ACTUAL]],CATEGORIAS[[#All],[CATEGORIA2]],Imputar[[#This Row],[Categoría]]),0)</f>
        <v>0</v>
      </c>
      <c r="F243">
        <v>0</v>
      </c>
      <c r="G243">
        <f>ROUND(SUMIFS(CATEGORIAS[[#All],[PROYECCION
DE INGRESO
DEL SALDO]],CATEGORIAS[[#All],[CATEGORIA2]],Imputar[[#This Row],[Categoría]]),0)</f>
        <v>0</v>
      </c>
      <c r="H243">
        <f>ROUND(SUMIFS(CATEGORIAS[[#All],[CAMBIO DE
CATEGORIA]],CATEGORIAS[[#All],[CATEGORIA2]],Imputar[[#This Row],[Categoría]]),0)</f>
        <v>0</v>
      </c>
      <c r="I2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3">
        <f>+ROUND(SUMIFS(CATEGORIAS[[#All],[PROYECCION
TOTAL DE COSTO]],CATEGORIAS[[#All],[CATEGORIA2]],Imputar[[#This Row],[Categoría]]),0)
-Imputar[[#This Row],[Inventario]]
-Imputar[[#This Row],[Pedidos no Rec]]</f>
        <v>0</v>
      </c>
      <c r="K2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3">
        <f>_xlfn.IFNA(VLOOKUP(Imputar[[#This Row],[Categoría]],EIMI!C:T,8,0),0)</f>
        <v>0</v>
      </c>
      <c r="M243">
        <f>_xlfn.IFNA(VLOOKUP(Imputar[[#This Row],[Categoría]],EIMI!C:T,9,0),0)</f>
        <v>0</v>
      </c>
      <c r="N243">
        <f>_xlfn.IFNA(VLOOKUP(Imputar[[#This Row],[Categoría]],EIMI!C:T,10,0),0)</f>
        <v>0</v>
      </c>
    </row>
    <row r="244" spans="1:14" x14ac:dyDescent="0.25">
      <c r="A244" s="206" t="str">
        <f>Indice!$I$11</f>
        <v>EIMI00398</v>
      </c>
      <c r="B244" t="s">
        <v>861</v>
      </c>
      <c r="C244" s="39">
        <f>Indice!$I$12</f>
        <v>46053</v>
      </c>
      <c r="E244">
        <f>ROUND(SUMIFS(CATEGORIAS[[#All],[TOTAL PRODUCCION
ACTUAL]],CATEGORIAS[[#All],[CATEGORIA2]],Imputar[[#This Row],[Categoría]]),0)</f>
        <v>0</v>
      </c>
      <c r="F244">
        <v>0</v>
      </c>
      <c r="G244">
        <f>ROUND(SUMIFS(CATEGORIAS[[#All],[PROYECCION
DE INGRESO
DEL SALDO]],CATEGORIAS[[#All],[CATEGORIA2]],Imputar[[#This Row],[Categoría]]),0)</f>
        <v>0</v>
      </c>
      <c r="H244">
        <f>ROUND(SUMIFS(CATEGORIAS[[#All],[CAMBIO DE
CATEGORIA]],CATEGORIAS[[#All],[CATEGORIA2]],Imputar[[#This Row],[Categoría]]),0)</f>
        <v>0</v>
      </c>
      <c r="I2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4">
        <f>+ROUND(SUMIFS(CATEGORIAS[[#All],[PROYECCION
TOTAL DE COSTO]],CATEGORIAS[[#All],[CATEGORIA2]],Imputar[[#This Row],[Categoría]]),0)
-Imputar[[#This Row],[Inventario]]
-Imputar[[#This Row],[Pedidos no Rec]]</f>
        <v>0</v>
      </c>
      <c r="K2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4">
        <f>_xlfn.IFNA(VLOOKUP(Imputar[[#This Row],[Categoría]],EIMI!C:T,8,0),0)</f>
        <v>0</v>
      </c>
      <c r="M244">
        <f>_xlfn.IFNA(VLOOKUP(Imputar[[#This Row],[Categoría]],EIMI!C:T,9,0),0)</f>
        <v>0</v>
      </c>
      <c r="N244">
        <f>_xlfn.IFNA(VLOOKUP(Imputar[[#This Row],[Categoría]],EIMI!C:T,10,0),0)</f>
        <v>0</v>
      </c>
    </row>
    <row r="245" spans="1:14" hidden="1" x14ac:dyDescent="0.25">
      <c r="A245" s="206" t="str">
        <f>Indice!$I$11</f>
        <v>EIMI00398</v>
      </c>
      <c r="B245" t="s">
        <v>863</v>
      </c>
      <c r="C245" s="39">
        <f>Indice!$I$12</f>
        <v>46053</v>
      </c>
      <c r="E245">
        <f>ROUND(SUMIFS(CATEGORIAS[[#All],[TOTAL PRODUCCION
ACTUAL]],CATEGORIAS[[#All],[CATEGORIA2]],Imputar[[#This Row],[Categoría]]),0)</f>
        <v>0</v>
      </c>
      <c r="F245">
        <v>0</v>
      </c>
      <c r="G245">
        <f>ROUND(SUMIFS(CATEGORIAS[[#All],[PROYECCION
DE INGRESO
DEL SALDO]],CATEGORIAS[[#All],[CATEGORIA2]],Imputar[[#This Row],[Categoría]]),0)</f>
        <v>0</v>
      </c>
      <c r="H245">
        <f>ROUND(SUMIFS(CATEGORIAS[[#All],[CAMBIO DE
CATEGORIA]],CATEGORIAS[[#All],[CATEGORIA2]],Imputar[[#This Row],[Categoría]]),0)</f>
        <v>0</v>
      </c>
      <c r="I2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5">
        <f>+ROUND(SUMIFS(CATEGORIAS[[#All],[PROYECCION
TOTAL DE COSTO]],CATEGORIAS[[#All],[CATEGORIA2]],Imputar[[#This Row],[Categoría]]),0)
-Imputar[[#This Row],[Inventario]]
-Imputar[[#This Row],[Pedidos no Rec]]</f>
        <v>0</v>
      </c>
      <c r="K2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5">
        <f>_xlfn.IFNA(VLOOKUP(Imputar[[#This Row],[Categoría]],EIMI!C:T,8,0),0)</f>
        <v>0</v>
      </c>
      <c r="M245">
        <f>_xlfn.IFNA(VLOOKUP(Imputar[[#This Row],[Categoría]],EIMI!C:T,9,0),0)</f>
        <v>0</v>
      </c>
      <c r="N245">
        <f>_xlfn.IFNA(VLOOKUP(Imputar[[#This Row],[Categoría]],EIMI!C:T,10,0),0)</f>
        <v>0</v>
      </c>
    </row>
    <row r="246" spans="1:14" hidden="1" x14ac:dyDescent="0.25">
      <c r="A246" s="206" t="str">
        <f>Indice!$I$11</f>
        <v>EIMI00398</v>
      </c>
      <c r="B246" t="s">
        <v>865</v>
      </c>
      <c r="C246" s="39">
        <f>Indice!$I$12</f>
        <v>46053</v>
      </c>
      <c r="E246">
        <f>ROUND(SUMIFS(CATEGORIAS[[#All],[TOTAL PRODUCCION
ACTUAL]],CATEGORIAS[[#All],[CATEGORIA2]],Imputar[[#This Row],[Categoría]]),0)</f>
        <v>0</v>
      </c>
      <c r="F246">
        <v>0</v>
      </c>
      <c r="G246">
        <f>ROUND(SUMIFS(CATEGORIAS[[#All],[PROYECCION
DE INGRESO
DEL SALDO]],CATEGORIAS[[#All],[CATEGORIA2]],Imputar[[#This Row],[Categoría]]),0)</f>
        <v>0</v>
      </c>
      <c r="H246">
        <f>ROUND(SUMIFS(CATEGORIAS[[#All],[CAMBIO DE
CATEGORIA]],CATEGORIAS[[#All],[CATEGORIA2]],Imputar[[#This Row],[Categoría]]),0)</f>
        <v>0</v>
      </c>
      <c r="I2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6">
        <f>+ROUND(SUMIFS(CATEGORIAS[[#All],[PROYECCION
TOTAL DE COSTO]],CATEGORIAS[[#All],[CATEGORIA2]],Imputar[[#This Row],[Categoría]]),0)
-Imputar[[#This Row],[Inventario]]
-Imputar[[#This Row],[Pedidos no Rec]]</f>
        <v>0</v>
      </c>
      <c r="K2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6">
        <f>_xlfn.IFNA(VLOOKUP(Imputar[[#This Row],[Categoría]],EIMI!C:T,8,0),0)</f>
        <v>0</v>
      </c>
      <c r="M246">
        <f>_xlfn.IFNA(VLOOKUP(Imputar[[#This Row],[Categoría]],EIMI!C:T,9,0),0)</f>
        <v>0</v>
      </c>
      <c r="N246">
        <f>_xlfn.IFNA(VLOOKUP(Imputar[[#This Row],[Categoría]],EIMI!C:T,10,0),0)</f>
        <v>0</v>
      </c>
    </row>
    <row r="247" spans="1:14" hidden="1" x14ac:dyDescent="0.25">
      <c r="A247" s="206" t="str">
        <f>Indice!$I$11</f>
        <v>EIMI00398</v>
      </c>
      <c r="B247" t="s">
        <v>867</v>
      </c>
      <c r="C247" s="39">
        <f>Indice!$I$12</f>
        <v>46053</v>
      </c>
      <c r="E247">
        <f>ROUND(SUMIFS(CATEGORIAS[[#All],[TOTAL PRODUCCION
ACTUAL]],CATEGORIAS[[#All],[CATEGORIA2]],Imputar[[#This Row],[Categoría]]),0)</f>
        <v>0</v>
      </c>
      <c r="F247">
        <v>0</v>
      </c>
      <c r="G247">
        <f>ROUND(SUMIFS(CATEGORIAS[[#All],[PROYECCION
DE INGRESO
DEL SALDO]],CATEGORIAS[[#All],[CATEGORIA2]],Imputar[[#This Row],[Categoría]]),0)</f>
        <v>0</v>
      </c>
      <c r="H247">
        <f>ROUND(SUMIFS(CATEGORIAS[[#All],[CAMBIO DE
CATEGORIA]],CATEGORIAS[[#All],[CATEGORIA2]],Imputar[[#This Row],[Categoría]]),0)</f>
        <v>0</v>
      </c>
      <c r="I2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7">
        <f>+ROUND(SUMIFS(CATEGORIAS[[#All],[PROYECCION
TOTAL DE COSTO]],CATEGORIAS[[#All],[CATEGORIA2]],Imputar[[#This Row],[Categoría]]),0)
-Imputar[[#This Row],[Inventario]]
-Imputar[[#This Row],[Pedidos no Rec]]</f>
        <v>0</v>
      </c>
      <c r="K2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7">
        <f>_xlfn.IFNA(VLOOKUP(Imputar[[#This Row],[Categoría]],EIMI!C:T,8,0),0)</f>
        <v>0</v>
      </c>
      <c r="M247">
        <f>_xlfn.IFNA(VLOOKUP(Imputar[[#This Row],[Categoría]],EIMI!C:T,9,0),0)</f>
        <v>0</v>
      </c>
      <c r="N247">
        <f>_xlfn.IFNA(VLOOKUP(Imputar[[#This Row],[Categoría]],EIMI!C:T,10,0),0)</f>
        <v>0</v>
      </c>
    </row>
    <row r="248" spans="1:14" x14ac:dyDescent="0.25">
      <c r="A248" s="206" t="str">
        <f>Indice!$I$11</f>
        <v>EIMI00398</v>
      </c>
      <c r="B248" t="s">
        <v>869</v>
      </c>
      <c r="C248" s="39">
        <f>Indice!$I$12</f>
        <v>46053</v>
      </c>
      <c r="E248">
        <f>ROUND(SUMIFS(CATEGORIAS[[#All],[TOTAL PRODUCCION
ACTUAL]],CATEGORIAS[[#All],[CATEGORIA2]],Imputar[[#This Row],[Categoría]]),0)</f>
        <v>0</v>
      </c>
      <c r="F248">
        <v>0</v>
      </c>
      <c r="G248">
        <f>ROUND(SUMIFS(CATEGORIAS[[#All],[PROYECCION
DE INGRESO
DEL SALDO]],CATEGORIAS[[#All],[CATEGORIA2]],Imputar[[#This Row],[Categoría]]),0)</f>
        <v>0</v>
      </c>
      <c r="H248">
        <f>ROUND(SUMIFS(CATEGORIAS[[#All],[CAMBIO DE
CATEGORIA]],CATEGORIAS[[#All],[CATEGORIA2]],Imputar[[#This Row],[Categoría]]),0)</f>
        <v>0</v>
      </c>
      <c r="I2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8">
        <f>+ROUND(SUMIFS(CATEGORIAS[[#All],[PROYECCION
TOTAL DE COSTO]],CATEGORIAS[[#All],[CATEGORIA2]],Imputar[[#This Row],[Categoría]]),0)
-Imputar[[#This Row],[Inventario]]
-Imputar[[#This Row],[Pedidos no Rec]]</f>
        <v>0</v>
      </c>
      <c r="K2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8">
        <f>_xlfn.IFNA(VLOOKUP(Imputar[[#This Row],[Categoría]],EIMI!C:T,8,0),0)</f>
        <v>0</v>
      </c>
      <c r="M248">
        <f>_xlfn.IFNA(VLOOKUP(Imputar[[#This Row],[Categoría]],EIMI!C:T,9,0),0)</f>
        <v>0</v>
      </c>
      <c r="N248">
        <f>_xlfn.IFNA(VLOOKUP(Imputar[[#This Row],[Categoría]],EIMI!C:T,10,0),0)</f>
        <v>0</v>
      </c>
    </row>
    <row r="249" spans="1:14" hidden="1" x14ac:dyDescent="0.25">
      <c r="A249" s="206" t="str">
        <f>Indice!$I$11</f>
        <v>EIMI00398</v>
      </c>
      <c r="B249" t="s">
        <v>871</v>
      </c>
      <c r="C249" s="39">
        <f>Indice!$I$12</f>
        <v>46053</v>
      </c>
      <c r="E249">
        <f>ROUND(SUMIFS(CATEGORIAS[[#All],[TOTAL PRODUCCION
ACTUAL]],CATEGORIAS[[#All],[CATEGORIA2]],Imputar[[#This Row],[Categoría]]),0)</f>
        <v>0</v>
      </c>
      <c r="F249">
        <v>0</v>
      </c>
      <c r="G249">
        <f>ROUND(SUMIFS(CATEGORIAS[[#All],[PROYECCION
DE INGRESO
DEL SALDO]],CATEGORIAS[[#All],[CATEGORIA2]],Imputar[[#This Row],[Categoría]]),0)</f>
        <v>0</v>
      </c>
      <c r="H249">
        <f>ROUND(SUMIFS(CATEGORIAS[[#All],[CAMBIO DE
CATEGORIA]],CATEGORIAS[[#All],[CATEGORIA2]],Imputar[[#This Row],[Categoría]]),0)</f>
        <v>0</v>
      </c>
      <c r="I2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49">
        <f>+ROUND(SUMIFS(CATEGORIAS[[#All],[PROYECCION
TOTAL DE COSTO]],CATEGORIAS[[#All],[CATEGORIA2]],Imputar[[#This Row],[Categoría]]),0)
-Imputar[[#This Row],[Inventario]]
-Imputar[[#This Row],[Pedidos no Rec]]</f>
        <v>0</v>
      </c>
      <c r="K2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49">
        <f>_xlfn.IFNA(VLOOKUP(Imputar[[#This Row],[Categoría]],EIMI!C:T,8,0),0)</f>
        <v>0</v>
      </c>
      <c r="M249">
        <f>_xlfn.IFNA(VLOOKUP(Imputar[[#This Row],[Categoría]],EIMI!C:T,9,0),0)</f>
        <v>0</v>
      </c>
      <c r="N249">
        <f>_xlfn.IFNA(VLOOKUP(Imputar[[#This Row],[Categoría]],EIMI!C:T,10,0),0)</f>
        <v>0</v>
      </c>
    </row>
    <row r="250" spans="1:14" hidden="1" x14ac:dyDescent="0.25">
      <c r="A250" s="206" t="str">
        <f>Indice!$I$11</f>
        <v>EIMI00398</v>
      </c>
      <c r="B250" t="s">
        <v>873</v>
      </c>
      <c r="C250" s="39">
        <f>Indice!$I$12</f>
        <v>46053</v>
      </c>
      <c r="E250">
        <f>ROUND(SUMIFS(CATEGORIAS[[#All],[TOTAL PRODUCCION
ACTUAL]],CATEGORIAS[[#All],[CATEGORIA2]],Imputar[[#This Row],[Categoría]]),0)</f>
        <v>0</v>
      </c>
      <c r="F250">
        <v>0</v>
      </c>
      <c r="G250">
        <f>ROUND(SUMIFS(CATEGORIAS[[#All],[PROYECCION
DE INGRESO
DEL SALDO]],CATEGORIAS[[#All],[CATEGORIA2]],Imputar[[#This Row],[Categoría]]),0)</f>
        <v>0</v>
      </c>
      <c r="H250">
        <f>ROUND(SUMIFS(CATEGORIAS[[#All],[CAMBIO DE
CATEGORIA]],CATEGORIAS[[#All],[CATEGORIA2]],Imputar[[#This Row],[Categoría]]),0)</f>
        <v>0</v>
      </c>
      <c r="I2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0">
        <f>+ROUND(SUMIFS(CATEGORIAS[[#All],[PROYECCION
TOTAL DE COSTO]],CATEGORIAS[[#All],[CATEGORIA2]],Imputar[[#This Row],[Categoría]]),0)
-Imputar[[#This Row],[Inventario]]
-Imputar[[#This Row],[Pedidos no Rec]]</f>
        <v>0</v>
      </c>
      <c r="K2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0">
        <f>_xlfn.IFNA(VLOOKUP(Imputar[[#This Row],[Categoría]],EIMI!C:T,8,0),0)</f>
        <v>0</v>
      </c>
      <c r="M250">
        <f>_xlfn.IFNA(VLOOKUP(Imputar[[#This Row],[Categoría]],EIMI!C:T,9,0),0)</f>
        <v>0</v>
      </c>
      <c r="N250">
        <f>_xlfn.IFNA(VLOOKUP(Imputar[[#This Row],[Categoría]],EIMI!C:T,10,0),0)</f>
        <v>0</v>
      </c>
    </row>
    <row r="251" spans="1:14" hidden="1" x14ac:dyDescent="0.25">
      <c r="A251" s="206" t="str">
        <f>Indice!$I$11</f>
        <v>EIMI00398</v>
      </c>
      <c r="B251" t="s">
        <v>875</v>
      </c>
      <c r="C251" s="39">
        <f>Indice!$I$12</f>
        <v>46053</v>
      </c>
      <c r="E251">
        <f>ROUND(SUMIFS(CATEGORIAS[[#All],[TOTAL PRODUCCION
ACTUAL]],CATEGORIAS[[#All],[CATEGORIA2]],Imputar[[#This Row],[Categoría]]),0)</f>
        <v>0</v>
      </c>
      <c r="F251">
        <v>0</v>
      </c>
      <c r="G251">
        <f>ROUND(SUMIFS(CATEGORIAS[[#All],[PROYECCION
DE INGRESO
DEL SALDO]],CATEGORIAS[[#All],[CATEGORIA2]],Imputar[[#This Row],[Categoría]]),0)</f>
        <v>0</v>
      </c>
      <c r="H251">
        <f>ROUND(SUMIFS(CATEGORIAS[[#All],[CAMBIO DE
CATEGORIA]],CATEGORIAS[[#All],[CATEGORIA2]],Imputar[[#This Row],[Categoría]]),0)</f>
        <v>0</v>
      </c>
      <c r="I2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1">
        <f>+ROUND(SUMIFS(CATEGORIAS[[#All],[PROYECCION
TOTAL DE COSTO]],CATEGORIAS[[#All],[CATEGORIA2]],Imputar[[#This Row],[Categoría]]),0)
-Imputar[[#This Row],[Inventario]]
-Imputar[[#This Row],[Pedidos no Rec]]</f>
        <v>0</v>
      </c>
      <c r="K2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1">
        <f>_xlfn.IFNA(VLOOKUP(Imputar[[#This Row],[Categoría]],EIMI!C:T,8,0),0)</f>
        <v>0</v>
      </c>
      <c r="M251">
        <f>_xlfn.IFNA(VLOOKUP(Imputar[[#This Row],[Categoría]],EIMI!C:T,9,0),0)</f>
        <v>0</v>
      </c>
      <c r="N251">
        <f>_xlfn.IFNA(VLOOKUP(Imputar[[#This Row],[Categoría]],EIMI!C:T,10,0),0)</f>
        <v>0</v>
      </c>
    </row>
    <row r="252" spans="1:14" hidden="1" x14ac:dyDescent="0.25">
      <c r="A252" s="206" t="str">
        <f>Indice!$I$11</f>
        <v>EIMI00398</v>
      </c>
      <c r="B252" t="s">
        <v>877</v>
      </c>
      <c r="C252" s="39">
        <f>Indice!$I$12</f>
        <v>46053</v>
      </c>
      <c r="E252">
        <f>ROUND(SUMIFS(CATEGORIAS[[#All],[TOTAL PRODUCCION
ACTUAL]],CATEGORIAS[[#All],[CATEGORIA2]],Imputar[[#This Row],[Categoría]]),0)</f>
        <v>0</v>
      </c>
      <c r="F252">
        <v>0</v>
      </c>
      <c r="G252">
        <f>ROUND(SUMIFS(CATEGORIAS[[#All],[PROYECCION
DE INGRESO
DEL SALDO]],CATEGORIAS[[#All],[CATEGORIA2]],Imputar[[#This Row],[Categoría]]),0)</f>
        <v>0</v>
      </c>
      <c r="H252">
        <f>ROUND(SUMIFS(CATEGORIAS[[#All],[CAMBIO DE
CATEGORIA]],CATEGORIAS[[#All],[CATEGORIA2]],Imputar[[#This Row],[Categoría]]),0)</f>
        <v>0</v>
      </c>
      <c r="I2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2">
        <f>+ROUND(SUMIFS(CATEGORIAS[[#All],[PROYECCION
TOTAL DE COSTO]],CATEGORIAS[[#All],[CATEGORIA2]],Imputar[[#This Row],[Categoría]]),0)
-Imputar[[#This Row],[Inventario]]
-Imputar[[#This Row],[Pedidos no Rec]]</f>
        <v>0</v>
      </c>
      <c r="K2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2">
        <f>_xlfn.IFNA(VLOOKUP(Imputar[[#This Row],[Categoría]],EIMI!C:T,8,0),0)</f>
        <v>0</v>
      </c>
      <c r="M252">
        <f>_xlfn.IFNA(VLOOKUP(Imputar[[#This Row],[Categoría]],EIMI!C:T,9,0),0)</f>
        <v>0</v>
      </c>
      <c r="N252">
        <f>_xlfn.IFNA(VLOOKUP(Imputar[[#This Row],[Categoría]],EIMI!C:T,10,0),0)</f>
        <v>0</v>
      </c>
    </row>
    <row r="253" spans="1:14" hidden="1" x14ac:dyDescent="0.25">
      <c r="A253" s="206" t="str">
        <f>Indice!$I$11</f>
        <v>EIMI00398</v>
      </c>
      <c r="B253" t="s">
        <v>879</v>
      </c>
      <c r="C253" s="39">
        <f>Indice!$I$12</f>
        <v>46053</v>
      </c>
      <c r="E253">
        <f>ROUND(SUMIFS(CATEGORIAS[[#All],[TOTAL PRODUCCION
ACTUAL]],CATEGORIAS[[#All],[CATEGORIA2]],Imputar[[#This Row],[Categoría]]),0)</f>
        <v>0</v>
      </c>
      <c r="F253">
        <v>0</v>
      </c>
      <c r="G253">
        <f>ROUND(SUMIFS(CATEGORIAS[[#All],[PROYECCION
DE INGRESO
DEL SALDO]],CATEGORIAS[[#All],[CATEGORIA2]],Imputar[[#This Row],[Categoría]]),0)</f>
        <v>0</v>
      </c>
      <c r="H253">
        <f>ROUND(SUMIFS(CATEGORIAS[[#All],[CAMBIO DE
CATEGORIA]],CATEGORIAS[[#All],[CATEGORIA2]],Imputar[[#This Row],[Categoría]]),0)</f>
        <v>0</v>
      </c>
      <c r="I2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3">
        <f>+ROUND(SUMIFS(CATEGORIAS[[#All],[PROYECCION
TOTAL DE COSTO]],CATEGORIAS[[#All],[CATEGORIA2]],Imputar[[#This Row],[Categoría]]),0)
-Imputar[[#This Row],[Inventario]]
-Imputar[[#This Row],[Pedidos no Rec]]</f>
        <v>0</v>
      </c>
      <c r="K2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3">
        <f>_xlfn.IFNA(VLOOKUP(Imputar[[#This Row],[Categoría]],EIMI!C:T,8,0),0)</f>
        <v>0</v>
      </c>
      <c r="M253">
        <f>_xlfn.IFNA(VLOOKUP(Imputar[[#This Row],[Categoría]],EIMI!C:T,9,0),0)</f>
        <v>0</v>
      </c>
      <c r="N253">
        <f>_xlfn.IFNA(VLOOKUP(Imputar[[#This Row],[Categoría]],EIMI!C:T,10,0),0)</f>
        <v>0</v>
      </c>
    </row>
    <row r="254" spans="1:14" hidden="1" x14ac:dyDescent="0.25">
      <c r="A254" s="206" t="str">
        <f>Indice!$I$11</f>
        <v>EIMI00398</v>
      </c>
      <c r="B254" t="s">
        <v>881</v>
      </c>
      <c r="C254" s="39">
        <f>Indice!$I$12</f>
        <v>46053</v>
      </c>
      <c r="E254">
        <f>ROUND(SUMIFS(CATEGORIAS[[#All],[TOTAL PRODUCCION
ACTUAL]],CATEGORIAS[[#All],[CATEGORIA2]],Imputar[[#This Row],[Categoría]]),0)</f>
        <v>0</v>
      </c>
      <c r="F254">
        <v>0</v>
      </c>
      <c r="G254">
        <f>ROUND(SUMIFS(CATEGORIAS[[#All],[PROYECCION
DE INGRESO
DEL SALDO]],CATEGORIAS[[#All],[CATEGORIA2]],Imputar[[#This Row],[Categoría]]),0)</f>
        <v>0</v>
      </c>
      <c r="H254">
        <f>ROUND(SUMIFS(CATEGORIAS[[#All],[CAMBIO DE
CATEGORIA]],CATEGORIAS[[#All],[CATEGORIA2]],Imputar[[#This Row],[Categoría]]),0)</f>
        <v>0</v>
      </c>
      <c r="I2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4">
        <f>+ROUND(SUMIFS(CATEGORIAS[[#All],[PROYECCION
TOTAL DE COSTO]],CATEGORIAS[[#All],[CATEGORIA2]],Imputar[[#This Row],[Categoría]]),0)
-Imputar[[#This Row],[Inventario]]
-Imputar[[#This Row],[Pedidos no Rec]]</f>
        <v>0</v>
      </c>
      <c r="K2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4">
        <f>_xlfn.IFNA(VLOOKUP(Imputar[[#This Row],[Categoría]],EIMI!C:T,8,0),0)</f>
        <v>0</v>
      </c>
      <c r="M254">
        <f>_xlfn.IFNA(VLOOKUP(Imputar[[#This Row],[Categoría]],EIMI!C:T,9,0),0)</f>
        <v>0</v>
      </c>
      <c r="N254">
        <f>_xlfn.IFNA(VLOOKUP(Imputar[[#This Row],[Categoría]],EIMI!C:T,10,0),0)</f>
        <v>0</v>
      </c>
    </row>
    <row r="255" spans="1:14" hidden="1" x14ac:dyDescent="0.25">
      <c r="A255" s="206" t="str">
        <f>Indice!$I$11</f>
        <v>EIMI00398</v>
      </c>
      <c r="B255" t="s">
        <v>883</v>
      </c>
      <c r="C255" s="39">
        <f>Indice!$I$12</f>
        <v>46053</v>
      </c>
      <c r="E255">
        <f>ROUND(SUMIFS(CATEGORIAS[[#All],[TOTAL PRODUCCION
ACTUAL]],CATEGORIAS[[#All],[CATEGORIA2]],Imputar[[#This Row],[Categoría]]),0)</f>
        <v>0</v>
      </c>
      <c r="F255">
        <v>0</v>
      </c>
      <c r="G255">
        <f>ROUND(SUMIFS(CATEGORIAS[[#All],[PROYECCION
DE INGRESO
DEL SALDO]],CATEGORIAS[[#All],[CATEGORIA2]],Imputar[[#This Row],[Categoría]]),0)</f>
        <v>0</v>
      </c>
      <c r="H255">
        <f>ROUND(SUMIFS(CATEGORIAS[[#All],[CAMBIO DE
CATEGORIA]],CATEGORIAS[[#All],[CATEGORIA2]],Imputar[[#This Row],[Categoría]]),0)</f>
        <v>0</v>
      </c>
      <c r="I2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5">
        <f>+ROUND(SUMIFS(CATEGORIAS[[#All],[PROYECCION
TOTAL DE COSTO]],CATEGORIAS[[#All],[CATEGORIA2]],Imputar[[#This Row],[Categoría]]),0)
-Imputar[[#This Row],[Inventario]]
-Imputar[[#This Row],[Pedidos no Rec]]</f>
        <v>0</v>
      </c>
      <c r="K2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5">
        <f>_xlfn.IFNA(VLOOKUP(Imputar[[#This Row],[Categoría]],EIMI!C:T,8,0),0)</f>
        <v>0</v>
      </c>
      <c r="M255">
        <f>_xlfn.IFNA(VLOOKUP(Imputar[[#This Row],[Categoría]],EIMI!C:T,9,0),0)</f>
        <v>0</v>
      </c>
      <c r="N255">
        <f>_xlfn.IFNA(VLOOKUP(Imputar[[#This Row],[Categoría]],EIMI!C:T,10,0),0)</f>
        <v>0</v>
      </c>
    </row>
    <row r="256" spans="1:14" x14ac:dyDescent="0.25">
      <c r="A256" s="206" t="str">
        <f>Indice!$I$11</f>
        <v>EIMI00398</v>
      </c>
      <c r="B256" t="s">
        <v>885</v>
      </c>
      <c r="C256" s="39">
        <f>Indice!$I$12</f>
        <v>46053</v>
      </c>
      <c r="E256">
        <f>ROUND(SUMIFS(CATEGORIAS[[#All],[TOTAL PRODUCCION
ACTUAL]],CATEGORIAS[[#All],[CATEGORIA2]],Imputar[[#This Row],[Categoría]]),0)</f>
        <v>0</v>
      </c>
      <c r="F256">
        <v>0</v>
      </c>
      <c r="G256">
        <f>ROUND(SUMIFS(CATEGORIAS[[#All],[PROYECCION
DE INGRESO
DEL SALDO]],CATEGORIAS[[#All],[CATEGORIA2]],Imputar[[#This Row],[Categoría]]),0)</f>
        <v>0</v>
      </c>
      <c r="H256">
        <f>ROUND(SUMIFS(CATEGORIAS[[#All],[CAMBIO DE
CATEGORIA]],CATEGORIAS[[#All],[CATEGORIA2]],Imputar[[#This Row],[Categoría]]),0)</f>
        <v>0</v>
      </c>
      <c r="I2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6">
        <f>+ROUND(SUMIFS(CATEGORIAS[[#All],[PROYECCION
TOTAL DE COSTO]],CATEGORIAS[[#All],[CATEGORIA2]],Imputar[[#This Row],[Categoría]]),0)
-Imputar[[#This Row],[Inventario]]
-Imputar[[#This Row],[Pedidos no Rec]]</f>
        <v>0</v>
      </c>
      <c r="K2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6">
        <f>_xlfn.IFNA(VLOOKUP(Imputar[[#This Row],[Categoría]],EIMI!C:T,8,0),0)</f>
        <v>0</v>
      </c>
      <c r="M256">
        <f>_xlfn.IFNA(VLOOKUP(Imputar[[#This Row],[Categoría]],EIMI!C:T,9,0),0)</f>
        <v>0</v>
      </c>
      <c r="N256">
        <f>_xlfn.IFNA(VLOOKUP(Imputar[[#This Row],[Categoría]],EIMI!C:T,10,0),0)</f>
        <v>0</v>
      </c>
    </row>
    <row r="257" spans="1:14" hidden="1" x14ac:dyDescent="0.25">
      <c r="A257" s="206" t="str">
        <f>Indice!$I$11</f>
        <v>EIMI00398</v>
      </c>
      <c r="B257" t="s">
        <v>887</v>
      </c>
      <c r="C257" s="39">
        <f>Indice!$I$12</f>
        <v>46053</v>
      </c>
      <c r="E257">
        <f>ROUND(SUMIFS(CATEGORIAS[[#All],[TOTAL PRODUCCION
ACTUAL]],CATEGORIAS[[#All],[CATEGORIA2]],Imputar[[#This Row],[Categoría]]),0)</f>
        <v>0</v>
      </c>
      <c r="F257">
        <v>0</v>
      </c>
      <c r="G257">
        <f>ROUND(SUMIFS(CATEGORIAS[[#All],[PROYECCION
DE INGRESO
DEL SALDO]],CATEGORIAS[[#All],[CATEGORIA2]],Imputar[[#This Row],[Categoría]]),0)</f>
        <v>0</v>
      </c>
      <c r="H257">
        <f>ROUND(SUMIFS(CATEGORIAS[[#All],[CAMBIO DE
CATEGORIA]],CATEGORIAS[[#All],[CATEGORIA2]],Imputar[[#This Row],[Categoría]]),0)</f>
        <v>0</v>
      </c>
      <c r="I2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7">
        <f>+ROUND(SUMIFS(CATEGORIAS[[#All],[PROYECCION
TOTAL DE COSTO]],CATEGORIAS[[#All],[CATEGORIA2]],Imputar[[#This Row],[Categoría]]),0)
-Imputar[[#This Row],[Inventario]]
-Imputar[[#This Row],[Pedidos no Rec]]</f>
        <v>0</v>
      </c>
      <c r="K2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7">
        <f>_xlfn.IFNA(VLOOKUP(Imputar[[#This Row],[Categoría]],EIMI!C:T,8,0),0)</f>
        <v>0</v>
      </c>
      <c r="M257">
        <f>_xlfn.IFNA(VLOOKUP(Imputar[[#This Row],[Categoría]],EIMI!C:T,9,0),0)</f>
        <v>0</v>
      </c>
      <c r="N257">
        <f>_xlfn.IFNA(VLOOKUP(Imputar[[#This Row],[Categoría]],EIMI!C:T,10,0),0)</f>
        <v>0</v>
      </c>
    </row>
    <row r="258" spans="1:14" hidden="1" x14ac:dyDescent="0.25">
      <c r="A258" s="206" t="str">
        <f>Indice!$I$11</f>
        <v>EIMI00398</v>
      </c>
      <c r="B258" t="s">
        <v>889</v>
      </c>
      <c r="C258" s="39">
        <f>Indice!$I$12</f>
        <v>46053</v>
      </c>
      <c r="E258">
        <f>ROUND(SUMIFS(CATEGORIAS[[#All],[TOTAL PRODUCCION
ACTUAL]],CATEGORIAS[[#All],[CATEGORIA2]],Imputar[[#This Row],[Categoría]]),0)</f>
        <v>0</v>
      </c>
      <c r="F258">
        <v>0</v>
      </c>
      <c r="G258">
        <f>ROUND(SUMIFS(CATEGORIAS[[#All],[PROYECCION
DE INGRESO
DEL SALDO]],CATEGORIAS[[#All],[CATEGORIA2]],Imputar[[#This Row],[Categoría]]),0)</f>
        <v>0</v>
      </c>
      <c r="H258">
        <f>ROUND(SUMIFS(CATEGORIAS[[#All],[CAMBIO DE
CATEGORIA]],CATEGORIAS[[#All],[CATEGORIA2]],Imputar[[#This Row],[Categoría]]),0)</f>
        <v>0</v>
      </c>
      <c r="I2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8">
        <f>+ROUND(SUMIFS(CATEGORIAS[[#All],[PROYECCION
TOTAL DE COSTO]],CATEGORIAS[[#All],[CATEGORIA2]],Imputar[[#This Row],[Categoría]]),0)
-Imputar[[#This Row],[Inventario]]
-Imputar[[#This Row],[Pedidos no Rec]]</f>
        <v>0</v>
      </c>
      <c r="K2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8">
        <f>_xlfn.IFNA(VLOOKUP(Imputar[[#This Row],[Categoría]],EIMI!C:T,8,0),0)</f>
        <v>0</v>
      </c>
      <c r="M258">
        <f>_xlfn.IFNA(VLOOKUP(Imputar[[#This Row],[Categoría]],EIMI!C:T,9,0),0)</f>
        <v>0</v>
      </c>
      <c r="N258">
        <f>_xlfn.IFNA(VLOOKUP(Imputar[[#This Row],[Categoría]],EIMI!C:T,10,0),0)</f>
        <v>0</v>
      </c>
    </row>
    <row r="259" spans="1:14" hidden="1" x14ac:dyDescent="0.25">
      <c r="A259" s="206" t="str">
        <f>Indice!$I$11</f>
        <v>EIMI00398</v>
      </c>
      <c r="B259" t="s">
        <v>891</v>
      </c>
      <c r="C259" s="39">
        <f>Indice!$I$12</f>
        <v>46053</v>
      </c>
      <c r="E259">
        <f>ROUND(SUMIFS(CATEGORIAS[[#All],[TOTAL PRODUCCION
ACTUAL]],CATEGORIAS[[#All],[CATEGORIA2]],Imputar[[#This Row],[Categoría]]),0)</f>
        <v>0</v>
      </c>
      <c r="F259">
        <v>0</v>
      </c>
      <c r="G259">
        <f>ROUND(SUMIFS(CATEGORIAS[[#All],[PROYECCION
DE INGRESO
DEL SALDO]],CATEGORIAS[[#All],[CATEGORIA2]],Imputar[[#This Row],[Categoría]]),0)</f>
        <v>0</v>
      </c>
      <c r="H259">
        <f>ROUND(SUMIFS(CATEGORIAS[[#All],[CAMBIO DE
CATEGORIA]],CATEGORIAS[[#All],[CATEGORIA2]],Imputar[[#This Row],[Categoría]]),0)</f>
        <v>0</v>
      </c>
      <c r="I2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59">
        <f>+ROUND(SUMIFS(CATEGORIAS[[#All],[PROYECCION
TOTAL DE COSTO]],CATEGORIAS[[#All],[CATEGORIA2]],Imputar[[#This Row],[Categoría]]),0)
-Imputar[[#This Row],[Inventario]]
-Imputar[[#This Row],[Pedidos no Rec]]</f>
        <v>0</v>
      </c>
      <c r="K2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59">
        <f>_xlfn.IFNA(VLOOKUP(Imputar[[#This Row],[Categoría]],EIMI!C:T,8,0),0)</f>
        <v>0</v>
      </c>
      <c r="M259">
        <f>_xlfn.IFNA(VLOOKUP(Imputar[[#This Row],[Categoría]],EIMI!C:T,9,0),0)</f>
        <v>0</v>
      </c>
      <c r="N259">
        <f>_xlfn.IFNA(VLOOKUP(Imputar[[#This Row],[Categoría]],EIMI!C:T,10,0),0)</f>
        <v>0</v>
      </c>
    </row>
    <row r="260" spans="1:14" hidden="1" x14ac:dyDescent="0.25">
      <c r="A260" s="206" t="str">
        <f>Indice!$I$11</f>
        <v>EIMI00398</v>
      </c>
      <c r="B260" t="s">
        <v>893</v>
      </c>
      <c r="C260" s="39">
        <f>Indice!$I$12</f>
        <v>46053</v>
      </c>
      <c r="E260">
        <f>ROUND(SUMIFS(CATEGORIAS[[#All],[TOTAL PRODUCCION
ACTUAL]],CATEGORIAS[[#All],[CATEGORIA2]],Imputar[[#This Row],[Categoría]]),0)</f>
        <v>0</v>
      </c>
      <c r="F260">
        <v>0</v>
      </c>
      <c r="G260">
        <f>ROUND(SUMIFS(CATEGORIAS[[#All],[PROYECCION
DE INGRESO
DEL SALDO]],CATEGORIAS[[#All],[CATEGORIA2]],Imputar[[#This Row],[Categoría]]),0)</f>
        <v>0</v>
      </c>
      <c r="H260">
        <f>ROUND(SUMIFS(CATEGORIAS[[#All],[CAMBIO DE
CATEGORIA]],CATEGORIAS[[#All],[CATEGORIA2]],Imputar[[#This Row],[Categoría]]),0)</f>
        <v>0</v>
      </c>
      <c r="I2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0">
        <f>+ROUND(SUMIFS(CATEGORIAS[[#All],[PROYECCION
TOTAL DE COSTO]],CATEGORIAS[[#All],[CATEGORIA2]],Imputar[[#This Row],[Categoría]]),0)
-Imputar[[#This Row],[Inventario]]
-Imputar[[#This Row],[Pedidos no Rec]]</f>
        <v>0</v>
      </c>
      <c r="K2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0">
        <f>_xlfn.IFNA(VLOOKUP(Imputar[[#This Row],[Categoría]],EIMI!C:T,8,0),0)</f>
        <v>0</v>
      </c>
      <c r="M260">
        <f>_xlfn.IFNA(VLOOKUP(Imputar[[#This Row],[Categoría]],EIMI!C:T,9,0),0)</f>
        <v>0</v>
      </c>
      <c r="N260">
        <f>_xlfn.IFNA(VLOOKUP(Imputar[[#This Row],[Categoría]],EIMI!C:T,10,0),0)</f>
        <v>0</v>
      </c>
    </row>
    <row r="261" spans="1:14" hidden="1" x14ac:dyDescent="0.25">
      <c r="A261" s="206" t="str">
        <f>Indice!$I$11</f>
        <v>EIMI00398</v>
      </c>
      <c r="B261" t="s">
        <v>895</v>
      </c>
      <c r="C261" s="39">
        <f>Indice!$I$12</f>
        <v>46053</v>
      </c>
      <c r="E261">
        <f>ROUND(SUMIFS(CATEGORIAS[[#All],[TOTAL PRODUCCION
ACTUAL]],CATEGORIAS[[#All],[CATEGORIA2]],Imputar[[#This Row],[Categoría]]),0)</f>
        <v>0</v>
      </c>
      <c r="F261">
        <v>0</v>
      </c>
      <c r="G261">
        <f>ROUND(SUMIFS(CATEGORIAS[[#All],[PROYECCION
DE INGRESO
DEL SALDO]],CATEGORIAS[[#All],[CATEGORIA2]],Imputar[[#This Row],[Categoría]]),0)</f>
        <v>0</v>
      </c>
      <c r="H261">
        <f>ROUND(SUMIFS(CATEGORIAS[[#All],[CAMBIO DE
CATEGORIA]],CATEGORIAS[[#All],[CATEGORIA2]],Imputar[[#This Row],[Categoría]]),0)</f>
        <v>0</v>
      </c>
      <c r="I2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1">
        <f>+ROUND(SUMIFS(CATEGORIAS[[#All],[PROYECCION
TOTAL DE COSTO]],CATEGORIAS[[#All],[CATEGORIA2]],Imputar[[#This Row],[Categoría]]),0)
-Imputar[[#This Row],[Inventario]]
-Imputar[[#This Row],[Pedidos no Rec]]</f>
        <v>0</v>
      </c>
      <c r="K2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1">
        <f>_xlfn.IFNA(VLOOKUP(Imputar[[#This Row],[Categoría]],EIMI!C:T,8,0),0)</f>
        <v>0</v>
      </c>
      <c r="M261">
        <f>_xlfn.IFNA(VLOOKUP(Imputar[[#This Row],[Categoría]],EIMI!C:T,9,0),0)</f>
        <v>0</v>
      </c>
      <c r="N261">
        <f>_xlfn.IFNA(VLOOKUP(Imputar[[#This Row],[Categoría]],EIMI!C:T,10,0),0)</f>
        <v>0</v>
      </c>
    </row>
    <row r="262" spans="1:14" hidden="1" x14ac:dyDescent="0.25">
      <c r="A262" s="206" t="str">
        <f>Indice!$I$11</f>
        <v>EIMI00398</v>
      </c>
      <c r="B262" t="s">
        <v>897</v>
      </c>
      <c r="C262" s="39">
        <f>Indice!$I$12</f>
        <v>46053</v>
      </c>
      <c r="E262">
        <f>ROUND(SUMIFS(CATEGORIAS[[#All],[TOTAL PRODUCCION
ACTUAL]],CATEGORIAS[[#All],[CATEGORIA2]],Imputar[[#This Row],[Categoría]]),0)</f>
        <v>0</v>
      </c>
      <c r="F262">
        <v>0</v>
      </c>
      <c r="G262">
        <f>ROUND(SUMIFS(CATEGORIAS[[#All],[PROYECCION
DE INGRESO
DEL SALDO]],CATEGORIAS[[#All],[CATEGORIA2]],Imputar[[#This Row],[Categoría]]),0)</f>
        <v>0</v>
      </c>
      <c r="H262">
        <f>ROUND(SUMIFS(CATEGORIAS[[#All],[CAMBIO DE
CATEGORIA]],CATEGORIAS[[#All],[CATEGORIA2]],Imputar[[#This Row],[Categoría]]),0)</f>
        <v>0</v>
      </c>
      <c r="I2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2">
        <f>+ROUND(SUMIFS(CATEGORIAS[[#All],[PROYECCION
TOTAL DE COSTO]],CATEGORIAS[[#All],[CATEGORIA2]],Imputar[[#This Row],[Categoría]]),0)
-Imputar[[#This Row],[Inventario]]
-Imputar[[#This Row],[Pedidos no Rec]]</f>
        <v>0</v>
      </c>
      <c r="K2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2">
        <f>_xlfn.IFNA(VLOOKUP(Imputar[[#This Row],[Categoría]],EIMI!C:T,8,0),0)</f>
        <v>0</v>
      </c>
      <c r="M262">
        <f>_xlfn.IFNA(VLOOKUP(Imputar[[#This Row],[Categoría]],EIMI!C:T,9,0),0)</f>
        <v>0</v>
      </c>
      <c r="N262">
        <f>_xlfn.IFNA(VLOOKUP(Imputar[[#This Row],[Categoría]],EIMI!C:T,10,0),0)</f>
        <v>0</v>
      </c>
    </row>
    <row r="263" spans="1:14" hidden="1" x14ac:dyDescent="0.25">
      <c r="A263" s="206" t="str">
        <f>Indice!$I$11</f>
        <v>EIMI00398</v>
      </c>
      <c r="B263" t="s">
        <v>899</v>
      </c>
      <c r="C263" s="39">
        <f>Indice!$I$12</f>
        <v>46053</v>
      </c>
      <c r="E263">
        <f>ROUND(SUMIFS(CATEGORIAS[[#All],[TOTAL PRODUCCION
ACTUAL]],CATEGORIAS[[#All],[CATEGORIA2]],Imputar[[#This Row],[Categoría]]),0)</f>
        <v>0</v>
      </c>
      <c r="F263">
        <v>0</v>
      </c>
      <c r="G263">
        <f>ROUND(SUMIFS(CATEGORIAS[[#All],[PROYECCION
DE INGRESO
DEL SALDO]],CATEGORIAS[[#All],[CATEGORIA2]],Imputar[[#This Row],[Categoría]]),0)</f>
        <v>0</v>
      </c>
      <c r="H263">
        <f>ROUND(SUMIFS(CATEGORIAS[[#All],[CAMBIO DE
CATEGORIA]],CATEGORIAS[[#All],[CATEGORIA2]],Imputar[[#This Row],[Categoría]]),0)</f>
        <v>0</v>
      </c>
      <c r="I2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3">
        <f>+ROUND(SUMIFS(CATEGORIAS[[#All],[PROYECCION
TOTAL DE COSTO]],CATEGORIAS[[#All],[CATEGORIA2]],Imputar[[#This Row],[Categoría]]),0)
-Imputar[[#This Row],[Inventario]]
-Imputar[[#This Row],[Pedidos no Rec]]</f>
        <v>0</v>
      </c>
      <c r="K2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3">
        <f>_xlfn.IFNA(VLOOKUP(Imputar[[#This Row],[Categoría]],EIMI!C:T,8,0),0)</f>
        <v>0</v>
      </c>
      <c r="M263">
        <f>_xlfn.IFNA(VLOOKUP(Imputar[[#This Row],[Categoría]],EIMI!C:T,9,0),0)</f>
        <v>0</v>
      </c>
      <c r="N263">
        <f>_xlfn.IFNA(VLOOKUP(Imputar[[#This Row],[Categoría]],EIMI!C:T,10,0),0)</f>
        <v>0</v>
      </c>
    </row>
    <row r="264" spans="1:14" hidden="1" x14ac:dyDescent="0.25">
      <c r="A264" s="206" t="str">
        <f>Indice!$I$11</f>
        <v>EIMI00398</v>
      </c>
      <c r="B264" t="s">
        <v>901</v>
      </c>
      <c r="C264" s="39">
        <f>Indice!$I$12</f>
        <v>46053</v>
      </c>
      <c r="E264">
        <f>ROUND(SUMIFS(CATEGORIAS[[#All],[TOTAL PRODUCCION
ACTUAL]],CATEGORIAS[[#All],[CATEGORIA2]],Imputar[[#This Row],[Categoría]]),0)</f>
        <v>0</v>
      </c>
      <c r="F264">
        <v>0</v>
      </c>
      <c r="G264">
        <f>ROUND(SUMIFS(CATEGORIAS[[#All],[PROYECCION
DE INGRESO
DEL SALDO]],CATEGORIAS[[#All],[CATEGORIA2]],Imputar[[#This Row],[Categoría]]),0)</f>
        <v>0</v>
      </c>
      <c r="H264">
        <f>ROUND(SUMIFS(CATEGORIAS[[#All],[CAMBIO DE
CATEGORIA]],CATEGORIAS[[#All],[CATEGORIA2]],Imputar[[#This Row],[Categoría]]),0)</f>
        <v>0</v>
      </c>
      <c r="I2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4">
        <f>+ROUND(SUMIFS(CATEGORIAS[[#All],[PROYECCION
TOTAL DE COSTO]],CATEGORIAS[[#All],[CATEGORIA2]],Imputar[[#This Row],[Categoría]]),0)
-Imputar[[#This Row],[Inventario]]
-Imputar[[#This Row],[Pedidos no Rec]]</f>
        <v>0</v>
      </c>
      <c r="K2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4">
        <f>_xlfn.IFNA(VLOOKUP(Imputar[[#This Row],[Categoría]],EIMI!C:T,8,0),0)</f>
        <v>0</v>
      </c>
      <c r="M264">
        <f>_xlfn.IFNA(VLOOKUP(Imputar[[#This Row],[Categoría]],EIMI!C:T,9,0),0)</f>
        <v>0</v>
      </c>
      <c r="N264">
        <f>_xlfn.IFNA(VLOOKUP(Imputar[[#This Row],[Categoría]],EIMI!C:T,10,0),0)</f>
        <v>0</v>
      </c>
    </row>
    <row r="265" spans="1:14" hidden="1" x14ac:dyDescent="0.25">
      <c r="A265" s="206" t="str">
        <f>Indice!$I$11</f>
        <v>EIMI00398</v>
      </c>
      <c r="B265" t="s">
        <v>903</v>
      </c>
      <c r="C265" s="39">
        <f>Indice!$I$12</f>
        <v>46053</v>
      </c>
      <c r="E265">
        <f>ROUND(SUMIFS(CATEGORIAS[[#All],[TOTAL PRODUCCION
ACTUAL]],CATEGORIAS[[#All],[CATEGORIA2]],Imputar[[#This Row],[Categoría]]),0)</f>
        <v>0</v>
      </c>
      <c r="F265">
        <v>0</v>
      </c>
      <c r="G265">
        <f>ROUND(SUMIFS(CATEGORIAS[[#All],[PROYECCION
DE INGRESO
DEL SALDO]],CATEGORIAS[[#All],[CATEGORIA2]],Imputar[[#This Row],[Categoría]]),0)</f>
        <v>0</v>
      </c>
      <c r="H265">
        <f>ROUND(SUMIFS(CATEGORIAS[[#All],[CAMBIO DE
CATEGORIA]],CATEGORIAS[[#All],[CATEGORIA2]],Imputar[[#This Row],[Categoría]]),0)</f>
        <v>0</v>
      </c>
      <c r="I2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5">
        <f>+ROUND(SUMIFS(CATEGORIAS[[#All],[PROYECCION
TOTAL DE COSTO]],CATEGORIAS[[#All],[CATEGORIA2]],Imputar[[#This Row],[Categoría]]),0)
-Imputar[[#This Row],[Inventario]]
-Imputar[[#This Row],[Pedidos no Rec]]</f>
        <v>0</v>
      </c>
      <c r="K2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5">
        <f>_xlfn.IFNA(VLOOKUP(Imputar[[#This Row],[Categoría]],EIMI!C:T,8,0),0)</f>
        <v>0</v>
      </c>
      <c r="M265">
        <f>_xlfn.IFNA(VLOOKUP(Imputar[[#This Row],[Categoría]],EIMI!C:T,9,0),0)</f>
        <v>0</v>
      </c>
      <c r="N265">
        <f>_xlfn.IFNA(VLOOKUP(Imputar[[#This Row],[Categoría]],EIMI!C:T,10,0),0)</f>
        <v>0</v>
      </c>
    </row>
    <row r="266" spans="1:14" hidden="1" x14ac:dyDescent="0.25">
      <c r="A266" s="206" t="str">
        <f>Indice!$I$11</f>
        <v>EIMI00398</v>
      </c>
      <c r="B266" t="s">
        <v>905</v>
      </c>
      <c r="C266" s="39">
        <f>Indice!$I$12</f>
        <v>46053</v>
      </c>
      <c r="E266">
        <f>ROUND(SUMIFS(CATEGORIAS[[#All],[TOTAL PRODUCCION
ACTUAL]],CATEGORIAS[[#All],[CATEGORIA2]],Imputar[[#This Row],[Categoría]]),0)</f>
        <v>0</v>
      </c>
      <c r="F266">
        <v>0</v>
      </c>
      <c r="G266">
        <f>ROUND(SUMIFS(CATEGORIAS[[#All],[PROYECCION
DE INGRESO
DEL SALDO]],CATEGORIAS[[#All],[CATEGORIA2]],Imputar[[#This Row],[Categoría]]),0)</f>
        <v>0</v>
      </c>
      <c r="H266">
        <f>ROUND(SUMIFS(CATEGORIAS[[#All],[CAMBIO DE
CATEGORIA]],CATEGORIAS[[#All],[CATEGORIA2]],Imputar[[#This Row],[Categoría]]),0)</f>
        <v>0</v>
      </c>
      <c r="I2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6">
        <f>+ROUND(SUMIFS(CATEGORIAS[[#All],[PROYECCION
TOTAL DE COSTO]],CATEGORIAS[[#All],[CATEGORIA2]],Imputar[[#This Row],[Categoría]]),0)
-Imputar[[#This Row],[Inventario]]
-Imputar[[#This Row],[Pedidos no Rec]]</f>
        <v>0</v>
      </c>
      <c r="K2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6">
        <f>_xlfn.IFNA(VLOOKUP(Imputar[[#This Row],[Categoría]],EIMI!C:T,8,0),0)</f>
        <v>0</v>
      </c>
      <c r="M266">
        <f>_xlfn.IFNA(VLOOKUP(Imputar[[#This Row],[Categoría]],EIMI!C:T,9,0),0)</f>
        <v>0</v>
      </c>
      <c r="N266">
        <f>_xlfn.IFNA(VLOOKUP(Imputar[[#This Row],[Categoría]],EIMI!C:T,10,0),0)</f>
        <v>0</v>
      </c>
    </row>
    <row r="267" spans="1:14" hidden="1" x14ac:dyDescent="0.25">
      <c r="A267" s="206" t="str">
        <f>Indice!$I$11</f>
        <v>EIMI00398</v>
      </c>
      <c r="B267" t="s">
        <v>907</v>
      </c>
      <c r="C267" s="39">
        <f>Indice!$I$12</f>
        <v>46053</v>
      </c>
      <c r="E267">
        <f>ROUND(SUMIFS(CATEGORIAS[[#All],[TOTAL PRODUCCION
ACTUAL]],CATEGORIAS[[#All],[CATEGORIA2]],Imputar[[#This Row],[Categoría]]),0)</f>
        <v>0</v>
      </c>
      <c r="F267">
        <v>0</v>
      </c>
      <c r="G267">
        <f>ROUND(SUMIFS(CATEGORIAS[[#All],[PROYECCION
DE INGRESO
DEL SALDO]],CATEGORIAS[[#All],[CATEGORIA2]],Imputar[[#This Row],[Categoría]]),0)</f>
        <v>0</v>
      </c>
      <c r="H267">
        <f>ROUND(SUMIFS(CATEGORIAS[[#All],[CAMBIO DE
CATEGORIA]],CATEGORIAS[[#All],[CATEGORIA2]],Imputar[[#This Row],[Categoría]]),0)</f>
        <v>0</v>
      </c>
      <c r="I2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7">
        <f>+ROUND(SUMIFS(CATEGORIAS[[#All],[PROYECCION
TOTAL DE COSTO]],CATEGORIAS[[#All],[CATEGORIA2]],Imputar[[#This Row],[Categoría]]),0)
-Imputar[[#This Row],[Inventario]]
-Imputar[[#This Row],[Pedidos no Rec]]</f>
        <v>0</v>
      </c>
      <c r="K2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7">
        <f>_xlfn.IFNA(VLOOKUP(Imputar[[#This Row],[Categoría]],EIMI!C:T,8,0),0)</f>
        <v>0</v>
      </c>
      <c r="M267">
        <f>_xlfn.IFNA(VLOOKUP(Imputar[[#This Row],[Categoría]],EIMI!C:T,9,0),0)</f>
        <v>0</v>
      </c>
      <c r="N267">
        <f>_xlfn.IFNA(VLOOKUP(Imputar[[#This Row],[Categoría]],EIMI!C:T,10,0),0)</f>
        <v>0</v>
      </c>
    </row>
    <row r="268" spans="1:14" hidden="1" x14ac:dyDescent="0.25">
      <c r="A268" s="206" t="str">
        <f>Indice!$I$11</f>
        <v>EIMI00398</v>
      </c>
      <c r="B268" t="s">
        <v>909</v>
      </c>
      <c r="C268" s="39">
        <f>Indice!$I$12</f>
        <v>46053</v>
      </c>
      <c r="E268">
        <f>ROUND(SUMIFS(CATEGORIAS[[#All],[TOTAL PRODUCCION
ACTUAL]],CATEGORIAS[[#All],[CATEGORIA2]],Imputar[[#This Row],[Categoría]]),0)</f>
        <v>0</v>
      </c>
      <c r="F268">
        <v>0</v>
      </c>
      <c r="G268">
        <f>ROUND(SUMIFS(CATEGORIAS[[#All],[PROYECCION
DE INGRESO
DEL SALDO]],CATEGORIAS[[#All],[CATEGORIA2]],Imputar[[#This Row],[Categoría]]),0)</f>
        <v>0</v>
      </c>
      <c r="H268">
        <f>ROUND(SUMIFS(CATEGORIAS[[#All],[CAMBIO DE
CATEGORIA]],CATEGORIAS[[#All],[CATEGORIA2]],Imputar[[#This Row],[Categoría]]),0)</f>
        <v>0</v>
      </c>
      <c r="I2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8">
        <f>+ROUND(SUMIFS(CATEGORIAS[[#All],[PROYECCION
TOTAL DE COSTO]],CATEGORIAS[[#All],[CATEGORIA2]],Imputar[[#This Row],[Categoría]]),0)
-Imputar[[#This Row],[Inventario]]
-Imputar[[#This Row],[Pedidos no Rec]]</f>
        <v>0</v>
      </c>
      <c r="K2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8">
        <f>_xlfn.IFNA(VLOOKUP(Imputar[[#This Row],[Categoría]],EIMI!C:T,8,0),0)</f>
        <v>0</v>
      </c>
      <c r="M268">
        <f>_xlfn.IFNA(VLOOKUP(Imputar[[#This Row],[Categoría]],EIMI!C:T,9,0),0)</f>
        <v>0</v>
      </c>
      <c r="N268">
        <f>_xlfn.IFNA(VLOOKUP(Imputar[[#This Row],[Categoría]],EIMI!C:T,10,0),0)</f>
        <v>0</v>
      </c>
    </row>
    <row r="269" spans="1:14" hidden="1" x14ac:dyDescent="0.25">
      <c r="A269" s="206" t="str">
        <f>Indice!$I$11</f>
        <v>EIMI00398</v>
      </c>
      <c r="B269" t="s">
        <v>911</v>
      </c>
      <c r="C269" s="39">
        <f>Indice!$I$12</f>
        <v>46053</v>
      </c>
      <c r="E269">
        <f>ROUND(SUMIFS(CATEGORIAS[[#All],[TOTAL PRODUCCION
ACTUAL]],CATEGORIAS[[#All],[CATEGORIA2]],Imputar[[#This Row],[Categoría]]),0)</f>
        <v>0</v>
      </c>
      <c r="F269">
        <v>0</v>
      </c>
      <c r="G269">
        <f>ROUND(SUMIFS(CATEGORIAS[[#All],[PROYECCION
DE INGRESO
DEL SALDO]],CATEGORIAS[[#All],[CATEGORIA2]],Imputar[[#This Row],[Categoría]]),0)</f>
        <v>0</v>
      </c>
      <c r="H269">
        <f>ROUND(SUMIFS(CATEGORIAS[[#All],[CAMBIO DE
CATEGORIA]],CATEGORIAS[[#All],[CATEGORIA2]],Imputar[[#This Row],[Categoría]]),0)</f>
        <v>0</v>
      </c>
      <c r="I2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69">
        <f>+ROUND(SUMIFS(CATEGORIAS[[#All],[PROYECCION
TOTAL DE COSTO]],CATEGORIAS[[#All],[CATEGORIA2]],Imputar[[#This Row],[Categoría]]),0)
-Imputar[[#This Row],[Inventario]]
-Imputar[[#This Row],[Pedidos no Rec]]</f>
        <v>0</v>
      </c>
      <c r="K2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69">
        <f>_xlfn.IFNA(VLOOKUP(Imputar[[#This Row],[Categoría]],EIMI!C:T,8,0),0)</f>
        <v>0</v>
      </c>
      <c r="M269">
        <f>_xlfn.IFNA(VLOOKUP(Imputar[[#This Row],[Categoría]],EIMI!C:T,9,0),0)</f>
        <v>0</v>
      </c>
      <c r="N269">
        <f>_xlfn.IFNA(VLOOKUP(Imputar[[#This Row],[Categoría]],EIMI!C:T,10,0),0)</f>
        <v>0</v>
      </c>
    </row>
    <row r="270" spans="1:14" hidden="1" x14ac:dyDescent="0.25">
      <c r="A270" s="206" t="str">
        <f>Indice!$I$11</f>
        <v>EIMI00398</v>
      </c>
      <c r="B270" t="s">
        <v>913</v>
      </c>
      <c r="C270" s="39">
        <f>Indice!$I$12</f>
        <v>46053</v>
      </c>
      <c r="E270">
        <f>ROUND(SUMIFS(CATEGORIAS[[#All],[TOTAL PRODUCCION
ACTUAL]],CATEGORIAS[[#All],[CATEGORIA2]],Imputar[[#This Row],[Categoría]]),0)</f>
        <v>0</v>
      </c>
      <c r="F270">
        <v>0</v>
      </c>
      <c r="G270">
        <f>ROUND(SUMIFS(CATEGORIAS[[#All],[PROYECCION
DE INGRESO
DEL SALDO]],CATEGORIAS[[#All],[CATEGORIA2]],Imputar[[#This Row],[Categoría]]),0)</f>
        <v>0</v>
      </c>
      <c r="H270">
        <f>ROUND(SUMIFS(CATEGORIAS[[#All],[CAMBIO DE
CATEGORIA]],CATEGORIAS[[#All],[CATEGORIA2]],Imputar[[#This Row],[Categoría]]),0)</f>
        <v>0</v>
      </c>
      <c r="I2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0">
        <f>+ROUND(SUMIFS(CATEGORIAS[[#All],[PROYECCION
TOTAL DE COSTO]],CATEGORIAS[[#All],[CATEGORIA2]],Imputar[[#This Row],[Categoría]]),0)
-Imputar[[#This Row],[Inventario]]
-Imputar[[#This Row],[Pedidos no Rec]]</f>
        <v>0</v>
      </c>
      <c r="K2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0">
        <f>_xlfn.IFNA(VLOOKUP(Imputar[[#This Row],[Categoría]],EIMI!C:T,8,0),0)</f>
        <v>0</v>
      </c>
      <c r="M270">
        <f>_xlfn.IFNA(VLOOKUP(Imputar[[#This Row],[Categoría]],EIMI!C:T,9,0),0)</f>
        <v>0</v>
      </c>
      <c r="N270">
        <f>_xlfn.IFNA(VLOOKUP(Imputar[[#This Row],[Categoría]],EIMI!C:T,10,0),0)</f>
        <v>0</v>
      </c>
    </row>
    <row r="271" spans="1:14" hidden="1" x14ac:dyDescent="0.25">
      <c r="A271" s="206" t="str">
        <f>Indice!$I$11</f>
        <v>EIMI00398</v>
      </c>
      <c r="B271" t="s">
        <v>915</v>
      </c>
      <c r="C271" s="39">
        <f>Indice!$I$12</f>
        <v>46053</v>
      </c>
      <c r="E271">
        <f>ROUND(SUMIFS(CATEGORIAS[[#All],[TOTAL PRODUCCION
ACTUAL]],CATEGORIAS[[#All],[CATEGORIA2]],Imputar[[#This Row],[Categoría]]),0)</f>
        <v>0</v>
      </c>
      <c r="F271">
        <v>0</v>
      </c>
      <c r="G271">
        <f>ROUND(SUMIFS(CATEGORIAS[[#All],[PROYECCION
DE INGRESO
DEL SALDO]],CATEGORIAS[[#All],[CATEGORIA2]],Imputar[[#This Row],[Categoría]]),0)</f>
        <v>0</v>
      </c>
      <c r="H271">
        <f>ROUND(SUMIFS(CATEGORIAS[[#All],[CAMBIO DE
CATEGORIA]],CATEGORIAS[[#All],[CATEGORIA2]],Imputar[[#This Row],[Categoría]]),0)</f>
        <v>0</v>
      </c>
      <c r="I2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1">
        <f>+ROUND(SUMIFS(CATEGORIAS[[#All],[PROYECCION
TOTAL DE COSTO]],CATEGORIAS[[#All],[CATEGORIA2]],Imputar[[#This Row],[Categoría]]),0)
-Imputar[[#This Row],[Inventario]]
-Imputar[[#This Row],[Pedidos no Rec]]</f>
        <v>0</v>
      </c>
      <c r="K27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1">
        <f>_xlfn.IFNA(VLOOKUP(Imputar[[#This Row],[Categoría]],EIMI!C:T,8,0),0)</f>
        <v>0</v>
      </c>
      <c r="M271">
        <f>_xlfn.IFNA(VLOOKUP(Imputar[[#This Row],[Categoría]],EIMI!C:T,9,0),0)</f>
        <v>0</v>
      </c>
      <c r="N271">
        <f>_xlfn.IFNA(VLOOKUP(Imputar[[#This Row],[Categoría]],EIMI!C:T,10,0),0)</f>
        <v>0</v>
      </c>
    </row>
    <row r="272" spans="1:14" hidden="1" x14ac:dyDescent="0.25">
      <c r="A272" s="206" t="str">
        <f>Indice!$I$11</f>
        <v>EIMI00398</v>
      </c>
      <c r="B272" t="s">
        <v>917</v>
      </c>
      <c r="C272" s="39">
        <f>Indice!$I$12</f>
        <v>46053</v>
      </c>
      <c r="E272">
        <f>ROUND(SUMIFS(CATEGORIAS[[#All],[TOTAL PRODUCCION
ACTUAL]],CATEGORIAS[[#All],[CATEGORIA2]],Imputar[[#This Row],[Categoría]]),0)</f>
        <v>0</v>
      </c>
      <c r="F272">
        <v>0</v>
      </c>
      <c r="G272">
        <f>ROUND(SUMIFS(CATEGORIAS[[#All],[PROYECCION
DE INGRESO
DEL SALDO]],CATEGORIAS[[#All],[CATEGORIA2]],Imputar[[#This Row],[Categoría]]),0)</f>
        <v>0</v>
      </c>
      <c r="H272">
        <f>ROUND(SUMIFS(CATEGORIAS[[#All],[CAMBIO DE
CATEGORIA]],CATEGORIAS[[#All],[CATEGORIA2]],Imputar[[#This Row],[Categoría]]),0)</f>
        <v>0</v>
      </c>
      <c r="I2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2">
        <f>+ROUND(SUMIFS(CATEGORIAS[[#All],[PROYECCION
TOTAL DE COSTO]],CATEGORIAS[[#All],[CATEGORIA2]],Imputar[[#This Row],[Categoría]]),0)
-Imputar[[#This Row],[Inventario]]
-Imputar[[#This Row],[Pedidos no Rec]]</f>
        <v>0</v>
      </c>
      <c r="K2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2">
        <f>_xlfn.IFNA(VLOOKUP(Imputar[[#This Row],[Categoría]],EIMI!C:T,8,0),0)</f>
        <v>0</v>
      </c>
      <c r="M272">
        <f>_xlfn.IFNA(VLOOKUP(Imputar[[#This Row],[Categoría]],EIMI!C:T,9,0),0)</f>
        <v>0</v>
      </c>
      <c r="N272">
        <f>_xlfn.IFNA(VLOOKUP(Imputar[[#This Row],[Categoría]],EIMI!C:T,10,0),0)</f>
        <v>0</v>
      </c>
    </row>
    <row r="273" spans="1:14" hidden="1" x14ac:dyDescent="0.25">
      <c r="A273" s="206" t="str">
        <f>Indice!$I$11</f>
        <v>EIMI00398</v>
      </c>
      <c r="B273" t="s">
        <v>919</v>
      </c>
      <c r="C273" s="39">
        <f>Indice!$I$12</f>
        <v>46053</v>
      </c>
      <c r="E273">
        <f>ROUND(SUMIFS(CATEGORIAS[[#All],[TOTAL PRODUCCION
ACTUAL]],CATEGORIAS[[#All],[CATEGORIA2]],Imputar[[#This Row],[Categoría]]),0)</f>
        <v>0</v>
      </c>
      <c r="F273">
        <v>0</v>
      </c>
      <c r="G273">
        <f>ROUND(SUMIFS(CATEGORIAS[[#All],[PROYECCION
DE INGRESO
DEL SALDO]],CATEGORIAS[[#All],[CATEGORIA2]],Imputar[[#This Row],[Categoría]]),0)</f>
        <v>0</v>
      </c>
      <c r="H273">
        <f>ROUND(SUMIFS(CATEGORIAS[[#All],[CAMBIO DE
CATEGORIA]],CATEGORIAS[[#All],[CATEGORIA2]],Imputar[[#This Row],[Categoría]]),0)</f>
        <v>0</v>
      </c>
      <c r="I2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3">
        <f>+ROUND(SUMIFS(CATEGORIAS[[#All],[PROYECCION
TOTAL DE COSTO]],CATEGORIAS[[#All],[CATEGORIA2]],Imputar[[#This Row],[Categoría]]),0)
-Imputar[[#This Row],[Inventario]]
-Imputar[[#This Row],[Pedidos no Rec]]</f>
        <v>0</v>
      </c>
      <c r="K2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3">
        <f>_xlfn.IFNA(VLOOKUP(Imputar[[#This Row],[Categoría]],EIMI!C:T,8,0),0)</f>
        <v>0</v>
      </c>
      <c r="M273">
        <f>_xlfn.IFNA(VLOOKUP(Imputar[[#This Row],[Categoría]],EIMI!C:T,9,0),0)</f>
        <v>0</v>
      </c>
      <c r="N273">
        <f>_xlfn.IFNA(VLOOKUP(Imputar[[#This Row],[Categoría]],EIMI!C:T,10,0),0)</f>
        <v>0</v>
      </c>
    </row>
    <row r="274" spans="1:14" hidden="1" x14ac:dyDescent="0.25">
      <c r="A274" s="206" t="str">
        <f>Indice!$I$11</f>
        <v>EIMI00398</v>
      </c>
      <c r="B274" t="s">
        <v>921</v>
      </c>
      <c r="C274" s="39">
        <f>Indice!$I$12</f>
        <v>46053</v>
      </c>
      <c r="E274">
        <f>ROUND(SUMIFS(CATEGORIAS[[#All],[TOTAL PRODUCCION
ACTUAL]],CATEGORIAS[[#All],[CATEGORIA2]],Imputar[[#This Row],[Categoría]]),0)</f>
        <v>0</v>
      </c>
      <c r="F274">
        <v>0</v>
      </c>
      <c r="G274">
        <f>ROUND(SUMIFS(CATEGORIAS[[#All],[PROYECCION
DE INGRESO
DEL SALDO]],CATEGORIAS[[#All],[CATEGORIA2]],Imputar[[#This Row],[Categoría]]),0)</f>
        <v>0</v>
      </c>
      <c r="H274">
        <f>ROUND(SUMIFS(CATEGORIAS[[#All],[CAMBIO DE
CATEGORIA]],CATEGORIAS[[#All],[CATEGORIA2]],Imputar[[#This Row],[Categoría]]),0)</f>
        <v>0</v>
      </c>
      <c r="I2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4">
        <f>+ROUND(SUMIFS(CATEGORIAS[[#All],[PROYECCION
TOTAL DE COSTO]],CATEGORIAS[[#All],[CATEGORIA2]],Imputar[[#This Row],[Categoría]]),0)
-Imputar[[#This Row],[Inventario]]
-Imputar[[#This Row],[Pedidos no Rec]]</f>
        <v>0</v>
      </c>
      <c r="K2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4">
        <f>_xlfn.IFNA(VLOOKUP(Imputar[[#This Row],[Categoría]],EIMI!C:T,8,0),0)</f>
        <v>0</v>
      </c>
      <c r="M274">
        <f>_xlfn.IFNA(VLOOKUP(Imputar[[#This Row],[Categoría]],EIMI!C:T,9,0),0)</f>
        <v>0</v>
      </c>
      <c r="N274">
        <f>_xlfn.IFNA(VLOOKUP(Imputar[[#This Row],[Categoría]],EIMI!C:T,10,0),0)</f>
        <v>0</v>
      </c>
    </row>
    <row r="275" spans="1:14" hidden="1" x14ac:dyDescent="0.25">
      <c r="A275" s="206" t="str">
        <f>Indice!$I$11</f>
        <v>EIMI00398</v>
      </c>
      <c r="B275" t="s">
        <v>923</v>
      </c>
      <c r="C275" s="39">
        <f>Indice!$I$12</f>
        <v>46053</v>
      </c>
      <c r="E275">
        <f>ROUND(SUMIFS(CATEGORIAS[[#All],[TOTAL PRODUCCION
ACTUAL]],CATEGORIAS[[#All],[CATEGORIA2]],Imputar[[#This Row],[Categoría]]),0)</f>
        <v>0</v>
      </c>
      <c r="F275">
        <v>0</v>
      </c>
      <c r="G275">
        <f>ROUND(SUMIFS(CATEGORIAS[[#All],[PROYECCION
DE INGRESO
DEL SALDO]],CATEGORIAS[[#All],[CATEGORIA2]],Imputar[[#This Row],[Categoría]]),0)</f>
        <v>0</v>
      </c>
      <c r="H275">
        <f>ROUND(SUMIFS(CATEGORIAS[[#All],[CAMBIO DE
CATEGORIA]],CATEGORIAS[[#All],[CATEGORIA2]],Imputar[[#This Row],[Categoría]]),0)</f>
        <v>0</v>
      </c>
      <c r="I2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5">
        <f>+ROUND(SUMIFS(CATEGORIAS[[#All],[PROYECCION
TOTAL DE COSTO]],CATEGORIAS[[#All],[CATEGORIA2]],Imputar[[#This Row],[Categoría]]),0)
-Imputar[[#This Row],[Inventario]]
-Imputar[[#This Row],[Pedidos no Rec]]</f>
        <v>0</v>
      </c>
      <c r="K2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5">
        <f>_xlfn.IFNA(VLOOKUP(Imputar[[#This Row],[Categoría]],EIMI!C:T,8,0),0)</f>
        <v>0</v>
      </c>
      <c r="M275">
        <f>_xlfn.IFNA(VLOOKUP(Imputar[[#This Row],[Categoría]],EIMI!C:T,9,0),0)</f>
        <v>0</v>
      </c>
      <c r="N275">
        <f>_xlfn.IFNA(VLOOKUP(Imputar[[#This Row],[Categoría]],EIMI!C:T,10,0),0)</f>
        <v>0</v>
      </c>
    </row>
    <row r="276" spans="1:14" hidden="1" x14ac:dyDescent="0.25">
      <c r="A276" s="206" t="str">
        <f>Indice!$I$11</f>
        <v>EIMI00398</v>
      </c>
      <c r="B276" t="s">
        <v>925</v>
      </c>
      <c r="C276" s="39">
        <f>Indice!$I$12</f>
        <v>46053</v>
      </c>
      <c r="E276">
        <f>ROUND(SUMIFS(CATEGORIAS[[#All],[TOTAL PRODUCCION
ACTUAL]],CATEGORIAS[[#All],[CATEGORIA2]],Imputar[[#This Row],[Categoría]]),0)</f>
        <v>0</v>
      </c>
      <c r="F276">
        <v>0</v>
      </c>
      <c r="G276">
        <f>ROUND(SUMIFS(CATEGORIAS[[#All],[PROYECCION
DE INGRESO
DEL SALDO]],CATEGORIAS[[#All],[CATEGORIA2]],Imputar[[#This Row],[Categoría]]),0)</f>
        <v>0</v>
      </c>
      <c r="H276">
        <f>ROUND(SUMIFS(CATEGORIAS[[#All],[CAMBIO DE
CATEGORIA]],CATEGORIAS[[#All],[CATEGORIA2]],Imputar[[#This Row],[Categoría]]),0)</f>
        <v>0</v>
      </c>
      <c r="I2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6">
        <f>+ROUND(SUMIFS(CATEGORIAS[[#All],[PROYECCION
TOTAL DE COSTO]],CATEGORIAS[[#All],[CATEGORIA2]],Imputar[[#This Row],[Categoría]]),0)
-Imputar[[#This Row],[Inventario]]
-Imputar[[#This Row],[Pedidos no Rec]]</f>
        <v>0</v>
      </c>
      <c r="K2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6">
        <f>_xlfn.IFNA(VLOOKUP(Imputar[[#This Row],[Categoría]],EIMI!C:T,8,0),0)</f>
        <v>0</v>
      </c>
      <c r="M276">
        <f>_xlfn.IFNA(VLOOKUP(Imputar[[#This Row],[Categoría]],EIMI!C:T,9,0),0)</f>
        <v>0</v>
      </c>
      <c r="N276">
        <f>_xlfn.IFNA(VLOOKUP(Imputar[[#This Row],[Categoría]],EIMI!C:T,10,0),0)</f>
        <v>0</v>
      </c>
    </row>
    <row r="277" spans="1:14" hidden="1" x14ac:dyDescent="0.25">
      <c r="A277" s="206" t="str">
        <f>Indice!$I$11</f>
        <v>EIMI00398</v>
      </c>
      <c r="B277" t="s">
        <v>927</v>
      </c>
      <c r="C277" s="39">
        <f>Indice!$I$12</f>
        <v>46053</v>
      </c>
      <c r="E277">
        <f>ROUND(SUMIFS(CATEGORIAS[[#All],[TOTAL PRODUCCION
ACTUAL]],CATEGORIAS[[#All],[CATEGORIA2]],Imputar[[#This Row],[Categoría]]),0)</f>
        <v>0</v>
      </c>
      <c r="F277">
        <v>0</v>
      </c>
      <c r="G277">
        <f>ROUND(SUMIFS(CATEGORIAS[[#All],[PROYECCION
DE INGRESO
DEL SALDO]],CATEGORIAS[[#All],[CATEGORIA2]],Imputar[[#This Row],[Categoría]]),0)</f>
        <v>0</v>
      </c>
      <c r="H277">
        <f>ROUND(SUMIFS(CATEGORIAS[[#All],[CAMBIO DE
CATEGORIA]],CATEGORIAS[[#All],[CATEGORIA2]],Imputar[[#This Row],[Categoría]]),0)</f>
        <v>0</v>
      </c>
      <c r="I2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7">
        <f>+ROUND(SUMIFS(CATEGORIAS[[#All],[PROYECCION
TOTAL DE COSTO]],CATEGORIAS[[#All],[CATEGORIA2]],Imputar[[#This Row],[Categoría]]),0)
-Imputar[[#This Row],[Inventario]]
-Imputar[[#This Row],[Pedidos no Rec]]</f>
        <v>0</v>
      </c>
      <c r="K2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7">
        <f>_xlfn.IFNA(VLOOKUP(Imputar[[#This Row],[Categoría]],EIMI!C:T,8,0),0)</f>
        <v>0</v>
      </c>
      <c r="M277">
        <f>_xlfn.IFNA(VLOOKUP(Imputar[[#This Row],[Categoría]],EIMI!C:T,9,0),0)</f>
        <v>0</v>
      </c>
      <c r="N277">
        <f>_xlfn.IFNA(VLOOKUP(Imputar[[#This Row],[Categoría]],EIMI!C:T,10,0),0)</f>
        <v>0</v>
      </c>
    </row>
    <row r="278" spans="1:14" hidden="1" x14ac:dyDescent="0.25">
      <c r="A278" s="206" t="str">
        <f>Indice!$I$11</f>
        <v>EIMI00398</v>
      </c>
      <c r="B278" t="s">
        <v>929</v>
      </c>
      <c r="C278" s="39">
        <f>Indice!$I$12</f>
        <v>46053</v>
      </c>
      <c r="E278">
        <f>ROUND(SUMIFS(CATEGORIAS[[#All],[TOTAL PRODUCCION
ACTUAL]],CATEGORIAS[[#All],[CATEGORIA2]],Imputar[[#This Row],[Categoría]]),0)</f>
        <v>0</v>
      </c>
      <c r="F278">
        <v>0</v>
      </c>
      <c r="G278">
        <f>ROUND(SUMIFS(CATEGORIAS[[#All],[PROYECCION
DE INGRESO
DEL SALDO]],CATEGORIAS[[#All],[CATEGORIA2]],Imputar[[#This Row],[Categoría]]),0)</f>
        <v>0</v>
      </c>
      <c r="H278">
        <f>ROUND(SUMIFS(CATEGORIAS[[#All],[CAMBIO DE
CATEGORIA]],CATEGORIAS[[#All],[CATEGORIA2]],Imputar[[#This Row],[Categoría]]),0)</f>
        <v>0</v>
      </c>
      <c r="I2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8">
        <f>+ROUND(SUMIFS(CATEGORIAS[[#All],[PROYECCION
TOTAL DE COSTO]],CATEGORIAS[[#All],[CATEGORIA2]],Imputar[[#This Row],[Categoría]]),0)
-Imputar[[#This Row],[Inventario]]
-Imputar[[#This Row],[Pedidos no Rec]]</f>
        <v>0</v>
      </c>
      <c r="K27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8">
        <f>_xlfn.IFNA(VLOOKUP(Imputar[[#This Row],[Categoría]],EIMI!C:T,8,0),0)</f>
        <v>0</v>
      </c>
      <c r="M278">
        <f>_xlfn.IFNA(VLOOKUP(Imputar[[#This Row],[Categoría]],EIMI!C:T,9,0),0)</f>
        <v>0</v>
      </c>
      <c r="N278">
        <f>_xlfn.IFNA(VLOOKUP(Imputar[[#This Row],[Categoría]],EIMI!C:T,10,0),0)</f>
        <v>0</v>
      </c>
    </row>
    <row r="279" spans="1:14" hidden="1" x14ac:dyDescent="0.25">
      <c r="A279" s="206" t="str">
        <f>Indice!$I$11</f>
        <v>EIMI00398</v>
      </c>
      <c r="B279" t="s">
        <v>931</v>
      </c>
      <c r="C279" s="39">
        <f>Indice!$I$12</f>
        <v>46053</v>
      </c>
      <c r="E279">
        <f>ROUND(SUMIFS(CATEGORIAS[[#All],[TOTAL PRODUCCION
ACTUAL]],CATEGORIAS[[#All],[CATEGORIA2]],Imputar[[#This Row],[Categoría]]),0)</f>
        <v>0</v>
      </c>
      <c r="F279">
        <v>0</v>
      </c>
      <c r="G279">
        <f>ROUND(SUMIFS(CATEGORIAS[[#All],[PROYECCION
DE INGRESO
DEL SALDO]],CATEGORIAS[[#All],[CATEGORIA2]],Imputar[[#This Row],[Categoría]]),0)</f>
        <v>0</v>
      </c>
      <c r="H279">
        <f>ROUND(SUMIFS(CATEGORIAS[[#All],[CAMBIO DE
CATEGORIA]],CATEGORIAS[[#All],[CATEGORIA2]],Imputar[[#This Row],[Categoría]]),0)</f>
        <v>0</v>
      </c>
      <c r="I2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79">
        <f>+ROUND(SUMIFS(CATEGORIAS[[#All],[PROYECCION
TOTAL DE COSTO]],CATEGORIAS[[#All],[CATEGORIA2]],Imputar[[#This Row],[Categoría]]),0)
-Imputar[[#This Row],[Inventario]]
-Imputar[[#This Row],[Pedidos no Rec]]</f>
        <v>0</v>
      </c>
      <c r="K2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79">
        <f>_xlfn.IFNA(VLOOKUP(Imputar[[#This Row],[Categoría]],EIMI!C:T,8,0),0)</f>
        <v>0</v>
      </c>
      <c r="M279">
        <f>_xlfn.IFNA(VLOOKUP(Imputar[[#This Row],[Categoría]],EIMI!C:T,9,0),0)</f>
        <v>0</v>
      </c>
      <c r="N279">
        <f>_xlfn.IFNA(VLOOKUP(Imputar[[#This Row],[Categoría]],EIMI!C:T,10,0),0)</f>
        <v>0</v>
      </c>
    </row>
    <row r="280" spans="1:14" hidden="1" x14ac:dyDescent="0.25">
      <c r="A280" s="206" t="str">
        <f>Indice!$I$11</f>
        <v>EIMI00398</v>
      </c>
      <c r="B280" t="s">
        <v>933</v>
      </c>
      <c r="C280" s="39">
        <f>Indice!$I$12</f>
        <v>46053</v>
      </c>
      <c r="E280">
        <f>ROUND(SUMIFS(CATEGORIAS[[#All],[TOTAL PRODUCCION
ACTUAL]],CATEGORIAS[[#All],[CATEGORIA2]],Imputar[[#This Row],[Categoría]]),0)</f>
        <v>0</v>
      </c>
      <c r="F280">
        <v>0</v>
      </c>
      <c r="G280">
        <f>ROUND(SUMIFS(CATEGORIAS[[#All],[PROYECCION
DE INGRESO
DEL SALDO]],CATEGORIAS[[#All],[CATEGORIA2]],Imputar[[#This Row],[Categoría]]),0)</f>
        <v>0</v>
      </c>
      <c r="H280">
        <f>ROUND(SUMIFS(CATEGORIAS[[#All],[CAMBIO DE
CATEGORIA]],CATEGORIAS[[#All],[CATEGORIA2]],Imputar[[#This Row],[Categoría]]),0)</f>
        <v>0</v>
      </c>
      <c r="I2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0">
        <f>+ROUND(SUMIFS(CATEGORIAS[[#All],[PROYECCION
TOTAL DE COSTO]],CATEGORIAS[[#All],[CATEGORIA2]],Imputar[[#This Row],[Categoría]]),0)
-Imputar[[#This Row],[Inventario]]
-Imputar[[#This Row],[Pedidos no Rec]]</f>
        <v>0</v>
      </c>
      <c r="K2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0">
        <f>_xlfn.IFNA(VLOOKUP(Imputar[[#This Row],[Categoría]],EIMI!C:T,8,0),0)</f>
        <v>0</v>
      </c>
      <c r="M280">
        <f>_xlfn.IFNA(VLOOKUP(Imputar[[#This Row],[Categoría]],EIMI!C:T,9,0),0)</f>
        <v>0</v>
      </c>
      <c r="N280">
        <f>_xlfn.IFNA(VLOOKUP(Imputar[[#This Row],[Categoría]],EIMI!C:T,10,0),0)</f>
        <v>0</v>
      </c>
    </row>
    <row r="281" spans="1:14" hidden="1" x14ac:dyDescent="0.25">
      <c r="A281" s="206" t="str">
        <f>Indice!$I$11</f>
        <v>EIMI00398</v>
      </c>
      <c r="B281" t="s">
        <v>935</v>
      </c>
      <c r="C281" s="39">
        <f>Indice!$I$12</f>
        <v>46053</v>
      </c>
      <c r="E281">
        <f>ROUND(SUMIFS(CATEGORIAS[[#All],[TOTAL PRODUCCION
ACTUAL]],CATEGORIAS[[#All],[CATEGORIA2]],Imputar[[#This Row],[Categoría]]),0)</f>
        <v>0</v>
      </c>
      <c r="F281">
        <v>0</v>
      </c>
      <c r="G281">
        <f>ROUND(SUMIFS(CATEGORIAS[[#All],[PROYECCION
DE INGRESO
DEL SALDO]],CATEGORIAS[[#All],[CATEGORIA2]],Imputar[[#This Row],[Categoría]]),0)</f>
        <v>0</v>
      </c>
      <c r="H281">
        <f>ROUND(SUMIFS(CATEGORIAS[[#All],[CAMBIO DE
CATEGORIA]],CATEGORIAS[[#All],[CATEGORIA2]],Imputar[[#This Row],[Categoría]]),0)</f>
        <v>0</v>
      </c>
      <c r="I2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1">
        <f>+ROUND(SUMIFS(CATEGORIAS[[#All],[PROYECCION
TOTAL DE COSTO]],CATEGORIAS[[#All],[CATEGORIA2]],Imputar[[#This Row],[Categoría]]),0)
-Imputar[[#This Row],[Inventario]]
-Imputar[[#This Row],[Pedidos no Rec]]</f>
        <v>0</v>
      </c>
      <c r="K2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1">
        <f>_xlfn.IFNA(VLOOKUP(Imputar[[#This Row],[Categoría]],EIMI!C:T,8,0),0)</f>
        <v>0</v>
      </c>
      <c r="M281">
        <f>_xlfn.IFNA(VLOOKUP(Imputar[[#This Row],[Categoría]],EIMI!C:T,9,0),0)</f>
        <v>0</v>
      </c>
      <c r="N281">
        <f>_xlfn.IFNA(VLOOKUP(Imputar[[#This Row],[Categoría]],EIMI!C:T,10,0),0)</f>
        <v>0</v>
      </c>
    </row>
    <row r="282" spans="1:14" hidden="1" x14ac:dyDescent="0.25">
      <c r="A282" s="206" t="str">
        <f>Indice!$I$11</f>
        <v>EIMI00398</v>
      </c>
      <c r="B282" t="s">
        <v>937</v>
      </c>
      <c r="C282" s="39">
        <f>Indice!$I$12</f>
        <v>46053</v>
      </c>
      <c r="E282">
        <f>ROUND(SUMIFS(CATEGORIAS[[#All],[TOTAL PRODUCCION
ACTUAL]],CATEGORIAS[[#All],[CATEGORIA2]],Imputar[[#This Row],[Categoría]]),0)</f>
        <v>0</v>
      </c>
      <c r="F282">
        <v>0</v>
      </c>
      <c r="G282">
        <f>ROUND(SUMIFS(CATEGORIAS[[#All],[PROYECCION
DE INGRESO
DEL SALDO]],CATEGORIAS[[#All],[CATEGORIA2]],Imputar[[#This Row],[Categoría]]),0)</f>
        <v>0</v>
      </c>
      <c r="H282">
        <f>ROUND(SUMIFS(CATEGORIAS[[#All],[CAMBIO DE
CATEGORIA]],CATEGORIAS[[#All],[CATEGORIA2]],Imputar[[#This Row],[Categoría]]),0)</f>
        <v>0</v>
      </c>
      <c r="I2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2">
        <f>+ROUND(SUMIFS(CATEGORIAS[[#All],[PROYECCION
TOTAL DE COSTO]],CATEGORIAS[[#All],[CATEGORIA2]],Imputar[[#This Row],[Categoría]]),0)
-Imputar[[#This Row],[Inventario]]
-Imputar[[#This Row],[Pedidos no Rec]]</f>
        <v>0</v>
      </c>
      <c r="K2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2">
        <f>_xlfn.IFNA(VLOOKUP(Imputar[[#This Row],[Categoría]],EIMI!C:T,8,0),0)</f>
        <v>0</v>
      </c>
      <c r="M282">
        <f>_xlfn.IFNA(VLOOKUP(Imputar[[#This Row],[Categoría]],EIMI!C:T,9,0),0)</f>
        <v>0</v>
      </c>
      <c r="N282">
        <f>_xlfn.IFNA(VLOOKUP(Imputar[[#This Row],[Categoría]],EIMI!C:T,10,0),0)</f>
        <v>0</v>
      </c>
    </row>
    <row r="283" spans="1:14" hidden="1" x14ac:dyDescent="0.25">
      <c r="A283" s="206" t="str">
        <f>Indice!$I$11</f>
        <v>EIMI00398</v>
      </c>
      <c r="B283" t="s">
        <v>939</v>
      </c>
      <c r="C283" s="39">
        <f>Indice!$I$12</f>
        <v>46053</v>
      </c>
      <c r="E283">
        <f>ROUND(SUMIFS(CATEGORIAS[[#All],[TOTAL PRODUCCION
ACTUAL]],CATEGORIAS[[#All],[CATEGORIA2]],Imputar[[#This Row],[Categoría]]),0)</f>
        <v>0</v>
      </c>
      <c r="F283">
        <v>0</v>
      </c>
      <c r="G283">
        <f>ROUND(SUMIFS(CATEGORIAS[[#All],[PROYECCION
DE INGRESO
DEL SALDO]],CATEGORIAS[[#All],[CATEGORIA2]],Imputar[[#This Row],[Categoría]]),0)</f>
        <v>0</v>
      </c>
      <c r="H283">
        <f>ROUND(SUMIFS(CATEGORIAS[[#All],[CAMBIO DE
CATEGORIA]],CATEGORIAS[[#All],[CATEGORIA2]],Imputar[[#This Row],[Categoría]]),0)</f>
        <v>0</v>
      </c>
      <c r="I2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3">
        <f>+ROUND(SUMIFS(CATEGORIAS[[#All],[PROYECCION
TOTAL DE COSTO]],CATEGORIAS[[#All],[CATEGORIA2]],Imputar[[#This Row],[Categoría]]),0)
-Imputar[[#This Row],[Inventario]]
-Imputar[[#This Row],[Pedidos no Rec]]</f>
        <v>0</v>
      </c>
      <c r="K2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3">
        <f>_xlfn.IFNA(VLOOKUP(Imputar[[#This Row],[Categoría]],EIMI!C:T,8,0),0)</f>
        <v>0</v>
      </c>
      <c r="M283">
        <f>_xlfn.IFNA(VLOOKUP(Imputar[[#This Row],[Categoría]],EIMI!C:T,9,0),0)</f>
        <v>0</v>
      </c>
      <c r="N283">
        <f>_xlfn.IFNA(VLOOKUP(Imputar[[#This Row],[Categoría]],EIMI!C:T,10,0),0)</f>
        <v>0</v>
      </c>
    </row>
    <row r="284" spans="1:14" hidden="1" x14ac:dyDescent="0.25">
      <c r="A284" s="206" t="str">
        <f>Indice!$I$11</f>
        <v>EIMI00398</v>
      </c>
      <c r="B284" t="s">
        <v>941</v>
      </c>
      <c r="C284" s="39">
        <f>Indice!$I$12</f>
        <v>46053</v>
      </c>
      <c r="E284">
        <f>ROUND(SUMIFS(CATEGORIAS[[#All],[TOTAL PRODUCCION
ACTUAL]],CATEGORIAS[[#All],[CATEGORIA2]],Imputar[[#This Row],[Categoría]]),0)</f>
        <v>0</v>
      </c>
      <c r="F284">
        <v>0</v>
      </c>
      <c r="G284">
        <f>ROUND(SUMIFS(CATEGORIAS[[#All],[PROYECCION
DE INGRESO
DEL SALDO]],CATEGORIAS[[#All],[CATEGORIA2]],Imputar[[#This Row],[Categoría]]),0)</f>
        <v>0</v>
      </c>
      <c r="H284">
        <f>ROUND(SUMIFS(CATEGORIAS[[#All],[CAMBIO DE
CATEGORIA]],CATEGORIAS[[#All],[CATEGORIA2]],Imputar[[#This Row],[Categoría]]),0)</f>
        <v>0</v>
      </c>
      <c r="I2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4">
        <f>+ROUND(SUMIFS(CATEGORIAS[[#All],[PROYECCION
TOTAL DE COSTO]],CATEGORIAS[[#All],[CATEGORIA2]],Imputar[[#This Row],[Categoría]]),0)
-Imputar[[#This Row],[Inventario]]
-Imputar[[#This Row],[Pedidos no Rec]]</f>
        <v>0</v>
      </c>
      <c r="K2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4">
        <f>_xlfn.IFNA(VLOOKUP(Imputar[[#This Row],[Categoría]],EIMI!C:T,8,0),0)</f>
        <v>0</v>
      </c>
      <c r="M284">
        <f>_xlfn.IFNA(VLOOKUP(Imputar[[#This Row],[Categoría]],EIMI!C:T,9,0),0)</f>
        <v>0</v>
      </c>
      <c r="N284">
        <f>_xlfn.IFNA(VLOOKUP(Imputar[[#This Row],[Categoría]],EIMI!C:T,10,0),0)</f>
        <v>0</v>
      </c>
    </row>
    <row r="285" spans="1:14" hidden="1" x14ac:dyDescent="0.25">
      <c r="A285" s="206" t="str">
        <f>Indice!$I$11</f>
        <v>EIMI00398</v>
      </c>
      <c r="B285" t="s">
        <v>943</v>
      </c>
      <c r="C285" s="39">
        <f>Indice!$I$12</f>
        <v>46053</v>
      </c>
      <c r="E285">
        <f>ROUND(SUMIFS(CATEGORIAS[[#All],[TOTAL PRODUCCION
ACTUAL]],CATEGORIAS[[#All],[CATEGORIA2]],Imputar[[#This Row],[Categoría]]),0)</f>
        <v>0</v>
      </c>
      <c r="F285">
        <v>0</v>
      </c>
      <c r="G285">
        <f>ROUND(SUMIFS(CATEGORIAS[[#All],[PROYECCION
DE INGRESO
DEL SALDO]],CATEGORIAS[[#All],[CATEGORIA2]],Imputar[[#This Row],[Categoría]]),0)</f>
        <v>0</v>
      </c>
      <c r="H285">
        <f>ROUND(SUMIFS(CATEGORIAS[[#All],[CAMBIO DE
CATEGORIA]],CATEGORIAS[[#All],[CATEGORIA2]],Imputar[[#This Row],[Categoría]]),0)</f>
        <v>0</v>
      </c>
      <c r="I2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5">
        <f>+ROUND(SUMIFS(CATEGORIAS[[#All],[PROYECCION
TOTAL DE COSTO]],CATEGORIAS[[#All],[CATEGORIA2]],Imputar[[#This Row],[Categoría]]),0)
-Imputar[[#This Row],[Inventario]]
-Imputar[[#This Row],[Pedidos no Rec]]</f>
        <v>0</v>
      </c>
      <c r="K2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5">
        <f>_xlfn.IFNA(VLOOKUP(Imputar[[#This Row],[Categoría]],EIMI!C:T,8,0),0)</f>
        <v>0</v>
      </c>
      <c r="M285">
        <f>_xlfn.IFNA(VLOOKUP(Imputar[[#This Row],[Categoría]],EIMI!C:T,9,0),0)</f>
        <v>0</v>
      </c>
      <c r="N285">
        <f>_xlfn.IFNA(VLOOKUP(Imputar[[#This Row],[Categoría]],EIMI!C:T,10,0),0)</f>
        <v>0</v>
      </c>
    </row>
    <row r="286" spans="1:14" hidden="1" x14ac:dyDescent="0.25">
      <c r="A286" s="206" t="str">
        <f>Indice!$I$11</f>
        <v>EIMI00398</v>
      </c>
      <c r="B286" t="s">
        <v>945</v>
      </c>
      <c r="C286" s="39">
        <f>Indice!$I$12</f>
        <v>46053</v>
      </c>
      <c r="E286">
        <f>ROUND(SUMIFS(CATEGORIAS[[#All],[TOTAL PRODUCCION
ACTUAL]],CATEGORIAS[[#All],[CATEGORIA2]],Imputar[[#This Row],[Categoría]]),0)</f>
        <v>0</v>
      </c>
      <c r="F286">
        <v>0</v>
      </c>
      <c r="G286">
        <f>ROUND(SUMIFS(CATEGORIAS[[#All],[PROYECCION
DE INGRESO
DEL SALDO]],CATEGORIAS[[#All],[CATEGORIA2]],Imputar[[#This Row],[Categoría]]),0)</f>
        <v>0</v>
      </c>
      <c r="H286">
        <f>ROUND(SUMIFS(CATEGORIAS[[#All],[CAMBIO DE
CATEGORIA]],CATEGORIAS[[#All],[CATEGORIA2]],Imputar[[#This Row],[Categoría]]),0)</f>
        <v>0</v>
      </c>
      <c r="I2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6">
        <f>+ROUND(SUMIFS(CATEGORIAS[[#All],[PROYECCION
TOTAL DE COSTO]],CATEGORIAS[[#All],[CATEGORIA2]],Imputar[[#This Row],[Categoría]]),0)
-Imputar[[#This Row],[Inventario]]
-Imputar[[#This Row],[Pedidos no Rec]]</f>
        <v>0</v>
      </c>
      <c r="K2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6">
        <f>_xlfn.IFNA(VLOOKUP(Imputar[[#This Row],[Categoría]],EIMI!C:T,8,0),0)</f>
        <v>0</v>
      </c>
      <c r="M286">
        <f>_xlfn.IFNA(VLOOKUP(Imputar[[#This Row],[Categoría]],EIMI!C:T,9,0),0)</f>
        <v>0</v>
      </c>
      <c r="N286">
        <f>_xlfn.IFNA(VLOOKUP(Imputar[[#This Row],[Categoría]],EIMI!C:T,10,0),0)</f>
        <v>0</v>
      </c>
    </row>
    <row r="287" spans="1:14" hidden="1" x14ac:dyDescent="0.25">
      <c r="A287" s="206" t="str">
        <f>Indice!$I$11</f>
        <v>EIMI00398</v>
      </c>
      <c r="B287" t="s">
        <v>947</v>
      </c>
      <c r="C287" s="39">
        <f>Indice!$I$12</f>
        <v>46053</v>
      </c>
      <c r="E287">
        <f>ROUND(SUMIFS(CATEGORIAS[[#All],[TOTAL PRODUCCION
ACTUAL]],CATEGORIAS[[#All],[CATEGORIA2]],Imputar[[#This Row],[Categoría]]),0)</f>
        <v>0</v>
      </c>
      <c r="F287">
        <v>0</v>
      </c>
      <c r="G287">
        <f>ROUND(SUMIFS(CATEGORIAS[[#All],[PROYECCION
DE INGRESO
DEL SALDO]],CATEGORIAS[[#All],[CATEGORIA2]],Imputar[[#This Row],[Categoría]]),0)</f>
        <v>0</v>
      </c>
      <c r="H287">
        <f>ROUND(SUMIFS(CATEGORIAS[[#All],[CAMBIO DE
CATEGORIA]],CATEGORIAS[[#All],[CATEGORIA2]],Imputar[[#This Row],[Categoría]]),0)</f>
        <v>0</v>
      </c>
      <c r="I2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7">
        <f>+ROUND(SUMIFS(CATEGORIAS[[#All],[PROYECCION
TOTAL DE COSTO]],CATEGORIAS[[#All],[CATEGORIA2]],Imputar[[#This Row],[Categoría]]),0)
-Imputar[[#This Row],[Inventario]]
-Imputar[[#This Row],[Pedidos no Rec]]</f>
        <v>0</v>
      </c>
      <c r="K2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7">
        <f>_xlfn.IFNA(VLOOKUP(Imputar[[#This Row],[Categoría]],EIMI!C:T,8,0),0)</f>
        <v>0</v>
      </c>
      <c r="M287">
        <f>_xlfn.IFNA(VLOOKUP(Imputar[[#This Row],[Categoría]],EIMI!C:T,9,0),0)</f>
        <v>0</v>
      </c>
      <c r="N287">
        <f>_xlfn.IFNA(VLOOKUP(Imputar[[#This Row],[Categoría]],EIMI!C:T,10,0),0)</f>
        <v>0</v>
      </c>
    </row>
    <row r="288" spans="1:14" hidden="1" x14ac:dyDescent="0.25">
      <c r="A288" s="206" t="str">
        <f>Indice!$I$11</f>
        <v>EIMI00398</v>
      </c>
      <c r="B288" t="s">
        <v>949</v>
      </c>
      <c r="C288" s="39">
        <f>Indice!$I$12</f>
        <v>46053</v>
      </c>
      <c r="E288">
        <f>ROUND(SUMIFS(CATEGORIAS[[#All],[TOTAL PRODUCCION
ACTUAL]],CATEGORIAS[[#All],[CATEGORIA2]],Imputar[[#This Row],[Categoría]]),0)</f>
        <v>0</v>
      </c>
      <c r="F288">
        <v>0</v>
      </c>
      <c r="G288">
        <f>ROUND(SUMIFS(CATEGORIAS[[#All],[PROYECCION
DE INGRESO
DEL SALDO]],CATEGORIAS[[#All],[CATEGORIA2]],Imputar[[#This Row],[Categoría]]),0)</f>
        <v>0</v>
      </c>
      <c r="H288">
        <f>ROUND(SUMIFS(CATEGORIAS[[#All],[CAMBIO DE
CATEGORIA]],CATEGORIAS[[#All],[CATEGORIA2]],Imputar[[#This Row],[Categoría]]),0)</f>
        <v>0</v>
      </c>
      <c r="I2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8">
        <f>+ROUND(SUMIFS(CATEGORIAS[[#All],[PROYECCION
TOTAL DE COSTO]],CATEGORIAS[[#All],[CATEGORIA2]],Imputar[[#This Row],[Categoría]]),0)
-Imputar[[#This Row],[Inventario]]
-Imputar[[#This Row],[Pedidos no Rec]]</f>
        <v>0</v>
      </c>
      <c r="K2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8">
        <f>_xlfn.IFNA(VLOOKUP(Imputar[[#This Row],[Categoría]],EIMI!C:T,8,0),0)</f>
        <v>0</v>
      </c>
      <c r="M288">
        <f>_xlfn.IFNA(VLOOKUP(Imputar[[#This Row],[Categoría]],EIMI!C:T,9,0),0)</f>
        <v>0</v>
      </c>
      <c r="N288">
        <f>_xlfn.IFNA(VLOOKUP(Imputar[[#This Row],[Categoría]],EIMI!C:T,10,0),0)</f>
        <v>0</v>
      </c>
    </row>
    <row r="289" spans="1:14" hidden="1" x14ac:dyDescent="0.25">
      <c r="A289" s="206" t="str">
        <f>Indice!$I$11</f>
        <v>EIMI00398</v>
      </c>
      <c r="B289" t="s">
        <v>951</v>
      </c>
      <c r="C289" s="39">
        <f>Indice!$I$12</f>
        <v>46053</v>
      </c>
      <c r="E289">
        <f>ROUND(SUMIFS(CATEGORIAS[[#All],[TOTAL PRODUCCION
ACTUAL]],CATEGORIAS[[#All],[CATEGORIA2]],Imputar[[#This Row],[Categoría]]),0)</f>
        <v>0</v>
      </c>
      <c r="F289">
        <v>0</v>
      </c>
      <c r="G289">
        <f>ROUND(SUMIFS(CATEGORIAS[[#All],[PROYECCION
DE INGRESO
DEL SALDO]],CATEGORIAS[[#All],[CATEGORIA2]],Imputar[[#This Row],[Categoría]]),0)</f>
        <v>0</v>
      </c>
      <c r="H289">
        <f>ROUND(SUMIFS(CATEGORIAS[[#All],[CAMBIO DE
CATEGORIA]],CATEGORIAS[[#All],[CATEGORIA2]],Imputar[[#This Row],[Categoría]]),0)</f>
        <v>0</v>
      </c>
      <c r="I2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89">
        <f>+ROUND(SUMIFS(CATEGORIAS[[#All],[PROYECCION
TOTAL DE COSTO]],CATEGORIAS[[#All],[CATEGORIA2]],Imputar[[#This Row],[Categoría]]),0)
-Imputar[[#This Row],[Inventario]]
-Imputar[[#This Row],[Pedidos no Rec]]</f>
        <v>0</v>
      </c>
      <c r="K2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89">
        <f>_xlfn.IFNA(VLOOKUP(Imputar[[#This Row],[Categoría]],EIMI!C:T,8,0),0)</f>
        <v>0</v>
      </c>
      <c r="M289">
        <f>_xlfn.IFNA(VLOOKUP(Imputar[[#This Row],[Categoría]],EIMI!C:T,9,0),0)</f>
        <v>0</v>
      </c>
      <c r="N289">
        <f>_xlfn.IFNA(VLOOKUP(Imputar[[#This Row],[Categoría]],EIMI!C:T,10,0),0)</f>
        <v>0</v>
      </c>
    </row>
    <row r="290" spans="1:14" hidden="1" x14ac:dyDescent="0.25">
      <c r="A290" s="206" t="str">
        <f>Indice!$I$11</f>
        <v>EIMI00398</v>
      </c>
      <c r="B290" t="s">
        <v>953</v>
      </c>
      <c r="C290" s="39">
        <f>Indice!$I$12</f>
        <v>46053</v>
      </c>
      <c r="E290">
        <f>ROUND(SUMIFS(CATEGORIAS[[#All],[TOTAL PRODUCCION
ACTUAL]],CATEGORIAS[[#All],[CATEGORIA2]],Imputar[[#This Row],[Categoría]]),0)</f>
        <v>0</v>
      </c>
      <c r="F290">
        <v>0</v>
      </c>
      <c r="G290">
        <f>ROUND(SUMIFS(CATEGORIAS[[#All],[PROYECCION
DE INGRESO
DEL SALDO]],CATEGORIAS[[#All],[CATEGORIA2]],Imputar[[#This Row],[Categoría]]),0)</f>
        <v>0</v>
      </c>
      <c r="H290">
        <f>ROUND(SUMIFS(CATEGORIAS[[#All],[CAMBIO DE
CATEGORIA]],CATEGORIAS[[#All],[CATEGORIA2]],Imputar[[#This Row],[Categoría]]),0)</f>
        <v>0</v>
      </c>
      <c r="I2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0">
        <f>+ROUND(SUMIFS(CATEGORIAS[[#All],[PROYECCION
TOTAL DE COSTO]],CATEGORIAS[[#All],[CATEGORIA2]],Imputar[[#This Row],[Categoría]]),0)
-Imputar[[#This Row],[Inventario]]
-Imputar[[#This Row],[Pedidos no Rec]]</f>
        <v>0</v>
      </c>
      <c r="K2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0">
        <f>_xlfn.IFNA(VLOOKUP(Imputar[[#This Row],[Categoría]],EIMI!C:T,8,0),0)</f>
        <v>0</v>
      </c>
      <c r="M290">
        <f>_xlfn.IFNA(VLOOKUP(Imputar[[#This Row],[Categoría]],EIMI!C:T,9,0),0)</f>
        <v>0</v>
      </c>
      <c r="N290">
        <f>_xlfn.IFNA(VLOOKUP(Imputar[[#This Row],[Categoría]],EIMI!C:T,10,0),0)</f>
        <v>0</v>
      </c>
    </row>
    <row r="291" spans="1:14" hidden="1" x14ac:dyDescent="0.25">
      <c r="A291" s="206" t="str">
        <f>Indice!$I$11</f>
        <v>EIMI00398</v>
      </c>
      <c r="B291" t="s">
        <v>955</v>
      </c>
      <c r="C291" s="39">
        <f>Indice!$I$12</f>
        <v>46053</v>
      </c>
      <c r="E291">
        <f>ROUND(SUMIFS(CATEGORIAS[[#All],[TOTAL PRODUCCION
ACTUAL]],CATEGORIAS[[#All],[CATEGORIA2]],Imputar[[#This Row],[Categoría]]),0)</f>
        <v>0</v>
      </c>
      <c r="F291">
        <v>0</v>
      </c>
      <c r="G291">
        <f>ROUND(SUMIFS(CATEGORIAS[[#All],[PROYECCION
DE INGRESO
DEL SALDO]],CATEGORIAS[[#All],[CATEGORIA2]],Imputar[[#This Row],[Categoría]]),0)</f>
        <v>0</v>
      </c>
      <c r="H291">
        <f>ROUND(SUMIFS(CATEGORIAS[[#All],[CAMBIO DE
CATEGORIA]],CATEGORIAS[[#All],[CATEGORIA2]],Imputar[[#This Row],[Categoría]]),0)</f>
        <v>0</v>
      </c>
      <c r="I2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1">
        <f>+ROUND(SUMIFS(CATEGORIAS[[#All],[PROYECCION
TOTAL DE COSTO]],CATEGORIAS[[#All],[CATEGORIA2]],Imputar[[#This Row],[Categoría]]),0)
-Imputar[[#This Row],[Inventario]]
-Imputar[[#This Row],[Pedidos no Rec]]</f>
        <v>0</v>
      </c>
      <c r="K2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1">
        <f>_xlfn.IFNA(VLOOKUP(Imputar[[#This Row],[Categoría]],EIMI!C:T,8,0),0)</f>
        <v>0</v>
      </c>
      <c r="M291">
        <f>_xlfn.IFNA(VLOOKUP(Imputar[[#This Row],[Categoría]],EIMI!C:T,9,0),0)</f>
        <v>0</v>
      </c>
      <c r="N291">
        <f>_xlfn.IFNA(VLOOKUP(Imputar[[#This Row],[Categoría]],EIMI!C:T,10,0),0)</f>
        <v>0</v>
      </c>
    </row>
    <row r="292" spans="1:14" hidden="1" x14ac:dyDescent="0.25">
      <c r="A292" s="206" t="str">
        <f>Indice!$I$11</f>
        <v>EIMI00398</v>
      </c>
      <c r="B292" t="s">
        <v>957</v>
      </c>
      <c r="C292" s="39">
        <f>Indice!$I$12</f>
        <v>46053</v>
      </c>
      <c r="E292">
        <f>ROUND(SUMIFS(CATEGORIAS[[#All],[TOTAL PRODUCCION
ACTUAL]],CATEGORIAS[[#All],[CATEGORIA2]],Imputar[[#This Row],[Categoría]]),0)</f>
        <v>0</v>
      </c>
      <c r="F292">
        <v>0</v>
      </c>
      <c r="G292">
        <f>ROUND(SUMIFS(CATEGORIAS[[#All],[PROYECCION
DE INGRESO
DEL SALDO]],CATEGORIAS[[#All],[CATEGORIA2]],Imputar[[#This Row],[Categoría]]),0)</f>
        <v>0</v>
      </c>
      <c r="H292">
        <f>ROUND(SUMIFS(CATEGORIAS[[#All],[CAMBIO DE
CATEGORIA]],CATEGORIAS[[#All],[CATEGORIA2]],Imputar[[#This Row],[Categoría]]),0)</f>
        <v>0</v>
      </c>
      <c r="I2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2">
        <f>+ROUND(SUMIFS(CATEGORIAS[[#All],[PROYECCION
TOTAL DE COSTO]],CATEGORIAS[[#All],[CATEGORIA2]],Imputar[[#This Row],[Categoría]]),0)
-Imputar[[#This Row],[Inventario]]
-Imputar[[#This Row],[Pedidos no Rec]]</f>
        <v>0</v>
      </c>
      <c r="K2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2">
        <f>_xlfn.IFNA(VLOOKUP(Imputar[[#This Row],[Categoría]],EIMI!C:T,8,0),0)</f>
        <v>0</v>
      </c>
      <c r="M292">
        <f>_xlfn.IFNA(VLOOKUP(Imputar[[#This Row],[Categoría]],EIMI!C:T,9,0),0)</f>
        <v>0</v>
      </c>
      <c r="N292">
        <f>_xlfn.IFNA(VLOOKUP(Imputar[[#This Row],[Categoría]],EIMI!C:T,10,0),0)</f>
        <v>0</v>
      </c>
    </row>
    <row r="293" spans="1:14" hidden="1" x14ac:dyDescent="0.25">
      <c r="A293" s="206" t="str">
        <f>Indice!$I$11</f>
        <v>EIMI00398</v>
      </c>
      <c r="B293" t="s">
        <v>959</v>
      </c>
      <c r="C293" s="39">
        <f>Indice!$I$12</f>
        <v>46053</v>
      </c>
      <c r="E293">
        <f>ROUND(SUMIFS(CATEGORIAS[[#All],[TOTAL PRODUCCION
ACTUAL]],CATEGORIAS[[#All],[CATEGORIA2]],Imputar[[#This Row],[Categoría]]),0)</f>
        <v>0</v>
      </c>
      <c r="F293">
        <v>0</v>
      </c>
      <c r="G293">
        <f>ROUND(SUMIFS(CATEGORIAS[[#All],[PROYECCION
DE INGRESO
DEL SALDO]],CATEGORIAS[[#All],[CATEGORIA2]],Imputar[[#This Row],[Categoría]]),0)</f>
        <v>0</v>
      </c>
      <c r="H293">
        <f>ROUND(SUMIFS(CATEGORIAS[[#All],[CAMBIO DE
CATEGORIA]],CATEGORIAS[[#All],[CATEGORIA2]],Imputar[[#This Row],[Categoría]]),0)</f>
        <v>0</v>
      </c>
      <c r="I2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3">
        <f>+ROUND(SUMIFS(CATEGORIAS[[#All],[PROYECCION
TOTAL DE COSTO]],CATEGORIAS[[#All],[CATEGORIA2]],Imputar[[#This Row],[Categoría]]),0)
-Imputar[[#This Row],[Inventario]]
-Imputar[[#This Row],[Pedidos no Rec]]</f>
        <v>0</v>
      </c>
      <c r="K2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3">
        <f>_xlfn.IFNA(VLOOKUP(Imputar[[#This Row],[Categoría]],EIMI!C:T,8,0),0)</f>
        <v>0</v>
      </c>
      <c r="M293">
        <f>_xlfn.IFNA(VLOOKUP(Imputar[[#This Row],[Categoría]],EIMI!C:T,9,0),0)</f>
        <v>0</v>
      </c>
      <c r="N293">
        <f>_xlfn.IFNA(VLOOKUP(Imputar[[#This Row],[Categoría]],EIMI!C:T,10,0),0)</f>
        <v>0</v>
      </c>
    </row>
    <row r="294" spans="1:14" hidden="1" x14ac:dyDescent="0.25">
      <c r="A294" s="206" t="str">
        <f>Indice!$I$11</f>
        <v>EIMI00398</v>
      </c>
      <c r="B294" t="s">
        <v>961</v>
      </c>
      <c r="C294" s="39">
        <f>Indice!$I$12</f>
        <v>46053</v>
      </c>
      <c r="E294">
        <f>ROUND(SUMIFS(CATEGORIAS[[#All],[TOTAL PRODUCCION
ACTUAL]],CATEGORIAS[[#All],[CATEGORIA2]],Imputar[[#This Row],[Categoría]]),0)</f>
        <v>0</v>
      </c>
      <c r="F294">
        <v>0</v>
      </c>
      <c r="G294">
        <f>ROUND(SUMIFS(CATEGORIAS[[#All],[PROYECCION
DE INGRESO
DEL SALDO]],CATEGORIAS[[#All],[CATEGORIA2]],Imputar[[#This Row],[Categoría]]),0)</f>
        <v>0</v>
      </c>
      <c r="H294">
        <f>ROUND(SUMIFS(CATEGORIAS[[#All],[CAMBIO DE
CATEGORIA]],CATEGORIAS[[#All],[CATEGORIA2]],Imputar[[#This Row],[Categoría]]),0)</f>
        <v>0</v>
      </c>
      <c r="I2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4">
        <f>+ROUND(SUMIFS(CATEGORIAS[[#All],[PROYECCION
TOTAL DE COSTO]],CATEGORIAS[[#All],[CATEGORIA2]],Imputar[[#This Row],[Categoría]]),0)
-Imputar[[#This Row],[Inventario]]
-Imputar[[#This Row],[Pedidos no Rec]]</f>
        <v>0</v>
      </c>
      <c r="K2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4">
        <f>_xlfn.IFNA(VLOOKUP(Imputar[[#This Row],[Categoría]],EIMI!C:T,8,0),0)</f>
        <v>0</v>
      </c>
      <c r="M294">
        <f>_xlfn.IFNA(VLOOKUP(Imputar[[#This Row],[Categoría]],EIMI!C:T,9,0),0)</f>
        <v>0</v>
      </c>
      <c r="N294">
        <f>_xlfn.IFNA(VLOOKUP(Imputar[[#This Row],[Categoría]],EIMI!C:T,10,0),0)</f>
        <v>0</v>
      </c>
    </row>
    <row r="295" spans="1:14" hidden="1" x14ac:dyDescent="0.25">
      <c r="A295" s="206" t="str">
        <f>Indice!$I$11</f>
        <v>EIMI00398</v>
      </c>
      <c r="B295" t="s">
        <v>963</v>
      </c>
      <c r="C295" s="39">
        <f>Indice!$I$12</f>
        <v>46053</v>
      </c>
      <c r="E295">
        <f>ROUND(SUMIFS(CATEGORIAS[[#All],[TOTAL PRODUCCION
ACTUAL]],CATEGORIAS[[#All],[CATEGORIA2]],Imputar[[#This Row],[Categoría]]),0)</f>
        <v>0</v>
      </c>
      <c r="F295">
        <v>0</v>
      </c>
      <c r="G295">
        <f>ROUND(SUMIFS(CATEGORIAS[[#All],[PROYECCION
DE INGRESO
DEL SALDO]],CATEGORIAS[[#All],[CATEGORIA2]],Imputar[[#This Row],[Categoría]]),0)</f>
        <v>0</v>
      </c>
      <c r="H295">
        <f>ROUND(SUMIFS(CATEGORIAS[[#All],[CAMBIO DE
CATEGORIA]],CATEGORIAS[[#All],[CATEGORIA2]],Imputar[[#This Row],[Categoría]]),0)</f>
        <v>0</v>
      </c>
      <c r="I2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5">
        <f>+ROUND(SUMIFS(CATEGORIAS[[#All],[PROYECCION
TOTAL DE COSTO]],CATEGORIAS[[#All],[CATEGORIA2]],Imputar[[#This Row],[Categoría]]),0)
-Imputar[[#This Row],[Inventario]]
-Imputar[[#This Row],[Pedidos no Rec]]</f>
        <v>0</v>
      </c>
      <c r="K2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5">
        <f>_xlfn.IFNA(VLOOKUP(Imputar[[#This Row],[Categoría]],EIMI!C:T,8,0),0)</f>
        <v>0</v>
      </c>
      <c r="M295">
        <f>_xlfn.IFNA(VLOOKUP(Imputar[[#This Row],[Categoría]],EIMI!C:T,9,0),0)</f>
        <v>0</v>
      </c>
      <c r="N295">
        <f>_xlfn.IFNA(VLOOKUP(Imputar[[#This Row],[Categoría]],EIMI!C:T,10,0),0)</f>
        <v>0</v>
      </c>
    </row>
    <row r="296" spans="1:14" hidden="1" x14ac:dyDescent="0.25">
      <c r="A296" s="206" t="str">
        <f>Indice!$I$11</f>
        <v>EIMI00398</v>
      </c>
      <c r="B296" t="s">
        <v>965</v>
      </c>
      <c r="C296" s="39">
        <f>Indice!$I$12</f>
        <v>46053</v>
      </c>
      <c r="E296">
        <f>ROUND(SUMIFS(CATEGORIAS[[#All],[TOTAL PRODUCCION
ACTUAL]],CATEGORIAS[[#All],[CATEGORIA2]],Imputar[[#This Row],[Categoría]]),0)</f>
        <v>0</v>
      </c>
      <c r="F296">
        <v>0</v>
      </c>
      <c r="G296">
        <f>ROUND(SUMIFS(CATEGORIAS[[#All],[PROYECCION
DE INGRESO
DEL SALDO]],CATEGORIAS[[#All],[CATEGORIA2]],Imputar[[#This Row],[Categoría]]),0)</f>
        <v>0</v>
      </c>
      <c r="H296">
        <f>ROUND(SUMIFS(CATEGORIAS[[#All],[CAMBIO DE
CATEGORIA]],CATEGORIAS[[#All],[CATEGORIA2]],Imputar[[#This Row],[Categoría]]),0)</f>
        <v>0</v>
      </c>
      <c r="I2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6">
        <f>+ROUND(SUMIFS(CATEGORIAS[[#All],[PROYECCION
TOTAL DE COSTO]],CATEGORIAS[[#All],[CATEGORIA2]],Imputar[[#This Row],[Categoría]]),0)
-Imputar[[#This Row],[Inventario]]
-Imputar[[#This Row],[Pedidos no Rec]]</f>
        <v>0</v>
      </c>
      <c r="K2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6">
        <f>_xlfn.IFNA(VLOOKUP(Imputar[[#This Row],[Categoría]],EIMI!C:T,8,0),0)</f>
        <v>0</v>
      </c>
      <c r="M296">
        <f>_xlfn.IFNA(VLOOKUP(Imputar[[#This Row],[Categoría]],EIMI!C:T,9,0),0)</f>
        <v>0</v>
      </c>
      <c r="N296">
        <f>_xlfn.IFNA(VLOOKUP(Imputar[[#This Row],[Categoría]],EIMI!C:T,10,0),0)</f>
        <v>0</v>
      </c>
    </row>
    <row r="297" spans="1:14" hidden="1" x14ac:dyDescent="0.25">
      <c r="A297" s="206" t="str">
        <f>Indice!$I$11</f>
        <v>EIMI00398</v>
      </c>
      <c r="B297" t="s">
        <v>967</v>
      </c>
      <c r="C297" s="39">
        <f>Indice!$I$12</f>
        <v>46053</v>
      </c>
      <c r="E297">
        <f>ROUND(SUMIFS(CATEGORIAS[[#All],[TOTAL PRODUCCION
ACTUAL]],CATEGORIAS[[#All],[CATEGORIA2]],Imputar[[#This Row],[Categoría]]),0)</f>
        <v>0</v>
      </c>
      <c r="F297">
        <v>0</v>
      </c>
      <c r="G297">
        <f>ROUND(SUMIFS(CATEGORIAS[[#All],[PROYECCION
DE INGRESO
DEL SALDO]],CATEGORIAS[[#All],[CATEGORIA2]],Imputar[[#This Row],[Categoría]]),0)</f>
        <v>0</v>
      </c>
      <c r="H297">
        <f>ROUND(SUMIFS(CATEGORIAS[[#All],[CAMBIO DE
CATEGORIA]],CATEGORIAS[[#All],[CATEGORIA2]],Imputar[[#This Row],[Categoría]]),0)</f>
        <v>0</v>
      </c>
      <c r="I2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7">
        <f>+ROUND(SUMIFS(CATEGORIAS[[#All],[PROYECCION
TOTAL DE COSTO]],CATEGORIAS[[#All],[CATEGORIA2]],Imputar[[#This Row],[Categoría]]),0)
-Imputar[[#This Row],[Inventario]]
-Imputar[[#This Row],[Pedidos no Rec]]</f>
        <v>0</v>
      </c>
      <c r="K2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7">
        <f>_xlfn.IFNA(VLOOKUP(Imputar[[#This Row],[Categoría]],EIMI!C:T,8,0),0)</f>
        <v>0</v>
      </c>
      <c r="M297">
        <f>_xlfn.IFNA(VLOOKUP(Imputar[[#This Row],[Categoría]],EIMI!C:T,9,0),0)</f>
        <v>0</v>
      </c>
      <c r="N297">
        <f>_xlfn.IFNA(VLOOKUP(Imputar[[#This Row],[Categoría]],EIMI!C:T,10,0),0)</f>
        <v>0</v>
      </c>
    </row>
    <row r="298" spans="1:14" hidden="1" x14ac:dyDescent="0.25">
      <c r="A298" s="206" t="str">
        <f>Indice!$I$11</f>
        <v>EIMI00398</v>
      </c>
      <c r="B298" t="s">
        <v>969</v>
      </c>
      <c r="C298" s="39">
        <f>Indice!$I$12</f>
        <v>46053</v>
      </c>
      <c r="E298">
        <f>ROUND(SUMIFS(CATEGORIAS[[#All],[TOTAL PRODUCCION
ACTUAL]],CATEGORIAS[[#All],[CATEGORIA2]],Imputar[[#This Row],[Categoría]]),0)</f>
        <v>0</v>
      </c>
      <c r="F298">
        <v>0</v>
      </c>
      <c r="G298">
        <f>ROUND(SUMIFS(CATEGORIAS[[#All],[PROYECCION
DE INGRESO
DEL SALDO]],CATEGORIAS[[#All],[CATEGORIA2]],Imputar[[#This Row],[Categoría]]),0)</f>
        <v>0</v>
      </c>
      <c r="H298">
        <f>ROUND(SUMIFS(CATEGORIAS[[#All],[CAMBIO DE
CATEGORIA]],CATEGORIAS[[#All],[CATEGORIA2]],Imputar[[#This Row],[Categoría]]),0)</f>
        <v>0</v>
      </c>
      <c r="I2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8">
        <f>+ROUND(SUMIFS(CATEGORIAS[[#All],[PROYECCION
TOTAL DE COSTO]],CATEGORIAS[[#All],[CATEGORIA2]],Imputar[[#This Row],[Categoría]]),0)
-Imputar[[#This Row],[Inventario]]
-Imputar[[#This Row],[Pedidos no Rec]]</f>
        <v>0</v>
      </c>
      <c r="K2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8">
        <f>_xlfn.IFNA(VLOOKUP(Imputar[[#This Row],[Categoría]],EIMI!C:T,8,0),0)</f>
        <v>0</v>
      </c>
      <c r="M298">
        <f>_xlfn.IFNA(VLOOKUP(Imputar[[#This Row],[Categoría]],EIMI!C:T,9,0),0)</f>
        <v>0</v>
      </c>
      <c r="N298">
        <f>_xlfn.IFNA(VLOOKUP(Imputar[[#This Row],[Categoría]],EIMI!C:T,10,0),0)</f>
        <v>0</v>
      </c>
    </row>
    <row r="299" spans="1:14" hidden="1" x14ac:dyDescent="0.25">
      <c r="A299" s="206" t="str">
        <f>Indice!$I$11</f>
        <v>EIMI00398</v>
      </c>
      <c r="B299" t="s">
        <v>971</v>
      </c>
      <c r="C299" s="39">
        <f>Indice!$I$12</f>
        <v>46053</v>
      </c>
      <c r="E299">
        <f>ROUND(SUMIFS(CATEGORIAS[[#All],[TOTAL PRODUCCION
ACTUAL]],CATEGORIAS[[#All],[CATEGORIA2]],Imputar[[#This Row],[Categoría]]),0)</f>
        <v>0</v>
      </c>
      <c r="F299">
        <v>0</v>
      </c>
      <c r="G299">
        <f>ROUND(SUMIFS(CATEGORIAS[[#All],[PROYECCION
DE INGRESO
DEL SALDO]],CATEGORIAS[[#All],[CATEGORIA2]],Imputar[[#This Row],[Categoría]]),0)</f>
        <v>0</v>
      </c>
      <c r="H299">
        <f>ROUND(SUMIFS(CATEGORIAS[[#All],[CAMBIO DE
CATEGORIA]],CATEGORIAS[[#All],[CATEGORIA2]],Imputar[[#This Row],[Categoría]]),0)</f>
        <v>0</v>
      </c>
      <c r="I2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299">
        <f>+ROUND(SUMIFS(CATEGORIAS[[#All],[PROYECCION
TOTAL DE COSTO]],CATEGORIAS[[#All],[CATEGORIA2]],Imputar[[#This Row],[Categoría]]),0)
-Imputar[[#This Row],[Inventario]]
-Imputar[[#This Row],[Pedidos no Rec]]</f>
        <v>0</v>
      </c>
      <c r="K2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299">
        <f>_xlfn.IFNA(VLOOKUP(Imputar[[#This Row],[Categoría]],EIMI!C:T,8,0),0)</f>
        <v>0</v>
      </c>
      <c r="M299">
        <f>_xlfn.IFNA(VLOOKUP(Imputar[[#This Row],[Categoría]],EIMI!C:T,9,0),0)</f>
        <v>0</v>
      </c>
      <c r="N299">
        <f>_xlfn.IFNA(VLOOKUP(Imputar[[#This Row],[Categoría]],EIMI!C:T,10,0),0)</f>
        <v>0</v>
      </c>
    </row>
    <row r="300" spans="1:14" hidden="1" x14ac:dyDescent="0.25">
      <c r="A300" s="206" t="str">
        <f>Indice!$I$11</f>
        <v>EIMI00398</v>
      </c>
      <c r="B300" t="s">
        <v>973</v>
      </c>
      <c r="C300" s="39">
        <f>Indice!$I$12</f>
        <v>46053</v>
      </c>
      <c r="E300">
        <f>ROUND(SUMIFS(CATEGORIAS[[#All],[TOTAL PRODUCCION
ACTUAL]],CATEGORIAS[[#All],[CATEGORIA2]],Imputar[[#This Row],[Categoría]]),0)</f>
        <v>0</v>
      </c>
      <c r="F300">
        <v>0</v>
      </c>
      <c r="G300">
        <f>ROUND(SUMIFS(CATEGORIAS[[#All],[PROYECCION
DE INGRESO
DEL SALDO]],CATEGORIAS[[#All],[CATEGORIA2]],Imputar[[#This Row],[Categoría]]),0)</f>
        <v>0</v>
      </c>
      <c r="H300">
        <f>ROUND(SUMIFS(CATEGORIAS[[#All],[CAMBIO DE
CATEGORIA]],CATEGORIAS[[#All],[CATEGORIA2]],Imputar[[#This Row],[Categoría]]),0)</f>
        <v>0</v>
      </c>
      <c r="I3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0">
        <f>+ROUND(SUMIFS(CATEGORIAS[[#All],[PROYECCION
TOTAL DE COSTO]],CATEGORIAS[[#All],[CATEGORIA2]],Imputar[[#This Row],[Categoría]]),0)
-Imputar[[#This Row],[Inventario]]
-Imputar[[#This Row],[Pedidos no Rec]]</f>
        <v>0</v>
      </c>
      <c r="K3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0">
        <f>_xlfn.IFNA(VLOOKUP(Imputar[[#This Row],[Categoría]],EIMI!C:T,8,0),0)</f>
        <v>0</v>
      </c>
      <c r="M300">
        <f>_xlfn.IFNA(VLOOKUP(Imputar[[#This Row],[Categoría]],EIMI!C:T,9,0),0)</f>
        <v>0</v>
      </c>
      <c r="N300">
        <f>_xlfn.IFNA(VLOOKUP(Imputar[[#This Row],[Categoría]],EIMI!C:T,10,0),0)</f>
        <v>0</v>
      </c>
    </row>
    <row r="301" spans="1:14" hidden="1" x14ac:dyDescent="0.25">
      <c r="A301" s="206" t="str">
        <f>Indice!$I$11</f>
        <v>EIMI00398</v>
      </c>
      <c r="B301" t="s">
        <v>975</v>
      </c>
      <c r="C301" s="39">
        <f>Indice!$I$12</f>
        <v>46053</v>
      </c>
      <c r="E301">
        <f>ROUND(SUMIFS(CATEGORIAS[[#All],[TOTAL PRODUCCION
ACTUAL]],CATEGORIAS[[#All],[CATEGORIA2]],Imputar[[#This Row],[Categoría]]),0)</f>
        <v>0</v>
      </c>
      <c r="F301">
        <v>0</v>
      </c>
      <c r="G301">
        <f>ROUND(SUMIFS(CATEGORIAS[[#All],[PROYECCION
DE INGRESO
DEL SALDO]],CATEGORIAS[[#All],[CATEGORIA2]],Imputar[[#This Row],[Categoría]]),0)</f>
        <v>0</v>
      </c>
      <c r="H301">
        <f>ROUND(SUMIFS(CATEGORIAS[[#All],[CAMBIO DE
CATEGORIA]],CATEGORIAS[[#All],[CATEGORIA2]],Imputar[[#This Row],[Categoría]]),0)</f>
        <v>0</v>
      </c>
      <c r="I3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1">
        <f>+ROUND(SUMIFS(CATEGORIAS[[#All],[PROYECCION
TOTAL DE COSTO]],CATEGORIAS[[#All],[CATEGORIA2]],Imputar[[#This Row],[Categoría]]),0)
-Imputar[[#This Row],[Inventario]]
-Imputar[[#This Row],[Pedidos no Rec]]</f>
        <v>0</v>
      </c>
      <c r="K3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1">
        <f>_xlfn.IFNA(VLOOKUP(Imputar[[#This Row],[Categoría]],EIMI!C:T,8,0),0)</f>
        <v>0</v>
      </c>
      <c r="M301">
        <f>_xlfn.IFNA(VLOOKUP(Imputar[[#This Row],[Categoría]],EIMI!C:T,9,0),0)</f>
        <v>0</v>
      </c>
      <c r="N301">
        <f>_xlfn.IFNA(VLOOKUP(Imputar[[#This Row],[Categoría]],EIMI!C:T,10,0),0)</f>
        <v>0</v>
      </c>
    </row>
    <row r="302" spans="1:14" hidden="1" x14ac:dyDescent="0.25">
      <c r="A302" s="206" t="str">
        <f>Indice!$I$11</f>
        <v>EIMI00398</v>
      </c>
      <c r="B302" t="s">
        <v>977</v>
      </c>
      <c r="C302" s="39">
        <f>Indice!$I$12</f>
        <v>46053</v>
      </c>
      <c r="E302">
        <f>ROUND(SUMIFS(CATEGORIAS[[#All],[TOTAL PRODUCCION
ACTUAL]],CATEGORIAS[[#All],[CATEGORIA2]],Imputar[[#This Row],[Categoría]]),0)</f>
        <v>0</v>
      </c>
      <c r="F302">
        <v>0</v>
      </c>
      <c r="G302">
        <f>ROUND(SUMIFS(CATEGORIAS[[#All],[PROYECCION
DE INGRESO
DEL SALDO]],CATEGORIAS[[#All],[CATEGORIA2]],Imputar[[#This Row],[Categoría]]),0)</f>
        <v>0</v>
      </c>
      <c r="H302">
        <f>ROUND(SUMIFS(CATEGORIAS[[#All],[CAMBIO DE
CATEGORIA]],CATEGORIAS[[#All],[CATEGORIA2]],Imputar[[#This Row],[Categoría]]),0)</f>
        <v>0</v>
      </c>
      <c r="I3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2">
        <f>+ROUND(SUMIFS(CATEGORIAS[[#All],[PROYECCION
TOTAL DE COSTO]],CATEGORIAS[[#All],[CATEGORIA2]],Imputar[[#This Row],[Categoría]]),0)
-Imputar[[#This Row],[Inventario]]
-Imputar[[#This Row],[Pedidos no Rec]]</f>
        <v>0</v>
      </c>
      <c r="K3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2">
        <f>_xlfn.IFNA(VLOOKUP(Imputar[[#This Row],[Categoría]],EIMI!C:T,8,0),0)</f>
        <v>0</v>
      </c>
      <c r="M302">
        <f>_xlfn.IFNA(VLOOKUP(Imputar[[#This Row],[Categoría]],EIMI!C:T,9,0),0)</f>
        <v>0</v>
      </c>
      <c r="N302">
        <f>_xlfn.IFNA(VLOOKUP(Imputar[[#This Row],[Categoría]],EIMI!C:T,10,0),0)</f>
        <v>0</v>
      </c>
    </row>
    <row r="303" spans="1:14" hidden="1" x14ac:dyDescent="0.25">
      <c r="A303" s="206" t="str">
        <f>Indice!$I$11</f>
        <v>EIMI00398</v>
      </c>
      <c r="B303" t="s">
        <v>979</v>
      </c>
      <c r="C303" s="39">
        <f>Indice!$I$12</f>
        <v>46053</v>
      </c>
      <c r="E303">
        <f>ROUND(SUMIFS(CATEGORIAS[[#All],[TOTAL PRODUCCION
ACTUAL]],CATEGORIAS[[#All],[CATEGORIA2]],Imputar[[#This Row],[Categoría]]),0)</f>
        <v>0</v>
      </c>
      <c r="F303">
        <v>0</v>
      </c>
      <c r="G303">
        <f>ROUND(SUMIFS(CATEGORIAS[[#All],[PROYECCION
DE INGRESO
DEL SALDO]],CATEGORIAS[[#All],[CATEGORIA2]],Imputar[[#This Row],[Categoría]]),0)</f>
        <v>0</v>
      </c>
      <c r="H303">
        <f>ROUND(SUMIFS(CATEGORIAS[[#All],[CAMBIO DE
CATEGORIA]],CATEGORIAS[[#All],[CATEGORIA2]],Imputar[[#This Row],[Categoría]]),0)</f>
        <v>0</v>
      </c>
      <c r="I3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3">
        <f>+ROUND(SUMIFS(CATEGORIAS[[#All],[PROYECCION
TOTAL DE COSTO]],CATEGORIAS[[#All],[CATEGORIA2]],Imputar[[#This Row],[Categoría]]),0)
-Imputar[[#This Row],[Inventario]]
-Imputar[[#This Row],[Pedidos no Rec]]</f>
        <v>0</v>
      </c>
      <c r="K3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3">
        <f>_xlfn.IFNA(VLOOKUP(Imputar[[#This Row],[Categoría]],EIMI!C:T,8,0),0)</f>
        <v>0</v>
      </c>
      <c r="M303">
        <f>_xlfn.IFNA(VLOOKUP(Imputar[[#This Row],[Categoría]],EIMI!C:T,9,0),0)</f>
        <v>0</v>
      </c>
      <c r="N303">
        <f>_xlfn.IFNA(VLOOKUP(Imputar[[#This Row],[Categoría]],EIMI!C:T,10,0),0)</f>
        <v>0</v>
      </c>
    </row>
    <row r="304" spans="1:14" hidden="1" x14ac:dyDescent="0.25">
      <c r="A304" s="206" t="str">
        <f>Indice!$I$11</f>
        <v>EIMI00398</v>
      </c>
      <c r="B304" t="s">
        <v>981</v>
      </c>
      <c r="C304" s="39">
        <f>Indice!$I$12</f>
        <v>46053</v>
      </c>
      <c r="E304">
        <f>ROUND(SUMIFS(CATEGORIAS[[#All],[TOTAL PRODUCCION
ACTUAL]],CATEGORIAS[[#All],[CATEGORIA2]],Imputar[[#This Row],[Categoría]]),0)</f>
        <v>0</v>
      </c>
      <c r="F304">
        <v>0</v>
      </c>
      <c r="G304">
        <f>ROUND(SUMIFS(CATEGORIAS[[#All],[PROYECCION
DE INGRESO
DEL SALDO]],CATEGORIAS[[#All],[CATEGORIA2]],Imputar[[#This Row],[Categoría]]),0)</f>
        <v>0</v>
      </c>
      <c r="H304">
        <f>ROUND(SUMIFS(CATEGORIAS[[#All],[CAMBIO DE
CATEGORIA]],CATEGORIAS[[#All],[CATEGORIA2]],Imputar[[#This Row],[Categoría]]),0)</f>
        <v>0</v>
      </c>
      <c r="I3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4">
        <f>+ROUND(SUMIFS(CATEGORIAS[[#All],[PROYECCION
TOTAL DE COSTO]],CATEGORIAS[[#All],[CATEGORIA2]],Imputar[[#This Row],[Categoría]]),0)
-Imputar[[#This Row],[Inventario]]
-Imputar[[#This Row],[Pedidos no Rec]]</f>
        <v>0</v>
      </c>
      <c r="K3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4">
        <f>_xlfn.IFNA(VLOOKUP(Imputar[[#This Row],[Categoría]],EIMI!C:T,8,0),0)</f>
        <v>0</v>
      </c>
      <c r="M304">
        <f>_xlfn.IFNA(VLOOKUP(Imputar[[#This Row],[Categoría]],EIMI!C:T,9,0),0)</f>
        <v>0</v>
      </c>
      <c r="N304">
        <f>_xlfn.IFNA(VLOOKUP(Imputar[[#This Row],[Categoría]],EIMI!C:T,10,0),0)</f>
        <v>0</v>
      </c>
    </row>
    <row r="305" spans="1:14" hidden="1" x14ac:dyDescent="0.25">
      <c r="A305" s="206" t="str">
        <f>Indice!$I$11</f>
        <v>EIMI00398</v>
      </c>
      <c r="B305" t="s">
        <v>983</v>
      </c>
      <c r="C305" s="39">
        <f>Indice!$I$12</f>
        <v>46053</v>
      </c>
      <c r="E305">
        <f>ROUND(SUMIFS(CATEGORIAS[[#All],[TOTAL PRODUCCION
ACTUAL]],CATEGORIAS[[#All],[CATEGORIA2]],Imputar[[#This Row],[Categoría]]),0)</f>
        <v>0</v>
      </c>
      <c r="F305">
        <v>0</v>
      </c>
      <c r="G305">
        <f>ROUND(SUMIFS(CATEGORIAS[[#All],[PROYECCION
DE INGRESO
DEL SALDO]],CATEGORIAS[[#All],[CATEGORIA2]],Imputar[[#This Row],[Categoría]]),0)</f>
        <v>0</v>
      </c>
      <c r="H305">
        <f>ROUND(SUMIFS(CATEGORIAS[[#All],[CAMBIO DE
CATEGORIA]],CATEGORIAS[[#All],[CATEGORIA2]],Imputar[[#This Row],[Categoría]]),0)</f>
        <v>0</v>
      </c>
      <c r="I3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5">
        <f>+ROUND(SUMIFS(CATEGORIAS[[#All],[PROYECCION
TOTAL DE COSTO]],CATEGORIAS[[#All],[CATEGORIA2]],Imputar[[#This Row],[Categoría]]),0)
-Imputar[[#This Row],[Inventario]]
-Imputar[[#This Row],[Pedidos no Rec]]</f>
        <v>0</v>
      </c>
      <c r="K3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5">
        <f>_xlfn.IFNA(VLOOKUP(Imputar[[#This Row],[Categoría]],EIMI!C:T,8,0),0)</f>
        <v>0</v>
      </c>
      <c r="M305">
        <f>_xlfn.IFNA(VLOOKUP(Imputar[[#This Row],[Categoría]],EIMI!C:T,9,0),0)</f>
        <v>0</v>
      </c>
      <c r="N305">
        <f>_xlfn.IFNA(VLOOKUP(Imputar[[#This Row],[Categoría]],EIMI!C:T,10,0),0)</f>
        <v>0</v>
      </c>
    </row>
    <row r="306" spans="1:14" hidden="1" x14ac:dyDescent="0.25">
      <c r="A306" s="206" t="str">
        <f>Indice!$I$11</f>
        <v>EIMI00398</v>
      </c>
      <c r="B306" t="s">
        <v>988</v>
      </c>
      <c r="C306" s="39">
        <f>Indice!$I$12</f>
        <v>46053</v>
      </c>
      <c r="E306">
        <f>ROUND(SUMIFS(CATEGORIAS[[#All],[TOTAL PRODUCCION
ACTUAL]],CATEGORIAS[[#All],[CATEGORIA2]],Imputar[[#This Row],[Categoría]]),0)</f>
        <v>0</v>
      </c>
      <c r="F306">
        <v>0</v>
      </c>
      <c r="G306">
        <f>ROUND(SUMIFS(CATEGORIAS[[#All],[PROYECCION
DE INGRESO
DEL SALDO]],CATEGORIAS[[#All],[CATEGORIA2]],Imputar[[#This Row],[Categoría]]),0)</f>
        <v>0</v>
      </c>
      <c r="H306">
        <f>ROUND(SUMIFS(CATEGORIAS[[#All],[CAMBIO DE
CATEGORIA]],CATEGORIAS[[#All],[CATEGORIA2]],Imputar[[#This Row],[Categoría]]),0)</f>
        <v>0</v>
      </c>
      <c r="I3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6">
        <f>+ROUND(SUMIFS(CATEGORIAS[[#All],[PROYECCION
TOTAL DE COSTO]],CATEGORIAS[[#All],[CATEGORIA2]],Imputar[[#This Row],[Categoría]]),0)
-Imputar[[#This Row],[Inventario]]
-Imputar[[#This Row],[Pedidos no Rec]]</f>
        <v>0</v>
      </c>
      <c r="K3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6">
        <f>_xlfn.IFNA(VLOOKUP(Imputar[[#This Row],[Categoría]],EIMI!C:T,8,0),0)</f>
        <v>0</v>
      </c>
      <c r="M306">
        <f>_xlfn.IFNA(VLOOKUP(Imputar[[#This Row],[Categoría]],EIMI!C:T,9,0),0)</f>
        <v>0</v>
      </c>
      <c r="N306">
        <f>_xlfn.IFNA(VLOOKUP(Imputar[[#This Row],[Categoría]],EIMI!C:T,10,0),0)</f>
        <v>0</v>
      </c>
    </row>
    <row r="307" spans="1:14" hidden="1" x14ac:dyDescent="0.25">
      <c r="A307" s="206" t="str">
        <f>Indice!$I$11</f>
        <v>EIMI00398</v>
      </c>
      <c r="B307" t="s">
        <v>990</v>
      </c>
      <c r="C307" s="39">
        <f>Indice!$I$12</f>
        <v>46053</v>
      </c>
      <c r="E307">
        <f>ROUND(SUMIFS(CATEGORIAS[[#All],[TOTAL PRODUCCION
ACTUAL]],CATEGORIAS[[#All],[CATEGORIA2]],Imputar[[#This Row],[Categoría]]),0)</f>
        <v>0</v>
      </c>
      <c r="F307">
        <v>0</v>
      </c>
      <c r="G307">
        <f>ROUND(SUMIFS(CATEGORIAS[[#All],[PROYECCION
DE INGRESO
DEL SALDO]],CATEGORIAS[[#All],[CATEGORIA2]],Imputar[[#This Row],[Categoría]]),0)</f>
        <v>0</v>
      </c>
      <c r="H307">
        <f>ROUND(SUMIFS(CATEGORIAS[[#All],[CAMBIO DE
CATEGORIA]],CATEGORIAS[[#All],[CATEGORIA2]],Imputar[[#This Row],[Categoría]]),0)</f>
        <v>0</v>
      </c>
      <c r="I3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7">
        <f>+ROUND(SUMIFS(CATEGORIAS[[#All],[PROYECCION
TOTAL DE COSTO]],CATEGORIAS[[#All],[CATEGORIA2]],Imputar[[#This Row],[Categoría]]),0)
-Imputar[[#This Row],[Inventario]]
-Imputar[[#This Row],[Pedidos no Rec]]</f>
        <v>0</v>
      </c>
      <c r="K3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7">
        <f>_xlfn.IFNA(VLOOKUP(Imputar[[#This Row],[Categoría]],EIMI!C:T,8,0),0)</f>
        <v>0</v>
      </c>
      <c r="M307">
        <f>_xlfn.IFNA(VLOOKUP(Imputar[[#This Row],[Categoría]],EIMI!C:T,9,0),0)</f>
        <v>0</v>
      </c>
      <c r="N307">
        <f>_xlfn.IFNA(VLOOKUP(Imputar[[#This Row],[Categoría]],EIMI!C:T,10,0),0)</f>
        <v>0</v>
      </c>
    </row>
    <row r="308" spans="1:14" hidden="1" x14ac:dyDescent="0.25">
      <c r="A308" s="206" t="str">
        <f>Indice!$I$11</f>
        <v>EIMI00398</v>
      </c>
      <c r="B308" t="s">
        <v>992</v>
      </c>
      <c r="C308" s="39">
        <f>Indice!$I$12</f>
        <v>46053</v>
      </c>
      <c r="E308">
        <f>ROUND(SUMIFS(CATEGORIAS[[#All],[TOTAL PRODUCCION
ACTUAL]],CATEGORIAS[[#All],[CATEGORIA2]],Imputar[[#This Row],[Categoría]]),0)</f>
        <v>0</v>
      </c>
      <c r="F308">
        <v>0</v>
      </c>
      <c r="G308">
        <f>ROUND(SUMIFS(CATEGORIAS[[#All],[PROYECCION
DE INGRESO
DEL SALDO]],CATEGORIAS[[#All],[CATEGORIA2]],Imputar[[#This Row],[Categoría]]),0)</f>
        <v>0</v>
      </c>
      <c r="H308">
        <f>ROUND(SUMIFS(CATEGORIAS[[#All],[CAMBIO DE
CATEGORIA]],CATEGORIAS[[#All],[CATEGORIA2]],Imputar[[#This Row],[Categoría]]),0)</f>
        <v>0</v>
      </c>
      <c r="I3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8">
        <f>+ROUND(SUMIFS(CATEGORIAS[[#All],[PROYECCION
TOTAL DE COSTO]],CATEGORIAS[[#All],[CATEGORIA2]],Imputar[[#This Row],[Categoría]]),0)
-Imputar[[#This Row],[Inventario]]
-Imputar[[#This Row],[Pedidos no Rec]]</f>
        <v>0</v>
      </c>
      <c r="K3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8">
        <f>_xlfn.IFNA(VLOOKUP(Imputar[[#This Row],[Categoría]],EIMI!C:T,8,0),0)</f>
        <v>0</v>
      </c>
      <c r="M308">
        <f>_xlfn.IFNA(VLOOKUP(Imputar[[#This Row],[Categoría]],EIMI!C:T,9,0),0)</f>
        <v>0</v>
      </c>
      <c r="N308">
        <f>_xlfn.IFNA(VLOOKUP(Imputar[[#This Row],[Categoría]],EIMI!C:T,10,0),0)</f>
        <v>0</v>
      </c>
    </row>
    <row r="309" spans="1:14" hidden="1" x14ac:dyDescent="0.25">
      <c r="A309" s="206" t="str">
        <f>Indice!$I$11</f>
        <v>EIMI00398</v>
      </c>
      <c r="B309" t="s">
        <v>994</v>
      </c>
      <c r="C309" s="39">
        <f>Indice!$I$12</f>
        <v>46053</v>
      </c>
      <c r="E309">
        <f>ROUND(SUMIFS(CATEGORIAS[[#All],[TOTAL PRODUCCION
ACTUAL]],CATEGORIAS[[#All],[CATEGORIA2]],Imputar[[#This Row],[Categoría]]),0)</f>
        <v>0</v>
      </c>
      <c r="F309">
        <v>0</v>
      </c>
      <c r="G309">
        <f>ROUND(SUMIFS(CATEGORIAS[[#All],[PROYECCION
DE INGRESO
DEL SALDO]],CATEGORIAS[[#All],[CATEGORIA2]],Imputar[[#This Row],[Categoría]]),0)</f>
        <v>0</v>
      </c>
      <c r="H309">
        <f>ROUND(SUMIFS(CATEGORIAS[[#All],[CAMBIO DE
CATEGORIA]],CATEGORIAS[[#All],[CATEGORIA2]],Imputar[[#This Row],[Categoría]]),0)</f>
        <v>0</v>
      </c>
      <c r="I3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09">
        <f>+ROUND(SUMIFS(CATEGORIAS[[#All],[PROYECCION
TOTAL DE COSTO]],CATEGORIAS[[#All],[CATEGORIA2]],Imputar[[#This Row],[Categoría]]),0)
-Imputar[[#This Row],[Inventario]]
-Imputar[[#This Row],[Pedidos no Rec]]</f>
        <v>0</v>
      </c>
      <c r="K3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09">
        <f>_xlfn.IFNA(VLOOKUP(Imputar[[#This Row],[Categoría]],EIMI!C:T,8,0),0)</f>
        <v>0</v>
      </c>
      <c r="M309">
        <f>_xlfn.IFNA(VLOOKUP(Imputar[[#This Row],[Categoría]],EIMI!C:T,9,0),0)</f>
        <v>0</v>
      </c>
      <c r="N309">
        <f>_xlfn.IFNA(VLOOKUP(Imputar[[#This Row],[Categoría]],EIMI!C:T,10,0),0)</f>
        <v>0</v>
      </c>
    </row>
    <row r="310" spans="1:14" x14ac:dyDescent="0.25">
      <c r="A310" s="206" t="str">
        <f>Indice!$I$11</f>
        <v>EIMI00398</v>
      </c>
      <c r="B310" t="s">
        <v>996</v>
      </c>
      <c r="C310" s="39">
        <f>Indice!$I$12</f>
        <v>46053</v>
      </c>
      <c r="E310">
        <f>ROUND(SUMIFS(CATEGORIAS[[#All],[TOTAL PRODUCCION
ACTUAL]],CATEGORIAS[[#All],[CATEGORIA2]],Imputar[[#This Row],[Categoría]]),0)</f>
        <v>0</v>
      </c>
      <c r="F310">
        <v>0</v>
      </c>
      <c r="G310">
        <f>ROUND(SUMIFS(CATEGORIAS[[#All],[PROYECCION
DE INGRESO
DEL SALDO]],CATEGORIAS[[#All],[CATEGORIA2]],Imputar[[#This Row],[Categoría]]),0)</f>
        <v>0</v>
      </c>
      <c r="H310">
        <f>ROUND(SUMIFS(CATEGORIAS[[#All],[CAMBIO DE
CATEGORIA]],CATEGORIAS[[#All],[CATEGORIA2]],Imputar[[#This Row],[Categoría]]),0)</f>
        <v>0</v>
      </c>
      <c r="I3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0">
        <f>+ROUND(SUMIFS(CATEGORIAS[[#All],[PROYECCION
TOTAL DE COSTO]],CATEGORIAS[[#All],[CATEGORIA2]],Imputar[[#This Row],[Categoría]]),0)
-Imputar[[#This Row],[Inventario]]
-Imputar[[#This Row],[Pedidos no Rec]]</f>
        <v>0</v>
      </c>
      <c r="K3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0">
        <f>_xlfn.IFNA(VLOOKUP(Imputar[[#This Row],[Categoría]],EIMI!C:T,8,0),0)</f>
        <v>0</v>
      </c>
      <c r="M310">
        <f>_xlfn.IFNA(VLOOKUP(Imputar[[#This Row],[Categoría]],EIMI!C:T,9,0),0)</f>
        <v>0</v>
      </c>
      <c r="N310">
        <f>_xlfn.IFNA(VLOOKUP(Imputar[[#This Row],[Categoría]],EIMI!C:T,10,0),0)</f>
        <v>0</v>
      </c>
    </row>
    <row r="311" spans="1:14" x14ac:dyDescent="0.25">
      <c r="A311" s="206" t="str">
        <f>Indice!$I$11</f>
        <v>EIMI00398</v>
      </c>
      <c r="B311" t="s">
        <v>998</v>
      </c>
      <c r="C311" s="39">
        <f>Indice!$I$12</f>
        <v>46053</v>
      </c>
      <c r="E311">
        <f>ROUND(SUMIFS(CATEGORIAS[[#All],[TOTAL PRODUCCION
ACTUAL]],CATEGORIAS[[#All],[CATEGORIA2]],Imputar[[#This Row],[Categoría]]),0)</f>
        <v>0</v>
      </c>
      <c r="F311">
        <v>0</v>
      </c>
      <c r="G311">
        <f>ROUND(SUMIFS(CATEGORIAS[[#All],[PROYECCION
DE INGRESO
DEL SALDO]],CATEGORIAS[[#All],[CATEGORIA2]],Imputar[[#This Row],[Categoría]]),0)</f>
        <v>0</v>
      </c>
      <c r="H311">
        <f>ROUND(SUMIFS(CATEGORIAS[[#All],[CAMBIO DE
CATEGORIA]],CATEGORIAS[[#All],[CATEGORIA2]],Imputar[[#This Row],[Categoría]]),0)</f>
        <v>0</v>
      </c>
      <c r="I3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-97736381</v>
      </c>
      <c r="J311">
        <f>+ROUND(SUMIFS(CATEGORIAS[[#All],[PROYECCION
TOTAL DE COSTO]],CATEGORIAS[[#All],[CATEGORIA2]],Imputar[[#This Row],[Categoría]]),0)
-Imputar[[#This Row],[Inventario]]
-Imputar[[#This Row],[Pedidos no Rec]]</f>
        <v>0</v>
      </c>
      <c r="K31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11">
        <f>_xlfn.IFNA(VLOOKUP(Imputar[[#This Row],[Categoría]],EIMI!C:T,8,0),0)</f>
        <v>97736381</v>
      </c>
      <c r="M311">
        <f>_xlfn.IFNA(VLOOKUP(Imputar[[#This Row],[Categoría]],EIMI!C:T,9,0),0)</f>
        <v>0</v>
      </c>
      <c r="N311">
        <f>_xlfn.IFNA(VLOOKUP(Imputar[[#This Row],[Categoría]],EIMI!C:T,10,0),0)</f>
        <v>0</v>
      </c>
    </row>
    <row r="312" spans="1:14" x14ac:dyDescent="0.25">
      <c r="A312" s="206" t="str">
        <f>Indice!$I$11</f>
        <v>EIMI00398</v>
      </c>
      <c r="B312" t="s">
        <v>1000</v>
      </c>
      <c r="C312" s="39">
        <f>Indice!$I$12</f>
        <v>46053</v>
      </c>
      <c r="E312">
        <f>ROUND(SUMIFS(CATEGORIAS[[#All],[TOTAL PRODUCCION
ACTUAL]],CATEGORIAS[[#All],[CATEGORIA2]],Imputar[[#This Row],[Categoría]]),0)</f>
        <v>0</v>
      </c>
      <c r="F312">
        <v>0</v>
      </c>
      <c r="G312">
        <f>ROUND(SUMIFS(CATEGORIAS[[#All],[PROYECCION
DE INGRESO
DEL SALDO]],CATEGORIAS[[#All],[CATEGORIA2]],Imputar[[#This Row],[Categoría]]),0)</f>
        <v>0</v>
      </c>
      <c r="H312">
        <f>ROUND(SUMIFS(CATEGORIAS[[#All],[CAMBIO DE
CATEGORIA]],CATEGORIAS[[#All],[CATEGORIA2]],Imputar[[#This Row],[Categoría]]),0)</f>
        <v>0</v>
      </c>
      <c r="I3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2">
        <f>+ROUND(SUMIFS(CATEGORIAS[[#All],[PROYECCION
TOTAL DE COSTO]],CATEGORIAS[[#All],[CATEGORIA2]],Imputar[[#This Row],[Categoría]]),0)
-Imputar[[#This Row],[Inventario]]
-Imputar[[#This Row],[Pedidos no Rec]]</f>
        <v>0</v>
      </c>
      <c r="K3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2">
        <f>_xlfn.IFNA(VLOOKUP(Imputar[[#This Row],[Categoría]],EIMI!C:T,8,0),0)</f>
        <v>0</v>
      </c>
      <c r="M312">
        <f>_xlfn.IFNA(VLOOKUP(Imputar[[#This Row],[Categoría]],EIMI!C:T,9,0),0)</f>
        <v>0</v>
      </c>
      <c r="N312">
        <f>_xlfn.IFNA(VLOOKUP(Imputar[[#This Row],[Categoría]],EIMI!C:T,10,0),0)</f>
        <v>0</v>
      </c>
    </row>
    <row r="313" spans="1:14" hidden="1" x14ac:dyDescent="0.25">
      <c r="A313" s="206" t="str">
        <f>Indice!$I$11</f>
        <v>EIMI00398</v>
      </c>
      <c r="B313" t="s">
        <v>1002</v>
      </c>
      <c r="C313" s="39">
        <f>Indice!$I$12</f>
        <v>46053</v>
      </c>
      <c r="E313">
        <f>ROUND(SUMIFS(CATEGORIAS[[#All],[TOTAL PRODUCCION
ACTUAL]],CATEGORIAS[[#All],[CATEGORIA2]],Imputar[[#This Row],[Categoría]]),0)</f>
        <v>0</v>
      </c>
      <c r="F313">
        <v>0</v>
      </c>
      <c r="G313">
        <f>ROUND(SUMIFS(CATEGORIAS[[#All],[PROYECCION
DE INGRESO
DEL SALDO]],CATEGORIAS[[#All],[CATEGORIA2]],Imputar[[#This Row],[Categoría]]),0)</f>
        <v>0</v>
      </c>
      <c r="H313">
        <f>ROUND(SUMIFS(CATEGORIAS[[#All],[CAMBIO DE
CATEGORIA]],CATEGORIAS[[#All],[CATEGORIA2]],Imputar[[#This Row],[Categoría]]),0)</f>
        <v>0</v>
      </c>
      <c r="I3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3">
        <f>+ROUND(SUMIFS(CATEGORIAS[[#All],[PROYECCION
TOTAL DE COSTO]],CATEGORIAS[[#All],[CATEGORIA2]],Imputar[[#This Row],[Categoría]]),0)
-Imputar[[#This Row],[Inventario]]
-Imputar[[#This Row],[Pedidos no Rec]]</f>
        <v>0</v>
      </c>
      <c r="K3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3">
        <f>_xlfn.IFNA(VLOOKUP(Imputar[[#This Row],[Categoría]],EIMI!C:T,8,0),0)</f>
        <v>0</v>
      </c>
      <c r="M313">
        <f>_xlfn.IFNA(VLOOKUP(Imputar[[#This Row],[Categoría]],EIMI!C:T,9,0),0)</f>
        <v>0</v>
      </c>
      <c r="N313">
        <f>_xlfn.IFNA(VLOOKUP(Imputar[[#This Row],[Categoría]],EIMI!C:T,10,0),0)</f>
        <v>0</v>
      </c>
    </row>
    <row r="314" spans="1:14" x14ac:dyDescent="0.25">
      <c r="A314" s="206" t="str">
        <f>Indice!$I$11</f>
        <v>EIMI00398</v>
      </c>
      <c r="B314" t="s">
        <v>1004</v>
      </c>
      <c r="C314" s="39">
        <f>Indice!$I$12</f>
        <v>46053</v>
      </c>
      <c r="E314">
        <f>ROUND(SUMIFS(CATEGORIAS[[#All],[TOTAL PRODUCCION
ACTUAL]],CATEGORIAS[[#All],[CATEGORIA2]],Imputar[[#This Row],[Categoría]]),0)</f>
        <v>0</v>
      </c>
      <c r="F314">
        <v>0</v>
      </c>
      <c r="G314">
        <f>ROUND(SUMIFS(CATEGORIAS[[#All],[PROYECCION
DE INGRESO
DEL SALDO]],CATEGORIAS[[#All],[CATEGORIA2]],Imputar[[#This Row],[Categoría]]),0)</f>
        <v>0</v>
      </c>
      <c r="H314">
        <f>ROUND(SUMIFS(CATEGORIAS[[#All],[CAMBIO DE
CATEGORIA]],CATEGORIAS[[#All],[CATEGORIA2]],Imputar[[#This Row],[Categoría]]),0)</f>
        <v>0</v>
      </c>
      <c r="I3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4">
        <f>+ROUND(SUMIFS(CATEGORIAS[[#All],[PROYECCION
TOTAL DE COSTO]],CATEGORIAS[[#All],[CATEGORIA2]],Imputar[[#This Row],[Categoría]]),0)
-Imputar[[#This Row],[Inventario]]
-Imputar[[#This Row],[Pedidos no Rec]]</f>
        <v>0</v>
      </c>
      <c r="K3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4">
        <f>_xlfn.IFNA(VLOOKUP(Imputar[[#This Row],[Categoría]],EIMI!C:T,8,0),0)</f>
        <v>0</v>
      </c>
      <c r="M314">
        <f>_xlfn.IFNA(VLOOKUP(Imputar[[#This Row],[Categoría]],EIMI!C:T,9,0),0)</f>
        <v>0</v>
      </c>
      <c r="N314">
        <f>_xlfn.IFNA(VLOOKUP(Imputar[[#This Row],[Categoría]],EIMI!C:T,10,0),0)</f>
        <v>0</v>
      </c>
    </row>
    <row r="315" spans="1:14" x14ac:dyDescent="0.25">
      <c r="A315" s="206" t="str">
        <f>Indice!$I$11</f>
        <v>EIMI00398</v>
      </c>
      <c r="B315" t="s">
        <v>1006</v>
      </c>
      <c r="C315" s="39">
        <f>Indice!$I$12</f>
        <v>46053</v>
      </c>
      <c r="E315">
        <f>ROUND(SUMIFS(CATEGORIAS[[#All],[TOTAL PRODUCCION
ACTUAL]],CATEGORIAS[[#All],[CATEGORIA2]],Imputar[[#This Row],[Categoría]]),0)</f>
        <v>0</v>
      </c>
      <c r="F315">
        <v>0</v>
      </c>
      <c r="G315">
        <f>ROUND(SUMIFS(CATEGORIAS[[#All],[PROYECCION
DE INGRESO
DEL SALDO]],CATEGORIAS[[#All],[CATEGORIA2]],Imputar[[#This Row],[Categoría]]),0)</f>
        <v>0</v>
      </c>
      <c r="H315">
        <f>ROUND(SUMIFS(CATEGORIAS[[#All],[CAMBIO DE
CATEGORIA]],CATEGORIAS[[#All],[CATEGORIA2]],Imputar[[#This Row],[Categoría]]),0)</f>
        <v>0</v>
      </c>
      <c r="I3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-24279350</v>
      </c>
      <c r="J315">
        <f>+ROUND(SUMIFS(CATEGORIAS[[#All],[PROYECCION
TOTAL DE COSTO]],CATEGORIAS[[#All],[CATEGORIA2]],Imputar[[#This Row],[Categoría]]),0)
-Imputar[[#This Row],[Inventario]]
-Imputar[[#This Row],[Pedidos no Rec]]</f>
        <v>0</v>
      </c>
      <c r="K31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15">
        <f>_xlfn.IFNA(VLOOKUP(Imputar[[#This Row],[Categoría]],EIMI!C:T,8,0),0)</f>
        <v>24279350</v>
      </c>
      <c r="M315">
        <f>_xlfn.IFNA(VLOOKUP(Imputar[[#This Row],[Categoría]],EIMI!C:T,9,0),0)</f>
        <v>0</v>
      </c>
      <c r="N315">
        <f>_xlfn.IFNA(VLOOKUP(Imputar[[#This Row],[Categoría]],EIMI!C:T,10,0),0)</f>
        <v>0</v>
      </c>
    </row>
    <row r="316" spans="1:14" hidden="1" x14ac:dyDescent="0.25">
      <c r="A316" s="206" t="str">
        <f>Indice!$I$11</f>
        <v>EIMI00398</v>
      </c>
      <c r="B316" t="s">
        <v>1008</v>
      </c>
      <c r="C316" s="39">
        <f>Indice!$I$12</f>
        <v>46053</v>
      </c>
      <c r="E316">
        <f>ROUND(SUMIFS(CATEGORIAS[[#All],[TOTAL PRODUCCION
ACTUAL]],CATEGORIAS[[#All],[CATEGORIA2]],Imputar[[#This Row],[Categoría]]),0)</f>
        <v>0</v>
      </c>
      <c r="F316">
        <v>0</v>
      </c>
      <c r="G316">
        <f>ROUND(SUMIFS(CATEGORIAS[[#All],[PROYECCION
DE INGRESO
DEL SALDO]],CATEGORIAS[[#All],[CATEGORIA2]],Imputar[[#This Row],[Categoría]]),0)</f>
        <v>0</v>
      </c>
      <c r="H316">
        <f>ROUND(SUMIFS(CATEGORIAS[[#All],[CAMBIO DE
CATEGORIA]],CATEGORIAS[[#All],[CATEGORIA2]],Imputar[[#This Row],[Categoría]]),0)</f>
        <v>0</v>
      </c>
      <c r="I3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6">
        <f>+ROUND(SUMIFS(CATEGORIAS[[#All],[PROYECCION
TOTAL DE COSTO]],CATEGORIAS[[#All],[CATEGORIA2]],Imputar[[#This Row],[Categoría]]),0)
-Imputar[[#This Row],[Inventario]]
-Imputar[[#This Row],[Pedidos no Rec]]</f>
        <v>0</v>
      </c>
      <c r="K3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6">
        <f>_xlfn.IFNA(VLOOKUP(Imputar[[#This Row],[Categoría]],EIMI!C:T,8,0),0)</f>
        <v>0</v>
      </c>
      <c r="M316">
        <f>_xlfn.IFNA(VLOOKUP(Imputar[[#This Row],[Categoría]],EIMI!C:T,9,0),0)</f>
        <v>0</v>
      </c>
      <c r="N316">
        <f>_xlfn.IFNA(VLOOKUP(Imputar[[#This Row],[Categoría]],EIMI!C:T,10,0),0)</f>
        <v>0</v>
      </c>
    </row>
    <row r="317" spans="1:14" hidden="1" x14ac:dyDescent="0.25">
      <c r="A317" s="206" t="str">
        <f>Indice!$I$11</f>
        <v>EIMI00398</v>
      </c>
      <c r="B317" t="s">
        <v>1010</v>
      </c>
      <c r="C317" s="39">
        <f>Indice!$I$12</f>
        <v>46053</v>
      </c>
      <c r="E317">
        <f>ROUND(SUMIFS(CATEGORIAS[[#All],[TOTAL PRODUCCION
ACTUAL]],CATEGORIAS[[#All],[CATEGORIA2]],Imputar[[#This Row],[Categoría]]),0)</f>
        <v>0</v>
      </c>
      <c r="F317">
        <v>0</v>
      </c>
      <c r="G317">
        <f>ROUND(SUMIFS(CATEGORIAS[[#All],[PROYECCION
DE INGRESO
DEL SALDO]],CATEGORIAS[[#All],[CATEGORIA2]],Imputar[[#This Row],[Categoría]]),0)</f>
        <v>0</v>
      </c>
      <c r="H317">
        <f>ROUND(SUMIFS(CATEGORIAS[[#All],[CAMBIO DE
CATEGORIA]],CATEGORIAS[[#All],[CATEGORIA2]],Imputar[[#This Row],[Categoría]]),0)</f>
        <v>0</v>
      </c>
      <c r="I3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7">
        <f>+ROUND(SUMIFS(CATEGORIAS[[#All],[PROYECCION
TOTAL DE COSTO]],CATEGORIAS[[#All],[CATEGORIA2]],Imputar[[#This Row],[Categoría]]),0)
-Imputar[[#This Row],[Inventario]]
-Imputar[[#This Row],[Pedidos no Rec]]</f>
        <v>0</v>
      </c>
      <c r="K3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7">
        <f>_xlfn.IFNA(VLOOKUP(Imputar[[#This Row],[Categoría]],EIMI!C:T,8,0),0)</f>
        <v>0</v>
      </c>
      <c r="M317">
        <f>_xlfn.IFNA(VLOOKUP(Imputar[[#This Row],[Categoría]],EIMI!C:T,9,0),0)</f>
        <v>0</v>
      </c>
      <c r="N317">
        <f>_xlfn.IFNA(VLOOKUP(Imputar[[#This Row],[Categoría]],EIMI!C:T,10,0),0)</f>
        <v>0</v>
      </c>
    </row>
    <row r="318" spans="1:14" x14ac:dyDescent="0.25">
      <c r="A318" s="206" t="str">
        <f>Indice!$I$11</f>
        <v>EIMI00398</v>
      </c>
      <c r="B318" t="s">
        <v>1015</v>
      </c>
      <c r="C318" s="39">
        <f>Indice!$I$12</f>
        <v>46053</v>
      </c>
      <c r="E318">
        <f>ROUND(SUMIFS(CATEGORIAS[[#All],[TOTAL PRODUCCION
ACTUAL]],CATEGORIAS[[#All],[CATEGORIA2]],Imputar[[#This Row],[Categoría]]),0)</f>
        <v>0</v>
      </c>
      <c r="F318">
        <v>0</v>
      </c>
      <c r="G318">
        <f>ROUND(SUMIFS(CATEGORIAS[[#All],[PROYECCION
DE INGRESO
DEL SALDO]],CATEGORIAS[[#All],[CATEGORIA2]],Imputar[[#This Row],[Categoría]]),0)</f>
        <v>0</v>
      </c>
      <c r="H318">
        <f>ROUND(SUMIFS(CATEGORIAS[[#All],[CAMBIO DE
CATEGORIA]],CATEGORIAS[[#All],[CATEGORIA2]],Imputar[[#This Row],[Categoría]]),0)</f>
        <v>0</v>
      </c>
      <c r="I3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8">
        <f>+ROUND(SUMIFS(CATEGORIAS[[#All],[PROYECCION
TOTAL DE COSTO]],CATEGORIAS[[#All],[CATEGORIA2]],Imputar[[#This Row],[Categoría]]),0)
-Imputar[[#This Row],[Inventario]]
-Imputar[[#This Row],[Pedidos no Rec]]</f>
        <v>0</v>
      </c>
      <c r="K3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8">
        <f>_xlfn.IFNA(VLOOKUP(Imputar[[#This Row],[Categoría]],EIMI!C:T,8,0),0)</f>
        <v>0</v>
      </c>
      <c r="M318">
        <f>_xlfn.IFNA(VLOOKUP(Imputar[[#This Row],[Categoría]],EIMI!C:T,9,0),0)</f>
        <v>0</v>
      </c>
      <c r="N318">
        <f>_xlfn.IFNA(VLOOKUP(Imputar[[#This Row],[Categoría]],EIMI!C:T,10,0),0)</f>
        <v>0</v>
      </c>
    </row>
    <row r="319" spans="1:14" hidden="1" x14ac:dyDescent="0.25">
      <c r="A319" s="206" t="str">
        <f>Indice!$I$11</f>
        <v>EIMI00398</v>
      </c>
      <c r="B319" t="s">
        <v>1017</v>
      </c>
      <c r="C319" s="39">
        <f>Indice!$I$12</f>
        <v>46053</v>
      </c>
      <c r="E319">
        <f>ROUND(SUMIFS(CATEGORIAS[[#All],[TOTAL PRODUCCION
ACTUAL]],CATEGORIAS[[#All],[CATEGORIA2]],Imputar[[#This Row],[Categoría]]),0)</f>
        <v>0</v>
      </c>
      <c r="F319">
        <v>0</v>
      </c>
      <c r="G319">
        <f>ROUND(SUMIFS(CATEGORIAS[[#All],[PROYECCION
DE INGRESO
DEL SALDO]],CATEGORIAS[[#All],[CATEGORIA2]],Imputar[[#This Row],[Categoría]]),0)</f>
        <v>0</v>
      </c>
      <c r="H319">
        <f>ROUND(SUMIFS(CATEGORIAS[[#All],[CAMBIO DE
CATEGORIA]],CATEGORIAS[[#All],[CATEGORIA2]],Imputar[[#This Row],[Categoría]]),0)</f>
        <v>0</v>
      </c>
      <c r="I3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19">
        <f>+ROUND(SUMIFS(CATEGORIAS[[#All],[PROYECCION
TOTAL DE COSTO]],CATEGORIAS[[#All],[CATEGORIA2]],Imputar[[#This Row],[Categoría]]),0)
-Imputar[[#This Row],[Inventario]]
-Imputar[[#This Row],[Pedidos no Rec]]</f>
        <v>0</v>
      </c>
      <c r="K3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19">
        <f>_xlfn.IFNA(VLOOKUP(Imputar[[#This Row],[Categoría]],EIMI!C:T,8,0),0)</f>
        <v>0</v>
      </c>
      <c r="M319">
        <f>_xlfn.IFNA(VLOOKUP(Imputar[[#This Row],[Categoría]],EIMI!C:T,9,0),0)</f>
        <v>0</v>
      </c>
      <c r="N319">
        <f>_xlfn.IFNA(VLOOKUP(Imputar[[#This Row],[Categoría]],EIMI!C:T,10,0),0)</f>
        <v>0</v>
      </c>
    </row>
    <row r="320" spans="1:14" hidden="1" x14ac:dyDescent="0.25">
      <c r="A320" s="206" t="str">
        <f>Indice!$I$11</f>
        <v>EIMI00398</v>
      </c>
      <c r="B320" t="s">
        <v>1019</v>
      </c>
      <c r="C320" s="39">
        <f>Indice!$I$12</f>
        <v>46053</v>
      </c>
      <c r="E320">
        <f>ROUND(SUMIFS(CATEGORIAS[[#All],[TOTAL PRODUCCION
ACTUAL]],CATEGORIAS[[#All],[CATEGORIA2]],Imputar[[#This Row],[Categoría]]),0)</f>
        <v>0</v>
      </c>
      <c r="F320">
        <v>0</v>
      </c>
      <c r="G320">
        <f>ROUND(SUMIFS(CATEGORIAS[[#All],[PROYECCION
DE INGRESO
DEL SALDO]],CATEGORIAS[[#All],[CATEGORIA2]],Imputar[[#This Row],[Categoría]]),0)</f>
        <v>0</v>
      </c>
      <c r="H320">
        <f>ROUND(SUMIFS(CATEGORIAS[[#All],[CAMBIO DE
CATEGORIA]],CATEGORIAS[[#All],[CATEGORIA2]],Imputar[[#This Row],[Categoría]]),0)</f>
        <v>0</v>
      </c>
      <c r="I3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0">
        <f>+ROUND(SUMIFS(CATEGORIAS[[#All],[PROYECCION
TOTAL DE COSTO]],CATEGORIAS[[#All],[CATEGORIA2]],Imputar[[#This Row],[Categoría]]),0)
-Imputar[[#This Row],[Inventario]]
-Imputar[[#This Row],[Pedidos no Rec]]</f>
        <v>0</v>
      </c>
      <c r="K3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0">
        <f>_xlfn.IFNA(VLOOKUP(Imputar[[#This Row],[Categoría]],EIMI!C:T,8,0),0)</f>
        <v>0</v>
      </c>
      <c r="M320">
        <f>_xlfn.IFNA(VLOOKUP(Imputar[[#This Row],[Categoría]],EIMI!C:T,9,0),0)</f>
        <v>0</v>
      </c>
      <c r="N320">
        <f>_xlfn.IFNA(VLOOKUP(Imputar[[#This Row],[Categoría]],EIMI!C:T,10,0),0)</f>
        <v>0</v>
      </c>
    </row>
    <row r="321" spans="1:14" hidden="1" x14ac:dyDescent="0.25">
      <c r="A321" s="206" t="str">
        <f>Indice!$I$11</f>
        <v>EIMI00398</v>
      </c>
      <c r="B321" t="s">
        <v>1021</v>
      </c>
      <c r="C321" s="39">
        <f>Indice!$I$12</f>
        <v>46053</v>
      </c>
      <c r="E321">
        <f>ROUND(SUMIFS(CATEGORIAS[[#All],[TOTAL PRODUCCION
ACTUAL]],CATEGORIAS[[#All],[CATEGORIA2]],Imputar[[#This Row],[Categoría]]),0)</f>
        <v>0</v>
      </c>
      <c r="F321">
        <v>0</v>
      </c>
      <c r="G321">
        <f>ROUND(SUMIFS(CATEGORIAS[[#All],[PROYECCION
DE INGRESO
DEL SALDO]],CATEGORIAS[[#All],[CATEGORIA2]],Imputar[[#This Row],[Categoría]]),0)</f>
        <v>0</v>
      </c>
      <c r="H321">
        <f>ROUND(SUMIFS(CATEGORIAS[[#All],[CAMBIO DE
CATEGORIA]],CATEGORIAS[[#All],[CATEGORIA2]],Imputar[[#This Row],[Categoría]]),0)</f>
        <v>0</v>
      </c>
      <c r="I3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1">
        <f>+ROUND(SUMIFS(CATEGORIAS[[#All],[PROYECCION
TOTAL DE COSTO]],CATEGORIAS[[#All],[CATEGORIA2]],Imputar[[#This Row],[Categoría]]),0)
-Imputar[[#This Row],[Inventario]]
-Imputar[[#This Row],[Pedidos no Rec]]</f>
        <v>0</v>
      </c>
      <c r="K3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1">
        <f>_xlfn.IFNA(VLOOKUP(Imputar[[#This Row],[Categoría]],EIMI!C:T,8,0),0)</f>
        <v>0</v>
      </c>
      <c r="M321">
        <f>_xlfn.IFNA(VLOOKUP(Imputar[[#This Row],[Categoría]],EIMI!C:T,9,0),0)</f>
        <v>0</v>
      </c>
      <c r="N321">
        <f>_xlfn.IFNA(VLOOKUP(Imputar[[#This Row],[Categoría]],EIMI!C:T,10,0),0)</f>
        <v>0</v>
      </c>
    </row>
    <row r="322" spans="1:14" x14ac:dyDescent="0.25">
      <c r="A322" s="206" t="str">
        <f>Indice!$I$11</f>
        <v>EIMI00398</v>
      </c>
      <c r="B322" t="s">
        <v>1023</v>
      </c>
      <c r="C322" s="39">
        <f>Indice!$I$12</f>
        <v>46053</v>
      </c>
      <c r="E322">
        <f>ROUND(SUMIFS(CATEGORIAS[[#All],[TOTAL PRODUCCION
ACTUAL]],CATEGORIAS[[#All],[CATEGORIA2]],Imputar[[#This Row],[Categoría]]),0)</f>
        <v>0</v>
      </c>
      <c r="F322">
        <v>0</v>
      </c>
      <c r="G322">
        <f>ROUND(SUMIFS(CATEGORIAS[[#All],[PROYECCION
DE INGRESO
DEL SALDO]],CATEGORIAS[[#All],[CATEGORIA2]],Imputar[[#This Row],[Categoría]]),0)</f>
        <v>0</v>
      </c>
      <c r="H322">
        <f>ROUND(SUMIFS(CATEGORIAS[[#All],[CAMBIO DE
CATEGORIA]],CATEGORIAS[[#All],[CATEGORIA2]],Imputar[[#This Row],[Categoría]]),0)</f>
        <v>0</v>
      </c>
      <c r="I3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2">
        <f>+ROUND(SUMIFS(CATEGORIAS[[#All],[PROYECCION
TOTAL DE COSTO]],CATEGORIAS[[#All],[CATEGORIA2]],Imputar[[#This Row],[Categoría]]),0)
-Imputar[[#This Row],[Inventario]]
-Imputar[[#This Row],[Pedidos no Rec]]</f>
        <v>0</v>
      </c>
      <c r="K3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2">
        <f>_xlfn.IFNA(VLOOKUP(Imputar[[#This Row],[Categoría]],EIMI!C:T,8,0),0)</f>
        <v>0</v>
      </c>
      <c r="M322">
        <f>_xlfn.IFNA(VLOOKUP(Imputar[[#This Row],[Categoría]],EIMI!C:T,9,0),0)</f>
        <v>0</v>
      </c>
      <c r="N322">
        <f>_xlfn.IFNA(VLOOKUP(Imputar[[#This Row],[Categoría]],EIMI!C:T,10,0),0)</f>
        <v>0</v>
      </c>
    </row>
    <row r="323" spans="1:14" x14ac:dyDescent="0.25">
      <c r="A323" s="206" t="str">
        <f>Indice!$I$11</f>
        <v>EIMI00398</v>
      </c>
      <c r="B323" t="s">
        <v>1025</v>
      </c>
      <c r="C323" s="39">
        <f>Indice!$I$12</f>
        <v>46053</v>
      </c>
      <c r="E323">
        <f>ROUND(SUMIFS(CATEGORIAS[[#All],[TOTAL PRODUCCION
ACTUAL]],CATEGORIAS[[#All],[CATEGORIA2]],Imputar[[#This Row],[Categoría]]),0)</f>
        <v>0</v>
      </c>
      <c r="F323">
        <v>0</v>
      </c>
      <c r="G323">
        <f>ROUND(SUMIFS(CATEGORIAS[[#All],[PROYECCION
DE INGRESO
DEL SALDO]],CATEGORIAS[[#All],[CATEGORIA2]],Imputar[[#This Row],[Categoría]]),0)</f>
        <v>0</v>
      </c>
      <c r="H323">
        <f>ROUND(SUMIFS(CATEGORIAS[[#All],[CAMBIO DE
CATEGORIA]],CATEGORIAS[[#All],[CATEGORIA2]],Imputar[[#This Row],[Categoría]]),0)</f>
        <v>0</v>
      </c>
      <c r="I3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-21206130</v>
      </c>
      <c r="J323">
        <f>+ROUND(SUMIFS(CATEGORIAS[[#All],[PROYECCION
TOTAL DE COSTO]],CATEGORIAS[[#All],[CATEGORIA2]],Imputar[[#This Row],[Categoría]]),0)
-Imputar[[#This Row],[Inventario]]
-Imputar[[#This Row],[Pedidos no Rec]]</f>
        <v>0</v>
      </c>
      <c r="K32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23">
        <f>_xlfn.IFNA(VLOOKUP(Imputar[[#This Row],[Categoría]],EIMI!C:T,8,0),0)</f>
        <v>21206130</v>
      </c>
      <c r="M323">
        <f>_xlfn.IFNA(VLOOKUP(Imputar[[#This Row],[Categoría]],EIMI!C:T,9,0),0)</f>
        <v>0</v>
      </c>
      <c r="N323">
        <f>_xlfn.IFNA(VLOOKUP(Imputar[[#This Row],[Categoría]],EIMI!C:T,10,0),0)</f>
        <v>0</v>
      </c>
    </row>
    <row r="324" spans="1:14" hidden="1" x14ac:dyDescent="0.25">
      <c r="A324" s="206" t="str">
        <f>Indice!$I$11</f>
        <v>EIMI00398</v>
      </c>
      <c r="B324" t="s">
        <v>1027</v>
      </c>
      <c r="C324" s="39">
        <f>Indice!$I$12</f>
        <v>46053</v>
      </c>
      <c r="E324">
        <f>ROUND(SUMIFS(CATEGORIAS[[#All],[TOTAL PRODUCCION
ACTUAL]],CATEGORIAS[[#All],[CATEGORIA2]],Imputar[[#This Row],[Categoría]]),0)</f>
        <v>0</v>
      </c>
      <c r="F324">
        <v>0</v>
      </c>
      <c r="G324">
        <f>ROUND(SUMIFS(CATEGORIAS[[#All],[PROYECCION
DE INGRESO
DEL SALDO]],CATEGORIAS[[#All],[CATEGORIA2]],Imputar[[#This Row],[Categoría]]),0)</f>
        <v>0</v>
      </c>
      <c r="H324">
        <f>ROUND(SUMIFS(CATEGORIAS[[#All],[CAMBIO DE
CATEGORIA]],CATEGORIAS[[#All],[CATEGORIA2]],Imputar[[#This Row],[Categoría]]),0)</f>
        <v>0</v>
      </c>
      <c r="I3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4">
        <f>+ROUND(SUMIFS(CATEGORIAS[[#All],[PROYECCION
TOTAL DE COSTO]],CATEGORIAS[[#All],[CATEGORIA2]],Imputar[[#This Row],[Categoría]]),0)
-Imputar[[#This Row],[Inventario]]
-Imputar[[#This Row],[Pedidos no Rec]]</f>
        <v>0</v>
      </c>
      <c r="K3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4">
        <f>_xlfn.IFNA(VLOOKUP(Imputar[[#This Row],[Categoría]],EIMI!C:T,8,0),0)</f>
        <v>0</v>
      </c>
      <c r="M324">
        <f>_xlfn.IFNA(VLOOKUP(Imputar[[#This Row],[Categoría]],EIMI!C:T,9,0),0)</f>
        <v>0</v>
      </c>
      <c r="N324">
        <f>_xlfn.IFNA(VLOOKUP(Imputar[[#This Row],[Categoría]],EIMI!C:T,10,0),0)</f>
        <v>0</v>
      </c>
    </row>
    <row r="325" spans="1:14" hidden="1" x14ac:dyDescent="0.25">
      <c r="A325" s="206" t="str">
        <f>Indice!$I$11</f>
        <v>EIMI00398</v>
      </c>
      <c r="B325" t="s">
        <v>1029</v>
      </c>
      <c r="C325" s="39">
        <f>Indice!$I$12</f>
        <v>46053</v>
      </c>
      <c r="E325">
        <f>ROUND(SUMIFS(CATEGORIAS[[#All],[TOTAL PRODUCCION
ACTUAL]],CATEGORIAS[[#All],[CATEGORIA2]],Imputar[[#This Row],[Categoría]]),0)</f>
        <v>0</v>
      </c>
      <c r="F325">
        <v>0</v>
      </c>
      <c r="G325">
        <f>ROUND(SUMIFS(CATEGORIAS[[#All],[PROYECCION
DE INGRESO
DEL SALDO]],CATEGORIAS[[#All],[CATEGORIA2]],Imputar[[#This Row],[Categoría]]),0)</f>
        <v>0</v>
      </c>
      <c r="H325">
        <f>ROUND(SUMIFS(CATEGORIAS[[#All],[CAMBIO DE
CATEGORIA]],CATEGORIAS[[#All],[CATEGORIA2]],Imputar[[#This Row],[Categoría]]),0)</f>
        <v>0</v>
      </c>
      <c r="I3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5">
        <f>+ROUND(SUMIFS(CATEGORIAS[[#All],[PROYECCION
TOTAL DE COSTO]],CATEGORIAS[[#All],[CATEGORIA2]],Imputar[[#This Row],[Categoría]]),0)
-Imputar[[#This Row],[Inventario]]
-Imputar[[#This Row],[Pedidos no Rec]]</f>
        <v>0</v>
      </c>
      <c r="K3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5">
        <f>_xlfn.IFNA(VLOOKUP(Imputar[[#This Row],[Categoría]],EIMI!C:T,8,0),0)</f>
        <v>0</v>
      </c>
      <c r="M325">
        <f>_xlfn.IFNA(VLOOKUP(Imputar[[#This Row],[Categoría]],EIMI!C:T,9,0),0)</f>
        <v>0</v>
      </c>
      <c r="N325">
        <f>_xlfn.IFNA(VLOOKUP(Imputar[[#This Row],[Categoría]],EIMI!C:T,10,0),0)</f>
        <v>0</v>
      </c>
    </row>
    <row r="326" spans="1:14" x14ac:dyDescent="0.25">
      <c r="A326" s="206" t="str">
        <f>Indice!$I$11</f>
        <v>EIMI00398</v>
      </c>
      <c r="B326" t="s">
        <v>1031</v>
      </c>
      <c r="C326" s="39">
        <f>Indice!$I$12</f>
        <v>46053</v>
      </c>
      <c r="E326">
        <f>ROUND(SUMIFS(CATEGORIAS[[#All],[TOTAL PRODUCCION
ACTUAL]],CATEGORIAS[[#All],[CATEGORIA2]],Imputar[[#This Row],[Categoría]]),0)</f>
        <v>0</v>
      </c>
      <c r="F326">
        <v>0</v>
      </c>
      <c r="G326">
        <f>ROUND(SUMIFS(CATEGORIAS[[#All],[PROYECCION
DE INGRESO
DEL SALDO]],CATEGORIAS[[#All],[CATEGORIA2]],Imputar[[#This Row],[Categoría]]),0)</f>
        <v>0</v>
      </c>
      <c r="H326">
        <f>ROUND(SUMIFS(CATEGORIAS[[#All],[CAMBIO DE
CATEGORIA]],CATEGORIAS[[#All],[CATEGORIA2]],Imputar[[#This Row],[Categoría]]),0)</f>
        <v>0</v>
      </c>
      <c r="I3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6">
        <f>+ROUND(SUMIFS(CATEGORIAS[[#All],[PROYECCION
TOTAL DE COSTO]],CATEGORIAS[[#All],[CATEGORIA2]],Imputar[[#This Row],[Categoría]]),0)
-Imputar[[#This Row],[Inventario]]
-Imputar[[#This Row],[Pedidos no Rec]]</f>
        <v>0</v>
      </c>
      <c r="K3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6">
        <f>_xlfn.IFNA(VLOOKUP(Imputar[[#This Row],[Categoría]],EIMI!C:T,8,0),0)</f>
        <v>0</v>
      </c>
      <c r="M326">
        <f>_xlfn.IFNA(VLOOKUP(Imputar[[#This Row],[Categoría]],EIMI!C:T,9,0),0)</f>
        <v>0</v>
      </c>
      <c r="N326">
        <f>_xlfn.IFNA(VLOOKUP(Imputar[[#This Row],[Categoría]],EIMI!C:T,10,0),0)</f>
        <v>0</v>
      </c>
    </row>
    <row r="327" spans="1:14" x14ac:dyDescent="0.25">
      <c r="A327" s="206" t="str">
        <f>Indice!$I$11</f>
        <v>EIMI00398</v>
      </c>
      <c r="B327" t="s">
        <v>1033</v>
      </c>
      <c r="C327" s="39">
        <f>Indice!$I$12</f>
        <v>46053</v>
      </c>
      <c r="E327">
        <f>ROUND(SUMIFS(CATEGORIAS[[#All],[TOTAL PRODUCCION
ACTUAL]],CATEGORIAS[[#All],[CATEGORIA2]],Imputar[[#This Row],[Categoría]]),0)</f>
        <v>0</v>
      </c>
      <c r="F327">
        <v>0</v>
      </c>
      <c r="G327">
        <f>ROUND(SUMIFS(CATEGORIAS[[#All],[PROYECCION
DE INGRESO
DEL SALDO]],CATEGORIAS[[#All],[CATEGORIA2]],Imputar[[#This Row],[Categoría]]),0)</f>
        <v>0</v>
      </c>
      <c r="H327">
        <f>ROUND(SUMIFS(CATEGORIAS[[#All],[CAMBIO DE
CATEGORIA]],CATEGORIAS[[#All],[CATEGORIA2]],Imputar[[#This Row],[Categoría]]),0)</f>
        <v>0</v>
      </c>
      <c r="I3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-2143242</v>
      </c>
      <c r="J327">
        <f>+ROUND(SUMIFS(CATEGORIAS[[#All],[PROYECCION
TOTAL DE COSTO]],CATEGORIAS[[#All],[CATEGORIA2]],Imputar[[#This Row],[Categoría]]),0)
-Imputar[[#This Row],[Inventario]]
-Imputar[[#This Row],[Pedidos no Rec]]</f>
        <v>0</v>
      </c>
      <c r="K3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27">
        <f>_xlfn.IFNA(VLOOKUP(Imputar[[#This Row],[Categoría]],EIMI!C:T,8,0),0)</f>
        <v>2143242</v>
      </c>
      <c r="M327">
        <f>_xlfn.IFNA(VLOOKUP(Imputar[[#This Row],[Categoría]],EIMI!C:T,9,0),0)</f>
        <v>0</v>
      </c>
      <c r="N327">
        <f>_xlfn.IFNA(VLOOKUP(Imputar[[#This Row],[Categoría]],EIMI!C:T,10,0),0)</f>
        <v>0</v>
      </c>
    </row>
    <row r="328" spans="1:14" hidden="1" x14ac:dyDescent="0.25">
      <c r="A328" s="206" t="str">
        <f>Indice!$I$11</f>
        <v>EIMI00398</v>
      </c>
      <c r="B328" t="s">
        <v>1035</v>
      </c>
      <c r="C328" s="39">
        <f>Indice!$I$12</f>
        <v>46053</v>
      </c>
      <c r="E328">
        <f>ROUND(SUMIFS(CATEGORIAS[[#All],[TOTAL PRODUCCION
ACTUAL]],CATEGORIAS[[#All],[CATEGORIA2]],Imputar[[#This Row],[Categoría]]),0)</f>
        <v>0</v>
      </c>
      <c r="F328">
        <v>0</v>
      </c>
      <c r="G328">
        <f>ROUND(SUMIFS(CATEGORIAS[[#All],[PROYECCION
DE INGRESO
DEL SALDO]],CATEGORIAS[[#All],[CATEGORIA2]],Imputar[[#This Row],[Categoría]]),0)</f>
        <v>0</v>
      </c>
      <c r="H328">
        <f>ROUND(SUMIFS(CATEGORIAS[[#All],[CAMBIO DE
CATEGORIA]],CATEGORIAS[[#All],[CATEGORIA2]],Imputar[[#This Row],[Categoría]]),0)</f>
        <v>0</v>
      </c>
      <c r="I3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8">
        <f>+ROUND(SUMIFS(CATEGORIAS[[#All],[PROYECCION
TOTAL DE COSTO]],CATEGORIAS[[#All],[CATEGORIA2]],Imputar[[#This Row],[Categoría]]),0)
-Imputar[[#This Row],[Inventario]]
-Imputar[[#This Row],[Pedidos no Rec]]</f>
        <v>0</v>
      </c>
      <c r="K3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8">
        <f>_xlfn.IFNA(VLOOKUP(Imputar[[#This Row],[Categoría]],EIMI!C:T,8,0),0)</f>
        <v>0</v>
      </c>
      <c r="M328">
        <f>_xlfn.IFNA(VLOOKUP(Imputar[[#This Row],[Categoría]],EIMI!C:T,9,0),0)</f>
        <v>0</v>
      </c>
      <c r="N328">
        <f>_xlfn.IFNA(VLOOKUP(Imputar[[#This Row],[Categoría]],EIMI!C:T,10,0),0)</f>
        <v>0</v>
      </c>
    </row>
    <row r="329" spans="1:14" hidden="1" x14ac:dyDescent="0.25">
      <c r="A329" s="206" t="str">
        <f>Indice!$I$11</f>
        <v>EIMI00398</v>
      </c>
      <c r="B329" t="s">
        <v>1037</v>
      </c>
      <c r="C329" s="39">
        <f>Indice!$I$12</f>
        <v>46053</v>
      </c>
      <c r="E329">
        <f>ROUND(SUMIFS(CATEGORIAS[[#All],[TOTAL PRODUCCION
ACTUAL]],CATEGORIAS[[#All],[CATEGORIA2]],Imputar[[#This Row],[Categoría]]),0)</f>
        <v>0</v>
      </c>
      <c r="F329">
        <v>0</v>
      </c>
      <c r="G329">
        <f>ROUND(SUMIFS(CATEGORIAS[[#All],[PROYECCION
DE INGRESO
DEL SALDO]],CATEGORIAS[[#All],[CATEGORIA2]],Imputar[[#This Row],[Categoría]]),0)</f>
        <v>0</v>
      </c>
      <c r="H329">
        <f>ROUND(SUMIFS(CATEGORIAS[[#All],[CAMBIO DE
CATEGORIA]],CATEGORIAS[[#All],[CATEGORIA2]],Imputar[[#This Row],[Categoría]]),0)</f>
        <v>0</v>
      </c>
      <c r="I3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29">
        <f>+ROUND(SUMIFS(CATEGORIAS[[#All],[PROYECCION
TOTAL DE COSTO]],CATEGORIAS[[#All],[CATEGORIA2]],Imputar[[#This Row],[Categoría]]),0)
-Imputar[[#This Row],[Inventario]]
-Imputar[[#This Row],[Pedidos no Rec]]</f>
        <v>0</v>
      </c>
      <c r="K3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29">
        <f>_xlfn.IFNA(VLOOKUP(Imputar[[#This Row],[Categoría]],EIMI!C:T,8,0),0)</f>
        <v>0</v>
      </c>
      <c r="M329">
        <f>_xlfn.IFNA(VLOOKUP(Imputar[[#This Row],[Categoría]],EIMI!C:T,9,0),0)</f>
        <v>0</v>
      </c>
      <c r="N329">
        <f>_xlfn.IFNA(VLOOKUP(Imputar[[#This Row],[Categoría]],EIMI!C:T,10,0),0)</f>
        <v>0</v>
      </c>
    </row>
    <row r="330" spans="1:14" x14ac:dyDescent="0.25">
      <c r="A330" s="206" t="str">
        <f>Indice!$I$11</f>
        <v>EIMI00398</v>
      </c>
      <c r="B330" t="s">
        <v>1039</v>
      </c>
      <c r="C330" s="39">
        <f>Indice!$I$12</f>
        <v>46053</v>
      </c>
      <c r="E330">
        <f>ROUND(SUMIFS(CATEGORIAS[[#All],[TOTAL PRODUCCION
ACTUAL]],CATEGORIAS[[#All],[CATEGORIA2]],Imputar[[#This Row],[Categoría]]),0)</f>
        <v>0</v>
      </c>
      <c r="F330">
        <v>0</v>
      </c>
      <c r="G330">
        <f>ROUND(SUMIFS(CATEGORIAS[[#All],[PROYECCION
DE INGRESO
DEL SALDO]],CATEGORIAS[[#All],[CATEGORIA2]],Imputar[[#This Row],[Categoría]]),0)</f>
        <v>0</v>
      </c>
      <c r="H330">
        <f>ROUND(SUMIFS(CATEGORIAS[[#All],[CAMBIO DE
CATEGORIA]],CATEGORIAS[[#All],[CATEGORIA2]],Imputar[[#This Row],[Categoría]]),0)</f>
        <v>0</v>
      </c>
      <c r="I3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0">
        <f>+ROUND(SUMIFS(CATEGORIAS[[#All],[PROYECCION
TOTAL DE COSTO]],CATEGORIAS[[#All],[CATEGORIA2]],Imputar[[#This Row],[Categoría]]),0)
-Imputar[[#This Row],[Inventario]]
-Imputar[[#This Row],[Pedidos no Rec]]</f>
        <v>0</v>
      </c>
      <c r="K3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0">
        <f>_xlfn.IFNA(VLOOKUP(Imputar[[#This Row],[Categoría]],EIMI!C:T,8,0),0)</f>
        <v>0</v>
      </c>
      <c r="M330">
        <f>_xlfn.IFNA(VLOOKUP(Imputar[[#This Row],[Categoría]],EIMI!C:T,9,0),0)</f>
        <v>0</v>
      </c>
      <c r="N330">
        <f>_xlfn.IFNA(VLOOKUP(Imputar[[#This Row],[Categoría]],EIMI!C:T,10,0),0)</f>
        <v>0</v>
      </c>
    </row>
    <row r="331" spans="1:14" x14ac:dyDescent="0.25">
      <c r="A331" s="206" t="str">
        <f>Indice!$I$11</f>
        <v>EIMI00398</v>
      </c>
      <c r="B331" t="s">
        <v>1041</v>
      </c>
      <c r="C331" s="39">
        <f>Indice!$I$12</f>
        <v>46053</v>
      </c>
      <c r="E331">
        <f>ROUND(SUMIFS(CATEGORIAS[[#All],[TOTAL PRODUCCION
ACTUAL]],CATEGORIAS[[#All],[CATEGORIA2]],Imputar[[#This Row],[Categoría]]),0)</f>
        <v>0</v>
      </c>
      <c r="F331">
        <v>0</v>
      </c>
      <c r="G331">
        <f>ROUND(SUMIFS(CATEGORIAS[[#All],[PROYECCION
DE INGRESO
DEL SALDO]],CATEGORIAS[[#All],[CATEGORIA2]],Imputar[[#This Row],[Categoría]]),0)</f>
        <v>0</v>
      </c>
      <c r="H331">
        <f>ROUND(SUMIFS(CATEGORIAS[[#All],[CAMBIO DE
CATEGORIA]],CATEGORIAS[[#All],[CATEGORIA2]],Imputar[[#This Row],[Categoría]]),0)</f>
        <v>0</v>
      </c>
      <c r="I3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-8336598</v>
      </c>
      <c r="J331">
        <f>+ROUND(SUMIFS(CATEGORIAS[[#All],[PROYECCION
TOTAL DE COSTO]],CATEGORIAS[[#All],[CATEGORIA2]],Imputar[[#This Row],[Categoría]]),0)
-Imputar[[#This Row],[Inventario]]
-Imputar[[#This Row],[Pedidos no Rec]]</f>
        <v>0</v>
      </c>
      <c r="K33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31">
        <f>_xlfn.IFNA(VLOOKUP(Imputar[[#This Row],[Categoría]],EIMI!C:T,8,0),0)</f>
        <v>8336598</v>
      </c>
      <c r="M331">
        <f>_xlfn.IFNA(VLOOKUP(Imputar[[#This Row],[Categoría]],EIMI!C:T,9,0),0)</f>
        <v>0</v>
      </c>
      <c r="N331">
        <f>_xlfn.IFNA(VLOOKUP(Imputar[[#This Row],[Categoría]],EIMI!C:T,10,0),0)</f>
        <v>0</v>
      </c>
    </row>
    <row r="332" spans="1:14" hidden="1" x14ac:dyDescent="0.25">
      <c r="A332" s="206" t="str">
        <f>Indice!$I$11</f>
        <v>EIMI00398</v>
      </c>
      <c r="B332" t="s">
        <v>1043</v>
      </c>
      <c r="C332" s="39">
        <f>Indice!$I$12</f>
        <v>46053</v>
      </c>
      <c r="E332">
        <f>ROUND(SUMIFS(CATEGORIAS[[#All],[TOTAL PRODUCCION
ACTUAL]],CATEGORIAS[[#All],[CATEGORIA2]],Imputar[[#This Row],[Categoría]]),0)</f>
        <v>0</v>
      </c>
      <c r="F332">
        <v>0</v>
      </c>
      <c r="G332">
        <f>ROUND(SUMIFS(CATEGORIAS[[#All],[PROYECCION
DE INGRESO
DEL SALDO]],CATEGORIAS[[#All],[CATEGORIA2]],Imputar[[#This Row],[Categoría]]),0)</f>
        <v>0</v>
      </c>
      <c r="H332">
        <f>ROUND(SUMIFS(CATEGORIAS[[#All],[CAMBIO DE
CATEGORIA]],CATEGORIAS[[#All],[CATEGORIA2]],Imputar[[#This Row],[Categoría]]),0)</f>
        <v>0</v>
      </c>
      <c r="I3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2">
        <f>+ROUND(SUMIFS(CATEGORIAS[[#All],[PROYECCION
TOTAL DE COSTO]],CATEGORIAS[[#All],[CATEGORIA2]],Imputar[[#This Row],[Categoría]]),0)
-Imputar[[#This Row],[Inventario]]
-Imputar[[#This Row],[Pedidos no Rec]]</f>
        <v>0</v>
      </c>
      <c r="K3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2">
        <f>_xlfn.IFNA(VLOOKUP(Imputar[[#This Row],[Categoría]],EIMI!C:T,8,0),0)</f>
        <v>0</v>
      </c>
      <c r="M332">
        <f>_xlfn.IFNA(VLOOKUP(Imputar[[#This Row],[Categoría]],EIMI!C:T,9,0),0)</f>
        <v>0</v>
      </c>
      <c r="N332">
        <f>_xlfn.IFNA(VLOOKUP(Imputar[[#This Row],[Categoría]],EIMI!C:T,10,0),0)</f>
        <v>0</v>
      </c>
    </row>
    <row r="333" spans="1:14" hidden="1" x14ac:dyDescent="0.25">
      <c r="A333" s="206" t="str">
        <f>Indice!$I$11</f>
        <v>EIMI00398</v>
      </c>
      <c r="B333" t="s">
        <v>1045</v>
      </c>
      <c r="C333" s="39">
        <f>Indice!$I$12</f>
        <v>46053</v>
      </c>
      <c r="E333">
        <f>ROUND(SUMIFS(CATEGORIAS[[#All],[TOTAL PRODUCCION
ACTUAL]],CATEGORIAS[[#All],[CATEGORIA2]],Imputar[[#This Row],[Categoría]]),0)</f>
        <v>0</v>
      </c>
      <c r="F333">
        <v>0</v>
      </c>
      <c r="G333">
        <f>ROUND(SUMIFS(CATEGORIAS[[#All],[PROYECCION
DE INGRESO
DEL SALDO]],CATEGORIAS[[#All],[CATEGORIA2]],Imputar[[#This Row],[Categoría]]),0)</f>
        <v>0</v>
      </c>
      <c r="H333">
        <f>ROUND(SUMIFS(CATEGORIAS[[#All],[CAMBIO DE
CATEGORIA]],CATEGORIAS[[#All],[CATEGORIA2]],Imputar[[#This Row],[Categoría]]),0)</f>
        <v>0</v>
      </c>
      <c r="I3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3">
        <f>+ROUND(SUMIFS(CATEGORIAS[[#All],[PROYECCION
TOTAL DE COSTO]],CATEGORIAS[[#All],[CATEGORIA2]],Imputar[[#This Row],[Categoría]]),0)
-Imputar[[#This Row],[Inventario]]
-Imputar[[#This Row],[Pedidos no Rec]]</f>
        <v>0</v>
      </c>
      <c r="K3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3">
        <f>_xlfn.IFNA(VLOOKUP(Imputar[[#This Row],[Categoría]],EIMI!C:T,8,0),0)</f>
        <v>0</v>
      </c>
      <c r="M333">
        <f>_xlfn.IFNA(VLOOKUP(Imputar[[#This Row],[Categoría]],EIMI!C:T,9,0),0)</f>
        <v>0</v>
      </c>
      <c r="N333">
        <f>_xlfn.IFNA(VLOOKUP(Imputar[[#This Row],[Categoría]],EIMI!C:T,10,0),0)</f>
        <v>0</v>
      </c>
    </row>
    <row r="334" spans="1:14" x14ac:dyDescent="0.25">
      <c r="A334" s="206" t="str">
        <f>Indice!$I$11</f>
        <v>EIMI00398</v>
      </c>
      <c r="B334" t="s">
        <v>1047</v>
      </c>
      <c r="C334" s="39">
        <f>Indice!$I$12</f>
        <v>46053</v>
      </c>
      <c r="E334">
        <f>ROUND(SUMIFS(CATEGORIAS[[#All],[TOTAL PRODUCCION
ACTUAL]],CATEGORIAS[[#All],[CATEGORIA2]],Imputar[[#This Row],[Categoría]]),0)</f>
        <v>0</v>
      </c>
      <c r="F334">
        <v>0</v>
      </c>
      <c r="G334">
        <f>ROUND(SUMIFS(CATEGORIAS[[#All],[PROYECCION
DE INGRESO
DEL SALDO]],CATEGORIAS[[#All],[CATEGORIA2]],Imputar[[#This Row],[Categoría]]),0)</f>
        <v>0</v>
      </c>
      <c r="H334">
        <f>ROUND(SUMIFS(CATEGORIAS[[#All],[CAMBIO DE
CATEGORIA]],CATEGORIAS[[#All],[CATEGORIA2]],Imputar[[#This Row],[Categoría]]),0)</f>
        <v>0</v>
      </c>
      <c r="I3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4">
        <f>+ROUND(SUMIFS(CATEGORIAS[[#All],[PROYECCION
TOTAL DE COSTO]],CATEGORIAS[[#All],[CATEGORIA2]],Imputar[[#This Row],[Categoría]]),0)
-Imputar[[#This Row],[Inventario]]
-Imputar[[#This Row],[Pedidos no Rec]]</f>
        <v>0</v>
      </c>
      <c r="K3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4">
        <f>_xlfn.IFNA(VLOOKUP(Imputar[[#This Row],[Categoría]],EIMI!C:T,8,0),0)</f>
        <v>0</v>
      </c>
      <c r="M334">
        <f>_xlfn.IFNA(VLOOKUP(Imputar[[#This Row],[Categoría]],EIMI!C:T,9,0),0)</f>
        <v>0</v>
      </c>
      <c r="N334">
        <f>_xlfn.IFNA(VLOOKUP(Imputar[[#This Row],[Categoría]],EIMI!C:T,10,0),0)</f>
        <v>0</v>
      </c>
    </row>
    <row r="335" spans="1:14" hidden="1" x14ac:dyDescent="0.25">
      <c r="A335" s="206" t="str">
        <f>Indice!$I$11</f>
        <v>EIMI00398</v>
      </c>
      <c r="B335" t="s">
        <v>1049</v>
      </c>
      <c r="C335" s="39">
        <f>Indice!$I$12</f>
        <v>46053</v>
      </c>
      <c r="E335">
        <f>ROUND(SUMIFS(CATEGORIAS[[#All],[TOTAL PRODUCCION
ACTUAL]],CATEGORIAS[[#All],[CATEGORIA2]],Imputar[[#This Row],[Categoría]]),0)</f>
        <v>0</v>
      </c>
      <c r="F335">
        <v>0</v>
      </c>
      <c r="G335">
        <f>ROUND(SUMIFS(CATEGORIAS[[#All],[PROYECCION
DE INGRESO
DEL SALDO]],CATEGORIAS[[#All],[CATEGORIA2]],Imputar[[#This Row],[Categoría]]),0)</f>
        <v>0</v>
      </c>
      <c r="H335">
        <f>ROUND(SUMIFS(CATEGORIAS[[#All],[CAMBIO DE
CATEGORIA]],CATEGORIAS[[#All],[CATEGORIA2]],Imputar[[#This Row],[Categoría]]),0)</f>
        <v>0</v>
      </c>
      <c r="I3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5">
        <f>+ROUND(SUMIFS(CATEGORIAS[[#All],[PROYECCION
TOTAL DE COSTO]],CATEGORIAS[[#All],[CATEGORIA2]],Imputar[[#This Row],[Categoría]]),0)
-Imputar[[#This Row],[Inventario]]
-Imputar[[#This Row],[Pedidos no Rec]]</f>
        <v>0</v>
      </c>
      <c r="K3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5">
        <f>_xlfn.IFNA(VLOOKUP(Imputar[[#This Row],[Categoría]],EIMI!C:T,8,0),0)</f>
        <v>0</v>
      </c>
      <c r="M335">
        <f>_xlfn.IFNA(VLOOKUP(Imputar[[#This Row],[Categoría]],EIMI!C:T,9,0),0)</f>
        <v>0</v>
      </c>
      <c r="N335">
        <f>_xlfn.IFNA(VLOOKUP(Imputar[[#This Row],[Categoría]],EIMI!C:T,10,0),0)</f>
        <v>0</v>
      </c>
    </row>
    <row r="336" spans="1:14" hidden="1" x14ac:dyDescent="0.25">
      <c r="A336" s="206" t="str">
        <f>Indice!$I$11</f>
        <v>EIMI00398</v>
      </c>
      <c r="B336" t="s">
        <v>1051</v>
      </c>
      <c r="C336" s="39">
        <f>Indice!$I$12</f>
        <v>46053</v>
      </c>
      <c r="E336">
        <f>ROUND(SUMIFS(CATEGORIAS[[#All],[TOTAL PRODUCCION
ACTUAL]],CATEGORIAS[[#All],[CATEGORIA2]],Imputar[[#This Row],[Categoría]]),0)</f>
        <v>0</v>
      </c>
      <c r="F336">
        <v>0</v>
      </c>
      <c r="G336">
        <f>ROUND(SUMIFS(CATEGORIAS[[#All],[PROYECCION
DE INGRESO
DEL SALDO]],CATEGORIAS[[#All],[CATEGORIA2]],Imputar[[#This Row],[Categoría]]),0)</f>
        <v>0</v>
      </c>
      <c r="H336">
        <f>ROUND(SUMIFS(CATEGORIAS[[#All],[CAMBIO DE
CATEGORIA]],CATEGORIAS[[#All],[CATEGORIA2]],Imputar[[#This Row],[Categoría]]),0)</f>
        <v>0</v>
      </c>
      <c r="I3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6">
        <f>+ROUND(SUMIFS(CATEGORIAS[[#All],[PROYECCION
TOTAL DE COSTO]],CATEGORIAS[[#All],[CATEGORIA2]],Imputar[[#This Row],[Categoría]]),0)
-Imputar[[#This Row],[Inventario]]
-Imputar[[#This Row],[Pedidos no Rec]]</f>
        <v>0</v>
      </c>
      <c r="K3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6">
        <f>_xlfn.IFNA(VLOOKUP(Imputar[[#This Row],[Categoría]],EIMI!C:T,8,0),0)</f>
        <v>0</v>
      </c>
      <c r="M336">
        <f>_xlfn.IFNA(VLOOKUP(Imputar[[#This Row],[Categoría]],EIMI!C:T,9,0),0)</f>
        <v>0</v>
      </c>
      <c r="N336">
        <f>_xlfn.IFNA(VLOOKUP(Imputar[[#This Row],[Categoría]],EIMI!C:T,10,0),0)</f>
        <v>0</v>
      </c>
    </row>
    <row r="337" spans="1:14" hidden="1" x14ac:dyDescent="0.25">
      <c r="A337" s="206" t="str">
        <f>Indice!$I$11</f>
        <v>EIMI00398</v>
      </c>
      <c r="B337" t="s">
        <v>1053</v>
      </c>
      <c r="C337" s="39">
        <f>Indice!$I$12</f>
        <v>46053</v>
      </c>
      <c r="E337">
        <f>ROUND(SUMIFS(CATEGORIAS[[#All],[TOTAL PRODUCCION
ACTUAL]],CATEGORIAS[[#All],[CATEGORIA2]],Imputar[[#This Row],[Categoría]]),0)</f>
        <v>0</v>
      </c>
      <c r="F337">
        <v>0</v>
      </c>
      <c r="G337">
        <f>ROUND(SUMIFS(CATEGORIAS[[#All],[PROYECCION
DE INGRESO
DEL SALDO]],CATEGORIAS[[#All],[CATEGORIA2]],Imputar[[#This Row],[Categoría]]),0)</f>
        <v>0</v>
      </c>
      <c r="H337">
        <f>ROUND(SUMIFS(CATEGORIAS[[#All],[CAMBIO DE
CATEGORIA]],CATEGORIAS[[#All],[CATEGORIA2]],Imputar[[#This Row],[Categoría]]),0)</f>
        <v>0</v>
      </c>
      <c r="I3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7">
        <f>+ROUND(SUMIFS(CATEGORIAS[[#All],[PROYECCION
TOTAL DE COSTO]],CATEGORIAS[[#All],[CATEGORIA2]],Imputar[[#This Row],[Categoría]]),0)
-Imputar[[#This Row],[Inventario]]
-Imputar[[#This Row],[Pedidos no Rec]]</f>
        <v>0</v>
      </c>
      <c r="K3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7">
        <f>_xlfn.IFNA(VLOOKUP(Imputar[[#This Row],[Categoría]],EIMI!C:T,8,0),0)</f>
        <v>0</v>
      </c>
      <c r="M337">
        <f>_xlfn.IFNA(VLOOKUP(Imputar[[#This Row],[Categoría]],EIMI!C:T,9,0),0)</f>
        <v>0</v>
      </c>
      <c r="N337">
        <f>_xlfn.IFNA(VLOOKUP(Imputar[[#This Row],[Categoría]],EIMI!C:T,10,0),0)</f>
        <v>0</v>
      </c>
    </row>
    <row r="338" spans="1:14" hidden="1" x14ac:dyDescent="0.25">
      <c r="A338" s="206" t="str">
        <f>Indice!$I$11</f>
        <v>EIMI00398</v>
      </c>
      <c r="B338" t="s">
        <v>1055</v>
      </c>
      <c r="C338" s="39">
        <f>Indice!$I$12</f>
        <v>46053</v>
      </c>
      <c r="E338">
        <f>ROUND(SUMIFS(CATEGORIAS[[#All],[TOTAL PRODUCCION
ACTUAL]],CATEGORIAS[[#All],[CATEGORIA2]],Imputar[[#This Row],[Categoría]]),0)</f>
        <v>0</v>
      </c>
      <c r="F338">
        <v>0</v>
      </c>
      <c r="G338">
        <f>ROUND(SUMIFS(CATEGORIAS[[#All],[PROYECCION
DE INGRESO
DEL SALDO]],CATEGORIAS[[#All],[CATEGORIA2]],Imputar[[#This Row],[Categoría]]),0)</f>
        <v>0</v>
      </c>
      <c r="H338">
        <f>ROUND(SUMIFS(CATEGORIAS[[#All],[CAMBIO DE
CATEGORIA]],CATEGORIAS[[#All],[CATEGORIA2]],Imputar[[#This Row],[Categoría]]),0)</f>
        <v>0</v>
      </c>
      <c r="I3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8">
        <f>+ROUND(SUMIFS(CATEGORIAS[[#All],[PROYECCION
TOTAL DE COSTO]],CATEGORIAS[[#All],[CATEGORIA2]],Imputar[[#This Row],[Categoría]]),0)
-Imputar[[#This Row],[Inventario]]
-Imputar[[#This Row],[Pedidos no Rec]]</f>
        <v>0</v>
      </c>
      <c r="K3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8">
        <f>_xlfn.IFNA(VLOOKUP(Imputar[[#This Row],[Categoría]],EIMI!C:T,8,0),0)</f>
        <v>0</v>
      </c>
      <c r="M338">
        <f>_xlfn.IFNA(VLOOKUP(Imputar[[#This Row],[Categoría]],EIMI!C:T,9,0),0)</f>
        <v>0</v>
      </c>
      <c r="N338">
        <f>_xlfn.IFNA(VLOOKUP(Imputar[[#This Row],[Categoría]],EIMI!C:T,10,0),0)</f>
        <v>0</v>
      </c>
    </row>
    <row r="339" spans="1:14" hidden="1" x14ac:dyDescent="0.25">
      <c r="A339" s="206" t="str">
        <f>Indice!$I$11</f>
        <v>EIMI00398</v>
      </c>
      <c r="B339" t="s">
        <v>1057</v>
      </c>
      <c r="C339" s="39">
        <f>Indice!$I$12</f>
        <v>46053</v>
      </c>
      <c r="E339">
        <f>ROUND(SUMIFS(CATEGORIAS[[#All],[TOTAL PRODUCCION
ACTUAL]],CATEGORIAS[[#All],[CATEGORIA2]],Imputar[[#This Row],[Categoría]]),0)</f>
        <v>0</v>
      </c>
      <c r="F339">
        <v>0</v>
      </c>
      <c r="G339">
        <f>ROUND(SUMIFS(CATEGORIAS[[#All],[PROYECCION
DE INGRESO
DEL SALDO]],CATEGORIAS[[#All],[CATEGORIA2]],Imputar[[#This Row],[Categoría]]),0)</f>
        <v>0</v>
      </c>
      <c r="H339">
        <f>ROUND(SUMIFS(CATEGORIAS[[#All],[CAMBIO DE
CATEGORIA]],CATEGORIAS[[#All],[CATEGORIA2]],Imputar[[#This Row],[Categoría]]),0)</f>
        <v>0</v>
      </c>
      <c r="I3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39">
        <f>+ROUND(SUMIFS(CATEGORIAS[[#All],[PROYECCION
TOTAL DE COSTO]],CATEGORIAS[[#All],[CATEGORIA2]],Imputar[[#This Row],[Categoría]]),0)
-Imputar[[#This Row],[Inventario]]
-Imputar[[#This Row],[Pedidos no Rec]]</f>
        <v>0</v>
      </c>
      <c r="K3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39">
        <f>_xlfn.IFNA(VLOOKUP(Imputar[[#This Row],[Categoría]],EIMI!C:T,8,0),0)</f>
        <v>0</v>
      </c>
      <c r="M339">
        <f>_xlfn.IFNA(VLOOKUP(Imputar[[#This Row],[Categoría]],EIMI!C:T,9,0),0)</f>
        <v>0</v>
      </c>
      <c r="N339">
        <f>_xlfn.IFNA(VLOOKUP(Imputar[[#This Row],[Categoría]],EIMI!C:T,10,0),0)</f>
        <v>0</v>
      </c>
    </row>
    <row r="340" spans="1:14" hidden="1" x14ac:dyDescent="0.25">
      <c r="A340" s="206" t="str">
        <f>Indice!$I$11</f>
        <v>EIMI00398</v>
      </c>
      <c r="B340" t="s">
        <v>1059</v>
      </c>
      <c r="C340" s="39">
        <f>Indice!$I$12</f>
        <v>46053</v>
      </c>
      <c r="E340">
        <f>ROUND(SUMIFS(CATEGORIAS[[#All],[TOTAL PRODUCCION
ACTUAL]],CATEGORIAS[[#All],[CATEGORIA2]],Imputar[[#This Row],[Categoría]]),0)</f>
        <v>0</v>
      </c>
      <c r="F340">
        <v>0</v>
      </c>
      <c r="G340">
        <f>ROUND(SUMIFS(CATEGORIAS[[#All],[PROYECCION
DE INGRESO
DEL SALDO]],CATEGORIAS[[#All],[CATEGORIA2]],Imputar[[#This Row],[Categoría]]),0)</f>
        <v>0</v>
      </c>
      <c r="H340">
        <f>ROUND(SUMIFS(CATEGORIAS[[#All],[CAMBIO DE
CATEGORIA]],CATEGORIAS[[#All],[CATEGORIA2]],Imputar[[#This Row],[Categoría]]),0)</f>
        <v>0</v>
      </c>
      <c r="I3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0">
        <f>+ROUND(SUMIFS(CATEGORIAS[[#All],[PROYECCION
TOTAL DE COSTO]],CATEGORIAS[[#All],[CATEGORIA2]],Imputar[[#This Row],[Categoría]]),0)
-Imputar[[#This Row],[Inventario]]
-Imputar[[#This Row],[Pedidos no Rec]]</f>
        <v>0</v>
      </c>
      <c r="K3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0">
        <f>_xlfn.IFNA(VLOOKUP(Imputar[[#This Row],[Categoría]],EIMI!C:T,8,0),0)</f>
        <v>0</v>
      </c>
      <c r="M340">
        <f>_xlfn.IFNA(VLOOKUP(Imputar[[#This Row],[Categoría]],EIMI!C:T,9,0),0)</f>
        <v>0</v>
      </c>
      <c r="N340">
        <f>_xlfn.IFNA(VLOOKUP(Imputar[[#This Row],[Categoría]],EIMI!C:T,10,0),0)</f>
        <v>0</v>
      </c>
    </row>
    <row r="341" spans="1:14" hidden="1" x14ac:dyDescent="0.25">
      <c r="A341" s="206" t="str">
        <f>Indice!$I$11</f>
        <v>EIMI00398</v>
      </c>
      <c r="B341" t="s">
        <v>1061</v>
      </c>
      <c r="C341" s="39">
        <f>Indice!$I$12</f>
        <v>46053</v>
      </c>
      <c r="E341">
        <f>ROUND(SUMIFS(CATEGORIAS[[#All],[TOTAL PRODUCCION
ACTUAL]],CATEGORIAS[[#All],[CATEGORIA2]],Imputar[[#This Row],[Categoría]]),0)</f>
        <v>0</v>
      </c>
      <c r="F341">
        <v>0</v>
      </c>
      <c r="G341">
        <f>ROUND(SUMIFS(CATEGORIAS[[#All],[PROYECCION
DE INGRESO
DEL SALDO]],CATEGORIAS[[#All],[CATEGORIA2]],Imputar[[#This Row],[Categoría]]),0)</f>
        <v>0</v>
      </c>
      <c r="H341">
        <f>ROUND(SUMIFS(CATEGORIAS[[#All],[CAMBIO DE
CATEGORIA]],CATEGORIAS[[#All],[CATEGORIA2]],Imputar[[#This Row],[Categoría]]),0)</f>
        <v>0</v>
      </c>
      <c r="I3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1">
        <f>+ROUND(SUMIFS(CATEGORIAS[[#All],[PROYECCION
TOTAL DE COSTO]],CATEGORIAS[[#All],[CATEGORIA2]],Imputar[[#This Row],[Categoría]]),0)
-Imputar[[#This Row],[Inventario]]
-Imputar[[#This Row],[Pedidos no Rec]]</f>
        <v>0</v>
      </c>
      <c r="K3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1">
        <f>_xlfn.IFNA(VLOOKUP(Imputar[[#This Row],[Categoría]],EIMI!C:T,8,0),0)</f>
        <v>0</v>
      </c>
      <c r="M341">
        <f>_xlfn.IFNA(VLOOKUP(Imputar[[#This Row],[Categoría]],EIMI!C:T,9,0),0)</f>
        <v>0</v>
      </c>
      <c r="N341">
        <f>_xlfn.IFNA(VLOOKUP(Imputar[[#This Row],[Categoría]],EIMI!C:T,10,0),0)</f>
        <v>0</v>
      </c>
    </row>
    <row r="342" spans="1:14" hidden="1" x14ac:dyDescent="0.25">
      <c r="A342" s="206" t="str">
        <f>Indice!$I$11</f>
        <v>EIMI00398</v>
      </c>
      <c r="B342" t="s">
        <v>1063</v>
      </c>
      <c r="C342" s="39">
        <f>Indice!$I$12</f>
        <v>46053</v>
      </c>
      <c r="E342">
        <f>ROUND(SUMIFS(CATEGORIAS[[#All],[TOTAL PRODUCCION
ACTUAL]],CATEGORIAS[[#All],[CATEGORIA2]],Imputar[[#This Row],[Categoría]]),0)</f>
        <v>0</v>
      </c>
      <c r="F342">
        <v>0</v>
      </c>
      <c r="G342">
        <f>ROUND(SUMIFS(CATEGORIAS[[#All],[PROYECCION
DE INGRESO
DEL SALDO]],CATEGORIAS[[#All],[CATEGORIA2]],Imputar[[#This Row],[Categoría]]),0)</f>
        <v>0</v>
      </c>
      <c r="H342">
        <f>ROUND(SUMIFS(CATEGORIAS[[#All],[CAMBIO DE
CATEGORIA]],CATEGORIAS[[#All],[CATEGORIA2]],Imputar[[#This Row],[Categoría]]),0)</f>
        <v>0</v>
      </c>
      <c r="I3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2">
        <f>+ROUND(SUMIFS(CATEGORIAS[[#All],[PROYECCION
TOTAL DE COSTO]],CATEGORIAS[[#All],[CATEGORIA2]],Imputar[[#This Row],[Categoría]]),0)
-Imputar[[#This Row],[Inventario]]
-Imputar[[#This Row],[Pedidos no Rec]]</f>
        <v>0</v>
      </c>
      <c r="K3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2">
        <f>_xlfn.IFNA(VLOOKUP(Imputar[[#This Row],[Categoría]],EIMI!C:T,8,0),0)</f>
        <v>0</v>
      </c>
      <c r="M342">
        <f>_xlfn.IFNA(VLOOKUP(Imputar[[#This Row],[Categoría]],EIMI!C:T,9,0),0)</f>
        <v>0</v>
      </c>
      <c r="N342">
        <f>_xlfn.IFNA(VLOOKUP(Imputar[[#This Row],[Categoría]],EIMI!C:T,10,0),0)</f>
        <v>0</v>
      </c>
    </row>
    <row r="343" spans="1:14" hidden="1" x14ac:dyDescent="0.25">
      <c r="A343" s="206" t="str">
        <f>Indice!$I$11</f>
        <v>EIMI00398</v>
      </c>
      <c r="B343" t="s">
        <v>1065</v>
      </c>
      <c r="C343" s="39">
        <f>Indice!$I$12</f>
        <v>46053</v>
      </c>
      <c r="E343">
        <f>ROUND(SUMIFS(CATEGORIAS[[#All],[TOTAL PRODUCCION
ACTUAL]],CATEGORIAS[[#All],[CATEGORIA2]],Imputar[[#This Row],[Categoría]]),0)</f>
        <v>0</v>
      </c>
      <c r="F343">
        <v>0</v>
      </c>
      <c r="G343">
        <f>ROUND(SUMIFS(CATEGORIAS[[#All],[PROYECCION
DE INGRESO
DEL SALDO]],CATEGORIAS[[#All],[CATEGORIA2]],Imputar[[#This Row],[Categoría]]),0)</f>
        <v>0</v>
      </c>
      <c r="H343">
        <f>ROUND(SUMIFS(CATEGORIAS[[#All],[CAMBIO DE
CATEGORIA]],CATEGORIAS[[#All],[CATEGORIA2]],Imputar[[#This Row],[Categoría]]),0)</f>
        <v>0</v>
      </c>
      <c r="I3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3">
        <f>+ROUND(SUMIFS(CATEGORIAS[[#All],[PROYECCION
TOTAL DE COSTO]],CATEGORIAS[[#All],[CATEGORIA2]],Imputar[[#This Row],[Categoría]]),0)
-Imputar[[#This Row],[Inventario]]
-Imputar[[#This Row],[Pedidos no Rec]]</f>
        <v>0</v>
      </c>
      <c r="K3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3">
        <f>_xlfn.IFNA(VLOOKUP(Imputar[[#This Row],[Categoría]],EIMI!C:T,8,0),0)</f>
        <v>0</v>
      </c>
      <c r="M343">
        <f>_xlfn.IFNA(VLOOKUP(Imputar[[#This Row],[Categoría]],EIMI!C:T,9,0),0)</f>
        <v>0</v>
      </c>
      <c r="N343">
        <f>_xlfn.IFNA(VLOOKUP(Imputar[[#This Row],[Categoría]],EIMI!C:T,10,0),0)</f>
        <v>0</v>
      </c>
    </row>
    <row r="344" spans="1:14" x14ac:dyDescent="0.25">
      <c r="A344" s="206" t="str">
        <f>Indice!$I$11</f>
        <v>EIMI00398</v>
      </c>
      <c r="B344" t="s">
        <v>1067</v>
      </c>
      <c r="C344" s="39">
        <f>Indice!$I$12</f>
        <v>46053</v>
      </c>
      <c r="E344">
        <f>ROUND(SUMIFS(CATEGORIAS[[#All],[TOTAL PRODUCCION
ACTUAL]],CATEGORIAS[[#All],[CATEGORIA2]],Imputar[[#This Row],[Categoría]]),0)</f>
        <v>0</v>
      </c>
      <c r="F344">
        <v>0</v>
      </c>
      <c r="G344">
        <f>ROUND(SUMIFS(CATEGORIAS[[#All],[PROYECCION
DE INGRESO
DEL SALDO]],CATEGORIAS[[#All],[CATEGORIA2]],Imputar[[#This Row],[Categoría]]),0)</f>
        <v>0</v>
      </c>
      <c r="H344">
        <f>ROUND(SUMIFS(CATEGORIAS[[#All],[CAMBIO DE
CATEGORIA]],CATEGORIAS[[#All],[CATEGORIA2]],Imputar[[#This Row],[Categoría]]),0)</f>
        <v>0</v>
      </c>
      <c r="I3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4">
        <f>+ROUND(SUMIFS(CATEGORIAS[[#All],[PROYECCION
TOTAL DE COSTO]],CATEGORIAS[[#All],[CATEGORIA2]],Imputar[[#This Row],[Categoría]]),0)
-Imputar[[#This Row],[Inventario]]
-Imputar[[#This Row],[Pedidos no Rec]]</f>
        <v>0</v>
      </c>
      <c r="K3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4">
        <f>_xlfn.IFNA(VLOOKUP(Imputar[[#This Row],[Categoría]],EIMI!C:T,8,0),0)</f>
        <v>0</v>
      </c>
      <c r="M344">
        <f>_xlfn.IFNA(VLOOKUP(Imputar[[#This Row],[Categoría]],EIMI!C:T,9,0),0)</f>
        <v>0</v>
      </c>
      <c r="N344">
        <f>_xlfn.IFNA(VLOOKUP(Imputar[[#This Row],[Categoría]],EIMI!C:T,10,0),0)</f>
        <v>0</v>
      </c>
    </row>
    <row r="345" spans="1:14" x14ac:dyDescent="0.25">
      <c r="A345" s="206" t="str">
        <f>Indice!$I$11</f>
        <v>EIMI00398</v>
      </c>
      <c r="B345" t="s">
        <v>1069</v>
      </c>
      <c r="C345" s="39">
        <f>Indice!$I$12</f>
        <v>46053</v>
      </c>
      <c r="E345">
        <f>ROUND(SUMIFS(CATEGORIAS[[#All],[TOTAL PRODUCCION
ACTUAL]],CATEGORIAS[[#All],[CATEGORIA2]],Imputar[[#This Row],[Categoría]]),0)</f>
        <v>0</v>
      </c>
      <c r="F345">
        <v>0</v>
      </c>
      <c r="G345">
        <f>ROUND(SUMIFS(CATEGORIAS[[#All],[PROYECCION
DE INGRESO
DEL SALDO]],CATEGORIAS[[#All],[CATEGORIA2]],Imputar[[#This Row],[Categoría]]),0)</f>
        <v>0</v>
      </c>
      <c r="H345">
        <f>ROUND(SUMIFS(CATEGORIAS[[#All],[CAMBIO DE
CATEGORIA]],CATEGORIAS[[#All],[CATEGORIA2]],Imputar[[#This Row],[Categoría]]),0)</f>
        <v>0</v>
      </c>
      <c r="I3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-4577845</v>
      </c>
      <c r="J345">
        <f>+ROUND(SUMIFS(CATEGORIAS[[#All],[PROYECCION
TOTAL DE COSTO]],CATEGORIAS[[#All],[CATEGORIA2]],Imputar[[#This Row],[Categoría]]),0)
-Imputar[[#This Row],[Inventario]]
-Imputar[[#This Row],[Pedidos no Rec]]</f>
        <v>0</v>
      </c>
      <c r="K34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5">
        <f>_xlfn.IFNA(VLOOKUP(Imputar[[#This Row],[Categoría]],EIMI!C:T,8,0),0)</f>
        <v>4577845</v>
      </c>
      <c r="M345">
        <f>_xlfn.IFNA(VLOOKUP(Imputar[[#This Row],[Categoría]],EIMI!C:T,9,0),0)</f>
        <v>0</v>
      </c>
      <c r="N345">
        <f>_xlfn.IFNA(VLOOKUP(Imputar[[#This Row],[Categoría]],EIMI!C:T,10,0),0)</f>
        <v>0</v>
      </c>
    </row>
    <row r="346" spans="1:14" x14ac:dyDescent="0.25">
      <c r="A346" s="206" t="str">
        <f>Indice!$I$11</f>
        <v>EIMI00398</v>
      </c>
      <c r="B346" t="s">
        <v>1071</v>
      </c>
      <c r="C346" s="39">
        <f>Indice!$I$12</f>
        <v>46053</v>
      </c>
      <c r="E346">
        <f>ROUND(SUMIFS(CATEGORIAS[[#All],[TOTAL PRODUCCION
ACTUAL]],CATEGORIAS[[#All],[CATEGORIA2]],Imputar[[#This Row],[Categoría]]),0)</f>
        <v>0</v>
      </c>
      <c r="F346">
        <v>0</v>
      </c>
      <c r="G346">
        <f>ROUND(SUMIFS(CATEGORIAS[[#All],[PROYECCION
DE INGRESO
DEL SALDO]],CATEGORIAS[[#All],[CATEGORIA2]],Imputar[[#This Row],[Categoría]]),0)</f>
        <v>0</v>
      </c>
      <c r="H346">
        <f>ROUND(SUMIFS(CATEGORIAS[[#All],[CAMBIO DE
CATEGORIA]],CATEGORIAS[[#All],[CATEGORIA2]],Imputar[[#This Row],[Categoría]]),0)</f>
        <v>0</v>
      </c>
      <c r="I3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6">
        <f>+ROUND(SUMIFS(CATEGORIAS[[#All],[PROYECCION
TOTAL DE COSTO]],CATEGORIAS[[#All],[CATEGORIA2]],Imputar[[#This Row],[Categoría]]),0)
-Imputar[[#This Row],[Inventario]]
-Imputar[[#This Row],[Pedidos no Rec]]</f>
        <v>-4416360</v>
      </c>
      <c r="K34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46">
        <f>_xlfn.IFNA(VLOOKUP(Imputar[[#This Row],[Categoría]],EIMI!C:T,8,0),0)</f>
        <v>0</v>
      </c>
      <c r="M346">
        <f>_xlfn.IFNA(VLOOKUP(Imputar[[#This Row],[Categoría]],EIMI!C:T,9,0),0)</f>
        <v>4416360</v>
      </c>
      <c r="N346">
        <f>_xlfn.IFNA(VLOOKUP(Imputar[[#This Row],[Categoría]],EIMI!C:T,10,0),0)</f>
        <v>0</v>
      </c>
    </row>
    <row r="347" spans="1:14" hidden="1" x14ac:dyDescent="0.25">
      <c r="A347" s="206" t="str">
        <f>Indice!$I$11</f>
        <v>EIMI00398</v>
      </c>
      <c r="B347" t="s">
        <v>1073</v>
      </c>
      <c r="C347" s="39">
        <f>Indice!$I$12</f>
        <v>46053</v>
      </c>
      <c r="E347">
        <f>ROUND(SUMIFS(CATEGORIAS[[#All],[TOTAL PRODUCCION
ACTUAL]],CATEGORIAS[[#All],[CATEGORIA2]],Imputar[[#This Row],[Categoría]]),0)</f>
        <v>0</v>
      </c>
      <c r="F347">
        <v>0</v>
      </c>
      <c r="G347">
        <f>ROUND(SUMIFS(CATEGORIAS[[#All],[PROYECCION
DE INGRESO
DEL SALDO]],CATEGORIAS[[#All],[CATEGORIA2]],Imputar[[#This Row],[Categoría]]),0)</f>
        <v>0</v>
      </c>
      <c r="H347">
        <f>ROUND(SUMIFS(CATEGORIAS[[#All],[CAMBIO DE
CATEGORIA]],CATEGORIAS[[#All],[CATEGORIA2]],Imputar[[#This Row],[Categoría]]),0)</f>
        <v>0</v>
      </c>
      <c r="I3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7">
        <f>+ROUND(SUMIFS(CATEGORIAS[[#All],[PROYECCION
TOTAL DE COSTO]],CATEGORIAS[[#All],[CATEGORIA2]],Imputar[[#This Row],[Categoría]]),0)
-Imputar[[#This Row],[Inventario]]
-Imputar[[#This Row],[Pedidos no Rec]]</f>
        <v>0</v>
      </c>
      <c r="K3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7">
        <f>_xlfn.IFNA(VLOOKUP(Imputar[[#This Row],[Categoría]],EIMI!C:T,8,0),0)</f>
        <v>0</v>
      </c>
      <c r="M347">
        <f>_xlfn.IFNA(VLOOKUP(Imputar[[#This Row],[Categoría]],EIMI!C:T,9,0),0)</f>
        <v>0</v>
      </c>
      <c r="N347">
        <f>_xlfn.IFNA(VLOOKUP(Imputar[[#This Row],[Categoría]],EIMI!C:T,10,0),0)</f>
        <v>0</v>
      </c>
    </row>
    <row r="348" spans="1:14" hidden="1" x14ac:dyDescent="0.25">
      <c r="A348" s="206" t="str">
        <f>Indice!$I$11</f>
        <v>EIMI00398</v>
      </c>
      <c r="B348" t="s">
        <v>1075</v>
      </c>
      <c r="C348" s="39">
        <f>Indice!$I$12</f>
        <v>46053</v>
      </c>
      <c r="E348">
        <f>ROUND(SUMIFS(CATEGORIAS[[#All],[TOTAL PRODUCCION
ACTUAL]],CATEGORIAS[[#All],[CATEGORIA2]],Imputar[[#This Row],[Categoría]]),0)</f>
        <v>0</v>
      </c>
      <c r="F348">
        <v>0</v>
      </c>
      <c r="G348">
        <f>ROUND(SUMIFS(CATEGORIAS[[#All],[PROYECCION
DE INGRESO
DEL SALDO]],CATEGORIAS[[#All],[CATEGORIA2]],Imputar[[#This Row],[Categoría]]),0)</f>
        <v>0</v>
      </c>
      <c r="H348">
        <f>ROUND(SUMIFS(CATEGORIAS[[#All],[CAMBIO DE
CATEGORIA]],CATEGORIAS[[#All],[CATEGORIA2]],Imputar[[#This Row],[Categoría]]),0)</f>
        <v>0</v>
      </c>
      <c r="I3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8">
        <f>+ROUND(SUMIFS(CATEGORIAS[[#All],[PROYECCION
TOTAL DE COSTO]],CATEGORIAS[[#All],[CATEGORIA2]],Imputar[[#This Row],[Categoría]]),0)
-Imputar[[#This Row],[Inventario]]
-Imputar[[#This Row],[Pedidos no Rec]]</f>
        <v>0</v>
      </c>
      <c r="K3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8">
        <f>_xlfn.IFNA(VLOOKUP(Imputar[[#This Row],[Categoría]],EIMI!C:T,8,0),0)</f>
        <v>0</v>
      </c>
      <c r="M348">
        <f>_xlfn.IFNA(VLOOKUP(Imputar[[#This Row],[Categoría]],EIMI!C:T,9,0),0)</f>
        <v>0</v>
      </c>
      <c r="N348">
        <f>_xlfn.IFNA(VLOOKUP(Imputar[[#This Row],[Categoría]],EIMI!C:T,10,0),0)</f>
        <v>0</v>
      </c>
    </row>
    <row r="349" spans="1:14" hidden="1" x14ac:dyDescent="0.25">
      <c r="A349" s="206" t="str">
        <f>Indice!$I$11</f>
        <v>EIMI00398</v>
      </c>
      <c r="B349" t="s">
        <v>1077</v>
      </c>
      <c r="C349" s="39">
        <f>Indice!$I$12</f>
        <v>46053</v>
      </c>
      <c r="E349">
        <f>ROUND(SUMIFS(CATEGORIAS[[#All],[TOTAL PRODUCCION
ACTUAL]],CATEGORIAS[[#All],[CATEGORIA2]],Imputar[[#This Row],[Categoría]]),0)</f>
        <v>0</v>
      </c>
      <c r="F349">
        <v>0</v>
      </c>
      <c r="G349">
        <f>ROUND(SUMIFS(CATEGORIAS[[#All],[PROYECCION
DE INGRESO
DEL SALDO]],CATEGORIAS[[#All],[CATEGORIA2]],Imputar[[#This Row],[Categoría]]),0)</f>
        <v>0</v>
      </c>
      <c r="H349">
        <f>ROUND(SUMIFS(CATEGORIAS[[#All],[CAMBIO DE
CATEGORIA]],CATEGORIAS[[#All],[CATEGORIA2]],Imputar[[#This Row],[Categoría]]),0)</f>
        <v>0</v>
      </c>
      <c r="I3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49">
        <f>+ROUND(SUMIFS(CATEGORIAS[[#All],[PROYECCION
TOTAL DE COSTO]],CATEGORIAS[[#All],[CATEGORIA2]],Imputar[[#This Row],[Categoría]]),0)
-Imputar[[#This Row],[Inventario]]
-Imputar[[#This Row],[Pedidos no Rec]]</f>
        <v>0</v>
      </c>
      <c r="K3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49">
        <f>_xlfn.IFNA(VLOOKUP(Imputar[[#This Row],[Categoría]],EIMI!C:T,8,0),0)</f>
        <v>0</v>
      </c>
      <c r="M349">
        <f>_xlfn.IFNA(VLOOKUP(Imputar[[#This Row],[Categoría]],EIMI!C:T,9,0),0)</f>
        <v>0</v>
      </c>
      <c r="N349">
        <f>_xlfn.IFNA(VLOOKUP(Imputar[[#This Row],[Categoría]],EIMI!C:T,10,0),0)</f>
        <v>0</v>
      </c>
    </row>
    <row r="350" spans="1:14" x14ac:dyDescent="0.25">
      <c r="A350" s="206" t="str">
        <f>Indice!$I$11</f>
        <v>EIMI00398</v>
      </c>
      <c r="B350" t="s">
        <v>1079</v>
      </c>
      <c r="C350" s="39">
        <f>Indice!$I$12</f>
        <v>46053</v>
      </c>
      <c r="E350">
        <f>ROUND(SUMIFS(CATEGORIAS[[#All],[TOTAL PRODUCCION
ACTUAL]],CATEGORIAS[[#All],[CATEGORIA2]],Imputar[[#This Row],[Categoría]]),0)</f>
        <v>0</v>
      </c>
      <c r="F350">
        <v>0</v>
      </c>
      <c r="G350">
        <f>ROUND(SUMIFS(CATEGORIAS[[#All],[PROYECCION
DE INGRESO
DEL SALDO]],CATEGORIAS[[#All],[CATEGORIA2]],Imputar[[#This Row],[Categoría]]),0)</f>
        <v>0</v>
      </c>
      <c r="H350">
        <f>ROUND(SUMIFS(CATEGORIAS[[#All],[CAMBIO DE
CATEGORIA]],CATEGORIAS[[#All],[CATEGORIA2]],Imputar[[#This Row],[Categoría]]),0)</f>
        <v>0</v>
      </c>
      <c r="I3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0">
        <f>+ROUND(SUMIFS(CATEGORIAS[[#All],[PROYECCION
TOTAL DE COSTO]],CATEGORIAS[[#All],[CATEGORIA2]],Imputar[[#This Row],[Categoría]]),0)
-Imputar[[#This Row],[Inventario]]
-Imputar[[#This Row],[Pedidos no Rec]]</f>
        <v>-8306402</v>
      </c>
      <c r="K35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0">
        <f>_xlfn.IFNA(VLOOKUP(Imputar[[#This Row],[Categoría]],EIMI!C:T,8,0),0)</f>
        <v>0</v>
      </c>
      <c r="M350">
        <f>_xlfn.IFNA(VLOOKUP(Imputar[[#This Row],[Categoría]],EIMI!C:T,9,0),0)</f>
        <v>7354352</v>
      </c>
      <c r="N350">
        <f>_xlfn.IFNA(VLOOKUP(Imputar[[#This Row],[Categoría]],EIMI!C:T,10,0),0)</f>
        <v>952050</v>
      </c>
    </row>
    <row r="351" spans="1:14" hidden="1" x14ac:dyDescent="0.25">
      <c r="A351" s="206" t="str">
        <f>Indice!$I$11</f>
        <v>EIMI00398</v>
      </c>
      <c r="B351" t="s">
        <v>1081</v>
      </c>
      <c r="C351" s="39">
        <f>Indice!$I$12</f>
        <v>46053</v>
      </c>
      <c r="E351">
        <f>ROUND(SUMIFS(CATEGORIAS[[#All],[TOTAL PRODUCCION
ACTUAL]],CATEGORIAS[[#All],[CATEGORIA2]],Imputar[[#This Row],[Categoría]]),0)</f>
        <v>0</v>
      </c>
      <c r="F351">
        <v>0</v>
      </c>
      <c r="G351">
        <f>ROUND(SUMIFS(CATEGORIAS[[#All],[PROYECCION
DE INGRESO
DEL SALDO]],CATEGORIAS[[#All],[CATEGORIA2]],Imputar[[#This Row],[Categoría]]),0)</f>
        <v>0</v>
      </c>
      <c r="H351">
        <f>ROUND(SUMIFS(CATEGORIAS[[#All],[CAMBIO DE
CATEGORIA]],CATEGORIAS[[#All],[CATEGORIA2]],Imputar[[#This Row],[Categoría]]),0)</f>
        <v>0</v>
      </c>
      <c r="I3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1">
        <f>+ROUND(SUMIFS(CATEGORIAS[[#All],[PROYECCION
TOTAL DE COSTO]],CATEGORIAS[[#All],[CATEGORIA2]],Imputar[[#This Row],[Categoría]]),0)
-Imputar[[#This Row],[Inventario]]
-Imputar[[#This Row],[Pedidos no Rec]]</f>
        <v>0</v>
      </c>
      <c r="K3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1">
        <f>_xlfn.IFNA(VLOOKUP(Imputar[[#This Row],[Categoría]],EIMI!C:T,8,0),0)</f>
        <v>0</v>
      </c>
      <c r="M351">
        <f>_xlfn.IFNA(VLOOKUP(Imputar[[#This Row],[Categoría]],EIMI!C:T,9,0),0)</f>
        <v>0</v>
      </c>
      <c r="N351">
        <f>_xlfn.IFNA(VLOOKUP(Imputar[[#This Row],[Categoría]],EIMI!C:T,10,0),0)</f>
        <v>0</v>
      </c>
    </row>
    <row r="352" spans="1:14" hidden="1" x14ac:dyDescent="0.25">
      <c r="A352" s="206" t="str">
        <f>Indice!$I$11</f>
        <v>EIMI00398</v>
      </c>
      <c r="B352" t="s">
        <v>1083</v>
      </c>
      <c r="C352" s="39">
        <f>Indice!$I$12</f>
        <v>46053</v>
      </c>
      <c r="E352">
        <f>ROUND(SUMIFS(CATEGORIAS[[#All],[TOTAL PRODUCCION
ACTUAL]],CATEGORIAS[[#All],[CATEGORIA2]],Imputar[[#This Row],[Categoría]]),0)</f>
        <v>0</v>
      </c>
      <c r="F352">
        <v>0</v>
      </c>
      <c r="G352">
        <f>ROUND(SUMIFS(CATEGORIAS[[#All],[PROYECCION
DE INGRESO
DEL SALDO]],CATEGORIAS[[#All],[CATEGORIA2]],Imputar[[#This Row],[Categoría]]),0)</f>
        <v>0</v>
      </c>
      <c r="H352">
        <f>ROUND(SUMIFS(CATEGORIAS[[#All],[CAMBIO DE
CATEGORIA]],CATEGORIAS[[#All],[CATEGORIA2]],Imputar[[#This Row],[Categoría]]),0)</f>
        <v>0</v>
      </c>
      <c r="I3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2">
        <f>+ROUND(SUMIFS(CATEGORIAS[[#All],[PROYECCION
TOTAL DE COSTO]],CATEGORIAS[[#All],[CATEGORIA2]],Imputar[[#This Row],[Categoría]]),0)
-Imputar[[#This Row],[Inventario]]
-Imputar[[#This Row],[Pedidos no Rec]]</f>
        <v>0</v>
      </c>
      <c r="K3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2">
        <f>_xlfn.IFNA(VLOOKUP(Imputar[[#This Row],[Categoría]],EIMI!C:T,8,0),0)</f>
        <v>0</v>
      </c>
      <c r="M352">
        <f>_xlfn.IFNA(VLOOKUP(Imputar[[#This Row],[Categoría]],EIMI!C:T,9,0),0)</f>
        <v>0</v>
      </c>
      <c r="N352">
        <f>_xlfn.IFNA(VLOOKUP(Imputar[[#This Row],[Categoría]],EIMI!C:T,10,0),0)</f>
        <v>0</v>
      </c>
    </row>
    <row r="353" spans="1:14" hidden="1" x14ac:dyDescent="0.25">
      <c r="A353" s="206" t="str">
        <f>Indice!$I$11</f>
        <v>EIMI00398</v>
      </c>
      <c r="B353" t="s">
        <v>1085</v>
      </c>
      <c r="C353" s="39">
        <f>Indice!$I$12</f>
        <v>46053</v>
      </c>
      <c r="E353">
        <f>ROUND(SUMIFS(CATEGORIAS[[#All],[TOTAL PRODUCCION
ACTUAL]],CATEGORIAS[[#All],[CATEGORIA2]],Imputar[[#This Row],[Categoría]]),0)</f>
        <v>0</v>
      </c>
      <c r="F353">
        <v>0</v>
      </c>
      <c r="G353">
        <f>ROUND(SUMIFS(CATEGORIAS[[#All],[PROYECCION
DE INGRESO
DEL SALDO]],CATEGORIAS[[#All],[CATEGORIA2]],Imputar[[#This Row],[Categoría]]),0)</f>
        <v>0</v>
      </c>
      <c r="H353">
        <f>ROUND(SUMIFS(CATEGORIAS[[#All],[CAMBIO DE
CATEGORIA]],CATEGORIAS[[#All],[CATEGORIA2]],Imputar[[#This Row],[Categoría]]),0)</f>
        <v>0</v>
      </c>
      <c r="I3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3">
        <f>+ROUND(SUMIFS(CATEGORIAS[[#All],[PROYECCION
TOTAL DE COSTO]],CATEGORIAS[[#All],[CATEGORIA2]],Imputar[[#This Row],[Categoría]]),0)
-Imputar[[#This Row],[Inventario]]
-Imputar[[#This Row],[Pedidos no Rec]]</f>
        <v>0</v>
      </c>
      <c r="K3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3">
        <f>_xlfn.IFNA(VLOOKUP(Imputar[[#This Row],[Categoría]],EIMI!C:T,8,0),0)</f>
        <v>0</v>
      </c>
      <c r="M353">
        <f>_xlfn.IFNA(VLOOKUP(Imputar[[#This Row],[Categoría]],EIMI!C:T,9,0),0)</f>
        <v>0</v>
      </c>
      <c r="N353">
        <f>_xlfn.IFNA(VLOOKUP(Imputar[[#This Row],[Categoría]],EIMI!C:T,10,0),0)</f>
        <v>0</v>
      </c>
    </row>
    <row r="354" spans="1:14" hidden="1" x14ac:dyDescent="0.25">
      <c r="A354" s="206" t="str">
        <f>Indice!$I$11</f>
        <v>EIMI00398</v>
      </c>
      <c r="B354" t="s">
        <v>1087</v>
      </c>
      <c r="C354" s="39">
        <f>Indice!$I$12</f>
        <v>46053</v>
      </c>
      <c r="E354">
        <f>ROUND(SUMIFS(CATEGORIAS[[#All],[TOTAL PRODUCCION
ACTUAL]],CATEGORIAS[[#All],[CATEGORIA2]],Imputar[[#This Row],[Categoría]]),0)</f>
        <v>0</v>
      </c>
      <c r="F354">
        <v>0</v>
      </c>
      <c r="G354">
        <f>ROUND(SUMIFS(CATEGORIAS[[#All],[PROYECCION
DE INGRESO
DEL SALDO]],CATEGORIAS[[#All],[CATEGORIA2]],Imputar[[#This Row],[Categoría]]),0)</f>
        <v>0</v>
      </c>
      <c r="H354">
        <f>ROUND(SUMIFS(CATEGORIAS[[#All],[CAMBIO DE
CATEGORIA]],CATEGORIAS[[#All],[CATEGORIA2]],Imputar[[#This Row],[Categoría]]),0)</f>
        <v>0</v>
      </c>
      <c r="I3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4">
        <f>+ROUND(SUMIFS(CATEGORIAS[[#All],[PROYECCION
TOTAL DE COSTO]],CATEGORIAS[[#All],[CATEGORIA2]],Imputar[[#This Row],[Categoría]]),0)
-Imputar[[#This Row],[Inventario]]
-Imputar[[#This Row],[Pedidos no Rec]]</f>
        <v>0</v>
      </c>
      <c r="K3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4">
        <f>_xlfn.IFNA(VLOOKUP(Imputar[[#This Row],[Categoría]],EIMI!C:T,8,0),0)</f>
        <v>0</v>
      </c>
      <c r="M354">
        <f>_xlfn.IFNA(VLOOKUP(Imputar[[#This Row],[Categoría]],EIMI!C:T,9,0),0)</f>
        <v>0</v>
      </c>
      <c r="N354">
        <f>_xlfn.IFNA(VLOOKUP(Imputar[[#This Row],[Categoría]],EIMI!C:T,10,0),0)</f>
        <v>0</v>
      </c>
    </row>
    <row r="355" spans="1:14" hidden="1" x14ac:dyDescent="0.25">
      <c r="A355" s="206" t="str">
        <f>Indice!$I$11</f>
        <v>EIMI00398</v>
      </c>
      <c r="B355" t="s">
        <v>1089</v>
      </c>
      <c r="C355" s="39">
        <f>Indice!$I$12</f>
        <v>46053</v>
      </c>
      <c r="E355">
        <f>ROUND(SUMIFS(CATEGORIAS[[#All],[TOTAL PRODUCCION
ACTUAL]],CATEGORIAS[[#All],[CATEGORIA2]],Imputar[[#This Row],[Categoría]]),0)</f>
        <v>0</v>
      </c>
      <c r="F355">
        <v>0</v>
      </c>
      <c r="G355">
        <f>ROUND(SUMIFS(CATEGORIAS[[#All],[PROYECCION
DE INGRESO
DEL SALDO]],CATEGORIAS[[#All],[CATEGORIA2]],Imputar[[#This Row],[Categoría]]),0)</f>
        <v>0</v>
      </c>
      <c r="H355">
        <f>ROUND(SUMIFS(CATEGORIAS[[#All],[CAMBIO DE
CATEGORIA]],CATEGORIAS[[#All],[CATEGORIA2]],Imputar[[#This Row],[Categoría]]),0)</f>
        <v>0</v>
      </c>
      <c r="I3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5">
        <f>+ROUND(SUMIFS(CATEGORIAS[[#All],[PROYECCION
TOTAL DE COSTO]],CATEGORIAS[[#All],[CATEGORIA2]],Imputar[[#This Row],[Categoría]]),0)
-Imputar[[#This Row],[Inventario]]
-Imputar[[#This Row],[Pedidos no Rec]]</f>
        <v>0</v>
      </c>
      <c r="K3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5">
        <f>_xlfn.IFNA(VLOOKUP(Imputar[[#This Row],[Categoría]],EIMI!C:T,8,0),0)</f>
        <v>0</v>
      </c>
      <c r="M355">
        <f>_xlfn.IFNA(VLOOKUP(Imputar[[#This Row],[Categoría]],EIMI!C:T,9,0),0)</f>
        <v>0</v>
      </c>
      <c r="N355">
        <f>_xlfn.IFNA(VLOOKUP(Imputar[[#This Row],[Categoría]],EIMI!C:T,10,0),0)</f>
        <v>0</v>
      </c>
    </row>
    <row r="356" spans="1:14" hidden="1" x14ac:dyDescent="0.25">
      <c r="A356" s="206" t="str">
        <f>Indice!$I$11</f>
        <v>EIMI00398</v>
      </c>
      <c r="B356" t="s">
        <v>1091</v>
      </c>
      <c r="C356" s="39">
        <f>Indice!$I$12</f>
        <v>46053</v>
      </c>
      <c r="E356">
        <f>ROUND(SUMIFS(CATEGORIAS[[#All],[TOTAL PRODUCCION
ACTUAL]],CATEGORIAS[[#All],[CATEGORIA2]],Imputar[[#This Row],[Categoría]]),0)</f>
        <v>0</v>
      </c>
      <c r="F356">
        <v>0</v>
      </c>
      <c r="G356">
        <f>ROUND(SUMIFS(CATEGORIAS[[#All],[PROYECCION
DE INGRESO
DEL SALDO]],CATEGORIAS[[#All],[CATEGORIA2]],Imputar[[#This Row],[Categoría]]),0)</f>
        <v>0</v>
      </c>
      <c r="H356">
        <f>ROUND(SUMIFS(CATEGORIAS[[#All],[CAMBIO DE
CATEGORIA]],CATEGORIAS[[#All],[CATEGORIA2]],Imputar[[#This Row],[Categoría]]),0)</f>
        <v>0</v>
      </c>
      <c r="I3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6">
        <f>+ROUND(SUMIFS(CATEGORIAS[[#All],[PROYECCION
TOTAL DE COSTO]],CATEGORIAS[[#All],[CATEGORIA2]],Imputar[[#This Row],[Categoría]]),0)
-Imputar[[#This Row],[Inventario]]
-Imputar[[#This Row],[Pedidos no Rec]]</f>
        <v>0</v>
      </c>
      <c r="K3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6">
        <f>_xlfn.IFNA(VLOOKUP(Imputar[[#This Row],[Categoría]],EIMI!C:T,8,0),0)</f>
        <v>0</v>
      </c>
      <c r="M356">
        <f>_xlfn.IFNA(VLOOKUP(Imputar[[#This Row],[Categoría]],EIMI!C:T,9,0),0)</f>
        <v>0</v>
      </c>
      <c r="N356">
        <f>_xlfn.IFNA(VLOOKUP(Imputar[[#This Row],[Categoría]],EIMI!C:T,10,0),0)</f>
        <v>0</v>
      </c>
    </row>
    <row r="357" spans="1:14" hidden="1" x14ac:dyDescent="0.25">
      <c r="A357" s="206" t="str">
        <f>Indice!$I$11</f>
        <v>EIMI00398</v>
      </c>
      <c r="B357" t="s">
        <v>1093</v>
      </c>
      <c r="C357" s="39">
        <f>Indice!$I$12</f>
        <v>46053</v>
      </c>
      <c r="E357">
        <f>ROUND(SUMIFS(CATEGORIAS[[#All],[TOTAL PRODUCCION
ACTUAL]],CATEGORIAS[[#All],[CATEGORIA2]],Imputar[[#This Row],[Categoría]]),0)</f>
        <v>0</v>
      </c>
      <c r="F357">
        <v>0</v>
      </c>
      <c r="G357">
        <f>ROUND(SUMIFS(CATEGORIAS[[#All],[PROYECCION
DE INGRESO
DEL SALDO]],CATEGORIAS[[#All],[CATEGORIA2]],Imputar[[#This Row],[Categoría]]),0)</f>
        <v>0</v>
      </c>
      <c r="H357">
        <f>ROUND(SUMIFS(CATEGORIAS[[#All],[CAMBIO DE
CATEGORIA]],CATEGORIAS[[#All],[CATEGORIA2]],Imputar[[#This Row],[Categoría]]),0)</f>
        <v>0</v>
      </c>
      <c r="I3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7">
        <f>+ROUND(SUMIFS(CATEGORIAS[[#All],[PROYECCION
TOTAL DE COSTO]],CATEGORIAS[[#All],[CATEGORIA2]],Imputar[[#This Row],[Categoría]]),0)
-Imputar[[#This Row],[Inventario]]
-Imputar[[#This Row],[Pedidos no Rec]]</f>
        <v>0</v>
      </c>
      <c r="K3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7">
        <f>_xlfn.IFNA(VLOOKUP(Imputar[[#This Row],[Categoría]],EIMI!C:T,8,0),0)</f>
        <v>0</v>
      </c>
      <c r="M357">
        <f>_xlfn.IFNA(VLOOKUP(Imputar[[#This Row],[Categoría]],EIMI!C:T,9,0),0)</f>
        <v>0</v>
      </c>
      <c r="N357">
        <f>_xlfn.IFNA(VLOOKUP(Imputar[[#This Row],[Categoría]],EIMI!C:T,10,0),0)</f>
        <v>0</v>
      </c>
    </row>
    <row r="358" spans="1:14" x14ac:dyDescent="0.25">
      <c r="A358" s="206" t="str">
        <f>Indice!$I$11</f>
        <v>EIMI00398</v>
      </c>
      <c r="B358" t="s">
        <v>1095</v>
      </c>
      <c r="C358" s="39">
        <f>Indice!$I$12</f>
        <v>46053</v>
      </c>
      <c r="E358">
        <f>ROUND(SUMIFS(CATEGORIAS[[#All],[TOTAL PRODUCCION
ACTUAL]],CATEGORIAS[[#All],[CATEGORIA2]],Imputar[[#This Row],[Categoría]]),0)</f>
        <v>0</v>
      </c>
      <c r="F358">
        <v>0</v>
      </c>
      <c r="G358">
        <f>ROUND(SUMIFS(CATEGORIAS[[#All],[PROYECCION
DE INGRESO
DEL SALDO]],CATEGORIAS[[#All],[CATEGORIA2]],Imputar[[#This Row],[Categoría]]),0)</f>
        <v>0</v>
      </c>
      <c r="H358">
        <f>ROUND(SUMIFS(CATEGORIAS[[#All],[CAMBIO DE
CATEGORIA]],CATEGORIAS[[#All],[CATEGORIA2]],Imputar[[#This Row],[Categoría]]),0)</f>
        <v>0</v>
      </c>
      <c r="I3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8">
        <f>+ROUND(SUMIFS(CATEGORIAS[[#All],[PROYECCION
TOTAL DE COSTO]],CATEGORIAS[[#All],[CATEGORIA2]],Imputar[[#This Row],[Categoría]]),0)
-Imputar[[#This Row],[Inventario]]
-Imputar[[#This Row],[Pedidos no Rec]]</f>
        <v>-2207000</v>
      </c>
      <c r="K3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58">
        <f>_xlfn.IFNA(VLOOKUP(Imputar[[#This Row],[Categoría]],EIMI!C:T,8,0),0)</f>
        <v>0</v>
      </c>
      <c r="M358">
        <f>_xlfn.IFNA(VLOOKUP(Imputar[[#This Row],[Categoría]],EIMI!C:T,9,0),0)</f>
        <v>2207000</v>
      </c>
      <c r="N358">
        <f>_xlfn.IFNA(VLOOKUP(Imputar[[#This Row],[Categoría]],EIMI!C:T,10,0),0)</f>
        <v>0</v>
      </c>
    </row>
    <row r="359" spans="1:14" hidden="1" x14ac:dyDescent="0.25">
      <c r="A359" s="206" t="str">
        <f>Indice!$I$11</f>
        <v>EIMI00398</v>
      </c>
      <c r="B359" t="s">
        <v>1097</v>
      </c>
      <c r="C359" s="39">
        <f>Indice!$I$12</f>
        <v>46053</v>
      </c>
      <c r="E359">
        <f>ROUND(SUMIFS(CATEGORIAS[[#All],[TOTAL PRODUCCION
ACTUAL]],CATEGORIAS[[#All],[CATEGORIA2]],Imputar[[#This Row],[Categoría]]),0)</f>
        <v>0</v>
      </c>
      <c r="F359">
        <v>0</v>
      </c>
      <c r="G359">
        <f>ROUND(SUMIFS(CATEGORIAS[[#All],[PROYECCION
DE INGRESO
DEL SALDO]],CATEGORIAS[[#All],[CATEGORIA2]],Imputar[[#This Row],[Categoría]]),0)</f>
        <v>0</v>
      </c>
      <c r="H359">
        <f>ROUND(SUMIFS(CATEGORIAS[[#All],[CAMBIO DE
CATEGORIA]],CATEGORIAS[[#All],[CATEGORIA2]],Imputar[[#This Row],[Categoría]]),0)</f>
        <v>0</v>
      </c>
      <c r="I3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59">
        <f>+ROUND(SUMIFS(CATEGORIAS[[#All],[PROYECCION
TOTAL DE COSTO]],CATEGORIAS[[#All],[CATEGORIA2]],Imputar[[#This Row],[Categoría]]),0)
-Imputar[[#This Row],[Inventario]]
-Imputar[[#This Row],[Pedidos no Rec]]</f>
        <v>0</v>
      </c>
      <c r="K3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59">
        <f>_xlfn.IFNA(VLOOKUP(Imputar[[#This Row],[Categoría]],EIMI!C:T,8,0),0)</f>
        <v>0</v>
      </c>
      <c r="M359">
        <f>_xlfn.IFNA(VLOOKUP(Imputar[[#This Row],[Categoría]],EIMI!C:T,9,0),0)</f>
        <v>0</v>
      </c>
      <c r="N359">
        <f>_xlfn.IFNA(VLOOKUP(Imputar[[#This Row],[Categoría]],EIMI!C:T,10,0),0)</f>
        <v>0</v>
      </c>
    </row>
    <row r="360" spans="1:14" hidden="1" x14ac:dyDescent="0.25">
      <c r="A360" s="206" t="str">
        <f>Indice!$I$11</f>
        <v>EIMI00398</v>
      </c>
      <c r="B360" t="s">
        <v>1099</v>
      </c>
      <c r="C360" s="39">
        <f>Indice!$I$12</f>
        <v>46053</v>
      </c>
      <c r="E360">
        <f>ROUND(SUMIFS(CATEGORIAS[[#All],[TOTAL PRODUCCION
ACTUAL]],CATEGORIAS[[#All],[CATEGORIA2]],Imputar[[#This Row],[Categoría]]),0)</f>
        <v>0</v>
      </c>
      <c r="F360">
        <v>0</v>
      </c>
      <c r="G360">
        <f>ROUND(SUMIFS(CATEGORIAS[[#All],[PROYECCION
DE INGRESO
DEL SALDO]],CATEGORIAS[[#All],[CATEGORIA2]],Imputar[[#This Row],[Categoría]]),0)</f>
        <v>0</v>
      </c>
      <c r="H360">
        <f>ROUND(SUMIFS(CATEGORIAS[[#All],[CAMBIO DE
CATEGORIA]],CATEGORIAS[[#All],[CATEGORIA2]],Imputar[[#This Row],[Categoría]]),0)</f>
        <v>0</v>
      </c>
      <c r="I3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0">
        <f>+ROUND(SUMIFS(CATEGORIAS[[#All],[PROYECCION
TOTAL DE COSTO]],CATEGORIAS[[#All],[CATEGORIA2]],Imputar[[#This Row],[Categoría]]),0)
-Imputar[[#This Row],[Inventario]]
-Imputar[[#This Row],[Pedidos no Rec]]</f>
        <v>0</v>
      </c>
      <c r="K3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0">
        <f>_xlfn.IFNA(VLOOKUP(Imputar[[#This Row],[Categoría]],EIMI!C:T,8,0),0)</f>
        <v>0</v>
      </c>
      <c r="M360">
        <f>_xlfn.IFNA(VLOOKUP(Imputar[[#This Row],[Categoría]],EIMI!C:T,9,0),0)</f>
        <v>0</v>
      </c>
      <c r="N360">
        <f>_xlfn.IFNA(VLOOKUP(Imputar[[#This Row],[Categoría]],EIMI!C:T,10,0),0)</f>
        <v>0</v>
      </c>
    </row>
    <row r="361" spans="1:14" hidden="1" x14ac:dyDescent="0.25">
      <c r="A361" s="206" t="str">
        <f>Indice!$I$11</f>
        <v>EIMI00398</v>
      </c>
      <c r="B361" t="s">
        <v>1101</v>
      </c>
      <c r="C361" s="39">
        <f>Indice!$I$12</f>
        <v>46053</v>
      </c>
      <c r="E361">
        <f>ROUND(SUMIFS(CATEGORIAS[[#All],[TOTAL PRODUCCION
ACTUAL]],CATEGORIAS[[#All],[CATEGORIA2]],Imputar[[#This Row],[Categoría]]),0)</f>
        <v>0</v>
      </c>
      <c r="F361">
        <v>0</v>
      </c>
      <c r="G361">
        <f>ROUND(SUMIFS(CATEGORIAS[[#All],[PROYECCION
DE INGRESO
DEL SALDO]],CATEGORIAS[[#All],[CATEGORIA2]],Imputar[[#This Row],[Categoría]]),0)</f>
        <v>0</v>
      </c>
      <c r="H361">
        <f>ROUND(SUMIFS(CATEGORIAS[[#All],[CAMBIO DE
CATEGORIA]],CATEGORIAS[[#All],[CATEGORIA2]],Imputar[[#This Row],[Categoría]]),0)</f>
        <v>0</v>
      </c>
      <c r="I3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1">
        <f>+ROUND(SUMIFS(CATEGORIAS[[#All],[PROYECCION
TOTAL DE COSTO]],CATEGORIAS[[#All],[CATEGORIA2]],Imputar[[#This Row],[Categoría]]),0)
-Imputar[[#This Row],[Inventario]]
-Imputar[[#This Row],[Pedidos no Rec]]</f>
        <v>0</v>
      </c>
      <c r="K3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1">
        <f>_xlfn.IFNA(VLOOKUP(Imputar[[#This Row],[Categoría]],EIMI!C:T,8,0),0)</f>
        <v>0</v>
      </c>
      <c r="M361">
        <f>_xlfn.IFNA(VLOOKUP(Imputar[[#This Row],[Categoría]],EIMI!C:T,9,0),0)</f>
        <v>0</v>
      </c>
      <c r="N361">
        <f>_xlfn.IFNA(VLOOKUP(Imputar[[#This Row],[Categoría]],EIMI!C:T,10,0),0)</f>
        <v>0</v>
      </c>
    </row>
    <row r="362" spans="1:14" hidden="1" x14ac:dyDescent="0.25">
      <c r="A362" s="206" t="str">
        <f>Indice!$I$11</f>
        <v>EIMI00398</v>
      </c>
      <c r="B362" t="s">
        <v>1103</v>
      </c>
      <c r="C362" s="39">
        <f>Indice!$I$12</f>
        <v>46053</v>
      </c>
      <c r="E362">
        <f>ROUND(SUMIFS(CATEGORIAS[[#All],[TOTAL PRODUCCION
ACTUAL]],CATEGORIAS[[#All],[CATEGORIA2]],Imputar[[#This Row],[Categoría]]),0)</f>
        <v>0</v>
      </c>
      <c r="F362">
        <v>0</v>
      </c>
      <c r="G362">
        <f>ROUND(SUMIFS(CATEGORIAS[[#All],[PROYECCION
DE INGRESO
DEL SALDO]],CATEGORIAS[[#All],[CATEGORIA2]],Imputar[[#This Row],[Categoría]]),0)</f>
        <v>0</v>
      </c>
      <c r="H362">
        <f>ROUND(SUMIFS(CATEGORIAS[[#All],[CAMBIO DE
CATEGORIA]],CATEGORIAS[[#All],[CATEGORIA2]],Imputar[[#This Row],[Categoría]]),0)</f>
        <v>0</v>
      </c>
      <c r="I3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2">
        <f>+ROUND(SUMIFS(CATEGORIAS[[#All],[PROYECCION
TOTAL DE COSTO]],CATEGORIAS[[#All],[CATEGORIA2]],Imputar[[#This Row],[Categoría]]),0)
-Imputar[[#This Row],[Inventario]]
-Imputar[[#This Row],[Pedidos no Rec]]</f>
        <v>0</v>
      </c>
      <c r="K3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2">
        <f>_xlfn.IFNA(VLOOKUP(Imputar[[#This Row],[Categoría]],EIMI!C:T,8,0),0)</f>
        <v>0</v>
      </c>
      <c r="M362">
        <f>_xlfn.IFNA(VLOOKUP(Imputar[[#This Row],[Categoría]],EIMI!C:T,9,0),0)</f>
        <v>0</v>
      </c>
      <c r="N362">
        <f>_xlfn.IFNA(VLOOKUP(Imputar[[#This Row],[Categoría]],EIMI!C:T,10,0),0)</f>
        <v>0</v>
      </c>
    </row>
    <row r="363" spans="1:14" hidden="1" x14ac:dyDescent="0.25">
      <c r="A363" s="206" t="str">
        <f>Indice!$I$11</f>
        <v>EIMI00398</v>
      </c>
      <c r="B363" t="s">
        <v>1105</v>
      </c>
      <c r="C363" s="39">
        <f>Indice!$I$12</f>
        <v>46053</v>
      </c>
      <c r="E363">
        <f>ROUND(SUMIFS(CATEGORIAS[[#All],[TOTAL PRODUCCION
ACTUAL]],CATEGORIAS[[#All],[CATEGORIA2]],Imputar[[#This Row],[Categoría]]),0)</f>
        <v>0</v>
      </c>
      <c r="F363">
        <v>0</v>
      </c>
      <c r="G363">
        <f>ROUND(SUMIFS(CATEGORIAS[[#All],[PROYECCION
DE INGRESO
DEL SALDO]],CATEGORIAS[[#All],[CATEGORIA2]],Imputar[[#This Row],[Categoría]]),0)</f>
        <v>0</v>
      </c>
      <c r="H363">
        <f>ROUND(SUMIFS(CATEGORIAS[[#All],[CAMBIO DE
CATEGORIA]],CATEGORIAS[[#All],[CATEGORIA2]],Imputar[[#This Row],[Categoría]]),0)</f>
        <v>0</v>
      </c>
      <c r="I3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3">
        <f>+ROUND(SUMIFS(CATEGORIAS[[#All],[PROYECCION
TOTAL DE COSTO]],CATEGORIAS[[#All],[CATEGORIA2]],Imputar[[#This Row],[Categoría]]),0)
-Imputar[[#This Row],[Inventario]]
-Imputar[[#This Row],[Pedidos no Rec]]</f>
        <v>0</v>
      </c>
      <c r="K3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3">
        <f>_xlfn.IFNA(VLOOKUP(Imputar[[#This Row],[Categoría]],EIMI!C:T,8,0),0)</f>
        <v>0</v>
      </c>
      <c r="M363">
        <f>_xlfn.IFNA(VLOOKUP(Imputar[[#This Row],[Categoría]],EIMI!C:T,9,0),0)</f>
        <v>0</v>
      </c>
      <c r="N363">
        <f>_xlfn.IFNA(VLOOKUP(Imputar[[#This Row],[Categoría]],EIMI!C:T,10,0),0)</f>
        <v>0</v>
      </c>
    </row>
    <row r="364" spans="1:14" hidden="1" x14ac:dyDescent="0.25">
      <c r="A364" s="206" t="str">
        <f>Indice!$I$11</f>
        <v>EIMI00398</v>
      </c>
      <c r="B364" t="s">
        <v>1107</v>
      </c>
      <c r="C364" s="39">
        <f>Indice!$I$12</f>
        <v>46053</v>
      </c>
      <c r="E364">
        <f>ROUND(SUMIFS(CATEGORIAS[[#All],[TOTAL PRODUCCION
ACTUAL]],CATEGORIAS[[#All],[CATEGORIA2]],Imputar[[#This Row],[Categoría]]),0)</f>
        <v>0</v>
      </c>
      <c r="F364">
        <v>0</v>
      </c>
      <c r="G364">
        <f>ROUND(SUMIFS(CATEGORIAS[[#All],[PROYECCION
DE INGRESO
DEL SALDO]],CATEGORIAS[[#All],[CATEGORIA2]],Imputar[[#This Row],[Categoría]]),0)</f>
        <v>0</v>
      </c>
      <c r="H364">
        <f>ROUND(SUMIFS(CATEGORIAS[[#All],[CAMBIO DE
CATEGORIA]],CATEGORIAS[[#All],[CATEGORIA2]],Imputar[[#This Row],[Categoría]]),0)</f>
        <v>0</v>
      </c>
      <c r="I3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4">
        <f>+ROUND(SUMIFS(CATEGORIAS[[#All],[PROYECCION
TOTAL DE COSTO]],CATEGORIAS[[#All],[CATEGORIA2]],Imputar[[#This Row],[Categoría]]),0)
-Imputar[[#This Row],[Inventario]]
-Imputar[[#This Row],[Pedidos no Rec]]</f>
        <v>0</v>
      </c>
      <c r="K3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4">
        <f>_xlfn.IFNA(VLOOKUP(Imputar[[#This Row],[Categoría]],EIMI!C:T,8,0),0)</f>
        <v>0</v>
      </c>
      <c r="M364">
        <f>_xlfn.IFNA(VLOOKUP(Imputar[[#This Row],[Categoría]],EIMI!C:T,9,0),0)</f>
        <v>0</v>
      </c>
      <c r="N364">
        <f>_xlfn.IFNA(VLOOKUP(Imputar[[#This Row],[Categoría]],EIMI!C:T,10,0),0)</f>
        <v>0</v>
      </c>
    </row>
    <row r="365" spans="1:14" hidden="1" x14ac:dyDescent="0.25">
      <c r="A365" s="206" t="str">
        <f>Indice!$I$11</f>
        <v>EIMI00398</v>
      </c>
      <c r="B365" t="s">
        <v>1109</v>
      </c>
      <c r="C365" s="39">
        <f>Indice!$I$12</f>
        <v>46053</v>
      </c>
      <c r="E365">
        <f>ROUND(SUMIFS(CATEGORIAS[[#All],[TOTAL PRODUCCION
ACTUAL]],CATEGORIAS[[#All],[CATEGORIA2]],Imputar[[#This Row],[Categoría]]),0)</f>
        <v>0</v>
      </c>
      <c r="F365">
        <v>0</v>
      </c>
      <c r="G365">
        <f>ROUND(SUMIFS(CATEGORIAS[[#All],[PROYECCION
DE INGRESO
DEL SALDO]],CATEGORIAS[[#All],[CATEGORIA2]],Imputar[[#This Row],[Categoría]]),0)</f>
        <v>0</v>
      </c>
      <c r="H365">
        <f>ROUND(SUMIFS(CATEGORIAS[[#All],[CAMBIO DE
CATEGORIA]],CATEGORIAS[[#All],[CATEGORIA2]],Imputar[[#This Row],[Categoría]]),0)</f>
        <v>0</v>
      </c>
      <c r="I3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5">
        <f>+ROUND(SUMIFS(CATEGORIAS[[#All],[PROYECCION
TOTAL DE COSTO]],CATEGORIAS[[#All],[CATEGORIA2]],Imputar[[#This Row],[Categoría]]),0)
-Imputar[[#This Row],[Inventario]]
-Imputar[[#This Row],[Pedidos no Rec]]</f>
        <v>0</v>
      </c>
      <c r="K3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5">
        <f>_xlfn.IFNA(VLOOKUP(Imputar[[#This Row],[Categoría]],EIMI!C:T,8,0),0)</f>
        <v>0</v>
      </c>
      <c r="M365">
        <f>_xlfn.IFNA(VLOOKUP(Imputar[[#This Row],[Categoría]],EIMI!C:T,9,0),0)</f>
        <v>0</v>
      </c>
      <c r="N365">
        <f>_xlfn.IFNA(VLOOKUP(Imputar[[#This Row],[Categoría]],EIMI!C:T,10,0),0)</f>
        <v>0</v>
      </c>
    </row>
    <row r="366" spans="1:14" x14ac:dyDescent="0.25">
      <c r="A366" s="206" t="str">
        <f>Indice!$I$11</f>
        <v>EIMI00398</v>
      </c>
      <c r="B366" t="s">
        <v>1111</v>
      </c>
      <c r="C366" s="39">
        <f>Indice!$I$12</f>
        <v>46053</v>
      </c>
      <c r="E366">
        <f>ROUND(SUMIFS(CATEGORIAS[[#All],[TOTAL PRODUCCION
ACTUAL]],CATEGORIAS[[#All],[CATEGORIA2]],Imputar[[#This Row],[Categoría]]),0)</f>
        <v>0</v>
      </c>
      <c r="F366">
        <v>0</v>
      </c>
      <c r="G366">
        <f>ROUND(SUMIFS(CATEGORIAS[[#All],[PROYECCION
DE INGRESO
DEL SALDO]],CATEGORIAS[[#All],[CATEGORIA2]],Imputar[[#This Row],[Categoría]]),0)</f>
        <v>0</v>
      </c>
      <c r="H366">
        <f>ROUND(SUMIFS(CATEGORIAS[[#All],[CAMBIO DE
CATEGORIA]],CATEGORIAS[[#All],[CATEGORIA2]],Imputar[[#This Row],[Categoría]]),0)</f>
        <v>0</v>
      </c>
      <c r="I3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6">
        <f>+ROUND(SUMIFS(CATEGORIAS[[#All],[PROYECCION
TOTAL DE COSTO]],CATEGORIAS[[#All],[CATEGORIA2]],Imputar[[#This Row],[Categoría]]),0)
-Imputar[[#This Row],[Inventario]]
-Imputar[[#This Row],[Pedidos no Rec]]</f>
        <v>-22475188</v>
      </c>
      <c r="K36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66">
        <f>_xlfn.IFNA(VLOOKUP(Imputar[[#This Row],[Categoría]],EIMI!C:T,8,0),0)</f>
        <v>0</v>
      </c>
      <c r="M366">
        <f>_xlfn.IFNA(VLOOKUP(Imputar[[#This Row],[Categoría]],EIMI!C:T,9,0),0)</f>
        <v>22442788</v>
      </c>
      <c r="N366">
        <f>_xlfn.IFNA(VLOOKUP(Imputar[[#This Row],[Categoría]],EIMI!C:T,10,0),0)</f>
        <v>32400</v>
      </c>
    </row>
    <row r="367" spans="1:14" hidden="1" x14ac:dyDescent="0.25">
      <c r="A367" s="206" t="str">
        <f>Indice!$I$11</f>
        <v>EIMI00398</v>
      </c>
      <c r="B367" t="s">
        <v>1113</v>
      </c>
      <c r="C367" s="39">
        <f>Indice!$I$12</f>
        <v>46053</v>
      </c>
      <c r="E367">
        <f>ROUND(SUMIFS(CATEGORIAS[[#All],[TOTAL PRODUCCION
ACTUAL]],CATEGORIAS[[#All],[CATEGORIA2]],Imputar[[#This Row],[Categoría]]),0)</f>
        <v>0</v>
      </c>
      <c r="F367">
        <v>0</v>
      </c>
      <c r="G367">
        <f>ROUND(SUMIFS(CATEGORIAS[[#All],[PROYECCION
DE INGRESO
DEL SALDO]],CATEGORIAS[[#All],[CATEGORIA2]],Imputar[[#This Row],[Categoría]]),0)</f>
        <v>0</v>
      </c>
      <c r="H367">
        <f>ROUND(SUMIFS(CATEGORIAS[[#All],[CAMBIO DE
CATEGORIA]],CATEGORIAS[[#All],[CATEGORIA2]],Imputar[[#This Row],[Categoría]]),0)</f>
        <v>0</v>
      </c>
      <c r="I3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7">
        <f>+ROUND(SUMIFS(CATEGORIAS[[#All],[PROYECCION
TOTAL DE COSTO]],CATEGORIAS[[#All],[CATEGORIA2]],Imputar[[#This Row],[Categoría]]),0)
-Imputar[[#This Row],[Inventario]]
-Imputar[[#This Row],[Pedidos no Rec]]</f>
        <v>0</v>
      </c>
      <c r="K3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7">
        <f>_xlfn.IFNA(VLOOKUP(Imputar[[#This Row],[Categoría]],EIMI!C:T,8,0),0)</f>
        <v>0</v>
      </c>
      <c r="M367">
        <f>_xlfn.IFNA(VLOOKUP(Imputar[[#This Row],[Categoría]],EIMI!C:T,9,0),0)</f>
        <v>0</v>
      </c>
      <c r="N367">
        <f>_xlfn.IFNA(VLOOKUP(Imputar[[#This Row],[Categoría]],EIMI!C:T,10,0),0)</f>
        <v>0</v>
      </c>
    </row>
    <row r="368" spans="1:14" hidden="1" x14ac:dyDescent="0.25">
      <c r="A368" s="206" t="str">
        <f>Indice!$I$11</f>
        <v>EIMI00398</v>
      </c>
      <c r="B368" t="s">
        <v>1115</v>
      </c>
      <c r="C368" s="39">
        <f>Indice!$I$12</f>
        <v>46053</v>
      </c>
      <c r="E368">
        <f>ROUND(SUMIFS(CATEGORIAS[[#All],[TOTAL PRODUCCION
ACTUAL]],CATEGORIAS[[#All],[CATEGORIA2]],Imputar[[#This Row],[Categoría]]),0)</f>
        <v>0</v>
      </c>
      <c r="F368">
        <v>0</v>
      </c>
      <c r="G368">
        <f>ROUND(SUMIFS(CATEGORIAS[[#All],[PROYECCION
DE INGRESO
DEL SALDO]],CATEGORIAS[[#All],[CATEGORIA2]],Imputar[[#This Row],[Categoría]]),0)</f>
        <v>0</v>
      </c>
      <c r="H368">
        <f>ROUND(SUMIFS(CATEGORIAS[[#All],[CAMBIO DE
CATEGORIA]],CATEGORIAS[[#All],[CATEGORIA2]],Imputar[[#This Row],[Categoría]]),0)</f>
        <v>0</v>
      </c>
      <c r="I3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8">
        <f>+ROUND(SUMIFS(CATEGORIAS[[#All],[PROYECCION
TOTAL DE COSTO]],CATEGORIAS[[#All],[CATEGORIA2]],Imputar[[#This Row],[Categoría]]),0)
-Imputar[[#This Row],[Inventario]]
-Imputar[[#This Row],[Pedidos no Rec]]</f>
        <v>0</v>
      </c>
      <c r="K3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8">
        <f>_xlfn.IFNA(VLOOKUP(Imputar[[#This Row],[Categoría]],EIMI!C:T,8,0),0)</f>
        <v>0</v>
      </c>
      <c r="M368">
        <f>_xlfn.IFNA(VLOOKUP(Imputar[[#This Row],[Categoría]],EIMI!C:T,9,0),0)</f>
        <v>0</v>
      </c>
      <c r="N368">
        <f>_xlfn.IFNA(VLOOKUP(Imputar[[#This Row],[Categoría]],EIMI!C:T,10,0),0)</f>
        <v>0</v>
      </c>
    </row>
    <row r="369" spans="1:14" hidden="1" x14ac:dyDescent="0.25">
      <c r="A369" s="206" t="str">
        <f>Indice!$I$11</f>
        <v>EIMI00398</v>
      </c>
      <c r="B369" t="s">
        <v>1117</v>
      </c>
      <c r="C369" s="39">
        <f>Indice!$I$12</f>
        <v>46053</v>
      </c>
      <c r="E369">
        <f>ROUND(SUMIFS(CATEGORIAS[[#All],[TOTAL PRODUCCION
ACTUAL]],CATEGORIAS[[#All],[CATEGORIA2]],Imputar[[#This Row],[Categoría]]),0)</f>
        <v>0</v>
      </c>
      <c r="F369">
        <v>0</v>
      </c>
      <c r="G369">
        <f>ROUND(SUMIFS(CATEGORIAS[[#All],[PROYECCION
DE INGRESO
DEL SALDO]],CATEGORIAS[[#All],[CATEGORIA2]],Imputar[[#This Row],[Categoría]]),0)</f>
        <v>0</v>
      </c>
      <c r="H369">
        <f>ROUND(SUMIFS(CATEGORIAS[[#All],[CAMBIO DE
CATEGORIA]],CATEGORIAS[[#All],[CATEGORIA2]],Imputar[[#This Row],[Categoría]]),0)</f>
        <v>0</v>
      </c>
      <c r="I3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69">
        <f>+ROUND(SUMIFS(CATEGORIAS[[#All],[PROYECCION
TOTAL DE COSTO]],CATEGORIAS[[#All],[CATEGORIA2]],Imputar[[#This Row],[Categoría]]),0)
-Imputar[[#This Row],[Inventario]]
-Imputar[[#This Row],[Pedidos no Rec]]</f>
        <v>0</v>
      </c>
      <c r="K3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69">
        <f>_xlfn.IFNA(VLOOKUP(Imputar[[#This Row],[Categoría]],EIMI!C:T,8,0),0)</f>
        <v>0</v>
      </c>
      <c r="M369">
        <f>_xlfn.IFNA(VLOOKUP(Imputar[[#This Row],[Categoría]],EIMI!C:T,9,0),0)</f>
        <v>0</v>
      </c>
      <c r="N369">
        <f>_xlfn.IFNA(VLOOKUP(Imputar[[#This Row],[Categoría]],EIMI!C:T,10,0),0)</f>
        <v>0</v>
      </c>
    </row>
    <row r="370" spans="1:14" x14ac:dyDescent="0.25">
      <c r="A370" s="206" t="str">
        <f>Indice!$I$11</f>
        <v>EIMI00398</v>
      </c>
      <c r="B370" t="s">
        <v>1119</v>
      </c>
      <c r="C370" s="39">
        <f>Indice!$I$12</f>
        <v>46053</v>
      </c>
      <c r="E370">
        <f>ROUND(SUMIFS(CATEGORIAS[[#All],[TOTAL PRODUCCION
ACTUAL]],CATEGORIAS[[#All],[CATEGORIA2]],Imputar[[#This Row],[Categoría]]),0)</f>
        <v>0</v>
      </c>
      <c r="F370">
        <v>0</v>
      </c>
      <c r="G370">
        <f>ROUND(SUMIFS(CATEGORIAS[[#All],[PROYECCION
DE INGRESO
DEL SALDO]],CATEGORIAS[[#All],[CATEGORIA2]],Imputar[[#This Row],[Categoría]]),0)</f>
        <v>0</v>
      </c>
      <c r="H370">
        <f>ROUND(SUMIFS(CATEGORIAS[[#All],[CAMBIO DE
CATEGORIA]],CATEGORIAS[[#All],[CATEGORIA2]],Imputar[[#This Row],[Categoría]]),0)</f>
        <v>0</v>
      </c>
      <c r="I3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-661065</v>
      </c>
      <c r="J370">
        <f>+ROUND(SUMIFS(CATEGORIAS[[#All],[PROYECCION
TOTAL DE COSTO]],CATEGORIAS[[#All],[CATEGORIA2]],Imputar[[#This Row],[Categoría]]),0)
-Imputar[[#This Row],[Inventario]]
-Imputar[[#This Row],[Pedidos no Rec]]</f>
        <v>0</v>
      </c>
      <c r="K370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0">
        <f>_xlfn.IFNA(VLOOKUP(Imputar[[#This Row],[Categoría]],EIMI!C:T,8,0),0)</f>
        <v>661065</v>
      </c>
      <c r="M370">
        <f>_xlfn.IFNA(VLOOKUP(Imputar[[#This Row],[Categoría]],EIMI!C:T,9,0),0)</f>
        <v>0</v>
      </c>
      <c r="N370">
        <f>_xlfn.IFNA(VLOOKUP(Imputar[[#This Row],[Categoría]],EIMI!C:T,10,0),0)</f>
        <v>0</v>
      </c>
    </row>
    <row r="371" spans="1:14" x14ac:dyDescent="0.25">
      <c r="A371" s="206" t="str">
        <f>Indice!$I$11</f>
        <v>EIMI00398</v>
      </c>
      <c r="B371" t="s">
        <v>1121</v>
      </c>
      <c r="C371" s="39">
        <f>Indice!$I$12</f>
        <v>46053</v>
      </c>
      <c r="E371">
        <f>ROUND(SUMIFS(CATEGORIAS[[#All],[TOTAL PRODUCCION
ACTUAL]],CATEGORIAS[[#All],[CATEGORIA2]],Imputar[[#This Row],[Categoría]]),0)</f>
        <v>0</v>
      </c>
      <c r="F371">
        <v>0</v>
      </c>
      <c r="G371">
        <f>ROUND(SUMIFS(CATEGORIAS[[#All],[PROYECCION
DE INGRESO
DEL SALDO]],CATEGORIAS[[#All],[CATEGORIA2]],Imputar[[#This Row],[Categoría]]),0)</f>
        <v>0</v>
      </c>
      <c r="H371">
        <f>ROUND(SUMIFS(CATEGORIAS[[#All],[CAMBIO DE
CATEGORIA]],CATEGORIAS[[#All],[CATEGORIA2]],Imputar[[#This Row],[Categoría]]),0)</f>
        <v>0</v>
      </c>
      <c r="I3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-110324</v>
      </c>
      <c r="J371">
        <f>+ROUND(SUMIFS(CATEGORIAS[[#All],[PROYECCION
TOTAL DE COSTO]],CATEGORIAS[[#All],[CATEGORIA2]],Imputar[[#This Row],[Categoría]]),0)
-Imputar[[#This Row],[Inventario]]
-Imputar[[#This Row],[Pedidos no Rec]]</f>
        <v>0</v>
      </c>
      <c r="K3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1">
        <f>_xlfn.IFNA(VLOOKUP(Imputar[[#This Row],[Categoría]],EIMI!C:T,8,0),0)</f>
        <v>110324</v>
      </c>
      <c r="M371">
        <f>_xlfn.IFNA(VLOOKUP(Imputar[[#This Row],[Categoría]],EIMI!C:T,9,0),0)</f>
        <v>0</v>
      </c>
      <c r="N371">
        <f>_xlfn.IFNA(VLOOKUP(Imputar[[#This Row],[Categoría]],EIMI!C:T,10,0),0)</f>
        <v>0</v>
      </c>
    </row>
    <row r="372" spans="1:14" x14ac:dyDescent="0.25">
      <c r="A372" s="206" t="str">
        <f>Indice!$I$11</f>
        <v>EIMI00398</v>
      </c>
      <c r="B372" t="s">
        <v>1126</v>
      </c>
      <c r="C372" s="39">
        <f>Indice!$I$12</f>
        <v>46053</v>
      </c>
      <c r="E372">
        <f>ROUND(SUMIFS(CATEGORIAS[[#All],[TOTAL PRODUCCION
ACTUAL]],CATEGORIAS[[#All],[CATEGORIA2]],Imputar[[#This Row],[Categoría]]),0)</f>
        <v>0</v>
      </c>
      <c r="F372">
        <v>0</v>
      </c>
      <c r="G372">
        <f>ROUND(SUMIFS(CATEGORIAS[[#All],[PROYECCION
DE INGRESO
DEL SALDO]],CATEGORIAS[[#All],[CATEGORIA2]],Imputar[[#This Row],[Categoría]]),0)</f>
        <v>0</v>
      </c>
      <c r="H372">
        <f>ROUND(SUMIFS(CATEGORIAS[[#All],[CAMBIO DE
CATEGORIA]],CATEGORIAS[[#All],[CATEGORIA2]],Imputar[[#This Row],[Categoría]]),0)</f>
        <v>0</v>
      </c>
      <c r="I3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-16200000</v>
      </c>
      <c r="J372">
        <f>+ROUND(SUMIFS(CATEGORIAS[[#All],[PROYECCION
TOTAL DE COSTO]],CATEGORIAS[[#All],[CATEGORIA2]],Imputar[[#This Row],[Categoría]]),0)
-Imputar[[#This Row],[Inventario]]
-Imputar[[#This Row],[Pedidos no Rec]]</f>
        <v>0</v>
      </c>
      <c r="K37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2">
        <f>_xlfn.IFNA(VLOOKUP(Imputar[[#This Row],[Categoría]],EIMI!C:T,8,0),0)</f>
        <v>16200000</v>
      </c>
      <c r="M372">
        <f>_xlfn.IFNA(VLOOKUP(Imputar[[#This Row],[Categoría]],EIMI!C:T,9,0),0)</f>
        <v>0</v>
      </c>
      <c r="N372">
        <f>_xlfn.IFNA(VLOOKUP(Imputar[[#This Row],[Categoría]],EIMI!C:T,10,0),0)</f>
        <v>0</v>
      </c>
    </row>
    <row r="373" spans="1:14" hidden="1" x14ac:dyDescent="0.25">
      <c r="A373" s="206" t="str">
        <f>Indice!$I$11</f>
        <v>EIMI00398</v>
      </c>
      <c r="B373" t="s">
        <v>1128</v>
      </c>
      <c r="C373" s="39">
        <f>Indice!$I$12</f>
        <v>46053</v>
      </c>
      <c r="E373">
        <f>ROUND(SUMIFS(CATEGORIAS[[#All],[TOTAL PRODUCCION
ACTUAL]],CATEGORIAS[[#All],[CATEGORIA2]],Imputar[[#This Row],[Categoría]]),0)</f>
        <v>0</v>
      </c>
      <c r="F373">
        <v>0</v>
      </c>
      <c r="G373">
        <f>ROUND(SUMIFS(CATEGORIAS[[#All],[PROYECCION
DE INGRESO
DEL SALDO]],CATEGORIAS[[#All],[CATEGORIA2]],Imputar[[#This Row],[Categoría]]),0)</f>
        <v>0</v>
      </c>
      <c r="H373">
        <f>ROUND(SUMIFS(CATEGORIAS[[#All],[CAMBIO DE
CATEGORIA]],CATEGORIAS[[#All],[CATEGORIA2]],Imputar[[#This Row],[Categoría]]),0)</f>
        <v>0</v>
      </c>
      <c r="I3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3">
        <f>+ROUND(SUMIFS(CATEGORIAS[[#All],[PROYECCION
TOTAL DE COSTO]],CATEGORIAS[[#All],[CATEGORIA2]],Imputar[[#This Row],[Categoría]]),0)
-Imputar[[#This Row],[Inventario]]
-Imputar[[#This Row],[Pedidos no Rec]]</f>
        <v>0</v>
      </c>
      <c r="K37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3">
        <f>_xlfn.IFNA(VLOOKUP(Imputar[[#This Row],[Categoría]],EIMI!C:T,8,0),0)</f>
        <v>0</v>
      </c>
      <c r="M373">
        <f>_xlfn.IFNA(VLOOKUP(Imputar[[#This Row],[Categoría]],EIMI!C:T,9,0),0)</f>
        <v>0</v>
      </c>
      <c r="N373">
        <f>_xlfn.IFNA(VLOOKUP(Imputar[[#This Row],[Categoría]],EIMI!C:T,10,0),0)</f>
        <v>0</v>
      </c>
    </row>
    <row r="374" spans="1:14" hidden="1" x14ac:dyDescent="0.25">
      <c r="A374" s="206" t="str">
        <f>Indice!$I$11</f>
        <v>EIMI00398</v>
      </c>
      <c r="B374" t="s">
        <v>1130</v>
      </c>
      <c r="C374" s="39">
        <f>Indice!$I$12</f>
        <v>46053</v>
      </c>
      <c r="E374">
        <f>ROUND(SUMIFS(CATEGORIAS[[#All],[TOTAL PRODUCCION
ACTUAL]],CATEGORIAS[[#All],[CATEGORIA2]],Imputar[[#This Row],[Categoría]]),0)</f>
        <v>0</v>
      </c>
      <c r="F374">
        <v>0</v>
      </c>
      <c r="G374">
        <f>ROUND(SUMIFS(CATEGORIAS[[#All],[PROYECCION
DE INGRESO
DEL SALDO]],CATEGORIAS[[#All],[CATEGORIA2]],Imputar[[#This Row],[Categoría]]),0)</f>
        <v>0</v>
      </c>
      <c r="H374">
        <f>ROUND(SUMIFS(CATEGORIAS[[#All],[CAMBIO DE
CATEGORIA]],CATEGORIAS[[#All],[CATEGORIA2]],Imputar[[#This Row],[Categoría]]),0)</f>
        <v>0</v>
      </c>
      <c r="I3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4">
        <f>+ROUND(SUMIFS(CATEGORIAS[[#All],[PROYECCION
TOTAL DE COSTO]],CATEGORIAS[[#All],[CATEGORIA2]],Imputar[[#This Row],[Categoría]]),0)
-Imputar[[#This Row],[Inventario]]
-Imputar[[#This Row],[Pedidos no Rec]]</f>
        <v>0</v>
      </c>
      <c r="K3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4">
        <f>_xlfn.IFNA(VLOOKUP(Imputar[[#This Row],[Categoría]],EIMI!C:T,8,0),0)</f>
        <v>0</v>
      </c>
      <c r="M374">
        <f>_xlfn.IFNA(VLOOKUP(Imputar[[#This Row],[Categoría]],EIMI!C:T,9,0),0)</f>
        <v>0</v>
      </c>
      <c r="N374">
        <f>_xlfn.IFNA(VLOOKUP(Imputar[[#This Row],[Categoría]],EIMI!C:T,10,0),0)</f>
        <v>0</v>
      </c>
    </row>
    <row r="375" spans="1:14" hidden="1" x14ac:dyDescent="0.25">
      <c r="A375" s="206" t="str">
        <f>Indice!$I$11</f>
        <v>EIMI00398</v>
      </c>
      <c r="B375" t="s">
        <v>1132</v>
      </c>
      <c r="C375" s="39">
        <f>Indice!$I$12</f>
        <v>46053</v>
      </c>
      <c r="E375">
        <f>ROUND(SUMIFS(CATEGORIAS[[#All],[TOTAL PRODUCCION
ACTUAL]],CATEGORIAS[[#All],[CATEGORIA2]],Imputar[[#This Row],[Categoría]]),0)</f>
        <v>0</v>
      </c>
      <c r="F375">
        <v>0</v>
      </c>
      <c r="G375">
        <f>ROUND(SUMIFS(CATEGORIAS[[#All],[PROYECCION
DE INGRESO
DEL SALDO]],CATEGORIAS[[#All],[CATEGORIA2]],Imputar[[#This Row],[Categoría]]),0)</f>
        <v>0</v>
      </c>
      <c r="H375">
        <f>ROUND(SUMIFS(CATEGORIAS[[#All],[CAMBIO DE
CATEGORIA]],CATEGORIAS[[#All],[CATEGORIA2]],Imputar[[#This Row],[Categoría]]),0)</f>
        <v>0</v>
      </c>
      <c r="I3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5">
        <f>+ROUND(SUMIFS(CATEGORIAS[[#All],[PROYECCION
TOTAL DE COSTO]],CATEGORIAS[[#All],[CATEGORIA2]],Imputar[[#This Row],[Categoría]]),0)
-Imputar[[#This Row],[Inventario]]
-Imputar[[#This Row],[Pedidos no Rec]]</f>
        <v>0</v>
      </c>
      <c r="K3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5">
        <f>_xlfn.IFNA(VLOOKUP(Imputar[[#This Row],[Categoría]],EIMI!C:T,8,0),0)</f>
        <v>0</v>
      </c>
      <c r="M375">
        <f>_xlfn.IFNA(VLOOKUP(Imputar[[#This Row],[Categoría]],EIMI!C:T,9,0),0)</f>
        <v>0</v>
      </c>
      <c r="N375">
        <f>_xlfn.IFNA(VLOOKUP(Imputar[[#This Row],[Categoría]],EIMI!C:T,10,0),0)</f>
        <v>0</v>
      </c>
    </row>
    <row r="376" spans="1:14" hidden="1" x14ac:dyDescent="0.25">
      <c r="A376" s="206" t="str">
        <f>Indice!$I$11</f>
        <v>EIMI00398</v>
      </c>
      <c r="B376" t="s">
        <v>1134</v>
      </c>
      <c r="C376" s="39">
        <f>Indice!$I$12</f>
        <v>46053</v>
      </c>
      <c r="E376">
        <f>ROUND(SUMIFS(CATEGORIAS[[#All],[TOTAL PRODUCCION
ACTUAL]],CATEGORIAS[[#All],[CATEGORIA2]],Imputar[[#This Row],[Categoría]]),0)</f>
        <v>0</v>
      </c>
      <c r="F376">
        <v>0</v>
      </c>
      <c r="G376">
        <f>ROUND(SUMIFS(CATEGORIAS[[#All],[PROYECCION
DE INGRESO
DEL SALDO]],CATEGORIAS[[#All],[CATEGORIA2]],Imputar[[#This Row],[Categoría]]),0)</f>
        <v>0</v>
      </c>
      <c r="H376">
        <f>ROUND(SUMIFS(CATEGORIAS[[#All],[CAMBIO DE
CATEGORIA]],CATEGORIAS[[#All],[CATEGORIA2]],Imputar[[#This Row],[Categoría]]),0)</f>
        <v>0</v>
      </c>
      <c r="I3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6">
        <f>+ROUND(SUMIFS(CATEGORIAS[[#All],[PROYECCION
TOTAL DE COSTO]],CATEGORIAS[[#All],[CATEGORIA2]],Imputar[[#This Row],[Categoría]]),0)
-Imputar[[#This Row],[Inventario]]
-Imputar[[#This Row],[Pedidos no Rec]]</f>
        <v>0</v>
      </c>
      <c r="K3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6">
        <f>_xlfn.IFNA(VLOOKUP(Imputar[[#This Row],[Categoría]],EIMI!C:T,8,0),0)</f>
        <v>0</v>
      </c>
      <c r="M376">
        <f>_xlfn.IFNA(VLOOKUP(Imputar[[#This Row],[Categoría]],EIMI!C:T,9,0),0)</f>
        <v>0</v>
      </c>
      <c r="N376">
        <f>_xlfn.IFNA(VLOOKUP(Imputar[[#This Row],[Categoría]],EIMI!C:T,10,0),0)</f>
        <v>0</v>
      </c>
    </row>
    <row r="377" spans="1:14" hidden="1" x14ac:dyDescent="0.25">
      <c r="A377" s="206" t="str">
        <f>Indice!$I$11</f>
        <v>EIMI00398</v>
      </c>
      <c r="B377" t="s">
        <v>1136</v>
      </c>
      <c r="C377" s="39">
        <f>Indice!$I$12</f>
        <v>46053</v>
      </c>
      <c r="E377">
        <f>ROUND(SUMIFS(CATEGORIAS[[#All],[TOTAL PRODUCCION
ACTUAL]],CATEGORIAS[[#All],[CATEGORIA2]],Imputar[[#This Row],[Categoría]]),0)</f>
        <v>0</v>
      </c>
      <c r="F377">
        <v>0</v>
      </c>
      <c r="G377">
        <f>ROUND(SUMIFS(CATEGORIAS[[#All],[PROYECCION
DE INGRESO
DEL SALDO]],CATEGORIAS[[#All],[CATEGORIA2]],Imputar[[#This Row],[Categoría]]),0)</f>
        <v>0</v>
      </c>
      <c r="H377">
        <f>ROUND(SUMIFS(CATEGORIAS[[#All],[CAMBIO DE
CATEGORIA]],CATEGORIAS[[#All],[CATEGORIA2]],Imputar[[#This Row],[Categoría]]),0)</f>
        <v>0</v>
      </c>
      <c r="I3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7">
        <f>+ROUND(SUMIFS(CATEGORIAS[[#All],[PROYECCION
TOTAL DE COSTO]],CATEGORIAS[[#All],[CATEGORIA2]],Imputar[[#This Row],[Categoría]]),0)
-Imputar[[#This Row],[Inventario]]
-Imputar[[#This Row],[Pedidos no Rec]]</f>
        <v>0</v>
      </c>
      <c r="K37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7">
        <f>_xlfn.IFNA(VLOOKUP(Imputar[[#This Row],[Categoría]],EIMI!C:T,8,0),0)</f>
        <v>0</v>
      </c>
      <c r="M377">
        <f>_xlfn.IFNA(VLOOKUP(Imputar[[#This Row],[Categoría]],EIMI!C:T,9,0),0)</f>
        <v>0</v>
      </c>
      <c r="N377">
        <f>_xlfn.IFNA(VLOOKUP(Imputar[[#This Row],[Categoría]],EIMI!C:T,10,0),0)</f>
        <v>0</v>
      </c>
    </row>
    <row r="378" spans="1:14" x14ac:dyDescent="0.25">
      <c r="A378" s="206" t="str">
        <f>Indice!$I$11</f>
        <v>EIMI00398</v>
      </c>
      <c r="B378" t="s">
        <v>1138</v>
      </c>
      <c r="C378" s="39">
        <f>Indice!$I$12</f>
        <v>46053</v>
      </c>
      <c r="E378">
        <f>ROUND(SUMIFS(CATEGORIAS[[#All],[TOTAL PRODUCCION
ACTUAL]],CATEGORIAS[[#All],[CATEGORIA2]],Imputar[[#This Row],[Categoría]]),0)</f>
        <v>0</v>
      </c>
      <c r="F378">
        <v>0</v>
      </c>
      <c r="G378">
        <f>ROUND(SUMIFS(CATEGORIAS[[#All],[PROYECCION
DE INGRESO
DEL SALDO]],CATEGORIAS[[#All],[CATEGORIA2]],Imputar[[#This Row],[Categoría]]),0)</f>
        <v>0</v>
      </c>
      <c r="H378">
        <f>ROUND(SUMIFS(CATEGORIAS[[#All],[CAMBIO DE
CATEGORIA]],CATEGORIAS[[#All],[CATEGORIA2]],Imputar[[#This Row],[Categoría]]),0)</f>
        <v>0</v>
      </c>
      <c r="I3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-373332</v>
      </c>
      <c r="J378">
        <f>+ROUND(SUMIFS(CATEGORIAS[[#All],[PROYECCION
TOTAL DE COSTO]],CATEGORIAS[[#All],[CATEGORIA2]],Imputar[[#This Row],[Categoría]]),0)
-Imputar[[#This Row],[Inventario]]
-Imputar[[#This Row],[Pedidos no Rec]]</f>
        <v>-60750</v>
      </c>
      <c r="K37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78">
        <f>_xlfn.IFNA(VLOOKUP(Imputar[[#This Row],[Categoría]],EIMI!C:T,8,0),0)</f>
        <v>373332</v>
      </c>
      <c r="M378">
        <f>_xlfn.IFNA(VLOOKUP(Imputar[[#This Row],[Categoría]],EIMI!C:T,9,0),0)</f>
        <v>60750</v>
      </c>
      <c r="N378">
        <f>_xlfn.IFNA(VLOOKUP(Imputar[[#This Row],[Categoría]],EIMI!C:T,10,0),0)</f>
        <v>0</v>
      </c>
    </row>
    <row r="379" spans="1:14" hidden="1" x14ac:dyDescent="0.25">
      <c r="A379" s="206" t="str">
        <f>Indice!$I$11</f>
        <v>EIMI00398</v>
      </c>
      <c r="B379" t="s">
        <v>1140</v>
      </c>
      <c r="C379" s="39">
        <f>Indice!$I$12</f>
        <v>46053</v>
      </c>
      <c r="E379">
        <f>ROUND(SUMIFS(CATEGORIAS[[#All],[TOTAL PRODUCCION
ACTUAL]],CATEGORIAS[[#All],[CATEGORIA2]],Imputar[[#This Row],[Categoría]]),0)</f>
        <v>0</v>
      </c>
      <c r="F379">
        <v>0</v>
      </c>
      <c r="G379">
        <f>ROUND(SUMIFS(CATEGORIAS[[#All],[PROYECCION
DE INGRESO
DEL SALDO]],CATEGORIAS[[#All],[CATEGORIA2]],Imputar[[#This Row],[Categoría]]),0)</f>
        <v>0</v>
      </c>
      <c r="H379">
        <f>ROUND(SUMIFS(CATEGORIAS[[#All],[CAMBIO DE
CATEGORIA]],CATEGORIAS[[#All],[CATEGORIA2]],Imputar[[#This Row],[Categoría]]),0)</f>
        <v>0</v>
      </c>
      <c r="I3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79">
        <f>+ROUND(SUMIFS(CATEGORIAS[[#All],[PROYECCION
TOTAL DE COSTO]],CATEGORIAS[[#All],[CATEGORIA2]],Imputar[[#This Row],[Categoría]]),0)
-Imputar[[#This Row],[Inventario]]
-Imputar[[#This Row],[Pedidos no Rec]]</f>
        <v>0</v>
      </c>
      <c r="K3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79">
        <f>_xlfn.IFNA(VLOOKUP(Imputar[[#This Row],[Categoría]],EIMI!C:T,8,0),0)</f>
        <v>0</v>
      </c>
      <c r="M379">
        <f>_xlfn.IFNA(VLOOKUP(Imputar[[#This Row],[Categoría]],EIMI!C:T,9,0),0)</f>
        <v>0</v>
      </c>
      <c r="N379">
        <f>_xlfn.IFNA(VLOOKUP(Imputar[[#This Row],[Categoría]],EIMI!C:T,10,0),0)</f>
        <v>0</v>
      </c>
    </row>
    <row r="380" spans="1:14" hidden="1" x14ac:dyDescent="0.25">
      <c r="A380" s="206" t="str">
        <f>Indice!$I$11</f>
        <v>EIMI00398</v>
      </c>
      <c r="B380" t="s">
        <v>1142</v>
      </c>
      <c r="C380" s="39">
        <f>Indice!$I$12</f>
        <v>46053</v>
      </c>
      <c r="E380">
        <f>ROUND(SUMIFS(CATEGORIAS[[#All],[TOTAL PRODUCCION
ACTUAL]],CATEGORIAS[[#All],[CATEGORIA2]],Imputar[[#This Row],[Categoría]]),0)</f>
        <v>0</v>
      </c>
      <c r="F380">
        <v>0</v>
      </c>
      <c r="G380">
        <f>ROUND(SUMIFS(CATEGORIAS[[#All],[PROYECCION
DE INGRESO
DEL SALDO]],CATEGORIAS[[#All],[CATEGORIA2]],Imputar[[#This Row],[Categoría]]),0)</f>
        <v>0</v>
      </c>
      <c r="H380">
        <f>ROUND(SUMIFS(CATEGORIAS[[#All],[CAMBIO DE
CATEGORIA]],CATEGORIAS[[#All],[CATEGORIA2]],Imputar[[#This Row],[Categoría]]),0)</f>
        <v>0</v>
      </c>
      <c r="I3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0">
        <f>+ROUND(SUMIFS(CATEGORIAS[[#All],[PROYECCION
TOTAL DE COSTO]],CATEGORIAS[[#All],[CATEGORIA2]],Imputar[[#This Row],[Categoría]]),0)
-Imputar[[#This Row],[Inventario]]
-Imputar[[#This Row],[Pedidos no Rec]]</f>
        <v>0</v>
      </c>
      <c r="K3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0">
        <f>_xlfn.IFNA(VLOOKUP(Imputar[[#This Row],[Categoría]],EIMI!C:T,8,0),0)</f>
        <v>0</v>
      </c>
      <c r="M380">
        <f>_xlfn.IFNA(VLOOKUP(Imputar[[#This Row],[Categoría]],EIMI!C:T,9,0),0)</f>
        <v>0</v>
      </c>
      <c r="N380">
        <f>_xlfn.IFNA(VLOOKUP(Imputar[[#This Row],[Categoría]],EIMI!C:T,10,0),0)</f>
        <v>0</v>
      </c>
    </row>
    <row r="381" spans="1:14" hidden="1" x14ac:dyDescent="0.25">
      <c r="A381" s="206" t="str">
        <f>Indice!$I$11</f>
        <v>EIMI00398</v>
      </c>
      <c r="B381" t="s">
        <v>1144</v>
      </c>
      <c r="C381" s="39">
        <f>Indice!$I$12</f>
        <v>46053</v>
      </c>
      <c r="E381">
        <f>ROUND(SUMIFS(CATEGORIAS[[#All],[TOTAL PRODUCCION
ACTUAL]],CATEGORIAS[[#All],[CATEGORIA2]],Imputar[[#This Row],[Categoría]]),0)</f>
        <v>0</v>
      </c>
      <c r="F381">
        <v>0</v>
      </c>
      <c r="G381">
        <f>ROUND(SUMIFS(CATEGORIAS[[#All],[PROYECCION
DE INGRESO
DEL SALDO]],CATEGORIAS[[#All],[CATEGORIA2]],Imputar[[#This Row],[Categoría]]),0)</f>
        <v>0</v>
      </c>
      <c r="H381">
        <f>ROUND(SUMIFS(CATEGORIAS[[#All],[CAMBIO DE
CATEGORIA]],CATEGORIAS[[#All],[CATEGORIA2]],Imputar[[#This Row],[Categoría]]),0)</f>
        <v>0</v>
      </c>
      <c r="I3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1">
        <f>+ROUND(SUMIFS(CATEGORIAS[[#All],[PROYECCION
TOTAL DE COSTO]],CATEGORIAS[[#All],[CATEGORIA2]],Imputar[[#This Row],[Categoría]]),0)
-Imputar[[#This Row],[Inventario]]
-Imputar[[#This Row],[Pedidos no Rec]]</f>
        <v>0</v>
      </c>
      <c r="K38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1">
        <f>_xlfn.IFNA(VLOOKUP(Imputar[[#This Row],[Categoría]],EIMI!C:T,8,0),0)</f>
        <v>0</v>
      </c>
      <c r="M381">
        <f>_xlfn.IFNA(VLOOKUP(Imputar[[#This Row],[Categoría]],EIMI!C:T,9,0),0)</f>
        <v>0</v>
      </c>
      <c r="N381">
        <f>_xlfn.IFNA(VLOOKUP(Imputar[[#This Row],[Categoría]],EIMI!C:T,10,0),0)</f>
        <v>0</v>
      </c>
    </row>
    <row r="382" spans="1:14" hidden="1" x14ac:dyDescent="0.25">
      <c r="A382" s="206" t="str">
        <f>Indice!$I$11</f>
        <v>EIMI00398</v>
      </c>
      <c r="B382" t="s">
        <v>1146</v>
      </c>
      <c r="C382" s="39">
        <f>Indice!$I$12</f>
        <v>46053</v>
      </c>
      <c r="E382">
        <f>ROUND(SUMIFS(CATEGORIAS[[#All],[TOTAL PRODUCCION
ACTUAL]],CATEGORIAS[[#All],[CATEGORIA2]],Imputar[[#This Row],[Categoría]]),0)</f>
        <v>0</v>
      </c>
      <c r="F382">
        <v>0</v>
      </c>
      <c r="G382">
        <f>ROUND(SUMIFS(CATEGORIAS[[#All],[PROYECCION
DE INGRESO
DEL SALDO]],CATEGORIAS[[#All],[CATEGORIA2]],Imputar[[#This Row],[Categoría]]),0)</f>
        <v>0</v>
      </c>
      <c r="H382">
        <f>ROUND(SUMIFS(CATEGORIAS[[#All],[CAMBIO DE
CATEGORIA]],CATEGORIAS[[#All],[CATEGORIA2]],Imputar[[#This Row],[Categoría]]),0)</f>
        <v>0</v>
      </c>
      <c r="I3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2">
        <f>+ROUND(SUMIFS(CATEGORIAS[[#All],[PROYECCION
TOTAL DE COSTO]],CATEGORIAS[[#All],[CATEGORIA2]],Imputar[[#This Row],[Categoría]]),0)
-Imputar[[#This Row],[Inventario]]
-Imputar[[#This Row],[Pedidos no Rec]]</f>
        <v>0</v>
      </c>
      <c r="K3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2">
        <f>_xlfn.IFNA(VLOOKUP(Imputar[[#This Row],[Categoría]],EIMI!C:T,8,0),0)</f>
        <v>0</v>
      </c>
      <c r="M382">
        <f>_xlfn.IFNA(VLOOKUP(Imputar[[#This Row],[Categoría]],EIMI!C:T,9,0),0)</f>
        <v>0</v>
      </c>
      <c r="N382">
        <f>_xlfn.IFNA(VLOOKUP(Imputar[[#This Row],[Categoría]],EIMI!C:T,10,0),0)</f>
        <v>0</v>
      </c>
    </row>
    <row r="383" spans="1:14" x14ac:dyDescent="0.25">
      <c r="A383" s="206" t="str">
        <f>Indice!$I$11</f>
        <v>EIMI00398</v>
      </c>
      <c r="B383" t="s">
        <v>1148</v>
      </c>
      <c r="C383" s="39">
        <f>Indice!$I$12</f>
        <v>46053</v>
      </c>
      <c r="E383">
        <f>ROUND(SUMIFS(CATEGORIAS[[#All],[TOTAL PRODUCCION
ACTUAL]],CATEGORIAS[[#All],[CATEGORIA2]],Imputar[[#This Row],[Categoría]]),0)</f>
        <v>0</v>
      </c>
      <c r="F383">
        <v>0</v>
      </c>
      <c r="G383">
        <f>ROUND(SUMIFS(CATEGORIAS[[#All],[PROYECCION
DE INGRESO
DEL SALDO]],CATEGORIAS[[#All],[CATEGORIA2]],Imputar[[#This Row],[Categoría]]),0)</f>
        <v>0</v>
      </c>
      <c r="H383">
        <f>ROUND(SUMIFS(CATEGORIAS[[#All],[CAMBIO DE
CATEGORIA]],CATEGORIAS[[#All],[CATEGORIA2]],Imputar[[#This Row],[Categoría]]),0)</f>
        <v>0</v>
      </c>
      <c r="I3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-1565391</v>
      </c>
      <c r="J383">
        <f>+ROUND(SUMIFS(CATEGORIAS[[#All],[PROYECCION
TOTAL DE COSTO]],CATEGORIAS[[#All],[CATEGORIA2]],Imputar[[#This Row],[Categoría]]),0)
-Imputar[[#This Row],[Inventario]]
-Imputar[[#This Row],[Pedidos no Rec]]</f>
        <v>0</v>
      </c>
      <c r="K38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3">
        <f>_xlfn.IFNA(VLOOKUP(Imputar[[#This Row],[Categoría]],EIMI!C:T,8,0),0)</f>
        <v>1565391</v>
      </c>
      <c r="M383">
        <f>_xlfn.IFNA(VLOOKUP(Imputar[[#This Row],[Categoría]],EIMI!C:T,9,0),0)</f>
        <v>0</v>
      </c>
      <c r="N383">
        <f>_xlfn.IFNA(VLOOKUP(Imputar[[#This Row],[Categoría]],EIMI!C:T,10,0),0)</f>
        <v>0</v>
      </c>
    </row>
    <row r="384" spans="1:14" x14ac:dyDescent="0.25">
      <c r="A384" s="206" t="str">
        <f>Indice!$I$11</f>
        <v>EIMI00398</v>
      </c>
      <c r="B384" t="s">
        <v>1150</v>
      </c>
      <c r="C384" s="39">
        <f>Indice!$I$12</f>
        <v>46053</v>
      </c>
      <c r="E384">
        <f>ROUND(SUMIFS(CATEGORIAS[[#All],[TOTAL PRODUCCION
ACTUAL]],CATEGORIAS[[#All],[CATEGORIA2]],Imputar[[#This Row],[Categoría]]),0)</f>
        <v>0</v>
      </c>
      <c r="F384">
        <v>0</v>
      </c>
      <c r="G384">
        <f>ROUND(SUMIFS(CATEGORIAS[[#All],[PROYECCION
DE INGRESO
DEL SALDO]],CATEGORIAS[[#All],[CATEGORIA2]],Imputar[[#This Row],[Categoría]]),0)</f>
        <v>0</v>
      </c>
      <c r="H384">
        <f>ROUND(SUMIFS(CATEGORIAS[[#All],[CAMBIO DE
CATEGORIA]],CATEGORIAS[[#All],[CATEGORIA2]],Imputar[[#This Row],[Categoría]]),0)</f>
        <v>0</v>
      </c>
      <c r="I3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-7053446</v>
      </c>
      <c r="J384">
        <f>+ROUND(SUMIFS(CATEGORIAS[[#All],[PROYECCION
TOTAL DE COSTO]],CATEGORIAS[[#All],[CATEGORIA2]],Imputar[[#This Row],[Categoría]]),0)
-Imputar[[#This Row],[Inventario]]
-Imputar[[#This Row],[Pedidos no Rec]]</f>
        <v>0</v>
      </c>
      <c r="K38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384">
        <f>_xlfn.IFNA(VLOOKUP(Imputar[[#This Row],[Categoría]],EIMI!C:T,8,0),0)</f>
        <v>7053446</v>
      </c>
      <c r="M384">
        <f>_xlfn.IFNA(VLOOKUP(Imputar[[#This Row],[Categoría]],EIMI!C:T,9,0),0)</f>
        <v>0</v>
      </c>
      <c r="N384">
        <f>_xlfn.IFNA(VLOOKUP(Imputar[[#This Row],[Categoría]],EIMI!C:T,10,0),0)</f>
        <v>0</v>
      </c>
    </row>
    <row r="385" spans="1:14" hidden="1" x14ac:dyDescent="0.25">
      <c r="A385" s="206" t="str">
        <f>Indice!$I$11</f>
        <v>EIMI00398</v>
      </c>
      <c r="B385" t="s">
        <v>1152</v>
      </c>
      <c r="C385" s="39">
        <f>Indice!$I$12</f>
        <v>46053</v>
      </c>
      <c r="E385">
        <f>ROUND(SUMIFS(CATEGORIAS[[#All],[TOTAL PRODUCCION
ACTUAL]],CATEGORIAS[[#All],[CATEGORIA2]],Imputar[[#This Row],[Categoría]]),0)</f>
        <v>0</v>
      </c>
      <c r="F385">
        <v>0</v>
      </c>
      <c r="G385">
        <f>ROUND(SUMIFS(CATEGORIAS[[#All],[PROYECCION
DE INGRESO
DEL SALDO]],CATEGORIAS[[#All],[CATEGORIA2]],Imputar[[#This Row],[Categoría]]),0)</f>
        <v>0</v>
      </c>
      <c r="H385">
        <f>ROUND(SUMIFS(CATEGORIAS[[#All],[CAMBIO DE
CATEGORIA]],CATEGORIAS[[#All],[CATEGORIA2]],Imputar[[#This Row],[Categoría]]),0)</f>
        <v>0</v>
      </c>
      <c r="I3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5">
        <f>+ROUND(SUMIFS(CATEGORIAS[[#All],[PROYECCION
TOTAL DE COSTO]],CATEGORIAS[[#All],[CATEGORIA2]],Imputar[[#This Row],[Categoría]]),0)
-Imputar[[#This Row],[Inventario]]
-Imputar[[#This Row],[Pedidos no Rec]]</f>
        <v>0</v>
      </c>
      <c r="K3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5">
        <f>_xlfn.IFNA(VLOOKUP(Imputar[[#This Row],[Categoría]],EIMI!C:T,8,0),0)</f>
        <v>0</v>
      </c>
      <c r="M385">
        <f>_xlfn.IFNA(VLOOKUP(Imputar[[#This Row],[Categoría]],EIMI!C:T,9,0),0)</f>
        <v>0</v>
      </c>
      <c r="N385">
        <f>_xlfn.IFNA(VLOOKUP(Imputar[[#This Row],[Categoría]],EIMI!C:T,10,0),0)</f>
        <v>0</v>
      </c>
    </row>
    <row r="386" spans="1:14" hidden="1" x14ac:dyDescent="0.25">
      <c r="A386" s="206" t="str">
        <f>Indice!$I$11</f>
        <v>EIMI00398</v>
      </c>
      <c r="B386" t="s">
        <v>1154</v>
      </c>
      <c r="C386" s="39">
        <f>Indice!$I$12</f>
        <v>46053</v>
      </c>
      <c r="E386">
        <f>ROUND(SUMIFS(CATEGORIAS[[#All],[TOTAL PRODUCCION
ACTUAL]],CATEGORIAS[[#All],[CATEGORIA2]],Imputar[[#This Row],[Categoría]]),0)</f>
        <v>0</v>
      </c>
      <c r="F386">
        <v>0</v>
      </c>
      <c r="G386">
        <f>ROUND(SUMIFS(CATEGORIAS[[#All],[PROYECCION
DE INGRESO
DEL SALDO]],CATEGORIAS[[#All],[CATEGORIA2]],Imputar[[#This Row],[Categoría]]),0)</f>
        <v>0</v>
      </c>
      <c r="H386">
        <f>ROUND(SUMIFS(CATEGORIAS[[#All],[CAMBIO DE
CATEGORIA]],CATEGORIAS[[#All],[CATEGORIA2]],Imputar[[#This Row],[Categoría]]),0)</f>
        <v>0</v>
      </c>
      <c r="I3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6">
        <f>+ROUND(SUMIFS(CATEGORIAS[[#All],[PROYECCION
TOTAL DE COSTO]],CATEGORIAS[[#All],[CATEGORIA2]],Imputar[[#This Row],[Categoría]]),0)
-Imputar[[#This Row],[Inventario]]
-Imputar[[#This Row],[Pedidos no Rec]]</f>
        <v>0</v>
      </c>
      <c r="K3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6">
        <f>_xlfn.IFNA(VLOOKUP(Imputar[[#This Row],[Categoría]],EIMI!C:T,8,0),0)</f>
        <v>0</v>
      </c>
      <c r="M386">
        <f>_xlfn.IFNA(VLOOKUP(Imputar[[#This Row],[Categoría]],EIMI!C:T,9,0),0)</f>
        <v>0</v>
      </c>
      <c r="N386">
        <f>_xlfn.IFNA(VLOOKUP(Imputar[[#This Row],[Categoría]],EIMI!C:T,10,0),0)</f>
        <v>0</v>
      </c>
    </row>
    <row r="387" spans="1:14" hidden="1" x14ac:dyDescent="0.25">
      <c r="A387" s="206" t="str">
        <f>Indice!$I$11</f>
        <v>EIMI00398</v>
      </c>
      <c r="B387" t="s">
        <v>1158</v>
      </c>
      <c r="C387" s="39">
        <f>Indice!$I$12</f>
        <v>46053</v>
      </c>
      <c r="E387">
        <f>ROUND(SUMIFS(CATEGORIAS[[#All],[TOTAL PRODUCCION
ACTUAL]],CATEGORIAS[[#All],[CATEGORIA2]],Imputar[[#This Row],[Categoría]]),0)</f>
        <v>0</v>
      </c>
      <c r="F387">
        <v>0</v>
      </c>
      <c r="G387">
        <f>ROUND(SUMIFS(CATEGORIAS[[#All],[PROYECCION
DE INGRESO
DEL SALDO]],CATEGORIAS[[#All],[CATEGORIA2]],Imputar[[#This Row],[Categoría]]),0)</f>
        <v>0</v>
      </c>
      <c r="H387">
        <f>ROUND(SUMIFS(CATEGORIAS[[#All],[CAMBIO DE
CATEGORIA]],CATEGORIAS[[#All],[CATEGORIA2]],Imputar[[#This Row],[Categoría]]),0)</f>
        <v>0</v>
      </c>
      <c r="I3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7">
        <f>+ROUND(SUMIFS(CATEGORIAS[[#All],[PROYECCION
TOTAL DE COSTO]],CATEGORIAS[[#All],[CATEGORIA2]],Imputar[[#This Row],[Categoría]]),0)
-Imputar[[#This Row],[Inventario]]
-Imputar[[#This Row],[Pedidos no Rec]]</f>
        <v>0</v>
      </c>
      <c r="K3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7">
        <f>_xlfn.IFNA(VLOOKUP(Imputar[[#This Row],[Categoría]],EIMI!C:T,8,0),0)</f>
        <v>0</v>
      </c>
      <c r="M387">
        <f>_xlfn.IFNA(VLOOKUP(Imputar[[#This Row],[Categoría]],EIMI!C:T,9,0),0)</f>
        <v>0</v>
      </c>
      <c r="N387">
        <f>_xlfn.IFNA(VLOOKUP(Imputar[[#This Row],[Categoría]],EIMI!C:T,10,0),0)</f>
        <v>0</v>
      </c>
    </row>
    <row r="388" spans="1:14" hidden="1" x14ac:dyDescent="0.25">
      <c r="A388" s="206" t="str">
        <f>Indice!$I$11</f>
        <v>EIMI00398</v>
      </c>
      <c r="B388" t="s">
        <v>1160</v>
      </c>
      <c r="C388" s="39">
        <f>Indice!$I$12</f>
        <v>46053</v>
      </c>
      <c r="E388">
        <f>ROUND(SUMIFS(CATEGORIAS[[#All],[TOTAL PRODUCCION
ACTUAL]],CATEGORIAS[[#All],[CATEGORIA2]],Imputar[[#This Row],[Categoría]]),0)</f>
        <v>0</v>
      </c>
      <c r="F388">
        <v>0</v>
      </c>
      <c r="G388">
        <f>ROUND(SUMIFS(CATEGORIAS[[#All],[PROYECCION
DE INGRESO
DEL SALDO]],CATEGORIAS[[#All],[CATEGORIA2]],Imputar[[#This Row],[Categoría]]),0)</f>
        <v>0</v>
      </c>
      <c r="H388">
        <f>ROUND(SUMIFS(CATEGORIAS[[#All],[CAMBIO DE
CATEGORIA]],CATEGORIAS[[#All],[CATEGORIA2]],Imputar[[#This Row],[Categoría]]),0)</f>
        <v>0</v>
      </c>
      <c r="I3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8">
        <f>+ROUND(SUMIFS(CATEGORIAS[[#All],[PROYECCION
TOTAL DE COSTO]],CATEGORIAS[[#All],[CATEGORIA2]],Imputar[[#This Row],[Categoría]]),0)
-Imputar[[#This Row],[Inventario]]
-Imputar[[#This Row],[Pedidos no Rec]]</f>
        <v>0</v>
      </c>
      <c r="K3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8">
        <f>_xlfn.IFNA(VLOOKUP(Imputar[[#This Row],[Categoría]],EIMI!C:T,8,0),0)</f>
        <v>0</v>
      </c>
      <c r="M388">
        <f>_xlfn.IFNA(VLOOKUP(Imputar[[#This Row],[Categoría]],EIMI!C:T,9,0),0)</f>
        <v>0</v>
      </c>
      <c r="N388">
        <f>_xlfn.IFNA(VLOOKUP(Imputar[[#This Row],[Categoría]],EIMI!C:T,10,0),0)</f>
        <v>0</v>
      </c>
    </row>
    <row r="389" spans="1:14" hidden="1" x14ac:dyDescent="0.25">
      <c r="A389" s="206" t="str">
        <f>Indice!$I$11</f>
        <v>EIMI00398</v>
      </c>
      <c r="B389" t="s">
        <v>1162</v>
      </c>
      <c r="C389" s="39">
        <f>Indice!$I$12</f>
        <v>46053</v>
      </c>
      <c r="E389">
        <f>ROUND(SUMIFS(CATEGORIAS[[#All],[TOTAL PRODUCCION
ACTUAL]],CATEGORIAS[[#All],[CATEGORIA2]],Imputar[[#This Row],[Categoría]]),0)</f>
        <v>0</v>
      </c>
      <c r="F389">
        <v>0</v>
      </c>
      <c r="G389">
        <f>ROUND(SUMIFS(CATEGORIAS[[#All],[PROYECCION
DE INGRESO
DEL SALDO]],CATEGORIAS[[#All],[CATEGORIA2]],Imputar[[#This Row],[Categoría]]),0)</f>
        <v>0</v>
      </c>
      <c r="H389">
        <f>ROUND(SUMIFS(CATEGORIAS[[#All],[CAMBIO DE
CATEGORIA]],CATEGORIAS[[#All],[CATEGORIA2]],Imputar[[#This Row],[Categoría]]),0)</f>
        <v>0</v>
      </c>
      <c r="I3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89">
        <f>+ROUND(SUMIFS(CATEGORIAS[[#All],[PROYECCION
TOTAL DE COSTO]],CATEGORIAS[[#All],[CATEGORIA2]],Imputar[[#This Row],[Categoría]]),0)
-Imputar[[#This Row],[Inventario]]
-Imputar[[#This Row],[Pedidos no Rec]]</f>
        <v>0</v>
      </c>
      <c r="K3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89">
        <f>_xlfn.IFNA(VLOOKUP(Imputar[[#This Row],[Categoría]],EIMI!C:T,8,0),0)</f>
        <v>0</v>
      </c>
      <c r="M389">
        <f>_xlfn.IFNA(VLOOKUP(Imputar[[#This Row],[Categoría]],EIMI!C:T,9,0),0)</f>
        <v>0</v>
      </c>
      <c r="N389">
        <f>_xlfn.IFNA(VLOOKUP(Imputar[[#This Row],[Categoría]],EIMI!C:T,10,0),0)</f>
        <v>0</v>
      </c>
    </row>
    <row r="390" spans="1:14" hidden="1" x14ac:dyDescent="0.25">
      <c r="A390" s="206" t="str">
        <f>Indice!$I$11</f>
        <v>EIMI00398</v>
      </c>
      <c r="B390" t="s">
        <v>1164</v>
      </c>
      <c r="C390" s="39">
        <f>Indice!$I$12</f>
        <v>46053</v>
      </c>
      <c r="E390">
        <f>ROUND(SUMIFS(CATEGORIAS[[#All],[TOTAL PRODUCCION
ACTUAL]],CATEGORIAS[[#All],[CATEGORIA2]],Imputar[[#This Row],[Categoría]]),0)</f>
        <v>0</v>
      </c>
      <c r="F390">
        <v>0</v>
      </c>
      <c r="G390">
        <f>ROUND(SUMIFS(CATEGORIAS[[#All],[PROYECCION
DE INGRESO
DEL SALDO]],CATEGORIAS[[#All],[CATEGORIA2]],Imputar[[#This Row],[Categoría]]),0)</f>
        <v>0</v>
      </c>
      <c r="H390">
        <f>ROUND(SUMIFS(CATEGORIAS[[#All],[CAMBIO DE
CATEGORIA]],CATEGORIAS[[#All],[CATEGORIA2]],Imputar[[#This Row],[Categoría]]),0)</f>
        <v>0</v>
      </c>
      <c r="I3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0">
        <f>+ROUND(SUMIFS(CATEGORIAS[[#All],[PROYECCION
TOTAL DE COSTO]],CATEGORIAS[[#All],[CATEGORIA2]],Imputar[[#This Row],[Categoría]]),0)
-Imputar[[#This Row],[Inventario]]
-Imputar[[#This Row],[Pedidos no Rec]]</f>
        <v>0</v>
      </c>
      <c r="K3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0">
        <f>_xlfn.IFNA(VLOOKUP(Imputar[[#This Row],[Categoría]],EIMI!C:T,8,0),0)</f>
        <v>0</v>
      </c>
      <c r="M390">
        <f>_xlfn.IFNA(VLOOKUP(Imputar[[#This Row],[Categoría]],EIMI!C:T,9,0),0)</f>
        <v>0</v>
      </c>
      <c r="N390">
        <f>_xlfn.IFNA(VLOOKUP(Imputar[[#This Row],[Categoría]],EIMI!C:T,10,0),0)</f>
        <v>0</v>
      </c>
    </row>
    <row r="391" spans="1:14" hidden="1" x14ac:dyDescent="0.25">
      <c r="A391" s="206" t="str">
        <f>Indice!$I$11</f>
        <v>EIMI00398</v>
      </c>
      <c r="B391" t="s">
        <v>1166</v>
      </c>
      <c r="C391" s="39">
        <f>Indice!$I$12</f>
        <v>46053</v>
      </c>
      <c r="E391">
        <f>ROUND(SUMIFS(CATEGORIAS[[#All],[TOTAL PRODUCCION
ACTUAL]],CATEGORIAS[[#All],[CATEGORIA2]],Imputar[[#This Row],[Categoría]]),0)</f>
        <v>0</v>
      </c>
      <c r="F391">
        <v>0</v>
      </c>
      <c r="G391">
        <f>ROUND(SUMIFS(CATEGORIAS[[#All],[PROYECCION
DE INGRESO
DEL SALDO]],CATEGORIAS[[#All],[CATEGORIA2]],Imputar[[#This Row],[Categoría]]),0)</f>
        <v>0</v>
      </c>
      <c r="H391">
        <f>ROUND(SUMIFS(CATEGORIAS[[#All],[CAMBIO DE
CATEGORIA]],CATEGORIAS[[#All],[CATEGORIA2]],Imputar[[#This Row],[Categoría]]),0)</f>
        <v>0</v>
      </c>
      <c r="I3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1">
        <f>+ROUND(SUMIFS(CATEGORIAS[[#All],[PROYECCION
TOTAL DE COSTO]],CATEGORIAS[[#All],[CATEGORIA2]],Imputar[[#This Row],[Categoría]]),0)
-Imputar[[#This Row],[Inventario]]
-Imputar[[#This Row],[Pedidos no Rec]]</f>
        <v>0</v>
      </c>
      <c r="K3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1">
        <f>_xlfn.IFNA(VLOOKUP(Imputar[[#This Row],[Categoría]],EIMI!C:T,8,0),0)</f>
        <v>0</v>
      </c>
      <c r="M391">
        <f>_xlfn.IFNA(VLOOKUP(Imputar[[#This Row],[Categoría]],EIMI!C:T,9,0),0)</f>
        <v>0</v>
      </c>
      <c r="N391">
        <f>_xlfn.IFNA(VLOOKUP(Imputar[[#This Row],[Categoría]],EIMI!C:T,10,0),0)</f>
        <v>0</v>
      </c>
    </row>
    <row r="392" spans="1:14" hidden="1" x14ac:dyDescent="0.25">
      <c r="A392" s="206" t="str">
        <f>Indice!$I$11</f>
        <v>EIMI00398</v>
      </c>
      <c r="B392" t="s">
        <v>1168</v>
      </c>
      <c r="C392" s="39">
        <f>Indice!$I$12</f>
        <v>46053</v>
      </c>
      <c r="E392">
        <f>ROUND(SUMIFS(CATEGORIAS[[#All],[TOTAL PRODUCCION
ACTUAL]],CATEGORIAS[[#All],[CATEGORIA2]],Imputar[[#This Row],[Categoría]]),0)</f>
        <v>0</v>
      </c>
      <c r="F392">
        <v>0</v>
      </c>
      <c r="G392">
        <f>ROUND(SUMIFS(CATEGORIAS[[#All],[PROYECCION
DE INGRESO
DEL SALDO]],CATEGORIAS[[#All],[CATEGORIA2]],Imputar[[#This Row],[Categoría]]),0)</f>
        <v>0</v>
      </c>
      <c r="H392">
        <f>ROUND(SUMIFS(CATEGORIAS[[#All],[CAMBIO DE
CATEGORIA]],CATEGORIAS[[#All],[CATEGORIA2]],Imputar[[#This Row],[Categoría]]),0)</f>
        <v>0</v>
      </c>
      <c r="I3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2">
        <f>+ROUND(SUMIFS(CATEGORIAS[[#All],[PROYECCION
TOTAL DE COSTO]],CATEGORIAS[[#All],[CATEGORIA2]],Imputar[[#This Row],[Categoría]]),0)
-Imputar[[#This Row],[Inventario]]
-Imputar[[#This Row],[Pedidos no Rec]]</f>
        <v>0</v>
      </c>
      <c r="K3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2">
        <f>_xlfn.IFNA(VLOOKUP(Imputar[[#This Row],[Categoría]],EIMI!C:T,8,0),0)</f>
        <v>0</v>
      </c>
      <c r="M392">
        <f>_xlfn.IFNA(VLOOKUP(Imputar[[#This Row],[Categoría]],EIMI!C:T,9,0),0)</f>
        <v>0</v>
      </c>
      <c r="N392">
        <f>_xlfn.IFNA(VLOOKUP(Imputar[[#This Row],[Categoría]],EIMI!C:T,10,0),0)</f>
        <v>0</v>
      </c>
    </row>
    <row r="393" spans="1:14" hidden="1" x14ac:dyDescent="0.25">
      <c r="A393" s="206" t="str">
        <f>Indice!$I$11</f>
        <v>EIMI00398</v>
      </c>
      <c r="B393" t="s">
        <v>1170</v>
      </c>
      <c r="C393" s="39">
        <f>Indice!$I$12</f>
        <v>46053</v>
      </c>
      <c r="E393">
        <f>ROUND(SUMIFS(CATEGORIAS[[#All],[TOTAL PRODUCCION
ACTUAL]],CATEGORIAS[[#All],[CATEGORIA2]],Imputar[[#This Row],[Categoría]]),0)</f>
        <v>0</v>
      </c>
      <c r="F393">
        <v>0</v>
      </c>
      <c r="G393">
        <f>ROUND(SUMIFS(CATEGORIAS[[#All],[PROYECCION
DE INGRESO
DEL SALDO]],CATEGORIAS[[#All],[CATEGORIA2]],Imputar[[#This Row],[Categoría]]),0)</f>
        <v>0</v>
      </c>
      <c r="H393">
        <f>ROUND(SUMIFS(CATEGORIAS[[#All],[CAMBIO DE
CATEGORIA]],CATEGORIAS[[#All],[CATEGORIA2]],Imputar[[#This Row],[Categoría]]),0)</f>
        <v>0</v>
      </c>
      <c r="I3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3">
        <f>+ROUND(SUMIFS(CATEGORIAS[[#All],[PROYECCION
TOTAL DE COSTO]],CATEGORIAS[[#All],[CATEGORIA2]],Imputar[[#This Row],[Categoría]]),0)
-Imputar[[#This Row],[Inventario]]
-Imputar[[#This Row],[Pedidos no Rec]]</f>
        <v>0</v>
      </c>
      <c r="K39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3">
        <f>_xlfn.IFNA(VLOOKUP(Imputar[[#This Row],[Categoría]],EIMI!C:T,8,0),0)</f>
        <v>0</v>
      </c>
      <c r="M393">
        <f>_xlfn.IFNA(VLOOKUP(Imputar[[#This Row],[Categoría]],EIMI!C:T,9,0),0)</f>
        <v>0</v>
      </c>
      <c r="N393">
        <f>_xlfn.IFNA(VLOOKUP(Imputar[[#This Row],[Categoría]],EIMI!C:T,10,0),0)</f>
        <v>0</v>
      </c>
    </row>
    <row r="394" spans="1:14" hidden="1" x14ac:dyDescent="0.25">
      <c r="A394" s="206" t="str">
        <f>Indice!$I$11</f>
        <v>EIMI00398</v>
      </c>
      <c r="B394" t="s">
        <v>1172</v>
      </c>
      <c r="C394" s="39">
        <f>Indice!$I$12</f>
        <v>46053</v>
      </c>
      <c r="E394">
        <f>ROUND(SUMIFS(CATEGORIAS[[#All],[TOTAL PRODUCCION
ACTUAL]],CATEGORIAS[[#All],[CATEGORIA2]],Imputar[[#This Row],[Categoría]]),0)</f>
        <v>0</v>
      </c>
      <c r="F394">
        <v>0</v>
      </c>
      <c r="G394">
        <f>ROUND(SUMIFS(CATEGORIAS[[#All],[PROYECCION
DE INGRESO
DEL SALDO]],CATEGORIAS[[#All],[CATEGORIA2]],Imputar[[#This Row],[Categoría]]),0)</f>
        <v>0</v>
      </c>
      <c r="H394">
        <f>ROUND(SUMIFS(CATEGORIAS[[#All],[CAMBIO DE
CATEGORIA]],CATEGORIAS[[#All],[CATEGORIA2]],Imputar[[#This Row],[Categoría]]),0)</f>
        <v>0</v>
      </c>
      <c r="I3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4">
        <f>+ROUND(SUMIFS(CATEGORIAS[[#All],[PROYECCION
TOTAL DE COSTO]],CATEGORIAS[[#All],[CATEGORIA2]],Imputar[[#This Row],[Categoría]]),0)
-Imputar[[#This Row],[Inventario]]
-Imputar[[#This Row],[Pedidos no Rec]]</f>
        <v>0</v>
      </c>
      <c r="K39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4">
        <f>_xlfn.IFNA(VLOOKUP(Imputar[[#This Row],[Categoría]],EIMI!C:T,8,0),0)</f>
        <v>0</v>
      </c>
      <c r="M394">
        <f>_xlfn.IFNA(VLOOKUP(Imputar[[#This Row],[Categoría]],EIMI!C:T,9,0),0)</f>
        <v>0</v>
      </c>
      <c r="N394">
        <f>_xlfn.IFNA(VLOOKUP(Imputar[[#This Row],[Categoría]],EIMI!C:T,10,0),0)</f>
        <v>0</v>
      </c>
    </row>
    <row r="395" spans="1:14" hidden="1" x14ac:dyDescent="0.25">
      <c r="A395" s="206" t="str">
        <f>Indice!$I$11</f>
        <v>EIMI00398</v>
      </c>
      <c r="B395" t="s">
        <v>1174</v>
      </c>
      <c r="C395" s="39">
        <f>Indice!$I$12</f>
        <v>46053</v>
      </c>
      <c r="E395">
        <f>ROUND(SUMIFS(CATEGORIAS[[#All],[TOTAL PRODUCCION
ACTUAL]],CATEGORIAS[[#All],[CATEGORIA2]],Imputar[[#This Row],[Categoría]]),0)</f>
        <v>0</v>
      </c>
      <c r="F395">
        <v>0</v>
      </c>
      <c r="G395">
        <f>ROUND(SUMIFS(CATEGORIAS[[#All],[PROYECCION
DE INGRESO
DEL SALDO]],CATEGORIAS[[#All],[CATEGORIA2]],Imputar[[#This Row],[Categoría]]),0)</f>
        <v>0</v>
      </c>
      <c r="H395">
        <f>ROUND(SUMIFS(CATEGORIAS[[#All],[CAMBIO DE
CATEGORIA]],CATEGORIAS[[#All],[CATEGORIA2]],Imputar[[#This Row],[Categoría]]),0)</f>
        <v>0</v>
      </c>
      <c r="I3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5">
        <f>+ROUND(SUMIFS(CATEGORIAS[[#All],[PROYECCION
TOTAL DE COSTO]],CATEGORIAS[[#All],[CATEGORIA2]],Imputar[[#This Row],[Categoría]]),0)
-Imputar[[#This Row],[Inventario]]
-Imputar[[#This Row],[Pedidos no Rec]]</f>
        <v>0</v>
      </c>
      <c r="K3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5">
        <f>_xlfn.IFNA(VLOOKUP(Imputar[[#This Row],[Categoría]],EIMI!C:T,8,0),0)</f>
        <v>0</v>
      </c>
      <c r="M395">
        <f>_xlfn.IFNA(VLOOKUP(Imputar[[#This Row],[Categoría]],EIMI!C:T,9,0),0)</f>
        <v>0</v>
      </c>
      <c r="N395">
        <f>_xlfn.IFNA(VLOOKUP(Imputar[[#This Row],[Categoría]],EIMI!C:T,10,0),0)</f>
        <v>0</v>
      </c>
    </row>
    <row r="396" spans="1:14" hidden="1" x14ac:dyDescent="0.25">
      <c r="A396" s="206" t="str">
        <f>Indice!$I$11</f>
        <v>EIMI00398</v>
      </c>
      <c r="B396" t="s">
        <v>1176</v>
      </c>
      <c r="C396" s="39">
        <f>Indice!$I$12</f>
        <v>46053</v>
      </c>
      <c r="E396">
        <f>ROUND(SUMIFS(CATEGORIAS[[#All],[TOTAL PRODUCCION
ACTUAL]],CATEGORIAS[[#All],[CATEGORIA2]],Imputar[[#This Row],[Categoría]]),0)</f>
        <v>0</v>
      </c>
      <c r="F396">
        <v>0</v>
      </c>
      <c r="G396">
        <f>ROUND(SUMIFS(CATEGORIAS[[#All],[PROYECCION
DE INGRESO
DEL SALDO]],CATEGORIAS[[#All],[CATEGORIA2]],Imputar[[#This Row],[Categoría]]),0)</f>
        <v>0</v>
      </c>
      <c r="H396">
        <f>ROUND(SUMIFS(CATEGORIAS[[#All],[CAMBIO DE
CATEGORIA]],CATEGORIAS[[#All],[CATEGORIA2]],Imputar[[#This Row],[Categoría]]),0)</f>
        <v>0</v>
      </c>
      <c r="I3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6">
        <f>+ROUND(SUMIFS(CATEGORIAS[[#All],[PROYECCION
TOTAL DE COSTO]],CATEGORIAS[[#All],[CATEGORIA2]],Imputar[[#This Row],[Categoría]]),0)
-Imputar[[#This Row],[Inventario]]
-Imputar[[#This Row],[Pedidos no Rec]]</f>
        <v>0</v>
      </c>
      <c r="K3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6">
        <f>_xlfn.IFNA(VLOOKUP(Imputar[[#This Row],[Categoría]],EIMI!C:T,8,0),0)</f>
        <v>0</v>
      </c>
      <c r="M396">
        <f>_xlfn.IFNA(VLOOKUP(Imputar[[#This Row],[Categoría]],EIMI!C:T,9,0),0)</f>
        <v>0</v>
      </c>
      <c r="N396">
        <f>_xlfn.IFNA(VLOOKUP(Imputar[[#This Row],[Categoría]],EIMI!C:T,10,0),0)</f>
        <v>0</v>
      </c>
    </row>
    <row r="397" spans="1:14" hidden="1" x14ac:dyDescent="0.25">
      <c r="A397" s="206" t="str">
        <f>Indice!$I$11</f>
        <v>EIMI00398</v>
      </c>
      <c r="B397" t="s">
        <v>1181</v>
      </c>
      <c r="C397" s="39">
        <f>Indice!$I$12</f>
        <v>46053</v>
      </c>
      <c r="E397">
        <f>ROUND(SUMIFS(CATEGORIAS[[#All],[TOTAL PRODUCCION
ACTUAL]],CATEGORIAS[[#All],[CATEGORIA2]],Imputar[[#This Row],[Categoría]]),0)</f>
        <v>0</v>
      </c>
      <c r="F397">
        <v>0</v>
      </c>
      <c r="G397">
        <f>ROUND(SUMIFS(CATEGORIAS[[#All],[PROYECCION
DE INGRESO
DEL SALDO]],CATEGORIAS[[#All],[CATEGORIA2]],Imputar[[#This Row],[Categoría]]),0)</f>
        <v>0</v>
      </c>
      <c r="H397">
        <f>ROUND(SUMIFS(CATEGORIAS[[#All],[CAMBIO DE
CATEGORIA]],CATEGORIAS[[#All],[CATEGORIA2]],Imputar[[#This Row],[Categoría]]),0)</f>
        <v>0</v>
      </c>
      <c r="I3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7">
        <f>+ROUND(SUMIFS(CATEGORIAS[[#All],[PROYECCION
TOTAL DE COSTO]],CATEGORIAS[[#All],[CATEGORIA2]],Imputar[[#This Row],[Categoría]]),0)
-Imputar[[#This Row],[Inventario]]
-Imputar[[#This Row],[Pedidos no Rec]]</f>
        <v>0</v>
      </c>
      <c r="K3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7">
        <f>_xlfn.IFNA(VLOOKUP(Imputar[[#This Row],[Categoría]],EIMI!C:T,8,0),0)</f>
        <v>0</v>
      </c>
      <c r="M397">
        <f>_xlfn.IFNA(VLOOKUP(Imputar[[#This Row],[Categoría]],EIMI!C:T,9,0),0)</f>
        <v>0</v>
      </c>
      <c r="N397">
        <f>_xlfn.IFNA(VLOOKUP(Imputar[[#This Row],[Categoría]],EIMI!C:T,10,0),0)</f>
        <v>0</v>
      </c>
    </row>
    <row r="398" spans="1:14" hidden="1" x14ac:dyDescent="0.25">
      <c r="A398" s="206" t="str">
        <f>Indice!$I$11</f>
        <v>EIMI00398</v>
      </c>
      <c r="B398" t="s">
        <v>1183</v>
      </c>
      <c r="C398" s="39">
        <f>Indice!$I$12</f>
        <v>46053</v>
      </c>
      <c r="E398">
        <f>ROUND(SUMIFS(CATEGORIAS[[#All],[TOTAL PRODUCCION
ACTUAL]],CATEGORIAS[[#All],[CATEGORIA2]],Imputar[[#This Row],[Categoría]]),0)</f>
        <v>0</v>
      </c>
      <c r="F398">
        <v>0</v>
      </c>
      <c r="G398">
        <f>ROUND(SUMIFS(CATEGORIAS[[#All],[PROYECCION
DE INGRESO
DEL SALDO]],CATEGORIAS[[#All],[CATEGORIA2]],Imputar[[#This Row],[Categoría]]),0)</f>
        <v>0</v>
      </c>
      <c r="H398">
        <f>ROUND(SUMIFS(CATEGORIAS[[#All],[CAMBIO DE
CATEGORIA]],CATEGORIAS[[#All],[CATEGORIA2]],Imputar[[#This Row],[Categoría]]),0)</f>
        <v>0</v>
      </c>
      <c r="I3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8">
        <f>+ROUND(SUMIFS(CATEGORIAS[[#All],[PROYECCION
TOTAL DE COSTO]],CATEGORIAS[[#All],[CATEGORIA2]],Imputar[[#This Row],[Categoría]]),0)
-Imputar[[#This Row],[Inventario]]
-Imputar[[#This Row],[Pedidos no Rec]]</f>
        <v>0</v>
      </c>
      <c r="K3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8">
        <f>_xlfn.IFNA(VLOOKUP(Imputar[[#This Row],[Categoría]],EIMI!C:T,8,0),0)</f>
        <v>0</v>
      </c>
      <c r="M398">
        <f>_xlfn.IFNA(VLOOKUP(Imputar[[#This Row],[Categoría]],EIMI!C:T,9,0),0)</f>
        <v>0</v>
      </c>
      <c r="N398">
        <f>_xlfn.IFNA(VLOOKUP(Imputar[[#This Row],[Categoría]],EIMI!C:T,10,0),0)</f>
        <v>0</v>
      </c>
    </row>
    <row r="399" spans="1:14" hidden="1" x14ac:dyDescent="0.25">
      <c r="A399" s="206" t="str">
        <f>Indice!$I$11</f>
        <v>EIMI00398</v>
      </c>
      <c r="B399" t="s">
        <v>1185</v>
      </c>
      <c r="C399" s="39">
        <f>Indice!$I$12</f>
        <v>46053</v>
      </c>
      <c r="E399">
        <f>ROUND(SUMIFS(CATEGORIAS[[#All],[TOTAL PRODUCCION
ACTUAL]],CATEGORIAS[[#All],[CATEGORIA2]],Imputar[[#This Row],[Categoría]]),0)</f>
        <v>0</v>
      </c>
      <c r="F399">
        <v>0</v>
      </c>
      <c r="G399">
        <f>ROUND(SUMIFS(CATEGORIAS[[#All],[PROYECCION
DE INGRESO
DEL SALDO]],CATEGORIAS[[#All],[CATEGORIA2]],Imputar[[#This Row],[Categoría]]),0)</f>
        <v>0</v>
      </c>
      <c r="H399">
        <f>ROUND(SUMIFS(CATEGORIAS[[#All],[CAMBIO DE
CATEGORIA]],CATEGORIAS[[#All],[CATEGORIA2]],Imputar[[#This Row],[Categoría]]),0)</f>
        <v>0</v>
      </c>
      <c r="I3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399">
        <f>+ROUND(SUMIFS(CATEGORIAS[[#All],[PROYECCION
TOTAL DE COSTO]],CATEGORIAS[[#All],[CATEGORIA2]],Imputar[[#This Row],[Categoría]]),0)
-Imputar[[#This Row],[Inventario]]
-Imputar[[#This Row],[Pedidos no Rec]]</f>
        <v>0</v>
      </c>
      <c r="K3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399">
        <f>_xlfn.IFNA(VLOOKUP(Imputar[[#This Row],[Categoría]],EIMI!C:T,8,0),0)</f>
        <v>0</v>
      </c>
      <c r="M399">
        <f>_xlfn.IFNA(VLOOKUP(Imputar[[#This Row],[Categoría]],EIMI!C:T,9,0),0)</f>
        <v>0</v>
      </c>
      <c r="N399">
        <f>_xlfn.IFNA(VLOOKUP(Imputar[[#This Row],[Categoría]],EIMI!C:T,10,0),0)</f>
        <v>0</v>
      </c>
    </row>
    <row r="400" spans="1:14" hidden="1" x14ac:dyDescent="0.25">
      <c r="A400" s="206" t="str">
        <f>Indice!$I$11</f>
        <v>EIMI00398</v>
      </c>
      <c r="B400" t="s">
        <v>1187</v>
      </c>
      <c r="C400" s="39">
        <f>Indice!$I$12</f>
        <v>46053</v>
      </c>
      <c r="E400">
        <f>ROUND(SUMIFS(CATEGORIAS[[#All],[TOTAL PRODUCCION
ACTUAL]],CATEGORIAS[[#All],[CATEGORIA2]],Imputar[[#This Row],[Categoría]]),0)</f>
        <v>0</v>
      </c>
      <c r="F400">
        <v>0</v>
      </c>
      <c r="G400">
        <f>ROUND(SUMIFS(CATEGORIAS[[#All],[PROYECCION
DE INGRESO
DEL SALDO]],CATEGORIAS[[#All],[CATEGORIA2]],Imputar[[#This Row],[Categoría]]),0)</f>
        <v>0</v>
      </c>
      <c r="H400">
        <f>ROUND(SUMIFS(CATEGORIAS[[#All],[CAMBIO DE
CATEGORIA]],CATEGORIAS[[#All],[CATEGORIA2]],Imputar[[#This Row],[Categoría]]),0)</f>
        <v>0</v>
      </c>
      <c r="I4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0">
        <f>+ROUND(SUMIFS(CATEGORIAS[[#All],[PROYECCION
TOTAL DE COSTO]],CATEGORIAS[[#All],[CATEGORIA2]],Imputar[[#This Row],[Categoría]]),0)
-Imputar[[#This Row],[Inventario]]
-Imputar[[#This Row],[Pedidos no Rec]]</f>
        <v>0</v>
      </c>
      <c r="K4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0">
        <f>_xlfn.IFNA(VLOOKUP(Imputar[[#This Row],[Categoría]],EIMI!C:T,8,0),0)</f>
        <v>0</v>
      </c>
      <c r="M400">
        <f>_xlfn.IFNA(VLOOKUP(Imputar[[#This Row],[Categoría]],EIMI!C:T,9,0),0)</f>
        <v>0</v>
      </c>
      <c r="N400">
        <f>_xlfn.IFNA(VLOOKUP(Imputar[[#This Row],[Categoría]],EIMI!C:T,10,0),0)</f>
        <v>0</v>
      </c>
    </row>
    <row r="401" spans="1:14" hidden="1" x14ac:dyDescent="0.25">
      <c r="A401" s="206" t="str">
        <f>Indice!$I$11</f>
        <v>EIMI00398</v>
      </c>
      <c r="B401" t="s">
        <v>1192</v>
      </c>
      <c r="C401" s="39">
        <f>Indice!$I$12</f>
        <v>46053</v>
      </c>
      <c r="E401">
        <f>ROUND(SUMIFS(CATEGORIAS[[#All],[TOTAL PRODUCCION
ACTUAL]],CATEGORIAS[[#All],[CATEGORIA2]],Imputar[[#This Row],[Categoría]]),0)</f>
        <v>0</v>
      </c>
      <c r="F401">
        <v>0</v>
      </c>
      <c r="G401">
        <f>ROUND(SUMIFS(CATEGORIAS[[#All],[PROYECCION
DE INGRESO
DEL SALDO]],CATEGORIAS[[#All],[CATEGORIA2]],Imputar[[#This Row],[Categoría]]),0)</f>
        <v>0</v>
      </c>
      <c r="H401">
        <f>ROUND(SUMIFS(CATEGORIAS[[#All],[CAMBIO DE
CATEGORIA]],CATEGORIAS[[#All],[CATEGORIA2]],Imputar[[#This Row],[Categoría]]),0)</f>
        <v>0</v>
      </c>
      <c r="I4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1">
        <f>+ROUND(SUMIFS(CATEGORIAS[[#All],[PROYECCION
TOTAL DE COSTO]],CATEGORIAS[[#All],[CATEGORIA2]],Imputar[[#This Row],[Categoría]]),0)
-Imputar[[#This Row],[Inventario]]
-Imputar[[#This Row],[Pedidos no Rec]]</f>
        <v>0</v>
      </c>
      <c r="K4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1">
        <f>_xlfn.IFNA(VLOOKUP(Imputar[[#This Row],[Categoría]],EIMI!C:T,8,0),0)</f>
        <v>0</v>
      </c>
      <c r="M401">
        <f>_xlfn.IFNA(VLOOKUP(Imputar[[#This Row],[Categoría]],EIMI!C:T,9,0),0)</f>
        <v>0</v>
      </c>
      <c r="N401">
        <f>_xlfn.IFNA(VLOOKUP(Imputar[[#This Row],[Categoría]],EIMI!C:T,10,0),0)</f>
        <v>0</v>
      </c>
    </row>
    <row r="402" spans="1:14" hidden="1" x14ac:dyDescent="0.25">
      <c r="A402" s="206" t="str">
        <f>Indice!$I$11</f>
        <v>EIMI00398</v>
      </c>
      <c r="B402" t="s">
        <v>1194</v>
      </c>
      <c r="C402" s="39">
        <f>Indice!$I$12</f>
        <v>46053</v>
      </c>
      <c r="E402">
        <f>ROUND(SUMIFS(CATEGORIAS[[#All],[TOTAL PRODUCCION
ACTUAL]],CATEGORIAS[[#All],[CATEGORIA2]],Imputar[[#This Row],[Categoría]]),0)</f>
        <v>0</v>
      </c>
      <c r="F402">
        <v>0</v>
      </c>
      <c r="G402">
        <f>ROUND(SUMIFS(CATEGORIAS[[#All],[PROYECCION
DE INGRESO
DEL SALDO]],CATEGORIAS[[#All],[CATEGORIA2]],Imputar[[#This Row],[Categoría]]),0)</f>
        <v>0</v>
      </c>
      <c r="H402">
        <f>ROUND(SUMIFS(CATEGORIAS[[#All],[CAMBIO DE
CATEGORIA]],CATEGORIAS[[#All],[CATEGORIA2]],Imputar[[#This Row],[Categoría]]),0)</f>
        <v>0</v>
      </c>
      <c r="I4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2">
        <f>+ROUND(SUMIFS(CATEGORIAS[[#All],[PROYECCION
TOTAL DE COSTO]],CATEGORIAS[[#All],[CATEGORIA2]],Imputar[[#This Row],[Categoría]]),0)
-Imputar[[#This Row],[Inventario]]
-Imputar[[#This Row],[Pedidos no Rec]]</f>
        <v>0</v>
      </c>
      <c r="K4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2">
        <f>_xlfn.IFNA(VLOOKUP(Imputar[[#This Row],[Categoría]],EIMI!C:T,8,0),0)</f>
        <v>0</v>
      </c>
      <c r="M402">
        <f>_xlfn.IFNA(VLOOKUP(Imputar[[#This Row],[Categoría]],EIMI!C:T,9,0),0)</f>
        <v>0</v>
      </c>
      <c r="N402">
        <f>_xlfn.IFNA(VLOOKUP(Imputar[[#This Row],[Categoría]],EIMI!C:T,10,0),0)</f>
        <v>0</v>
      </c>
    </row>
    <row r="403" spans="1:14" x14ac:dyDescent="0.25">
      <c r="A403" s="206" t="str">
        <f>Indice!$I$11</f>
        <v>EIMI00398</v>
      </c>
      <c r="B403" t="s">
        <v>1197</v>
      </c>
      <c r="C403" s="39">
        <f>Indice!$I$12</f>
        <v>46053</v>
      </c>
      <c r="E403">
        <f>ROUND(SUMIFS(CATEGORIAS[[#All],[TOTAL PRODUCCION
ACTUAL]],CATEGORIAS[[#All],[CATEGORIA2]],Imputar[[#This Row],[Categoría]]),0)</f>
        <v>0</v>
      </c>
      <c r="F403">
        <v>0</v>
      </c>
      <c r="G403">
        <f>ROUND(SUMIFS(CATEGORIAS[[#All],[PROYECCION
DE INGRESO
DEL SALDO]],CATEGORIAS[[#All],[CATEGORIA2]],Imputar[[#This Row],[Categoría]]),0)</f>
        <v>0</v>
      </c>
      <c r="H403">
        <f>ROUND(SUMIFS(CATEGORIAS[[#All],[CAMBIO DE
CATEGORIA]],CATEGORIAS[[#All],[CATEGORIA2]],Imputar[[#This Row],[Categoría]]),0)</f>
        <v>0</v>
      </c>
      <c r="I4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-15700682</v>
      </c>
      <c r="J403">
        <f>+ROUND(SUMIFS(CATEGORIAS[[#All],[PROYECCION
TOTAL DE COSTO]],CATEGORIAS[[#All],[CATEGORIA2]],Imputar[[#This Row],[Categoría]]),0)
-Imputar[[#This Row],[Inventario]]
-Imputar[[#This Row],[Pedidos no Rec]]</f>
        <v>-187791664</v>
      </c>
      <c r="K40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3">
        <f>_xlfn.IFNA(VLOOKUP(Imputar[[#This Row],[Categoría]],EIMI!C:T,8,0),0)</f>
        <v>15700682</v>
      </c>
      <c r="M403">
        <f>_xlfn.IFNA(VLOOKUP(Imputar[[#This Row],[Categoría]],EIMI!C:T,9,0),0)</f>
        <v>176733744</v>
      </c>
      <c r="N403">
        <f>_xlfn.IFNA(VLOOKUP(Imputar[[#This Row],[Categoría]],EIMI!C:T,10,0),0)</f>
        <v>11057920</v>
      </c>
    </row>
    <row r="404" spans="1:14" hidden="1" x14ac:dyDescent="0.25">
      <c r="A404" s="206" t="str">
        <f>Indice!$I$11</f>
        <v>EIMI00398</v>
      </c>
      <c r="B404" t="s">
        <v>1199</v>
      </c>
      <c r="C404" s="39">
        <f>Indice!$I$12</f>
        <v>46053</v>
      </c>
      <c r="E404">
        <f>ROUND(SUMIFS(CATEGORIAS[[#All],[TOTAL PRODUCCION
ACTUAL]],CATEGORIAS[[#All],[CATEGORIA2]],Imputar[[#This Row],[Categoría]]),0)</f>
        <v>0</v>
      </c>
      <c r="F404">
        <v>0</v>
      </c>
      <c r="G404">
        <f>ROUND(SUMIFS(CATEGORIAS[[#All],[PROYECCION
DE INGRESO
DEL SALDO]],CATEGORIAS[[#All],[CATEGORIA2]],Imputar[[#This Row],[Categoría]]),0)</f>
        <v>0</v>
      </c>
      <c r="H404">
        <f>ROUND(SUMIFS(CATEGORIAS[[#All],[CAMBIO DE
CATEGORIA]],CATEGORIAS[[#All],[CATEGORIA2]],Imputar[[#This Row],[Categoría]]),0)</f>
        <v>0</v>
      </c>
      <c r="I4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4">
        <f>+ROUND(SUMIFS(CATEGORIAS[[#All],[PROYECCION
TOTAL DE COSTO]],CATEGORIAS[[#All],[CATEGORIA2]],Imputar[[#This Row],[Categoría]]),0)
-Imputar[[#This Row],[Inventario]]
-Imputar[[#This Row],[Pedidos no Rec]]</f>
        <v>0</v>
      </c>
      <c r="K4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4">
        <f>_xlfn.IFNA(VLOOKUP(Imputar[[#This Row],[Categoría]],EIMI!C:T,8,0),0)</f>
        <v>0</v>
      </c>
      <c r="M404">
        <f>_xlfn.IFNA(VLOOKUP(Imputar[[#This Row],[Categoría]],EIMI!C:T,9,0),0)</f>
        <v>0</v>
      </c>
      <c r="N404">
        <f>_xlfn.IFNA(VLOOKUP(Imputar[[#This Row],[Categoría]],EIMI!C:T,10,0),0)</f>
        <v>0</v>
      </c>
    </row>
    <row r="405" spans="1:14" x14ac:dyDescent="0.25">
      <c r="A405" s="206" t="str">
        <f>Indice!$I$11</f>
        <v>EIMI00398</v>
      </c>
      <c r="B405" t="s">
        <v>1204</v>
      </c>
      <c r="C405" s="39">
        <f>Indice!$I$12</f>
        <v>46053</v>
      </c>
      <c r="E405">
        <f>ROUND(SUMIFS(CATEGORIAS[[#All],[TOTAL PRODUCCION
ACTUAL]],CATEGORIAS[[#All],[CATEGORIA2]],Imputar[[#This Row],[Categoría]]),0)</f>
        <v>0</v>
      </c>
      <c r="F405">
        <v>0</v>
      </c>
      <c r="G405">
        <f>ROUND(SUMIFS(CATEGORIAS[[#All],[PROYECCION
DE INGRESO
DEL SALDO]],CATEGORIAS[[#All],[CATEGORIA2]],Imputar[[#This Row],[Categoría]]),0)</f>
        <v>0</v>
      </c>
      <c r="H405">
        <f>ROUND(SUMIFS(CATEGORIAS[[#All],[CAMBIO DE
CATEGORIA]],CATEGORIAS[[#All],[CATEGORIA2]],Imputar[[#This Row],[Categoría]]),0)</f>
        <v>0</v>
      </c>
      <c r="I4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-165500</v>
      </c>
      <c r="J405">
        <f>+ROUND(SUMIFS(CATEGORIAS[[#All],[PROYECCION
TOTAL DE COSTO]],CATEGORIAS[[#All],[CATEGORIA2]],Imputar[[#This Row],[Categoría]]),0)
-Imputar[[#This Row],[Inventario]]
-Imputar[[#This Row],[Pedidos no Rec]]</f>
        <v>-20214945</v>
      </c>
      <c r="K40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5">
        <f>_xlfn.IFNA(VLOOKUP(Imputar[[#This Row],[Categoría]],EIMI!C:T,8,0),0)</f>
        <v>165500</v>
      </c>
      <c r="M405">
        <f>_xlfn.IFNA(VLOOKUP(Imputar[[#This Row],[Categoría]],EIMI!C:T,9,0),0)</f>
        <v>10395865</v>
      </c>
      <c r="N405">
        <f>_xlfn.IFNA(VLOOKUP(Imputar[[#This Row],[Categoría]],EIMI!C:T,10,0),0)</f>
        <v>9819080</v>
      </c>
    </row>
    <row r="406" spans="1:14" hidden="1" x14ac:dyDescent="0.25">
      <c r="A406" s="206" t="str">
        <f>Indice!$I$11</f>
        <v>EIMI00398</v>
      </c>
      <c r="B406" t="s">
        <v>1206</v>
      </c>
      <c r="C406" s="39">
        <f>Indice!$I$12</f>
        <v>46053</v>
      </c>
      <c r="E406">
        <f>ROUND(SUMIFS(CATEGORIAS[[#All],[TOTAL PRODUCCION
ACTUAL]],CATEGORIAS[[#All],[CATEGORIA2]],Imputar[[#This Row],[Categoría]]),0)</f>
        <v>0</v>
      </c>
      <c r="F406">
        <v>0</v>
      </c>
      <c r="G406">
        <f>ROUND(SUMIFS(CATEGORIAS[[#All],[PROYECCION
DE INGRESO
DEL SALDO]],CATEGORIAS[[#All],[CATEGORIA2]],Imputar[[#This Row],[Categoría]]),0)</f>
        <v>0</v>
      </c>
      <c r="H406">
        <f>ROUND(SUMIFS(CATEGORIAS[[#All],[CAMBIO DE
CATEGORIA]],CATEGORIAS[[#All],[CATEGORIA2]],Imputar[[#This Row],[Categoría]]),0)</f>
        <v>0</v>
      </c>
      <c r="I4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6">
        <f>+ROUND(SUMIFS(CATEGORIAS[[#All],[PROYECCION
TOTAL DE COSTO]],CATEGORIAS[[#All],[CATEGORIA2]],Imputar[[#This Row],[Categoría]]),0)
-Imputar[[#This Row],[Inventario]]
-Imputar[[#This Row],[Pedidos no Rec]]</f>
        <v>0</v>
      </c>
      <c r="K40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6">
        <f>_xlfn.IFNA(VLOOKUP(Imputar[[#This Row],[Categoría]],EIMI!C:T,8,0),0)</f>
        <v>0</v>
      </c>
      <c r="M406">
        <f>_xlfn.IFNA(VLOOKUP(Imputar[[#This Row],[Categoría]],EIMI!C:T,9,0),0)</f>
        <v>0</v>
      </c>
      <c r="N406">
        <f>_xlfn.IFNA(VLOOKUP(Imputar[[#This Row],[Categoría]],EIMI!C:T,10,0),0)</f>
        <v>0</v>
      </c>
    </row>
    <row r="407" spans="1:14" x14ac:dyDescent="0.25">
      <c r="A407" s="206" t="str">
        <f>Indice!$I$11</f>
        <v>EIMI00398</v>
      </c>
      <c r="B407" t="s">
        <v>1211</v>
      </c>
      <c r="C407" s="39">
        <f>Indice!$I$12</f>
        <v>46053</v>
      </c>
      <c r="E407">
        <f>ROUND(SUMIFS(CATEGORIAS[[#All],[TOTAL PRODUCCION
ACTUAL]],CATEGORIAS[[#All],[CATEGORIA2]],Imputar[[#This Row],[Categoría]]),0)</f>
        <v>0</v>
      </c>
      <c r="F407">
        <v>0</v>
      </c>
      <c r="G407">
        <f>ROUND(SUMIFS(CATEGORIAS[[#All],[PROYECCION
DE INGRESO
DEL SALDO]],CATEGORIAS[[#All],[CATEGORIA2]],Imputar[[#This Row],[Categoría]]),0)</f>
        <v>0</v>
      </c>
      <c r="H407">
        <f>ROUND(SUMIFS(CATEGORIAS[[#All],[CAMBIO DE
CATEGORIA]],CATEGORIAS[[#All],[CATEGORIA2]],Imputar[[#This Row],[Categoría]]),0)</f>
        <v>0</v>
      </c>
      <c r="I4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-4300</v>
      </c>
      <c r="J407">
        <f>+ROUND(SUMIFS(CATEGORIAS[[#All],[PROYECCION
TOTAL DE COSTO]],CATEGORIAS[[#All],[CATEGORIA2]],Imputar[[#This Row],[Categoría]]),0)
-Imputar[[#This Row],[Inventario]]
-Imputar[[#This Row],[Pedidos no Rec]]</f>
        <v>-38730966</v>
      </c>
      <c r="K40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7">
        <f>_xlfn.IFNA(VLOOKUP(Imputar[[#This Row],[Categoría]],EIMI!C:T,8,0),0)</f>
        <v>4300</v>
      </c>
      <c r="M407">
        <f>_xlfn.IFNA(VLOOKUP(Imputar[[#This Row],[Categoría]],EIMI!C:T,9,0),0)</f>
        <v>37828353</v>
      </c>
      <c r="N407">
        <f>_xlfn.IFNA(VLOOKUP(Imputar[[#This Row],[Categoría]],EIMI!C:T,10,0),0)</f>
        <v>902613</v>
      </c>
    </row>
    <row r="408" spans="1:14" hidden="1" x14ac:dyDescent="0.25">
      <c r="A408" s="206" t="str">
        <f>Indice!$I$11</f>
        <v>EIMI00398</v>
      </c>
      <c r="B408" t="s">
        <v>1213</v>
      </c>
      <c r="C408" s="39">
        <f>Indice!$I$12</f>
        <v>46053</v>
      </c>
      <c r="E408">
        <f>ROUND(SUMIFS(CATEGORIAS[[#All],[TOTAL PRODUCCION
ACTUAL]],CATEGORIAS[[#All],[CATEGORIA2]],Imputar[[#This Row],[Categoría]]),0)</f>
        <v>0</v>
      </c>
      <c r="F408">
        <v>0</v>
      </c>
      <c r="G408">
        <f>ROUND(SUMIFS(CATEGORIAS[[#All],[PROYECCION
DE INGRESO
DEL SALDO]],CATEGORIAS[[#All],[CATEGORIA2]],Imputar[[#This Row],[Categoría]]),0)</f>
        <v>0</v>
      </c>
      <c r="H408">
        <f>ROUND(SUMIFS(CATEGORIAS[[#All],[CAMBIO DE
CATEGORIA]],CATEGORIAS[[#All],[CATEGORIA2]],Imputar[[#This Row],[Categoría]]),0)</f>
        <v>0</v>
      </c>
      <c r="I4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08">
        <f>+ROUND(SUMIFS(CATEGORIAS[[#All],[PROYECCION
TOTAL DE COSTO]],CATEGORIAS[[#All],[CATEGORIA2]],Imputar[[#This Row],[Categoría]]),0)
-Imputar[[#This Row],[Inventario]]
-Imputar[[#This Row],[Pedidos no Rec]]</f>
        <v>0</v>
      </c>
      <c r="K4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08">
        <f>_xlfn.IFNA(VLOOKUP(Imputar[[#This Row],[Categoría]],EIMI!C:T,8,0),0)</f>
        <v>0</v>
      </c>
      <c r="M408">
        <f>_xlfn.IFNA(VLOOKUP(Imputar[[#This Row],[Categoría]],EIMI!C:T,9,0),0)</f>
        <v>0</v>
      </c>
      <c r="N408">
        <f>_xlfn.IFNA(VLOOKUP(Imputar[[#This Row],[Categoría]],EIMI!C:T,10,0),0)</f>
        <v>0</v>
      </c>
    </row>
    <row r="409" spans="1:14" x14ac:dyDescent="0.25">
      <c r="A409" s="206" t="str">
        <f>Indice!$I$11</f>
        <v>EIMI00398</v>
      </c>
      <c r="B409" t="s">
        <v>298</v>
      </c>
      <c r="C409" s="39">
        <f>Indice!$I$12</f>
        <v>46053</v>
      </c>
      <c r="E409">
        <f>ROUND(SUMIFS(CATEGORIAS[[#All],[TOTAL PRODUCCION
ACTUAL]],CATEGORIAS[[#All],[CATEGORIA2]],Imputar[[#This Row],[Categoría]]),0)</f>
        <v>0</v>
      </c>
      <c r="F409">
        <v>0</v>
      </c>
      <c r="G409">
        <f>ROUND(SUMIFS(CATEGORIAS[[#All],[PROYECCION
DE INGRESO
DEL SALDO]],CATEGORIAS[[#All],[CATEGORIA2]],Imputar[[#This Row],[Categoría]]),0)</f>
        <v>0</v>
      </c>
      <c r="H409">
        <f>ROUND(SUMIFS(CATEGORIAS[[#All],[CAMBIO DE
CATEGORIA]],CATEGORIAS[[#All],[CATEGORIA2]],Imputar[[#This Row],[Categoría]]),0)</f>
        <v>0</v>
      </c>
      <c r="I4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-1382596</v>
      </c>
      <c r="J409">
        <f>+ROUND(SUMIFS(CATEGORIAS[[#All],[PROYECCION
TOTAL DE COSTO]],CATEGORIAS[[#All],[CATEGORIA2]],Imputar[[#This Row],[Categoría]]),0)
-Imputar[[#This Row],[Inventario]]
-Imputar[[#This Row],[Pedidos no Rec]]</f>
        <v>0</v>
      </c>
      <c r="K40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09">
        <f>_xlfn.IFNA(VLOOKUP(Imputar[[#This Row],[Categoría]],EIMI!C:T,8,0),0)</f>
        <v>1382596</v>
      </c>
      <c r="M409">
        <f>_xlfn.IFNA(VLOOKUP(Imputar[[#This Row],[Categoría]],EIMI!C:T,9,0),0)</f>
        <v>0</v>
      </c>
      <c r="N409">
        <f>_xlfn.IFNA(VLOOKUP(Imputar[[#This Row],[Categoría]],EIMI!C:T,10,0),0)</f>
        <v>0</v>
      </c>
    </row>
    <row r="410" spans="1:14" hidden="1" x14ac:dyDescent="0.25">
      <c r="A410" s="206" t="str">
        <f>Indice!$I$11</f>
        <v>EIMI00398</v>
      </c>
      <c r="B410" t="s">
        <v>1219</v>
      </c>
      <c r="C410" s="39">
        <f>Indice!$I$12</f>
        <v>46053</v>
      </c>
      <c r="E410">
        <f>ROUND(SUMIFS(CATEGORIAS[[#All],[TOTAL PRODUCCION
ACTUAL]],CATEGORIAS[[#All],[CATEGORIA2]],Imputar[[#This Row],[Categoría]]),0)</f>
        <v>0</v>
      </c>
      <c r="F410">
        <v>0</v>
      </c>
      <c r="G410">
        <f>ROUND(SUMIFS(CATEGORIAS[[#All],[PROYECCION
DE INGRESO
DEL SALDO]],CATEGORIAS[[#All],[CATEGORIA2]],Imputar[[#This Row],[Categoría]]),0)</f>
        <v>0</v>
      </c>
      <c r="H410">
        <f>ROUND(SUMIFS(CATEGORIAS[[#All],[CAMBIO DE
CATEGORIA]],CATEGORIAS[[#All],[CATEGORIA2]],Imputar[[#This Row],[Categoría]]),0)</f>
        <v>0</v>
      </c>
      <c r="I4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0">
        <f>+ROUND(SUMIFS(CATEGORIAS[[#All],[PROYECCION
TOTAL DE COSTO]],CATEGORIAS[[#All],[CATEGORIA2]],Imputar[[#This Row],[Categoría]]),0)
-Imputar[[#This Row],[Inventario]]
-Imputar[[#This Row],[Pedidos no Rec]]</f>
        <v>0</v>
      </c>
      <c r="K4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0">
        <f>_xlfn.IFNA(VLOOKUP(Imputar[[#This Row],[Categoría]],EIMI!C:T,8,0),0)</f>
        <v>0</v>
      </c>
      <c r="M410">
        <f>_xlfn.IFNA(VLOOKUP(Imputar[[#This Row],[Categoría]],EIMI!C:T,9,0),0)</f>
        <v>0</v>
      </c>
      <c r="N410">
        <f>_xlfn.IFNA(VLOOKUP(Imputar[[#This Row],[Categoría]],EIMI!C:T,10,0),0)</f>
        <v>0</v>
      </c>
    </row>
    <row r="411" spans="1:14" hidden="1" x14ac:dyDescent="0.25">
      <c r="A411" s="206" t="str">
        <f>Indice!$I$11</f>
        <v>EIMI00398</v>
      </c>
      <c r="B411" t="s">
        <v>1224</v>
      </c>
      <c r="C411" s="39">
        <f>Indice!$I$12</f>
        <v>46053</v>
      </c>
      <c r="E411">
        <f>ROUND(SUMIFS(CATEGORIAS[[#All],[TOTAL PRODUCCION
ACTUAL]],CATEGORIAS[[#All],[CATEGORIA2]],Imputar[[#This Row],[Categoría]]),0)</f>
        <v>0</v>
      </c>
      <c r="F411">
        <v>0</v>
      </c>
      <c r="G411">
        <f>ROUND(SUMIFS(CATEGORIAS[[#All],[PROYECCION
DE INGRESO
DEL SALDO]],CATEGORIAS[[#All],[CATEGORIA2]],Imputar[[#This Row],[Categoría]]),0)</f>
        <v>0</v>
      </c>
      <c r="H411">
        <f>ROUND(SUMIFS(CATEGORIAS[[#All],[CAMBIO DE
CATEGORIA]],CATEGORIAS[[#All],[CATEGORIA2]],Imputar[[#This Row],[Categoría]]),0)</f>
        <v>0</v>
      </c>
      <c r="I4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1">
        <f>+ROUND(SUMIFS(CATEGORIAS[[#All],[PROYECCION
TOTAL DE COSTO]],CATEGORIAS[[#All],[CATEGORIA2]],Imputar[[#This Row],[Categoría]]),0)
-Imputar[[#This Row],[Inventario]]
-Imputar[[#This Row],[Pedidos no Rec]]</f>
        <v>0</v>
      </c>
      <c r="K4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1">
        <f>_xlfn.IFNA(VLOOKUP(Imputar[[#This Row],[Categoría]],EIMI!C:T,8,0),0)</f>
        <v>0</v>
      </c>
      <c r="M411">
        <f>_xlfn.IFNA(VLOOKUP(Imputar[[#This Row],[Categoría]],EIMI!C:T,9,0),0)</f>
        <v>0</v>
      </c>
      <c r="N411">
        <f>_xlfn.IFNA(VLOOKUP(Imputar[[#This Row],[Categoría]],EIMI!C:T,10,0),0)</f>
        <v>0</v>
      </c>
    </row>
    <row r="412" spans="1:14" hidden="1" x14ac:dyDescent="0.25">
      <c r="A412" s="206" t="str">
        <f>Indice!$I$11</f>
        <v>EIMI00398</v>
      </c>
      <c r="B412" t="s">
        <v>1226</v>
      </c>
      <c r="C412" s="39">
        <f>Indice!$I$12</f>
        <v>46053</v>
      </c>
      <c r="E412">
        <f>ROUND(SUMIFS(CATEGORIAS[[#All],[TOTAL PRODUCCION
ACTUAL]],CATEGORIAS[[#All],[CATEGORIA2]],Imputar[[#This Row],[Categoría]]),0)</f>
        <v>0</v>
      </c>
      <c r="F412">
        <v>0</v>
      </c>
      <c r="G412">
        <f>ROUND(SUMIFS(CATEGORIAS[[#All],[PROYECCION
DE INGRESO
DEL SALDO]],CATEGORIAS[[#All],[CATEGORIA2]],Imputar[[#This Row],[Categoría]]),0)</f>
        <v>0</v>
      </c>
      <c r="H412">
        <f>ROUND(SUMIFS(CATEGORIAS[[#All],[CAMBIO DE
CATEGORIA]],CATEGORIAS[[#All],[CATEGORIA2]],Imputar[[#This Row],[Categoría]]),0)</f>
        <v>0</v>
      </c>
      <c r="I4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2">
        <f>+ROUND(SUMIFS(CATEGORIAS[[#All],[PROYECCION
TOTAL DE COSTO]],CATEGORIAS[[#All],[CATEGORIA2]],Imputar[[#This Row],[Categoría]]),0)
-Imputar[[#This Row],[Inventario]]
-Imputar[[#This Row],[Pedidos no Rec]]</f>
        <v>0</v>
      </c>
      <c r="K4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2">
        <f>_xlfn.IFNA(VLOOKUP(Imputar[[#This Row],[Categoría]],EIMI!C:T,8,0),0)</f>
        <v>0</v>
      </c>
      <c r="M412">
        <f>_xlfn.IFNA(VLOOKUP(Imputar[[#This Row],[Categoría]],EIMI!C:T,9,0),0)</f>
        <v>0</v>
      </c>
      <c r="N412">
        <f>_xlfn.IFNA(VLOOKUP(Imputar[[#This Row],[Categoría]],EIMI!C:T,10,0),0)</f>
        <v>0</v>
      </c>
    </row>
    <row r="413" spans="1:14" x14ac:dyDescent="0.25">
      <c r="A413" s="206" t="str">
        <f>Indice!$I$11</f>
        <v>EIMI00398</v>
      </c>
      <c r="B413" t="s">
        <v>302</v>
      </c>
      <c r="C413" s="39">
        <f>Indice!$I$12</f>
        <v>46053</v>
      </c>
      <c r="E413">
        <f>ROUND(SUMIFS(CATEGORIAS[[#All],[TOTAL PRODUCCION
ACTUAL]],CATEGORIAS[[#All],[CATEGORIA2]],Imputar[[#This Row],[Categoría]]),0)</f>
        <v>0</v>
      </c>
      <c r="F413">
        <v>0</v>
      </c>
      <c r="G413">
        <f>ROUND(SUMIFS(CATEGORIAS[[#All],[PROYECCION
DE INGRESO
DEL SALDO]],CATEGORIAS[[#All],[CATEGORIA2]],Imputar[[#This Row],[Categoría]]),0)</f>
        <v>0</v>
      </c>
      <c r="H413">
        <f>ROUND(SUMIFS(CATEGORIAS[[#All],[CAMBIO DE
CATEGORIA]],CATEGORIAS[[#All],[CATEGORIA2]],Imputar[[#This Row],[Categoría]]),0)</f>
        <v>0</v>
      </c>
      <c r="I4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3">
        <f>+ROUND(SUMIFS(CATEGORIAS[[#All],[PROYECCION
TOTAL DE COSTO]],CATEGORIAS[[#All],[CATEGORIA2]],Imputar[[#This Row],[Categoría]]),0)
-Imputar[[#This Row],[Inventario]]
-Imputar[[#This Row],[Pedidos no Rec]]</f>
        <v>-179690</v>
      </c>
      <c r="K41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13">
        <f>_xlfn.IFNA(VLOOKUP(Imputar[[#This Row],[Categoría]],EIMI!C:T,8,0),0)</f>
        <v>0</v>
      </c>
      <c r="M413">
        <f>_xlfn.IFNA(VLOOKUP(Imputar[[#This Row],[Categoría]],EIMI!C:T,9,0),0)</f>
        <v>179690</v>
      </c>
      <c r="N413">
        <f>_xlfn.IFNA(VLOOKUP(Imputar[[#This Row],[Categoría]],EIMI!C:T,10,0),0)</f>
        <v>0</v>
      </c>
    </row>
    <row r="414" spans="1:14" hidden="1" x14ac:dyDescent="0.25">
      <c r="A414" s="206" t="str">
        <f>Indice!$I$11</f>
        <v>EIMI00398</v>
      </c>
      <c r="B414" t="s">
        <v>1228</v>
      </c>
      <c r="C414" s="39">
        <f>Indice!$I$12</f>
        <v>46053</v>
      </c>
      <c r="E414">
        <f>ROUND(SUMIFS(CATEGORIAS[[#All],[TOTAL PRODUCCION
ACTUAL]],CATEGORIAS[[#All],[CATEGORIA2]],Imputar[[#This Row],[Categoría]]),0)</f>
        <v>0</v>
      </c>
      <c r="F414">
        <v>0</v>
      </c>
      <c r="G414">
        <f>ROUND(SUMIFS(CATEGORIAS[[#All],[PROYECCION
DE INGRESO
DEL SALDO]],CATEGORIAS[[#All],[CATEGORIA2]],Imputar[[#This Row],[Categoría]]),0)</f>
        <v>0</v>
      </c>
      <c r="H414">
        <f>ROUND(SUMIFS(CATEGORIAS[[#All],[CAMBIO DE
CATEGORIA]],CATEGORIAS[[#All],[CATEGORIA2]],Imputar[[#This Row],[Categoría]]),0)</f>
        <v>0</v>
      </c>
      <c r="I4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4">
        <f>+ROUND(SUMIFS(CATEGORIAS[[#All],[PROYECCION
TOTAL DE COSTO]],CATEGORIAS[[#All],[CATEGORIA2]],Imputar[[#This Row],[Categoría]]),0)
-Imputar[[#This Row],[Inventario]]
-Imputar[[#This Row],[Pedidos no Rec]]</f>
        <v>0</v>
      </c>
      <c r="K4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4">
        <f>_xlfn.IFNA(VLOOKUP(Imputar[[#This Row],[Categoría]],EIMI!C:T,8,0),0)</f>
        <v>0</v>
      </c>
      <c r="M414">
        <f>_xlfn.IFNA(VLOOKUP(Imputar[[#This Row],[Categoría]],EIMI!C:T,9,0),0)</f>
        <v>0</v>
      </c>
      <c r="N414">
        <f>_xlfn.IFNA(VLOOKUP(Imputar[[#This Row],[Categoría]],EIMI!C:T,10,0),0)</f>
        <v>0</v>
      </c>
    </row>
    <row r="415" spans="1:14" hidden="1" x14ac:dyDescent="0.25">
      <c r="A415" s="206" t="str">
        <f>Indice!$I$11</f>
        <v>EIMI00398</v>
      </c>
      <c r="B415" t="s">
        <v>1233</v>
      </c>
      <c r="C415" s="39">
        <f>Indice!$I$12</f>
        <v>46053</v>
      </c>
      <c r="E415">
        <f>ROUND(SUMIFS(CATEGORIAS[[#All],[TOTAL PRODUCCION
ACTUAL]],CATEGORIAS[[#All],[CATEGORIA2]],Imputar[[#This Row],[Categoría]]),0)</f>
        <v>0</v>
      </c>
      <c r="F415">
        <v>0</v>
      </c>
      <c r="G415">
        <f>ROUND(SUMIFS(CATEGORIAS[[#All],[PROYECCION
DE INGRESO
DEL SALDO]],CATEGORIAS[[#All],[CATEGORIA2]],Imputar[[#This Row],[Categoría]]),0)</f>
        <v>0</v>
      </c>
      <c r="H415">
        <f>ROUND(SUMIFS(CATEGORIAS[[#All],[CAMBIO DE
CATEGORIA]],CATEGORIAS[[#All],[CATEGORIA2]],Imputar[[#This Row],[Categoría]]),0)</f>
        <v>0</v>
      </c>
      <c r="I4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5">
        <f>+ROUND(SUMIFS(CATEGORIAS[[#All],[PROYECCION
TOTAL DE COSTO]],CATEGORIAS[[#All],[CATEGORIA2]],Imputar[[#This Row],[Categoría]]),0)
-Imputar[[#This Row],[Inventario]]
-Imputar[[#This Row],[Pedidos no Rec]]</f>
        <v>0</v>
      </c>
      <c r="K4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5">
        <f>_xlfn.IFNA(VLOOKUP(Imputar[[#This Row],[Categoría]],EIMI!C:T,8,0),0)</f>
        <v>0</v>
      </c>
      <c r="M415">
        <f>_xlfn.IFNA(VLOOKUP(Imputar[[#This Row],[Categoría]],EIMI!C:T,9,0),0)</f>
        <v>0</v>
      </c>
      <c r="N415">
        <f>_xlfn.IFNA(VLOOKUP(Imputar[[#This Row],[Categoría]],EIMI!C:T,10,0),0)</f>
        <v>0</v>
      </c>
    </row>
    <row r="416" spans="1:14" hidden="1" x14ac:dyDescent="0.25">
      <c r="A416" s="206" t="str">
        <f>Indice!$I$11</f>
        <v>EIMI00398</v>
      </c>
      <c r="B416" t="s">
        <v>1235</v>
      </c>
      <c r="C416" s="39">
        <f>Indice!$I$12</f>
        <v>46053</v>
      </c>
      <c r="E416">
        <f>ROUND(SUMIFS(CATEGORIAS[[#All],[TOTAL PRODUCCION
ACTUAL]],CATEGORIAS[[#All],[CATEGORIA2]],Imputar[[#This Row],[Categoría]]),0)</f>
        <v>0</v>
      </c>
      <c r="F416">
        <v>0</v>
      </c>
      <c r="G416">
        <f>ROUND(SUMIFS(CATEGORIAS[[#All],[PROYECCION
DE INGRESO
DEL SALDO]],CATEGORIAS[[#All],[CATEGORIA2]],Imputar[[#This Row],[Categoría]]),0)</f>
        <v>0</v>
      </c>
      <c r="H416">
        <f>ROUND(SUMIFS(CATEGORIAS[[#All],[CAMBIO DE
CATEGORIA]],CATEGORIAS[[#All],[CATEGORIA2]],Imputar[[#This Row],[Categoría]]),0)</f>
        <v>0</v>
      </c>
      <c r="I4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6">
        <f>+ROUND(SUMIFS(CATEGORIAS[[#All],[PROYECCION
TOTAL DE COSTO]],CATEGORIAS[[#All],[CATEGORIA2]],Imputar[[#This Row],[Categoría]]),0)
-Imputar[[#This Row],[Inventario]]
-Imputar[[#This Row],[Pedidos no Rec]]</f>
        <v>0</v>
      </c>
      <c r="K4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6">
        <f>_xlfn.IFNA(VLOOKUP(Imputar[[#This Row],[Categoría]],EIMI!C:T,8,0),0)</f>
        <v>0</v>
      </c>
      <c r="M416">
        <f>_xlfn.IFNA(VLOOKUP(Imputar[[#This Row],[Categoría]],EIMI!C:T,9,0),0)</f>
        <v>0</v>
      </c>
      <c r="N416">
        <f>_xlfn.IFNA(VLOOKUP(Imputar[[#This Row],[Categoría]],EIMI!C:T,10,0),0)</f>
        <v>0</v>
      </c>
    </row>
    <row r="417" spans="1:14" hidden="1" x14ac:dyDescent="0.25">
      <c r="A417" s="206" t="str">
        <f>Indice!$I$11</f>
        <v>EIMI00398</v>
      </c>
      <c r="B417" t="s">
        <v>1240</v>
      </c>
      <c r="C417" s="39">
        <f>Indice!$I$12</f>
        <v>46053</v>
      </c>
      <c r="E417">
        <f>ROUND(SUMIFS(CATEGORIAS[[#All],[TOTAL PRODUCCION
ACTUAL]],CATEGORIAS[[#All],[CATEGORIA2]],Imputar[[#This Row],[Categoría]]),0)</f>
        <v>0</v>
      </c>
      <c r="F417">
        <v>0</v>
      </c>
      <c r="G417">
        <f>ROUND(SUMIFS(CATEGORIAS[[#All],[PROYECCION
DE INGRESO
DEL SALDO]],CATEGORIAS[[#All],[CATEGORIA2]],Imputar[[#This Row],[Categoría]]),0)</f>
        <v>0</v>
      </c>
      <c r="H417">
        <f>ROUND(SUMIFS(CATEGORIAS[[#All],[CAMBIO DE
CATEGORIA]],CATEGORIAS[[#All],[CATEGORIA2]],Imputar[[#This Row],[Categoría]]),0)</f>
        <v>0</v>
      </c>
      <c r="I4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7">
        <f>+ROUND(SUMIFS(CATEGORIAS[[#All],[PROYECCION
TOTAL DE COSTO]],CATEGORIAS[[#All],[CATEGORIA2]],Imputar[[#This Row],[Categoría]]),0)
-Imputar[[#This Row],[Inventario]]
-Imputar[[#This Row],[Pedidos no Rec]]</f>
        <v>0</v>
      </c>
      <c r="K4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7">
        <f>_xlfn.IFNA(VLOOKUP(Imputar[[#This Row],[Categoría]],EIMI!C:T,8,0),0)</f>
        <v>0</v>
      </c>
      <c r="M417">
        <f>_xlfn.IFNA(VLOOKUP(Imputar[[#This Row],[Categoría]],EIMI!C:T,9,0),0)</f>
        <v>0</v>
      </c>
      <c r="N417">
        <f>_xlfn.IFNA(VLOOKUP(Imputar[[#This Row],[Categoría]],EIMI!C:T,10,0),0)</f>
        <v>0</v>
      </c>
    </row>
    <row r="418" spans="1:14" hidden="1" x14ac:dyDescent="0.25">
      <c r="A418" s="206" t="str">
        <f>Indice!$I$11</f>
        <v>EIMI00398</v>
      </c>
      <c r="B418" t="s">
        <v>1241</v>
      </c>
      <c r="C418" s="39">
        <f>Indice!$I$12</f>
        <v>46053</v>
      </c>
      <c r="E418">
        <f>ROUND(SUMIFS(CATEGORIAS[[#All],[TOTAL PRODUCCION
ACTUAL]],CATEGORIAS[[#All],[CATEGORIA2]],Imputar[[#This Row],[Categoría]]),0)</f>
        <v>0</v>
      </c>
      <c r="F418">
        <v>0</v>
      </c>
      <c r="G418">
        <f>ROUND(SUMIFS(CATEGORIAS[[#All],[PROYECCION
DE INGRESO
DEL SALDO]],CATEGORIAS[[#All],[CATEGORIA2]],Imputar[[#This Row],[Categoría]]),0)</f>
        <v>0</v>
      </c>
      <c r="H418">
        <f>ROUND(SUMIFS(CATEGORIAS[[#All],[CAMBIO DE
CATEGORIA]],CATEGORIAS[[#All],[CATEGORIA2]],Imputar[[#This Row],[Categoría]]),0)</f>
        <v>0</v>
      </c>
      <c r="I4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8">
        <f>+ROUND(SUMIFS(CATEGORIAS[[#All],[PROYECCION
TOTAL DE COSTO]],CATEGORIAS[[#All],[CATEGORIA2]],Imputar[[#This Row],[Categoría]]),0)
-Imputar[[#This Row],[Inventario]]
-Imputar[[#This Row],[Pedidos no Rec]]</f>
        <v>0</v>
      </c>
      <c r="K4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8">
        <f>_xlfn.IFNA(VLOOKUP(Imputar[[#This Row],[Categoría]],EIMI!C:T,8,0),0)</f>
        <v>0</v>
      </c>
      <c r="M418">
        <f>_xlfn.IFNA(VLOOKUP(Imputar[[#This Row],[Categoría]],EIMI!C:T,9,0),0)</f>
        <v>0</v>
      </c>
      <c r="N418">
        <f>_xlfn.IFNA(VLOOKUP(Imputar[[#This Row],[Categoría]],EIMI!C:T,10,0),0)</f>
        <v>0</v>
      </c>
    </row>
    <row r="419" spans="1:14" hidden="1" x14ac:dyDescent="0.25">
      <c r="A419" s="206" t="str">
        <f>Indice!$I$11</f>
        <v>EIMI00398</v>
      </c>
      <c r="B419" t="s">
        <v>1242</v>
      </c>
      <c r="C419" s="39">
        <f>Indice!$I$12</f>
        <v>46053</v>
      </c>
      <c r="E419">
        <f>ROUND(SUMIFS(CATEGORIAS[[#All],[TOTAL PRODUCCION
ACTUAL]],CATEGORIAS[[#All],[CATEGORIA2]],Imputar[[#This Row],[Categoría]]),0)</f>
        <v>0</v>
      </c>
      <c r="F419">
        <v>0</v>
      </c>
      <c r="G419">
        <f>ROUND(SUMIFS(CATEGORIAS[[#All],[PROYECCION
DE INGRESO
DEL SALDO]],CATEGORIAS[[#All],[CATEGORIA2]],Imputar[[#This Row],[Categoría]]),0)</f>
        <v>0</v>
      </c>
      <c r="H419">
        <f>ROUND(SUMIFS(CATEGORIAS[[#All],[CAMBIO DE
CATEGORIA]],CATEGORIAS[[#All],[CATEGORIA2]],Imputar[[#This Row],[Categoría]]),0)</f>
        <v>0</v>
      </c>
      <c r="I4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19">
        <f>+ROUND(SUMIFS(CATEGORIAS[[#All],[PROYECCION
TOTAL DE COSTO]],CATEGORIAS[[#All],[CATEGORIA2]],Imputar[[#This Row],[Categoría]]),0)
-Imputar[[#This Row],[Inventario]]
-Imputar[[#This Row],[Pedidos no Rec]]</f>
        <v>0</v>
      </c>
      <c r="K4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19">
        <f>_xlfn.IFNA(VLOOKUP(Imputar[[#This Row],[Categoría]],EIMI!C:T,8,0),0)</f>
        <v>0</v>
      </c>
      <c r="M419">
        <f>_xlfn.IFNA(VLOOKUP(Imputar[[#This Row],[Categoría]],EIMI!C:T,9,0),0)</f>
        <v>0</v>
      </c>
      <c r="N419">
        <f>_xlfn.IFNA(VLOOKUP(Imputar[[#This Row],[Categoría]],EIMI!C:T,10,0),0)</f>
        <v>0</v>
      </c>
    </row>
    <row r="420" spans="1:14" hidden="1" x14ac:dyDescent="0.25">
      <c r="A420" s="206" t="str">
        <f>Indice!$I$11</f>
        <v>EIMI00398</v>
      </c>
      <c r="B420" t="s">
        <v>1244</v>
      </c>
      <c r="C420" s="39">
        <f>Indice!$I$12</f>
        <v>46053</v>
      </c>
      <c r="E420">
        <f>ROUND(SUMIFS(CATEGORIAS[[#All],[TOTAL PRODUCCION
ACTUAL]],CATEGORIAS[[#All],[CATEGORIA2]],Imputar[[#This Row],[Categoría]]),0)</f>
        <v>0</v>
      </c>
      <c r="F420">
        <v>0</v>
      </c>
      <c r="G420">
        <f>ROUND(SUMIFS(CATEGORIAS[[#All],[PROYECCION
DE INGRESO
DEL SALDO]],CATEGORIAS[[#All],[CATEGORIA2]],Imputar[[#This Row],[Categoría]]),0)</f>
        <v>0</v>
      </c>
      <c r="H420">
        <f>ROUND(SUMIFS(CATEGORIAS[[#All],[CAMBIO DE
CATEGORIA]],CATEGORIAS[[#All],[CATEGORIA2]],Imputar[[#This Row],[Categoría]]),0)</f>
        <v>0</v>
      </c>
      <c r="I4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0">
        <f>+ROUND(SUMIFS(CATEGORIAS[[#All],[PROYECCION
TOTAL DE COSTO]],CATEGORIAS[[#All],[CATEGORIA2]],Imputar[[#This Row],[Categoría]]),0)
-Imputar[[#This Row],[Inventario]]
-Imputar[[#This Row],[Pedidos no Rec]]</f>
        <v>0</v>
      </c>
      <c r="K4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0">
        <f>_xlfn.IFNA(VLOOKUP(Imputar[[#This Row],[Categoría]],EIMI!C:T,8,0),0)</f>
        <v>0</v>
      </c>
      <c r="M420">
        <f>_xlfn.IFNA(VLOOKUP(Imputar[[#This Row],[Categoría]],EIMI!C:T,9,0),0)</f>
        <v>0</v>
      </c>
      <c r="N420">
        <f>_xlfn.IFNA(VLOOKUP(Imputar[[#This Row],[Categoría]],EIMI!C:T,10,0),0)</f>
        <v>0</v>
      </c>
    </row>
    <row r="421" spans="1:14" x14ac:dyDescent="0.25">
      <c r="A421" s="206" t="str">
        <f>Indice!$I$11</f>
        <v>EIMI00398</v>
      </c>
      <c r="B421" t="s">
        <v>1246</v>
      </c>
      <c r="C421" s="39">
        <f>Indice!$I$12</f>
        <v>46053</v>
      </c>
      <c r="E421">
        <f>ROUND(SUMIFS(CATEGORIAS[[#All],[TOTAL PRODUCCION
ACTUAL]],CATEGORIAS[[#All],[CATEGORIA2]],Imputar[[#This Row],[Categoría]]),0)</f>
        <v>0</v>
      </c>
      <c r="F421">
        <v>0</v>
      </c>
      <c r="G421">
        <f>ROUND(SUMIFS(CATEGORIAS[[#All],[PROYECCION
DE INGRESO
DEL SALDO]],CATEGORIAS[[#All],[CATEGORIA2]],Imputar[[#This Row],[Categoría]]),0)</f>
        <v>0</v>
      </c>
      <c r="H421">
        <f>ROUND(SUMIFS(CATEGORIAS[[#All],[CAMBIO DE
CATEGORIA]],CATEGORIAS[[#All],[CATEGORIA2]],Imputar[[#This Row],[Categoría]]),0)</f>
        <v>0</v>
      </c>
      <c r="I4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1">
        <f>+ROUND(SUMIFS(CATEGORIAS[[#All],[PROYECCION
TOTAL DE COSTO]],CATEGORIAS[[#All],[CATEGORIA2]],Imputar[[#This Row],[Categoría]]),0)
-Imputar[[#This Row],[Inventario]]
-Imputar[[#This Row],[Pedidos no Rec]]</f>
        <v>-2540000</v>
      </c>
      <c r="K42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1">
        <f>_xlfn.IFNA(VLOOKUP(Imputar[[#This Row],[Categoría]],EIMI!C:T,8,0),0)</f>
        <v>0</v>
      </c>
      <c r="M421">
        <f>_xlfn.IFNA(VLOOKUP(Imputar[[#This Row],[Categoría]],EIMI!C:T,9,0),0)</f>
        <v>2540000</v>
      </c>
      <c r="N421">
        <f>_xlfn.IFNA(VLOOKUP(Imputar[[#This Row],[Categoría]],EIMI!C:T,10,0),0)</f>
        <v>0</v>
      </c>
    </row>
    <row r="422" spans="1:14" x14ac:dyDescent="0.25">
      <c r="A422" s="206" t="str">
        <f>Indice!$I$11</f>
        <v>EIMI00398</v>
      </c>
      <c r="B422" t="s">
        <v>306</v>
      </c>
      <c r="C422" s="39">
        <f>Indice!$I$12</f>
        <v>46053</v>
      </c>
      <c r="E422">
        <f>ROUND(SUMIFS(CATEGORIAS[[#All],[TOTAL PRODUCCION
ACTUAL]],CATEGORIAS[[#All],[CATEGORIA2]],Imputar[[#This Row],[Categoría]]),0)</f>
        <v>0</v>
      </c>
      <c r="F422">
        <v>0</v>
      </c>
      <c r="G422">
        <f>ROUND(SUMIFS(CATEGORIAS[[#All],[PROYECCION
DE INGRESO
DEL SALDO]],CATEGORIAS[[#All],[CATEGORIA2]],Imputar[[#This Row],[Categoría]]),0)</f>
        <v>0</v>
      </c>
      <c r="H422">
        <f>ROUND(SUMIFS(CATEGORIAS[[#All],[CAMBIO DE
CATEGORIA]],CATEGORIAS[[#All],[CATEGORIA2]],Imputar[[#This Row],[Categoría]]),0)</f>
        <v>0</v>
      </c>
      <c r="I4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2">
        <f>+ROUND(SUMIFS(CATEGORIAS[[#All],[PROYECCION
TOTAL DE COSTO]],CATEGORIAS[[#All],[CATEGORIA2]],Imputar[[#This Row],[Categoría]]),0)
-Imputar[[#This Row],[Inventario]]
-Imputar[[#This Row],[Pedidos no Rec]]</f>
        <v>0</v>
      </c>
      <c r="K4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2">
        <f>_xlfn.IFNA(VLOOKUP(Imputar[[#This Row],[Categoría]],EIMI!C:T,8,0),0)</f>
        <v>0</v>
      </c>
      <c r="M422">
        <f>_xlfn.IFNA(VLOOKUP(Imputar[[#This Row],[Categoría]],EIMI!C:T,9,0),0)</f>
        <v>0</v>
      </c>
      <c r="N422">
        <f>_xlfn.IFNA(VLOOKUP(Imputar[[#This Row],[Categoría]],EIMI!C:T,10,0),0)</f>
        <v>0</v>
      </c>
    </row>
    <row r="423" spans="1:14" x14ac:dyDescent="0.25">
      <c r="A423" s="206" t="str">
        <f>Indice!$I$11</f>
        <v>EIMI00398</v>
      </c>
      <c r="B423" t="s">
        <v>1249</v>
      </c>
      <c r="C423" s="39">
        <f>Indice!$I$12</f>
        <v>46053</v>
      </c>
      <c r="E423">
        <f>ROUND(SUMIFS(CATEGORIAS[[#All],[TOTAL PRODUCCION
ACTUAL]],CATEGORIAS[[#All],[CATEGORIA2]],Imputar[[#This Row],[Categoría]]),0)</f>
        <v>0</v>
      </c>
      <c r="F423">
        <v>0</v>
      </c>
      <c r="G423">
        <f>ROUND(SUMIFS(CATEGORIAS[[#All],[PROYECCION
DE INGRESO
DEL SALDO]],CATEGORIAS[[#All],[CATEGORIA2]],Imputar[[#This Row],[Categoría]]),0)</f>
        <v>0</v>
      </c>
      <c r="H423">
        <f>ROUND(SUMIFS(CATEGORIAS[[#All],[CAMBIO DE
CATEGORIA]],CATEGORIAS[[#All],[CATEGORIA2]],Imputar[[#This Row],[Categoría]]),0)</f>
        <v>0</v>
      </c>
      <c r="I4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3">
        <f>+ROUND(SUMIFS(CATEGORIAS[[#All],[PROYECCION
TOTAL DE COSTO]],CATEGORIAS[[#All],[CATEGORIA2]],Imputar[[#This Row],[Categoría]]),0)
-Imputar[[#This Row],[Inventario]]
-Imputar[[#This Row],[Pedidos no Rec]]</f>
        <v>0</v>
      </c>
      <c r="K4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3">
        <f>_xlfn.IFNA(VLOOKUP(Imputar[[#This Row],[Categoría]],EIMI!C:T,8,0),0)</f>
        <v>0</v>
      </c>
      <c r="M423">
        <f>_xlfn.IFNA(VLOOKUP(Imputar[[#This Row],[Categoría]],EIMI!C:T,9,0),0)</f>
        <v>0</v>
      </c>
      <c r="N423">
        <f>_xlfn.IFNA(VLOOKUP(Imputar[[#This Row],[Categoría]],EIMI!C:T,10,0),0)</f>
        <v>0</v>
      </c>
    </row>
    <row r="424" spans="1:14" hidden="1" x14ac:dyDescent="0.25">
      <c r="A424" s="206" t="str">
        <f>Indice!$I$11</f>
        <v>EIMI00398</v>
      </c>
      <c r="B424" t="s">
        <v>1251</v>
      </c>
      <c r="C424" s="39">
        <f>Indice!$I$12</f>
        <v>46053</v>
      </c>
      <c r="E424">
        <f>ROUND(SUMIFS(CATEGORIAS[[#All],[TOTAL PRODUCCION
ACTUAL]],CATEGORIAS[[#All],[CATEGORIA2]],Imputar[[#This Row],[Categoría]]),0)</f>
        <v>0</v>
      </c>
      <c r="F424">
        <v>0</v>
      </c>
      <c r="G424">
        <f>ROUND(SUMIFS(CATEGORIAS[[#All],[PROYECCION
DE INGRESO
DEL SALDO]],CATEGORIAS[[#All],[CATEGORIA2]],Imputar[[#This Row],[Categoría]]),0)</f>
        <v>0</v>
      </c>
      <c r="H424">
        <f>ROUND(SUMIFS(CATEGORIAS[[#All],[CAMBIO DE
CATEGORIA]],CATEGORIAS[[#All],[CATEGORIA2]],Imputar[[#This Row],[Categoría]]),0)</f>
        <v>0</v>
      </c>
      <c r="I4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4">
        <f>+ROUND(SUMIFS(CATEGORIAS[[#All],[PROYECCION
TOTAL DE COSTO]],CATEGORIAS[[#All],[CATEGORIA2]],Imputar[[#This Row],[Categoría]]),0)
-Imputar[[#This Row],[Inventario]]
-Imputar[[#This Row],[Pedidos no Rec]]</f>
        <v>0</v>
      </c>
      <c r="K4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4">
        <f>_xlfn.IFNA(VLOOKUP(Imputar[[#This Row],[Categoría]],EIMI!C:T,8,0),0)</f>
        <v>0</v>
      </c>
      <c r="M424">
        <f>_xlfn.IFNA(VLOOKUP(Imputar[[#This Row],[Categoría]],EIMI!C:T,9,0),0)</f>
        <v>0</v>
      </c>
      <c r="N424">
        <f>_xlfn.IFNA(VLOOKUP(Imputar[[#This Row],[Categoría]],EIMI!C:T,10,0),0)</f>
        <v>0</v>
      </c>
    </row>
    <row r="425" spans="1:14" x14ac:dyDescent="0.25">
      <c r="A425" s="206" t="str">
        <f>Indice!$I$11</f>
        <v>EIMI00398</v>
      </c>
      <c r="B425" t="s">
        <v>308</v>
      </c>
      <c r="C425" s="39">
        <f>Indice!$I$12</f>
        <v>46053</v>
      </c>
      <c r="E425">
        <f>ROUND(SUMIFS(CATEGORIAS[[#All],[TOTAL PRODUCCION
ACTUAL]],CATEGORIAS[[#All],[CATEGORIA2]],Imputar[[#This Row],[Categoría]]),0)</f>
        <v>0</v>
      </c>
      <c r="F425">
        <v>0</v>
      </c>
      <c r="G425">
        <f>ROUND(SUMIFS(CATEGORIAS[[#All],[PROYECCION
DE INGRESO
DEL SALDO]],CATEGORIAS[[#All],[CATEGORIA2]],Imputar[[#This Row],[Categoría]]),0)</f>
        <v>0</v>
      </c>
      <c r="H425">
        <f>ROUND(SUMIFS(CATEGORIAS[[#All],[CAMBIO DE
CATEGORIA]],CATEGORIAS[[#All],[CATEGORIA2]],Imputar[[#This Row],[Categoría]]),0)</f>
        <v>0</v>
      </c>
      <c r="I4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5">
        <f>+ROUND(SUMIFS(CATEGORIAS[[#All],[PROYECCION
TOTAL DE COSTO]],CATEGORIAS[[#All],[CATEGORIA2]],Imputar[[#This Row],[Categoría]]),0)
-Imputar[[#This Row],[Inventario]]
-Imputar[[#This Row],[Pedidos no Rec]]</f>
        <v>-13056427.6</v>
      </c>
      <c r="K42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5">
        <f>_xlfn.IFNA(VLOOKUP(Imputar[[#This Row],[Categoría]],EIMI!C:T,8,0),0)</f>
        <v>0</v>
      </c>
      <c r="M425">
        <f>_xlfn.IFNA(VLOOKUP(Imputar[[#This Row],[Categoría]],EIMI!C:T,9,0),0)</f>
        <v>11687190</v>
      </c>
      <c r="N425">
        <f>_xlfn.IFNA(VLOOKUP(Imputar[[#This Row],[Categoría]],EIMI!C:T,10,0),0)</f>
        <v>1369237.6</v>
      </c>
    </row>
    <row r="426" spans="1:14" hidden="1" x14ac:dyDescent="0.25">
      <c r="A426" s="206" t="str">
        <f>Indice!$I$11</f>
        <v>EIMI00398</v>
      </c>
      <c r="B426" t="s">
        <v>1252</v>
      </c>
      <c r="C426" s="39">
        <f>Indice!$I$12</f>
        <v>46053</v>
      </c>
      <c r="E426">
        <f>ROUND(SUMIFS(CATEGORIAS[[#All],[TOTAL PRODUCCION
ACTUAL]],CATEGORIAS[[#All],[CATEGORIA2]],Imputar[[#This Row],[Categoría]]),0)</f>
        <v>0</v>
      </c>
      <c r="F426">
        <v>0</v>
      </c>
      <c r="G426">
        <f>ROUND(SUMIFS(CATEGORIAS[[#All],[PROYECCION
DE INGRESO
DEL SALDO]],CATEGORIAS[[#All],[CATEGORIA2]],Imputar[[#This Row],[Categoría]]),0)</f>
        <v>0</v>
      </c>
      <c r="H426">
        <f>ROUND(SUMIFS(CATEGORIAS[[#All],[CAMBIO DE
CATEGORIA]],CATEGORIAS[[#All],[CATEGORIA2]],Imputar[[#This Row],[Categoría]]),0)</f>
        <v>0</v>
      </c>
      <c r="I4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6">
        <f>+ROUND(SUMIFS(CATEGORIAS[[#All],[PROYECCION
TOTAL DE COSTO]],CATEGORIAS[[#All],[CATEGORIA2]],Imputar[[#This Row],[Categoría]]),0)
-Imputar[[#This Row],[Inventario]]
-Imputar[[#This Row],[Pedidos no Rec]]</f>
        <v>0</v>
      </c>
      <c r="K4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6">
        <f>_xlfn.IFNA(VLOOKUP(Imputar[[#This Row],[Categoría]],EIMI!C:T,8,0),0)</f>
        <v>0</v>
      </c>
      <c r="M426">
        <f>_xlfn.IFNA(VLOOKUP(Imputar[[#This Row],[Categoría]],EIMI!C:T,9,0),0)</f>
        <v>0</v>
      </c>
      <c r="N426">
        <f>_xlfn.IFNA(VLOOKUP(Imputar[[#This Row],[Categoría]],EIMI!C:T,10,0),0)</f>
        <v>0</v>
      </c>
    </row>
    <row r="427" spans="1:14" x14ac:dyDescent="0.25">
      <c r="A427" s="206" t="str">
        <f>Indice!$I$11</f>
        <v>EIMI00398</v>
      </c>
      <c r="B427" t="s">
        <v>1254</v>
      </c>
      <c r="C427" s="39">
        <f>Indice!$I$12</f>
        <v>46053</v>
      </c>
      <c r="E427">
        <f>ROUND(SUMIFS(CATEGORIAS[[#All],[TOTAL PRODUCCION
ACTUAL]],CATEGORIAS[[#All],[CATEGORIA2]],Imputar[[#This Row],[Categoría]]),0)</f>
        <v>0</v>
      </c>
      <c r="F427">
        <v>0</v>
      </c>
      <c r="G427">
        <f>ROUND(SUMIFS(CATEGORIAS[[#All],[PROYECCION
DE INGRESO
DEL SALDO]],CATEGORIAS[[#All],[CATEGORIA2]],Imputar[[#This Row],[Categoría]]),0)</f>
        <v>0</v>
      </c>
      <c r="H427">
        <f>ROUND(SUMIFS(CATEGORIAS[[#All],[CAMBIO DE
CATEGORIA]],CATEGORIAS[[#All],[CATEGORIA2]],Imputar[[#This Row],[Categoría]]),0)</f>
        <v>0</v>
      </c>
      <c r="I4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7">
        <f>+ROUND(SUMIFS(CATEGORIAS[[#All],[PROYECCION
TOTAL DE COSTO]],CATEGORIAS[[#All],[CATEGORIA2]],Imputar[[#This Row],[Categoría]]),0)
-Imputar[[#This Row],[Inventario]]
-Imputar[[#This Row],[Pedidos no Rec]]</f>
        <v>-47537982.060000002</v>
      </c>
      <c r="K42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7">
        <f>_xlfn.IFNA(VLOOKUP(Imputar[[#This Row],[Categoría]],EIMI!C:T,8,0),0)</f>
        <v>0</v>
      </c>
      <c r="M427">
        <f>_xlfn.IFNA(VLOOKUP(Imputar[[#This Row],[Categoría]],EIMI!C:T,9,0),0)</f>
        <v>23903025</v>
      </c>
      <c r="N427">
        <f>_xlfn.IFNA(VLOOKUP(Imputar[[#This Row],[Categoría]],EIMI!C:T,10,0),0)</f>
        <v>23634957.059999999</v>
      </c>
    </row>
    <row r="428" spans="1:14" x14ac:dyDescent="0.25">
      <c r="A428" s="206" t="str">
        <f>Indice!$I$11</f>
        <v>EIMI00398</v>
      </c>
      <c r="B428" t="s">
        <v>1256</v>
      </c>
      <c r="C428" s="39">
        <f>Indice!$I$12</f>
        <v>46053</v>
      </c>
      <c r="E428">
        <f>ROUND(SUMIFS(CATEGORIAS[[#All],[TOTAL PRODUCCION
ACTUAL]],CATEGORIAS[[#All],[CATEGORIA2]],Imputar[[#This Row],[Categoría]]),0)</f>
        <v>0</v>
      </c>
      <c r="F428">
        <v>0</v>
      </c>
      <c r="G428">
        <f>ROUND(SUMIFS(CATEGORIAS[[#All],[PROYECCION
DE INGRESO
DEL SALDO]],CATEGORIAS[[#All],[CATEGORIA2]],Imputar[[#This Row],[Categoría]]),0)</f>
        <v>0</v>
      </c>
      <c r="H428">
        <f>ROUND(SUMIFS(CATEGORIAS[[#All],[CAMBIO DE
CATEGORIA]],CATEGORIAS[[#All],[CATEGORIA2]],Imputar[[#This Row],[Categoría]]),0)</f>
        <v>0</v>
      </c>
      <c r="I4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-8096872</v>
      </c>
      <c r="J428">
        <f>+ROUND(SUMIFS(CATEGORIAS[[#All],[PROYECCION
TOTAL DE COSTO]],CATEGORIAS[[#All],[CATEGORIA2]],Imputar[[#This Row],[Categoría]]),0)
-Imputar[[#This Row],[Inventario]]
-Imputar[[#This Row],[Pedidos no Rec]]</f>
        <v>0</v>
      </c>
      <c r="K42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28">
        <f>_xlfn.IFNA(VLOOKUP(Imputar[[#This Row],[Categoría]],EIMI!C:T,8,0),0)</f>
        <v>8096872</v>
      </c>
      <c r="M428">
        <f>_xlfn.IFNA(VLOOKUP(Imputar[[#This Row],[Categoría]],EIMI!C:T,9,0),0)</f>
        <v>0</v>
      </c>
      <c r="N428">
        <f>_xlfn.IFNA(VLOOKUP(Imputar[[#This Row],[Categoría]],EIMI!C:T,10,0),0)</f>
        <v>0</v>
      </c>
    </row>
    <row r="429" spans="1:14" hidden="1" x14ac:dyDescent="0.25">
      <c r="A429" s="206" t="str">
        <f>Indice!$I$11</f>
        <v>EIMI00398</v>
      </c>
      <c r="B429" t="s">
        <v>1259</v>
      </c>
      <c r="C429" s="39">
        <f>Indice!$I$12</f>
        <v>46053</v>
      </c>
      <c r="E429">
        <f>ROUND(SUMIFS(CATEGORIAS[[#All],[TOTAL PRODUCCION
ACTUAL]],CATEGORIAS[[#All],[CATEGORIA2]],Imputar[[#This Row],[Categoría]]),0)</f>
        <v>0</v>
      </c>
      <c r="F429">
        <v>0</v>
      </c>
      <c r="G429">
        <f>ROUND(SUMIFS(CATEGORIAS[[#All],[PROYECCION
DE INGRESO
DEL SALDO]],CATEGORIAS[[#All],[CATEGORIA2]],Imputar[[#This Row],[Categoría]]),0)</f>
        <v>0</v>
      </c>
      <c r="H429">
        <f>ROUND(SUMIFS(CATEGORIAS[[#All],[CAMBIO DE
CATEGORIA]],CATEGORIAS[[#All],[CATEGORIA2]],Imputar[[#This Row],[Categoría]]),0)</f>
        <v>0</v>
      </c>
      <c r="I4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29">
        <f>+ROUND(SUMIFS(CATEGORIAS[[#All],[PROYECCION
TOTAL DE COSTO]],CATEGORIAS[[#All],[CATEGORIA2]],Imputar[[#This Row],[Categoría]]),0)
-Imputar[[#This Row],[Inventario]]
-Imputar[[#This Row],[Pedidos no Rec]]</f>
        <v>0</v>
      </c>
      <c r="K4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29">
        <f>_xlfn.IFNA(VLOOKUP(Imputar[[#This Row],[Categoría]],EIMI!C:T,8,0),0)</f>
        <v>0</v>
      </c>
      <c r="M429">
        <f>_xlfn.IFNA(VLOOKUP(Imputar[[#This Row],[Categoría]],EIMI!C:T,9,0),0)</f>
        <v>0</v>
      </c>
      <c r="N429">
        <f>_xlfn.IFNA(VLOOKUP(Imputar[[#This Row],[Categoría]],EIMI!C:T,10,0),0)</f>
        <v>0</v>
      </c>
    </row>
    <row r="430" spans="1:14" hidden="1" x14ac:dyDescent="0.25">
      <c r="A430" s="206" t="str">
        <f>Indice!$I$11</f>
        <v>EIMI00398</v>
      </c>
      <c r="B430" t="s">
        <v>1261</v>
      </c>
      <c r="C430" s="39">
        <f>Indice!$I$12</f>
        <v>46053</v>
      </c>
      <c r="E430">
        <f>ROUND(SUMIFS(CATEGORIAS[[#All],[TOTAL PRODUCCION
ACTUAL]],CATEGORIAS[[#All],[CATEGORIA2]],Imputar[[#This Row],[Categoría]]),0)</f>
        <v>0</v>
      </c>
      <c r="F430">
        <v>0</v>
      </c>
      <c r="G430">
        <f>ROUND(SUMIFS(CATEGORIAS[[#All],[PROYECCION
DE INGRESO
DEL SALDO]],CATEGORIAS[[#All],[CATEGORIA2]],Imputar[[#This Row],[Categoría]]),0)</f>
        <v>0</v>
      </c>
      <c r="H430">
        <f>ROUND(SUMIFS(CATEGORIAS[[#All],[CAMBIO DE
CATEGORIA]],CATEGORIAS[[#All],[CATEGORIA2]],Imputar[[#This Row],[Categoría]]),0)</f>
        <v>0</v>
      </c>
      <c r="I4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0">
        <f>+ROUND(SUMIFS(CATEGORIAS[[#All],[PROYECCION
TOTAL DE COSTO]],CATEGORIAS[[#All],[CATEGORIA2]],Imputar[[#This Row],[Categoría]]),0)
-Imputar[[#This Row],[Inventario]]
-Imputar[[#This Row],[Pedidos no Rec]]</f>
        <v>0</v>
      </c>
      <c r="K4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0">
        <f>_xlfn.IFNA(VLOOKUP(Imputar[[#This Row],[Categoría]],EIMI!C:T,8,0),0)</f>
        <v>0</v>
      </c>
      <c r="M430">
        <f>_xlfn.IFNA(VLOOKUP(Imputar[[#This Row],[Categoría]],EIMI!C:T,9,0),0)</f>
        <v>0</v>
      </c>
      <c r="N430">
        <f>_xlfn.IFNA(VLOOKUP(Imputar[[#This Row],[Categoría]],EIMI!C:T,10,0),0)</f>
        <v>0</v>
      </c>
    </row>
    <row r="431" spans="1:14" hidden="1" x14ac:dyDescent="0.25">
      <c r="A431" s="206" t="str">
        <f>Indice!$I$11</f>
        <v>EIMI00398</v>
      </c>
      <c r="B431" t="s">
        <v>1263</v>
      </c>
      <c r="C431" s="39">
        <f>Indice!$I$12</f>
        <v>46053</v>
      </c>
      <c r="E431">
        <f>ROUND(SUMIFS(CATEGORIAS[[#All],[TOTAL PRODUCCION
ACTUAL]],CATEGORIAS[[#All],[CATEGORIA2]],Imputar[[#This Row],[Categoría]]),0)</f>
        <v>0</v>
      </c>
      <c r="F431">
        <v>0</v>
      </c>
      <c r="G431">
        <f>ROUND(SUMIFS(CATEGORIAS[[#All],[PROYECCION
DE INGRESO
DEL SALDO]],CATEGORIAS[[#All],[CATEGORIA2]],Imputar[[#This Row],[Categoría]]),0)</f>
        <v>0</v>
      </c>
      <c r="H431">
        <f>ROUND(SUMIFS(CATEGORIAS[[#All],[CAMBIO DE
CATEGORIA]],CATEGORIAS[[#All],[CATEGORIA2]],Imputar[[#This Row],[Categoría]]),0)</f>
        <v>0</v>
      </c>
      <c r="I4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1">
        <f>+ROUND(SUMIFS(CATEGORIAS[[#All],[PROYECCION
TOTAL DE COSTO]],CATEGORIAS[[#All],[CATEGORIA2]],Imputar[[#This Row],[Categoría]]),0)
-Imputar[[#This Row],[Inventario]]
-Imputar[[#This Row],[Pedidos no Rec]]</f>
        <v>0</v>
      </c>
      <c r="K4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1">
        <f>_xlfn.IFNA(VLOOKUP(Imputar[[#This Row],[Categoría]],EIMI!C:T,8,0),0)</f>
        <v>0</v>
      </c>
      <c r="M431">
        <f>_xlfn.IFNA(VLOOKUP(Imputar[[#This Row],[Categoría]],EIMI!C:T,9,0),0)</f>
        <v>0</v>
      </c>
      <c r="N431">
        <f>_xlfn.IFNA(VLOOKUP(Imputar[[#This Row],[Categoría]],EIMI!C:T,10,0),0)</f>
        <v>0</v>
      </c>
    </row>
    <row r="432" spans="1:14" hidden="1" x14ac:dyDescent="0.25">
      <c r="A432" s="206" t="str">
        <f>Indice!$I$11</f>
        <v>EIMI00398</v>
      </c>
      <c r="B432" t="s">
        <v>1265</v>
      </c>
      <c r="C432" s="39">
        <f>Indice!$I$12</f>
        <v>46053</v>
      </c>
      <c r="E432">
        <f>ROUND(SUMIFS(CATEGORIAS[[#All],[TOTAL PRODUCCION
ACTUAL]],CATEGORIAS[[#All],[CATEGORIA2]],Imputar[[#This Row],[Categoría]]),0)</f>
        <v>0</v>
      </c>
      <c r="F432">
        <v>0</v>
      </c>
      <c r="G432">
        <f>ROUND(SUMIFS(CATEGORIAS[[#All],[PROYECCION
DE INGRESO
DEL SALDO]],CATEGORIAS[[#All],[CATEGORIA2]],Imputar[[#This Row],[Categoría]]),0)</f>
        <v>0</v>
      </c>
      <c r="H432">
        <f>ROUND(SUMIFS(CATEGORIAS[[#All],[CAMBIO DE
CATEGORIA]],CATEGORIAS[[#All],[CATEGORIA2]],Imputar[[#This Row],[Categoría]]),0)</f>
        <v>0</v>
      </c>
      <c r="I4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2">
        <f>+ROUND(SUMIFS(CATEGORIAS[[#All],[PROYECCION
TOTAL DE COSTO]],CATEGORIAS[[#All],[CATEGORIA2]],Imputar[[#This Row],[Categoría]]),0)
-Imputar[[#This Row],[Inventario]]
-Imputar[[#This Row],[Pedidos no Rec]]</f>
        <v>0</v>
      </c>
      <c r="K4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2">
        <f>_xlfn.IFNA(VLOOKUP(Imputar[[#This Row],[Categoría]],EIMI!C:T,8,0),0)</f>
        <v>0</v>
      </c>
      <c r="M432">
        <f>_xlfn.IFNA(VLOOKUP(Imputar[[#This Row],[Categoría]],EIMI!C:T,9,0),0)</f>
        <v>0</v>
      </c>
      <c r="N432">
        <f>_xlfn.IFNA(VLOOKUP(Imputar[[#This Row],[Categoría]],EIMI!C:T,10,0),0)</f>
        <v>0</v>
      </c>
    </row>
    <row r="433" spans="1:14" x14ac:dyDescent="0.25">
      <c r="A433" s="206" t="str">
        <f>Indice!$I$11</f>
        <v>EIMI00398</v>
      </c>
      <c r="B433" t="s">
        <v>1267</v>
      </c>
      <c r="C433" s="39">
        <f>Indice!$I$12</f>
        <v>46053</v>
      </c>
      <c r="E433">
        <f>ROUND(SUMIFS(CATEGORIAS[[#All],[TOTAL PRODUCCION
ACTUAL]],CATEGORIAS[[#All],[CATEGORIA2]],Imputar[[#This Row],[Categoría]]),0)</f>
        <v>0</v>
      </c>
      <c r="F433">
        <v>0</v>
      </c>
      <c r="G433">
        <f>ROUND(SUMIFS(CATEGORIAS[[#All],[PROYECCION
DE INGRESO
DEL SALDO]],CATEGORIAS[[#All],[CATEGORIA2]],Imputar[[#This Row],[Categoría]]),0)</f>
        <v>0</v>
      </c>
      <c r="H433">
        <f>ROUND(SUMIFS(CATEGORIAS[[#All],[CAMBIO DE
CATEGORIA]],CATEGORIAS[[#All],[CATEGORIA2]],Imputar[[#This Row],[Categoría]]),0)</f>
        <v>0</v>
      </c>
      <c r="I4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-581430</v>
      </c>
      <c r="J433">
        <f>+ROUND(SUMIFS(CATEGORIAS[[#All],[PROYECCION
TOTAL DE COSTO]],CATEGORIAS[[#All],[CATEGORIA2]],Imputar[[#This Row],[Categoría]]),0)
-Imputar[[#This Row],[Inventario]]
-Imputar[[#This Row],[Pedidos no Rec]]</f>
        <v>-98023364.989999995</v>
      </c>
      <c r="K43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3">
        <f>_xlfn.IFNA(VLOOKUP(Imputar[[#This Row],[Categoría]],EIMI!C:T,8,0),0)</f>
        <v>581430</v>
      </c>
      <c r="M433">
        <f>_xlfn.IFNA(VLOOKUP(Imputar[[#This Row],[Categoría]],EIMI!C:T,9,0),0)</f>
        <v>8307134</v>
      </c>
      <c r="N433">
        <f>_xlfn.IFNA(VLOOKUP(Imputar[[#This Row],[Categoría]],EIMI!C:T,10,0),0)</f>
        <v>89716230.989999995</v>
      </c>
    </row>
    <row r="434" spans="1:14" hidden="1" x14ac:dyDescent="0.25">
      <c r="A434" s="206" t="str">
        <f>Indice!$I$11</f>
        <v>EIMI00398</v>
      </c>
      <c r="B434" t="s">
        <v>1269</v>
      </c>
      <c r="C434" s="39">
        <f>Indice!$I$12</f>
        <v>46053</v>
      </c>
      <c r="E434">
        <f>ROUND(SUMIFS(CATEGORIAS[[#All],[TOTAL PRODUCCION
ACTUAL]],CATEGORIAS[[#All],[CATEGORIA2]],Imputar[[#This Row],[Categoría]]),0)</f>
        <v>0</v>
      </c>
      <c r="F434">
        <v>0</v>
      </c>
      <c r="G434">
        <f>ROUND(SUMIFS(CATEGORIAS[[#All],[PROYECCION
DE INGRESO
DEL SALDO]],CATEGORIAS[[#All],[CATEGORIA2]],Imputar[[#This Row],[Categoría]]),0)</f>
        <v>0</v>
      </c>
      <c r="H434">
        <f>ROUND(SUMIFS(CATEGORIAS[[#All],[CAMBIO DE
CATEGORIA]],CATEGORIAS[[#All],[CATEGORIA2]],Imputar[[#This Row],[Categoría]]),0)</f>
        <v>0</v>
      </c>
      <c r="I4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4">
        <f>+ROUND(SUMIFS(CATEGORIAS[[#All],[PROYECCION
TOTAL DE COSTO]],CATEGORIAS[[#All],[CATEGORIA2]],Imputar[[#This Row],[Categoría]]),0)
-Imputar[[#This Row],[Inventario]]
-Imputar[[#This Row],[Pedidos no Rec]]</f>
        <v>0</v>
      </c>
      <c r="K4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4">
        <f>_xlfn.IFNA(VLOOKUP(Imputar[[#This Row],[Categoría]],EIMI!C:T,8,0),0)</f>
        <v>0</v>
      </c>
      <c r="M434">
        <f>_xlfn.IFNA(VLOOKUP(Imputar[[#This Row],[Categoría]],EIMI!C:T,9,0),0)</f>
        <v>0</v>
      </c>
      <c r="N434">
        <f>_xlfn.IFNA(VLOOKUP(Imputar[[#This Row],[Categoría]],EIMI!C:T,10,0),0)</f>
        <v>0</v>
      </c>
    </row>
    <row r="435" spans="1:14" hidden="1" x14ac:dyDescent="0.25">
      <c r="A435" s="206" t="str">
        <f>Indice!$I$11</f>
        <v>EIMI00398</v>
      </c>
      <c r="B435" t="s">
        <v>1271</v>
      </c>
      <c r="C435" s="39">
        <f>Indice!$I$12</f>
        <v>46053</v>
      </c>
      <c r="E435">
        <f>ROUND(SUMIFS(CATEGORIAS[[#All],[TOTAL PRODUCCION
ACTUAL]],CATEGORIAS[[#All],[CATEGORIA2]],Imputar[[#This Row],[Categoría]]),0)</f>
        <v>0</v>
      </c>
      <c r="F435">
        <v>0</v>
      </c>
      <c r="G435">
        <f>ROUND(SUMIFS(CATEGORIAS[[#All],[PROYECCION
DE INGRESO
DEL SALDO]],CATEGORIAS[[#All],[CATEGORIA2]],Imputar[[#This Row],[Categoría]]),0)</f>
        <v>0</v>
      </c>
      <c r="H435">
        <f>ROUND(SUMIFS(CATEGORIAS[[#All],[CAMBIO DE
CATEGORIA]],CATEGORIAS[[#All],[CATEGORIA2]],Imputar[[#This Row],[Categoría]]),0)</f>
        <v>0</v>
      </c>
      <c r="I4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5">
        <f>+ROUND(SUMIFS(CATEGORIAS[[#All],[PROYECCION
TOTAL DE COSTO]],CATEGORIAS[[#All],[CATEGORIA2]],Imputar[[#This Row],[Categoría]]),0)
-Imputar[[#This Row],[Inventario]]
-Imputar[[#This Row],[Pedidos no Rec]]</f>
        <v>0</v>
      </c>
      <c r="K4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5">
        <f>_xlfn.IFNA(VLOOKUP(Imputar[[#This Row],[Categoría]],EIMI!C:T,8,0),0)</f>
        <v>0</v>
      </c>
      <c r="M435">
        <f>_xlfn.IFNA(VLOOKUP(Imputar[[#This Row],[Categoría]],EIMI!C:T,9,0),0)</f>
        <v>0</v>
      </c>
      <c r="N435">
        <f>_xlfn.IFNA(VLOOKUP(Imputar[[#This Row],[Categoría]],EIMI!C:T,10,0),0)</f>
        <v>0</v>
      </c>
    </row>
    <row r="436" spans="1:14" hidden="1" x14ac:dyDescent="0.25">
      <c r="A436" s="206" t="str">
        <f>Indice!$I$11</f>
        <v>EIMI00398</v>
      </c>
      <c r="B436" t="s">
        <v>1273</v>
      </c>
      <c r="C436" s="39">
        <f>Indice!$I$12</f>
        <v>46053</v>
      </c>
      <c r="E436">
        <f>ROUND(SUMIFS(CATEGORIAS[[#All],[TOTAL PRODUCCION
ACTUAL]],CATEGORIAS[[#All],[CATEGORIA2]],Imputar[[#This Row],[Categoría]]),0)</f>
        <v>0</v>
      </c>
      <c r="F436">
        <v>0</v>
      </c>
      <c r="G436">
        <f>ROUND(SUMIFS(CATEGORIAS[[#All],[PROYECCION
DE INGRESO
DEL SALDO]],CATEGORIAS[[#All],[CATEGORIA2]],Imputar[[#This Row],[Categoría]]),0)</f>
        <v>0</v>
      </c>
      <c r="H436">
        <f>ROUND(SUMIFS(CATEGORIAS[[#All],[CAMBIO DE
CATEGORIA]],CATEGORIAS[[#All],[CATEGORIA2]],Imputar[[#This Row],[Categoría]]),0)</f>
        <v>0</v>
      </c>
      <c r="I4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6">
        <f>+ROUND(SUMIFS(CATEGORIAS[[#All],[PROYECCION
TOTAL DE COSTO]],CATEGORIAS[[#All],[CATEGORIA2]],Imputar[[#This Row],[Categoría]]),0)
-Imputar[[#This Row],[Inventario]]
-Imputar[[#This Row],[Pedidos no Rec]]</f>
        <v>0</v>
      </c>
      <c r="K4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6">
        <f>_xlfn.IFNA(VLOOKUP(Imputar[[#This Row],[Categoría]],EIMI!C:T,8,0),0)</f>
        <v>0</v>
      </c>
      <c r="M436">
        <f>_xlfn.IFNA(VLOOKUP(Imputar[[#This Row],[Categoría]],EIMI!C:T,9,0),0)</f>
        <v>0</v>
      </c>
      <c r="N436">
        <f>_xlfn.IFNA(VLOOKUP(Imputar[[#This Row],[Categoría]],EIMI!C:T,10,0),0)</f>
        <v>0</v>
      </c>
    </row>
    <row r="437" spans="1:14" hidden="1" x14ac:dyDescent="0.25">
      <c r="A437" s="206" t="str">
        <f>Indice!$I$11</f>
        <v>EIMI00398</v>
      </c>
      <c r="B437" t="s">
        <v>1275</v>
      </c>
      <c r="C437" s="39">
        <f>Indice!$I$12</f>
        <v>46053</v>
      </c>
      <c r="E437">
        <f>ROUND(SUMIFS(CATEGORIAS[[#All],[TOTAL PRODUCCION
ACTUAL]],CATEGORIAS[[#All],[CATEGORIA2]],Imputar[[#This Row],[Categoría]]),0)</f>
        <v>0</v>
      </c>
      <c r="F437">
        <v>0</v>
      </c>
      <c r="G437">
        <f>ROUND(SUMIFS(CATEGORIAS[[#All],[PROYECCION
DE INGRESO
DEL SALDO]],CATEGORIAS[[#All],[CATEGORIA2]],Imputar[[#This Row],[Categoría]]),0)</f>
        <v>0</v>
      </c>
      <c r="H437">
        <f>ROUND(SUMIFS(CATEGORIAS[[#All],[CAMBIO DE
CATEGORIA]],CATEGORIAS[[#All],[CATEGORIA2]],Imputar[[#This Row],[Categoría]]),0)</f>
        <v>0</v>
      </c>
      <c r="I4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7">
        <f>+ROUND(SUMIFS(CATEGORIAS[[#All],[PROYECCION
TOTAL DE COSTO]],CATEGORIAS[[#All],[CATEGORIA2]],Imputar[[#This Row],[Categoría]]),0)
-Imputar[[#This Row],[Inventario]]
-Imputar[[#This Row],[Pedidos no Rec]]</f>
        <v>0</v>
      </c>
      <c r="K4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7">
        <f>_xlfn.IFNA(VLOOKUP(Imputar[[#This Row],[Categoría]],EIMI!C:T,8,0),0)</f>
        <v>0</v>
      </c>
      <c r="M437">
        <f>_xlfn.IFNA(VLOOKUP(Imputar[[#This Row],[Categoría]],EIMI!C:T,9,0),0)</f>
        <v>0</v>
      </c>
      <c r="N437">
        <f>_xlfn.IFNA(VLOOKUP(Imputar[[#This Row],[Categoría]],EIMI!C:T,10,0),0)</f>
        <v>0</v>
      </c>
    </row>
    <row r="438" spans="1:14" hidden="1" x14ac:dyDescent="0.25">
      <c r="A438" s="206" t="str">
        <f>Indice!$I$11</f>
        <v>EIMI00398</v>
      </c>
      <c r="B438" t="s">
        <v>1277</v>
      </c>
      <c r="C438" s="39">
        <f>Indice!$I$12</f>
        <v>46053</v>
      </c>
      <c r="E438">
        <f>ROUND(SUMIFS(CATEGORIAS[[#All],[TOTAL PRODUCCION
ACTUAL]],CATEGORIAS[[#All],[CATEGORIA2]],Imputar[[#This Row],[Categoría]]),0)</f>
        <v>0</v>
      </c>
      <c r="F438">
        <v>0</v>
      </c>
      <c r="G438">
        <f>ROUND(SUMIFS(CATEGORIAS[[#All],[PROYECCION
DE INGRESO
DEL SALDO]],CATEGORIAS[[#All],[CATEGORIA2]],Imputar[[#This Row],[Categoría]]),0)</f>
        <v>0</v>
      </c>
      <c r="H438">
        <f>ROUND(SUMIFS(CATEGORIAS[[#All],[CAMBIO DE
CATEGORIA]],CATEGORIAS[[#All],[CATEGORIA2]],Imputar[[#This Row],[Categoría]]),0)</f>
        <v>0</v>
      </c>
      <c r="I4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38">
        <f>+ROUND(SUMIFS(CATEGORIAS[[#All],[PROYECCION
TOTAL DE COSTO]],CATEGORIAS[[#All],[CATEGORIA2]],Imputar[[#This Row],[Categoría]]),0)
-Imputar[[#This Row],[Inventario]]
-Imputar[[#This Row],[Pedidos no Rec]]</f>
        <v>0</v>
      </c>
      <c r="K4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38">
        <f>_xlfn.IFNA(VLOOKUP(Imputar[[#This Row],[Categoría]],EIMI!C:T,8,0),0)</f>
        <v>0</v>
      </c>
      <c r="M438">
        <f>_xlfn.IFNA(VLOOKUP(Imputar[[#This Row],[Categoría]],EIMI!C:T,9,0),0)</f>
        <v>0</v>
      </c>
      <c r="N438">
        <f>_xlfn.IFNA(VLOOKUP(Imputar[[#This Row],[Categoría]],EIMI!C:T,10,0),0)</f>
        <v>0</v>
      </c>
    </row>
    <row r="439" spans="1:14" x14ac:dyDescent="0.25">
      <c r="A439" s="206" t="str">
        <f>Indice!$I$11</f>
        <v>EIMI00398</v>
      </c>
      <c r="B439" t="s">
        <v>1279</v>
      </c>
      <c r="C439" s="39">
        <f>Indice!$I$12</f>
        <v>46053</v>
      </c>
      <c r="E439">
        <f>ROUND(SUMIFS(CATEGORIAS[[#All],[TOTAL PRODUCCION
ACTUAL]],CATEGORIAS[[#All],[CATEGORIA2]],Imputar[[#This Row],[Categoría]]),0)</f>
        <v>0</v>
      </c>
      <c r="F439">
        <v>0</v>
      </c>
      <c r="G439">
        <f>ROUND(SUMIFS(CATEGORIAS[[#All],[PROYECCION
DE INGRESO
DEL SALDO]],CATEGORIAS[[#All],[CATEGORIA2]],Imputar[[#This Row],[Categoría]]),0)</f>
        <v>0</v>
      </c>
      <c r="H439">
        <f>ROUND(SUMIFS(CATEGORIAS[[#All],[CAMBIO DE
CATEGORIA]],CATEGORIAS[[#All],[CATEGORIA2]],Imputar[[#This Row],[Categoría]]),0)</f>
        <v>0</v>
      </c>
      <c r="I4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-29960</v>
      </c>
      <c r="J439">
        <f>+ROUND(SUMIFS(CATEGORIAS[[#All],[PROYECCION
TOTAL DE COSTO]],CATEGORIAS[[#All],[CATEGORIA2]],Imputar[[#This Row],[Categoría]]),0)
-Imputar[[#This Row],[Inventario]]
-Imputar[[#This Row],[Pedidos no Rec]]</f>
        <v>-139192324</v>
      </c>
      <c r="K43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39">
        <f>_xlfn.IFNA(VLOOKUP(Imputar[[#This Row],[Categoría]],EIMI!C:T,8,0),0)</f>
        <v>29960</v>
      </c>
      <c r="M439">
        <f>_xlfn.IFNA(VLOOKUP(Imputar[[#This Row],[Categoría]],EIMI!C:T,9,0),0)</f>
        <v>139035380</v>
      </c>
      <c r="N439">
        <f>_xlfn.IFNA(VLOOKUP(Imputar[[#This Row],[Categoría]],EIMI!C:T,10,0),0)</f>
        <v>156944</v>
      </c>
    </row>
    <row r="440" spans="1:14" hidden="1" x14ac:dyDescent="0.25">
      <c r="A440" s="206" t="str">
        <f>Indice!$I$11</f>
        <v>EIMI00398</v>
      </c>
      <c r="B440" t="s">
        <v>1281</v>
      </c>
      <c r="C440" s="39">
        <f>Indice!$I$12</f>
        <v>46053</v>
      </c>
      <c r="E440">
        <f>ROUND(SUMIFS(CATEGORIAS[[#All],[TOTAL PRODUCCION
ACTUAL]],CATEGORIAS[[#All],[CATEGORIA2]],Imputar[[#This Row],[Categoría]]),0)</f>
        <v>0</v>
      </c>
      <c r="F440">
        <v>0</v>
      </c>
      <c r="G440">
        <f>ROUND(SUMIFS(CATEGORIAS[[#All],[PROYECCION
DE INGRESO
DEL SALDO]],CATEGORIAS[[#All],[CATEGORIA2]],Imputar[[#This Row],[Categoría]]),0)</f>
        <v>0</v>
      </c>
      <c r="H440">
        <f>ROUND(SUMIFS(CATEGORIAS[[#All],[CAMBIO DE
CATEGORIA]],CATEGORIAS[[#All],[CATEGORIA2]],Imputar[[#This Row],[Categoría]]),0)</f>
        <v>0</v>
      </c>
      <c r="I4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0">
        <f>+ROUND(SUMIFS(CATEGORIAS[[#All],[PROYECCION
TOTAL DE COSTO]],CATEGORIAS[[#All],[CATEGORIA2]],Imputar[[#This Row],[Categoría]]),0)
-Imputar[[#This Row],[Inventario]]
-Imputar[[#This Row],[Pedidos no Rec]]</f>
        <v>0</v>
      </c>
      <c r="K4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0">
        <f>_xlfn.IFNA(VLOOKUP(Imputar[[#This Row],[Categoría]],EIMI!C:T,8,0),0)</f>
        <v>0</v>
      </c>
      <c r="M440">
        <f>_xlfn.IFNA(VLOOKUP(Imputar[[#This Row],[Categoría]],EIMI!C:T,9,0),0)</f>
        <v>0</v>
      </c>
      <c r="N440">
        <f>_xlfn.IFNA(VLOOKUP(Imputar[[#This Row],[Categoría]],EIMI!C:T,10,0),0)</f>
        <v>0</v>
      </c>
    </row>
    <row r="441" spans="1:14" x14ac:dyDescent="0.25">
      <c r="A441" s="206" t="str">
        <f>Indice!$I$11</f>
        <v>EIMI00398</v>
      </c>
      <c r="B441" t="s">
        <v>1283</v>
      </c>
      <c r="C441" s="39">
        <f>Indice!$I$12</f>
        <v>46053</v>
      </c>
      <c r="E441">
        <f>ROUND(SUMIFS(CATEGORIAS[[#All],[TOTAL PRODUCCION
ACTUAL]],CATEGORIAS[[#All],[CATEGORIA2]],Imputar[[#This Row],[Categoría]]),0)</f>
        <v>0</v>
      </c>
      <c r="F441">
        <v>0</v>
      </c>
      <c r="G441">
        <f>ROUND(SUMIFS(CATEGORIAS[[#All],[PROYECCION
DE INGRESO
DEL SALDO]],CATEGORIAS[[#All],[CATEGORIA2]],Imputar[[#This Row],[Categoría]]),0)</f>
        <v>0</v>
      </c>
      <c r="H441">
        <f>ROUND(SUMIFS(CATEGORIAS[[#All],[CAMBIO DE
CATEGORIA]],CATEGORIAS[[#All],[CATEGORIA2]],Imputar[[#This Row],[Categoría]]),0)</f>
        <v>0</v>
      </c>
      <c r="I4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1">
        <f>+ROUND(SUMIFS(CATEGORIAS[[#All],[PROYECCION
TOTAL DE COSTO]],CATEGORIAS[[#All],[CATEGORIA2]],Imputar[[#This Row],[Categoría]]),0)
-Imputar[[#This Row],[Inventario]]
-Imputar[[#This Row],[Pedidos no Rec]]</f>
        <v>-6719940</v>
      </c>
      <c r="K44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41">
        <f>_xlfn.IFNA(VLOOKUP(Imputar[[#This Row],[Categoría]],EIMI!C:T,8,0),0)</f>
        <v>0</v>
      </c>
      <c r="M441">
        <f>_xlfn.IFNA(VLOOKUP(Imputar[[#This Row],[Categoría]],EIMI!C:T,9,0),0)</f>
        <v>363940</v>
      </c>
      <c r="N441">
        <f>_xlfn.IFNA(VLOOKUP(Imputar[[#This Row],[Categoría]],EIMI!C:T,10,0),0)</f>
        <v>6356000</v>
      </c>
    </row>
    <row r="442" spans="1:14" hidden="1" x14ac:dyDescent="0.25">
      <c r="A442" s="206" t="str">
        <f>Indice!$I$11</f>
        <v>EIMI00398</v>
      </c>
      <c r="B442" t="s">
        <v>1285</v>
      </c>
      <c r="C442" s="39">
        <f>Indice!$I$12</f>
        <v>46053</v>
      </c>
      <c r="E442">
        <f>ROUND(SUMIFS(CATEGORIAS[[#All],[TOTAL PRODUCCION
ACTUAL]],CATEGORIAS[[#All],[CATEGORIA2]],Imputar[[#This Row],[Categoría]]),0)</f>
        <v>0</v>
      </c>
      <c r="F442">
        <v>0</v>
      </c>
      <c r="G442">
        <f>ROUND(SUMIFS(CATEGORIAS[[#All],[PROYECCION
DE INGRESO
DEL SALDO]],CATEGORIAS[[#All],[CATEGORIA2]],Imputar[[#This Row],[Categoría]]),0)</f>
        <v>0</v>
      </c>
      <c r="H442">
        <f>ROUND(SUMIFS(CATEGORIAS[[#All],[CAMBIO DE
CATEGORIA]],CATEGORIAS[[#All],[CATEGORIA2]],Imputar[[#This Row],[Categoría]]),0)</f>
        <v>0</v>
      </c>
      <c r="I4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2">
        <f>+ROUND(SUMIFS(CATEGORIAS[[#All],[PROYECCION
TOTAL DE COSTO]],CATEGORIAS[[#All],[CATEGORIA2]],Imputar[[#This Row],[Categoría]]),0)
-Imputar[[#This Row],[Inventario]]
-Imputar[[#This Row],[Pedidos no Rec]]</f>
        <v>0</v>
      </c>
      <c r="K4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2">
        <f>_xlfn.IFNA(VLOOKUP(Imputar[[#This Row],[Categoría]],EIMI!C:T,8,0),0)</f>
        <v>0</v>
      </c>
      <c r="M442">
        <f>_xlfn.IFNA(VLOOKUP(Imputar[[#This Row],[Categoría]],EIMI!C:T,9,0),0)</f>
        <v>0</v>
      </c>
      <c r="N442">
        <f>_xlfn.IFNA(VLOOKUP(Imputar[[#This Row],[Categoría]],EIMI!C:T,10,0),0)</f>
        <v>0</v>
      </c>
    </row>
    <row r="443" spans="1:14" hidden="1" x14ac:dyDescent="0.25">
      <c r="A443" s="206" t="str">
        <f>Indice!$I$11</f>
        <v>EIMI00398</v>
      </c>
      <c r="B443" t="s">
        <v>1287</v>
      </c>
      <c r="C443" s="39">
        <f>Indice!$I$12</f>
        <v>46053</v>
      </c>
      <c r="E443">
        <f>ROUND(SUMIFS(CATEGORIAS[[#All],[TOTAL PRODUCCION
ACTUAL]],CATEGORIAS[[#All],[CATEGORIA2]],Imputar[[#This Row],[Categoría]]),0)</f>
        <v>0</v>
      </c>
      <c r="F443">
        <v>0</v>
      </c>
      <c r="G443">
        <f>ROUND(SUMIFS(CATEGORIAS[[#All],[PROYECCION
DE INGRESO
DEL SALDO]],CATEGORIAS[[#All],[CATEGORIA2]],Imputar[[#This Row],[Categoría]]),0)</f>
        <v>0</v>
      </c>
      <c r="H443">
        <f>ROUND(SUMIFS(CATEGORIAS[[#All],[CAMBIO DE
CATEGORIA]],CATEGORIAS[[#All],[CATEGORIA2]],Imputar[[#This Row],[Categoría]]),0)</f>
        <v>0</v>
      </c>
      <c r="I4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3">
        <f>+ROUND(SUMIFS(CATEGORIAS[[#All],[PROYECCION
TOTAL DE COSTO]],CATEGORIAS[[#All],[CATEGORIA2]],Imputar[[#This Row],[Categoría]]),0)
-Imputar[[#This Row],[Inventario]]
-Imputar[[#This Row],[Pedidos no Rec]]</f>
        <v>0</v>
      </c>
      <c r="K4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3">
        <f>_xlfn.IFNA(VLOOKUP(Imputar[[#This Row],[Categoría]],EIMI!C:T,8,0),0)</f>
        <v>0</v>
      </c>
      <c r="M443">
        <f>_xlfn.IFNA(VLOOKUP(Imputar[[#This Row],[Categoría]],EIMI!C:T,9,0),0)</f>
        <v>0</v>
      </c>
      <c r="N443">
        <f>_xlfn.IFNA(VLOOKUP(Imputar[[#This Row],[Categoría]],EIMI!C:T,10,0),0)</f>
        <v>0</v>
      </c>
    </row>
    <row r="444" spans="1:14" hidden="1" x14ac:dyDescent="0.25">
      <c r="A444" s="206" t="str">
        <f>Indice!$I$11</f>
        <v>EIMI00398</v>
      </c>
      <c r="B444" t="s">
        <v>1289</v>
      </c>
      <c r="C444" s="39">
        <f>Indice!$I$12</f>
        <v>46053</v>
      </c>
      <c r="E444">
        <f>ROUND(SUMIFS(CATEGORIAS[[#All],[TOTAL PRODUCCION
ACTUAL]],CATEGORIAS[[#All],[CATEGORIA2]],Imputar[[#This Row],[Categoría]]),0)</f>
        <v>0</v>
      </c>
      <c r="F444">
        <v>0</v>
      </c>
      <c r="G444">
        <f>ROUND(SUMIFS(CATEGORIAS[[#All],[PROYECCION
DE INGRESO
DEL SALDO]],CATEGORIAS[[#All],[CATEGORIA2]],Imputar[[#This Row],[Categoría]]),0)</f>
        <v>0</v>
      </c>
      <c r="H444">
        <f>ROUND(SUMIFS(CATEGORIAS[[#All],[CAMBIO DE
CATEGORIA]],CATEGORIAS[[#All],[CATEGORIA2]],Imputar[[#This Row],[Categoría]]),0)</f>
        <v>0</v>
      </c>
      <c r="I4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4">
        <f>+ROUND(SUMIFS(CATEGORIAS[[#All],[PROYECCION
TOTAL DE COSTO]],CATEGORIAS[[#All],[CATEGORIA2]],Imputar[[#This Row],[Categoría]]),0)
-Imputar[[#This Row],[Inventario]]
-Imputar[[#This Row],[Pedidos no Rec]]</f>
        <v>0</v>
      </c>
      <c r="K4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4">
        <f>_xlfn.IFNA(VLOOKUP(Imputar[[#This Row],[Categoría]],EIMI!C:T,8,0),0)</f>
        <v>0</v>
      </c>
      <c r="M444">
        <f>_xlfn.IFNA(VLOOKUP(Imputar[[#This Row],[Categoría]],EIMI!C:T,9,0),0)</f>
        <v>0</v>
      </c>
      <c r="N444">
        <f>_xlfn.IFNA(VLOOKUP(Imputar[[#This Row],[Categoría]],EIMI!C:T,10,0),0)</f>
        <v>0</v>
      </c>
    </row>
    <row r="445" spans="1:14" hidden="1" x14ac:dyDescent="0.25">
      <c r="A445" s="206" t="str">
        <f>Indice!$I$11</f>
        <v>EIMI00398</v>
      </c>
      <c r="B445" t="s">
        <v>1291</v>
      </c>
      <c r="C445" s="39">
        <f>Indice!$I$12</f>
        <v>46053</v>
      </c>
      <c r="E445">
        <f>ROUND(SUMIFS(CATEGORIAS[[#All],[TOTAL PRODUCCION
ACTUAL]],CATEGORIAS[[#All],[CATEGORIA2]],Imputar[[#This Row],[Categoría]]),0)</f>
        <v>0</v>
      </c>
      <c r="F445">
        <v>0</v>
      </c>
      <c r="G445">
        <f>ROUND(SUMIFS(CATEGORIAS[[#All],[PROYECCION
DE INGRESO
DEL SALDO]],CATEGORIAS[[#All],[CATEGORIA2]],Imputar[[#This Row],[Categoría]]),0)</f>
        <v>0</v>
      </c>
      <c r="H445">
        <f>ROUND(SUMIFS(CATEGORIAS[[#All],[CAMBIO DE
CATEGORIA]],CATEGORIAS[[#All],[CATEGORIA2]],Imputar[[#This Row],[Categoría]]),0)</f>
        <v>0</v>
      </c>
      <c r="I4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5">
        <f>+ROUND(SUMIFS(CATEGORIAS[[#All],[PROYECCION
TOTAL DE COSTO]],CATEGORIAS[[#All],[CATEGORIA2]],Imputar[[#This Row],[Categoría]]),0)
-Imputar[[#This Row],[Inventario]]
-Imputar[[#This Row],[Pedidos no Rec]]</f>
        <v>0</v>
      </c>
      <c r="K4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5">
        <f>_xlfn.IFNA(VLOOKUP(Imputar[[#This Row],[Categoría]],EIMI!C:T,8,0),0)</f>
        <v>0</v>
      </c>
      <c r="M445">
        <f>_xlfn.IFNA(VLOOKUP(Imputar[[#This Row],[Categoría]],EIMI!C:T,9,0),0)</f>
        <v>0</v>
      </c>
      <c r="N445">
        <f>_xlfn.IFNA(VLOOKUP(Imputar[[#This Row],[Categoría]],EIMI!C:T,10,0),0)</f>
        <v>0</v>
      </c>
    </row>
    <row r="446" spans="1:14" hidden="1" x14ac:dyDescent="0.25">
      <c r="A446" s="206" t="str">
        <f>Indice!$I$11</f>
        <v>EIMI00398</v>
      </c>
      <c r="B446" t="s">
        <v>1293</v>
      </c>
      <c r="C446" s="39">
        <f>Indice!$I$12</f>
        <v>46053</v>
      </c>
      <c r="E446">
        <f>ROUND(SUMIFS(CATEGORIAS[[#All],[TOTAL PRODUCCION
ACTUAL]],CATEGORIAS[[#All],[CATEGORIA2]],Imputar[[#This Row],[Categoría]]),0)</f>
        <v>0</v>
      </c>
      <c r="F446">
        <v>0</v>
      </c>
      <c r="G446">
        <f>ROUND(SUMIFS(CATEGORIAS[[#All],[PROYECCION
DE INGRESO
DEL SALDO]],CATEGORIAS[[#All],[CATEGORIA2]],Imputar[[#This Row],[Categoría]]),0)</f>
        <v>0</v>
      </c>
      <c r="H446">
        <f>ROUND(SUMIFS(CATEGORIAS[[#All],[CAMBIO DE
CATEGORIA]],CATEGORIAS[[#All],[CATEGORIA2]],Imputar[[#This Row],[Categoría]]),0)</f>
        <v>0</v>
      </c>
      <c r="I4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6">
        <f>+ROUND(SUMIFS(CATEGORIAS[[#All],[PROYECCION
TOTAL DE COSTO]],CATEGORIAS[[#All],[CATEGORIA2]],Imputar[[#This Row],[Categoría]]),0)
-Imputar[[#This Row],[Inventario]]
-Imputar[[#This Row],[Pedidos no Rec]]</f>
        <v>0</v>
      </c>
      <c r="K4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6">
        <f>_xlfn.IFNA(VLOOKUP(Imputar[[#This Row],[Categoría]],EIMI!C:T,8,0),0)</f>
        <v>0</v>
      </c>
      <c r="M446">
        <f>_xlfn.IFNA(VLOOKUP(Imputar[[#This Row],[Categoría]],EIMI!C:T,9,0),0)</f>
        <v>0</v>
      </c>
      <c r="N446">
        <f>_xlfn.IFNA(VLOOKUP(Imputar[[#This Row],[Categoría]],EIMI!C:T,10,0),0)</f>
        <v>0</v>
      </c>
    </row>
    <row r="447" spans="1:14" hidden="1" x14ac:dyDescent="0.25">
      <c r="A447" s="206" t="str">
        <f>Indice!$I$11</f>
        <v>EIMI00398</v>
      </c>
      <c r="B447" t="s">
        <v>1295</v>
      </c>
      <c r="C447" s="39">
        <f>Indice!$I$12</f>
        <v>46053</v>
      </c>
      <c r="E447">
        <f>ROUND(SUMIFS(CATEGORIAS[[#All],[TOTAL PRODUCCION
ACTUAL]],CATEGORIAS[[#All],[CATEGORIA2]],Imputar[[#This Row],[Categoría]]),0)</f>
        <v>0</v>
      </c>
      <c r="F447">
        <v>0</v>
      </c>
      <c r="G447">
        <f>ROUND(SUMIFS(CATEGORIAS[[#All],[PROYECCION
DE INGRESO
DEL SALDO]],CATEGORIAS[[#All],[CATEGORIA2]],Imputar[[#This Row],[Categoría]]),0)</f>
        <v>0</v>
      </c>
      <c r="H447">
        <f>ROUND(SUMIFS(CATEGORIAS[[#All],[CAMBIO DE
CATEGORIA]],CATEGORIAS[[#All],[CATEGORIA2]],Imputar[[#This Row],[Categoría]]),0)</f>
        <v>0</v>
      </c>
      <c r="I4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7">
        <f>+ROUND(SUMIFS(CATEGORIAS[[#All],[PROYECCION
TOTAL DE COSTO]],CATEGORIAS[[#All],[CATEGORIA2]],Imputar[[#This Row],[Categoría]]),0)
-Imputar[[#This Row],[Inventario]]
-Imputar[[#This Row],[Pedidos no Rec]]</f>
        <v>0</v>
      </c>
      <c r="K4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7">
        <f>_xlfn.IFNA(VLOOKUP(Imputar[[#This Row],[Categoría]],EIMI!C:T,8,0),0)</f>
        <v>0</v>
      </c>
      <c r="M447">
        <f>_xlfn.IFNA(VLOOKUP(Imputar[[#This Row],[Categoría]],EIMI!C:T,9,0),0)</f>
        <v>0</v>
      </c>
      <c r="N447">
        <f>_xlfn.IFNA(VLOOKUP(Imputar[[#This Row],[Categoría]],EIMI!C:T,10,0),0)</f>
        <v>0</v>
      </c>
    </row>
    <row r="448" spans="1:14" hidden="1" x14ac:dyDescent="0.25">
      <c r="A448" s="206" t="str">
        <f>Indice!$I$11</f>
        <v>EIMI00398</v>
      </c>
      <c r="B448" t="s">
        <v>1297</v>
      </c>
      <c r="C448" s="39">
        <f>Indice!$I$12</f>
        <v>46053</v>
      </c>
      <c r="E448">
        <f>ROUND(SUMIFS(CATEGORIAS[[#All],[TOTAL PRODUCCION
ACTUAL]],CATEGORIAS[[#All],[CATEGORIA2]],Imputar[[#This Row],[Categoría]]),0)</f>
        <v>0</v>
      </c>
      <c r="F448">
        <v>0</v>
      </c>
      <c r="G448">
        <f>ROUND(SUMIFS(CATEGORIAS[[#All],[PROYECCION
DE INGRESO
DEL SALDO]],CATEGORIAS[[#All],[CATEGORIA2]],Imputar[[#This Row],[Categoría]]),0)</f>
        <v>0</v>
      </c>
      <c r="H448">
        <f>ROUND(SUMIFS(CATEGORIAS[[#All],[CAMBIO DE
CATEGORIA]],CATEGORIAS[[#All],[CATEGORIA2]],Imputar[[#This Row],[Categoría]]),0)</f>
        <v>0</v>
      </c>
      <c r="I4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8">
        <f>+ROUND(SUMIFS(CATEGORIAS[[#All],[PROYECCION
TOTAL DE COSTO]],CATEGORIAS[[#All],[CATEGORIA2]],Imputar[[#This Row],[Categoría]]),0)
-Imputar[[#This Row],[Inventario]]
-Imputar[[#This Row],[Pedidos no Rec]]</f>
        <v>0</v>
      </c>
      <c r="K4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8">
        <f>_xlfn.IFNA(VLOOKUP(Imputar[[#This Row],[Categoría]],EIMI!C:T,8,0),0)</f>
        <v>0</v>
      </c>
      <c r="M448">
        <f>_xlfn.IFNA(VLOOKUP(Imputar[[#This Row],[Categoría]],EIMI!C:T,9,0),0)</f>
        <v>0</v>
      </c>
      <c r="N448">
        <f>_xlfn.IFNA(VLOOKUP(Imputar[[#This Row],[Categoría]],EIMI!C:T,10,0),0)</f>
        <v>0</v>
      </c>
    </row>
    <row r="449" spans="1:14" hidden="1" x14ac:dyDescent="0.25">
      <c r="A449" s="206" t="str">
        <f>Indice!$I$11</f>
        <v>EIMI00398</v>
      </c>
      <c r="B449" t="s">
        <v>1306</v>
      </c>
      <c r="C449" s="39">
        <f>Indice!$I$12</f>
        <v>46053</v>
      </c>
      <c r="E449">
        <f>ROUND(SUMIFS(CATEGORIAS[[#All],[TOTAL PRODUCCION
ACTUAL]],CATEGORIAS[[#All],[CATEGORIA2]],Imputar[[#This Row],[Categoría]]),0)</f>
        <v>0</v>
      </c>
      <c r="F449">
        <v>0</v>
      </c>
      <c r="G449">
        <f>ROUND(SUMIFS(CATEGORIAS[[#All],[PROYECCION
DE INGRESO
DEL SALDO]],CATEGORIAS[[#All],[CATEGORIA2]],Imputar[[#This Row],[Categoría]]),0)</f>
        <v>0</v>
      </c>
      <c r="H449">
        <f>ROUND(SUMIFS(CATEGORIAS[[#All],[CAMBIO DE
CATEGORIA]],CATEGORIAS[[#All],[CATEGORIA2]],Imputar[[#This Row],[Categoría]]),0)</f>
        <v>0</v>
      </c>
      <c r="I4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49">
        <f>+ROUND(SUMIFS(CATEGORIAS[[#All],[PROYECCION
TOTAL DE COSTO]],CATEGORIAS[[#All],[CATEGORIA2]],Imputar[[#This Row],[Categoría]]),0)
-Imputar[[#This Row],[Inventario]]
-Imputar[[#This Row],[Pedidos no Rec]]</f>
        <v>0</v>
      </c>
      <c r="K4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49">
        <f>_xlfn.IFNA(VLOOKUP(Imputar[[#This Row],[Categoría]],EIMI!C:T,8,0),0)</f>
        <v>0</v>
      </c>
      <c r="M449">
        <f>_xlfn.IFNA(VLOOKUP(Imputar[[#This Row],[Categoría]],EIMI!C:T,9,0),0)</f>
        <v>0</v>
      </c>
      <c r="N449">
        <f>_xlfn.IFNA(VLOOKUP(Imputar[[#This Row],[Categoría]],EIMI!C:T,10,0),0)</f>
        <v>0</v>
      </c>
    </row>
    <row r="450" spans="1:14" hidden="1" x14ac:dyDescent="0.25">
      <c r="A450" s="206" t="str">
        <f>Indice!$I$11</f>
        <v>EIMI00398</v>
      </c>
      <c r="B450" t="s">
        <v>1308</v>
      </c>
      <c r="C450" s="39">
        <f>Indice!$I$12</f>
        <v>46053</v>
      </c>
      <c r="E450">
        <f>ROUND(SUMIFS(CATEGORIAS[[#All],[TOTAL PRODUCCION
ACTUAL]],CATEGORIAS[[#All],[CATEGORIA2]],Imputar[[#This Row],[Categoría]]),0)</f>
        <v>0</v>
      </c>
      <c r="F450">
        <v>0</v>
      </c>
      <c r="G450">
        <f>ROUND(SUMIFS(CATEGORIAS[[#All],[PROYECCION
DE INGRESO
DEL SALDO]],CATEGORIAS[[#All],[CATEGORIA2]],Imputar[[#This Row],[Categoría]]),0)</f>
        <v>0</v>
      </c>
      <c r="H450">
        <f>ROUND(SUMIFS(CATEGORIAS[[#All],[CAMBIO DE
CATEGORIA]],CATEGORIAS[[#All],[CATEGORIA2]],Imputar[[#This Row],[Categoría]]),0)</f>
        <v>0</v>
      </c>
      <c r="I4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0">
        <f>+ROUND(SUMIFS(CATEGORIAS[[#All],[PROYECCION
TOTAL DE COSTO]],CATEGORIAS[[#All],[CATEGORIA2]],Imputar[[#This Row],[Categoría]]),0)
-Imputar[[#This Row],[Inventario]]
-Imputar[[#This Row],[Pedidos no Rec]]</f>
        <v>0</v>
      </c>
      <c r="K4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0">
        <f>_xlfn.IFNA(VLOOKUP(Imputar[[#This Row],[Categoría]],EIMI!C:T,8,0),0)</f>
        <v>0</v>
      </c>
      <c r="M450">
        <f>_xlfn.IFNA(VLOOKUP(Imputar[[#This Row],[Categoría]],EIMI!C:T,9,0),0)</f>
        <v>0</v>
      </c>
      <c r="N450">
        <f>_xlfn.IFNA(VLOOKUP(Imputar[[#This Row],[Categoría]],EIMI!C:T,10,0),0)</f>
        <v>0</v>
      </c>
    </row>
    <row r="451" spans="1:14" x14ac:dyDescent="0.25">
      <c r="A451" s="206" t="str">
        <f>Indice!$I$11</f>
        <v>EIMI00398</v>
      </c>
      <c r="B451" t="s">
        <v>1310</v>
      </c>
      <c r="C451" s="39">
        <f>Indice!$I$12</f>
        <v>46053</v>
      </c>
      <c r="E451">
        <f>ROUND(SUMIFS(CATEGORIAS[[#All],[TOTAL PRODUCCION
ACTUAL]],CATEGORIAS[[#All],[CATEGORIA2]],Imputar[[#This Row],[Categoría]]),0)</f>
        <v>0</v>
      </c>
      <c r="F451">
        <v>0</v>
      </c>
      <c r="G451">
        <f>ROUND(SUMIFS(CATEGORIAS[[#All],[PROYECCION
DE INGRESO
DEL SALDO]],CATEGORIAS[[#All],[CATEGORIA2]],Imputar[[#This Row],[Categoría]]),0)</f>
        <v>0</v>
      </c>
      <c r="H451">
        <f>ROUND(SUMIFS(CATEGORIAS[[#All],[CAMBIO DE
CATEGORIA]],CATEGORIAS[[#All],[CATEGORIA2]],Imputar[[#This Row],[Categoría]]),0)</f>
        <v>0</v>
      </c>
      <c r="I4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-1518045</v>
      </c>
      <c r="J451">
        <f>+ROUND(SUMIFS(CATEGORIAS[[#All],[PROYECCION
TOTAL DE COSTO]],CATEGORIAS[[#All],[CATEGORIA2]],Imputar[[#This Row],[Categoría]]),0)
-Imputar[[#This Row],[Inventario]]
-Imputar[[#This Row],[Pedidos no Rec]]</f>
        <v>-925139</v>
      </c>
      <c r="K45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1">
        <f>_xlfn.IFNA(VLOOKUP(Imputar[[#This Row],[Categoría]],EIMI!C:T,8,0),0)</f>
        <v>1518045</v>
      </c>
      <c r="M451">
        <f>_xlfn.IFNA(VLOOKUP(Imputar[[#This Row],[Categoría]],EIMI!C:T,9,0),0)</f>
        <v>925139</v>
      </c>
      <c r="N451">
        <f>_xlfn.IFNA(VLOOKUP(Imputar[[#This Row],[Categoría]],EIMI!C:T,10,0),0)</f>
        <v>0</v>
      </c>
    </row>
    <row r="452" spans="1:14" x14ac:dyDescent="0.25">
      <c r="A452" s="206" t="str">
        <f>Indice!$I$11</f>
        <v>EIMI00398</v>
      </c>
      <c r="B452" t="s">
        <v>1312</v>
      </c>
      <c r="C452" s="39">
        <f>Indice!$I$12</f>
        <v>46053</v>
      </c>
      <c r="E452">
        <f>ROUND(SUMIFS(CATEGORIAS[[#All],[TOTAL PRODUCCION
ACTUAL]],CATEGORIAS[[#All],[CATEGORIA2]],Imputar[[#This Row],[Categoría]]),0)</f>
        <v>0</v>
      </c>
      <c r="F452">
        <v>0</v>
      </c>
      <c r="G452">
        <f>ROUND(SUMIFS(CATEGORIAS[[#All],[PROYECCION
DE INGRESO
DEL SALDO]],CATEGORIAS[[#All],[CATEGORIA2]],Imputar[[#This Row],[Categoría]]),0)</f>
        <v>0</v>
      </c>
      <c r="H452">
        <f>ROUND(SUMIFS(CATEGORIAS[[#All],[CAMBIO DE
CATEGORIA]],CATEGORIAS[[#All],[CATEGORIA2]],Imputar[[#This Row],[Categoría]]),0)</f>
        <v>0</v>
      </c>
      <c r="I4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-2125769</v>
      </c>
      <c r="J452">
        <f>+ROUND(SUMIFS(CATEGORIAS[[#All],[PROYECCION
TOTAL DE COSTO]],CATEGORIAS[[#All],[CATEGORIA2]],Imputar[[#This Row],[Categoría]]),0)
-Imputar[[#This Row],[Inventario]]
-Imputar[[#This Row],[Pedidos no Rec]]</f>
        <v>0</v>
      </c>
      <c r="K45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2">
        <f>_xlfn.IFNA(VLOOKUP(Imputar[[#This Row],[Categoría]],EIMI!C:T,8,0),0)</f>
        <v>2125769</v>
      </c>
      <c r="M452">
        <f>_xlfn.IFNA(VLOOKUP(Imputar[[#This Row],[Categoría]],EIMI!C:T,9,0),0)</f>
        <v>0</v>
      </c>
      <c r="N452">
        <f>_xlfn.IFNA(VLOOKUP(Imputar[[#This Row],[Categoría]],EIMI!C:T,10,0),0)</f>
        <v>0</v>
      </c>
    </row>
    <row r="453" spans="1:14" x14ac:dyDescent="0.25">
      <c r="A453" s="206" t="str">
        <f>Indice!$I$11</f>
        <v>EIMI00398</v>
      </c>
      <c r="B453" t="s">
        <v>309</v>
      </c>
      <c r="C453" s="39">
        <f>Indice!$I$12</f>
        <v>46053</v>
      </c>
      <c r="E453">
        <f>ROUND(SUMIFS(CATEGORIAS[[#All],[TOTAL PRODUCCION
ACTUAL]],CATEGORIAS[[#All],[CATEGORIA2]],Imputar[[#This Row],[Categoría]]),0)</f>
        <v>0</v>
      </c>
      <c r="F453">
        <v>0</v>
      </c>
      <c r="G453">
        <f>ROUND(SUMIFS(CATEGORIAS[[#All],[PROYECCION
DE INGRESO
DEL SALDO]],CATEGORIAS[[#All],[CATEGORIA2]],Imputar[[#This Row],[Categoría]]),0)</f>
        <v>0</v>
      </c>
      <c r="H453">
        <f>ROUND(SUMIFS(CATEGORIAS[[#All],[CAMBIO DE
CATEGORIA]],CATEGORIAS[[#All],[CATEGORIA2]],Imputar[[#This Row],[Categoría]]),0)</f>
        <v>0</v>
      </c>
      <c r="I4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3">
        <f>+ROUND(SUMIFS(CATEGORIAS[[#All],[PROYECCION
TOTAL DE COSTO]],CATEGORIAS[[#All],[CATEGORIA2]],Imputar[[#This Row],[Categoría]]),0)
-Imputar[[#This Row],[Inventario]]
-Imputar[[#This Row],[Pedidos no Rec]]</f>
        <v>0</v>
      </c>
      <c r="K4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3">
        <f>_xlfn.IFNA(VLOOKUP(Imputar[[#This Row],[Categoría]],EIMI!C:T,8,0),0)</f>
        <v>0</v>
      </c>
      <c r="M453">
        <f>_xlfn.IFNA(VLOOKUP(Imputar[[#This Row],[Categoría]],EIMI!C:T,9,0),0)</f>
        <v>0</v>
      </c>
      <c r="N453">
        <f>_xlfn.IFNA(VLOOKUP(Imputar[[#This Row],[Categoría]],EIMI!C:T,10,0),0)</f>
        <v>0</v>
      </c>
    </row>
    <row r="454" spans="1:14" hidden="1" x14ac:dyDescent="0.25">
      <c r="A454" s="206" t="str">
        <f>Indice!$I$11</f>
        <v>EIMI00398</v>
      </c>
      <c r="B454" t="s">
        <v>1314</v>
      </c>
      <c r="C454" s="39">
        <f>Indice!$I$12</f>
        <v>46053</v>
      </c>
      <c r="E454">
        <f>ROUND(SUMIFS(CATEGORIAS[[#All],[TOTAL PRODUCCION
ACTUAL]],CATEGORIAS[[#All],[CATEGORIA2]],Imputar[[#This Row],[Categoría]]),0)</f>
        <v>0</v>
      </c>
      <c r="F454">
        <v>0</v>
      </c>
      <c r="G454">
        <f>ROUND(SUMIFS(CATEGORIAS[[#All],[PROYECCION
DE INGRESO
DEL SALDO]],CATEGORIAS[[#All],[CATEGORIA2]],Imputar[[#This Row],[Categoría]]),0)</f>
        <v>0</v>
      </c>
      <c r="H454">
        <f>ROUND(SUMIFS(CATEGORIAS[[#All],[CAMBIO DE
CATEGORIA]],CATEGORIAS[[#All],[CATEGORIA2]],Imputar[[#This Row],[Categoría]]),0)</f>
        <v>0</v>
      </c>
      <c r="I4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4">
        <f>+ROUND(SUMIFS(CATEGORIAS[[#All],[PROYECCION
TOTAL DE COSTO]],CATEGORIAS[[#All],[CATEGORIA2]],Imputar[[#This Row],[Categoría]]),0)
-Imputar[[#This Row],[Inventario]]
-Imputar[[#This Row],[Pedidos no Rec]]</f>
        <v>0</v>
      </c>
      <c r="K4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4">
        <f>_xlfn.IFNA(VLOOKUP(Imputar[[#This Row],[Categoría]],EIMI!C:T,8,0),0)</f>
        <v>0</v>
      </c>
      <c r="M454">
        <f>_xlfn.IFNA(VLOOKUP(Imputar[[#This Row],[Categoría]],EIMI!C:T,9,0),0)</f>
        <v>0</v>
      </c>
      <c r="N454">
        <f>_xlfn.IFNA(VLOOKUP(Imputar[[#This Row],[Categoría]],EIMI!C:T,10,0),0)</f>
        <v>0</v>
      </c>
    </row>
    <row r="455" spans="1:14" x14ac:dyDescent="0.25">
      <c r="A455" s="206" t="str">
        <f>Indice!$I$11</f>
        <v>EIMI00398</v>
      </c>
      <c r="B455" t="s">
        <v>1316</v>
      </c>
      <c r="C455" s="39">
        <f>Indice!$I$12</f>
        <v>46053</v>
      </c>
      <c r="E455">
        <f>ROUND(SUMIFS(CATEGORIAS[[#All],[TOTAL PRODUCCION
ACTUAL]],CATEGORIAS[[#All],[CATEGORIA2]],Imputar[[#This Row],[Categoría]]),0)</f>
        <v>0</v>
      </c>
      <c r="F455">
        <v>0</v>
      </c>
      <c r="G455">
        <f>ROUND(SUMIFS(CATEGORIAS[[#All],[PROYECCION
DE INGRESO
DEL SALDO]],CATEGORIAS[[#All],[CATEGORIA2]],Imputar[[#This Row],[Categoría]]),0)</f>
        <v>0</v>
      </c>
      <c r="H455">
        <f>ROUND(SUMIFS(CATEGORIAS[[#All],[CAMBIO DE
CATEGORIA]],CATEGORIAS[[#All],[CATEGORIA2]],Imputar[[#This Row],[Categoría]]),0)</f>
        <v>0</v>
      </c>
      <c r="I4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-312000</v>
      </c>
      <c r="J455">
        <f>+ROUND(SUMIFS(CATEGORIAS[[#All],[PROYECCION
TOTAL DE COSTO]],CATEGORIAS[[#All],[CATEGORIA2]],Imputar[[#This Row],[Categoría]]),0)
-Imputar[[#This Row],[Inventario]]
-Imputar[[#This Row],[Pedidos no Rec]]</f>
        <v>0</v>
      </c>
      <c r="K45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5">
        <f>_xlfn.IFNA(VLOOKUP(Imputar[[#This Row],[Categoría]],EIMI!C:T,8,0),0)</f>
        <v>312000</v>
      </c>
      <c r="M455">
        <f>_xlfn.IFNA(VLOOKUP(Imputar[[#This Row],[Categoría]],EIMI!C:T,9,0),0)</f>
        <v>0</v>
      </c>
      <c r="N455">
        <f>_xlfn.IFNA(VLOOKUP(Imputar[[#This Row],[Categoría]],EIMI!C:T,10,0),0)</f>
        <v>0</v>
      </c>
    </row>
    <row r="456" spans="1:14" hidden="1" x14ac:dyDescent="0.25">
      <c r="A456" s="206" t="str">
        <f>Indice!$I$11</f>
        <v>EIMI00398</v>
      </c>
      <c r="B456" t="s">
        <v>1318</v>
      </c>
      <c r="C456" s="39">
        <f>Indice!$I$12</f>
        <v>46053</v>
      </c>
      <c r="E456">
        <f>ROUND(SUMIFS(CATEGORIAS[[#All],[TOTAL PRODUCCION
ACTUAL]],CATEGORIAS[[#All],[CATEGORIA2]],Imputar[[#This Row],[Categoría]]),0)</f>
        <v>0</v>
      </c>
      <c r="F456">
        <v>0</v>
      </c>
      <c r="G456">
        <f>ROUND(SUMIFS(CATEGORIAS[[#All],[PROYECCION
DE INGRESO
DEL SALDO]],CATEGORIAS[[#All],[CATEGORIA2]],Imputar[[#This Row],[Categoría]]),0)</f>
        <v>0</v>
      </c>
      <c r="H456">
        <f>ROUND(SUMIFS(CATEGORIAS[[#All],[CAMBIO DE
CATEGORIA]],CATEGORIAS[[#All],[CATEGORIA2]],Imputar[[#This Row],[Categoría]]),0)</f>
        <v>0</v>
      </c>
      <c r="I4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6">
        <f>+ROUND(SUMIFS(CATEGORIAS[[#All],[PROYECCION
TOTAL DE COSTO]],CATEGORIAS[[#All],[CATEGORIA2]],Imputar[[#This Row],[Categoría]]),0)
-Imputar[[#This Row],[Inventario]]
-Imputar[[#This Row],[Pedidos no Rec]]</f>
        <v>0</v>
      </c>
      <c r="K4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56">
        <f>_xlfn.IFNA(VLOOKUP(Imputar[[#This Row],[Categoría]],EIMI!C:T,8,0),0)</f>
        <v>0</v>
      </c>
      <c r="M456">
        <f>_xlfn.IFNA(VLOOKUP(Imputar[[#This Row],[Categoría]],EIMI!C:T,9,0),0)</f>
        <v>0</v>
      </c>
      <c r="N456">
        <f>_xlfn.IFNA(VLOOKUP(Imputar[[#This Row],[Categoría]],EIMI!C:T,10,0),0)</f>
        <v>0</v>
      </c>
    </row>
    <row r="457" spans="1:14" x14ac:dyDescent="0.25">
      <c r="A457" s="206" t="str">
        <f>Indice!$I$11</f>
        <v>EIMI00398</v>
      </c>
      <c r="B457" t="s">
        <v>315</v>
      </c>
      <c r="C457" s="39">
        <f>Indice!$I$12</f>
        <v>46053</v>
      </c>
      <c r="E457">
        <f>ROUND(SUMIFS(CATEGORIAS[[#All],[TOTAL PRODUCCION
ACTUAL]],CATEGORIAS[[#All],[CATEGORIA2]],Imputar[[#This Row],[Categoría]]),0)</f>
        <v>0</v>
      </c>
      <c r="F457">
        <v>0</v>
      </c>
      <c r="G457">
        <f>ROUND(SUMIFS(CATEGORIAS[[#All],[PROYECCION
DE INGRESO
DEL SALDO]],CATEGORIAS[[#All],[CATEGORIA2]],Imputar[[#This Row],[Categoría]]),0)</f>
        <v>0</v>
      </c>
      <c r="H457">
        <f>ROUND(SUMIFS(CATEGORIAS[[#All],[CAMBIO DE
CATEGORIA]],CATEGORIAS[[#All],[CATEGORIA2]],Imputar[[#This Row],[Categoría]]),0)</f>
        <v>0</v>
      </c>
      <c r="I4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7">
        <f>+ROUND(SUMIFS(CATEGORIAS[[#All],[PROYECCION
TOTAL DE COSTO]],CATEGORIAS[[#All],[CATEGORIA2]],Imputar[[#This Row],[Categoría]]),0)
-Imputar[[#This Row],[Inventario]]
-Imputar[[#This Row],[Pedidos no Rec]]</f>
        <v>-6044690</v>
      </c>
      <c r="K45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7">
        <f>_xlfn.IFNA(VLOOKUP(Imputar[[#This Row],[Categoría]],EIMI!C:T,8,0),0)</f>
        <v>0</v>
      </c>
      <c r="M457">
        <f>_xlfn.IFNA(VLOOKUP(Imputar[[#This Row],[Categoría]],EIMI!C:T,9,0),0)</f>
        <v>5589490</v>
      </c>
      <c r="N457">
        <f>_xlfn.IFNA(VLOOKUP(Imputar[[#This Row],[Categoría]],EIMI!C:T,10,0),0)</f>
        <v>455200</v>
      </c>
    </row>
    <row r="458" spans="1:14" x14ac:dyDescent="0.25">
      <c r="A458" s="206" t="str">
        <f>Indice!$I$11</f>
        <v>EIMI00398</v>
      </c>
      <c r="B458" t="s">
        <v>1320</v>
      </c>
      <c r="C458" s="39">
        <f>Indice!$I$12</f>
        <v>46053</v>
      </c>
      <c r="E458">
        <f>ROUND(SUMIFS(CATEGORIAS[[#All],[TOTAL PRODUCCION
ACTUAL]],CATEGORIAS[[#All],[CATEGORIA2]],Imputar[[#This Row],[Categoría]]),0)</f>
        <v>0</v>
      </c>
      <c r="F458">
        <v>0</v>
      </c>
      <c r="G458">
        <f>ROUND(SUMIFS(CATEGORIAS[[#All],[PROYECCION
DE INGRESO
DEL SALDO]],CATEGORIAS[[#All],[CATEGORIA2]],Imputar[[#This Row],[Categoría]]),0)</f>
        <v>0</v>
      </c>
      <c r="H458">
        <f>ROUND(SUMIFS(CATEGORIAS[[#All],[CAMBIO DE
CATEGORIA]],CATEGORIAS[[#All],[CATEGORIA2]],Imputar[[#This Row],[Categoría]]),0)</f>
        <v>0</v>
      </c>
      <c r="I4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-567140</v>
      </c>
      <c r="J458">
        <f>+ROUND(SUMIFS(CATEGORIAS[[#All],[PROYECCION
TOTAL DE COSTO]],CATEGORIAS[[#All],[CATEGORIA2]],Imputar[[#This Row],[Categoría]]),0)
-Imputar[[#This Row],[Inventario]]
-Imputar[[#This Row],[Pedidos no Rec]]</f>
        <v>0</v>
      </c>
      <c r="K45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8">
        <f>_xlfn.IFNA(VLOOKUP(Imputar[[#This Row],[Categoría]],EIMI!C:T,8,0),0)</f>
        <v>567140</v>
      </c>
      <c r="M458">
        <f>_xlfn.IFNA(VLOOKUP(Imputar[[#This Row],[Categoría]],EIMI!C:T,9,0),0)</f>
        <v>0</v>
      </c>
      <c r="N458">
        <f>_xlfn.IFNA(VLOOKUP(Imputar[[#This Row],[Categoría]],EIMI!C:T,10,0),0)</f>
        <v>0</v>
      </c>
    </row>
    <row r="459" spans="1:14" x14ac:dyDescent="0.25">
      <c r="A459" s="206" t="str">
        <f>Indice!$I$11</f>
        <v>EIMI00398</v>
      </c>
      <c r="B459" t="s">
        <v>1322</v>
      </c>
      <c r="C459" s="39">
        <f>Indice!$I$12</f>
        <v>46053</v>
      </c>
      <c r="E459">
        <f>ROUND(SUMIFS(CATEGORIAS[[#All],[TOTAL PRODUCCION
ACTUAL]],CATEGORIAS[[#All],[CATEGORIA2]],Imputar[[#This Row],[Categoría]]),0)</f>
        <v>0</v>
      </c>
      <c r="F459">
        <v>0</v>
      </c>
      <c r="G459">
        <f>ROUND(SUMIFS(CATEGORIAS[[#All],[PROYECCION
DE INGRESO
DEL SALDO]],CATEGORIAS[[#All],[CATEGORIA2]],Imputar[[#This Row],[Categoría]]),0)</f>
        <v>0</v>
      </c>
      <c r="H459">
        <f>ROUND(SUMIFS(CATEGORIAS[[#All],[CAMBIO DE
CATEGORIA]],CATEGORIAS[[#All],[CATEGORIA2]],Imputar[[#This Row],[Categoría]]),0)</f>
        <v>0</v>
      </c>
      <c r="I4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59">
        <f>+ROUND(SUMIFS(CATEGORIAS[[#All],[PROYECCION
TOTAL DE COSTO]],CATEGORIAS[[#All],[CATEGORIA2]],Imputar[[#This Row],[Categoría]]),0)
-Imputar[[#This Row],[Inventario]]
-Imputar[[#This Row],[Pedidos no Rec]]</f>
        <v>-307990</v>
      </c>
      <c r="K45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59">
        <f>_xlfn.IFNA(VLOOKUP(Imputar[[#This Row],[Categoría]],EIMI!C:T,8,0),0)</f>
        <v>0</v>
      </c>
      <c r="M459">
        <f>_xlfn.IFNA(VLOOKUP(Imputar[[#This Row],[Categoría]],EIMI!C:T,9,0),0)</f>
        <v>307990</v>
      </c>
      <c r="N459">
        <f>_xlfn.IFNA(VLOOKUP(Imputar[[#This Row],[Categoría]],EIMI!C:T,10,0),0)</f>
        <v>0</v>
      </c>
    </row>
    <row r="460" spans="1:14" hidden="1" x14ac:dyDescent="0.25">
      <c r="A460" s="206" t="str">
        <f>Indice!$I$11</f>
        <v>EIMI00398</v>
      </c>
      <c r="B460" t="s">
        <v>1324</v>
      </c>
      <c r="C460" s="39">
        <f>Indice!$I$12</f>
        <v>46053</v>
      </c>
      <c r="E460">
        <f>ROUND(SUMIFS(CATEGORIAS[[#All],[TOTAL PRODUCCION
ACTUAL]],CATEGORIAS[[#All],[CATEGORIA2]],Imputar[[#This Row],[Categoría]]),0)</f>
        <v>0</v>
      </c>
      <c r="F460">
        <v>0</v>
      </c>
      <c r="G460">
        <f>ROUND(SUMIFS(CATEGORIAS[[#All],[PROYECCION
DE INGRESO
DEL SALDO]],CATEGORIAS[[#All],[CATEGORIA2]],Imputar[[#This Row],[Categoría]]),0)</f>
        <v>0</v>
      </c>
      <c r="H460">
        <f>ROUND(SUMIFS(CATEGORIAS[[#All],[CAMBIO DE
CATEGORIA]],CATEGORIAS[[#All],[CATEGORIA2]],Imputar[[#This Row],[Categoría]]),0)</f>
        <v>0</v>
      </c>
      <c r="I4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0">
        <f>+ROUND(SUMIFS(CATEGORIAS[[#All],[PROYECCION
TOTAL DE COSTO]],CATEGORIAS[[#All],[CATEGORIA2]],Imputar[[#This Row],[Categoría]]),0)
-Imputar[[#This Row],[Inventario]]
-Imputar[[#This Row],[Pedidos no Rec]]</f>
        <v>0</v>
      </c>
      <c r="K4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0">
        <f>_xlfn.IFNA(VLOOKUP(Imputar[[#This Row],[Categoría]],EIMI!C:T,8,0),0)</f>
        <v>0</v>
      </c>
      <c r="M460">
        <f>_xlfn.IFNA(VLOOKUP(Imputar[[#This Row],[Categoría]],EIMI!C:T,9,0),0)</f>
        <v>0</v>
      </c>
      <c r="N460">
        <f>_xlfn.IFNA(VLOOKUP(Imputar[[#This Row],[Categoría]],EIMI!C:T,10,0),0)</f>
        <v>0</v>
      </c>
    </row>
    <row r="461" spans="1:14" hidden="1" x14ac:dyDescent="0.25">
      <c r="A461" s="206" t="str">
        <f>Indice!$I$11</f>
        <v>EIMI00398</v>
      </c>
      <c r="B461" t="s">
        <v>1326</v>
      </c>
      <c r="C461" s="39">
        <f>Indice!$I$12</f>
        <v>46053</v>
      </c>
      <c r="E461">
        <f>ROUND(SUMIFS(CATEGORIAS[[#All],[TOTAL PRODUCCION
ACTUAL]],CATEGORIAS[[#All],[CATEGORIA2]],Imputar[[#This Row],[Categoría]]),0)</f>
        <v>0</v>
      </c>
      <c r="F461">
        <v>0</v>
      </c>
      <c r="G461">
        <f>ROUND(SUMIFS(CATEGORIAS[[#All],[PROYECCION
DE INGRESO
DEL SALDO]],CATEGORIAS[[#All],[CATEGORIA2]],Imputar[[#This Row],[Categoría]]),0)</f>
        <v>0</v>
      </c>
      <c r="H461">
        <f>ROUND(SUMIFS(CATEGORIAS[[#All],[CAMBIO DE
CATEGORIA]],CATEGORIAS[[#All],[CATEGORIA2]],Imputar[[#This Row],[Categoría]]),0)</f>
        <v>0</v>
      </c>
      <c r="I4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1">
        <f>+ROUND(SUMIFS(CATEGORIAS[[#All],[PROYECCION
TOTAL DE COSTO]],CATEGORIAS[[#All],[CATEGORIA2]],Imputar[[#This Row],[Categoría]]),0)
-Imputar[[#This Row],[Inventario]]
-Imputar[[#This Row],[Pedidos no Rec]]</f>
        <v>0</v>
      </c>
      <c r="K4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1">
        <f>_xlfn.IFNA(VLOOKUP(Imputar[[#This Row],[Categoría]],EIMI!C:T,8,0),0)</f>
        <v>0</v>
      </c>
      <c r="M461">
        <f>_xlfn.IFNA(VLOOKUP(Imputar[[#This Row],[Categoría]],EIMI!C:T,9,0),0)</f>
        <v>0</v>
      </c>
      <c r="N461">
        <f>_xlfn.IFNA(VLOOKUP(Imputar[[#This Row],[Categoría]],EIMI!C:T,10,0),0)</f>
        <v>0</v>
      </c>
    </row>
    <row r="462" spans="1:14" hidden="1" x14ac:dyDescent="0.25">
      <c r="A462" s="206" t="str">
        <f>Indice!$I$11</f>
        <v>EIMI00398</v>
      </c>
      <c r="B462" t="s">
        <v>1328</v>
      </c>
      <c r="C462" s="39">
        <f>Indice!$I$12</f>
        <v>46053</v>
      </c>
      <c r="E462">
        <f>ROUND(SUMIFS(CATEGORIAS[[#All],[TOTAL PRODUCCION
ACTUAL]],CATEGORIAS[[#All],[CATEGORIA2]],Imputar[[#This Row],[Categoría]]),0)</f>
        <v>0</v>
      </c>
      <c r="F462">
        <v>0</v>
      </c>
      <c r="G462">
        <f>ROUND(SUMIFS(CATEGORIAS[[#All],[PROYECCION
DE INGRESO
DEL SALDO]],CATEGORIAS[[#All],[CATEGORIA2]],Imputar[[#This Row],[Categoría]]),0)</f>
        <v>0</v>
      </c>
      <c r="H462">
        <f>ROUND(SUMIFS(CATEGORIAS[[#All],[CAMBIO DE
CATEGORIA]],CATEGORIAS[[#All],[CATEGORIA2]],Imputar[[#This Row],[Categoría]]),0)</f>
        <v>0</v>
      </c>
      <c r="I4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2">
        <f>+ROUND(SUMIFS(CATEGORIAS[[#All],[PROYECCION
TOTAL DE COSTO]],CATEGORIAS[[#All],[CATEGORIA2]],Imputar[[#This Row],[Categoría]]),0)
-Imputar[[#This Row],[Inventario]]
-Imputar[[#This Row],[Pedidos no Rec]]</f>
        <v>0</v>
      </c>
      <c r="K4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2">
        <f>_xlfn.IFNA(VLOOKUP(Imputar[[#This Row],[Categoría]],EIMI!C:T,8,0),0)</f>
        <v>0</v>
      </c>
      <c r="M462">
        <f>_xlfn.IFNA(VLOOKUP(Imputar[[#This Row],[Categoría]],EIMI!C:T,9,0),0)</f>
        <v>0</v>
      </c>
      <c r="N462">
        <f>_xlfn.IFNA(VLOOKUP(Imputar[[#This Row],[Categoría]],EIMI!C:T,10,0),0)</f>
        <v>0</v>
      </c>
    </row>
    <row r="463" spans="1:14" x14ac:dyDescent="0.25">
      <c r="A463" s="206" t="str">
        <f>Indice!$I$11</f>
        <v>EIMI00398</v>
      </c>
      <c r="B463" t="s">
        <v>1330</v>
      </c>
      <c r="C463" s="39">
        <f>Indice!$I$12</f>
        <v>46053</v>
      </c>
      <c r="E463">
        <f>ROUND(SUMIFS(CATEGORIAS[[#All],[TOTAL PRODUCCION
ACTUAL]],CATEGORIAS[[#All],[CATEGORIA2]],Imputar[[#This Row],[Categoría]]),0)</f>
        <v>0</v>
      </c>
      <c r="F463">
        <v>0</v>
      </c>
      <c r="G463">
        <f>ROUND(SUMIFS(CATEGORIAS[[#All],[PROYECCION
DE INGRESO
DEL SALDO]],CATEGORIAS[[#All],[CATEGORIA2]],Imputar[[#This Row],[Categoría]]),0)</f>
        <v>0</v>
      </c>
      <c r="H463">
        <f>ROUND(SUMIFS(CATEGORIAS[[#All],[CAMBIO DE
CATEGORIA]],CATEGORIAS[[#All],[CATEGORIA2]],Imputar[[#This Row],[Categoría]]),0)</f>
        <v>0</v>
      </c>
      <c r="I4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-946348</v>
      </c>
      <c r="J463">
        <f>+ROUND(SUMIFS(CATEGORIAS[[#All],[PROYECCION
TOTAL DE COSTO]],CATEGORIAS[[#All],[CATEGORIA2]],Imputar[[#This Row],[Categoría]]),0)
-Imputar[[#This Row],[Inventario]]
-Imputar[[#This Row],[Pedidos no Rec]]</f>
        <v>-9052631.4000000004</v>
      </c>
      <c r="K46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3">
        <f>_xlfn.IFNA(VLOOKUP(Imputar[[#This Row],[Categoría]],EIMI!C:T,8,0),0)</f>
        <v>946348</v>
      </c>
      <c r="M463">
        <f>_xlfn.IFNA(VLOOKUP(Imputar[[#This Row],[Categoría]],EIMI!C:T,9,0),0)</f>
        <v>4444914</v>
      </c>
      <c r="N463">
        <f>_xlfn.IFNA(VLOOKUP(Imputar[[#This Row],[Categoría]],EIMI!C:T,10,0),0)</f>
        <v>4607717.4000000004</v>
      </c>
    </row>
    <row r="464" spans="1:14" hidden="1" x14ac:dyDescent="0.25">
      <c r="A464" s="206" t="str">
        <f>Indice!$I$11</f>
        <v>EIMI00398</v>
      </c>
      <c r="B464" t="s">
        <v>1332</v>
      </c>
      <c r="C464" s="39">
        <f>Indice!$I$12</f>
        <v>46053</v>
      </c>
      <c r="E464">
        <f>ROUND(SUMIFS(CATEGORIAS[[#All],[TOTAL PRODUCCION
ACTUAL]],CATEGORIAS[[#All],[CATEGORIA2]],Imputar[[#This Row],[Categoría]]),0)</f>
        <v>0</v>
      </c>
      <c r="F464">
        <v>0</v>
      </c>
      <c r="G464">
        <f>ROUND(SUMIFS(CATEGORIAS[[#All],[PROYECCION
DE INGRESO
DEL SALDO]],CATEGORIAS[[#All],[CATEGORIA2]],Imputar[[#This Row],[Categoría]]),0)</f>
        <v>0</v>
      </c>
      <c r="H464">
        <f>ROUND(SUMIFS(CATEGORIAS[[#All],[CAMBIO DE
CATEGORIA]],CATEGORIAS[[#All],[CATEGORIA2]],Imputar[[#This Row],[Categoría]]),0)</f>
        <v>0</v>
      </c>
      <c r="I4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4">
        <f>+ROUND(SUMIFS(CATEGORIAS[[#All],[PROYECCION
TOTAL DE COSTO]],CATEGORIAS[[#All],[CATEGORIA2]],Imputar[[#This Row],[Categoría]]),0)
-Imputar[[#This Row],[Inventario]]
-Imputar[[#This Row],[Pedidos no Rec]]</f>
        <v>0</v>
      </c>
      <c r="K4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4">
        <f>_xlfn.IFNA(VLOOKUP(Imputar[[#This Row],[Categoría]],EIMI!C:T,8,0),0)</f>
        <v>0</v>
      </c>
      <c r="M464">
        <f>_xlfn.IFNA(VLOOKUP(Imputar[[#This Row],[Categoría]],EIMI!C:T,9,0),0)</f>
        <v>0</v>
      </c>
      <c r="N464">
        <f>_xlfn.IFNA(VLOOKUP(Imputar[[#This Row],[Categoría]],EIMI!C:T,10,0),0)</f>
        <v>0</v>
      </c>
    </row>
    <row r="465" spans="1:14" x14ac:dyDescent="0.25">
      <c r="A465" s="206" t="str">
        <f>Indice!$I$11</f>
        <v>EIMI00398</v>
      </c>
      <c r="B465" t="s">
        <v>1333</v>
      </c>
      <c r="C465" s="39">
        <f>Indice!$I$12</f>
        <v>46053</v>
      </c>
      <c r="E465">
        <f>ROUND(SUMIFS(CATEGORIAS[[#All],[TOTAL PRODUCCION
ACTUAL]],CATEGORIAS[[#All],[CATEGORIA2]],Imputar[[#This Row],[Categoría]]),0)</f>
        <v>0</v>
      </c>
      <c r="F465">
        <v>0</v>
      </c>
      <c r="G465">
        <f>ROUND(SUMIFS(CATEGORIAS[[#All],[PROYECCION
DE INGRESO
DEL SALDO]],CATEGORIAS[[#All],[CATEGORIA2]],Imputar[[#This Row],[Categoría]]),0)</f>
        <v>0</v>
      </c>
      <c r="H465">
        <f>ROUND(SUMIFS(CATEGORIAS[[#All],[CAMBIO DE
CATEGORIA]],CATEGORIAS[[#All],[CATEGORIA2]],Imputar[[#This Row],[Categoría]]),0)</f>
        <v>0</v>
      </c>
      <c r="I4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-5037634</v>
      </c>
      <c r="J465">
        <f>+ROUND(SUMIFS(CATEGORIAS[[#All],[PROYECCION
TOTAL DE COSTO]],CATEGORIAS[[#All],[CATEGORIA2]],Imputar[[#This Row],[Categoría]]),0)
-Imputar[[#This Row],[Inventario]]
-Imputar[[#This Row],[Pedidos no Rec]]</f>
        <v>-1455299</v>
      </c>
      <c r="K465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5">
        <f>_xlfn.IFNA(VLOOKUP(Imputar[[#This Row],[Categoría]],EIMI!C:T,8,0),0)</f>
        <v>5037634</v>
      </c>
      <c r="M465">
        <f>_xlfn.IFNA(VLOOKUP(Imputar[[#This Row],[Categoría]],EIMI!C:T,9,0),0)</f>
        <v>1455299</v>
      </c>
      <c r="N465">
        <f>_xlfn.IFNA(VLOOKUP(Imputar[[#This Row],[Categoría]],EIMI!C:T,10,0),0)</f>
        <v>0</v>
      </c>
    </row>
    <row r="466" spans="1:14" hidden="1" x14ac:dyDescent="0.25">
      <c r="A466" s="206" t="str">
        <f>Indice!$I$11</f>
        <v>EIMI00398</v>
      </c>
      <c r="B466" t="s">
        <v>1335</v>
      </c>
      <c r="C466" s="39">
        <f>Indice!$I$12</f>
        <v>46053</v>
      </c>
      <c r="E466">
        <f>ROUND(SUMIFS(CATEGORIAS[[#All],[TOTAL PRODUCCION
ACTUAL]],CATEGORIAS[[#All],[CATEGORIA2]],Imputar[[#This Row],[Categoría]]),0)</f>
        <v>0</v>
      </c>
      <c r="F466">
        <v>0</v>
      </c>
      <c r="G466">
        <f>ROUND(SUMIFS(CATEGORIAS[[#All],[PROYECCION
DE INGRESO
DEL SALDO]],CATEGORIAS[[#All],[CATEGORIA2]],Imputar[[#This Row],[Categoría]]),0)</f>
        <v>0</v>
      </c>
      <c r="H466">
        <f>ROUND(SUMIFS(CATEGORIAS[[#All],[CAMBIO DE
CATEGORIA]],CATEGORIAS[[#All],[CATEGORIA2]],Imputar[[#This Row],[Categoría]]),0)</f>
        <v>0</v>
      </c>
      <c r="I4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6">
        <f>+ROUND(SUMIFS(CATEGORIAS[[#All],[PROYECCION
TOTAL DE COSTO]],CATEGORIAS[[#All],[CATEGORIA2]],Imputar[[#This Row],[Categoría]]),0)
-Imputar[[#This Row],[Inventario]]
-Imputar[[#This Row],[Pedidos no Rec]]</f>
        <v>0</v>
      </c>
      <c r="K4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6">
        <f>_xlfn.IFNA(VLOOKUP(Imputar[[#This Row],[Categoría]],EIMI!C:T,8,0),0)</f>
        <v>0</v>
      </c>
      <c r="M466">
        <f>_xlfn.IFNA(VLOOKUP(Imputar[[#This Row],[Categoría]],EIMI!C:T,9,0),0)</f>
        <v>0</v>
      </c>
      <c r="N466">
        <f>_xlfn.IFNA(VLOOKUP(Imputar[[#This Row],[Categoría]],EIMI!C:T,10,0),0)</f>
        <v>0</v>
      </c>
    </row>
    <row r="467" spans="1:14" x14ac:dyDescent="0.25">
      <c r="A467" s="206" t="str">
        <f>Indice!$I$11</f>
        <v>EIMI00398</v>
      </c>
      <c r="B467" t="s">
        <v>1337</v>
      </c>
      <c r="C467" s="39">
        <f>Indice!$I$12</f>
        <v>46053</v>
      </c>
      <c r="E467">
        <f>ROUND(SUMIFS(CATEGORIAS[[#All],[TOTAL PRODUCCION
ACTUAL]],CATEGORIAS[[#All],[CATEGORIA2]],Imputar[[#This Row],[Categoría]]),0)</f>
        <v>0</v>
      </c>
      <c r="F467">
        <v>0</v>
      </c>
      <c r="G467">
        <f>ROUND(SUMIFS(CATEGORIAS[[#All],[PROYECCION
DE INGRESO
DEL SALDO]],CATEGORIAS[[#All],[CATEGORIA2]],Imputar[[#This Row],[Categoría]]),0)</f>
        <v>0</v>
      </c>
      <c r="H467">
        <f>ROUND(SUMIFS(CATEGORIAS[[#All],[CAMBIO DE
CATEGORIA]],CATEGORIAS[[#All],[CATEGORIA2]],Imputar[[#This Row],[Categoría]]),0)</f>
        <v>0</v>
      </c>
      <c r="I4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7">
        <f>+ROUND(SUMIFS(CATEGORIAS[[#All],[PROYECCION
TOTAL DE COSTO]],CATEGORIAS[[#All],[CATEGORIA2]],Imputar[[#This Row],[Categoría]]),0)
-Imputar[[#This Row],[Inventario]]
-Imputar[[#This Row],[Pedidos no Rec]]</f>
        <v>-908157</v>
      </c>
      <c r="K46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7">
        <f>_xlfn.IFNA(VLOOKUP(Imputar[[#This Row],[Categoría]],EIMI!C:T,8,0),0)</f>
        <v>0</v>
      </c>
      <c r="M467">
        <f>_xlfn.IFNA(VLOOKUP(Imputar[[#This Row],[Categoría]],EIMI!C:T,9,0),0)</f>
        <v>905911</v>
      </c>
      <c r="N467">
        <f>_xlfn.IFNA(VLOOKUP(Imputar[[#This Row],[Categoría]],EIMI!C:T,10,0),0)</f>
        <v>2246</v>
      </c>
    </row>
    <row r="468" spans="1:14" hidden="1" x14ac:dyDescent="0.25">
      <c r="A468" s="206" t="str">
        <f>Indice!$I$11</f>
        <v>EIMI00398</v>
      </c>
      <c r="B468" t="s">
        <v>1339</v>
      </c>
      <c r="C468" s="39">
        <f>Indice!$I$12</f>
        <v>46053</v>
      </c>
      <c r="E468">
        <f>ROUND(SUMIFS(CATEGORIAS[[#All],[TOTAL PRODUCCION
ACTUAL]],CATEGORIAS[[#All],[CATEGORIA2]],Imputar[[#This Row],[Categoría]]),0)</f>
        <v>0</v>
      </c>
      <c r="F468">
        <v>0</v>
      </c>
      <c r="G468">
        <f>ROUND(SUMIFS(CATEGORIAS[[#All],[PROYECCION
DE INGRESO
DEL SALDO]],CATEGORIAS[[#All],[CATEGORIA2]],Imputar[[#This Row],[Categoría]]),0)</f>
        <v>0</v>
      </c>
      <c r="H468">
        <f>ROUND(SUMIFS(CATEGORIAS[[#All],[CAMBIO DE
CATEGORIA]],CATEGORIAS[[#All],[CATEGORIA2]],Imputar[[#This Row],[Categoría]]),0)</f>
        <v>0</v>
      </c>
      <c r="I4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8">
        <f>+ROUND(SUMIFS(CATEGORIAS[[#All],[PROYECCION
TOTAL DE COSTO]],CATEGORIAS[[#All],[CATEGORIA2]],Imputar[[#This Row],[Categoría]]),0)
-Imputar[[#This Row],[Inventario]]
-Imputar[[#This Row],[Pedidos no Rec]]</f>
        <v>0</v>
      </c>
      <c r="K4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68">
        <f>_xlfn.IFNA(VLOOKUP(Imputar[[#This Row],[Categoría]],EIMI!C:T,8,0),0)</f>
        <v>0</v>
      </c>
      <c r="M468">
        <f>_xlfn.IFNA(VLOOKUP(Imputar[[#This Row],[Categoría]],EIMI!C:T,9,0),0)</f>
        <v>0</v>
      </c>
      <c r="N468">
        <f>_xlfn.IFNA(VLOOKUP(Imputar[[#This Row],[Categoría]],EIMI!C:T,10,0),0)</f>
        <v>0</v>
      </c>
    </row>
    <row r="469" spans="1:14" x14ac:dyDescent="0.25">
      <c r="A469" s="206" t="str">
        <f>Indice!$I$11</f>
        <v>EIMI00398</v>
      </c>
      <c r="B469" t="s">
        <v>1340</v>
      </c>
      <c r="C469" s="39">
        <f>Indice!$I$12</f>
        <v>46053</v>
      </c>
      <c r="E469">
        <f>ROUND(SUMIFS(CATEGORIAS[[#All],[TOTAL PRODUCCION
ACTUAL]],CATEGORIAS[[#All],[CATEGORIA2]],Imputar[[#This Row],[Categoría]]),0)</f>
        <v>0</v>
      </c>
      <c r="F469">
        <v>0</v>
      </c>
      <c r="G469">
        <f>ROUND(SUMIFS(CATEGORIAS[[#All],[PROYECCION
DE INGRESO
DEL SALDO]],CATEGORIAS[[#All],[CATEGORIA2]],Imputar[[#This Row],[Categoría]]),0)</f>
        <v>0</v>
      </c>
      <c r="H469">
        <f>ROUND(SUMIFS(CATEGORIAS[[#All],[CAMBIO DE
CATEGORIA]],CATEGORIAS[[#All],[CATEGORIA2]],Imputar[[#This Row],[Categoría]]),0)</f>
        <v>0</v>
      </c>
      <c r="I4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69">
        <f>+ROUND(SUMIFS(CATEGORIAS[[#All],[PROYECCION
TOTAL DE COSTO]],CATEGORIAS[[#All],[CATEGORIA2]],Imputar[[#This Row],[Categoría]]),0)
-Imputar[[#This Row],[Inventario]]
-Imputar[[#This Row],[Pedidos no Rec]]</f>
        <v>-284784</v>
      </c>
      <c r="K469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69">
        <f>_xlfn.IFNA(VLOOKUP(Imputar[[#This Row],[Categoría]],EIMI!C:T,8,0),0)</f>
        <v>0</v>
      </c>
      <c r="M469">
        <f>_xlfn.IFNA(VLOOKUP(Imputar[[#This Row],[Categoría]],EIMI!C:T,9,0),0)</f>
        <v>224026</v>
      </c>
      <c r="N469">
        <f>_xlfn.IFNA(VLOOKUP(Imputar[[#This Row],[Categoría]],EIMI!C:T,10,0),0)</f>
        <v>60758</v>
      </c>
    </row>
    <row r="470" spans="1:14" hidden="1" x14ac:dyDescent="0.25">
      <c r="A470" s="206" t="str">
        <f>Indice!$I$11</f>
        <v>EIMI00398</v>
      </c>
      <c r="B470" t="s">
        <v>1342</v>
      </c>
      <c r="C470" s="39">
        <f>Indice!$I$12</f>
        <v>46053</v>
      </c>
      <c r="E470">
        <f>ROUND(SUMIFS(CATEGORIAS[[#All],[TOTAL PRODUCCION
ACTUAL]],CATEGORIAS[[#All],[CATEGORIA2]],Imputar[[#This Row],[Categoría]]),0)</f>
        <v>0</v>
      </c>
      <c r="F470">
        <v>0</v>
      </c>
      <c r="G470">
        <f>ROUND(SUMIFS(CATEGORIAS[[#All],[PROYECCION
DE INGRESO
DEL SALDO]],CATEGORIAS[[#All],[CATEGORIA2]],Imputar[[#This Row],[Categoría]]),0)</f>
        <v>0</v>
      </c>
      <c r="H470">
        <f>ROUND(SUMIFS(CATEGORIAS[[#All],[CAMBIO DE
CATEGORIA]],CATEGORIAS[[#All],[CATEGORIA2]],Imputar[[#This Row],[Categoría]]),0)</f>
        <v>0</v>
      </c>
      <c r="I4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0">
        <f>+ROUND(SUMIFS(CATEGORIAS[[#All],[PROYECCION
TOTAL DE COSTO]],CATEGORIAS[[#All],[CATEGORIA2]],Imputar[[#This Row],[Categoría]]),0)
-Imputar[[#This Row],[Inventario]]
-Imputar[[#This Row],[Pedidos no Rec]]</f>
        <v>0</v>
      </c>
      <c r="K4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0">
        <f>_xlfn.IFNA(VLOOKUP(Imputar[[#This Row],[Categoría]],EIMI!C:T,8,0),0)</f>
        <v>0</v>
      </c>
      <c r="M470">
        <f>_xlfn.IFNA(VLOOKUP(Imputar[[#This Row],[Categoría]],EIMI!C:T,9,0),0)</f>
        <v>0</v>
      </c>
      <c r="N470">
        <f>_xlfn.IFNA(VLOOKUP(Imputar[[#This Row],[Categoría]],EIMI!C:T,10,0),0)</f>
        <v>0</v>
      </c>
    </row>
    <row r="471" spans="1:14" x14ac:dyDescent="0.25">
      <c r="A471" s="206" t="str">
        <f>Indice!$I$11</f>
        <v>EIMI00398</v>
      </c>
      <c r="B471" t="s">
        <v>1344</v>
      </c>
      <c r="C471" s="39">
        <f>Indice!$I$12</f>
        <v>46053</v>
      </c>
      <c r="E471">
        <f>ROUND(SUMIFS(CATEGORIAS[[#All],[TOTAL PRODUCCION
ACTUAL]],CATEGORIAS[[#All],[CATEGORIA2]],Imputar[[#This Row],[Categoría]]),0)</f>
        <v>0</v>
      </c>
      <c r="F471">
        <v>0</v>
      </c>
      <c r="G471">
        <f>ROUND(SUMIFS(CATEGORIAS[[#All],[PROYECCION
DE INGRESO
DEL SALDO]],CATEGORIAS[[#All],[CATEGORIA2]],Imputar[[#This Row],[Categoría]]),0)</f>
        <v>0</v>
      </c>
      <c r="H471">
        <f>ROUND(SUMIFS(CATEGORIAS[[#All],[CAMBIO DE
CATEGORIA]],CATEGORIAS[[#All],[CATEGORIA2]],Imputar[[#This Row],[Categoría]]),0)</f>
        <v>0</v>
      </c>
      <c r="I4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-331660</v>
      </c>
      <c r="J471">
        <f>+ROUND(SUMIFS(CATEGORIAS[[#All],[PROYECCION
TOTAL DE COSTO]],CATEGORIAS[[#All],[CATEGORIA2]],Imputar[[#This Row],[Categoría]]),0)
-Imputar[[#This Row],[Inventario]]
-Imputar[[#This Row],[Pedidos no Rec]]</f>
        <v>5034</v>
      </c>
      <c r="K4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1">
        <f>_xlfn.IFNA(VLOOKUP(Imputar[[#This Row],[Categoría]],EIMI!C:T,8,0),0)</f>
        <v>331660</v>
      </c>
      <c r="M471">
        <f>_xlfn.IFNA(VLOOKUP(Imputar[[#This Row],[Categoría]],EIMI!C:T,9,0),0)</f>
        <v>-203930</v>
      </c>
      <c r="N471">
        <f>_xlfn.IFNA(VLOOKUP(Imputar[[#This Row],[Categoría]],EIMI!C:T,10,0),0)</f>
        <v>198896</v>
      </c>
    </row>
    <row r="472" spans="1:14" hidden="1" x14ac:dyDescent="0.25">
      <c r="A472" s="206" t="str">
        <f>Indice!$I$11</f>
        <v>EIMI00398</v>
      </c>
      <c r="B472" t="s">
        <v>1346</v>
      </c>
      <c r="C472" s="39">
        <f>Indice!$I$12</f>
        <v>46053</v>
      </c>
      <c r="E472">
        <f>ROUND(SUMIFS(CATEGORIAS[[#All],[TOTAL PRODUCCION
ACTUAL]],CATEGORIAS[[#All],[CATEGORIA2]],Imputar[[#This Row],[Categoría]]),0)</f>
        <v>0</v>
      </c>
      <c r="F472">
        <v>0</v>
      </c>
      <c r="G472">
        <f>ROUND(SUMIFS(CATEGORIAS[[#All],[PROYECCION
DE INGRESO
DEL SALDO]],CATEGORIAS[[#All],[CATEGORIA2]],Imputar[[#This Row],[Categoría]]),0)</f>
        <v>0</v>
      </c>
      <c r="H472">
        <f>ROUND(SUMIFS(CATEGORIAS[[#All],[CAMBIO DE
CATEGORIA]],CATEGORIAS[[#All],[CATEGORIA2]],Imputar[[#This Row],[Categoría]]),0)</f>
        <v>0</v>
      </c>
      <c r="I4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2">
        <f>+ROUND(SUMIFS(CATEGORIAS[[#All],[PROYECCION
TOTAL DE COSTO]],CATEGORIAS[[#All],[CATEGORIA2]],Imputar[[#This Row],[Categoría]]),0)
-Imputar[[#This Row],[Inventario]]
-Imputar[[#This Row],[Pedidos no Rec]]</f>
        <v>0</v>
      </c>
      <c r="K47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2">
        <f>_xlfn.IFNA(VLOOKUP(Imputar[[#This Row],[Categoría]],EIMI!C:T,8,0),0)</f>
        <v>0</v>
      </c>
      <c r="M472">
        <f>_xlfn.IFNA(VLOOKUP(Imputar[[#This Row],[Categoría]],EIMI!C:T,9,0),0)</f>
        <v>0</v>
      </c>
      <c r="N472">
        <f>_xlfn.IFNA(VLOOKUP(Imputar[[#This Row],[Categoría]],EIMI!C:T,10,0),0)</f>
        <v>0</v>
      </c>
    </row>
    <row r="473" spans="1:14" x14ac:dyDescent="0.25">
      <c r="A473" s="206" t="str">
        <f>Indice!$I$11</f>
        <v>EIMI00398</v>
      </c>
      <c r="B473" t="s">
        <v>1348</v>
      </c>
      <c r="C473" s="39">
        <f>Indice!$I$12</f>
        <v>46053</v>
      </c>
      <c r="E473">
        <f>ROUND(SUMIFS(CATEGORIAS[[#All],[TOTAL PRODUCCION
ACTUAL]],CATEGORIAS[[#All],[CATEGORIA2]],Imputar[[#This Row],[Categoría]]),0)</f>
        <v>0</v>
      </c>
      <c r="F473">
        <v>0</v>
      </c>
      <c r="G473">
        <f>ROUND(SUMIFS(CATEGORIAS[[#All],[PROYECCION
DE INGRESO
DEL SALDO]],CATEGORIAS[[#All],[CATEGORIA2]],Imputar[[#This Row],[Categoría]]),0)</f>
        <v>0</v>
      </c>
      <c r="H473">
        <f>ROUND(SUMIFS(CATEGORIAS[[#All],[CAMBIO DE
CATEGORIA]],CATEGORIAS[[#All],[CATEGORIA2]],Imputar[[#This Row],[Categoría]]),0)</f>
        <v>0</v>
      </c>
      <c r="I4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-852697</v>
      </c>
      <c r="J473">
        <f>+ROUND(SUMIFS(CATEGORIAS[[#All],[PROYECCION
TOTAL DE COSTO]],CATEGORIAS[[#All],[CATEGORIA2]],Imputar[[#This Row],[Categoría]]),0)
-Imputar[[#This Row],[Inventario]]
-Imputar[[#This Row],[Pedidos no Rec]]</f>
        <v>-4734151</v>
      </c>
      <c r="K47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3">
        <f>_xlfn.IFNA(VLOOKUP(Imputar[[#This Row],[Categoría]],EIMI!C:T,8,0),0)</f>
        <v>852697</v>
      </c>
      <c r="M473">
        <f>_xlfn.IFNA(VLOOKUP(Imputar[[#This Row],[Categoría]],EIMI!C:T,9,0),0)</f>
        <v>4629661</v>
      </c>
      <c r="N473">
        <f>_xlfn.IFNA(VLOOKUP(Imputar[[#This Row],[Categoría]],EIMI!C:T,10,0),0)</f>
        <v>104490</v>
      </c>
    </row>
    <row r="474" spans="1:14" hidden="1" x14ac:dyDescent="0.25">
      <c r="A474" s="206" t="str">
        <f>Indice!$I$11</f>
        <v>EIMI00398</v>
      </c>
      <c r="B474" t="s">
        <v>1350</v>
      </c>
      <c r="C474" s="39">
        <f>Indice!$I$12</f>
        <v>46053</v>
      </c>
      <c r="E474">
        <f>ROUND(SUMIFS(CATEGORIAS[[#All],[TOTAL PRODUCCION
ACTUAL]],CATEGORIAS[[#All],[CATEGORIA2]],Imputar[[#This Row],[Categoría]]),0)</f>
        <v>0</v>
      </c>
      <c r="F474">
        <v>0</v>
      </c>
      <c r="G474">
        <f>ROUND(SUMIFS(CATEGORIAS[[#All],[PROYECCION
DE INGRESO
DEL SALDO]],CATEGORIAS[[#All],[CATEGORIA2]],Imputar[[#This Row],[Categoría]]),0)</f>
        <v>0</v>
      </c>
      <c r="H474">
        <f>ROUND(SUMIFS(CATEGORIAS[[#All],[CAMBIO DE
CATEGORIA]],CATEGORIAS[[#All],[CATEGORIA2]],Imputar[[#This Row],[Categoría]]),0)</f>
        <v>0</v>
      </c>
      <c r="I47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4">
        <f>+ROUND(SUMIFS(CATEGORIAS[[#All],[PROYECCION
TOTAL DE COSTO]],CATEGORIAS[[#All],[CATEGORIA2]],Imputar[[#This Row],[Categoría]]),0)
-Imputar[[#This Row],[Inventario]]
-Imputar[[#This Row],[Pedidos no Rec]]</f>
        <v>0</v>
      </c>
      <c r="K47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4">
        <f>_xlfn.IFNA(VLOOKUP(Imputar[[#This Row],[Categoría]],EIMI!C:T,8,0),0)</f>
        <v>0</v>
      </c>
      <c r="M474">
        <f>_xlfn.IFNA(VLOOKUP(Imputar[[#This Row],[Categoría]],EIMI!C:T,9,0),0)</f>
        <v>0</v>
      </c>
      <c r="N474">
        <f>_xlfn.IFNA(VLOOKUP(Imputar[[#This Row],[Categoría]],EIMI!C:T,10,0),0)</f>
        <v>0</v>
      </c>
    </row>
    <row r="475" spans="1:14" hidden="1" x14ac:dyDescent="0.25">
      <c r="A475" s="206" t="str">
        <f>Indice!$I$11</f>
        <v>EIMI00398</v>
      </c>
      <c r="B475" t="s">
        <v>1352</v>
      </c>
      <c r="C475" s="39">
        <f>Indice!$I$12</f>
        <v>46053</v>
      </c>
      <c r="E475">
        <f>ROUND(SUMIFS(CATEGORIAS[[#All],[TOTAL PRODUCCION
ACTUAL]],CATEGORIAS[[#All],[CATEGORIA2]],Imputar[[#This Row],[Categoría]]),0)</f>
        <v>0</v>
      </c>
      <c r="F475">
        <v>0</v>
      </c>
      <c r="G475">
        <f>ROUND(SUMIFS(CATEGORIAS[[#All],[PROYECCION
DE INGRESO
DEL SALDO]],CATEGORIAS[[#All],[CATEGORIA2]],Imputar[[#This Row],[Categoría]]),0)</f>
        <v>0</v>
      </c>
      <c r="H475">
        <f>ROUND(SUMIFS(CATEGORIAS[[#All],[CAMBIO DE
CATEGORIA]],CATEGORIAS[[#All],[CATEGORIA2]],Imputar[[#This Row],[Categoría]]),0)</f>
        <v>0</v>
      </c>
      <c r="I47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5">
        <f>+ROUND(SUMIFS(CATEGORIAS[[#All],[PROYECCION
TOTAL DE COSTO]],CATEGORIAS[[#All],[CATEGORIA2]],Imputar[[#This Row],[Categoría]]),0)
-Imputar[[#This Row],[Inventario]]
-Imputar[[#This Row],[Pedidos no Rec]]</f>
        <v>0</v>
      </c>
      <c r="K47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5">
        <f>_xlfn.IFNA(VLOOKUP(Imputar[[#This Row],[Categoría]],EIMI!C:T,8,0),0)</f>
        <v>0</v>
      </c>
      <c r="M475">
        <f>_xlfn.IFNA(VLOOKUP(Imputar[[#This Row],[Categoría]],EIMI!C:T,9,0),0)</f>
        <v>0</v>
      </c>
      <c r="N475">
        <f>_xlfn.IFNA(VLOOKUP(Imputar[[#This Row],[Categoría]],EIMI!C:T,10,0),0)</f>
        <v>0</v>
      </c>
    </row>
    <row r="476" spans="1:14" hidden="1" x14ac:dyDescent="0.25">
      <c r="A476" s="206" t="str">
        <f>Indice!$I$11</f>
        <v>EIMI00398</v>
      </c>
      <c r="B476" t="s">
        <v>1354</v>
      </c>
      <c r="C476" s="39">
        <f>Indice!$I$12</f>
        <v>46053</v>
      </c>
      <c r="E476">
        <f>ROUND(SUMIFS(CATEGORIAS[[#All],[TOTAL PRODUCCION
ACTUAL]],CATEGORIAS[[#All],[CATEGORIA2]],Imputar[[#This Row],[Categoría]]),0)</f>
        <v>0</v>
      </c>
      <c r="F476">
        <v>0</v>
      </c>
      <c r="G476">
        <f>ROUND(SUMIFS(CATEGORIAS[[#All],[PROYECCION
DE INGRESO
DEL SALDO]],CATEGORIAS[[#All],[CATEGORIA2]],Imputar[[#This Row],[Categoría]]),0)</f>
        <v>0</v>
      </c>
      <c r="H476">
        <f>ROUND(SUMIFS(CATEGORIAS[[#All],[CAMBIO DE
CATEGORIA]],CATEGORIAS[[#All],[CATEGORIA2]],Imputar[[#This Row],[Categoría]]),0)</f>
        <v>0</v>
      </c>
      <c r="I47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6">
        <f>+ROUND(SUMIFS(CATEGORIAS[[#All],[PROYECCION
TOTAL DE COSTO]],CATEGORIAS[[#All],[CATEGORIA2]],Imputar[[#This Row],[Categoría]]),0)
-Imputar[[#This Row],[Inventario]]
-Imputar[[#This Row],[Pedidos no Rec]]</f>
        <v>0</v>
      </c>
      <c r="K47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6">
        <f>_xlfn.IFNA(VLOOKUP(Imputar[[#This Row],[Categoría]],EIMI!C:T,8,0),0)</f>
        <v>0</v>
      </c>
      <c r="M476">
        <f>_xlfn.IFNA(VLOOKUP(Imputar[[#This Row],[Categoría]],EIMI!C:T,9,0),0)</f>
        <v>0</v>
      </c>
      <c r="N476">
        <f>_xlfn.IFNA(VLOOKUP(Imputar[[#This Row],[Categoría]],EIMI!C:T,10,0),0)</f>
        <v>0</v>
      </c>
    </row>
    <row r="477" spans="1:14" x14ac:dyDescent="0.25">
      <c r="A477" s="206" t="str">
        <f>Indice!$I$11</f>
        <v>EIMI00398</v>
      </c>
      <c r="B477" t="s">
        <v>1356</v>
      </c>
      <c r="C477" s="39">
        <f>Indice!$I$12</f>
        <v>46053</v>
      </c>
      <c r="E477">
        <f>ROUND(SUMIFS(CATEGORIAS[[#All],[TOTAL PRODUCCION
ACTUAL]],CATEGORIAS[[#All],[CATEGORIA2]],Imputar[[#This Row],[Categoría]]),0)</f>
        <v>0</v>
      </c>
      <c r="F477">
        <v>0</v>
      </c>
      <c r="G477">
        <f>ROUND(SUMIFS(CATEGORIAS[[#All],[PROYECCION
DE INGRESO
DEL SALDO]],CATEGORIAS[[#All],[CATEGORIA2]],Imputar[[#This Row],[Categoría]]),0)</f>
        <v>0</v>
      </c>
      <c r="H477">
        <f>ROUND(SUMIFS(CATEGORIAS[[#All],[CAMBIO DE
CATEGORIA]],CATEGORIAS[[#All],[CATEGORIA2]],Imputar[[#This Row],[Categoría]]),0)</f>
        <v>0</v>
      </c>
      <c r="I47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-20085615</v>
      </c>
      <c r="J477">
        <f>+ROUND(SUMIFS(CATEGORIAS[[#All],[PROYECCION
TOTAL DE COSTO]],CATEGORIAS[[#All],[CATEGORIA2]],Imputar[[#This Row],[Categoría]]),0)
-Imputar[[#This Row],[Inventario]]
-Imputar[[#This Row],[Pedidos no Rec]]</f>
        <v>555090</v>
      </c>
      <c r="K477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7">
        <f>_xlfn.IFNA(VLOOKUP(Imputar[[#This Row],[Categoría]],EIMI!C:T,8,0),0)</f>
        <v>20085615</v>
      </c>
      <c r="M477">
        <f>_xlfn.IFNA(VLOOKUP(Imputar[[#This Row],[Categoría]],EIMI!C:T,9,0),0)</f>
        <v>-555090</v>
      </c>
      <c r="N477">
        <f>_xlfn.IFNA(VLOOKUP(Imputar[[#This Row],[Categoría]],EIMI!C:T,10,0),0)</f>
        <v>0</v>
      </c>
    </row>
    <row r="478" spans="1:14" x14ac:dyDescent="0.25">
      <c r="A478" s="206" t="str">
        <f>Indice!$I$11</f>
        <v>EIMI00398</v>
      </c>
      <c r="B478" t="s">
        <v>1358</v>
      </c>
      <c r="C478" s="39">
        <f>Indice!$I$12</f>
        <v>46053</v>
      </c>
      <c r="E478">
        <f>ROUND(SUMIFS(CATEGORIAS[[#All],[TOTAL PRODUCCION
ACTUAL]],CATEGORIAS[[#All],[CATEGORIA2]],Imputar[[#This Row],[Categoría]]),0)</f>
        <v>0</v>
      </c>
      <c r="F478">
        <v>0</v>
      </c>
      <c r="G478">
        <f>ROUND(SUMIFS(CATEGORIAS[[#All],[PROYECCION
DE INGRESO
DEL SALDO]],CATEGORIAS[[#All],[CATEGORIA2]],Imputar[[#This Row],[Categoría]]),0)</f>
        <v>0</v>
      </c>
      <c r="H478">
        <f>ROUND(SUMIFS(CATEGORIAS[[#All],[CAMBIO DE
CATEGORIA]],CATEGORIAS[[#All],[CATEGORIA2]],Imputar[[#This Row],[Categoría]]),0)</f>
        <v>0</v>
      </c>
      <c r="I47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-15495</v>
      </c>
      <c r="J478">
        <f>+ROUND(SUMIFS(CATEGORIAS[[#All],[PROYECCION
TOTAL DE COSTO]],CATEGORIAS[[#All],[CATEGORIA2]],Imputar[[#This Row],[Categoría]]),0)
-Imputar[[#This Row],[Inventario]]
-Imputar[[#This Row],[Pedidos no Rec]]</f>
        <v>0</v>
      </c>
      <c r="K478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78">
        <f>_xlfn.IFNA(VLOOKUP(Imputar[[#This Row],[Categoría]],EIMI!C:T,8,0),0)</f>
        <v>15495</v>
      </c>
      <c r="M478">
        <f>_xlfn.IFNA(VLOOKUP(Imputar[[#This Row],[Categoría]],EIMI!C:T,9,0),0)</f>
        <v>0</v>
      </c>
      <c r="N478">
        <f>_xlfn.IFNA(VLOOKUP(Imputar[[#This Row],[Categoría]],EIMI!C:T,10,0),0)</f>
        <v>0</v>
      </c>
    </row>
    <row r="479" spans="1:14" hidden="1" x14ac:dyDescent="0.25">
      <c r="A479" s="206" t="str">
        <f>Indice!$I$11</f>
        <v>EIMI00398</v>
      </c>
      <c r="B479" t="s">
        <v>1362</v>
      </c>
      <c r="C479" s="39">
        <f>Indice!$I$12</f>
        <v>46053</v>
      </c>
      <c r="E479">
        <f>ROUND(SUMIFS(CATEGORIAS[[#All],[TOTAL PRODUCCION
ACTUAL]],CATEGORIAS[[#All],[CATEGORIA2]],Imputar[[#This Row],[Categoría]]),0)</f>
        <v>0</v>
      </c>
      <c r="F479">
        <v>0</v>
      </c>
      <c r="G479">
        <f>ROUND(SUMIFS(CATEGORIAS[[#All],[PROYECCION
DE INGRESO
DEL SALDO]],CATEGORIAS[[#All],[CATEGORIA2]],Imputar[[#This Row],[Categoría]]),0)</f>
        <v>0</v>
      </c>
      <c r="H479">
        <f>ROUND(SUMIFS(CATEGORIAS[[#All],[CAMBIO DE
CATEGORIA]],CATEGORIAS[[#All],[CATEGORIA2]],Imputar[[#This Row],[Categoría]]),0)</f>
        <v>0</v>
      </c>
      <c r="I47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79">
        <f>+ROUND(SUMIFS(CATEGORIAS[[#All],[PROYECCION
TOTAL DE COSTO]],CATEGORIAS[[#All],[CATEGORIA2]],Imputar[[#This Row],[Categoría]]),0)
-Imputar[[#This Row],[Inventario]]
-Imputar[[#This Row],[Pedidos no Rec]]</f>
        <v>0</v>
      </c>
      <c r="K47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79">
        <f>_xlfn.IFNA(VLOOKUP(Imputar[[#This Row],[Categoría]],EIMI!C:T,8,0),0)</f>
        <v>0</v>
      </c>
      <c r="M479">
        <f>_xlfn.IFNA(VLOOKUP(Imputar[[#This Row],[Categoría]],EIMI!C:T,9,0),0)</f>
        <v>0</v>
      </c>
      <c r="N479">
        <f>_xlfn.IFNA(VLOOKUP(Imputar[[#This Row],[Categoría]],EIMI!C:T,10,0),0)</f>
        <v>0</v>
      </c>
    </row>
    <row r="480" spans="1:14" hidden="1" x14ac:dyDescent="0.25">
      <c r="A480" s="206" t="str">
        <f>Indice!$I$11</f>
        <v>EIMI00398</v>
      </c>
      <c r="B480" t="s">
        <v>1364</v>
      </c>
      <c r="C480" s="39">
        <f>Indice!$I$12</f>
        <v>46053</v>
      </c>
      <c r="E480">
        <f>ROUND(SUMIFS(CATEGORIAS[[#All],[TOTAL PRODUCCION
ACTUAL]],CATEGORIAS[[#All],[CATEGORIA2]],Imputar[[#This Row],[Categoría]]),0)</f>
        <v>0</v>
      </c>
      <c r="F480">
        <v>0</v>
      </c>
      <c r="G480">
        <f>ROUND(SUMIFS(CATEGORIAS[[#All],[PROYECCION
DE INGRESO
DEL SALDO]],CATEGORIAS[[#All],[CATEGORIA2]],Imputar[[#This Row],[Categoría]]),0)</f>
        <v>0</v>
      </c>
      <c r="H480">
        <f>ROUND(SUMIFS(CATEGORIAS[[#All],[CAMBIO DE
CATEGORIA]],CATEGORIAS[[#All],[CATEGORIA2]],Imputar[[#This Row],[Categoría]]),0)</f>
        <v>0</v>
      </c>
      <c r="I48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0">
        <f>+ROUND(SUMIFS(CATEGORIAS[[#All],[PROYECCION
TOTAL DE COSTO]],CATEGORIAS[[#All],[CATEGORIA2]],Imputar[[#This Row],[Categoría]]),0)
-Imputar[[#This Row],[Inventario]]
-Imputar[[#This Row],[Pedidos no Rec]]</f>
        <v>0</v>
      </c>
      <c r="K48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0">
        <f>_xlfn.IFNA(VLOOKUP(Imputar[[#This Row],[Categoría]],EIMI!C:T,8,0),0)</f>
        <v>0</v>
      </c>
      <c r="M480">
        <f>_xlfn.IFNA(VLOOKUP(Imputar[[#This Row],[Categoría]],EIMI!C:T,9,0),0)</f>
        <v>0</v>
      </c>
      <c r="N480">
        <f>_xlfn.IFNA(VLOOKUP(Imputar[[#This Row],[Categoría]],EIMI!C:T,10,0),0)</f>
        <v>0</v>
      </c>
    </row>
    <row r="481" spans="1:14" x14ac:dyDescent="0.25">
      <c r="A481" s="206" t="str">
        <f>Indice!$I$11</f>
        <v>EIMI00398</v>
      </c>
      <c r="B481" t="s">
        <v>303</v>
      </c>
      <c r="C481" s="39">
        <f>Indice!$I$12</f>
        <v>46053</v>
      </c>
      <c r="E481">
        <f>ROUND(SUMIFS(CATEGORIAS[[#All],[TOTAL PRODUCCION
ACTUAL]],CATEGORIAS[[#All],[CATEGORIA2]],Imputar[[#This Row],[Categoría]]),0)</f>
        <v>0</v>
      </c>
      <c r="F481">
        <v>0</v>
      </c>
      <c r="G481">
        <f>ROUND(SUMIFS(CATEGORIAS[[#All],[PROYECCION
DE INGRESO
DEL SALDO]],CATEGORIAS[[#All],[CATEGORIA2]],Imputar[[#This Row],[Categoría]]),0)</f>
        <v>0</v>
      </c>
      <c r="H481">
        <f>ROUND(SUMIFS(CATEGORIAS[[#All],[CAMBIO DE
CATEGORIA]],CATEGORIAS[[#All],[CATEGORIA2]],Imputar[[#This Row],[Categoría]]),0)</f>
        <v>0</v>
      </c>
      <c r="I48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-19160000</v>
      </c>
      <c r="J481">
        <f>+ROUND(SUMIFS(CATEGORIAS[[#All],[PROYECCION
TOTAL DE COSTO]],CATEGORIAS[[#All],[CATEGORIA2]],Imputar[[#This Row],[Categoría]]),0)
-Imputar[[#This Row],[Inventario]]
-Imputar[[#This Row],[Pedidos no Rec]]</f>
        <v>-51810000</v>
      </c>
      <c r="K48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81">
        <f>_xlfn.IFNA(VLOOKUP(Imputar[[#This Row],[Categoría]],EIMI!C:T,8,0),0)</f>
        <v>19160000</v>
      </c>
      <c r="M481">
        <f>_xlfn.IFNA(VLOOKUP(Imputar[[#This Row],[Categoría]],EIMI!C:T,9,0),0)</f>
        <v>0</v>
      </c>
      <c r="N481">
        <f>_xlfn.IFNA(VLOOKUP(Imputar[[#This Row],[Categoría]],EIMI!C:T,10,0),0)</f>
        <v>51810000</v>
      </c>
    </row>
    <row r="482" spans="1:14" hidden="1" x14ac:dyDescent="0.25">
      <c r="A482" s="206" t="str">
        <f>Indice!$I$11</f>
        <v>EIMI00398</v>
      </c>
      <c r="B482" t="s">
        <v>1367</v>
      </c>
      <c r="C482" s="39">
        <f>Indice!$I$12</f>
        <v>46053</v>
      </c>
      <c r="E482">
        <f>ROUND(SUMIFS(CATEGORIAS[[#All],[TOTAL PRODUCCION
ACTUAL]],CATEGORIAS[[#All],[CATEGORIA2]],Imputar[[#This Row],[Categoría]]),0)</f>
        <v>0</v>
      </c>
      <c r="F482">
        <v>0</v>
      </c>
      <c r="G482">
        <f>ROUND(SUMIFS(CATEGORIAS[[#All],[PROYECCION
DE INGRESO
DEL SALDO]],CATEGORIAS[[#All],[CATEGORIA2]],Imputar[[#This Row],[Categoría]]),0)</f>
        <v>0</v>
      </c>
      <c r="H482">
        <f>ROUND(SUMIFS(CATEGORIAS[[#All],[CAMBIO DE
CATEGORIA]],CATEGORIAS[[#All],[CATEGORIA2]],Imputar[[#This Row],[Categoría]]),0)</f>
        <v>0</v>
      </c>
      <c r="I48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2">
        <f>+ROUND(SUMIFS(CATEGORIAS[[#All],[PROYECCION
TOTAL DE COSTO]],CATEGORIAS[[#All],[CATEGORIA2]],Imputar[[#This Row],[Categoría]]),0)
-Imputar[[#This Row],[Inventario]]
-Imputar[[#This Row],[Pedidos no Rec]]</f>
        <v>0</v>
      </c>
      <c r="K48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2">
        <f>_xlfn.IFNA(VLOOKUP(Imputar[[#This Row],[Categoría]],EIMI!C:T,8,0),0)</f>
        <v>0</v>
      </c>
      <c r="M482">
        <f>_xlfn.IFNA(VLOOKUP(Imputar[[#This Row],[Categoría]],EIMI!C:T,9,0),0)</f>
        <v>0</v>
      </c>
      <c r="N482">
        <f>_xlfn.IFNA(VLOOKUP(Imputar[[#This Row],[Categoría]],EIMI!C:T,10,0),0)</f>
        <v>0</v>
      </c>
    </row>
    <row r="483" spans="1:14" hidden="1" x14ac:dyDescent="0.25">
      <c r="A483" s="206" t="str">
        <f>Indice!$I$11</f>
        <v>EIMI00398</v>
      </c>
      <c r="B483" t="s">
        <v>1369</v>
      </c>
      <c r="C483" s="39">
        <f>Indice!$I$12</f>
        <v>46053</v>
      </c>
      <c r="E483">
        <f>ROUND(SUMIFS(CATEGORIAS[[#All],[TOTAL PRODUCCION
ACTUAL]],CATEGORIAS[[#All],[CATEGORIA2]],Imputar[[#This Row],[Categoría]]),0)</f>
        <v>0</v>
      </c>
      <c r="F483">
        <v>0</v>
      </c>
      <c r="G483">
        <f>ROUND(SUMIFS(CATEGORIAS[[#All],[PROYECCION
DE INGRESO
DEL SALDO]],CATEGORIAS[[#All],[CATEGORIA2]],Imputar[[#This Row],[Categoría]]),0)</f>
        <v>0</v>
      </c>
      <c r="H483">
        <f>ROUND(SUMIFS(CATEGORIAS[[#All],[CAMBIO DE
CATEGORIA]],CATEGORIAS[[#All],[CATEGORIA2]],Imputar[[#This Row],[Categoría]]),0)</f>
        <v>0</v>
      </c>
      <c r="I48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3">
        <f>+ROUND(SUMIFS(CATEGORIAS[[#All],[PROYECCION
TOTAL DE COSTO]],CATEGORIAS[[#All],[CATEGORIA2]],Imputar[[#This Row],[Categoría]]),0)
-Imputar[[#This Row],[Inventario]]
-Imputar[[#This Row],[Pedidos no Rec]]</f>
        <v>0</v>
      </c>
      <c r="K48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3">
        <f>_xlfn.IFNA(VLOOKUP(Imputar[[#This Row],[Categoría]],EIMI!C:T,8,0),0)</f>
        <v>0</v>
      </c>
      <c r="M483">
        <f>_xlfn.IFNA(VLOOKUP(Imputar[[#This Row],[Categoría]],EIMI!C:T,9,0),0)</f>
        <v>0</v>
      </c>
      <c r="N483">
        <f>_xlfn.IFNA(VLOOKUP(Imputar[[#This Row],[Categoría]],EIMI!C:T,10,0),0)</f>
        <v>0</v>
      </c>
    </row>
    <row r="484" spans="1:14" hidden="1" x14ac:dyDescent="0.25">
      <c r="A484" s="206" t="str">
        <f>Indice!$I$11</f>
        <v>EIMI00398</v>
      </c>
      <c r="B484" t="s">
        <v>1371</v>
      </c>
      <c r="C484" s="39">
        <f>Indice!$I$12</f>
        <v>46053</v>
      </c>
      <c r="E484">
        <f>ROUND(SUMIFS(CATEGORIAS[[#All],[TOTAL PRODUCCION
ACTUAL]],CATEGORIAS[[#All],[CATEGORIA2]],Imputar[[#This Row],[Categoría]]),0)</f>
        <v>0</v>
      </c>
      <c r="F484">
        <v>0</v>
      </c>
      <c r="G484">
        <f>ROUND(SUMIFS(CATEGORIAS[[#All],[PROYECCION
DE INGRESO
DEL SALDO]],CATEGORIAS[[#All],[CATEGORIA2]],Imputar[[#This Row],[Categoría]]),0)</f>
        <v>0</v>
      </c>
      <c r="H484">
        <f>ROUND(SUMIFS(CATEGORIAS[[#All],[CAMBIO DE
CATEGORIA]],CATEGORIAS[[#All],[CATEGORIA2]],Imputar[[#This Row],[Categoría]]),0)</f>
        <v>0</v>
      </c>
      <c r="I48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4">
        <f>+ROUND(SUMIFS(CATEGORIAS[[#All],[PROYECCION
TOTAL DE COSTO]],CATEGORIAS[[#All],[CATEGORIA2]],Imputar[[#This Row],[Categoría]]),0)
-Imputar[[#This Row],[Inventario]]
-Imputar[[#This Row],[Pedidos no Rec]]</f>
        <v>0</v>
      </c>
      <c r="K48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4">
        <f>_xlfn.IFNA(VLOOKUP(Imputar[[#This Row],[Categoría]],EIMI!C:T,8,0),0)</f>
        <v>0</v>
      </c>
      <c r="M484">
        <f>_xlfn.IFNA(VLOOKUP(Imputar[[#This Row],[Categoría]],EIMI!C:T,9,0),0)</f>
        <v>0</v>
      </c>
      <c r="N484">
        <f>_xlfn.IFNA(VLOOKUP(Imputar[[#This Row],[Categoría]],EIMI!C:T,10,0),0)</f>
        <v>0</v>
      </c>
    </row>
    <row r="485" spans="1:14" x14ac:dyDescent="0.25">
      <c r="A485" s="206" t="str">
        <f>Indice!$I$11</f>
        <v>EIMI00398</v>
      </c>
      <c r="B485" t="s">
        <v>1373</v>
      </c>
      <c r="C485" s="39">
        <f>Indice!$I$12</f>
        <v>46053</v>
      </c>
      <c r="E485">
        <f>ROUND(SUMIFS(CATEGORIAS[[#All],[TOTAL PRODUCCION
ACTUAL]],CATEGORIAS[[#All],[CATEGORIA2]],Imputar[[#This Row],[Categoría]]),0)</f>
        <v>0</v>
      </c>
      <c r="F485">
        <v>0</v>
      </c>
      <c r="G485">
        <f>ROUND(SUMIFS(CATEGORIAS[[#All],[PROYECCION
DE INGRESO
DEL SALDO]],CATEGORIAS[[#All],[CATEGORIA2]],Imputar[[#This Row],[Categoría]]),0)</f>
        <v>0</v>
      </c>
      <c r="H485">
        <f>ROUND(SUMIFS(CATEGORIAS[[#All],[CAMBIO DE
CATEGORIA]],CATEGORIAS[[#All],[CATEGORIA2]],Imputar[[#This Row],[Categoría]]),0)</f>
        <v>0</v>
      </c>
      <c r="I48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5">
        <f>+ROUND(SUMIFS(CATEGORIAS[[#All],[PROYECCION
TOTAL DE COSTO]],CATEGORIAS[[#All],[CATEGORIA2]],Imputar[[#This Row],[Categoría]]),0)
-Imputar[[#This Row],[Inventario]]
-Imputar[[#This Row],[Pedidos no Rec]]</f>
        <v>0</v>
      </c>
      <c r="K48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5">
        <f>_xlfn.IFNA(VLOOKUP(Imputar[[#This Row],[Categoría]],EIMI!C:T,8,0),0)</f>
        <v>0</v>
      </c>
      <c r="M485">
        <f>_xlfn.IFNA(VLOOKUP(Imputar[[#This Row],[Categoría]],EIMI!C:T,9,0),0)</f>
        <v>0</v>
      </c>
      <c r="N485">
        <f>_xlfn.IFNA(VLOOKUP(Imputar[[#This Row],[Categoría]],EIMI!C:T,10,0),0)</f>
        <v>0</v>
      </c>
    </row>
    <row r="486" spans="1:14" hidden="1" x14ac:dyDescent="0.25">
      <c r="A486" s="206" t="str">
        <f>Indice!$I$11</f>
        <v>EIMI00398</v>
      </c>
      <c r="B486" t="s">
        <v>1375</v>
      </c>
      <c r="C486" s="39">
        <f>Indice!$I$12</f>
        <v>46053</v>
      </c>
      <c r="E486">
        <f>ROUND(SUMIFS(CATEGORIAS[[#All],[TOTAL PRODUCCION
ACTUAL]],CATEGORIAS[[#All],[CATEGORIA2]],Imputar[[#This Row],[Categoría]]),0)</f>
        <v>0</v>
      </c>
      <c r="F486">
        <v>0</v>
      </c>
      <c r="G486">
        <f>ROUND(SUMIFS(CATEGORIAS[[#All],[PROYECCION
DE INGRESO
DEL SALDO]],CATEGORIAS[[#All],[CATEGORIA2]],Imputar[[#This Row],[Categoría]]),0)</f>
        <v>0</v>
      </c>
      <c r="H486">
        <f>ROUND(SUMIFS(CATEGORIAS[[#All],[CAMBIO DE
CATEGORIA]],CATEGORIAS[[#All],[CATEGORIA2]],Imputar[[#This Row],[Categoría]]),0)</f>
        <v>0</v>
      </c>
      <c r="I48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6">
        <f>+ROUND(SUMIFS(CATEGORIAS[[#All],[PROYECCION
TOTAL DE COSTO]],CATEGORIAS[[#All],[CATEGORIA2]],Imputar[[#This Row],[Categoría]]),0)
-Imputar[[#This Row],[Inventario]]
-Imputar[[#This Row],[Pedidos no Rec]]</f>
        <v>0</v>
      </c>
      <c r="K48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6">
        <f>_xlfn.IFNA(VLOOKUP(Imputar[[#This Row],[Categoría]],EIMI!C:T,8,0),0)</f>
        <v>0</v>
      </c>
      <c r="M486">
        <f>_xlfn.IFNA(VLOOKUP(Imputar[[#This Row],[Categoría]],EIMI!C:T,9,0),0)</f>
        <v>0</v>
      </c>
      <c r="N486">
        <f>_xlfn.IFNA(VLOOKUP(Imputar[[#This Row],[Categoría]],EIMI!C:T,10,0),0)</f>
        <v>0</v>
      </c>
    </row>
    <row r="487" spans="1:14" hidden="1" x14ac:dyDescent="0.25">
      <c r="A487" s="206" t="str">
        <f>Indice!$I$11</f>
        <v>EIMI00398</v>
      </c>
      <c r="B487" t="s">
        <v>1377</v>
      </c>
      <c r="C487" s="39">
        <f>Indice!$I$12</f>
        <v>46053</v>
      </c>
      <c r="E487">
        <f>ROUND(SUMIFS(CATEGORIAS[[#All],[TOTAL PRODUCCION
ACTUAL]],CATEGORIAS[[#All],[CATEGORIA2]],Imputar[[#This Row],[Categoría]]),0)</f>
        <v>0</v>
      </c>
      <c r="F487">
        <v>0</v>
      </c>
      <c r="G487">
        <f>ROUND(SUMIFS(CATEGORIAS[[#All],[PROYECCION
DE INGRESO
DEL SALDO]],CATEGORIAS[[#All],[CATEGORIA2]],Imputar[[#This Row],[Categoría]]),0)</f>
        <v>0</v>
      </c>
      <c r="H487">
        <f>ROUND(SUMIFS(CATEGORIAS[[#All],[CAMBIO DE
CATEGORIA]],CATEGORIAS[[#All],[CATEGORIA2]],Imputar[[#This Row],[Categoría]]),0)</f>
        <v>0</v>
      </c>
      <c r="I48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7">
        <f>+ROUND(SUMIFS(CATEGORIAS[[#All],[PROYECCION
TOTAL DE COSTO]],CATEGORIAS[[#All],[CATEGORIA2]],Imputar[[#This Row],[Categoría]]),0)
-Imputar[[#This Row],[Inventario]]
-Imputar[[#This Row],[Pedidos no Rec]]</f>
        <v>0</v>
      </c>
      <c r="K48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7">
        <f>_xlfn.IFNA(VLOOKUP(Imputar[[#This Row],[Categoría]],EIMI!C:T,8,0),0)</f>
        <v>0</v>
      </c>
      <c r="M487">
        <f>_xlfn.IFNA(VLOOKUP(Imputar[[#This Row],[Categoría]],EIMI!C:T,9,0),0)</f>
        <v>0</v>
      </c>
      <c r="N487">
        <f>_xlfn.IFNA(VLOOKUP(Imputar[[#This Row],[Categoría]],EIMI!C:T,10,0),0)</f>
        <v>0</v>
      </c>
    </row>
    <row r="488" spans="1:14" hidden="1" x14ac:dyDescent="0.25">
      <c r="A488" s="206" t="str">
        <f>Indice!$I$11</f>
        <v>EIMI00398</v>
      </c>
      <c r="B488" t="s">
        <v>1379</v>
      </c>
      <c r="C488" s="39">
        <f>Indice!$I$12</f>
        <v>46053</v>
      </c>
      <c r="E488">
        <f>ROUND(SUMIFS(CATEGORIAS[[#All],[TOTAL PRODUCCION
ACTUAL]],CATEGORIAS[[#All],[CATEGORIA2]],Imputar[[#This Row],[Categoría]]),0)</f>
        <v>0</v>
      </c>
      <c r="F488">
        <v>0</v>
      </c>
      <c r="G488">
        <f>ROUND(SUMIFS(CATEGORIAS[[#All],[PROYECCION
DE INGRESO
DEL SALDO]],CATEGORIAS[[#All],[CATEGORIA2]],Imputar[[#This Row],[Categoría]]),0)</f>
        <v>0</v>
      </c>
      <c r="H488">
        <f>ROUND(SUMIFS(CATEGORIAS[[#All],[CAMBIO DE
CATEGORIA]],CATEGORIAS[[#All],[CATEGORIA2]],Imputar[[#This Row],[Categoría]]),0)</f>
        <v>0</v>
      </c>
      <c r="I48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8">
        <f>+ROUND(SUMIFS(CATEGORIAS[[#All],[PROYECCION
TOTAL DE COSTO]],CATEGORIAS[[#All],[CATEGORIA2]],Imputar[[#This Row],[Categoría]]),0)
-Imputar[[#This Row],[Inventario]]
-Imputar[[#This Row],[Pedidos no Rec]]</f>
        <v>0</v>
      </c>
      <c r="K48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8">
        <f>_xlfn.IFNA(VLOOKUP(Imputar[[#This Row],[Categoría]],EIMI!C:T,8,0),0)</f>
        <v>0</v>
      </c>
      <c r="M488">
        <f>_xlfn.IFNA(VLOOKUP(Imputar[[#This Row],[Categoría]],EIMI!C:T,9,0),0)</f>
        <v>0</v>
      </c>
      <c r="N488">
        <f>_xlfn.IFNA(VLOOKUP(Imputar[[#This Row],[Categoría]],EIMI!C:T,10,0),0)</f>
        <v>0</v>
      </c>
    </row>
    <row r="489" spans="1:14" hidden="1" x14ac:dyDescent="0.25">
      <c r="A489" s="206" t="str">
        <f>Indice!$I$11</f>
        <v>EIMI00398</v>
      </c>
      <c r="B489" t="s">
        <v>1381</v>
      </c>
      <c r="C489" s="39">
        <f>Indice!$I$12</f>
        <v>46053</v>
      </c>
      <c r="E489">
        <f>ROUND(SUMIFS(CATEGORIAS[[#All],[TOTAL PRODUCCION
ACTUAL]],CATEGORIAS[[#All],[CATEGORIA2]],Imputar[[#This Row],[Categoría]]),0)</f>
        <v>0</v>
      </c>
      <c r="F489">
        <v>0</v>
      </c>
      <c r="G489">
        <f>ROUND(SUMIFS(CATEGORIAS[[#All],[PROYECCION
DE INGRESO
DEL SALDO]],CATEGORIAS[[#All],[CATEGORIA2]],Imputar[[#This Row],[Categoría]]),0)</f>
        <v>0</v>
      </c>
      <c r="H489">
        <f>ROUND(SUMIFS(CATEGORIAS[[#All],[CAMBIO DE
CATEGORIA]],CATEGORIAS[[#All],[CATEGORIA2]],Imputar[[#This Row],[Categoría]]),0)</f>
        <v>0</v>
      </c>
      <c r="I48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89">
        <f>+ROUND(SUMIFS(CATEGORIAS[[#All],[PROYECCION
TOTAL DE COSTO]],CATEGORIAS[[#All],[CATEGORIA2]],Imputar[[#This Row],[Categoría]]),0)
-Imputar[[#This Row],[Inventario]]
-Imputar[[#This Row],[Pedidos no Rec]]</f>
        <v>0</v>
      </c>
      <c r="K48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89">
        <f>_xlfn.IFNA(VLOOKUP(Imputar[[#This Row],[Categoría]],EIMI!C:T,8,0),0)</f>
        <v>0</v>
      </c>
      <c r="M489">
        <f>_xlfn.IFNA(VLOOKUP(Imputar[[#This Row],[Categoría]],EIMI!C:T,9,0),0)</f>
        <v>0</v>
      </c>
      <c r="N489">
        <f>_xlfn.IFNA(VLOOKUP(Imputar[[#This Row],[Categoría]],EIMI!C:T,10,0),0)</f>
        <v>0</v>
      </c>
    </row>
    <row r="490" spans="1:14" hidden="1" x14ac:dyDescent="0.25">
      <c r="A490" s="206" t="str">
        <f>Indice!$I$11</f>
        <v>EIMI00398</v>
      </c>
      <c r="B490" t="s">
        <v>1383</v>
      </c>
      <c r="C490" s="39">
        <f>Indice!$I$12</f>
        <v>46053</v>
      </c>
      <c r="E490">
        <f>ROUND(SUMIFS(CATEGORIAS[[#All],[TOTAL PRODUCCION
ACTUAL]],CATEGORIAS[[#All],[CATEGORIA2]],Imputar[[#This Row],[Categoría]]),0)</f>
        <v>0</v>
      </c>
      <c r="F490">
        <v>0</v>
      </c>
      <c r="G490">
        <f>ROUND(SUMIFS(CATEGORIAS[[#All],[PROYECCION
DE INGRESO
DEL SALDO]],CATEGORIAS[[#All],[CATEGORIA2]],Imputar[[#This Row],[Categoría]]),0)</f>
        <v>0</v>
      </c>
      <c r="H490">
        <f>ROUND(SUMIFS(CATEGORIAS[[#All],[CAMBIO DE
CATEGORIA]],CATEGORIAS[[#All],[CATEGORIA2]],Imputar[[#This Row],[Categoría]]),0)</f>
        <v>0</v>
      </c>
      <c r="I49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0">
        <f>+ROUND(SUMIFS(CATEGORIAS[[#All],[PROYECCION
TOTAL DE COSTO]],CATEGORIAS[[#All],[CATEGORIA2]],Imputar[[#This Row],[Categoría]]),0)
-Imputar[[#This Row],[Inventario]]
-Imputar[[#This Row],[Pedidos no Rec]]</f>
        <v>0</v>
      </c>
      <c r="K49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0">
        <f>_xlfn.IFNA(VLOOKUP(Imputar[[#This Row],[Categoría]],EIMI!C:T,8,0),0)</f>
        <v>0</v>
      </c>
      <c r="M490">
        <f>_xlfn.IFNA(VLOOKUP(Imputar[[#This Row],[Categoría]],EIMI!C:T,9,0),0)</f>
        <v>0</v>
      </c>
      <c r="N490">
        <f>_xlfn.IFNA(VLOOKUP(Imputar[[#This Row],[Categoría]],EIMI!C:T,10,0),0)</f>
        <v>0</v>
      </c>
    </row>
    <row r="491" spans="1:14" hidden="1" x14ac:dyDescent="0.25">
      <c r="A491" s="206" t="str">
        <f>Indice!$I$11</f>
        <v>EIMI00398</v>
      </c>
      <c r="B491" t="s">
        <v>1385</v>
      </c>
      <c r="C491" s="39">
        <f>Indice!$I$12</f>
        <v>46053</v>
      </c>
      <c r="E491">
        <f>ROUND(SUMIFS(CATEGORIAS[[#All],[TOTAL PRODUCCION
ACTUAL]],CATEGORIAS[[#All],[CATEGORIA2]],Imputar[[#This Row],[Categoría]]),0)</f>
        <v>0</v>
      </c>
      <c r="F491">
        <v>0</v>
      </c>
      <c r="G491">
        <f>ROUND(SUMIFS(CATEGORIAS[[#All],[PROYECCION
DE INGRESO
DEL SALDO]],CATEGORIAS[[#All],[CATEGORIA2]],Imputar[[#This Row],[Categoría]]),0)</f>
        <v>0</v>
      </c>
      <c r="H491">
        <f>ROUND(SUMIFS(CATEGORIAS[[#All],[CAMBIO DE
CATEGORIA]],CATEGORIAS[[#All],[CATEGORIA2]],Imputar[[#This Row],[Categoría]]),0)</f>
        <v>0</v>
      </c>
      <c r="I49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1">
        <f>+ROUND(SUMIFS(CATEGORIAS[[#All],[PROYECCION
TOTAL DE COSTO]],CATEGORIAS[[#All],[CATEGORIA2]],Imputar[[#This Row],[Categoría]]),0)
-Imputar[[#This Row],[Inventario]]
-Imputar[[#This Row],[Pedidos no Rec]]</f>
        <v>0</v>
      </c>
      <c r="K49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1">
        <f>_xlfn.IFNA(VLOOKUP(Imputar[[#This Row],[Categoría]],EIMI!C:T,8,0),0)</f>
        <v>0</v>
      </c>
      <c r="M491">
        <f>_xlfn.IFNA(VLOOKUP(Imputar[[#This Row],[Categoría]],EIMI!C:T,9,0),0)</f>
        <v>0</v>
      </c>
      <c r="N491">
        <f>_xlfn.IFNA(VLOOKUP(Imputar[[#This Row],[Categoría]],EIMI!C:T,10,0),0)</f>
        <v>0</v>
      </c>
    </row>
    <row r="492" spans="1:14" hidden="1" x14ac:dyDescent="0.25">
      <c r="A492" s="206" t="str">
        <f>Indice!$I$11</f>
        <v>EIMI00398</v>
      </c>
      <c r="B492" t="s">
        <v>1387</v>
      </c>
      <c r="C492" s="39">
        <f>Indice!$I$12</f>
        <v>46053</v>
      </c>
      <c r="E492">
        <f>ROUND(SUMIFS(CATEGORIAS[[#All],[TOTAL PRODUCCION
ACTUAL]],CATEGORIAS[[#All],[CATEGORIA2]],Imputar[[#This Row],[Categoría]]),0)</f>
        <v>0</v>
      </c>
      <c r="F492">
        <v>0</v>
      </c>
      <c r="G492">
        <f>ROUND(SUMIFS(CATEGORIAS[[#All],[PROYECCION
DE INGRESO
DEL SALDO]],CATEGORIAS[[#All],[CATEGORIA2]],Imputar[[#This Row],[Categoría]]),0)</f>
        <v>0</v>
      </c>
      <c r="H492">
        <f>ROUND(SUMIFS(CATEGORIAS[[#All],[CAMBIO DE
CATEGORIA]],CATEGORIAS[[#All],[CATEGORIA2]],Imputar[[#This Row],[Categoría]]),0)</f>
        <v>0</v>
      </c>
      <c r="I49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2">
        <f>+ROUND(SUMIFS(CATEGORIAS[[#All],[PROYECCION
TOTAL DE COSTO]],CATEGORIAS[[#All],[CATEGORIA2]],Imputar[[#This Row],[Categoría]]),0)
-Imputar[[#This Row],[Inventario]]
-Imputar[[#This Row],[Pedidos no Rec]]</f>
        <v>0</v>
      </c>
      <c r="K49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2">
        <f>_xlfn.IFNA(VLOOKUP(Imputar[[#This Row],[Categoría]],EIMI!C:T,8,0),0)</f>
        <v>0</v>
      </c>
      <c r="M492">
        <f>_xlfn.IFNA(VLOOKUP(Imputar[[#This Row],[Categoría]],EIMI!C:T,9,0),0)</f>
        <v>0</v>
      </c>
      <c r="N492">
        <f>_xlfn.IFNA(VLOOKUP(Imputar[[#This Row],[Categoría]],EIMI!C:T,10,0),0)</f>
        <v>0</v>
      </c>
    </row>
    <row r="493" spans="1:14" x14ac:dyDescent="0.25">
      <c r="A493" s="206" t="str">
        <f>Indice!$I$11</f>
        <v>EIMI00398</v>
      </c>
      <c r="B493" t="s">
        <v>1389</v>
      </c>
      <c r="C493" s="39">
        <f>Indice!$I$12</f>
        <v>46053</v>
      </c>
      <c r="E493">
        <f>ROUND(SUMIFS(CATEGORIAS[[#All],[TOTAL PRODUCCION
ACTUAL]],CATEGORIAS[[#All],[CATEGORIA2]],Imputar[[#This Row],[Categoría]]),0)</f>
        <v>0</v>
      </c>
      <c r="F493">
        <v>0</v>
      </c>
      <c r="G493">
        <f>ROUND(SUMIFS(CATEGORIAS[[#All],[PROYECCION
DE INGRESO
DEL SALDO]],CATEGORIAS[[#All],[CATEGORIA2]],Imputar[[#This Row],[Categoría]]),0)</f>
        <v>0</v>
      </c>
      <c r="H493">
        <f>ROUND(SUMIFS(CATEGORIAS[[#All],[CAMBIO DE
CATEGORIA]],CATEGORIAS[[#All],[CATEGORIA2]],Imputar[[#This Row],[Categoría]]),0)</f>
        <v>0</v>
      </c>
      <c r="I49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-17933154</v>
      </c>
      <c r="J493">
        <f>+ROUND(SUMIFS(CATEGORIAS[[#All],[PROYECCION
TOTAL DE COSTO]],CATEGORIAS[[#All],[CATEGORIA2]],Imputar[[#This Row],[Categoría]]),0)
-Imputar[[#This Row],[Inventario]]
-Imputar[[#This Row],[Pedidos no Rec]]</f>
        <v>-643160</v>
      </c>
      <c r="K49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3">
        <f>_xlfn.IFNA(VLOOKUP(Imputar[[#This Row],[Categoría]],EIMI!C:T,8,0),0)</f>
        <v>17933154</v>
      </c>
      <c r="M493">
        <f>_xlfn.IFNA(VLOOKUP(Imputar[[#This Row],[Categoría]],EIMI!C:T,9,0),0)</f>
        <v>363160</v>
      </c>
      <c r="N493">
        <f>_xlfn.IFNA(VLOOKUP(Imputar[[#This Row],[Categoría]],EIMI!C:T,10,0),0)</f>
        <v>280000</v>
      </c>
    </row>
    <row r="494" spans="1:14" x14ac:dyDescent="0.25">
      <c r="A494" s="206" t="str">
        <f>Indice!$I$11</f>
        <v>EIMI00398</v>
      </c>
      <c r="B494" t="s">
        <v>1391</v>
      </c>
      <c r="C494" s="39">
        <f>Indice!$I$12</f>
        <v>46053</v>
      </c>
      <c r="E494">
        <f>ROUND(SUMIFS(CATEGORIAS[[#All],[TOTAL PRODUCCION
ACTUAL]],CATEGORIAS[[#All],[CATEGORIA2]],Imputar[[#This Row],[Categoría]]),0)</f>
        <v>0</v>
      </c>
      <c r="F494">
        <v>0</v>
      </c>
      <c r="G494">
        <f>ROUND(SUMIFS(CATEGORIAS[[#All],[PROYECCION
DE INGRESO
DEL SALDO]],CATEGORIAS[[#All],[CATEGORIA2]],Imputar[[#This Row],[Categoría]]),0)</f>
        <v>0</v>
      </c>
      <c r="H494">
        <f>ROUND(SUMIFS(CATEGORIAS[[#All],[CAMBIO DE
CATEGORIA]],CATEGORIAS[[#All],[CATEGORIA2]],Imputar[[#This Row],[Categoría]]),0)</f>
        <v>0</v>
      </c>
      <c r="I49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-5021588</v>
      </c>
      <c r="J494">
        <f>+ROUND(SUMIFS(CATEGORIAS[[#All],[PROYECCION
TOTAL DE COSTO]],CATEGORIAS[[#All],[CATEGORIA2]],Imputar[[#This Row],[Categoría]]),0)
-Imputar[[#This Row],[Inventario]]
-Imputar[[#This Row],[Pedidos no Rec]]</f>
        <v>0</v>
      </c>
      <c r="K494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494">
        <f>_xlfn.IFNA(VLOOKUP(Imputar[[#This Row],[Categoría]],EIMI!C:T,8,0),0)</f>
        <v>5021588</v>
      </c>
      <c r="M494">
        <f>_xlfn.IFNA(VLOOKUP(Imputar[[#This Row],[Categoría]],EIMI!C:T,9,0),0)</f>
        <v>0</v>
      </c>
      <c r="N494">
        <f>_xlfn.IFNA(VLOOKUP(Imputar[[#This Row],[Categoría]],EIMI!C:T,10,0),0)</f>
        <v>0</v>
      </c>
    </row>
    <row r="495" spans="1:14" hidden="1" x14ac:dyDescent="0.25">
      <c r="A495" s="206" t="str">
        <f>Indice!$I$11</f>
        <v>EIMI00398</v>
      </c>
      <c r="B495" t="s">
        <v>1464</v>
      </c>
      <c r="C495" s="39">
        <f>Indice!$I$12</f>
        <v>46053</v>
      </c>
      <c r="E495">
        <f>ROUND(SUMIFS(CATEGORIAS[[#All],[TOTAL PRODUCCION
ACTUAL]],CATEGORIAS[[#All],[CATEGORIA2]],Imputar[[#This Row],[Categoría]]),0)</f>
        <v>0</v>
      </c>
      <c r="F495">
        <v>0</v>
      </c>
      <c r="G495">
        <f>ROUND(SUMIFS(CATEGORIAS[[#All],[PROYECCION
DE INGRESO
DEL SALDO]],CATEGORIAS[[#All],[CATEGORIA2]],Imputar[[#This Row],[Categoría]]),0)</f>
        <v>0</v>
      </c>
      <c r="H495">
        <f>ROUND(SUMIFS(CATEGORIAS[[#All],[CAMBIO DE
CATEGORIA]],CATEGORIAS[[#All],[CATEGORIA2]],Imputar[[#This Row],[Categoría]]),0)</f>
        <v>0</v>
      </c>
      <c r="I49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5">
        <f>+ROUND(SUMIFS(CATEGORIAS[[#All],[PROYECCION
TOTAL DE COSTO]],CATEGORIAS[[#All],[CATEGORIA2]],Imputar[[#This Row],[Categoría]]),0)
-Imputar[[#This Row],[Inventario]]
-Imputar[[#This Row],[Pedidos no Rec]]</f>
        <v>0</v>
      </c>
      <c r="K49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5">
        <f>_xlfn.IFNA(VLOOKUP(Imputar[[#This Row],[Categoría]],EIMI!C:T,8,0),0)</f>
        <v>0</v>
      </c>
      <c r="M495">
        <f>_xlfn.IFNA(VLOOKUP(Imputar[[#This Row],[Categoría]],EIMI!C:T,9,0),0)</f>
        <v>0</v>
      </c>
      <c r="N495">
        <f>_xlfn.IFNA(VLOOKUP(Imputar[[#This Row],[Categoría]],EIMI!C:T,10,0),0)</f>
        <v>0</v>
      </c>
    </row>
    <row r="496" spans="1:14" hidden="1" x14ac:dyDescent="0.25">
      <c r="A496" s="206" t="str">
        <f>Indice!$I$11</f>
        <v>EIMI00398</v>
      </c>
      <c r="B496" t="s">
        <v>1465</v>
      </c>
      <c r="C496" s="39">
        <f>Indice!$I$12</f>
        <v>46053</v>
      </c>
      <c r="E496">
        <f>ROUND(SUMIFS(CATEGORIAS[[#All],[TOTAL PRODUCCION
ACTUAL]],CATEGORIAS[[#All],[CATEGORIA2]],Imputar[[#This Row],[Categoría]]),0)</f>
        <v>0</v>
      </c>
      <c r="F496">
        <v>0</v>
      </c>
      <c r="G496">
        <f>ROUND(SUMIFS(CATEGORIAS[[#All],[PROYECCION
DE INGRESO
DEL SALDO]],CATEGORIAS[[#All],[CATEGORIA2]],Imputar[[#This Row],[Categoría]]),0)</f>
        <v>0</v>
      </c>
      <c r="H496">
        <f>ROUND(SUMIFS(CATEGORIAS[[#All],[CAMBIO DE
CATEGORIA]],CATEGORIAS[[#All],[CATEGORIA2]],Imputar[[#This Row],[Categoría]]),0)</f>
        <v>0</v>
      </c>
      <c r="I49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6">
        <f>+ROUND(SUMIFS(CATEGORIAS[[#All],[PROYECCION
TOTAL DE COSTO]],CATEGORIAS[[#All],[CATEGORIA2]],Imputar[[#This Row],[Categoría]]),0)
-Imputar[[#This Row],[Inventario]]
-Imputar[[#This Row],[Pedidos no Rec]]</f>
        <v>0</v>
      </c>
      <c r="K49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6">
        <f>_xlfn.IFNA(VLOOKUP(Imputar[[#This Row],[Categoría]],EIMI!C:T,8,0),0)</f>
        <v>0</v>
      </c>
      <c r="M496">
        <f>_xlfn.IFNA(VLOOKUP(Imputar[[#This Row],[Categoría]],EIMI!C:T,9,0),0)</f>
        <v>0</v>
      </c>
      <c r="N496">
        <f>_xlfn.IFNA(VLOOKUP(Imputar[[#This Row],[Categoría]],EIMI!C:T,10,0),0)</f>
        <v>0</v>
      </c>
    </row>
    <row r="497" spans="1:14" hidden="1" x14ac:dyDescent="0.25">
      <c r="A497" s="206" t="str">
        <f>Indice!$I$11</f>
        <v>EIMI00398</v>
      </c>
      <c r="B497" t="s">
        <v>1466</v>
      </c>
      <c r="C497" s="39">
        <f>Indice!$I$12</f>
        <v>46053</v>
      </c>
      <c r="E497">
        <f>ROUND(SUMIFS(CATEGORIAS[[#All],[TOTAL PRODUCCION
ACTUAL]],CATEGORIAS[[#All],[CATEGORIA2]],Imputar[[#This Row],[Categoría]]),0)</f>
        <v>0</v>
      </c>
      <c r="F497">
        <v>0</v>
      </c>
      <c r="G497">
        <f>ROUND(SUMIFS(CATEGORIAS[[#All],[PROYECCION
DE INGRESO
DEL SALDO]],CATEGORIAS[[#All],[CATEGORIA2]],Imputar[[#This Row],[Categoría]]),0)</f>
        <v>0</v>
      </c>
      <c r="H497">
        <f>ROUND(SUMIFS(CATEGORIAS[[#All],[CAMBIO DE
CATEGORIA]],CATEGORIAS[[#All],[CATEGORIA2]],Imputar[[#This Row],[Categoría]]),0)</f>
        <v>0</v>
      </c>
      <c r="I49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7">
        <f>+ROUND(SUMIFS(CATEGORIAS[[#All],[PROYECCION
TOTAL DE COSTO]],CATEGORIAS[[#All],[CATEGORIA2]],Imputar[[#This Row],[Categoría]]),0)
-Imputar[[#This Row],[Inventario]]
-Imputar[[#This Row],[Pedidos no Rec]]</f>
        <v>0</v>
      </c>
      <c r="K49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7">
        <f>_xlfn.IFNA(VLOOKUP(Imputar[[#This Row],[Categoría]],EIMI!C:T,8,0),0)</f>
        <v>0</v>
      </c>
      <c r="M497">
        <f>_xlfn.IFNA(VLOOKUP(Imputar[[#This Row],[Categoría]],EIMI!C:T,9,0),0)</f>
        <v>0</v>
      </c>
      <c r="N497">
        <f>_xlfn.IFNA(VLOOKUP(Imputar[[#This Row],[Categoría]],EIMI!C:T,10,0),0)</f>
        <v>0</v>
      </c>
    </row>
    <row r="498" spans="1:14" hidden="1" x14ac:dyDescent="0.25">
      <c r="A498" s="206" t="str">
        <f>Indice!$I$11</f>
        <v>EIMI00398</v>
      </c>
      <c r="B498" t="s">
        <v>1467</v>
      </c>
      <c r="C498" s="39">
        <f>Indice!$I$12</f>
        <v>46053</v>
      </c>
      <c r="E498">
        <f>ROUND(SUMIFS(CATEGORIAS[[#All],[TOTAL PRODUCCION
ACTUAL]],CATEGORIAS[[#All],[CATEGORIA2]],Imputar[[#This Row],[Categoría]]),0)</f>
        <v>0</v>
      </c>
      <c r="F498">
        <v>0</v>
      </c>
      <c r="G498">
        <f>ROUND(SUMIFS(CATEGORIAS[[#All],[PROYECCION
DE INGRESO
DEL SALDO]],CATEGORIAS[[#All],[CATEGORIA2]],Imputar[[#This Row],[Categoría]]),0)</f>
        <v>0</v>
      </c>
      <c r="H498">
        <f>ROUND(SUMIFS(CATEGORIAS[[#All],[CAMBIO DE
CATEGORIA]],CATEGORIAS[[#All],[CATEGORIA2]],Imputar[[#This Row],[Categoría]]),0)</f>
        <v>0</v>
      </c>
      <c r="I49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8">
        <f>+ROUND(SUMIFS(CATEGORIAS[[#All],[PROYECCION
TOTAL DE COSTO]],CATEGORIAS[[#All],[CATEGORIA2]],Imputar[[#This Row],[Categoría]]),0)
-Imputar[[#This Row],[Inventario]]
-Imputar[[#This Row],[Pedidos no Rec]]</f>
        <v>0</v>
      </c>
      <c r="K49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8">
        <f>_xlfn.IFNA(VLOOKUP(Imputar[[#This Row],[Categoría]],EIMI!C:T,8,0),0)</f>
        <v>0</v>
      </c>
      <c r="M498">
        <f>_xlfn.IFNA(VLOOKUP(Imputar[[#This Row],[Categoría]],EIMI!C:T,9,0),0)</f>
        <v>0</v>
      </c>
      <c r="N498">
        <f>_xlfn.IFNA(VLOOKUP(Imputar[[#This Row],[Categoría]],EIMI!C:T,10,0),0)</f>
        <v>0</v>
      </c>
    </row>
    <row r="499" spans="1:14" hidden="1" x14ac:dyDescent="0.25">
      <c r="A499" s="206" t="str">
        <f>Indice!$I$11</f>
        <v>EIMI00398</v>
      </c>
      <c r="B499" t="s">
        <v>1468</v>
      </c>
      <c r="C499" s="39">
        <f>Indice!$I$12</f>
        <v>46053</v>
      </c>
      <c r="E499">
        <f>ROUND(SUMIFS(CATEGORIAS[[#All],[TOTAL PRODUCCION
ACTUAL]],CATEGORIAS[[#All],[CATEGORIA2]],Imputar[[#This Row],[Categoría]]),0)</f>
        <v>0</v>
      </c>
      <c r="F499">
        <v>0</v>
      </c>
      <c r="G499">
        <f>ROUND(SUMIFS(CATEGORIAS[[#All],[PROYECCION
DE INGRESO
DEL SALDO]],CATEGORIAS[[#All],[CATEGORIA2]],Imputar[[#This Row],[Categoría]]),0)</f>
        <v>0</v>
      </c>
      <c r="H499">
        <f>ROUND(SUMIFS(CATEGORIAS[[#All],[CAMBIO DE
CATEGORIA]],CATEGORIAS[[#All],[CATEGORIA2]],Imputar[[#This Row],[Categoría]]),0)</f>
        <v>0</v>
      </c>
      <c r="I49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499">
        <f>+ROUND(SUMIFS(CATEGORIAS[[#All],[PROYECCION
TOTAL DE COSTO]],CATEGORIAS[[#All],[CATEGORIA2]],Imputar[[#This Row],[Categoría]]),0)
-Imputar[[#This Row],[Inventario]]
-Imputar[[#This Row],[Pedidos no Rec]]</f>
        <v>0</v>
      </c>
      <c r="K49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499">
        <f>_xlfn.IFNA(VLOOKUP(Imputar[[#This Row],[Categoría]],EIMI!C:T,8,0),0)</f>
        <v>0</v>
      </c>
      <c r="M499">
        <f>_xlfn.IFNA(VLOOKUP(Imputar[[#This Row],[Categoría]],EIMI!C:T,9,0),0)</f>
        <v>0</v>
      </c>
      <c r="N499">
        <f>_xlfn.IFNA(VLOOKUP(Imputar[[#This Row],[Categoría]],EIMI!C:T,10,0),0)</f>
        <v>0</v>
      </c>
    </row>
    <row r="500" spans="1:14" hidden="1" x14ac:dyDescent="0.25">
      <c r="A500" s="206" t="str">
        <f>Indice!$I$11</f>
        <v>EIMI00398</v>
      </c>
      <c r="B500" t="s">
        <v>1394</v>
      </c>
      <c r="C500" s="39">
        <f>Indice!$I$12</f>
        <v>46053</v>
      </c>
      <c r="E500">
        <f>ROUND(SUMIFS(CATEGORIAS[[#All],[TOTAL PRODUCCION
ACTUAL]],CATEGORIAS[[#All],[CATEGORIA2]],Imputar[[#This Row],[Categoría]]),0)</f>
        <v>0</v>
      </c>
      <c r="F500">
        <v>0</v>
      </c>
      <c r="G500">
        <f>ROUND(SUMIFS(CATEGORIAS[[#All],[PROYECCION
DE INGRESO
DEL SALDO]],CATEGORIAS[[#All],[CATEGORIA2]],Imputar[[#This Row],[Categoría]]),0)</f>
        <v>0</v>
      </c>
      <c r="H500">
        <f>ROUND(SUMIFS(CATEGORIAS[[#All],[CAMBIO DE
CATEGORIA]],CATEGORIAS[[#All],[CATEGORIA2]],Imputar[[#This Row],[Categoría]]),0)</f>
        <v>0</v>
      </c>
      <c r="I50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0">
        <f>+ROUND(SUMIFS(CATEGORIAS[[#All],[PROYECCION
TOTAL DE COSTO]],CATEGORIAS[[#All],[CATEGORIA2]],Imputar[[#This Row],[Categoría]]),0)
-Imputar[[#This Row],[Inventario]]
-Imputar[[#This Row],[Pedidos no Rec]]</f>
        <v>0</v>
      </c>
      <c r="K50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0">
        <f>_xlfn.IFNA(VLOOKUP(Imputar[[#This Row],[Categoría]],EIMI!C:T,8,0),0)</f>
        <v>0</v>
      </c>
      <c r="M500">
        <f>_xlfn.IFNA(VLOOKUP(Imputar[[#This Row],[Categoría]],EIMI!C:T,9,0),0)</f>
        <v>0</v>
      </c>
      <c r="N500">
        <f>_xlfn.IFNA(VLOOKUP(Imputar[[#This Row],[Categoría]],EIMI!C:T,10,0),0)</f>
        <v>0</v>
      </c>
    </row>
    <row r="501" spans="1:14" hidden="1" x14ac:dyDescent="0.25">
      <c r="A501" s="206" t="str">
        <f>Indice!$I$11</f>
        <v>EIMI00398</v>
      </c>
      <c r="B501" t="s">
        <v>1406</v>
      </c>
      <c r="C501" s="39">
        <f>Indice!$I$12</f>
        <v>46053</v>
      </c>
      <c r="E501">
        <f>ROUND(SUMIFS(CATEGORIAS[[#All],[TOTAL PRODUCCION
ACTUAL]],CATEGORIAS[[#All],[CATEGORIA2]],Imputar[[#This Row],[Categoría]]),0)</f>
        <v>0</v>
      </c>
      <c r="F501">
        <v>0</v>
      </c>
      <c r="G501">
        <f>ROUND(SUMIFS(CATEGORIAS[[#All],[PROYECCION
DE INGRESO
DEL SALDO]],CATEGORIAS[[#All],[CATEGORIA2]],Imputar[[#This Row],[Categoría]]),0)</f>
        <v>0</v>
      </c>
      <c r="H501">
        <f>ROUND(SUMIFS(CATEGORIAS[[#All],[CAMBIO DE
CATEGORIA]],CATEGORIAS[[#All],[CATEGORIA2]],Imputar[[#This Row],[Categoría]]),0)</f>
        <v>0</v>
      </c>
      <c r="I50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1">
        <f>+ROUND(SUMIFS(CATEGORIAS[[#All],[PROYECCION
TOTAL DE COSTO]],CATEGORIAS[[#All],[CATEGORIA2]],Imputar[[#This Row],[Categoría]]),0)
-Imputar[[#This Row],[Inventario]]
-Imputar[[#This Row],[Pedidos no Rec]]</f>
        <v>0</v>
      </c>
      <c r="K50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1">
        <f>_xlfn.IFNA(VLOOKUP(Imputar[[#This Row],[Categoría]],EIMI!C:T,8,0),0)</f>
        <v>0</v>
      </c>
      <c r="M501">
        <f>_xlfn.IFNA(VLOOKUP(Imputar[[#This Row],[Categoría]],EIMI!C:T,9,0),0)</f>
        <v>0</v>
      </c>
      <c r="N501">
        <f>_xlfn.IFNA(VLOOKUP(Imputar[[#This Row],[Categoría]],EIMI!C:T,10,0),0)</f>
        <v>0</v>
      </c>
    </row>
    <row r="502" spans="1:14" x14ac:dyDescent="0.25">
      <c r="A502" s="206" t="str">
        <f>Indice!$I$11</f>
        <v>EIMI00398</v>
      </c>
      <c r="B502" t="s">
        <v>1407</v>
      </c>
      <c r="C502" s="39">
        <f>Indice!$I$12</f>
        <v>46053</v>
      </c>
      <c r="E502">
        <f>ROUND(SUMIFS(CATEGORIAS[[#All],[TOTAL PRODUCCION
ACTUAL]],CATEGORIAS[[#All],[CATEGORIA2]],Imputar[[#This Row],[Categoría]]),0)</f>
        <v>0</v>
      </c>
      <c r="F502">
        <v>0</v>
      </c>
      <c r="G502">
        <f>ROUND(SUMIFS(CATEGORIAS[[#All],[PROYECCION
DE INGRESO
DEL SALDO]],CATEGORIAS[[#All],[CATEGORIA2]],Imputar[[#This Row],[Categoría]]),0)</f>
        <v>0</v>
      </c>
      <c r="H502">
        <f>ROUND(SUMIFS(CATEGORIAS[[#All],[CAMBIO DE
CATEGORIA]],CATEGORIAS[[#All],[CATEGORIA2]],Imputar[[#This Row],[Categoría]]),0)</f>
        <v>0</v>
      </c>
      <c r="I50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2">
        <f>+ROUND(SUMIFS(CATEGORIAS[[#All],[PROYECCION
TOTAL DE COSTO]],CATEGORIAS[[#All],[CATEGORIA2]],Imputar[[#This Row],[Categoría]]),0)
-Imputar[[#This Row],[Inventario]]
-Imputar[[#This Row],[Pedidos no Rec]]</f>
        <v>0</v>
      </c>
      <c r="K50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2">
        <f>_xlfn.IFNA(VLOOKUP(Imputar[[#This Row],[Categoría]],EIMI!C:T,8,0),0)</f>
        <v>0</v>
      </c>
      <c r="M502">
        <f>_xlfn.IFNA(VLOOKUP(Imputar[[#This Row],[Categoría]],EIMI!C:T,9,0),0)</f>
        <v>0</v>
      </c>
      <c r="N502">
        <f>_xlfn.IFNA(VLOOKUP(Imputar[[#This Row],[Categoría]],EIMI!C:T,10,0),0)</f>
        <v>0</v>
      </c>
    </row>
    <row r="503" spans="1:14" hidden="1" x14ac:dyDescent="0.25">
      <c r="A503" s="206" t="str">
        <f>Indice!$I$11</f>
        <v>EIMI00398</v>
      </c>
      <c r="B503" t="s">
        <v>1411</v>
      </c>
      <c r="C503" s="39">
        <f>Indice!$I$12</f>
        <v>46053</v>
      </c>
      <c r="E503">
        <f>ROUND(SUMIFS(CATEGORIAS[[#All],[TOTAL PRODUCCION
ACTUAL]],CATEGORIAS[[#All],[CATEGORIA2]],Imputar[[#This Row],[Categoría]]),0)</f>
        <v>0</v>
      </c>
      <c r="F503">
        <v>0</v>
      </c>
      <c r="G503">
        <f>ROUND(SUMIFS(CATEGORIAS[[#All],[PROYECCION
DE INGRESO
DEL SALDO]],CATEGORIAS[[#All],[CATEGORIA2]],Imputar[[#This Row],[Categoría]]),0)</f>
        <v>0</v>
      </c>
      <c r="H503">
        <f>ROUND(SUMIFS(CATEGORIAS[[#All],[CAMBIO DE
CATEGORIA]],CATEGORIAS[[#All],[CATEGORIA2]],Imputar[[#This Row],[Categoría]]),0)</f>
        <v>0</v>
      </c>
      <c r="I50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3">
        <f>+ROUND(SUMIFS(CATEGORIAS[[#All],[PROYECCION
TOTAL DE COSTO]],CATEGORIAS[[#All],[CATEGORIA2]],Imputar[[#This Row],[Categoría]]),0)
-Imputar[[#This Row],[Inventario]]
-Imputar[[#This Row],[Pedidos no Rec]]</f>
        <v>0</v>
      </c>
      <c r="K50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3">
        <f>_xlfn.IFNA(VLOOKUP(Imputar[[#This Row],[Categoría]],EIMI!C:T,8,0),0)</f>
        <v>0</v>
      </c>
      <c r="M503">
        <f>_xlfn.IFNA(VLOOKUP(Imputar[[#This Row],[Categoría]],EIMI!C:T,9,0),0)</f>
        <v>0</v>
      </c>
      <c r="N503">
        <f>_xlfn.IFNA(VLOOKUP(Imputar[[#This Row],[Categoría]],EIMI!C:T,10,0),0)</f>
        <v>0</v>
      </c>
    </row>
    <row r="504" spans="1:14" x14ac:dyDescent="0.25">
      <c r="A504" s="206" t="str">
        <f>Indice!$I$11</f>
        <v>EIMI00398</v>
      </c>
      <c r="B504" t="s">
        <v>1412</v>
      </c>
      <c r="C504" s="39">
        <f>Indice!$I$12</f>
        <v>46053</v>
      </c>
      <c r="E504">
        <f>ROUND(SUMIFS(CATEGORIAS[[#All],[TOTAL PRODUCCION
ACTUAL]],CATEGORIAS[[#All],[CATEGORIA2]],Imputar[[#This Row],[Categoría]]),0)</f>
        <v>0</v>
      </c>
      <c r="F504">
        <v>0</v>
      </c>
      <c r="G504">
        <f>ROUND(SUMIFS(CATEGORIAS[[#All],[PROYECCION
DE INGRESO
DEL SALDO]],CATEGORIAS[[#All],[CATEGORIA2]],Imputar[[#This Row],[Categoría]]),0)</f>
        <v>0</v>
      </c>
      <c r="H504">
        <f>ROUND(SUMIFS(CATEGORIAS[[#All],[CAMBIO DE
CATEGORIA]],CATEGORIAS[[#All],[CATEGORIA2]],Imputar[[#This Row],[Categoría]]),0)</f>
        <v>0</v>
      </c>
      <c r="I50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4">
        <f>+ROUND(SUMIFS(CATEGORIAS[[#All],[PROYECCION
TOTAL DE COSTO]],CATEGORIAS[[#All],[CATEGORIA2]],Imputar[[#This Row],[Categoría]]),0)
-Imputar[[#This Row],[Inventario]]
-Imputar[[#This Row],[Pedidos no Rec]]</f>
        <v>0</v>
      </c>
      <c r="K50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4">
        <f>_xlfn.IFNA(VLOOKUP(Imputar[[#This Row],[Categoría]],EIMI!C:T,8,0),0)</f>
        <v>0</v>
      </c>
      <c r="M504">
        <f>_xlfn.IFNA(VLOOKUP(Imputar[[#This Row],[Categoría]],EIMI!C:T,9,0),0)</f>
        <v>0</v>
      </c>
      <c r="N504">
        <f>_xlfn.IFNA(VLOOKUP(Imputar[[#This Row],[Categoría]],EIMI!C:T,10,0),0)</f>
        <v>0</v>
      </c>
    </row>
    <row r="505" spans="1:14" hidden="1" x14ac:dyDescent="0.25">
      <c r="A505" s="206" t="str">
        <f>Indice!$I$11</f>
        <v>EIMI00398</v>
      </c>
      <c r="B505" t="s">
        <v>1414</v>
      </c>
      <c r="C505" s="39">
        <f>Indice!$I$12</f>
        <v>46053</v>
      </c>
      <c r="E505">
        <f>ROUND(SUMIFS(CATEGORIAS[[#All],[TOTAL PRODUCCION
ACTUAL]],CATEGORIAS[[#All],[CATEGORIA2]],Imputar[[#This Row],[Categoría]]),0)</f>
        <v>0</v>
      </c>
      <c r="F505">
        <v>0</v>
      </c>
      <c r="G505">
        <f>ROUND(SUMIFS(CATEGORIAS[[#All],[PROYECCION
DE INGRESO
DEL SALDO]],CATEGORIAS[[#All],[CATEGORIA2]],Imputar[[#This Row],[Categoría]]),0)</f>
        <v>0</v>
      </c>
      <c r="H505">
        <f>ROUND(SUMIFS(CATEGORIAS[[#All],[CAMBIO DE
CATEGORIA]],CATEGORIAS[[#All],[CATEGORIA2]],Imputar[[#This Row],[Categoría]]),0)</f>
        <v>0</v>
      </c>
      <c r="I50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5">
        <f>+ROUND(SUMIFS(CATEGORIAS[[#All],[PROYECCION
TOTAL DE COSTO]],CATEGORIAS[[#All],[CATEGORIA2]],Imputar[[#This Row],[Categoría]]),0)
-Imputar[[#This Row],[Inventario]]
-Imputar[[#This Row],[Pedidos no Rec]]</f>
        <v>0</v>
      </c>
      <c r="K50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5">
        <f>_xlfn.IFNA(VLOOKUP(Imputar[[#This Row],[Categoría]],EIMI!C:T,8,0),0)</f>
        <v>0</v>
      </c>
      <c r="M505">
        <f>_xlfn.IFNA(VLOOKUP(Imputar[[#This Row],[Categoría]],EIMI!C:T,9,0),0)</f>
        <v>0</v>
      </c>
      <c r="N505">
        <f>_xlfn.IFNA(VLOOKUP(Imputar[[#This Row],[Categoría]],EIMI!C:T,10,0),0)</f>
        <v>0</v>
      </c>
    </row>
    <row r="506" spans="1:14" x14ac:dyDescent="0.25">
      <c r="A506" s="206" t="str">
        <f>Indice!$I$11</f>
        <v>EIMI00398</v>
      </c>
      <c r="B506" t="s">
        <v>1416</v>
      </c>
      <c r="C506" s="39">
        <f>Indice!$I$12</f>
        <v>46053</v>
      </c>
      <c r="E506">
        <f>ROUND(SUMIFS(CATEGORIAS[[#All],[TOTAL PRODUCCION
ACTUAL]],CATEGORIAS[[#All],[CATEGORIA2]],Imputar[[#This Row],[Categoría]]),0)</f>
        <v>0</v>
      </c>
      <c r="F506">
        <v>0</v>
      </c>
      <c r="G506">
        <f>ROUND(SUMIFS(CATEGORIAS[[#All],[PROYECCION
DE INGRESO
DEL SALDO]],CATEGORIAS[[#All],[CATEGORIA2]],Imputar[[#This Row],[Categoría]]),0)</f>
        <v>0</v>
      </c>
      <c r="H506">
        <f>ROUND(SUMIFS(CATEGORIAS[[#All],[CAMBIO DE
CATEGORIA]],CATEGORIAS[[#All],[CATEGORIA2]],Imputar[[#This Row],[Categoría]]),0)</f>
        <v>0</v>
      </c>
      <c r="I50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-31272430</v>
      </c>
      <c r="J506">
        <f>+ROUND(SUMIFS(CATEGORIAS[[#All],[PROYECCION
TOTAL DE COSTO]],CATEGORIAS[[#All],[CATEGORIA2]],Imputar[[#This Row],[Categoría]]),0)
-Imputar[[#This Row],[Inventario]]
-Imputar[[#This Row],[Pedidos no Rec]]</f>
        <v>0</v>
      </c>
      <c r="K506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06">
        <f>_xlfn.IFNA(VLOOKUP(Imputar[[#This Row],[Categoría]],EIMI!C:T,8,0),0)</f>
        <v>31272430</v>
      </c>
      <c r="M506">
        <f>_xlfn.IFNA(VLOOKUP(Imputar[[#This Row],[Categoría]],EIMI!C:T,9,0),0)</f>
        <v>0</v>
      </c>
      <c r="N506">
        <f>_xlfn.IFNA(VLOOKUP(Imputar[[#This Row],[Categoría]],EIMI!C:T,10,0),0)</f>
        <v>0</v>
      </c>
    </row>
    <row r="507" spans="1:14" hidden="1" x14ac:dyDescent="0.25">
      <c r="A507" s="206" t="str">
        <f>Indice!$I$11</f>
        <v>EIMI00398</v>
      </c>
      <c r="B507" t="s">
        <v>1418</v>
      </c>
      <c r="C507" s="39">
        <f>Indice!$I$12</f>
        <v>46053</v>
      </c>
      <c r="E507">
        <f>ROUND(SUMIFS(CATEGORIAS[[#All],[TOTAL PRODUCCION
ACTUAL]],CATEGORIAS[[#All],[CATEGORIA2]],Imputar[[#This Row],[Categoría]]),0)</f>
        <v>0</v>
      </c>
      <c r="F507">
        <v>0</v>
      </c>
      <c r="G507">
        <f>ROUND(SUMIFS(CATEGORIAS[[#All],[PROYECCION
DE INGRESO
DEL SALDO]],CATEGORIAS[[#All],[CATEGORIA2]],Imputar[[#This Row],[Categoría]]),0)</f>
        <v>0</v>
      </c>
      <c r="H507">
        <f>ROUND(SUMIFS(CATEGORIAS[[#All],[CAMBIO DE
CATEGORIA]],CATEGORIAS[[#All],[CATEGORIA2]],Imputar[[#This Row],[Categoría]]),0)</f>
        <v>0</v>
      </c>
      <c r="I50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7">
        <f>+ROUND(SUMIFS(CATEGORIAS[[#All],[PROYECCION
TOTAL DE COSTO]],CATEGORIAS[[#All],[CATEGORIA2]],Imputar[[#This Row],[Categoría]]),0)
-Imputar[[#This Row],[Inventario]]
-Imputar[[#This Row],[Pedidos no Rec]]</f>
        <v>0</v>
      </c>
      <c r="K50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7">
        <f>_xlfn.IFNA(VLOOKUP(Imputar[[#This Row],[Categoría]],EIMI!C:T,8,0),0)</f>
        <v>0</v>
      </c>
      <c r="M507">
        <f>_xlfn.IFNA(VLOOKUP(Imputar[[#This Row],[Categoría]],EIMI!C:T,9,0),0)</f>
        <v>0</v>
      </c>
      <c r="N507">
        <f>_xlfn.IFNA(VLOOKUP(Imputar[[#This Row],[Categoría]],EIMI!C:T,10,0),0)</f>
        <v>0</v>
      </c>
    </row>
    <row r="508" spans="1:14" x14ac:dyDescent="0.25">
      <c r="A508" s="206" t="str">
        <f>Indice!$I$11</f>
        <v>EIMI00398</v>
      </c>
      <c r="B508" t="s">
        <v>1420</v>
      </c>
      <c r="C508" s="39">
        <f>Indice!$I$12</f>
        <v>46053</v>
      </c>
      <c r="E508">
        <f>ROUND(SUMIFS(CATEGORIAS[[#All],[TOTAL PRODUCCION
ACTUAL]],CATEGORIAS[[#All],[CATEGORIA2]],Imputar[[#This Row],[Categoría]]),0)</f>
        <v>0</v>
      </c>
      <c r="F508">
        <v>0</v>
      </c>
      <c r="G508">
        <f>ROUND(SUMIFS(CATEGORIAS[[#All],[PROYECCION
DE INGRESO
DEL SALDO]],CATEGORIAS[[#All],[CATEGORIA2]],Imputar[[#This Row],[Categoría]]),0)</f>
        <v>0</v>
      </c>
      <c r="H508">
        <f>ROUND(SUMIFS(CATEGORIAS[[#All],[CAMBIO DE
CATEGORIA]],CATEGORIAS[[#All],[CATEGORIA2]],Imputar[[#This Row],[Categoría]]),0)</f>
        <v>0</v>
      </c>
      <c r="I50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8">
        <f>+ROUND(SUMIFS(CATEGORIAS[[#All],[PROYECCION
TOTAL DE COSTO]],CATEGORIAS[[#All],[CATEGORIA2]],Imputar[[#This Row],[Categoría]]),0)
-Imputar[[#This Row],[Inventario]]
-Imputar[[#This Row],[Pedidos no Rec]]</f>
        <v>0</v>
      </c>
      <c r="K50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8">
        <f>_xlfn.IFNA(VLOOKUP(Imputar[[#This Row],[Categoría]],EIMI!C:T,8,0),0)</f>
        <v>0</v>
      </c>
      <c r="M508">
        <f>_xlfn.IFNA(VLOOKUP(Imputar[[#This Row],[Categoría]],EIMI!C:T,9,0),0)</f>
        <v>0</v>
      </c>
      <c r="N508">
        <f>_xlfn.IFNA(VLOOKUP(Imputar[[#This Row],[Categoría]],EIMI!C:T,10,0),0)</f>
        <v>0</v>
      </c>
    </row>
    <row r="509" spans="1:14" hidden="1" x14ac:dyDescent="0.25">
      <c r="A509" s="206" t="str">
        <f>Indice!$I$11</f>
        <v>EIMI00398</v>
      </c>
      <c r="B509" t="s">
        <v>1422</v>
      </c>
      <c r="C509" s="39">
        <f>Indice!$I$12</f>
        <v>46053</v>
      </c>
      <c r="E509">
        <f>ROUND(SUMIFS(CATEGORIAS[[#All],[TOTAL PRODUCCION
ACTUAL]],CATEGORIAS[[#All],[CATEGORIA2]],Imputar[[#This Row],[Categoría]]),0)</f>
        <v>0</v>
      </c>
      <c r="F509">
        <v>0</v>
      </c>
      <c r="G509">
        <f>ROUND(SUMIFS(CATEGORIAS[[#All],[PROYECCION
DE INGRESO
DEL SALDO]],CATEGORIAS[[#All],[CATEGORIA2]],Imputar[[#This Row],[Categoría]]),0)</f>
        <v>0</v>
      </c>
      <c r="H509">
        <f>ROUND(SUMIFS(CATEGORIAS[[#All],[CAMBIO DE
CATEGORIA]],CATEGORIAS[[#All],[CATEGORIA2]],Imputar[[#This Row],[Categoría]]),0)</f>
        <v>0</v>
      </c>
      <c r="I50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09">
        <f>+ROUND(SUMIFS(CATEGORIAS[[#All],[PROYECCION
TOTAL DE COSTO]],CATEGORIAS[[#All],[CATEGORIA2]],Imputar[[#This Row],[Categoría]]),0)
-Imputar[[#This Row],[Inventario]]
-Imputar[[#This Row],[Pedidos no Rec]]</f>
        <v>0</v>
      </c>
      <c r="K50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09">
        <f>_xlfn.IFNA(VLOOKUP(Imputar[[#This Row],[Categoría]],EIMI!C:T,8,0),0)</f>
        <v>0</v>
      </c>
      <c r="M509">
        <f>_xlfn.IFNA(VLOOKUP(Imputar[[#This Row],[Categoría]],EIMI!C:T,9,0),0)</f>
        <v>0</v>
      </c>
      <c r="N509">
        <f>_xlfn.IFNA(VLOOKUP(Imputar[[#This Row],[Categoría]],EIMI!C:T,10,0),0)</f>
        <v>0</v>
      </c>
    </row>
    <row r="510" spans="1:14" x14ac:dyDescent="0.25">
      <c r="A510" s="206" t="str">
        <f>Indice!$I$11</f>
        <v>EIMI00398</v>
      </c>
      <c r="B510" t="s">
        <v>1424</v>
      </c>
      <c r="C510" s="39">
        <f>Indice!$I$12</f>
        <v>46053</v>
      </c>
      <c r="E510">
        <f>ROUND(SUMIFS(CATEGORIAS[[#All],[TOTAL PRODUCCION
ACTUAL]],CATEGORIAS[[#All],[CATEGORIA2]],Imputar[[#This Row],[Categoría]]),0)</f>
        <v>0</v>
      </c>
      <c r="F510">
        <v>0</v>
      </c>
      <c r="G510">
        <f>ROUND(SUMIFS(CATEGORIAS[[#All],[PROYECCION
DE INGRESO
DEL SALDO]],CATEGORIAS[[#All],[CATEGORIA2]],Imputar[[#This Row],[Categoría]]),0)</f>
        <v>0</v>
      </c>
      <c r="H510">
        <f>ROUND(SUMIFS(CATEGORIAS[[#All],[CAMBIO DE
CATEGORIA]],CATEGORIAS[[#All],[CATEGORIA2]],Imputar[[#This Row],[Categoría]]),0)</f>
        <v>0</v>
      </c>
      <c r="I51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0">
        <f>+ROUND(SUMIFS(CATEGORIAS[[#All],[PROYECCION
TOTAL DE COSTO]],CATEGORIAS[[#All],[CATEGORIA2]],Imputar[[#This Row],[Categoría]]),0)
-Imputar[[#This Row],[Inventario]]
-Imputar[[#This Row],[Pedidos no Rec]]</f>
        <v>0</v>
      </c>
      <c r="K51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0">
        <f>_xlfn.IFNA(VLOOKUP(Imputar[[#This Row],[Categoría]],EIMI!C:T,8,0),0)</f>
        <v>0</v>
      </c>
      <c r="M510">
        <f>_xlfn.IFNA(VLOOKUP(Imputar[[#This Row],[Categoría]],EIMI!C:T,9,0),0)</f>
        <v>0</v>
      </c>
      <c r="N510">
        <f>_xlfn.IFNA(VLOOKUP(Imputar[[#This Row],[Categoría]],EIMI!C:T,10,0),0)</f>
        <v>0</v>
      </c>
    </row>
    <row r="511" spans="1:14" hidden="1" x14ac:dyDescent="0.25">
      <c r="A511" s="206" t="str">
        <f>Indice!$I$11</f>
        <v>EIMI00398</v>
      </c>
      <c r="B511" t="s">
        <v>1426</v>
      </c>
      <c r="C511" s="39">
        <f>Indice!$I$12</f>
        <v>46053</v>
      </c>
      <c r="E511">
        <f>ROUND(SUMIFS(CATEGORIAS[[#All],[TOTAL PRODUCCION
ACTUAL]],CATEGORIAS[[#All],[CATEGORIA2]],Imputar[[#This Row],[Categoría]]),0)</f>
        <v>0</v>
      </c>
      <c r="F511">
        <v>0</v>
      </c>
      <c r="G511">
        <f>ROUND(SUMIFS(CATEGORIAS[[#All],[PROYECCION
DE INGRESO
DEL SALDO]],CATEGORIAS[[#All],[CATEGORIA2]],Imputar[[#This Row],[Categoría]]),0)</f>
        <v>0</v>
      </c>
      <c r="H511">
        <f>ROUND(SUMIFS(CATEGORIAS[[#All],[CAMBIO DE
CATEGORIA]],CATEGORIAS[[#All],[CATEGORIA2]],Imputar[[#This Row],[Categoría]]),0)</f>
        <v>0</v>
      </c>
      <c r="I51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1">
        <f>+ROUND(SUMIFS(CATEGORIAS[[#All],[PROYECCION
TOTAL DE COSTO]],CATEGORIAS[[#All],[CATEGORIA2]],Imputar[[#This Row],[Categoría]]),0)
-Imputar[[#This Row],[Inventario]]
-Imputar[[#This Row],[Pedidos no Rec]]</f>
        <v>0</v>
      </c>
      <c r="K51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1">
        <f>_xlfn.IFNA(VLOOKUP(Imputar[[#This Row],[Categoría]],EIMI!C:T,8,0),0)</f>
        <v>0</v>
      </c>
      <c r="M511">
        <f>_xlfn.IFNA(VLOOKUP(Imputar[[#This Row],[Categoría]],EIMI!C:T,9,0),0)</f>
        <v>0</v>
      </c>
      <c r="N511">
        <f>_xlfn.IFNA(VLOOKUP(Imputar[[#This Row],[Categoría]],EIMI!C:T,10,0),0)</f>
        <v>0</v>
      </c>
    </row>
    <row r="512" spans="1:14" x14ac:dyDescent="0.25">
      <c r="A512" s="206" t="str">
        <f>Indice!$I$11</f>
        <v>EIMI00398</v>
      </c>
      <c r="B512" t="s">
        <v>1429</v>
      </c>
      <c r="C512" s="39">
        <f>Indice!$I$12</f>
        <v>46053</v>
      </c>
      <c r="E512">
        <f>ROUND(SUMIFS(CATEGORIAS[[#All],[TOTAL PRODUCCION
ACTUAL]],CATEGORIAS[[#All],[CATEGORIA2]],Imputar[[#This Row],[Categoría]]),0)</f>
        <v>0</v>
      </c>
      <c r="F512">
        <v>0</v>
      </c>
      <c r="G512">
        <f>ROUND(SUMIFS(CATEGORIAS[[#All],[PROYECCION
DE INGRESO
DEL SALDO]],CATEGORIAS[[#All],[CATEGORIA2]],Imputar[[#This Row],[Categoría]]),0)</f>
        <v>0</v>
      </c>
      <c r="H512">
        <f>ROUND(SUMIFS(CATEGORIAS[[#All],[CAMBIO DE
CATEGORIA]],CATEGORIAS[[#All],[CATEGORIA2]],Imputar[[#This Row],[Categoría]]),0)</f>
        <v>0</v>
      </c>
      <c r="I51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2">
        <f>+ROUND(SUMIFS(CATEGORIAS[[#All],[PROYECCION
TOTAL DE COSTO]],CATEGORIAS[[#All],[CATEGORIA2]],Imputar[[#This Row],[Categoría]]),0)
-Imputar[[#This Row],[Inventario]]
-Imputar[[#This Row],[Pedidos no Rec]]</f>
        <v>0</v>
      </c>
      <c r="K51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2">
        <f>_xlfn.IFNA(VLOOKUP(Imputar[[#This Row],[Categoría]],EIMI!C:T,8,0),0)</f>
        <v>0</v>
      </c>
      <c r="M512">
        <f>_xlfn.IFNA(VLOOKUP(Imputar[[#This Row],[Categoría]],EIMI!C:T,9,0),0)</f>
        <v>0</v>
      </c>
      <c r="N512">
        <f>_xlfn.IFNA(VLOOKUP(Imputar[[#This Row],[Categoría]],EIMI!C:T,10,0),0)</f>
        <v>0</v>
      </c>
    </row>
    <row r="513" spans="1:14" hidden="1" x14ac:dyDescent="0.25">
      <c r="A513" s="206" t="str">
        <f>Indice!$I$11</f>
        <v>EIMI00398</v>
      </c>
      <c r="B513" t="s">
        <v>430</v>
      </c>
      <c r="C513" s="39">
        <f>Indice!$I$12</f>
        <v>46053</v>
      </c>
      <c r="E513">
        <f>ROUND(SUMIFS(CATEGORIAS[[#All],[TOTAL PRODUCCION
ACTUAL]],CATEGORIAS[[#All],[CATEGORIA2]],Imputar[[#This Row],[Categoría]]),0)</f>
        <v>0</v>
      </c>
      <c r="F513">
        <v>0</v>
      </c>
      <c r="G513">
        <f>ROUND(SUMIFS(CATEGORIAS[[#All],[PROYECCION
DE INGRESO
DEL SALDO]],CATEGORIAS[[#All],[CATEGORIA2]],Imputar[[#This Row],[Categoría]]),0)</f>
        <v>0</v>
      </c>
      <c r="H513">
        <f>ROUND(SUMIFS(CATEGORIAS[[#All],[CAMBIO DE
CATEGORIA]],CATEGORIAS[[#All],[CATEGORIA2]],Imputar[[#This Row],[Categoría]]),0)</f>
        <v>0</v>
      </c>
      <c r="I51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3">
        <f>+ROUND(SUMIFS(CATEGORIAS[[#All],[PROYECCION
TOTAL DE COSTO]],CATEGORIAS[[#All],[CATEGORIA2]],Imputar[[#This Row],[Categoría]]),0)
-Imputar[[#This Row],[Inventario]]
-Imputar[[#This Row],[Pedidos no Rec]]</f>
        <v>0</v>
      </c>
      <c r="K51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3">
        <f>_xlfn.IFNA(VLOOKUP(Imputar[[#This Row],[Categoría]],EIMI!C:T,8,0),0)</f>
        <v>0</v>
      </c>
      <c r="M513">
        <f>_xlfn.IFNA(VLOOKUP(Imputar[[#This Row],[Categoría]],EIMI!C:T,9,0),0)</f>
        <v>0</v>
      </c>
      <c r="N513">
        <f>_xlfn.IFNA(VLOOKUP(Imputar[[#This Row],[Categoría]],EIMI!C:T,10,0),0)</f>
        <v>0</v>
      </c>
    </row>
    <row r="514" spans="1:14" hidden="1" x14ac:dyDescent="0.25">
      <c r="A514" s="206" t="str">
        <f>Indice!$I$11</f>
        <v>EIMI00398</v>
      </c>
      <c r="B514" t="s">
        <v>432</v>
      </c>
      <c r="C514" s="39">
        <f>Indice!$I$12</f>
        <v>46053</v>
      </c>
      <c r="E514">
        <f>ROUND(SUMIFS(CATEGORIAS[[#All],[TOTAL PRODUCCION
ACTUAL]],CATEGORIAS[[#All],[CATEGORIA2]],Imputar[[#This Row],[Categoría]]),0)</f>
        <v>0</v>
      </c>
      <c r="F514">
        <v>0</v>
      </c>
      <c r="G514">
        <f>ROUND(SUMIFS(CATEGORIAS[[#All],[PROYECCION
DE INGRESO
DEL SALDO]],CATEGORIAS[[#All],[CATEGORIA2]],Imputar[[#This Row],[Categoría]]),0)</f>
        <v>0</v>
      </c>
      <c r="H514">
        <f>ROUND(SUMIFS(CATEGORIAS[[#All],[CAMBIO DE
CATEGORIA]],CATEGORIAS[[#All],[CATEGORIA2]],Imputar[[#This Row],[Categoría]]),0)</f>
        <v>0</v>
      </c>
      <c r="I51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4">
        <f>+ROUND(SUMIFS(CATEGORIAS[[#All],[PROYECCION
TOTAL DE COSTO]],CATEGORIAS[[#All],[CATEGORIA2]],Imputar[[#This Row],[Categoría]]),0)
-Imputar[[#This Row],[Inventario]]
-Imputar[[#This Row],[Pedidos no Rec]]</f>
        <v>0</v>
      </c>
      <c r="K51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4">
        <f>_xlfn.IFNA(VLOOKUP(Imputar[[#This Row],[Categoría]],EIMI!C:T,8,0),0)</f>
        <v>0</v>
      </c>
      <c r="M514">
        <f>_xlfn.IFNA(VLOOKUP(Imputar[[#This Row],[Categoría]],EIMI!C:T,9,0),0)</f>
        <v>0</v>
      </c>
      <c r="N514">
        <f>_xlfn.IFNA(VLOOKUP(Imputar[[#This Row],[Categoría]],EIMI!C:T,10,0),0)</f>
        <v>0</v>
      </c>
    </row>
    <row r="515" spans="1:14" hidden="1" x14ac:dyDescent="0.25">
      <c r="A515" s="206" t="str">
        <f>Indice!$I$11</f>
        <v>EIMI00398</v>
      </c>
      <c r="B515" t="s">
        <v>439</v>
      </c>
      <c r="C515" s="39">
        <f>Indice!$I$12</f>
        <v>46053</v>
      </c>
      <c r="E515">
        <f>ROUND(SUMIFS(CATEGORIAS[[#All],[TOTAL PRODUCCION
ACTUAL]],CATEGORIAS[[#All],[CATEGORIA2]],Imputar[[#This Row],[Categoría]]),0)</f>
        <v>0</v>
      </c>
      <c r="F515">
        <v>0</v>
      </c>
      <c r="G515">
        <f>ROUND(SUMIFS(CATEGORIAS[[#All],[PROYECCION
DE INGRESO
DEL SALDO]],CATEGORIAS[[#All],[CATEGORIA2]],Imputar[[#This Row],[Categoría]]),0)</f>
        <v>0</v>
      </c>
      <c r="H515">
        <f>ROUND(SUMIFS(CATEGORIAS[[#All],[CAMBIO DE
CATEGORIA]],CATEGORIAS[[#All],[CATEGORIA2]],Imputar[[#This Row],[Categoría]]),0)</f>
        <v>0</v>
      </c>
      <c r="I51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5">
        <f>+ROUND(SUMIFS(CATEGORIAS[[#All],[PROYECCION
TOTAL DE COSTO]],CATEGORIAS[[#All],[CATEGORIA2]],Imputar[[#This Row],[Categoría]]),0)
-Imputar[[#This Row],[Inventario]]
-Imputar[[#This Row],[Pedidos no Rec]]</f>
        <v>0</v>
      </c>
      <c r="K51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5">
        <f>_xlfn.IFNA(VLOOKUP(Imputar[[#This Row],[Categoría]],EIMI!C:T,8,0),0)</f>
        <v>0</v>
      </c>
      <c r="M515">
        <f>_xlfn.IFNA(VLOOKUP(Imputar[[#This Row],[Categoría]],EIMI!C:T,9,0),0)</f>
        <v>0</v>
      </c>
      <c r="N515">
        <f>_xlfn.IFNA(VLOOKUP(Imputar[[#This Row],[Categoría]],EIMI!C:T,10,0),0)</f>
        <v>0</v>
      </c>
    </row>
    <row r="516" spans="1:14" hidden="1" x14ac:dyDescent="0.25">
      <c r="A516" s="206" t="str">
        <f>Indice!$I$11</f>
        <v>EIMI00398</v>
      </c>
      <c r="B516" t="s">
        <v>458</v>
      </c>
      <c r="C516" s="39">
        <f>Indice!$I$12</f>
        <v>46053</v>
      </c>
      <c r="E516">
        <f>ROUND(SUMIFS(CATEGORIAS[[#All],[TOTAL PRODUCCION
ACTUAL]],CATEGORIAS[[#All],[CATEGORIA2]],Imputar[[#This Row],[Categoría]]),0)</f>
        <v>0</v>
      </c>
      <c r="F516">
        <v>0</v>
      </c>
      <c r="G516">
        <f>ROUND(SUMIFS(CATEGORIAS[[#All],[PROYECCION
DE INGRESO
DEL SALDO]],CATEGORIAS[[#All],[CATEGORIA2]],Imputar[[#This Row],[Categoría]]),0)</f>
        <v>0</v>
      </c>
      <c r="H516">
        <f>ROUND(SUMIFS(CATEGORIAS[[#All],[CAMBIO DE
CATEGORIA]],CATEGORIAS[[#All],[CATEGORIA2]],Imputar[[#This Row],[Categoría]]),0)</f>
        <v>0</v>
      </c>
      <c r="I51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6">
        <f>+ROUND(SUMIFS(CATEGORIAS[[#All],[PROYECCION
TOTAL DE COSTO]],CATEGORIAS[[#All],[CATEGORIA2]],Imputar[[#This Row],[Categoría]]),0)
-Imputar[[#This Row],[Inventario]]
-Imputar[[#This Row],[Pedidos no Rec]]</f>
        <v>0</v>
      </c>
      <c r="K51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6">
        <f>_xlfn.IFNA(VLOOKUP(Imputar[[#This Row],[Categoría]],EIMI!C:T,8,0),0)</f>
        <v>0</v>
      </c>
      <c r="M516">
        <f>_xlfn.IFNA(VLOOKUP(Imputar[[#This Row],[Categoría]],EIMI!C:T,9,0),0)</f>
        <v>0</v>
      </c>
      <c r="N516">
        <f>_xlfn.IFNA(VLOOKUP(Imputar[[#This Row],[Categoría]],EIMI!C:T,10,0),0)</f>
        <v>0</v>
      </c>
    </row>
    <row r="517" spans="1:14" hidden="1" x14ac:dyDescent="0.25">
      <c r="A517" s="206" t="str">
        <f>Indice!$I$11</f>
        <v>EIMI00398</v>
      </c>
      <c r="B517" t="s">
        <v>460</v>
      </c>
      <c r="C517" s="39">
        <f>Indice!$I$12</f>
        <v>46053</v>
      </c>
      <c r="E517">
        <f>ROUND(SUMIFS(CATEGORIAS[[#All],[TOTAL PRODUCCION
ACTUAL]],CATEGORIAS[[#All],[CATEGORIA2]],Imputar[[#This Row],[Categoría]]),0)</f>
        <v>0</v>
      </c>
      <c r="F517">
        <v>0</v>
      </c>
      <c r="G517">
        <f>ROUND(SUMIFS(CATEGORIAS[[#All],[PROYECCION
DE INGRESO
DEL SALDO]],CATEGORIAS[[#All],[CATEGORIA2]],Imputar[[#This Row],[Categoría]]),0)</f>
        <v>0</v>
      </c>
      <c r="H517">
        <f>ROUND(SUMIFS(CATEGORIAS[[#All],[CAMBIO DE
CATEGORIA]],CATEGORIAS[[#All],[CATEGORIA2]],Imputar[[#This Row],[Categoría]]),0)</f>
        <v>0</v>
      </c>
      <c r="I51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7">
        <f>+ROUND(SUMIFS(CATEGORIAS[[#All],[PROYECCION
TOTAL DE COSTO]],CATEGORIAS[[#All],[CATEGORIA2]],Imputar[[#This Row],[Categoría]]),0)
-Imputar[[#This Row],[Inventario]]
-Imputar[[#This Row],[Pedidos no Rec]]</f>
        <v>0</v>
      </c>
      <c r="K51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7">
        <f>_xlfn.IFNA(VLOOKUP(Imputar[[#This Row],[Categoría]],EIMI!C:T,8,0),0)</f>
        <v>0</v>
      </c>
      <c r="M517">
        <f>_xlfn.IFNA(VLOOKUP(Imputar[[#This Row],[Categoría]],EIMI!C:T,9,0),0)</f>
        <v>0</v>
      </c>
      <c r="N517">
        <f>_xlfn.IFNA(VLOOKUP(Imputar[[#This Row],[Categoría]],EIMI!C:T,10,0),0)</f>
        <v>0</v>
      </c>
    </row>
    <row r="518" spans="1:14" hidden="1" x14ac:dyDescent="0.25">
      <c r="A518" s="206" t="str">
        <f>Indice!$I$11</f>
        <v>EIMI00398</v>
      </c>
      <c r="B518" t="s">
        <v>467</v>
      </c>
      <c r="C518" s="39">
        <f>Indice!$I$12</f>
        <v>46053</v>
      </c>
      <c r="E518">
        <f>ROUND(SUMIFS(CATEGORIAS[[#All],[TOTAL PRODUCCION
ACTUAL]],CATEGORIAS[[#All],[CATEGORIA2]],Imputar[[#This Row],[Categoría]]),0)</f>
        <v>0</v>
      </c>
      <c r="F518">
        <v>0</v>
      </c>
      <c r="G518">
        <f>ROUND(SUMIFS(CATEGORIAS[[#All],[PROYECCION
DE INGRESO
DEL SALDO]],CATEGORIAS[[#All],[CATEGORIA2]],Imputar[[#This Row],[Categoría]]),0)</f>
        <v>0</v>
      </c>
      <c r="H518">
        <f>ROUND(SUMIFS(CATEGORIAS[[#All],[CAMBIO DE
CATEGORIA]],CATEGORIAS[[#All],[CATEGORIA2]],Imputar[[#This Row],[Categoría]]),0)</f>
        <v>0</v>
      </c>
      <c r="I51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8">
        <f>+ROUND(SUMIFS(CATEGORIAS[[#All],[PROYECCION
TOTAL DE COSTO]],CATEGORIAS[[#All],[CATEGORIA2]],Imputar[[#This Row],[Categoría]]),0)
-Imputar[[#This Row],[Inventario]]
-Imputar[[#This Row],[Pedidos no Rec]]</f>
        <v>0</v>
      </c>
      <c r="K51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8">
        <f>_xlfn.IFNA(VLOOKUP(Imputar[[#This Row],[Categoría]],EIMI!C:T,8,0),0)</f>
        <v>0</v>
      </c>
      <c r="M518">
        <f>_xlfn.IFNA(VLOOKUP(Imputar[[#This Row],[Categoría]],EIMI!C:T,9,0),0)</f>
        <v>0</v>
      </c>
      <c r="N518">
        <f>_xlfn.IFNA(VLOOKUP(Imputar[[#This Row],[Categoría]],EIMI!C:T,10,0),0)</f>
        <v>0</v>
      </c>
    </row>
    <row r="519" spans="1:14" hidden="1" x14ac:dyDescent="0.25">
      <c r="A519" s="206" t="str">
        <f>Indice!$I$11</f>
        <v>EIMI00398</v>
      </c>
      <c r="B519" t="s">
        <v>469</v>
      </c>
      <c r="C519" s="39">
        <f>Indice!$I$12</f>
        <v>46053</v>
      </c>
      <c r="E519">
        <f>ROUND(SUMIFS(CATEGORIAS[[#All],[TOTAL PRODUCCION
ACTUAL]],CATEGORIAS[[#All],[CATEGORIA2]],Imputar[[#This Row],[Categoría]]),0)</f>
        <v>0</v>
      </c>
      <c r="F519">
        <v>0</v>
      </c>
      <c r="G519">
        <f>ROUND(SUMIFS(CATEGORIAS[[#All],[PROYECCION
DE INGRESO
DEL SALDO]],CATEGORIAS[[#All],[CATEGORIA2]],Imputar[[#This Row],[Categoría]]),0)</f>
        <v>0</v>
      </c>
      <c r="H519">
        <f>ROUND(SUMIFS(CATEGORIAS[[#All],[CAMBIO DE
CATEGORIA]],CATEGORIAS[[#All],[CATEGORIA2]],Imputar[[#This Row],[Categoría]]),0)</f>
        <v>0</v>
      </c>
      <c r="I51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19">
        <f>+ROUND(SUMIFS(CATEGORIAS[[#All],[PROYECCION
TOTAL DE COSTO]],CATEGORIAS[[#All],[CATEGORIA2]],Imputar[[#This Row],[Categoría]]),0)
-Imputar[[#This Row],[Inventario]]
-Imputar[[#This Row],[Pedidos no Rec]]</f>
        <v>0</v>
      </c>
      <c r="K51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19">
        <f>_xlfn.IFNA(VLOOKUP(Imputar[[#This Row],[Categoría]],EIMI!C:T,8,0),0)</f>
        <v>0</v>
      </c>
      <c r="M519">
        <f>_xlfn.IFNA(VLOOKUP(Imputar[[#This Row],[Categoría]],EIMI!C:T,9,0),0)</f>
        <v>0</v>
      </c>
      <c r="N519">
        <f>_xlfn.IFNA(VLOOKUP(Imputar[[#This Row],[Categoría]],EIMI!C:T,10,0),0)</f>
        <v>0</v>
      </c>
    </row>
    <row r="520" spans="1:14" hidden="1" x14ac:dyDescent="0.25">
      <c r="A520" s="206" t="str">
        <f>Indice!$I$11</f>
        <v>EIMI00398</v>
      </c>
      <c r="B520" t="s">
        <v>512</v>
      </c>
      <c r="C520" s="39">
        <f>Indice!$I$12</f>
        <v>46053</v>
      </c>
      <c r="E520">
        <f>ROUND(SUMIFS(CATEGORIAS[[#All],[TOTAL PRODUCCION
ACTUAL]],CATEGORIAS[[#All],[CATEGORIA2]],Imputar[[#This Row],[Categoría]]),0)</f>
        <v>0</v>
      </c>
      <c r="F520">
        <v>0</v>
      </c>
      <c r="G520">
        <f>ROUND(SUMIFS(CATEGORIAS[[#All],[PROYECCION
DE INGRESO
DEL SALDO]],CATEGORIAS[[#All],[CATEGORIA2]],Imputar[[#This Row],[Categoría]]),0)</f>
        <v>0</v>
      </c>
      <c r="H520">
        <f>ROUND(SUMIFS(CATEGORIAS[[#All],[CAMBIO DE
CATEGORIA]],CATEGORIAS[[#All],[CATEGORIA2]],Imputar[[#This Row],[Categoría]]),0)</f>
        <v>0</v>
      </c>
      <c r="I52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0">
        <f>+ROUND(SUMIFS(CATEGORIAS[[#All],[PROYECCION
TOTAL DE COSTO]],CATEGORIAS[[#All],[CATEGORIA2]],Imputar[[#This Row],[Categoría]]),0)
-Imputar[[#This Row],[Inventario]]
-Imputar[[#This Row],[Pedidos no Rec]]</f>
        <v>0</v>
      </c>
      <c r="K52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0">
        <f>_xlfn.IFNA(VLOOKUP(Imputar[[#This Row],[Categoría]],EIMI!C:T,8,0),0)</f>
        <v>0</v>
      </c>
      <c r="M520">
        <f>_xlfn.IFNA(VLOOKUP(Imputar[[#This Row],[Categoría]],EIMI!C:T,9,0),0)</f>
        <v>0</v>
      </c>
      <c r="N520">
        <f>_xlfn.IFNA(VLOOKUP(Imputar[[#This Row],[Categoría]],EIMI!C:T,10,0),0)</f>
        <v>0</v>
      </c>
    </row>
    <row r="521" spans="1:14" hidden="1" x14ac:dyDescent="0.25">
      <c r="A521" s="206" t="str">
        <f>Indice!$I$11</f>
        <v>EIMI00398</v>
      </c>
      <c r="B521" t="s">
        <v>699</v>
      </c>
      <c r="C521" s="39">
        <f>Indice!$I$12</f>
        <v>46053</v>
      </c>
      <c r="E521">
        <f>ROUND(SUMIFS(CATEGORIAS[[#All],[TOTAL PRODUCCION
ACTUAL]],CATEGORIAS[[#All],[CATEGORIA2]],Imputar[[#This Row],[Categoría]]),0)</f>
        <v>0</v>
      </c>
      <c r="F521">
        <v>0</v>
      </c>
      <c r="G521">
        <f>ROUND(SUMIFS(CATEGORIAS[[#All],[PROYECCION
DE INGRESO
DEL SALDO]],CATEGORIAS[[#All],[CATEGORIA2]],Imputar[[#This Row],[Categoría]]),0)</f>
        <v>0</v>
      </c>
      <c r="H521">
        <f>ROUND(SUMIFS(CATEGORIAS[[#All],[CAMBIO DE
CATEGORIA]],CATEGORIAS[[#All],[CATEGORIA2]],Imputar[[#This Row],[Categoría]]),0)</f>
        <v>0</v>
      </c>
      <c r="I52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1">
        <f>+ROUND(SUMIFS(CATEGORIAS[[#All],[PROYECCION
TOTAL DE COSTO]],CATEGORIAS[[#All],[CATEGORIA2]],Imputar[[#This Row],[Categoría]]),0)
-Imputar[[#This Row],[Inventario]]
-Imputar[[#This Row],[Pedidos no Rec]]</f>
        <v>0</v>
      </c>
      <c r="K52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1">
        <f>_xlfn.IFNA(VLOOKUP(Imputar[[#This Row],[Categoría]],EIMI!C:T,8,0),0)</f>
        <v>0</v>
      </c>
      <c r="M521">
        <f>_xlfn.IFNA(VLOOKUP(Imputar[[#This Row],[Categoría]],EIMI!C:T,9,0),0)</f>
        <v>0</v>
      </c>
      <c r="N521">
        <f>_xlfn.IFNA(VLOOKUP(Imputar[[#This Row],[Categoría]],EIMI!C:T,10,0),0)</f>
        <v>0</v>
      </c>
    </row>
    <row r="522" spans="1:14" hidden="1" x14ac:dyDescent="0.25">
      <c r="A522" s="206" t="str">
        <f>Indice!$I$11</f>
        <v>EIMI00398</v>
      </c>
      <c r="B522" t="s">
        <v>701</v>
      </c>
      <c r="C522" s="39">
        <f>Indice!$I$12</f>
        <v>46053</v>
      </c>
      <c r="E522">
        <f>ROUND(SUMIFS(CATEGORIAS[[#All],[TOTAL PRODUCCION
ACTUAL]],CATEGORIAS[[#All],[CATEGORIA2]],Imputar[[#This Row],[Categoría]]),0)</f>
        <v>0</v>
      </c>
      <c r="F522">
        <v>0</v>
      </c>
      <c r="G522">
        <f>ROUND(SUMIFS(CATEGORIAS[[#All],[PROYECCION
DE INGRESO
DEL SALDO]],CATEGORIAS[[#All],[CATEGORIA2]],Imputar[[#This Row],[Categoría]]),0)</f>
        <v>0</v>
      </c>
      <c r="H522">
        <f>ROUND(SUMIFS(CATEGORIAS[[#All],[CAMBIO DE
CATEGORIA]],CATEGORIAS[[#All],[CATEGORIA2]],Imputar[[#This Row],[Categoría]]),0)</f>
        <v>0</v>
      </c>
      <c r="I52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2">
        <f>+ROUND(SUMIFS(CATEGORIAS[[#All],[PROYECCION
TOTAL DE COSTO]],CATEGORIAS[[#All],[CATEGORIA2]],Imputar[[#This Row],[Categoría]]),0)
-Imputar[[#This Row],[Inventario]]
-Imputar[[#This Row],[Pedidos no Rec]]</f>
        <v>0</v>
      </c>
      <c r="K52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2">
        <f>_xlfn.IFNA(VLOOKUP(Imputar[[#This Row],[Categoría]],EIMI!C:T,8,0),0)</f>
        <v>0</v>
      </c>
      <c r="M522">
        <f>_xlfn.IFNA(VLOOKUP(Imputar[[#This Row],[Categoría]],EIMI!C:T,9,0),0)</f>
        <v>0</v>
      </c>
      <c r="N522">
        <f>_xlfn.IFNA(VLOOKUP(Imputar[[#This Row],[Categoría]],EIMI!C:T,10,0),0)</f>
        <v>0</v>
      </c>
    </row>
    <row r="523" spans="1:14" hidden="1" x14ac:dyDescent="0.25">
      <c r="A523" s="206" t="str">
        <f>Indice!$I$11</f>
        <v>EIMI00398</v>
      </c>
      <c r="B523" t="s">
        <v>985</v>
      </c>
      <c r="C523" s="39">
        <f>Indice!$I$12</f>
        <v>46053</v>
      </c>
      <c r="E523">
        <f>ROUND(SUMIFS(CATEGORIAS[[#All],[TOTAL PRODUCCION
ACTUAL]],CATEGORIAS[[#All],[CATEGORIA2]],Imputar[[#This Row],[Categoría]]),0)</f>
        <v>0</v>
      </c>
      <c r="F523">
        <v>0</v>
      </c>
      <c r="G523">
        <f>ROUND(SUMIFS(CATEGORIAS[[#All],[PROYECCION
DE INGRESO
DEL SALDO]],CATEGORIAS[[#All],[CATEGORIA2]],Imputar[[#This Row],[Categoría]]),0)</f>
        <v>0</v>
      </c>
      <c r="H523">
        <f>ROUND(SUMIFS(CATEGORIAS[[#All],[CAMBIO DE
CATEGORIA]],CATEGORIAS[[#All],[CATEGORIA2]],Imputar[[#This Row],[Categoría]]),0)</f>
        <v>0</v>
      </c>
      <c r="I52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3">
        <f>+ROUND(SUMIFS(CATEGORIAS[[#All],[PROYECCION
TOTAL DE COSTO]],CATEGORIAS[[#All],[CATEGORIA2]],Imputar[[#This Row],[Categoría]]),0)
-Imputar[[#This Row],[Inventario]]
-Imputar[[#This Row],[Pedidos no Rec]]</f>
        <v>0</v>
      </c>
      <c r="K52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3">
        <f>_xlfn.IFNA(VLOOKUP(Imputar[[#This Row],[Categoría]],EIMI!C:T,8,0),0)</f>
        <v>0</v>
      </c>
      <c r="M523">
        <f>_xlfn.IFNA(VLOOKUP(Imputar[[#This Row],[Categoría]],EIMI!C:T,9,0),0)</f>
        <v>0</v>
      </c>
      <c r="N523">
        <f>_xlfn.IFNA(VLOOKUP(Imputar[[#This Row],[Categoría]],EIMI!C:T,10,0),0)</f>
        <v>0</v>
      </c>
    </row>
    <row r="524" spans="1:14" hidden="1" x14ac:dyDescent="0.25">
      <c r="A524" s="206" t="str">
        <f>Indice!$I$11</f>
        <v>EIMI00398</v>
      </c>
      <c r="B524" t="s">
        <v>987</v>
      </c>
      <c r="C524" s="39">
        <f>Indice!$I$12</f>
        <v>46053</v>
      </c>
      <c r="E524">
        <f>ROUND(SUMIFS(CATEGORIAS[[#All],[TOTAL PRODUCCION
ACTUAL]],CATEGORIAS[[#All],[CATEGORIA2]],Imputar[[#This Row],[Categoría]]),0)</f>
        <v>0</v>
      </c>
      <c r="F524">
        <v>0</v>
      </c>
      <c r="G524">
        <f>ROUND(SUMIFS(CATEGORIAS[[#All],[PROYECCION
DE INGRESO
DEL SALDO]],CATEGORIAS[[#All],[CATEGORIA2]],Imputar[[#This Row],[Categoría]]),0)</f>
        <v>0</v>
      </c>
      <c r="H524">
        <f>ROUND(SUMIFS(CATEGORIAS[[#All],[CAMBIO DE
CATEGORIA]],CATEGORIAS[[#All],[CATEGORIA2]],Imputar[[#This Row],[Categoría]]),0)</f>
        <v>0</v>
      </c>
      <c r="I52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4">
        <f>+ROUND(SUMIFS(CATEGORIAS[[#All],[PROYECCION
TOTAL DE COSTO]],CATEGORIAS[[#All],[CATEGORIA2]],Imputar[[#This Row],[Categoría]]),0)
-Imputar[[#This Row],[Inventario]]
-Imputar[[#This Row],[Pedidos no Rec]]</f>
        <v>0</v>
      </c>
      <c r="K52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4">
        <f>_xlfn.IFNA(VLOOKUP(Imputar[[#This Row],[Categoría]],EIMI!C:T,8,0),0)</f>
        <v>0</v>
      </c>
      <c r="M524">
        <f>_xlfn.IFNA(VLOOKUP(Imputar[[#This Row],[Categoría]],EIMI!C:T,9,0),0)</f>
        <v>0</v>
      </c>
      <c r="N524">
        <f>_xlfn.IFNA(VLOOKUP(Imputar[[#This Row],[Categoría]],EIMI!C:T,10,0),0)</f>
        <v>0</v>
      </c>
    </row>
    <row r="525" spans="1:14" hidden="1" x14ac:dyDescent="0.25">
      <c r="A525" s="206" t="str">
        <f>Indice!$I$11</f>
        <v>EIMI00398</v>
      </c>
      <c r="B525" t="s">
        <v>1012</v>
      </c>
      <c r="C525" s="39">
        <f>Indice!$I$12</f>
        <v>46053</v>
      </c>
      <c r="E525">
        <f>ROUND(SUMIFS(CATEGORIAS[[#All],[TOTAL PRODUCCION
ACTUAL]],CATEGORIAS[[#All],[CATEGORIA2]],Imputar[[#This Row],[Categoría]]),0)</f>
        <v>0</v>
      </c>
      <c r="F525">
        <v>0</v>
      </c>
      <c r="G525">
        <f>ROUND(SUMIFS(CATEGORIAS[[#All],[PROYECCION
DE INGRESO
DEL SALDO]],CATEGORIAS[[#All],[CATEGORIA2]],Imputar[[#This Row],[Categoría]]),0)</f>
        <v>0</v>
      </c>
      <c r="H525">
        <f>ROUND(SUMIFS(CATEGORIAS[[#All],[CAMBIO DE
CATEGORIA]],CATEGORIAS[[#All],[CATEGORIA2]],Imputar[[#This Row],[Categoría]]),0)</f>
        <v>0</v>
      </c>
      <c r="I52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5">
        <f>+ROUND(SUMIFS(CATEGORIAS[[#All],[PROYECCION
TOTAL DE COSTO]],CATEGORIAS[[#All],[CATEGORIA2]],Imputar[[#This Row],[Categoría]]),0)
-Imputar[[#This Row],[Inventario]]
-Imputar[[#This Row],[Pedidos no Rec]]</f>
        <v>0</v>
      </c>
      <c r="K52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5">
        <f>_xlfn.IFNA(VLOOKUP(Imputar[[#This Row],[Categoría]],EIMI!C:T,8,0),0)</f>
        <v>0</v>
      </c>
      <c r="M525">
        <f>_xlfn.IFNA(VLOOKUP(Imputar[[#This Row],[Categoría]],EIMI!C:T,9,0),0)</f>
        <v>0</v>
      </c>
      <c r="N525">
        <f>_xlfn.IFNA(VLOOKUP(Imputar[[#This Row],[Categoría]],EIMI!C:T,10,0),0)</f>
        <v>0</v>
      </c>
    </row>
    <row r="526" spans="1:14" hidden="1" x14ac:dyDescent="0.25">
      <c r="A526" s="206" t="str">
        <f>Indice!$I$11</f>
        <v>EIMI00398</v>
      </c>
      <c r="B526" t="s">
        <v>1014</v>
      </c>
      <c r="C526" s="39">
        <f>Indice!$I$12</f>
        <v>46053</v>
      </c>
      <c r="E526">
        <f>ROUND(SUMIFS(CATEGORIAS[[#All],[TOTAL PRODUCCION
ACTUAL]],CATEGORIAS[[#All],[CATEGORIA2]],Imputar[[#This Row],[Categoría]]),0)</f>
        <v>0</v>
      </c>
      <c r="F526">
        <v>0</v>
      </c>
      <c r="G526">
        <f>ROUND(SUMIFS(CATEGORIAS[[#All],[PROYECCION
DE INGRESO
DEL SALDO]],CATEGORIAS[[#All],[CATEGORIA2]],Imputar[[#This Row],[Categoría]]),0)</f>
        <v>0</v>
      </c>
      <c r="H526">
        <f>ROUND(SUMIFS(CATEGORIAS[[#All],[CAMBIO DE
CATEGORIA]],CATEGORIAS[[#All],[CATEGORIA2]],Imputar[[#This Row],[Categoría]]),0)</f>
        <v>0</v>
      </c>
      <c r="I52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6">
        <f>+ROUND(SUMIFS(CATEGORIAS[[#All],[PROYECCION
TOTAL DE COSTO]],CATEGORIAS[[#All],[CATEGORIA2]],Imputar[[#This Row],[Categoría]]),0)
-Imputar[[#This Row],[Inventario]]
-Imputar[[#This Row],[Pedidos no Rec]]</f>
        <v>0</v>
      </c>
      <c r="K52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6">
        <f>_xlfn.IFNA(VLOOKUP(Imputar[[#This Row],[Categoría]],EIMI!C:T,8,0),0)</f>
        <v>0</v>
      </c>
      <c r="M526">
        <f>_xlfn.IFNA(VLOOKUP(Imputar[[#This Row],[Categoría]],EIMI!C:T,9,0),0)</f>
        <v>0</v>
      </c>
      <c r="N526">
        <f>_xlfn.IFNA(VLOOKUP(Imputar[[#This Row],[Categoría]],EIMI!C:T,10,0),0)</f>
        <v>0</v>
      </c>
    </row>
    <row r="527" spans="1:14" hidden="1" x14ac:dyDescent="0.25">
      <c r="A527" s="206" t="str">
        <f>Indice!$I$11</f>
        <v>EIMI00398</v>
      </c>
      <c r="B527" t="s">
        <v>1123</v>
      </c>
      <c r="C527" s="39">
        <f>Indice!$I$12</f>
        <v>46053</v>
      </c>
      <c r="E527">
        <f>ROUND(SUMIFS(CATEGORIAS[[#All],[TOTAL PRODUCCION
ACTUAL]],CATEGORIAS[[#All],[CATEGORIA2]],Imputar[[#This Row],[Categoría]]),0)</f>
        <v>0</v>
      </c>
      <c r="F527">
        <v>0</v>
      </c>
      <c r="G527">
        <f>ROUND(SUMIFS(CATEGORIAS[[#All],[PROYECCION
DE INGRESO
DEL SALDO]],CATEGORIAS[[#All],[CATEGORIA2]],Imputar[[#This Row],[Categoría]]),0)</f>
        <v>0</v>
      </c>
      <c r="H527">
        <f>ROUND(SUMIFS(CATEGORIAS[[#All],[CAMBIO DE
CATEGORIA]],CATEGORIAS[[#All],[CATEGORIA2]],Imputar[[#This Row],[Categoría]]),0)</f>
        <v>0</v>
      </c>
      <c r="I52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7">
        <f>+ROUND(SUMIFS(CATEGORIAS[[#All],[PROYECCION
TOTAL DE COSTO]],CATEGORIAS[[#All],[CATEGORIA2]],Imputar[[#This Row],[Categoría]]),0)
-Imputar[[#This Row],[Inventario]]
-Imputar[[#This Row],[Pedidos no Rec]]</f>
        <v>0</v>
      </c>
      <c r="K52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7">
        <f>_xlfn.IFNA(VLOOKUP(Imputar[[#This Row],[Categoría]],EIMI!C:T,8,0),0)</f>
        <v>0</v>
      </c>
      <c r="M527">
        <f>_xlfn.IFNA(VLOOKUP(Imputar[[#This Row],[Categoría]],EIMI!C:T,9,0),0)</f>
        <v>0</v>
      </c>
      <c r="N527">
        <f>_xlfn.IFNA(VLOOKUP(Imputar[[#This Row],[Categoría]],EIMI!C:T,10,0),0)</f>
        <v>0</v>
      </c>
    </row>
    <row r="528" spans="1:14" hidden="1" x14ac:dyDescent="0.25">
      <c r="A528" s="206" t="str">
        <f>Indice!$I$11</f>
        <v>EIMI00398</v>
      </c>
      <c r="B528" t="s">
        <v>1125</v>
      </c>
      <c r="C528" s="39">
        <f>Indice!$I$12</f>
        <v>46053</v>
      </c>
      <c r="E528">
        <f>ROUND(SUMIFS(CATEGORIAS[[#All],[TOTAL PRODUCCION
ACTUAL]],CATEGORIAS[[#All],[CATEGORIA2]],Imputar[[#This Row],[Categoría]]),0)</f>
        <v>0</v>
      </c>
      <c r="F528">
        <v>0</v>
      </c>
      <c r="G528">
        <f>ROUND(SUMIFS(CATEGORIAS[[#All],[PROYECCION
DE INGRESO
DEL SALDO]],CATEGORIAS[[#All],[CATEGORIA2]],Imputar[[#This Row],[Categoría]]),0)</f>
        <v>0</v>
      </c>
      <c r="H528">
        <f>ROUND(SUMIFS(CATEGORIAS[[#All],[CAMBIO DE
CATEGORIA]],CATEGORIAS[[#All],[CATEGORIA2]],Imputar[[#This Row],[Categoría]]),0)</f>
        <v>0</v>
      </c>
      <c r="I52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8">
        <f>+ROUND(SUMIFS(CATEGORIAS[[#All],[PROYECCION
TOTAL DE COSTO]],CATEGORIAS[[#All],[CATEGORIA2]],Imputar[[#This Row],[Categoría]]),0)
-Imputar[[#This Row],[Inventario]]
-Imputar[[#This Row],[Pedidos no Rec]]</f>
        <v>0</v>
      </c>
      <c r="K52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8">
        <f>_xlfn.IFNA(VLOOKUP(Imputar[[#This Row],[Categoría]],EIMI!C:T,8,0),0)</f>
        <v>0</v>
      </c>
      <c r="M528">
        <f>_xlfn.IFNA(VLOOKUP(Imputar[[#This Row],[Categoría]],EIMI!C:T,9,0),0)</f>
        <v>0</v>
      </c>
      <c r="N528">
        <f>_xlfn.IFNA(VLOOKUP(Imputar[[#This Row],[Categoría]],EIMI!C:T,10,0),0)</f>
        <v>0</v>
      </c>
    </row>
    <row r="529" spans="1:14" hidden="1" x14ac:dyDescent="0.25">
      <c r="A529" s="206" t="str">
        <f>Indice!$I$11</f>
        <v>EIMI00398</v>
      </c>
      <c r="B529" t="s">
        <v>1178</v>
      </c>
      <c r="C529" s="39">
        <f>Indice!$I$12</f>
        <v>46053</v>
      </c>
      <c r="E529">
        <f>ROUND(SUMIFS(CATEGORIAS[[#All],[TOTAL PRODUCCION
ACTUAL]],CATEGORIAS[[#All],[CATEGORIA2]],Imputar[[#This Row],[Categoría]]),0)</f>
        <v>0</v>
      </c>
      <c r="F529">
        <v>0</v>
      </c>
      <c r="G529">
        <f>ROUND(SUMIFS(CATEGORIAS[[#All],[PROYECCION
DE INGRESO
DEL SALDO]],CATEGORIAS[[#All],[CATEGORIA2]],Imputar[[#This Row],[Categoría]]),0)</f>
        <v>0</v>
      </c>
      <c r="H529">
        <f>ROUND(SUMIFS(CATEGORIAS[[#All],[CAMBIO DE
CATEGORIA]],CATEGORIAS[[#All],[CATEGORIA2]],Imputar[[#This Row],[Categoría]]),0)</f>
        <v>0</v>
      </c>
      <c r="I52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29">
        <f>+ROUND(SUMIFS(CATEGORIAS[[#All],[PROYECCION
TOTAL DE COSTO]],CATEGORIAS[[#All],[CATEGORIA2]],Imputar[[#This Row],[Categoría]]),0)
-Imputar[[#This Row],[Inventario]]
-Imputar[[#This Row],[Pedidos no Rec]]</f>
        <v>0</v>
      </c>
      <c r="K52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29">
        <f>_xlfn.IFNA(VLOOKUP(Imputar[[#This Row],[Categoría]],EIMI!C:T,8,0),0)</f>
        <v>0</v>
      </c>
      <c r="M529">
        <f>_xlfn.IFNA(VLOOKUP(Imputar[[#This Row],[Categoría]],EIMI!C:T,9,0),0)</f>
        <v>0</v>
      </c>
      <c r="N529">
        <f>_xlfn.IFNA(VLOOKUP(Imputar[[#This Row],[Categoría]],EIMI!C:T,10,0),0)</f>
        <v>0</v>
      </c>
    </row>
    <row r="530" spans="1:14" hidden="1" x14ac:dyDescent="0.25">
      <c r="A530" s="206" t="str">
        <f>Indice!$I$11</f>
        <v>EIMI00398</v>
      </c>
      <c r="B530" t="s">
        <v>1180</v>
      </c>
      <c r="C530" s="39">
        <f>Indice!$I$12</f>
        <v>46053</v>
      </c>
      <c r="E530">
        <f>ROUND(SUMIFS(CATEGORIAS[[#All],[TOTAL PRODUCCION
ACTUAL]],CATEGORIAS[[#All],[CATEGORIA2]],Imputar[[#This Row],[Categoría]]),0)</f>
        <v>0</v>
      </c>
      <c r="F530">
        <v>0</v>
      </c>
      <c r="G530">
        <f>ROUND(SUMIFS(CATEGORIAS[[#All],[PROYECCION
DE INGRESO
DEL SALDO]],CATEGORIAS[[#All],[CATEGORIA2]],Imputar[[#This Row],[Categoría]]),0)</f>
        <v>0</v>
      </c>
      <c r="H530">
        <f>ROUND(SUMIFS(CATEGORIAS[[#All],[CAMBIO DE
CATEGORIA]],CATEGORIAS[[#All],[CATEGORIA2]],Imputar[[#This Row],[Categoría]]),0)</f>
        <v>0</v>
      </c>
      <c r="I53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0">
        <f>+ROUND(SUMIFS(CATEGORIAS[[#All],[PROYECCION
TOTAL DE COSTO]],CATEGORIAS[[#All],[CATEGORIA2]],Imputar[[#This Row],[Categoría]]),0)
-Imputar[[#This Row],[Inventario]]
-Imputar[[#This Row],[Pedidos no Rec]]</f>
        <v>0</v>
      </c>
      <c r="K53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0">
        <f>_xlfn.IFNA(VLOOKUP(Imputar[[#This Row],[Categoría]],EIMI!C:T,8,0),0)</f>
        <v>0</v>
      </c>
      <c r="M530">
        <f>_xlfn.IFNA(VLOOKUP(Imputar[[#This Row],[Categoría]],EIMI!C:T,9,0),0)</f>
        <v>0</v>
      </c>
      <c r="N530">
        <f>_xlfn.IFNA(VLOOKUP(Imputar[[#This Row],[Categoría]],EIMI!C:T,10,0),0)</f>
        <v>0</v>
      </c>
    </row>
    <row r="531" spans="1:14" hidden="1" x14ac:dyDescent="0.25">
      <c r="A531" s="206" t="str">
        <f>Indice!$I$11</f>
        <v>EIMI00398</v>
      </c>
      <c r="B531" t="s">
        <v>1189</v>
      </c>
      <c r="C531" s="39">
        <f>Indice!$I$12</f>
        <v>46053</v>
      </c>
      <c r="E531">
        <f>ROUND(SUMIFS(CATEGORIAS[[#All],[TOTAL PRODUCCION
ACTUAL]],CATEGORIAS[[#All],[CATEGORIA2]],Imputar[[#This Row],[Categoría]]),0)</f>
        <v>0</v>
      </c>
      <c r="F531">
        <v>0</v>
      </c>
      <c r="G531">
        <f>ROUND(SUMIFS(CATEGORIAS[[#All],[PROYECCION
DE INGRESO
DEL SALDO]],CATEGORIAS[[#All],[CATEGORIA2]],Imputar[[#This Row],[Categoría]]),0)</f>
        <v>0</v>
      </c>
      <c r="H531">
        <f>ROUND(SUMIFS(CATEGORIAS[[#All],[CAMBIO DE
CATEGORIA]],CATEGORIAS[[#All],[CATEGORIA2]],Imputar[[#This Row],[Categoría]]),0)</f>
        <v>0</v>
      </c>
      <c r="I53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1">
        <f>+ROUND(SUMIFS(CATEGORIAS[[#All],[PROYECCION
TOTAL DE COSTO]],CATEGORIAS[[#All],[CATEGORIA2]],Imputar[[#This Row],[Categoría]]),0)
-Imputar[[#This Row],[Inventario]]
-Imputar[[#This Row],[Pedidos no Rec]]</f>
        <v>0</v>
      </c>
      <c r="K53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1">
        <f>_xlfn.IFNA(VLOOKUP(Imputar[[#This Row],[Categoría]],EIMI!C:T,8,0),0)</f>
        <v>0</v>
      </c>
      <c r="M531">
        <f>_xlfn.IFNA(VLOOKUP(Imputar[[#This Row],[Categoría]],EIMI!C:T,9,0),0)</f>
        <v>0</v>
      </c>
      <c r="N531">
        <f>_xlfn.IFNA(VLOOKUP(Imputar[[#This Row],[Categoría]],EIMI!C:T,10,0),0)</f>
        <v>0</v>
      </c>
    </row>
    <row r="532" spans="1:14" hidden="1" x14ac:dyDescent="0.25">
      <c r="A532" s="206" t="str">
        <f>Indice!$I$11</f>
        <v>EIMI00398</v>
      </c>
      <c r="B532" t="s">
        <v>1191</v>
      </c>
      <c r="C532" s="39">
        <f>Indice!$I$12</f>
        <v>46053</v>
      </c>
      <c r="E532">
        <f>ROUND(SUMIFS(CATEGORIAS[[#All],[TOTAL PRODUCCION
ACTUAL]],CATEGORIAS[[#All],[CATEGORIA2]],Imputar[[#This Row],[Categoría]]),0)</f>
        <v>0</v>
      </c>
      <c r="F532">
        <v>0</v>
      </c>
      <c r="G532">
        <f>ROUND(SUMIFS(CATEGORIAS[[#All],[PROYECCION
DE INGRESO
DEL SALDO]],CATEGORIAS[[#All],[CATEGORIA2]],Imputar[[#This Row],[Categoría]]),0)</f>
        <v>0</v>
      </c>
      <c r="H532">
        <f>ROUND(SUMIFS(CATEGORIAS[[#All],[CAMBIO DE
CATEGORIA]],CATEGORIAS[[#All],[CATEGORIA2]],Imputar[[#This Row],[Categoría]]),0)</f>
        <v>0</v>
      </c>
      <c r="I53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2">
        <f>+ROUND(SUMIFS(CATEGORIAS[[#All],[PROYECCION
TOTAL DE COSTO]],CATEGORIAS[[#All],[CATEGORIA2]],Imputar[[#This Row],[Categoría]]),0)
-Imputar[[#This Row],[Inventario]]
-Imputar[[#This Row],[Pedidos no Rec]]</f>
        <v>0</v>
      </c>
      <c r="K53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2">
        <f>_xlfn.IFNA(VLOOKUP(Imputar[[#This Row],[Categoría]],EIMI!C:T,8,0),0)</f>
        <v>0</v>
      </c>
      <c r="M532">
        <f>_xlfn.IFNA(VLOOKUP(Imputar[[#This Row],[Categoría]],EIMI!C:T,9,0),0)</f>
        <v>0</v>
      </c>
      <c r="N532">
        <f>_xlfn.IFNA(VLOOKUP(Imputar[[#This Row],[Categoría]],EIMI!C:T,10,0),0)</f>
        <v>0</v>
      </c>
    </row>
    <row r="533" spans="1:14" hidden="1" x14ac:dyDescent="0.25">
      <c r="A533" s="206" t="str">
        <f>Indice!$I$11</f>
        <v>EIMI00398</v>
      </c>
      <c r="B533" t="s">
        <v>1196</v>
      </c>
      <c r="C533" s="39">
        <f>Indice!$I$12</f>
        <v>46053</v>
      </c>
      <c r="E533">
        <f>ROUND(SUMIFS(CATEGORIAS[[#All],[TOTAL PRODUCCION
ACTUAL]],CATEGORIAS[[#All],[CATEGORIA2]],Imputar[[#This Row],[Categoría]]),0)</f>
        <v>0</v>
      </c>
      <c r="F533">
        <v>0</v>
      </c>
      <c r="G533">
        <f>ROUND(SUMIFS(CATEGORIAS[[#All],[PROYECCION
DE INGRESO
DEL SALDO]],CATEGORIAS[[#All],[CATEGORIA2]],Imputar[[#This Row],[Categoría]]),0)</f>
        <v>0</v>
      </c>
      <c r="H533">
        <f>ROUND(SUMIFS(CATEGORIAS[[#All],[CAMBIO DE
CATEGORIA]],CATEGORIAS[[#All],[CATEGORIA2]],Imputar[[#This Row],[Categoría]]),0)</f>
        <v>0</v>
      </c>
      <c r="I53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3">
        <f>+ROUND(SUMIFS(CATEGORIAS[[#All],[PROYECCION
TOTAL DE COSTO]],CATEGORIAS[[#All],[CATEGORIA2]],Imputar[[#This Row],[Categoría]]),0)
-Imputar[[#This Row],[Inventario]]
-Imputar[[#This Row],[Pedidos no Rec]]</f>
        <v>0</v>
      </c>
      <c r="K53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3">
        <f>_xlfn.IFNA(VLOOKUP(Imputar[[#This Row],[Categoría]],EIMI!C:T,8,0),0)</f>
        <v>0</v>
      </c>
      <c r="M533">
        <f>_xlfn.IFNA(VLOOKUP(Imputar[[#This Row],[Categoría]],EIMI!C:T,9,0),0)</f>
        <v>0</v>
      </c>
      <c r="N533">
        <f>_xlfn.IFNA(VLOOKUP(Imputar[[#This Row],[Categoría]],EIMI!C:T,10,0),0)</f>
        <v>0</v>
      </c>
    </row>
    <row r="534" spans="1:14" hidden="1" x14ac:dyDescent="0.25">
      <c r="A534" s="206" t="str">
        <f>Indice!$I$11</f>
        <v>EIMI00398</v>
      </c>
      <c r="B534" t="s">
        <v>1201</v>
      </c>
      <c r="C534" s="39">
        <f>Indice!$I$12</f>
        <v>46053</v>
      </c>
      <c r="E534">
        <f>ROUND(SUMIFS(CATEGORIAS[[#All],[TOTAL PRODUCCION
ACTUAL]],CATEGORIAS[[#All],[CATEGORIA2]],Imputar[[#This Row],[Categoría]]),0)</f>
        <v>0</v>
      </c>
      <c r="F534">
        <v>0</v>
      </c>
      <c r="G534">
        <f>ROUND(SUMIFS(CATEGORIAS[[#All],[PROYECCION
DE INGRESO
DEL SALDO]],CATEGORIAS[[#All],[CATEGORIA2]],Imputar[[#This Row],[Categoría]]),0)</f>
        <v>0</v>
      </c>
      <c r="H534">
        <f>ROUND(SUMIFS(CATEGORIAS[[#All],[CAMBIO DE
CATEGORIA]],CATEGORIAS[[#All],[CATEGORIA2]],Imputar[[#This Row],[Categoría]]),0)</f>
        <v>0</v>
      </c>
      <c r="I53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4">
        <f>+ROUND(SUMIFS(CATEGORIAS[[#All],[PROYECCION
TOTAL DE COSTO]],CATEGORIAS[[#All],[CATEGORIA2]],Imputar[[#This Row],[Categoría]]),0)
-Imputar[[#This Row],[Inventario]]
-Imputar[[#This Row],[Pedidos no Rec]]</f>
        <v>0</v>
      </c>
      <c r="K53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4">
        <f>_xlfn.IFNA(VLOOKUP(Imputar[[#This Row],[Categoría]],EIMI!C:T,8,0),0)</f>
        <v>0</v>
      </c>
      <c r="M534">
        <f>_xlfn.IFNA(VLOOKUP(Imputar[[#This Row],[Categoría]],EIMI!C:T,9,0),0)</f>
        <v>0</v>
      </c>
      <c r="N534">
        <f>_xlfn.IFNA(VLOOKUP(Imputar[[#This Row],[Categoría]],EIMI!C:T,10,0),0)</f>
        <v>0</v>
      </c>
    </row>
    <row r="535" spans="1:14" hidden="1" x14ac:dyDescent="0.25">
      <c r="A535" s="206" t="str">
        <f>Indice!$I$11</f>
        <v>EIMI00398</v>
      </c>
      <c r="B535" t="s">
        <v>1203</v>
      </c>
      <c r="C535" s="39">
        <f>Indice!$I$12</f>
        <v>46053</v>
      </c>
      <c r="E535">
        <f>ROUND(SUMIFS(CATEGORIAS[[#All],[TOTAL PRODUCCION
ACTUAL]],CATEGORIAS[[#All],[CATEGORIA2]],Imputar[[#This Row],[Categoría]]),0)</f>
        <v>0</v>
      </c>
      <c r="F535">
        <v>0</v>
      </c>
      <c r="G535">
        <f>ROUND(SUMIFS(CATEGORIAS[[#All],[PROYECCION
DE INGRESO
DEL SALDO]],CATEGORIAS[[#All],[CATEGORIA2]],Imputar[[#This Row],[Categoría]]),0)</f>
        <v>0</v>
      </c>
      <c r="H535">
        <f>ROUND(SUMIFS(CATEGORIAS[[#All],[CAMBIO DE
CATEGORIA]],CATEGORIAS[[#All],[CATEGORIA2]],Imputar[[#This Row],[Categoría]]),0)</f>
        <v>0</v>
      </c>
      <c r="I53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5">
        <f>+ROUND(SUMIFS(CATEGORIAS[[#All],[PROYECCION
TOTAL DE COSTO]],CATEGORIAS[[#All],[CATEGORIA2]],Imputar[[#This Row],[Categoría]]),0)
-Imputar[[#This Row],[Inventario]]
-Imputar[[#This Row],[Pedidos no Rec]]</f>
        <v>0</v>
      </c>
      <c r="K53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5">
        <f>_xlfn.IFNA(VLOOKUP(Imputar[[#This Row],[Categoría]],EIMI!C:T,8,0),0)</f>
        <v>0</v>
      </c>
      <c r="M535">
        <f>_xlfn.IFNA(VLOOKUP(Imputar[[#This Row],[Categoría]],EIMI!C:T,9,0),0)</f>
        <v>0</v>
      </c>
      <c r="N535">
        <f>_xlfn.IFNA(VLOOKUP(Imputar[[#This Row],[Categoría]],EIMI!C:T,10,0),0)</f>
        <v>0</v>
      </c>
    </row>
    <row r="536" spans="1:14" hidden="1" x14ac:dyDescent="0.25">
      <c r="A536" s="206" t="str">
        <f>Indice!$I$11</f>
        <v>EIMI00398</v>
      </c>
      <c r="B536" t="s">
        <v>1208</v>
      </c>
      <c r="C536" s="39">
        <f>Indice!$I$12</f>
        <v>46053</v>
      </c>
      <c r="E536">
        <f>ROUND(SUMIFS(CATEGORIAS[[#All],[TOTAL PRODUCCION
ACTUAL]],CATEGORIAS[[#All],[CATEGORIA2]],Imputar[[#This Row],[Categoría]]),0)</f>
        <v>0</v>
      </c>
      <c r="F536">
        <v>0</v>
      </c>
      <c r="G536">
        <f>ROUND(SUMIFS(CATEGORIAS[[#All],[PROYECCION
DE INGRESO
DEL SALDO]],CATEGORIAS[[#All],[CATEGORIA2]],Imputar[[#This Row],[Categoría]]),0)</f>
        <v>0</v>
      </c>
      <c r="H536">
        <f>ROUND(SUMIFS(CATEGORIAS[[#All],[CAMBIO DE
CATEGORIA]],CATEGORIAS[[#All],[CATEGORIA2]],Imputar[[#This Row],[Categoría]]),0)</f>
        <v>0</v>
      </c>
      <c r="I53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6">
        <f>+ROUND(SUMIFS(CATEGORIAS[[#All],[PROYECCION
TOTAL DE COSTO]],CATEGORIAS[[#All],[CATEGORIA2]],Imputar[[#This Row],[Categoría]]),0)
-Imputar[[#This Row],[Inventario]]
-Imputar[[#This Row],[Pedidos no Rec]]</f>
        <v>0</v>
      </c>
      <c r="K53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6">
        <f>_xlfn.IFNA(VLOOKUP(Imputar[[#This Row],[Categoría]],EIMI!C:T,8,0),0)</f>
        <v>0</v>
      </c>
      <c r="M536">
        <f>_xlfn.IFNA(VLOOKUP(Imputar[[#This Row],[Categoría]],EIMI!C:T,9,0),0)</f>
        <v>0</v>
      </c>
      <c r="N536">
        <f>_xlfn.IFNA(VLOOKUP(Imputar[[#This Row],[Categoría]],EIMI!C:T,10,0),0)</f>
        <v>0</v>
      </c>
    </row>
    <row r="537" spans="1:14" hidden="1" x14ac:dyDescent="0.25">
      <c r="A537" s="206" t="str">
        <f>Indice!$I$11</f>
        <v>EIMI00398</v>
      </c>
      <c r="B537" t="s">
        <v>1210</v>
      </c>
      <c r="C537" s="39">
        <f>Indice!$I$12</f>
        <v>46053</v>
      </c>
      <c r="E537">
        <f>ROUND(SUMIFS(CATEGORIAS[[#All],[TOTAL PRODUCCION
ACTUAL]],CATEGORIAS[[#All],[CATEGORIA2]],Imputar[[#This Row],[Categoría]]),0)</f>
        <v>0</v>
      </c>
      <c r="F537">
        <v>0</v>
      </c>
      <c r="G537">
        <f>ROUND(SUMIFS(CATEGORIAS[[#All],[PROYECCION
DE INGRESO
DEL SALDO]],CATEGORIAS[[#All],[CATEGORIA2]],Imputar[[#This Row],[Categoría]]),0)</f>
        <v>0</v>
      </c>
      <c r="H537">
        <f>ROUND(SUMIFS(CATEGORIAS[[#All],[CAMBIO DE
CATEGORIA]],CATEGORIAS[[#All],[CATEGORIA2]],Imputar[[#This Row],[Categoría]]),0)</f>
        <v>0</v>
      </c>
      <c r="I53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7">
        <f>+ROUND(SUMIFS(CATEGORIAS[[#All],[PROYECCION
TOTAL DE COSTO]],CATEGORIAS[[#All],[CATEGORIA2]],Imputar[[#This Row],[Categoría]]),0)
-Imputar[[#This Row],[Inventario]]
-Imputar[[#This Row],[Pedidos no Rec]]</f>
        <v>0</v>
      </c>
      <c r="K53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7">
        <f>_xlfn.IFNA(VLOOKUP(Imputar[[#This Row],[Categoría]],EIMI!C:T,8,0),0)</f>
        <v>0</v>
      </c>
      <c r="M537">
        <f>_xlfn.IFNA(VLOOKUP(Imputar[[#This Row],[Categoría]],EIMI!C:T,9,0),0)</f>
        <v>0</v>
      </c>
      <c r="N537">
        <f>_xlfn.IFNA(VLOOKUP(Imputar[[#This Row],[Categoría]],EIMI!C:T,10,0),0)</f>
        <v>0</v>
      </c>
    </row>
    <row r="538" spans="1:14" hidden="1" x14ac:dyDescent="0.25">
      <c r="A538" s="206" t="str">
        <f>Indice!$I$11</f>
        <v>EIMI00398</v>
      </c>
      <c r="B538" t="s">
        <v>1215</v>
      </c>
      <c r="C538" s="39">
        <f>Indice!$I$12</f>
        <v>46053</v>
      </c>
      <c r="E538">
        <f>ROUND(SUMIFS(CATEGORIAS[[#All],[TOTAL PRODUCCION
ACTUAL]],CATEGORIAS[[#All],[CATEGORIA2]],Imputar[[#This Row],[Categoría]]),0)</f>
        <v>0</v>
      </c>
      <c r="F538">
        <v>0</v>
      </c>
      <c r="G538">
        <f>ROUND(SUMIFS(CATEGORIAS[[#All],[PROYECCION
DE INGRESO
DEL SALDO]],CATEGORIAS[[#All],[CATEGORIA2]],Imputar[[#This Row],[Categoría]]),0)</f>
        <v>0</v>
      </c>
      <c r="H538">
        <f>ROUND(SUMIFS(CATEGORIAS[[#All],[CAMBIO DE
CATEGORIA]],CATEGORIAS[[#All],[CATEGORIA2]],Imputar[[#This Row],[Categoría]]),0)</f>
        <v>0</v>
      </c>
      <c r="I53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8">
        <f>+ROUND(SUMIFS(CATEGORIAS[[#All],[PROYECCION
TOTAL DE COSTO]],CATEGORIAS[[#All],[CATEGORIA2]],Imputar[[#This Row],[Categoría]]),0)
-Imputar[[#This Row],[Inventario]]
-Imputar[[#This Row],[Pedidos no Rec]]</f>
        <v>0</v>
      </c>
      <c r="K53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8">
        <f>_xlfn.IFNA(VLOOKUP(Imputar[[#This Row],[Categoría]],EIMI!C:T,8,0),0)</f>
        <v>0</v>
      </c>
      <c r="M538">
        <f>_xlfn.IFNA(VLOOKUP(Imputar[[#This Row],[Categoría]],EIMI!C:T,9,0),0)</f>
        <v>0</v>
      </c>
      <c r="N538">
        <f>_xlfn.IFNA(VLOOKUP(Imputar[[#This Row],[Categoría]],EIMI!C:T,10,0),0)</f>
        <v>0</v>
      </c>
    </row>
    <row r="539" spans="1:14" hidden="1" x14ac:dyDescent="0.25">
      <c r="A539" s="206" t="str">
        <f>Indice!$I$11</f>
        <v>EIMI00398</v>
      </c>
      <c r="B539" t="s">
        <v>1217</v>
      </c>
      <c r="C539" s="39">
        <f>Indice!$I$12</f>
        <v>46053</v>
      </c>
      <c r="E539">
        <f>ROUND(SUMIFS(CATEGORIAS[[#All],[TOTAL PRODUCCION
ACTUAL]],CATEGORIAS[[#All],[CATEGORIA2]],Imputar[[#This Row],[Categoría]]),0)</f>
        <v>0</v>
      </c>
      <c r="F539">
        <v>0</v>
      </c>
      <c r="G539">
        <f>ROUND(SUMIFS(CATEGORIAS[[#All],[PROYECCION
DE INGRESO
DEL SALDO]],CATEGORIAS[[#All],[CATEGORIA2]],Imputar[[#This Row],[Categoría]]),0)</f>
        <v>0</v>
      </c>
      <c r="H539">
        <f>ROUND(SUMIFS(CATEGORIAS[[#All],[CAMBIO DE
CATEGORIA]],CATEGORIAS[[#All],[CATEGORIA2]],Imputar[[#This Row],[Categoría]]),0)</f>
        <v>0</v>
      </c>
      <c r="I53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39">
        <f>+ROUND(SUMIFS(CATEGORIAS[[#All],[PROYECCION
TOTAL DE COSTO]],CATEGORIAS[[#All],[CATEGORIA2]],Imputar[[#This Row],[Categoría]]),0)
-Imputar[[#This Row],[Inventario]]
-Imputar[[#This Row],[Pedidos no Rec]]</f>
        <v>0</v>
      </c>
      <c r="K53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39">
        <f>_xlfn.IFNA(VLOOKUP(Imputar[[#This Row],[Categoría]],EIMI!C:T,8,0),0)</f>
        <v>0</v>
      </c>
      <c r="M539">
        <f>_xlfn.IFNA(VLOOKUP(Imputar[[#This Row],[Categoría]],EIMI!C:T,9,0),0)</f>
        <v>0</v>
      </c>
      <c r="N539">
        <f>_xlfn.IFNA(VLOOKUP(Imputar[[#This Row],[Categoría]],EIMI!C:T,10,0),0)</f>
        <v>0</v>
      </c>
    </row>
    <row r="540" spans="1:14" hidden="1" x14ac:dyDescent="0.25">
      <c r="A540" s="206" t="str">
        <f>Indice!$I$11</f>
        <v>EIMI00398</v>
      </c>
      <c r="B540" t="s">
        <v>1221</v>
      </c>
      <c r="C540" s="39">
        <f>Indice!$I$12</f>
        <v>46053</v>
      </c>
      <c r="E540">
        <f>ROUND(SUMIFS(CATEGORIAS[[#All],[TOTAL PRODUCCION
ACTUAL]],CATEGORIAS[[#All],[CATEGORIA2]],Imputar[[#This Row],[Categoría]]),0)</f>
        <v>0</v>
      </c>
      <c r="F540">
        <v>0</v>
      </c>
      <c r="G540">
        <f>ROUND(SUMIFS(CATEGORIAS[[#All],[PROYECCION
DE INGRESO
DEL SALDO]],CATEGORIAS[[#All],[CATEGORIA2]],Imputar[[#This Row],[Categoría]]),0)</f>
        <v>0</v>
      </c>
      <c r="H540">
        <f>ROUND(SUMIFS(CATEGORIAS[[#All],[CAMBIO DE
CATEGORIA]],CATEGORIAS[[#All],[CATEGORIA2]],Imputar[[#This Row],[Categoría]]),0)</f>
        <v>0</v>
      </c>
      <c r="I54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0">
        <f>+ROUND(SUMIFS(CATEGORIAS[[#All],[PROYECCION
TOTAL DE COSTO]],CATEGORIAS[[#All],[CATEGORIA2]],Imputar[[#This Row],[Categoría]]),0)
-Imputar[[#This Row],[Inventario]]
-Imputar[[#This Row],[Pedidos no Rec]]</f>
        <v>0</v>
      </c>
      <c r="K54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0">
        <f>_xlfn.IFNA(VLOOKUP(Imputar[[#This Row],[Categoría]],EIMI!C:T,8,0),0)</f>
        <v>0</v>
      </c>
      <c r="M540">
        <f>_xlfn.IFNA(VLOOKUP(Imputar[[#This Row],[Categoría]],EIMI!C:T,9,0),0)</f>
        <v>0</v>
      </c>
      <c r="N540">
        <f>_xlfn.IFNA(VLOOKUP(Imputar[[#This Row],[Categoría]],EIMI!C:T,10,0),0)</f>
        <v>0</v>
      </c>
    </row>
    <row r="541" spans="1:14" hidden="1" x14ac:dyDescent="0.25">
      <c r="A541" s="206" t="str">
        <f>Indice!$I$11</f>
        <v>EIMI00398</v>
      </c>
      <c r="B541" t="s">
        <v>1223</v>
      </c>
      <c r="C541" s="39">
        <f>Indice!$I$12</f>
        <v>46053</v>
      </c>
      <c r="E541">
        <f>ROUND(SUMIFS(CATEGORIAS[[#All],[TOTAL PRODUCCION
ACTUAL]],CATEGORIAS[[#All],[CATEGORIA2]],Imputar[[#This Row],[Categoría]]),0)</f>
        <v>0</v>
      </c>
      <c r="F541">
        <v>0</v>
      </c>
      <c r="G541">
        <f>ROUND(SUMIFS(CATEGORIAS[[#All],[PROYECCION
DE INGRESO
DEL SALDO]],CATEGORIAS[[#All],[CATEGORIA2]],Imputar[[#This Row],[Categoría]]),0)</f>
        <v>0</v>
      </c>
      <c r="H541">
        <f>ROUND(SUMIFS(CATEGORIAS[[#All],[CAMBIO DE
CATEGORIA]],CATEGORIAS[[#All],[CATEGORIA2]],Imputar[[#This Row],[Categoría]]),0)</f>
        <v>0</v>
      </c>
      <c r="I54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1">
        <f>+ROUND(SUMIFS(CATEGORIAS[[#All],[PROYECCION
TOTAL DE COSTO]],CATEGORIAS[[#All],[CATEGORIA2]],Imputar[[#This Row],[Categoría]]),0)
-Imputar[[#This Row],[Inventario]]
-Imputar[[#This Row],[Pedidos no Rec]]</f>
        <v>0</v>
      </c>
      <c r="K54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1">
        <f>_xlfn.IFNA(VLOOKUP(Imputar[[#This Row],[Categoría]],EIMI!C:T,8,0),0)</f>
        <v>0</v>
      </c>
      <c r="M541">
        <f>_xlfn.IFNA(VLOOKUP(Imputar[[#This Row],[Categoría]],EIMI!C:T,9,0),0)</f>
        <v>0</v>
      </c>
      <c r="N541">
        <f>_xlfn.IFNA(VLOOKUP(Imputar[[#This Row],[Categoría]],EIMI!C:T,10,0),0)</f>
        <v>0</v>
      </c>
    </row>
    <row r="542" spans="1:14" hidden="1" x14ac:dyDescent="0.25">
      <c r="A542" s="206" t="str">
        <f>Indice!$I$11</f>
        <v>EIMI00398</v>
      </c>
      <c r="B542" t="s">
        <v>1230</v>
      </c>
      <c r="C542" s="39">
        <f>Indice!$I$12</f>
        <v>46053</v>
      </c>
      <c r="E542">
        <f>ROUND(SUMIFS(CATEGORIAS[[#All],[TOTAL PRODUCCION
ACTUAL]],CATEGORIAS[[#All],[CATEGORIA2]],Imputar[[#This Row],[Categoría]]),0)</f>
        <v>0</v>
      </c>
      <c r="F542">
        <v>0</v>
      </c>
      <c r="G542">
        <f>ROUND(SUMIFS(CATEGORIAS[[#All],[PROYECCION
DE INGRESO
DEL SALDO]],CATEGORIAS[[#All],[CATEGORIA2]],Imputar[[#This Row],[Categoría]]),0)</f>
        <v>0</v>
      </c>
      <c r="H542">
        <f>ROUND(SUMIFS(CATEGORIAS[[#All],[CAMBIO DE
CATEGORIA]],CATEGORIAS[[#All],[CATEGORIA2]],Imputar[[#This Row],[Categoría]]),0)</f>
        <v>0</v>
      </c>
      <c r="I54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2">
        <f>+ROUND(SUMIFS(CATEGORIAS[[#All],[PROYECCION
TOTAL DE COSTO]],CATEGORIAS[[#All],[CATEGORIA2]],Imputar[[#This Row],[Categoría]]),0)
-Imputar[[#This Row],[Inventario]]
-Imputar[[#This Row],[Pedidos no Rec]]</f>
        <v>0</v>
      </c>
      <c r="K54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2">
        <f>_xlfn.IFNA(VLOOKUP(Imputar[[#This Row],[Categoría]],EIMI!C:T,8,0),0)</f>
        <v>0</v>
      </c>
      <c r="M542">
        <f>_xlfn.IFNA(VLOOKUP(Imputar[[#This Row],[Categoría]],EIMI!C:T,9,0),0)</f>
        <v>0</v>
      </c>
      <c r="N542">
        <f>_xlfn.IFNA(VLOOKUP(Imputar[[#This Row],[Categoría]],EIMI!C:T,10,0),0)</f>
        <v>0</v>
      </c>
    </row>
    <row r="543" spans="1:14" hidden="1" x14ac:dyDescent="0.25">
      <c r="A543" s="206" t="str">
        <f>Indice!$I$11</f>
        <v>EIMI00398</v>
      </c>
      <c r="B543" t="s">
        <v>1232</v>
      </c>
      <c r="C543" s="39">
        <f>Indice!$I$12</f>
        <v>46053</v>
      </c>
      <c r="E543">
        <f>ROUND(SUMIFS(CATEGORIAS[[#All],[TOTAL PRODUCCION
ACTUAL]],CATEGORIAS[[#All],[CATEGORIA2]],Imputar[[#This Row],[Categoría]]),0)</f>
        <v>0</v>
      </c>
      <c r="F543">
        <v>0</v>
      </c>
      <c r="G543">
        <f>ROUND(SUMIFS(CATEGORIAS[[#All],[PROYECCION
DE INGRESO
DEL SALDO]],CATEGORIAS[[#All],[CATEGORIA2]],Imputar[[#This Row],[Categoría]]),0)</f>
        <v>0</v>
      </c>
      <c r="H543">
        <f>ROUND(SUMIFS(CATEGORIAS[[#All],[CAMBIO DE
CATEGORIA]],CATEGORIAS[[#All],[CATEGORIA2]],Imputar[[#This Row],[Categoría]]),0)</f>
        <v>0</v>
      </c>
      <c r="I54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3">
        <f>+ROUND(SUMIFS(CATEGORIAS[[#All],[PROYECCION
TOTAL DE COSTO]],CATEGORIAS[[#All],[CATEGORIA2]],Imputar[[#This Row],[Categoría]]),0)
-Imputar[[#This Row],[Inventario]]
-Imputar[[#This Row],[Pedidos no Rec]]</f>
        <v>0</v>
      </c>
      <c r="K54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3">
        <f>_xlfn.IFNA(VLOOKUP(Imputar[[#This Row],[Categoría]],EIMI!C:T,8,0),0)</f>
        <v>0</v>
      </c>
      <c r="M543">
        <f>_xlfn.IFNA(VLOOKUP(Imputar[[#This Row],[Categoría]],EIMI!C:T,9,0),0)</f>
        <v>0</v>
      </c>
      <c r="N543">
        <f>_xlfn.IFNA(VLOOKUP(Imputar[[#This Row],[Categoría]],EIMI!C:T,10,0),0)</f>
        <v>0</v>
      </c>
    </row>
    <row r="544" spans="1:14" hidden="1" x14ac:dyDescent="0.25">
      <c r="A544" s="206" t="str">
        <f>Indice!$I$11</f>
        <v>EIMI00398</v>
      </c>
      <c r="B544" t="s">
        <v>1237</v>
      </c>
      <c r="C544" s="39">
        <f>Indice!$I$12</f>
        <v>46053</v>
      </c>
      <c r="E544">
        <f>ROUND(SUMIFS(CATEGORIAS[[#All],[TOTAL PRODUCCION
ACTUAL]],CATEGORIAS[[#All],[CATEGORIA2]],Imputar[[#This Row],[Categoría]]),0)</f>
        <v>0</v>
      </c>
      <c r="F544">
        <v>0</v>
      </c>
      <c r="G544">
        <f>ROUND(SUMIFS(CATEGORIAS[[#All],[PROYECCION
DE INGRESO
DEL SALDO]],CATEGORIAS[[#All],[CATEGORIA2]],Imputar[[#This Row],[Categoría]]),0)</f>
        <v>0</v>
      </c>
      <c r="H544">
        <f>ROUND(SUMIFS(CATEGORIAS[[#All],[CAMBIO DE
CATEGORIA]],CATEGORIAS[[#All],[CATEGORIA2]],Imputar[[#This Row],[Categoría]]),0)</f>
        <v>0</v>
      </c>
      <c r="I54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4">
        <f>+ROUND(SUMIFS(CATEGORIAS[[#All],[PROYECCION
TOTAL DE COSTO]],CATEGORIAS[[#All],[CATEGORIA2]],Imputar[[#This Row],[Categoría]]),0)
-Imputar[[#This Row],[Inventario]]
-Imputar[[#This Row],[Pedidos no Rec]]</f>
        <v>0</v>
      </c>
      <c r="K54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4">
        <f>_xlfn.IFNA(VLOOKUP(Imputar[[#This Row],[Categoría]],EIMI!C:T,8,0),0)</f>
        <v>0</v>
      </c>
      <c r="M544">
        <f>_xlfn.IFNA(VLOOKUP(Imputar[[#This Row],[Categoría]],EIMI!C:T,9,0),0)</f>
        <v>0</v>
      </c>
      <c r="N544">
        <f>_xlfn.IFNA(VLOOKUP(Imputar[[#This Row],[Categoría]],EIMI!C:T,10,0),0)</f>
        <v>0</v>
      </c>
    </row>
    <row r="545" spans="1:14" hidden="1" x14ac:dyDescent="0.25">
      <c r="A545" s="206" t="str">
        <f>Indice!$I$11</f>
        <v>EIMI00398</v>
      </c>
      <c r="B545" t="s">
        <v>1239</v>
      </c>
      <c r="C545" s="39">
        <f>Indice!$I$12</f>
        <v>46053</v>
      </c>
      <c r="E545">
        <f>ROUND(SUMIFS(CATEGORIAS[[#All],[TOTAL PRODUCCION
ACTUAL]],CATEGORIAS[[#All],[CATEGORIA2]],Imputar[[#This Row],[Categoría]]),0)</f>
        <v>0</v>
      </c>
      <c r="F545">
        <v>0</v>
      </c>
      <c r="G545">
        <f>ROUND(SUMIFS(CATEGORIAS[[#All],[PROYECCION
DE INGRESO
DEL SALDO]],CATEGORIAS[[#All],[CATEGORIA2]],Imputar[[#This Row],[Categoría]]),0)</f>
        <v>0</v>
      </c>
      <c r="H545">
        <f>ROUND(SUMIFS(CATEGORIAS[[#All],[CAMBIO DE
CATEGORIA]],CATEGORIAS[[#All],[CATEGORIA2]],Imputar[[#This Row],[Categoría]]),0)</f>
        <v>0</v>
      </c>
      <c r="I54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5">
        <f>+ROUND(SUMIFS(CATEGORIAS[[#All],[PROYECCION
TOTAL DE COSTO]],CATEGORIAS[[#All],[CATEGORIA2]],Imputar[[#This Row],[Categoría]]),0)
-Imputar[[#This Row],[Inventario]]
-Imputar[[#This Row],[Pedidos no Rec]]</f>
        <v>0</v>
      </c>
      <c r="K54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5">
        <f>_xlfn.IFNA(VLOOKUP(Imputar[[#This Row],[Categoría]],EIMI!C:T,8,0),0)</f>
        <v>0</v>
      </c>
      <c r="M545">
        <f>_xlfn.IFNA(VLOOKUP(Imputar[[#This Row],[Categoría]],EIMI!C:T,9,0),0)</f>
        <v>0</v>
      </c>
      <c r="N545">
        <f>_xlfn.IFNA(VLOOKUP(Imputar[[#This Row],[Categoría]],EIMI!C:T,10,0),0)</f>
        <v>0</v>
      </c>
    </row>
    <row r="546" spans="1:14" hidden="1" x14ac:dyDescent="0.25">
      <c r="A546" s="206" t="str">
        <f>Indice!$I$11</f>
        <v>EIMI00398</v>
      </c>
      <c r="B546" t="s">
        <v>1247</v>
      </c>
      <c r="C546" s="39">
        <f>Indice!$I$12</f>
        <v>46053</v>
      </c>
      <c r="E546">
        <f>ROUND(SUMIFS(CATEGORIAS[[#All],[TOTAL PRODUCCION
ACTUAL]],CATEGORIAS[[#All],[CATEGORIA2]],Imputar[[#This Row],[Categoría]]),0)</f>
        <v>0</v>
      </c>
      <c r="F546">
        <v>0</v>
      </c>
      <c r="G546">
        <f>ROUND(SUMIFS(CATEGORIAS[[#All],[PROYECCION
DE INGRESO
DEL SALDO]],CATEGORIAS[[#All],[CATEGORIA2]],Imputar[[#This Row],[Categoría]]),0)</f>
        <v>0</v>
      </c>
      <c r="H546">
        <f>ROUND(SUMIFS(CATEGORIAS[[#All],[CAMBIO DE
CATEGORIA]],CATEGORIAS[[#All],[CATEGORIA2]],Imputar[[#This Row],[Categoría]]),0)</f>
        <v>0</v>
      </c>
      <c r="I54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6">
        <f>+ROUND(SUMIFS(CATEGORIAS[[#All],[PROYECCION
TOTAL DE COSTO]],CATEGORIAS[[#All],[CATEGORIA2]],Imputar[[#This Row],[Categoría]]),0)
-Imputar[[#This Row],[Inventario]]
-Imputar[[#This Row],[Pedidos no Rec]]</f>
        <v>0</v>
      </c>
      <c r="K54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6">
        <f>_xlfn.IFNA(VLOOKUP(Imputar[[#This Row],[Categoría]],EIMI!C:T,8,0),0)</f>
        <v>0</v>
      </c>
      <c r="M546">
        <f>_xlfn.IFNA(VLOOKUP(Imputar[[#This Row],[Categoría]],EIMI!C:T,9,0),0)</f>
        <v>0</v>
      </c>
      <c r="N546">
        <f>_xlfn.IFNA(VLOOKUP(Imputar[[#This Row],[Categoría]],EIMI!C:T,10,0),0)</f>
        <v>0</v>
      </c>
    </row>
    <row r="547" spans="1:14" hidden="1" x14ac:dyDescent="0.25">
      <c r="A547" s="206" t="str">
        <f>Indice!$I$11</f>
        <v>EIMI00398</v>
      </c>
      <c r="B547" t="s">
        <v>1248</v>
      </c>
      <c r="C547" s="39">
        <f>Indice!$I$12</f>
        <v>46053</v>
      </c>
      <c r="E547">
        <f>ROUND(SUMIFS(CATEGORIAS[[#All],[TOTAL PRODUCCION
ACTUAL]],CATEGORIAS[[#All],[CATEGORIA2]],Imputar[[#This Row],[Categoría]]),0)</f>
        <v>0</v>
      </c>
      <c r="F547">
        <v>0</v>
      </c>
      <c r="G547">
        <f>ROUND(SUMIFS(CATEGORIAS[[#All],[PROYECCION
DE INGRESO
DEL SALDO]],CATEGORIAS[[#All],[CATEGORIA2]],Imputar[[#This Row],[Categoría]]),0)</f>
        <v>0</v>
      </c>
      <c r="H547">
        <f>ROUND(SUMIFS(CATEGORIAS[[#All],[CAMBIO DE
CATEGORIA]],CATEGORIAS[[#All],[CATEGORIA2]],Imputar[[#This Row],[Categoría]]),0)</f>
        <v>0</v>
      </c>
      <c r="I54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7">
        <f>+ROUND(SUMIFS(CATEGORIAS[[#All],[PROYECCION
TOTAL DE COSTO]],CATEGORIAS[[#All],[CATEGORIA2]],Imputar[[#This Row],[Categoría]]),0)
-Imputar[[#This Row],[Inventario]]
-Imputar[[#This Row],[Pedidos no Rec]]</f>
        <v>0</v>
      </c>
      <c r="K54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7">
        <f>_xlfn.IFNA(VLOOKUP(Imputar[[#This Row],[Categoría]],EIMI!C:T,8,0),0)</f>
        <v>0</v>
      </c>
      <c r="M547">
        <f>_xlfn.IFNA(VLOOKUP(Imputar[[#This Row],[Categoría]],EIMI!C:T,9,0),0)</f>
        <v>0</v>
      </c>
      <c r="N547">
        <f>_xlfn.IFNA(VLOOKUP(Imputar[[#This Row],[Categoría]],EIMI!C:T,10,0),0)</f>
        <v>0</v>
      </c>
    </row>
    <row r="548" spans="1:14" hidden="1" x14ac:dyDescent="0.25">
      <c r="A548" s="206" t="str">
        <f>Indice!$I$11</f>
        <v>EIMI00398</v>
      </c>
      <c r="B548" t="s">
        <v>1299</v>
      </c>
      <c r="C548" s="39">
        <f>Indice!$I$12</f>
        <v>46053</v>
      </c>
      <c r="E548">
        <f>ROUND(SUMIFS(CATEGORIAS[[#All],[TOTAL PRODUCCION
ACTUAL]],CATEGORIAS[[#All],[CATEGORIA2]],Imputar[[#This Row],[Categoría]]),0)</f>
        <v>0</v>
      </c>
      <c r="F548">
        <v>0</v>
      </c>
      <c r="G548">
        <f>ROUND(SUMIFS(CATEGORIAS[[#All],[PROYECCION
DE INGRESO
DEL SALDO]],CATEGORIAS[[#All],[CATEGORIA2]],Imputar[[#This Row],[Categoría]]),0)</f>
        <v>0</v>
      </c>
      <c r="H548">
        <f>ROUND(SUMIFS(CATEGORIAS[[#All],[CAMBIO DE
CATEGORIA]],CATEGORIAS[[#All],[CATEGORIA2]],Imputar[[#This Row],[Categoría]]),0)</f>
        <v>0</v>
      </c>
      <c r="I54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8">
        <f>+ROUND(SUMIFS(CATEGORIAS[[#All],[PROYECCION
TOTAL DE COSTO]],CATEGORIAS[[#All],[CATEGORIA2]],Imputar[[#This Row],[Categoría]]),0)
-Imputar[[#This Row],[Inventario]]
-Imputar[[#This Row],[Pedidos no Rec]]</f>
        <v>0</v>
      </c>
      <c r="K54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8">
        <f>_xlfn.IFNA(VLOOKUP(Imputar[[#This Row],[Categoría]],EIMI!C:T,8,0),0)</f>
        <v>0</v>
      </c>
      <c r="M548">
        <f>_xlfn.IFNA(VLOOKUP(Imputar[[#This Row],[Categoría]],EIMI!C:T,9,0),0)</f>
        <v>0</v>
      </c>
      <c r="N548">
        <f>_xlfn.IFNA(VLOOKUP(Imputar[[#This Row],[Categoría]],EIMI!C:T,10,0),0)</f>
        <v>0</v>
      </c>
    </row>
    <row r="549" spans="1:14" hidden="1" x14ac:dyDescent="0.25">
      <c r="A549" s="206" t="str">
        <f>Indice!$I$11</f>
        <v>EIMI00398</v>
      </c>
      <c r="B549" t="s">
        <v>1300</v>
      </c>
      <c r="C549" s="39">
        <f>Indice!$I$12</f>
        <v>46053</v>
      </c>
      <c r="E549">
        <f>ROUND(SUMIFS(CATEGORIAS[[#All],[TOTAL PRODUCCION
ACTUAL]],CATEGORIAS[[#All],[CATEGORIA2]],Imputar[[#This Row],[Categoría]]),0)</f>
        <v>0</v>
      </c>
      <c r="F549">
        <v>0</v>
      </c>
      <c r="G549">
        <f>ROUND(SUMIFS(CATEGORIAS[[#All],[PROYECCION
DE INGRESO
DEL SALDO]],CATEGORIAS[[#All],[CATEGORIA2]],Imputar[[#This Row],[Categoría]]),0)</f>
        <v>0</v>
      </c>
      <c r="H549">
        <f>ROUND(SUMIFS(CATEGORIAS[[#All],[CAMBIO DE
CATEGORIA]],CATEGORIAS[[#All],[CATEGORIA2]],Imputar[[#This Row],[Categoría]]),0)</f>
        <v>0</v>
      </c>
      <c r="I54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49">
        <f>+ROUND(SUMIFS(CATEGORIAS[[#All],[PROYECCION
TOTAL DE COSTO]],CATEGORIAS[[#All],[CATEGORIA2]],Imputar[[#This Row],[Categoría]]),0)
-Imputar[[#This Row],[Inventario]]
-Imputar[[#This Row],[Pedidos no Rec]]</f>
        <v>0</v>
      </c>
      <c r="K54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49">
        <f>_xlfn.IFNA(VLOOKUP(Imputar[[#This Row],[Categoría]],EIMI!C:T,8,0),0)</f>
        <v>0</v>
      </c>
      <c r="M549">
        <f>_xlfn.IFNA(VLOOKUP(Imputar[[#This Row],[Categoría]],EIMI!C:T,9,0),0)</f>
        <v>0</v>
      </c>
      <c r="N549">
        <f>_xlfn.IFNA(VLOOKUP(Imputar[[#This Row],[Categoría]],EIMI!C:T,10,0),0)</f>
        <v>0</v>
      </c>
    </row>
    <row r="550" spans="1:14" hidden="1" x14ac:dyDescent="0.25">
      <c r="A550" s="206" t="str">
        <f>Indice!$I$11</f>
        <v>EIMI00398</v>
      </c>
      <c r="B550" t="s">
        <v>1301</v>
      </c>
      <c r="C550" s="39">
        <f>Indice!$I$12</f>
        <v>46053</v>
      </c>
      <c r="E550">
        <f>ROUND(SUMIFS(CATEGORIAS[[#All],[TOTAL PRODUCCION
ACTUAL]],CATEGORIAS[[#All],[CATEGORIA2]],Imputar[[#This Row],[Categoría]]),0)</f>
        <v>0</v>
      </c>
      <c r="F550">
        <v>0</v>
      </c>
      <c r="G550">
        <f>ROUND(SUMIFS(CATEGORIAS[[#All],[PROYECCION
DE INGRESO
DEL SALDO]],CATEGORIAS[[#All],[CATEGORIA2]],Imputar[[#This Row],[Categoría]]),0)</f>
        <v>0</v>
      </c>
      <c r="H550">
        <f>ROUND(SUMIFS(CATEGORIAS[[#All],[CAMBIO DE
CATEGORIA]],CATEGORIAS[[#All],[CATEGORIA2]],Imputar[[#This Row],[Categoría]]),0)</f>
        <v>0</v>
      </c>
      <c r="I55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0">
        <f>+ROUND(SUMIFS(CATEGORIAS[[#All],[PROYECCION
TOTAL DE COSTO]],CATEGORIAS[[#All],[CATEGORIA2]],Imputar[[#This Row],[Categoría]]),0)
-Imputar[[#This Row],[Inventario]]
-Imputar[[#This Row],[Pedidos no Rec]]</f>
        <v>0</v>
      </c>
      <c r="K55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0">
        <f>_xlfn.IFNA(VLOOKUP(Imputar[[#This Row],[Categoría]],EIMI!C:T,8,0),0)</f>
        <v>0</v>
      </c>
      <c r="M550">
        <f>_xlfn.IFNA(VLOOKUP(Imputar[[#This Row],[Categoría]],EIMI!C:T,9,0),0)</f>
        <v>0</v>
      </c>
      <c r="N550">
        <f>_xlfn.IFNA(VLOOKUP(Imputar[[#This Row],[Categoría]],EIMI!C:T,10,0),0)</f>
        <v>0</v>
      </c>
    </row>
    <row r="551" spans="1:14" hidden="1" x14ac:dyDescent="0.25">
      <c r="A551" s="206" t="str">
        <f>Indice!$I$11</f>
        <v>EIMI00398</v>
      </c>
      <c r="B551" t="s">
        <v>1302</v>
      </c>
      <c r="C551" s="39">
        <f>Indice!$I$12</f>
        <v>46053</v>
      </c>
      <c r="E551">
        <f>ROUND(SUMIFS(CATEGORIAS[[#All],[TOTAL PRODUCCION
ACTUAL]],CATEGORIAS[[#All],[CATEGORIA2]],Imputar[[#This Row],[Categoría]]),0)</f>
        <v>0</v>
      </c>
      <c r="F551">
        <v>0</v>
      </c>
      <c r="G551">
        <f>ROUND(SUMIFS(CATEGORIAS[[#All],[PROYECCION
DE INGRESO
DEL SALDO]],CATEGORIAS[[#All],[CATEGORIA2]],Imputar[[#This Row],[Categoría]]),0)</f>
        <v>0</v>
      </c>
      <c r="H551">
        <f>ROUND(SUMIFS(CATEGORIAS[[#All],[CAMBIO DE
CATEGORIA]],CATEGORIAS[[#All],[CATEGORIA2]],Imputar[[#This Row],[Categoría]]),0)</f>
        <v>0</v>
      </c>
      <c r="I55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1">
        <f>+ROUND(SUMIFS(CATEGORIAS[[#All],[PROYECCION
TOTAL DE COSTO]],CATEGORIAS[[#All],[CATEGORIA2]],Imputar[[#This Row],[Categoría]]),0)
-Imputar[[#This Row],[Inventario]]
-Imputar[[#This Row],[Pedidos no Rec]]</f>
        <v>0</v>
      </c>
      <c r="K55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1">
        <f>_xlfn.IFNA(VLOOKUP(Imputar[[#This Row],[Categoría]],EIMI!C:T,8,0),0)</f>
        <v>0</v>
      </c>
      <c r="M551">
        <f>_xlfn.IFNA(VLOOKUP(Imputar[[#This Row],[Categoría]],EIMI!C:T,9,0),0)</f>
        <v>0</v>
      </c>
      <c r="N551">
        <f>_xlfn.IFNA(VLOOKUP(Imputar[[#This Row],[Categoría]],EIMI!C:T,10,0),0)</f>
        <v>0</v>
      </c>
    </row>
    <row r="552" spans="1:14" hidden="1" x14ac:dyDescent="0.25">
      <c r="A552" s="206" t="str">
        <f>Indice!$I$11</f>
        <v>EIMI00398</v>
      </c>
      <c r="B552" t="s">
        <v>1303</v>
      </c>
      <c r="C552" s="39">
        <f>Indice!$I$12</f>
        <v>46053</v>
      </c>
      <c r="E552">
        <f>ROUND(SUMIFS(CATEGORIAS[[#All],[TOTAL PRODUCCION
ACTUAL]],CATEGORIAS[[#All],[CATEGORIA2]],Imputar[[#This Row],[Categoría]]),0)</f>
        <v>0</v>
      </c>
      <c r="F552">
        <v>0</v>
      </c>
      <c r="G552">
        <f>ROUND(SUMIFS(CATEGORIAS[[#All],[PROYECCION
DE INGRESO
DEL SALDO]],CATEGORIAS[[#All],[CATEGORIA2]],Imputar[[#This Row],[Categoría]]),0)</f>
        <v>0</v>
      </c>
      <c r="H552">
        <f>ROUND(SUMIFS(CATEGORIAS[[#All],[CAMBIO DE
CATEGORIA]],CATEGORIAS[[#All],[CATEGORIA2]],Imputar[[#This Row],[Categoría]]),0)</f>
        <v>0</v>
      </c>
      <c r="I55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2">
        <f>+ROUND(SUMIFS(CATEGORIAS[[#All],[PROYECCION
TOTAL DE COSTO]],CATEGORIAS[[#All],[CATEGORIA2]],Imputar[[#This Row],[Categoría]]),0)
-Imputar[[#This Row],[Inventario]]
-Imputar[[#This Row],[Pedidos no Rec]]</f>
        <v>0</v>
      </c>
      <c r="K55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2">
        <f>_xlfn.IFNA(VLOOKUP(Imputar[[#This Row],[Categoría]],EIMI!C:T,8,0),0)</f>
        <v>0</v>
      </c>
      <c r="M552">
        <f>_xlfn.IFNA(VLOOKUP(Imputar[[#This Row],[Categoría]],EIMI!C:T,9,0),0)</f>
        <v>0</v>
      </c>
      <c r="N552">
        <f>_xlfn.IFNA(VLOOKUP(Imputar[[#This Row],[Categoría]],EIMI!C:T,10,0),0)</f>
        <v>0</v>
      </c>
    </row>
    <row r="553" spans="1:14" hidden="1" x14ac:dyDescent="0.25">
      <c r="A553" s="206" t="str">
        <f>Indice!$I$11</f>
        <v>EIMI00398</v>
      </c>
      <c r="B553" t="s">
        <v>1304</v>
      </c>
      <c r="C553" s="39">
        <f>Indice!$I$12</f>
        <v>46053</v>
      </c>
      <c r="E553">
        <f>ROUND(SUMIFS(CATEGORIAS[[#All],[TOTAL PRODUCCION
ACTUAL]],CATEGORIAS[[#All],[CATEGORIA2]],Imputar[[#This Row],[Categoría]]),0)</f>
        <v>0</v>
      </c>
      <c r="F553">
        <v>0</v>
      </c>
      <c r="G553">
        <f>ROUND(SUMIFS(CATEGORIAS[[#All],[PROYECCION
DE INGRESO
DEL SALDO]],CATEGORIAS[[#All],[CATEGORIA2]],Imputar[[#This Row],[Categoría]]),0)</f>
        <v>0</v>
      </c>
      <c r="H553">
        <f>ROUND(SUMIFS(CATEGORIAS[[#All],[CAMBIO DE
CATEGORIA]],CATEGORIAS[[#All],[CATEGORIA2]],Imputar[[#This Row],[Categoría]]),0)</f>
        <v>0</v>
      </c>
      <c r="I55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3">
        <f>+ROUND(SUMIFS(CATEGORIAS[[#All],[PROYECCION
TOTAL DE COSTO]],CATEGORIAS[[#All],[CATEGORIA2]],Imputar[[#This Row],[Categoría]]),0)
-Imputar[[#This Row],[Inventario]]
-Imputar[[#This Row],[Pedidos no Rec]]</f>
        <v>0</v>
      </c>
      <c r="K55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3">
        <f>_xlfn.IFNA(VLOOKUP(Imputar[[#This Row],[Categoría]],EIMI!C:T,8,0),0)</f>
        <v>0</v>
      </c>
      <c r="M553">
        <f>_xlfn.IFNA(VLOOKUP(Imputar[[#This Row],[Categoría]],EIMI!C:T,9,0),0)</f>
        <v>0</v>
      </c>
      <c r="N553">
        <f>_xlfn.IFNA(VLOOKUP(Imputar[[#This Row],[Categoría]],EIMI!C:T,10,0),0)</f>
        <v>0</v>
      </c>
    </row>
    <row r="554" spans="1:14" hidden="1" x14ac:dyDescent="0.25">
      <c r="A554" s="206" t="str">
        <f>Indice!$I$11</f>
        <v>EIMI00398</v>
      </c>
      <c r="B554" t="s">
        <v>1305</v>
      </c>
      <c r="C554" s="39">
        <f>Indice!$I$12</f>
        <v>46053</v>
      </c>
      <c r="E554">
        <f>ROUND(SUMIFS(CATEGORIAS[[#All],[TOTAL PRODUCCION
ACTUAL]],CATEGORIAS[[#All],[CATEGORIA2]],Imputar[[#This Row],[Categoría]]),0)</f>
        <v>0</v>
      </c>
      <c r="F554">
        <v>0</v>
      </c>
      <c r="G554">
        <f>ROUND(SUMIFS(CATEGORIAS[[#All],[PROYECCION
DE INGRESO
DEL SALDO]],CATEGORIAS[[#All],[CATEGORIA2]],Imputar[[#This Row],[Categoría]]),0)</f>
        <v>0</v>
      </c>
      <c r="H554">
        <f>ROUND(SUMIFS(CATEGORIAS[[#All],[CAMBIO DE
CATEGORIA]],CATEGORIAS[[#All],[CATEGORIA2]],Imputar[[#This Row],[Categoría]]),0)</f>
        <v>0</v>
      </c>
      <c r="I55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4">
        <f>+ROUND(SUMIFS(CATEGORIAS[[#All],[PROYECCION
TOTAL DE COSTO]],CATEGORIAS[[#All],[CATEGORIA2]],Imputar[[#This Row],[Categoría]]),0)
-Imputar[[#This Row],[Inventario]]
-Imputar[[#This Row],[Pedidos no Rec]]</f>
        <v>0</v>
      </c>
      <c r="K55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4">
        <f>_xlfn.IFNA(VLOOKUP(Imputar[[#This Row],[Categoría]],EIMI!C:T,8,0),0)</f>
        <v>0</v>
      </c>
      <c r="M554">
        <f>_xlfn.IFNA(VLOOKUP(Imputar[[#This Row],[Categoría]],EIMI!C:T,9,0),0)</f>
        <v>0</v>
      </c>
      <c r="N554">
        <f>_xlfn.IFNA(VLOOKUP(Imputar[[#This Row],[Categoría]],EIMI!C:T,10,0),0)</f>
        <v>0</v>
      </c>
    </row>
    <row r="555" spans="1:14" hidden="1" x14ac:dyDescent="0.25">
      <c r="A555" s="206" t="str">
        <f>Indice!$I$11</f>
        <v>EIMI00398</v>
      </c>
      <c r="B555" t="s">
        <v>1360</v>
      </c>
      <c r="C555" s="39">
        <f>Indice!$I$12</f>
        <v>46053</v>
      </c>
      <c r="E555">
        <f>ROUND(SUMIFS(CATEGORIAS[[#All],[TOTAL PRODUCCION
ACTUAL]],CATEGORIAS[[#All],[CATEGORIA2]],Imputar[[#This Row],[Categoría]]),0)</f>
        <v>0</v>
      </c>
      <c r="F555">
        <v>0</v>
      </c>
      <c r="G555">
        <f>ROUND(SUMIFS(CATEGORIAS[[#All],[PROYECCION
DE INGRESO
DEL SALDO]],CATEGORIAS[[#All],[CATEGORIA2]],Imputar[[#This Row],[Categoría]]),0)</f>
        <v>0</v>
      </c>
      <c r="H555">
        <f>ROUND(SUMIFS(CATEGORIAS[[#All],[CAMBIO DE
CATEGORIA]],CATEGORIAS[[#All],[CATEGORIA2]],Imputar[[#This Row],[Categoría]]),0)</f>
        <v>0</v>
      </c>
      <c r="I55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5">
        <f>+ROUND(SUMIFS(CATEGORIAS[[#All],[PROYECCION
TOTAL DE COSTO]],CATEGORIAS[[#All],[CATEGORIA2]],Imputar[[#This Row],[Categoría]]),0)
-Imputar[[#This Row],[Inventario]]
-Imputar[[#This Row],[Pedidos no Rec]]</f>
        <v>0</v>
      </c>
      <c r="K55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5">
        <f>_xlfn.IFNA(VLOOKUP(Imputar[[#This Row],[Categoría]],EIMI!C:T,8,0),0)</f>
        <v>0</v>
      </c>
      <c r="M555">
        <f>_xlfn.IFNA(VLOOKUP(Imputar[[#This Row],[Categoría]],EIMI!C:T,9,0),0)</f>
        <v>0</v>
      </c>
      <c r="N555">
        <f>_xlfn.IFNA(VLOOKUP(Imputar[[#This Row],[Categoría]],EIMI!C:T,10,0),0)</f>
        <v>0</v>
      </c>
    </row>
    <row r="556" spans="1:14" hidden="1" x14ac:dyDescent="0.25">
      <c r="A556" s="206" t="str">
        <f>Indice!$I$11</f>
        <v>EIMI00398</v>
      </c>
      <c r="B556" t="s">
        <v>1393</v>
      </c>
      <c r="C556" s="39">
        <f>Indice!$I$12</f>
        <v>46053</v>
      </c>
      <c r="E556">
        <f>ROUND(SUMIFS(CATEGORIAS[[#All],[TOTAL PRODUCCION
ACTUAL]],CATEGORIAS[[#All],[CATEGORIA2]],Imputar[[#This Row],[Categoría]]),0)</f>
        <v>0</v>
      </c>
      <c r="F556">
        <v>0</v>
      </c>
      <c r="G556">
        <f>ROUND(SUMIFS(CATEGORIAS[[#All],[PROYECCION
DE INGRESO
DEL SALDO]],CATEGORIAS[[#All],[CATEGORIA2]],Imputar[[#This Row],[Categoría]]),0)</f>
        <v>0</v>
      </c>
      <c r="H556">
        <f>ROUND(SUMIFS(CATEGORIAS[[#All],[CAMBIO DE
CATEGORIA]],CATEGORIAS[[#All],[CATEGORIA2]],Imputar[[#This Row],[Categoría]]),0)</f>
        <v>0</v>
      </c>
      <c r="I55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6">
        <f>+ROUND(SUMIFS(CATEGORIAS[[#All],[PROYECCION
TOTAL DE COSTO]],CATEGORIAS[[#All],[CATEGORIA2]],Imputar[[#This Row],[Categoría]]),0)
-Imputar[[#This Row],[Inventario]]
-Imputar[[#This Row],[Pedidos no Rec]]</f>
        <v>0</v>
      </c>
      <c r="K55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6">
        <f>_xlfn.IFNA(VLOOKUP(Imputar[[#This Row],[Categoría]],EIMI!C:T,8,0),0)</f>
        <v>0</v>
      </c>
      <c r="M556">
        <f>_xlfn.IFNA(VLOOKUP(Imputar[[#This Row],[Categoría]],EIMI!C:T,9,0),0)</f>
        <v>0</v>
      </c>
      <c r="N556">
        <f>_xlfn.IFNA(VLOOKUP(Imputar[[#This Row],[Categoría]],EIMI!C:T,10,0),0)</f>
        <v>0</v>
      </c>
    </row>
    <row r="557" spans="1:14" hidden="1" x14ac:dyDescent="0.25">
      <c r="A557" s="206" t="str">
        <f>Indice!$I$11</f>
        <v>EIMI00398</v>
      </c>
      <c r="B557" t="s">
        <v>1395</v>
      </c>
      <c r="C557" s="39">
        <f>Indice!$I$12</f>
        <v>46053</v>
      </c>
      <c r="E557">
        <f>ROUND(SUMIFS(CATEGORIAS[[#All],[TOTAL PRODUCCION
ACTUAL]],CATEGORIAS[[#All],[CATEGORIA2]],Imputar[[#This Row],[Categoría]]),0)</f>
        <v>0</v>
      </c>
      <c r="F557">
        <v>0</v>
      </c>
      <c r="G557">
        <f>ROUND(SUMIFS(CATEGORIAS[[#All],[PROYECCION
DE INGRESO
DEL SALDO]],CATEGORIAS[[#All],[CATEGORIA2]],Imputar[[#This Row],[Categoría]]),0)</f>
        <v>0</v>
      </c>
      <c r="H557">
        <f>ROUND(SUMIFS(CATEGORIAS[[#All],[CAMBIO DE
CATEGORIA]],CATEGORIAS[[#All],[CATEGORIA2]],Imputar[[#This Row],[Categoría]]),0)</f>
        <v>0</v>
      </c>
      <c r="I55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7">
        <f>+ROUND(SUMIFS(CATEGORIAS[[#All],[PROYECCION
TOTAL DE COSTO]],CATEGORIAS[[#All],[CATEGORIA2]],Imputar[[#This Row],[Categoría]]),0)
-Imputar[[#This Row],[Inventario]]
-Imputar[[#This Row],[Pedidos no Rec]]</f>
        <v>0</v>
      </c>
      <c r="K55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7">
        <f>_xlfn.IFNA(VLOOKUP(Imputar[[#This Row],[Categoría]],EIMI!C:T,8,0),0)</f>
        <v>0</v>
      </c>
      <c r="M557">
        <f>_xlfn.IFNA(VLOOKUP(Imputar[[#This Row],[Categoría]],EIMI!C:T,9,0),0)</f>
        <v>0</v>
      </c>
      <c r="N557">
        <f>_xlfn.IFNA(VLOOKUP(Imputar[[#This Row],[Categoría]],EIMI!C:T,10,0),0)</f>
        <v>0</v>
      </c>
    </row>
    <row r="558" spans="1:14" hidden="1" x14ac:dyDescent="0.25">
      <c r="A558" s="206" t="str">
        <f>Indice!$I$11</f>
        <v>EIMI00398</v>
      </c>
      <c r="B558" t="s">
        <v>1396</v>
      </c>
      <c r="C558" s="39">
        <f>Indice!$I$12</f>
        <v>46053</v>
      </c>
      <c r="E558">
        <f>ROUND(SUMIFS(CATEGORIAS[[#All],[TOTAL PRODUCCION
ACTUAL]],CATEGORIAS[[#All],[CATEGORIA2]],Imputar[[#This Row],[Categoría]]),0)</f>
        <v>0</v>
      </c>
      <c r="F558">
        <v>0</v>
      </c>
      <c r="G558">
        <f>ROUND(SUMIFS(CATEGORIAS[[#All],[PROYECCION
DE INGRESO
DEL SALDO]],CATEGORIAS[[#All],[CATEGORIA2]],Imputar[[#This Row],[Categoría]]),0)</f>
        <v>0</v>
      </c>
      <c r="H558">
        <f>ROUND(SUMIFS(CATEGORIAS[[#All],[CAMBIO DE
CATEGORIA]],CATEGORIAS[[#All],[CATEGORIA2]],Imputar[[#This Row],[Categoría]]),0)</f>
        <v>0</v>
      </c>
      <c r="I55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8">
        <f>+ROUND(SUMIFS(CATEGORIAS[[#All],[PROYECCION
TOTAL DE COSTO]],CATEGORIAS[[#All],[CATEGORIA2]],Imputar[[#This Row],[Categoría]]),0)
-Imputar[[#This Row],[Inventario]]
-Imputar[[#This Row],[Pedidos no Rec]]</f>
        <v>0</v>
      </c>
      <c r="K55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8">
        <f>_xlfn.IFNA(VLOOKUP(Imputar[[#This Row],[Categoría]],EIMI!C:T,8,0),0)</f>
        <v>0</v>
      </c>
      <c r="M558">
        <f>_xlfn.IFNA(VLOOKUP(Imputar[[#This Row],[Categoría]],EIMI!C:T,9,0),0)</f>
        <v>0</v>
      </c>
      <c r="N558">
        <f>_xlfn.IFNA(VLOOKUP(Imputar[[#This Row],[Categoría]],EIMI!C:T,10,0),0)</f>
        <v>0</v>
      </c>
    </row>
    <row r="559" spans="1:14" hidden="1" x14ac:dyDescent="0.25">
      <c r="A559" s="206" t="str">
        <f>Indice!$I$11</f>
        <v>EIMI00398</v>
      </c>
      <c r="B559" t="s">
        <v>1397</v>
      </c>
      <c r="C559" s="39">
        <f>Indice!$I$12</f>
        <v>46053</v>
      </c>
      <c r="E559">
        <f>ROUND(SUMIFS(CATEGORIAS[[#All],[TOTAL PRODUCCION
ACTUAL]],CATEGORIAS[[#All],[CATEGORIA2]],Imputar[[#This Row],[Categoría]]),0)</f>
        <v>0</v>
      </c>
      <c r="F559">
        <v>0</v>
      </c>
      <c r="G559">
        <f>ROUND(SUMIFS(CATEGORIAS[[#All],[PROYECCION
DE INGRESO
DEL SALDO]],CATEGORIAS[[#All],[CATEGORIA2]],Imputar[[#This Row],[Categoría]]),0)</f>
        <v>0</v>
      </c>
      <c r="H559">
        <f>ROUND(SUMIFS(CATEGORIAS[[#All],[CAMBIO DE
CATEGORIA]],CATEGORIAS[[#All],[CATEGORIA2]],Imputar[[#This Row],[Categoría]]),0)</f>
        <v>0</v>
      </c>
      <c r="I55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59">
        <f>+ROUND(SUMIFS(CATEGORIAS[[#All],[PROYECCION
TOTAL DE COSTO]],CATEGORIAS[[#All],[CATEGORIA2]],Imputar[[#This Row],[Categoría]]),0)
-Imputar[[#This Row],[Inventario]]
-Imputar[[#This Row],[Pedidos no Rec]]</f>
        <v>0</v>
      </c>
      <c r="K55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59">
        <f>_xlfn.IFNA(VLOOKUP(Imputar[[#This Row],[Categoría]],EIMI!C:T,8,0),0)</f>
        <v>0</v>
      </c>
      <c r="M559">
        <f>_xlfn.IFNA(VLOOKUP(Imputar[[#This Row],[Categoría]],EIMI!C:T,9,0),0)</f>
        <v>0</v>
      </c>
      <c r="N559">
        <f>_xlfn.IFNA(VLOOKUP(Imputar[[#This Row],[Categoría]],EIMI!C:T,10,0),0)</f>
        <v>0</v>
      </c>
    </row>
    <row r="560" spans="1:14" hidden="1" x14ac:dyDescent="0.25">
      <c r="A560" s="206" t="str">
        <f>Indice!$I$11</f>
        <v>EIMI00398</v>
      </c>
      <c r="B560" t="s">
        <v>1398</v>
      </c>
      <c r="C560" s="39">
        <f>Indice!$I$12</f>
        <v>46053</v>
      </c>
      <c r="E560">
        <f>ROUND(SUMIFS(CATEGORIAS[[#All],[TOTAL PRODUCCION
ACTUAL]],CATEGORIAS[[#All],[CATEGORIA2]],Imputar[[#This Row],[Categoría]]),0)</f>
        <v>0</v>
      </c>
      <c r="F560">
        <v>0</v>
      </c>
      <c r="G560">
        <f>ROUND(SUMIFS(CATEGORIAS[[#All],[PROYECCION
DE INGRESO
DEL SALDO]],CATEGORIAS[[#All],[CATEGORIA2]],Imputar[[#This Row],[Categoría]]),0)</f>
        <v>0</v>
      </c>
      <c r="H560">
        <f>ROUND(SUMIFS(CATEGORIAS[[#All],[CAMBIO DE
CATEGORIA]],CATEGORIAS[[#All],[CATEGORIA2]],Imputar[[#This Row],[Categoría]]),0)</f>
        <v>0</v>
      </c>
      <c r="I56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0">
        <f>+ROUND(SUMIFS(CATEGORIAS[[#All],[PROYECCION
TOTAL DE COSTO]],CATEGORIAS[[#All],[CATEGORIA2]],Imputar[[#This Row],[Categoría]]),0)
-Imputar[[#This Row],[Inventario]]
-Imputar[[#This Row],[Pedidos no Rec]]</f>
        <v>0</v>
      </c>
      <c r="K56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0">
        <f>_xlfn.IFNA(VLOOKUP(Imputar[[#This Row],[Categoría]],EIMI!C:T,8,0),0)</f>
        <v>0</v>
      </c>
      <c r="M560">
        <f>_xlfn.IFNA(VLOOKUP(Imputar[[#This Row],[Categoría]],EIMI!C:T,9,0),0)</f>
        <v>0</v>
      </c>
      <c r="N560">
        <f>_xlfn.IFNA(VLOOKUP(Imputar[[#This Row],[Categoría]],EIMI!C:T,10,0),0)</f>
        <v>0</v>
      </c>
    </row>
    <row r="561" spans="1:14" hidden="1" x14ac:dyDescent="0.25">
      <c r="A561" s="206" t="str">
        <f>Indice!$I$11</f>
        <v>EIMI00398</v>
      </c>
      <c r="B561" t="s">
        <v>1399</v>
      </c>
      <c r="C561" s="39">
        <f>Indice!$I$12</f>
        <v>46053</v>
      </c>
      <c r="E561">
        <f>ROUND(SUMIFS(CATEGORIAS[[#All],[TOTAL PRODUCCION
ACTUAL]],CATEGORIAS[[#All],[CATEGORIA2]],Imputar[[#This Row],[Categoría]]),0)</f>
        <v>0</v>
      </c>
      <c r="F561">
        <v>0</v>
      </c>
      <c r="G561">
        <f>ROUND(SUMIFS(CATEGORIAS[[#All],[PROYECCION
DE INGRESO
DEL SALDO]],CATEGORIAS[[#All],[CATEGORIA2]],Imputar[[#This Row],[Categoría]]),0)</f>
        <v>0</v>
      </c>
      <c r="H561">
        <f>ROUND(SUMIFS(CATEGORIAS[[#All],[CAMBIO DE
CATEGORIA]],CATEGORIAS[[#All],[CATEGORIA2]],Imputar[[#This Row],[Categoría]]),0)</f>
        <v>0</v>
      </c>
      <c r="I56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1">
        <f>+ROUND(SUMIFS(CATEGORIAS[[#All],[PROYECCION
TOTAL DE COSTO]],CATEGORIAS[[#All],[CATEGORIA2]],Imputar[[#This Row],[Categoría]]),0)
-Imputar[[#This Row],[Inventario]]
-Imputar[[#This Row],[Pedidos no Rec]]</f>
        <v>0</v>
      </c>
      <c r="K561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1">
        <f>_xlfn.IFNA(VLOOKUP(Imputar[[#This Row],[Categoría]],EIMI!C:T,8,0),0)</f>
        <v>0</v>
      </c>
      <c r="M561">
        <f>_xlfn.IFNA(VLOOKUP(Imputar[[#This Row],[Categoría]],EIMI!C:T,9,0),0)</f>
        <v>0</v>
      </c>
      <c r="N561">
        <f>_xlfn.IFNA(VLOOKUP(Imputar[[#This Row],[Categoría]],EIMI!C:T,10,0),0)</f>
        <v>0</v>
      </c>
    </row>
    <row r="562" spans="1:14" hidden="1" x14ac:dyDescent="0.25">
      <c r="A562" s="206" t="str">
        <f>Indice!$I$11</f>
        <v>EIMI00398</v>
      </c>
      <c r="B562" t="s">
        <v>1401</v>
      </c>
      <c r="C562" s="39">
        <f>Indice!$I$12</f>
        <v>46053</v>
      </c>
      <c r="E562">
        <f>ROUND(SUMIFS(CATEGORIAS[[#All],[TOTAL PRODUCCION
ACTUAL]],CATEGORIAS[[#All],[CATEGORIA2]],Imputar[[#This Row],[Categoría]]),0)</f>
        <v>0</v>
      </c>
      <c r="F562">
        <v>0</v>
      </c>
      <c r="G562">
        <f>ROUND(SUMIFS(CATEGORIAS[[#All],[PROYECCION
DE INGRESO
DEL SALDO]],CATEGORIAS[[#All],[CATEGORIA2]],Imputar[[#This Row],[Categoría]]),0)</f>
        <v>0</v>
      </c>
      <c r="H562">
        <f>ROUND(SUMIFS(CATEGORIAS[[#All],[CAMBIO DE
CATEGORIA]],CATEGORIAS[[#All],[CATEGORIA2]],Imputar[[#This Row],[Categoría]]),0)</f>
        <v>0</v>
      </c>
      <c r="I56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2">
        <f>+ROUND(SUMIFS(CATEGORIAS[[#All],[PROYECCION
TOTAL DE COSTO]],CATEGORIAS[[#All],[CATEGORIA2]],Imputar[[#This Row],[Categoría]]),0)
-Imputar[[#This Row],[Inventario]]
-Imputar[[#This Row],[Pedidos no Rec]]</f>
        <v>0</v>
      </c>
      <c r="K562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2">
        <f>_xlfn.IFNA(VLOOKUP(Imputar[[#This Row],[Categoría]],EIMI!C:T,8,0),0)</f>
        <v>0</v>
      </c>
      <c r="M562">
        <f>_xlfn.IFNA(VLOOKUP(Imputar[[#This Row],[Categoría]],EIMI!C:T,9,0),0)</f>
        <v>0</v>
      </c>
      <c r="N562">
        <f>_xlfn.IFNA(VLOOKUP(Imputar[[#This Row],[Categoría]],EIMI!C:T,10,0),0)</f>
        <v>0</v>
      </c>
    </row>
    <row r="563" spans="1:14" hidden="1" x14ac:dyDescent="0.25">
      <c r="A563" s="206" t="str">
        <f>Indice!$I$11</f>
        <v>EIMI00398</v>
      </c>
      <c r="B563" t="s">
        <v>1403</v>
      </c>
      <c r="C563" s="39">
        <f>Indice!$I$12</f>
        <v>46053</v>
      </c>
      <c r="E563">
        <f>ROUND(SUMIFS(CATEGORIAS[[#All],[TOTAL PRODUCCION
ACTUAL]],CATEGORIAS[[#All],[CATEGORIA2]],Imputar[[#This Row],[Categoría]]),0)</f>
        <v>0</v>
      </c>
      <c r="F563">
        <v>0</v>
      </c>
      <c r="G563">
        <f>ROUND(SUMIFS(CATEGORIAS[[#All],[PROYECCION
DE INGRESO
DEL SALDO]],CATEGORIAS[[#All],[CATEGORIA2]],Imputar[[#This Row],[Categoría]]),0)</f>
        <v>0</v>
      </c>
      <c r="H563">
        <f>ROUND(SUMIFS(CATEGORIAS[[#All],[CAMBIO DE
CATEGORIA]],CATEGORIAS[[#All],[CATEGORIA2]],Imputar[[#This Row],[Categoría]]),0)</f>
        <v>0</v>
      </c>
      <c r="I56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3">
        <f>+ROUND(SUMIFS(CATEGORIAS[[#All],[PROYECCION
TOTAL DE COSTO]],CATEGORIAS[[#All],[CATEGORIA2]],Imputar[[#This Row],[Categoría]]),0)
-Imputar[[#This Row],[Inventario]]
-Imputar[[#This Row],[Pedidos no Rec]]</f>
        <v>0</v>
      </c>
      <c r="K563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3">
        <f>_xlfn.IFNA(VLOOKUP(Imputar[[#This Row],[Categoría]],EIMI!C:T,8,0),0)</f>
        <v>0</v>
      </c>
      <c r="M563">
        <f>_xlfn.IFNA(VLOOKUP(Imputar[[#This Row],[Categoría]],EIMI!C:T,9,0),0)</f>
        <v>0</v>
      </c>
      <c r="N563">
        <f>_xlfn.IFNA(VLOOKUP(Imputar[[#This Row],[Categoría]],EIMI!C:T,10,0),0)</f>
        <v>0</v>
      </c>
    </row>
    <row r="564" spans="1:14" hidden="1" x14ac:dyDescent="0.25">
      <c r="A564" s="206" t="str">
        <f>Indice!$I$11</f>
        <v>EIMI00398</v>
      </c>
      <c r="B564" t="s">
        <v>1404</v>
      </c>
      <c r="C564" s="39">
        <f>Indice!$I$12</f>
        <v>46053</v>
      </c>
      <c r="E564">
        <f>ROUND(SUMIFS(CATEGORIAS[[#All],[TOTAL PRODUCCION
ACTUAL]],CATEGORIAS[[#All],[CATEGORIA2]],Imputar[[#This Row],[Categoría]]),0)</f>
        <v>0</v>
      </c>
      <c r="F564">
        <v>0</v>
      </c>
      <c r="G564">
        <f>ROUND(SUMIFS(CATEGORIAS[[#All],[PROYECCION
DE INGRESO
DEL SALDO]],CATEGORIAS[[#All],[CATEGORIA2]],Imputar[[#This Row],[Categoría]]),0)</f>
        <v>0</v>
      </c>
      <c r="H564">
        <f>ROUND(SUMIFS(CATEGORIAS[[#All],[CAMBIO DE
CATEGORIA]],CATEGORIAS[[#All],[CATEGORIA2]],Imputar[[#This Row],[Categoría]]),0)</f>
        <v>0</v>
      </c>
      <c r="I564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4">
        <f>+ROUND(SUMIFS(CATEGORIAS[[#All],[PROYECCION
TOTAL DE COSTO]],CATEGORIAS[[#All],[CATEGORIA2]],Imputar[[#This Row],[Categoría]]),0)
-Imputar[[#This Row],[Inventario]]
-Imputar[[#This Row],[Pedidos no Rec]]</f>
        <v>0</v>
      </c>
      <c r="K564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4">
        <f>_xlfn.IFNA(VLOOKUP(Imputar[[#This Row],[Categoría]],EIMI!C:T,8,0),0)</f>
        <v>0</v>
      </c>
      <c r="M564">
        <f>_xlfn.IFNA(VLOOKUP(Imputar[[#This Row],[Categoría]],EIMI!C:T,9,0),0)</f>
        <v>0</v>
      </c>
      <c r="N564">
        <f>_xlfn.IFNA(VLOOKUP(Imputar[[#This Row],[Categoría]],EIMI!C:T,10,0),0)</f>
        <v>0</v>
      </c>
    </row>
    <row r="565" spans="1:14" hidden="1" x14ac:dyDescent="0.25">
      <c r="A565" s="206" t="str">
        <f>Indice!$I$11</f>
        <v>EIMI00398</v>
      </c>
      <c r="B565" t="s">
        <v>1409</v>
      </c>
      <c r="C565" s="39">
        <f>Indice!$I$12</f>
        <v>46053</v>
      </c>
      <c r="E565">
        <f>ROUND(SUMIFS(CATEGORIAS[[#All],[TOTAL PRODUCCION
ACTUAL]],CATEGORIAS[[#All],[CATEGORIA2]],Imputar[[#This Row],[Categoría]]),0)</f>
        <v>0</v>
      </c>
      <c r="F565">
        <v>0</v>
      </c>
      <c r="G565">
        <f>ROUND(SUMIFS(CATEGORIAS[[#All],[PROYECCION
DE INGRESO
DEL SALDO]],CATEGORIAS[[#All],[CATEGORIA2]],Imputar[[#This Row],[Categoría]]),0)</f>
        <v>0</v>
      </c>
      <c r="H565">
        <f>ROUND(SUMIFS(CATEGORIAS[[#All],[CAMBIO DE
CATEGORIA]],CATEGORIAS[[#All],[CATEGORIA2]],Imputar[[#This Row],[Categoría]]),0)</f>
        <v>0</v>
      </c>
      <c r="I565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5">
        <f>+ROUND(SUMIFS(CATEGORIAS[[#All],[PROYECCION
TOTAL DE COSTO]],CATEGORIAS[[#All],[CATEGORIA2]],Imputar[[#This Row],[Categoría]]),0)
-Imputar[[#This Row],[Inventario]]
-Imputar[[#This Row],[Pedidos no Rec]]</f>
        <v>0</v>
      </c>
      <c r="K565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5">
        <f>_xlfn.IFNA(VLOOKUP(Imputar[[#This Row],[Categoría]],EIMI!C:T,8,0),0)</f>
        <v>0</v>
      </c>
      <c r="M565">
        <f>_xlfn.IFNA(VLOOKUP(Imputar[[#This Row],[Categoría]],EIMI!C:T,9,0),0)</f>
        <v>0</v>
      </c>
      <c r="N565">
        <f>_xlfn.IFNA(VLOOKUP(Imputar[[#This Row],[Categoría]],EIMI!C:T,10,0),0)</f>
        <v>0</v>
      </c>
    </row>
    <row r="566" spans="1:14" hidden="1" x14ac:dyDescent="0.25">
      <c r="A566" s="206" t="str">
        <f>Indice!$I$11</f>
        <v>EIMI00398</v>
      </c>
      <c r="B566" t="s">
        <v>1431</v>
      </c>
      <c r="C566" s="39">
        <f>Indice!$I$12</f>
        <v>46053</v>
      </c>
      <c r="E566">
        <f>ROUND(SUMIFS(CATEGORIAS[[#All],[TOTAL PRODUCCION
ACTUAL]],CATEGORIAS[[#All],[CATEGORIA2]],Imputar[[#This Row],[Categoría]]),0)</f>
        <v>0</v>
      </c>
      <c r="F566">
        <v>0</v>
      </c>
      <c r="G566">
        <f>ROUND(SUMIFS(CATEGORIAS[[#All],[PROYECCION
DE INGRESO
DEL SALDO]],CATEGORIAS[[#All],[CATEGORIA2]],Imputar[[#This Row],[Categoría]]),0)</f>
        <v>0</v>
      </c>
      <c r="H566">
        <f>ROUND(SUMIFS(CATEGORIAS[[#All],[CAMBIO DE
CATEGORIA]],CATEGORIAS[[#All],[CATEGORIA2]],Imputar[[#This Row],[Categoría]]),0)</f>
        <v>0</v>
      </c>
      <c r="I566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6">
        <f>+ROUND(SUMIFS(CATEGORIAS[[#All],[PROYECCION
TOTAL DE COSTO]],CATEGORIAS[[#All],[CATEGORIA2]],Imputar[[#This Row],[Categoría]]),0)
-Imputar[[#This Row],[Inventario]]
-Imputar[[#This Row],[Pedidos no Rec]]</f>
        <v>0</v>
      </c>
      <c r="K566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6">
        <f>_xlfn.IFNA(VLOOKUP(Imputar[[#This Row],[Categoría]],EIMI!C:T,8,0),0)</f>
        <v>0</v>
      </c>
      <c r="M566">
        <f>_xlfn.IFNA(VLOOKUP(Imputar[[#This Row],[Categoría]],EIMI!C:T,9,0),0)</f>
        <v>0</v>
      </c>
      <c r="N566">
        <f>_xlfn.IFNA(VLOOKUP(Imputar[[#This Row],[Categoría]],EIMI!C:T,10,0),0)</f>
        <v>0</v>
      </c>
    </row>
    <row r="567" spans="1:14" hidden="1" x14ac:dyDescent="0.25">
      <c r="A567" s="206" t="str">
        <f>Indice!$I$11</f>
        <v>EIMI00398</v>
      </c>
      <c r="B567" t="s">
        <v>1432</v>
      </c>
      <c r="C567" s="39">
        <f>Indice!$I$12</f>
        <v>46053</v>
      </c>
      <c r="E567">
        <f>ROUND(SUMIFS(CATEGORIAS[[#All],[TOTAL PRODUCCION
ACTUAL]],CATEGORIAS[[#All],[CATEGORIA2]],Imputar[[#This Row],[Categoría]]),0)</f>
        <v>0</v>
      </c>
      <c r="F567">
        <v>0</v>
      </c>
      <c r="G567">
        <f>ROUND(SUMIFS(CATEGORIAS[[#All],[PROYECCION
DE INGRESO
DEL SALDO]],CATEGORIAS[[#All],[CATEGORIA2]],Imputar[[#This Row],[Categoría]]),0)</f>
        <v>0</v>
      </c>
      <c r="H567">
        <f>ROUND(SUMIFS(CATEGORIAS[[#All],[CAMBIO DE
CATEGORIA]],CATEGORIAS[[#All],[CATEGORIA2]],Imputar[[#This Row],[Categoría]]),0)</f>
        <v>0</v>
      </c>
      <c r="I567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7">
        <f>+ROUND(SUMIFS(CATEGORIAS[[#All],[PROYECCION
TOTAL DE COSTO]],CATEGORIAS[[#All],[CATEGORIA2]],Imputar[[#This Row],[Categoría]]),0)
-Imputar[[#This Row],[Inventario]]
-Imputar[[#This Row],[Pedidos no Rec]]</f>
        <v>0</v>
      </c>
      <c r="K567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7">
        <f>_xlfn.IFNA(VLOOKUP(Imputar[[#This Row],[Categoría]],EIMI!C:T,8,0),0)</f>
        <v>0</v>
      </c>
      <c r="M567">
        <f>_xlfn.IFNA(VLOOKUP(Imputar[[#This Row],[Categoría]],EIMI!C:T,9,0),0)</f>
        <v>0</v>
      </c>
      <c r="N567">
        <f>_xlfn.IFNA(VLOOKUP(Imputar[[#This Row],[Categoría]],EIMI!C:T,10,0),0)</f>
        <v>0</v>
      </c>
    </row>
    <row r="568" spans="1:14" hidden="1" x14ac:dyDescent="0.25">
      <c r="A568" s="206" t="str">
        <f>Indice!$I$11</f>
        <v>EIMI00398</v>
      </c>
      <c r="B568" t="s">
        <v>1434</v>
      </c>
      <c r="C568" s="39">
        <f>Indice!$I$12</f>
        <v>46053</v>
      </c>
      <c r="E568">
        <f>ROUND(SUMIFS(CATEGORIAS[[#All],[TOTAL PRODUCCION
ACTUAL]],CATEGORIAS[[#All],[CATEGORIA2]],Imputar[[#This Row],[Categoría]]),0)</f>
        <v>0</v>
      </c>
      <c r="F568">
        <v>0</v>
      </c>
      <c r="G568">
        <f>ROUND(SUMIFS(CATEGORIAS[[#All],[PROYECCION
DE INGRESO
DEL SALDO]],CATEGORIAS[[#All],[CATEGORIA2]],Imputar[[#This Row],[Categoría]]),0)</f>
        <v>0</v>
      </c>
      <c r="H568">
        <f>ROUND(SUMIFS(CATEGORIAS[[#All],[CAMBIO DE
CATEGORIA]],CATEGORIAS[[#All],[CATEGORIA2]],Imputar[[#This Row],[Categoría]]),0)</f>
        <v>0</v>
      </c>
      <c r="I568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8">
        <f>+ROUND(SUMIFS(CATEGORIAS[[#All],[PROYECCION
TOTAL DE COSTO]],CATEGORIAS[[#All],[CATEGORIA2]],Imputar[[#This Row],[Categoría]]),0)
-Imputar[[#This Row],[Inventario]]
-Imputar[[#This Row],[Pedidos no Rec]]</f>
        <v>0</v>
      </c>
      <c r="K568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8">
        <f>_xlfn.IFNA(VLOOKUP(Imputar[[#This Row],[Categoría]],EIMI!C:T,8,0),0)</f>
        <v>0</v>
      </c>
      <c r="M568">
        <f>_xlfn.IFNA(VLOOKUP(Imputar[[#This Row],[Categoría]],EIMI!C:T,9,0),0)</f>
        <v>0</v>
      </c>
      <c r="N568">
        <f>_xlfn.IFNA(VLOOKUP(Imputar[[#This Row],[Categoría]],EIMI!C:T,10,0),0)</f>
        <v>0</v>
      </c>
    </row>
    <row r="569" spans="1:14" hidden="1" x14ac:dyDescent="0.25">
      <c r="A569" s="206" t="str">
        <f>Indice!$I$11</f>
        <v>EIMI00398</v>
      </c>
      <c r="B569" t="s">
        <v>1437</v>
      </c>
      <c r="C569" s="39">
        <f>Indice!$I$12</f>
        <v>46053</v>
      </c>
      <c r="E569">
        <f>ROUND(SUMIFS(CATEGORIAS[[#All],[TOTAL PRODUCCION
ACTUAL]],CATEGORIAS[[#All],[CATEGORIA2]],Imputar[[#This Row],[Categoría]]),0)</f>
        <v>0</v>
      </c>
      <c r="F569">
        <v>0</v>
      </c>
      <c r="G569">
        <f>ROUND(SUMIFS(CATEGORIAS[[#All],[PROYECCION
DE INGRESO
DEL SALDO]],CATEGORIAS[[#All],[CATEGORIA2]],Imputar[[#This Row],[Categoría]]),0)</f>
        <v>0</v>
      </c>
      <c r="H569">
        <f>ROUND(SUMIFS(CATEGORIAS[[#All],[CAMBIO DE
CATEGORIA]],CATEGORIAS[[#All],[CATEGORIA2]],Imputar[[#This Row],[Categoría]]),0)</f>
        <v>0</v>
      </c>
      <c r="I569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69">
        <f>+ROUND(SUMIFS(CATEGORIAS[[#All],[PROYECCION
TOTAL DE COSTO]],CATEGORIAS[[#All],[CATEGORIA2]],Imputar[[#This Row],[Categoría]]),0)
-Imputar[[#This Row],[Inventario]]
-Imputar[[#This Row],[Pedidos no Rec]]</f>
        <v>0</v>
      </c>
      <c r="K569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69">
        <f>_xlfn.IFNA(VLOOKUP(Imputar[[#This Row],[Categoría]],EIMI!C:T,8,0),0)</f>
        <v>0</v>
      </c>
      <c r="M569">
        <f>_xlfn.IFNA(VLOOKUP(Imputar[[#This Row],[Categoría]],EIMI!C:T,9,0),0)</f>
        <v>0</v>
      </c>
      <c r="N569">
        <f>_xlfn.IFNA(VLOOKUP(Imputar[[#This Row],[Categoría]],EIMI!C:T,10,0),0)</f>
        <v>0</v>
      </c>
    </row>
    <row r="570" spans="1:14" hidden="1" x14ac:dyDescent="0.25">
      <c r="A570" s="206" t="str">
        <f>Indice!$I$11</f>
        <v>EIMI00398</v>
      </c>
      <c r="B570" t="s">
        <v>1439</v>
      </c>
      <c r="C570" s="39">
        <f>Indice!$I$12</f>
        <v>46053</v>
      </c>
      <c r="E570">
        <f>ROUND(SUMIFS(CATEGORIAS[[#All],[TOTAL PRODUCCION
ACTUAL]],CATEGORIAS[[#All],[CATEGORIA2]],Imputar[[#This Row],[Categoría]]),0)</f>
        <v>0</v>
      </c>
      <c r="F570">
        <v>0</v>
      </c>
      <c r="G570">
        <f>ROUND(SUMIFS(CATEGORIAS[[#All],[PROYECCION
DE INGRESO
DEL SALDO]],CATEGORIAS[[#All],[CATEGORIA2]],Imputar[[#This Row],[Categoría]]),0)</f>
        <v>0</v>
      </c>
      <c r="H570">
        <f>ROUND(SUMIFS(CATEGORIAS[[#All],[CAMBIO DE
CATEGORIA]],CATEGORIAS[[#All],[CATEGORIA2]],Imputar[[#This Row],[Categoría]]),0)</f>
        <v>0</v>
      </c>
      <c r="I570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0</v>
      </c>
      <c r="J570">
        <f>+ROUND(SUMIFS(CATEGORIAS[[#All],[PROYECCION
TOTAL DE COSTO]],CATEGORIAS[[#All],[CATEGORIA2]],Imputar[[#This Row],[Categoría]]),0)
-Imputar[[#This Row],[Inventario]]
-Imputar[[#This Row],[Pedidos no Rec]]</f>
        <v>0</v>
      </c>
      <c r="K570" t="b">
        <f>AND(Imputar[[#This Row],[Produccion acumulada]]=0,Imputar[[#This Row],[Proyección Produccion]]=0,Imputar[[#This Row],[Costo Provisiones]]=0,Imputar[[#This Row],[Costos Proyección]]=0,Imputar[[#This Row],[Costos Cambio Categoría]]=0)</f>
        <v>1</v>
      </c>
      <c r="L570">
        <f>_xlfn.IFNA(VLOOKUP(Imputar[[#This Row],[Categoría]],EIMI!C:T,8,0),0)</f>
        <v>0</v>
      </c>
      <c r="M570">
        <f>_xlfn.IFNA(VLOOKUP(Imputar[[#This Row],[Categoría]],EIMI!C:T,9,0),0)</f>
        <v>0</v>
      </c>
      <c r="N570">
        <f>_xlfn.IFNA(VLOOKUP(Imputar[[#This Row],[Categoría]],EIMI!C:T,10,0),0)</f>
        <v>0</v>
      </c>
    </row>
    <row r="571" spans="1:14" x14ac:dyDescent="0.25">
      <c r="A571" s="206" t="str">
        <f>Indice!$I$11</f>
        <v>EIMI00398</v>
      </c>
      <c r="B571" t="s">
        <v>480</v>
      </c>
      <c r="C571" s="39">
        <f>Indice!$I$12</f>
        <v>46053</v>
      </c>
      <c r="E571">
        <f>ROUND(SUMIFS(CATEGORIAS[[#All],[TOTAL PRODUCCION
ACTUAL]],CATEGORIAS[[#All],[CATEGORIA2]],Imputar[[#This Row],[Categoría]]),0)</f>
        <v>0</v>
      </c>
      <c r="F571">
        <v>0</v>
      </c>
      <c r="G571">
        <f>ROUND(SUMIFS(CATEGORIAS[[#All],[PROYECCION
DE INGRESO
DEL SALDO]],CATEGORIAS[[#All],[CATEGORIA2]],Imputar[[#This Row],[Categoría]]),0)</f>
        <v>0</v>
      </c>
      <c r="H571">
        <f>ROUND(SUMIFS(CATEGORIAS[[#All],[CAMBIO DE
CATEGORIA]],CATEGORIAS[[#All],[CATEGORIA2]],Imputar[[#This Row],[Categoría]]),0)</f>
        <v>0</v>
      </c>
      <c r="I571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-647323</v>
      </c>
      <c r="J571">
        <f>+ROUND(SUMIFS(CATEGORIAS[[#All],[PROYECCION
TOTAL DE COSTO]],CATEGORIAS[[#All],[CATEGORIA2]],Imputar[[#This Row],[Categoría]]),0)
-Imputar[[#This Row],[Inventario]]
-Imputar[[#This Row],[Pedidos no Rec]]</f>
        <v>0</v>
      </c>
      <c r="K571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1">
        <f>_xlfn.IFNA(VLOOKUP(Imputar[[#This Row],[Categoría]],EIMI!C:T,8,0),0)</f>
        <v>647323</v>
      </c>
      <c r="M571">
        <f>_xlfn.IFNA(VLOOKUP(Imputar[[#This Row],[Categoría]],EIMI!C:T,9,0),0)</f>
        <v>0</v>
      </c>
      <c r="N571">
        <f>_xlfn.IFNA(VLOOKUP(Imputar[[#This Row],[Categoría]],EIMI!C:T,10,0),0)</f>
        <v>0</v>
      </c>
    </row>
    <row r="572" spans="1:14" x14ac:dyDescent="0.25">
      <c r="A572" s="206" t="str">
        <f>Indice!$I$11</f>
        <v>EIMI00398</v>
      </c>
      <c r="B572" t="s">
        <v>1400</v>
      </c>
      <c r="C572" s="39">
        <f>Indice!$I$12</f>
        <v>46053</v>
      </c>
      <c r="E572">
        <f>ROUND(SUMIFS(CATEGORIAS[[#All],[TOTAL PRODUCCION
ACTUAL]],CATEGORIAS[[#All],[CATEGORIA2]],Imputar[[#This Row],[Categoría]]),0)</f>
        <v>0</v>
      </c>
      <c r="F572">
        <v>0</v>
      </c>
      <c r="G572">
        <f>ROUND(SUMIFS(CATEGORIAS[[#All],[PROYECCION
DE INGRESO
DEL SALDO]],CATEGORIAS[[#All],[CATEGORIA2]],Imputar[[#This Row],[Categoría]]),0)</f>
        <v>0</v>
      </c>
      <c r="H572">
        <f>ROUND(SUMIFS(CATEGORIAS[[#All],[CAMBIO DE
CATEGORIA]],CATEGORIAS[[#All],[CATEGORIA2]],Imputar[[#This Row],[Categoría]]),0)</f>
        <v>0</v>
      </c>
      <c r="I572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-38214</v>
      </c>
      <c r="J572">
        <f>+ROUND(SUMIFS(CATEGORIAS[[#All],[PROYECCION
TOTAL DE COSTO]],CATEGORIAS[[#All],[CATEGORIA2]],Imputar[[#This Row],[Categoría]]),0)
-Imputar[[#This Row],[Inventario]]
-Imputar[[#This Row],[Pedidos no Rec]]</f>
        <v>0</v>
      </c>
      <c r="K572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2">
        <f>_xlfn.IFNA(VLOOKUP(Imputar[[#This Row],[Categoría]],EIMI!C:T,8,0),0)</f>
        <v>38214</v>
      </c>
      <c r="M572">
        <f>_xlfn.IFNA(VLOOKUP(Imputar[[#This Row],[Categoría]],EIMI!C:T,9,0),0)</f>
        <v>0</v>
      </c>
      <c r="N572">
        <f>_xlfn.IFNA(VLOOKUP(Imputar[[#This Row],[Categoría]],EIMI!C:T,10,0),0)</f>
        <v>0</v>
      </c>
    </row>
    <row r="573" spans="1:14" x14ac:dyDescent="0.25">
      <c r="A573" s="206" t="str">
        <f>Indice!$I$11</f>
        <v>EIMI00398</v>
      </c>
      <c r="B573" t="s">
        <v>1447</v>
      </c>
      <c r="C573" s="39">
        <f>Indice!$I$12</f>
        <v>46053</v>
      </c>
      <c r="E573">
        <f>ROUND(SUMIFS(CATEGORIAS[[#All],[TOTAL PRODUCCION
ACTUAL]],CATEGORIAS[[#All],[CATEGORIA2]],Imputar[[#This Row],[Categoría]]),0)</f>
        <v>0</v>
      </c>
      <c r="F573">
        <v>0</v>
      </c>
      <c r="G573">
        <f>ROUND(SUMIFS(CATEGORIAS[[#All],[PROYECCION
DE INGRESO
DEL SALDO]],CATEGORIAS[[#All],[CATEGORIA2]],Imputar[[#This Row],[Categoría]]),0)</f>
        <v>0</v>
      </c>
      <c r="H573">
        <f>ROUND(SUMIFS(CATEGORIAS[[#All],[CAMBIO DE
CATEGORIA]],CATEGORIAS[[#All],[CATEGORIA2]],Imputar[[#This Row],[Categoría]]),0)</f>
        <v>0</v>
      </c>
      <c r="I573">
        <f xml:space="preserve">
+ROUND(SUMIFS(CATEGORIAS[[#All],[PROVISIONES]],CATEGORIAS[[#All],[CATEGORIA2]],Imputar[[#This Row],[Categoría]]),0)
-_xlfn.IFNA(VLOOKUP(Imputar[[#This Row],[Categoría]],EIMI!C:P,8,0),0)
+_xlfn.IFNA(VLOOKUP(Imputar[[#This Row],[Categoría]],'Analisis por Categorias'!D:AF,14,0),0)</f>
        <v>-33788645</v>
      </c>
      <c r="J573">
        <f>+ROUND(SUMIFS(CATEGORIAS[[#All],[PROYECCION
TOTAL DE COSTO]],CATEGORIAS[[#All],[CATEGORIA2]],Imputar[[#This Row],[Categoría]]),0)
-Imputar[[#This Row],[Inventario]]
-Imputar[[#This Row],[Pedidos no Rec]]</f>
        <v>0</v>
      </c>
      <c r="K573" t="b">
        <f>AND(Imputar[[#This Row],[Produccion acumulada]]=0,Imputar[[#This Row],[Proyección Produccion]]=0,Imputar[[#This Row],[Costo Provisiones]]=0,Imputar[[#This Row],[Costos Proyección]]=0,Imputar[[#This Row],[Costos Cambio Categoría]]=0)</f>
        <v>0</v>
      </c>
      <c r="L573">
        <f>_xlfn.IFNA(VLOOKUP(Imputar[[#This Row],[Categoría]],EIMI!C:T,8,0),0)</f>
        <v>33788645</v>
      </c>
      <c r="M573">
        <f>_xlfn.IFNA(VLOOKUP(Imputar[[#This Row],[Categoría]],EIMI!C:T,9,0),0)</f>
        <v>0</v>
      </c>
      <c r="N573">
        <f>_xlfn.IFNA(VLOOKUP(Imputar[[#This Row],[Categoría]],EIMI!C:T,10,0),0)</f>
        <v>0</v>
      </c>
    </row>
  </sheetData>
  <sheetProtection algorithmName="SHA-512" hashValue="WkL8LmRNkcXTzmNZYnfPg5cw5xk5yzKrG+e7y1qnZgXx6elhrxMsscvIRh2et7DBoYosm4Z2TAfNmmFJMrzaDQ==" saltValue="IOUEysQS/Sxst37G2Bn/FQ==" spinCount="100000" sheet="1" objects="1" scenarios="1" selectLockedCells="1" autoFilter="0" selectUnlockedCells="1"/>
  <phoneticPr fontId="35" type="noConversion"/>
  <conditionalFormatting sqref="B1 B513:B573 B575:B1048576">
    <cfRule type="duplicateValues" dxfId="8" priority="5"/>
  </conditionalFormatting>
  <conditionalFormatting sqref="B1:B573 B575:B1048576">
    <cfRule type="duplicateValues" dxfId="7" priority="1"/>
    <cfRule type="duplicateValues" dxfId="6" priority="2"/>
    <cfRule type="duplicateValues" dxfId="5" priority="3"/>
  </conditionalFormatting>
  <conditionalFormatting sqref="B2:B573">
    <cfRule type="duplicateValues" dxfId="4" priority="7"/>
  </conditionalFormatting>
  <pageMargins left="0.7" right="0.7" top="0.75" bottom="0.75" header="0.3" footer="0.3"/>
  <pageSetup scale="37" fitToHeight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outlinePr summaryBelow="0" summaryRight="0"/>
  </sheetPr>
  <dimension ref="A1:T600"/>
  <sheetViews>
    <sheetView showGridLines="0" workbookViewId="0">
      <selection activeCell="P1" sqref="P1"/>
    </sheetView>
  </sheetViews>
  <sheetFormatPr baseColWidth="10" defaultColWidth="11.42578125" defaultRowHeight="15" outlineLevelRow="3" outlineLevelCol="1" x14ac:dyDescent="0.25"/>
  <cols>
    <col min="1" max="1" width="0.28515625" style="208" customWidth="1"/>
    <col min="2" max="2" width="36.28515625" style="208" customWidth="1"/>
    <col min="3" max="3" width="18.5703125" style="208" customWidth="1"/>
    <col min="4" max="4" width="12.28515625" style="208" customWidth="1"/>
    <col min="5" max="5" width="1.42578125" style="208" customWidth="1"/>
    <col min="6" max="6" width="12.28515625" style="208" customWidth="1"/>
    <col min="7" max="8" width="13.7109375" style="208" customWidth="1"/>
    <col min="9" max="9" width="1.42578125" style="208" customWidth="1"/>
    <col min="10" max="10" width="12.28515625" style="208" customWidth="1" collapsed="1"/>
    <col min="11" max="11" width="13.7109375" style="208" hidden="1" customWidth="1" outlineLevel="1" collapsed="1"/>
    <col min="12" max="12" width="5.7109375" style="208" hidden="1" customWidth="1" outlineLevel="1" collapsed="1"/>
    <col min="13" max="13" width="7.7109375" style="208" hidden="1" customWidth="1" outlineLevel="1" collapsed="1"/>
    <col min="14" max="14" width="13.7109375" style="208" hidden="1" customWidth="1" outlineLevel="1" collapsed="1"/>
    <col min="15" max="16" width="13.7109375" style="208" customWidth="1"/>
    <col min="17" max="17" width="1.42578125" style="208" customWidth="1"/>
    <col min="18" max="20" width="13.7109375" style="208" customWidth="1"/>
    <col min="21" max="21" width="0" style="208" hidden="1" customWidth="1"/>
    <col min="22" max="22" width="229.7109375" style="208" customWidth="1"/>
    <col min="23" max="16384" width="11.42578125" style="208"/>
  </cols>
  <sheetData>
    <row r="1" spans="1:20" ht="52.9" customHeight="1" x14ac:dyDescent="0.25">
      <c r="A1" s="14"/>
      <c r="B1" s="391" t="s">
        <v>1469</v>
      </c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14"/>
      <c r="N1" s="14"/>
      <c r="O1" s="14"/>
      <c r="P1" s="14"/>
      <c r="Q1" s="14"/>
      <c r="R1" s="14"/>
      <c r="S1" s="14"/>
      <c r="T1" s="14"/>
    </row>
    <row r="2" spans="1:20" ht="4.9000000000000004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380" t="s">
        <v>86</v>
      </c>
      <c r="B3" s="342"/>
      <c r="C3" s="266" t="s">
        <v>86</v>
      </c>
      <c r="D3" s="80" t="s">
        <v>86</v>
      </c>
      <c r="E3" s="266" t="s">
        <v>86</v>
      </c>
      <c r="F3" s="340" t="s">
        <v>178</v>
      </c>
      <c r="G3" s="341"/>
      <c r="H3" s="342"/>
      <c r="I3" s="266" t="s">
        <v>86</v>
      </c>
      <c r="J3" s="378" t="s">
        <v>267</v>
      </c>
      <c r="K3" s="341"/>
      <c r="L3" s="341"/>
      <c r="M3" s="341"/>
      <c r="N3" s="341"/>
      <c r="O3" s="341"/>
      <c r="P3" s="342"/>
      <c r="Q3" s="267" t="s">
        <v>86</v>
      </c>
      <c r="R3" s="380" t="s">
        <v>268</v>
      </c>
      <c r="S3" s="341"/>
      <c r="T3" s="342"/>
    </row>
    <row r="4" spans="1:20" ht="38.25" x14ac:dyDescent="0.25">
      <c r="A4" s="393" t="s">
        <v>1470</v>
      </c>
      <c r="B4" s="342"/>
      <c r="C4" s="269" t="s">
        <v>86</v>
      </c>
      <c r="D4" s="268" t="s">
        <v>1471</v>
      </c>
      <c r="E4" s="269" t="s">
        <v>86</v>
      </c>
      <c r="F4" s="270" t="s">
        <v>1472</v>
      </c>
      <c r="G4" s="270" t="s">
        <v>268</v>
      </c>
      <c r="H4" s="270" t="s">
        <v>1473</v>
      </c>
      <c r="I4" s="269" t="s">
        <v>86</v>
      </c>
      <c r="J4" s="271" t="s">
        <v>365</v>
      </c>
      <c r="K4" s="272" t="s">
        <v>1474</v>
      </c>
      <c r="L4" s="394" t="s">
        <v>1475</v>
      </c>
      <c r="M4" s="342"/>
      <c r="N4" s="272" t="s">
        <v>1476</v>
      </c>
      <c r="O4" s="271" t="s">
        <v>268</v>
      </c>
      <c r="P4" s="271" t="s">
        <v>162</v>
      </c>
      <c r="Q4" s="273" t="s">
        <v>86</v>
      </c>
      <c r="R4" s="270" t="s">
        <v>1477</v>
      </c>
      <c r="S4" s="271" t="s">
        <v>267</v>
      </c>
      <c r="T4" s="268" t="s">
        <v>1478</v>
      </c>
    </row>
    <row r="5" spans="1:20" x14ac:dyDescent="0.25">
      <c r="A5" s="389" t="s">
        <v>1479</v>
      </c>
      <c r="B5" s="342"/>
      <c r="C5" s="274" t="s">
        <v>86</v>
      </c>
      <c r="D5" s="1">
        <v>0</v>
      </c>
      <c r="E5" s="274" t="s">
        <v>86</v>
      </c>
      <c r="F5" s="12">
        <v>0</v>
      </c>
      <c r="G5" s="12">
        <v>0</v>
      </c>
      <c r="H5" s="12">
        <v>0</v>
      </c>
      <c r="I5" s="274" t="s">
        <v>86</v>
      </c>
      <c r="J5" s="11">
        <v>35182544</v>
      </c>
      <c r="K5" s="11">
        <v>6515702</v>
      </c>
      <c r="L5" s="390">
        <v>0</v>
      </c>
      <c r="M5" s="342"/>
      <c r="N5" s="11">
        <v>0</v>
      </c>
      <c r="O5" s="11">
        <v>6515702</v>
      </c>
      <c r="P5" s="11">
        <v>41698246</v>
      </c>
      <c r="Q5" s="242" t="s">
        <v>86</v>
      </c>
      <c r="R5" s="12">
        <v>0</v>
      </c>
      <c r="S5" s="11">
        <v>41698246</v>
      </c>
      <c r="T5" s="2">
        <v>-41698246</v>
      </c>
    </row>
    <row r="6" spans="1:20" outlineLevel="1" x14ac:dyDescent="0.25">
      <c r="A6" s="387" t="s">
        <v>1480</v>
      </c>
      <c r="B6" s="342"/>
      <c r="C6" s="195" t="str">
        <f>IF(MID(A6,6,1)="      - ","-",
IF(A6="     0 - Categoría NULA",0,MID(A6,6,10)))</f>
        <v/>
      </c>
      <c r="D6" s="196">
        <v>0</v>
      </c>
      <c r="E6" s="195" t="s">
        <v>86</v>
      </c>
      <c r="F6" s="197">
        <v>0</v>
      </c>
      <c r="G6" s="197">
        <v>0</v>
      </c>
      <c r="H6" s="197">
        <v>0</v>
      </c>
      <c r="I6" s="195" t="s">
        <v>86</v>
      </c>
      <c r="J6" s="209">
        <v>35182544</v>
      </c>
      <c r="K6" s="209">
        <v>6515702</v>
      </c>
      <c r="L6" s="388">
        <v>0</v>
      </c>
      <c r="M6" s="342"/>
      <c r="N6" s="209">
        <v>0</v>
      </c>
      <c r="O6" s="209">
        <v>6515702</v>
      </c>
      <c r="P6" s="209">
        <v>41698246</v>
      </c>
      <c r="Q6" s="198" t="s">
        <v>86</v>
      </c>
      <c r="R6" s="197">
        <v>0</v>
      </c>
      <c r="S6" s="209">
        <v>41698246</v>
      </c>
      <c r="T6" s="199">
        <v>-41698246</v>
      </c>
    </row>
    <row r="7" spans="1:20" outlineLevel="2" x14ac:dyDescent="0.25">
      <c r="A7" s="385" t="s">
        <v>1480</v>
      </c>
      <c r="B7" s="342"/>
      <c r="C7" s="195" t="str">
        <f t="shared" ref="C7:C70" si="0">IF(MID(A7,6,1)="      - ","-",
IF(A7="     0 - Categoría NULA",0,MID(A7,6,10)))</f>
        <v/>
      </c>
      <c r="D7" s="3">
        <v>0</v>
      </c>
      <c r="E7" s="275" t="s">
        <v>86</v>
      </c>
      <c r="F7" s="71">
        <v>0</v>
      </c>
      <c r="G7" s="71">
        <v>0</v>
      </c>
      <c r="H7" s="71">
        <v>0</v>
      </c>
      <c r="I7" s="275" t="s">
        <v>86</v>
      </c>
      <c r="J7" s="71">
        <v>35182544</v>
      </c>
      <c r="K7" s="71">
        <v>6515702</v>
      </c>
      <c r="L7" s="386">
        <v>0</v>
      </c>
      <c r="M7" s="342"/>
      <c r="N7" s="71">
        <v>0</v>
      </c>
      <c r="O7" s="71">
        <v>6515702</v>
      </c>
      <c r="P7" s="71">
        <v>41698246</v>
      </c>
      <c r="Q7" s="276" t="s">
        <v>86</v>
      </c>
      <c r="R7" s="71">
        <v>0</v>
      </c>
      <c r="S7" s="71">
        <v>41698246</v>
      </c>
      <c r="T7" s="71">
        <v>-41698246</v>
      </c>
    </row>
    <row r="8" spans="1:20" outlineLevel="3" collapsed="1" x14ac:dyDescent="0.25">
      <c r="A8" s="381" t="s">
        <v>1481</v>
      </c>
      <c r="B8" s="342"/>
      <c r="C8" s="195" t="s">
        <v>377</v>
      </c>
      <c r="D8" s="200">
        <v>0</v>
      </c>
      <c r="E8" s="201" t="s">
        <v>86</v>
      </c>
      <c r="F8" s="202">
        <v>0</v>
      </c>
      <c r="G8" s="203">
        <v>0</v>
      </c>
      <c r="H8" s="202">
        <v>0</v>
      </c>
      <c r="I8" s="201" t="s">
        <v>86</v>
      </c>
      <c r="J8" s="202">
        <v>0</v>
      </c>
      <c r="K8" s="204">
        <v>1015681</v>
      </c>
      <c r="L8" s="382">
        <v>0</v>
      </c>
      <c r="M8" s="342"/>
      <c r="N8" s="202">
        <v>0</v>
      </c>
      <c r="O8" s="202">
        <v>1015681</v>
      </c>
      <c r="P8" s="202">
        <v>1015681</v>
      </c>
      <c r="Q8" s="207" t="s">
        <v>86</v>
      </c>
      <c r="R8" s="202">
        <v>0</v>
      </c>
      <c r="S8" s="202">
        <v>1015681</v>
      </c>
      <c r="T8" s="202">
        <v>-1015681</v>
      </c>
    </row>
    <row r="9" spans="1:20" outlineLevel="3" collapsed="1" x14ac:dyDescent="0.25">
      <c r="A9" s="381" t="s">
        <v>1482</v>
      </c>
      <c r="B9" s="342"/>
      <c r="C9" s="195">
        <f t="shared" si="0"/>
        <v>0</v>
      </c>
      <c r="D9" s="200">
        <v>0</v>
      </c>
      <c r="E9" s="201" t="s">
        <v>86</v>
      </c>
      <c r="F9" s="202">
        <v>0</v>
      </c>
      <c r="G9" s="203">
        <v>0</v>
      </c>
      <c r="H9" s="202">
        <v>0</v>
      </c>
      <c r="I9" s="201" t="s">
        <v>86</v>
      </c>
      <c r="J9" s="202">
        <v>0</v>
      </c>
      <c r="K9" s="204">
        <v>5500021</v>
      </c>
      <c r="L9" s="382">
        <v>0</v>
      </c>
      <c r="M9" s="342"/>
      <c r="N9" s="202">
        <v>0</v>
      </c>
      <c r="O9" s="202">
        <v>5500021</v>
      </c>
      <c r="P9" s="202">
        <v>5500021</v>
      </c>
      <c r="Q9" s="207" t="s">
        <v>86</v>
      </c>
      <c r="R9" s="202">
        <v>0</v>
      </c>
      <c r="S9" s="202">
        <v>5500021</v>
      </c>
      <c r="T9" s="202">
        <v>-5500021</v>
      </c>
    </row>
    <row r="10" spans="1:20" outlineLevel="3" collapsed="1" x14ac:dyDescent="0.25">
      <c r="A10" s="381" t="s">
        <v>1483</v>
      </c>
      <c r="B10" s="342"/>
      <c r="C10" s="195" t="str">
        <f t="shared" si="0"/>
        <v>11-110100G</v>
      </c>
      <c r="D10" s="200">
        <v>0</v>
      </c>
      <c r="E10" s="201" t="s">
        <v>86</v>
      </c>
      <c r="F10" s="202">
        <v>0</v>
      </c>
      <c r="G10" s="203">
        <v>0</v>
      </c>
      <c r="H10" s="202">
        <v>0</v>
      </c>
      <c r="I10" s="201" t="s">
        <v>86</v>
      </c>
      <c r="J10" s="202">
        <v>1393899</v>
      </c>
      <c r="K10" s="204">
        <v>0</v>
      </c>
      <c r="L10" s="382">
        <v>0</v>
      </c>
      <c r="M10" s="342"/>
      <c r="N10" s="202">
        <v>0</v>
      </c>
      <c r="O10" s="202">
        <v>0</v>
      </c>
      <c r="P10" s="202">
        <v>1393899</v>
      </c>
      <c r="Q10" s="207" t="s">
        <v>86</v>
      </c>
      <c r="R10" s="202">
        <v>0</v>
      </c>
      <c r="S10" s="202">
        <v>1393899</v>
      </c>
      <c r="T10" s="202">
        <v>-1393899</v>
      </c>
    </row>
    <row r="11" spans="1:20" outlineLevel="3" collapsed="1" x14ac:dyDescent="0.25">
      <c r="A11" s="381" t="s">
        <v>1484</v>
      </c>
      <c r="B11" s="342"/>
      <c r="C11" s="195" t="str">
        <f t="shared" si="0"/>
        <v>72-105600G</v>
      </c>
      <c r="D11" s="200">
        <v>0</v>
      </c>
      <c r="E11" s="201" t="s">
        <v>86</v>
      </c>
      <c r="F11" s="202">
        <v>0</v>
      </c>
      <c r="G11" s="203">
        <v>0</v>
      </c>
      <c r="H11" s="202">
        <v>0</v>
      </c>
      <c r="I11" s="201" t="s">
        <v>86</v>
      </c>
      <c r="J11" s="202">
        <v>0</v>
      </c>
      <c r="K11" s="204">
        <v>0</v>
      </c>
      <c r="L11" s="382">
        <v>0</v>
      </c>
      <c r="M11" s="342"/>
      <c r="N11" s="202">
        <v>0</v>
      </c>
      <c r="O11" s="202">
        <v>0</v>
      </c>
      <c r="P11" s="202">
        <v>0</v>
      </c>
      <c r="Q11" s="207" t="s">
        <v>86</v>
      </c>
      <c r="R11" s="202">
        <v>0</v>
      </c>
      <c r="S11" s="202">
        <v>0</v>
      </c>
      <c r="T11" s="202">
        <v>0</v>
      </c>
    </row>
    <row r="12" spans="1:20" outlineLevel="3" collapsed="1" x14ac:dyDescent="0.25">
      <c r="A12" s="381" t="s">
        <v>1485</v>
      </c>
      <c r="B12" s="342"/>
      <c r="C12" s="195" t="str">
        <f t="shared" si="0"/>
        <v>AA-799999G</v>
      </c>
      <c r="D12" s="200">
        <v>0</v>
      </c>
      <c r="E12" s="201" t="s">
        <v>86</v>
      </c>
      <c r="F12" s="202">
        <v>0</v>
      </c>
      <c r="G12" s="203">
        <v>0</v>
      </c>
      <c r="H12" s="202">
        <v>0</v>
      </c>
      <c r="I12" s="201" t="s">
        <v>86</v>
      </c>
      <c r="J12" s="202">
        <v>33788645</v>
      </c>
      <c r="K12" s="204">
        <v>0</v>
      </c>
      <c r="L12" s="382">
        <v>0</v>
      </c>
      <c r="M12" s="342"/>
      <c r="N12" s="202">
        <v>0</v>
      </c>
      <c r="O12" s="202">
        <v>0</v>
      </c>
      <c r="P12" s="202">
        <v>33788645</v>
      </c>
      <c r="Q12" s="207" t="s">
        <v>86</v>
      </c>
      <c r="R12" s="202">
        <v>0</v>
      </c>
      <c r="S12" s="202">
        <v>33788645</v>
      </c>
      <c r="T12" s="202">
        <v>-33788645</v>
      </c>
    </row>
    <row r="13" spans="1:20" x14ac:dyDescent="0.25">
      <c r="A13" s="389" t="s">
        <v>1486</v>
      </c>
      <c r="B13" s="342"/>
      <c r="C13" s="195" t="str">
        <f t="shared" si="0"/>
        <v xml:space="preserve"> DIRECTO</v>
      </c>
      <c r="D13" s="1">
        <v>47533502234</v>
      </c>
      <c r="E13" s="274" t="s">
        <v>86</v>
      </c>
      <c r="F13" s="12">
        <v>178673515</v>
      </c>
      <c r="G13" s="12">
        <v>47538008023</v>
      </c>
      <c r="H13" s="12">
        <v>47716681538</v>
      </c>
      <c r="I13" s="274" t="s">
        <v>86</v>
      </c>
      <c r="J13" s="11">
        <v>222164993</v>
      </c>
      <c r="K13" s="11">
        <v>292637468</v>
      </c>
      <c r="L13" s="390">
        <v>23550364</v>
      </c>
      <c r="M13" s="342"/>
      <c r="N13" s="11">
        <v>0</v>
      </c>
      <c r="O13" s="11">
        <v>316187832</v>
      </c>
      <c r="P13" s="11">
        <v>538352825</v>
      </c>
      <c r="Q13" s="242" t="s">
        <v>86</v>
      </c>
      <c r="R13" s="12">
        <v>47716681538</v>
      </c>
      <c r="S13" s="11">
        <v>538352825</v>
      </c>
      <c r="T13" s="2">
        <v>47178328713</v>
      </c>
    </row>
    <row r="14" spans="1:20" outlineLevel="1" x14ac:dyDescent="0.25">
      <c r="A14" s="387" t="s">
        <v>185</v>
      </c>
      <c r="B14" s="342"/>
      <c r="C14" s="195" t="str">
        <f t="shared" si="0"/>
        <v>ANO DE OBR</v>
      </c>
      <c r="D14" s="196">
        <v>14667558849</v>
      </c>
      <c r="E14" s="195" t="s">
        <v>86</v>
      </c>
      <c r="F14" s="197">
        <v>0</v>
      </c>
      <c r="G14" s="197">
        <v>14667558849</v>
      </c>
      <c r="H14" s="197">
        <v>14667558849</v>
      </c>
      <c r="I14" s="195" t="s">
        <v>86</v>
      </c>
      <c r="J14" s="209">
        <v>1701941</v>
      </c>
      <c r="K14" s="209">
        <v>0</v>
      </c>
      <c r="L14" s="388">
        <v>0</v>
      </c>
      <c r="M14" s="342"/>
      <c r="N14" s="209">
        <v>0</v>
      </c>
      <c r="O14" s="209">
        <v>0</v>
      </c>
      <c r="P14" s="209">
        <v>1701941</v>
      </c>
      <c r="Q14" s="198" t="s">
        <v>86</v>
      </c>
      <c r="R14" s="197">
        <v>14667558849</v>
      </c>
      <c r="S14" s="209">
        <v>1701941</v>
      </c>
      <c r="T14" s="199">
        <v>14665856908</v>
      </c>
    </row>
    <row r="15" spans="1:20" outlineLevel="2" x14ac:dyDescent="0.25">
      <c r="A15" s="385" t="s">
        <v>25</v>
      </c>
      <c r="B15" s="342"/>
      <c r="C15" s="195" t="str">
        <f t="shared" si="0"/>
        <v>Obras Civi</v>
      </c>
      <c r="D15" s="3">
        <v>4809475244</v>
      </c>
      <c r="E15" s="275" t="s">
        <v>86</v>
      </c>
      <c r="F15" s="71">
        <v>0</v>
      </c>
      <c r="G15" s="71">
        <v>4809475244</v>
      </c>
      <c r="H15" s="71">
        <v>4809475244</v>
      </c>
      <c r="I15" s="275" t="s">
        <v>86</v>
      </c>
      <c r="J15" s="71">
        <v>1258899</v>
      </c>
      <c r="K15" s="71">
        <v>0</v>
      </c>
      <c r="L15" s="386">
        <v>0</v>
      </c>
      <c r="M15" s="342"/>
      <c r="N15" s="71">
        <v>0</v>
      </c>
      <c r="O15" s="71">
        <v>0</v>
      </c>
      <c r="P15" s="71">
        <v>1258899</v>
      </c>
      <c r="Q15" s="276" t="s">
        <v>86</v>
      </c>
      <c r="R15" s="71">
        <v>4809475244</v>
      </c>
      <c r="S15" s="71">
        <v>1258899</v>
      </c>
      <c r="T15" s="71">
        <v>4808216345</v>
      </c>
    </row>
    <row r="16" spans="1:20" outlineLevel="3" collapsed="1" x14ac:dyDescent="0.25">
      <c r="A16" s="381" t="s">
        <v>1487</v>
      </c>
      <c r="B16" s="342"/>
      <c r="C16" s="195" t="str">
        <f t="shared" si="0"/>
        <v>11-010100G</v>
      </c>
      <c r="D16" s="200">
        <v>742533580</v>
      </c>
      <c r="E16" s="201" t="s">
        <v>86</v>
      </c>
      <c r="F16" s="202">
        <v>0</v>
      </c>
      <c r="G16" s="203">
        <v>742533580</v>
      </c>
      <c r="H16" s="202">
        <v>742533580</v>
      </c>
      <c r="I16" s="201" t="s">
        <v>86</v>
      </c>
      <c r="J16" s="202">
        <v>0</v>
      </c>
      <c r="K16" s="204">
        <v>0</v>
      </c>
      <c r="L16" s="382">
        <v>0</v>
      </c>
      <c r="M16" s="342"/>
      <c r="N16" s="202">
        <v>0</v>
      </c>
      <c r="O16" s="202">
        <v>0</v>
      </c>
      <c r="P16" s="202">
        <v>0</v>
      </c>
      <c r="Q16" s="207" t="s">
        <v>86</v>
      </c>
      <c r="R16" s="202">
        <v>742533580</v>
      </c>
      <c r="S16" s="202">
        <v>0</v>
      </c>
      <c r="T16" s="202">
        <v>742533580</v>
      </c>
    </row>
    <row r="17" spans="1:20" outlineLevel="3" collapsed="1" x14ac:dyDescent="0.25">
      <c r="A17" s="381" t="s">
        <v>1488</v>
      </c>
      <c r="B17" s="342"/>
      <c r="C17" s="195" t="str">
        <f t="shared" si="0"/>
        <v>11-010200G</v>
      </c>
      <c r="D17" s="200">
        <v>734299654</v>
      </c>
      <c r="E17" s="201" t="s">
        <v>86</v>
      </c>
      <c r="F17" s="202">
        <v>0</v>
      </c>
      <c r="G17" s="203">
        <v>734299654</v>
      </c>
      <c r="H17" s="202">
        <v>734299654</v>
      </c>
      <c r="I17" s="201" t="s">
        <v>86</v>
      </c>
      <c r="J17" s="202">
        <v>0</v>
      </c>
      <c r="K17" s="204">
        <v>0</v>
      </c>
      <c r="L17" s="382">
        <v>0</v>
      </c>
      <c r="M17" s="342"/>
      <c r="N17" s="202">
        <v>0</v>
      </c>
      <c r="O17" s="202">
        <v>0</v>
      </c>
      <c r="P17" s="202">
        <v>0</v>
      </c>
      <c r="Q17" s="207" t="s">
        <v>86</v>
      </c>
      <c r="R17" s="202">
        <v>734299654</v>
      </c>
      <c r="S17" s="202">
        <v>0</v>
      </c>
      <c r="T17" s="202">
        <v>734299654</v>
      </c>
    </row>
    <row r="18" spans="1:20" outlineLevel="3" collapsed="1" x14ac:dyDescent="0.25">
      <c r="A18" s="381" t="s">
        <v>1489</v>
      </c>
      <c r="B18" s="342"/>
      <c r="C18" s="195" t="str">
        <f t="shared" si="0"/>
        <v>11-010300G</v>
      </c>
      <c r="D18" s="200">
        <v>783893645</v>
      </c>
      <c r="E18" s="201" t="s">
        <v>86</v>
      </c>
      <c r="F18" s="202">
        <v>0</v>
      </c>
      <c r="G18" s="203">
        <v>783893645</v>
      </c>
      <c r="H18" s="202">
        <v>783893645</v>
      </c>
      <c r="I18" s="201" t="s">
        <v>86</v>
      </c>
      <c r="J18" s="202">
        <v>0</v>
      </c>
      <c r="K18" s="204">
        <v>0</v>
      </c>
      <c r="L18" s="382">
        <v>0</v>
      </c>
      <c r="M18" s="342"/>
      <c r="N18" s="202">
        <v>0</v>
      </c>
      <c r="O18" s="202">
        <v>0</v>
      </c>
      <c r="P18" s="202">
        <v>0</v>
      </c>
      <c r="Q18" s="207" t="s">
        <v>86</v>
      </c>
      <c r="R18" s="202">
        <v>783893645</v>
      </c>
      <c r="S18" s="202">
        <v>0</v>
      </c>
      <c r="T18" s="202">
        <v>783893645</v>
      </c>
    </row>
    <row r="19" spans="1:20" outlineLevel="3" collapsed="1" x14ac:dyDescent="0.25">
      <c r="A19" s="381" t="s">
        <v>1490</v>
      </c>
      <c r="B19" s="342"/>
      <c r="C19" s="195" t="str">
        <f t="shared" si="0"/>
        <v>11-010400G</v>
      </c>
      <c r="D19" s="200">
        <v>858861585</v>
      </c>
      <c r="E19" s="201" t="s">
        <v>86</v>
      </c>
      <c r="F19" s="202">
        <v>0</v>
      </c>
      <c r="G19" s="203">
        <v>858861585</v>
      </c>
      <c r="H19" s="202">
        <v>858861585</v>
      </c>
      <c r="I19" s="201" t="s">
        <v>86</v>
      </c>
      <c r="J19" s="202">
        <v>0</v>
      </c>
      <c r="K19" s="204">
        <v>0</v>
      </c>
      <c r="L19" s="382">
        <v>0</v>
      </c>
      <c r="M19" s="342"/>
      <c r="N19" s="202">
        <v>0</v>
      </c>
      <c r="O19" s="202">
        <v>0</v>
      </c>
      <c r="P19" s="202">
        <v>0</v>
      </c>
      <c r="Q19" s="207" t="s">
        <v>86</v>
      </c>
      <c r="R19" s="202">
        <v>858861585</v>
      </c>
      <c r="S19" s="202">
        <v>0</v>
      </c>
      <c r="T19" s="202">
        <v>858861585</v>
      </c>
    </row>
    <row r="20" spans="1:20" outlineLevel="3" collapsed="1" x14ac:dyDescent="0.25">
      <c r="A20" s="381" t="s">
        <v>1491</v>
      </c>
      <c r="B20" s="342"/>
      <c r="C20" s="195" t="str">
        <f t="shared" si="0"/>
        <v>11-019900G</v>
      </c>
      <c r="D20" s="200">
        <v>1689886780</v>
      </c>
      <c r="E20" s="201" t="s">
        <v>86</v>
      </c>
      <c r="F20" s="202">
        <v>0</v>
      </c>
      <c r="G20" s="203">
        <v>1689886780</v>
      </c>
      <c r="H20" s="202">
        <v>1689886780</v>
      </c>
      <c r="I20" s="201" t="s">
        <v>86</v>
      </c>
      <c r="J20" s="202">
        <v>1258899</v>
      </c>
      <c r="K20" s="204">
        <v>0</v>
      </c>
      <c r="L20" s="382">
        <v>0</v>
      </c>
      <c r="M20" s="342"/>
      <c r="N20" s="202">
        <v>0</v>
      </c>
      <c r="O20" s="202">
        <v>0</v>
      </c>
      <c r="P20" s="202">
        <v>1258899</v>
      </c>
      <c r="Q20" s="207" t="s">
        <v>86</v>
      </c>
      <c r="R20" s="202">
        <v>1689886780</v>
      </c>
      <c r="S20" s="202">
        <v>1258899</v>
      </c>
      <c r="T20" s="202">
        <v>1688627881</v>
      </c>
    </row>
    <row r="21" spans="1:20" outlineLevel="2" x14ac:dyDescent="0.25">
      <c r="A21" s="385" t="s">
        <v>1492</v>
      </c>
      <c r="B21" s="342"/>
      <c r="C21" s="195" t="str">
        <f t="shared" si="0"/>
        <v>Mecanica</v>
      </c>
      <c r="D21" s="3">
        <v>4099922824</v>
      </c>
      <c r="E21" s="275" t="s">
        <v>86</v>
      </c>
      <c r="F21" s="71">
        <v>0</v>
      </c>
      <c r="G21" s="71">
        <v>4099922824</v>
      </c>
      <c r="H21" s="71">
        <v>4099922824</v>
      </c>
      <c r="I21" s="275" t="s">
        <v>86</v>
      </c>
      <c r="J21" s="71">
        <v>0</v>
      </c>
      <c r="K21" s="71">
        <v>0</v>
      </c>
      <c r="L21" s="386">
        <v>0</v>
      </c>
      <c r="M21" s="342"/>
      <c r="N21" s="71">
        <v>0</v>
      </c>
      <c r="O21" s="71">
        <v>0</v>
      </c>
      <c r="P21" s="71">
        <v>0</v>
      </c>
      <c r="Q21" s="276" t="s">
        <v>86</v>
      </c>
      <c r="R21" s="71">
        <v>4099922824</v>
      </c>
      <c r="S21" s="71">
        <v>0</v>
      </c>
      <c r="T21" s="71">
        <v>4099922824</v>
      </c>
    </row>
    <row r="22" spans="1:20" outlineLevel="3" collapsed="1" x14ac:dyDescent="0.25">
      <c r="A22" s="381" t="s">
        <v>1493</v>
      </c>
      <c r="B22" s="342"/>
      <c r="C22" s="195" t="str">
        <f t="shared" si="0"/>
        <v>11-030800G</v>
      </c>
      <c r="D22" s="200">
        <v>4099922824</v>
      </c>
      <c r="E22" s="201" t="s">
        <v>86</v>
      </c>
      <c r="F22" s="202">
        <v>0</v>
      </c>
      <c r="G22" s="203">
        <v>4099922824</v>
      </c>
      <c r="H22" s="202">
        <v>4099922824</v>
      </c>
      <c r="I22" s="201" t="s">
        <v>86</v>
      </c>
      <c r="J22" s="202">
        <v>0</v>
      </c>
      <c r="K22" s="204">
        <v>0</v>
      </c>
      <c r="L22" s="382">
        <v>0</v>
      </c>
      <c r="M22" s="342"/>
      <c r="N22" s="202">
        <v>0</v>
      </c>
      <c r="O22" s="202">
        <v>0</v>
      </c>
      <c r="P22" s="202">
        <v>0</v>
      </c>
      <c r="Q22" s="207" t="s">
        <v>86</v>
      </c>
      <c r="R22" s="202">
        <v>4099922824</v>
      </c>
      <c r="S22" s="202">
        <v>0</v>
      </c>
      <c r="T22" s="202">
        <v>4099922824</v>
      </c>
    </row>
    <row r="23" spans="1:20" outlineLevel="2" x14ac:dyDescent="0.25">
      <c r="A23" s="385" t="s">
        <v>41</v>
      </c>
      <c r="B23" s="342"/>
      <c r="C23" s="195" t="str">
        <f t="shared" si="0"/>
        <v>Cañeria</v>
      </c>
      <c r="D23" s="3">
        <v>492911269</v>
      </c>
      <c r="E23" s="275" t="s">
        <v>86</v>
      </c>
      <c r="F23" s="71">
        <v>0</v>
      </c>
      <c r="G23" s="71">
        <v>492911269</v>
      </c>
      <c r="H23" s="71">
        <v>492911269</v>
      </c>
      <c r="I23" s="275" t="s">
        <v>86</v>
      </c>
      <c r="J23" s="71">
        <v>0</v>
      </c>
      <c r="K23" s="71">
        <v>0</v>
      </c>
      <c r="L23" s="386">
        <v>0</v>
      </c>
      <c r="M23" s="342"/>
      <c r="N23" s="71">
        <v>0</v>
      </c>
      <c r="O23" s="71">
        <v>0</v>
      </c>
      <c r="P23" s="71">
        <v>0</v>
      </c>
      <c r="Q23" s="276" t="s">
        <v>86</v>
      </c>
      <c r="R23" s="71">
        <v>492911269</v>
      </c>
      <c r="S23" s="71">
        <v>0</v>
      </c>
      <c r="T23" s="71">
        <v>492911269</v>
      </c>
    </row>
    <row r="24" spans="1:20" outlineLevel="3" collapsed="1" x14ac:dyDescent="0.25">
      <c r="A24" s="381" t="s">
        <v>1494</v>
      </c>
      <c r="B24" s="342"/>
      <c r="C24" s="195" t="str">
        <f t="shared" si="0"/>
        <v>11-040800G</v>
      </c>
      <c r="D24" s="200">
        <v>492911269</v>
      </c>
      <c r="E24" s="201" t="s">
        <v>86</v>
      </c>
      <c r="F24" s="202">
        <v>0</v>
      </c>
      <c r="G24" s="203">
        <v>492911269</v>
      </c>
      <c r="H24" s="202">
        <v>492911269</v>
      </c>
      <c r="I24" s="201" t="s">
        <v>86</v>
      </c>
      <c r="J24" s="202">
        <v>0</v>
      </c>
      <c r="K24" s="204">
        <v>0</v>
      </c>
      <c r="L24" s="382">
        <v>0</v>
      </c>
      <c r="M24" s="342"/>
      <c r="N24" s="202">
        <v>0</v>
      </c>
      <c r="O24" s="202">
        <v>0</v>
      </c>
      <c r="P24" s="202">
        <v>0</v>
      </c>
      <c r="Q24" s="207" t="s">
        <v>86</v>
      </c>
      <c r="R24" s="202">
        <v>492911269</v>
      </c>
      <c r="S24" s="202">
        <v>0</v>
      </c>
      <c r="T24" s="202">
        <v>492911269</v>
      </c>
    </row>
    <row r="25" spans="1:20" outlineLevel="2" x14ac:dyDescent="0.25">
      <c r="A25" s="385" t="s">
        <v>1495</v>
      </c>
      <c r="B25" s="342"/>
      <c r="C25" s="195" t="str">
        <f t="shared" si="0"/>
        <v>Electricid</v>
      </c>
      <c r="D25" s="3">
        <v>3859562928</v>
      </c>
      <c r="E25" s="275" t="s">
        <v>86</v>
      </c>
      <c r="F25" s="71">
        <v>0</v>
      </c>
      <c r="G25" s="71">
        <v>3859562928</v>
      </c>
      <c r="H25" s="71">
        <v>3859562928</v>
      </c>
      <c r="I25" s="275" t="s">
        <v>86</v>
      </c>
      <c r="J25" s="71">
        <v>443042</v>
      </c>
      <c r="K25" s="71">
        <v>0</v>
      </c>
      <c r="L25" s="386">
        <v>0</v>
      </c>
      <c r="M25" s="342"/>
      <c r="N25" s="71">
        <v>0</v>
      </c>
      <c r="O25" s="71">
        <v>0</v>
      </c>
      <c r="P25" s="71">
        <v>443042</v>
      </c>
      <c r="Q25" s="276" t="s">
        <v>86</v>
      </c>
      <c r="R25" s="71">
        <v>3859562928</v>
      </c>
      <c r="S25" s="71">
        <v>443042</v>
      </c>
      <c r="T25" s="71">
        <v>3859119886</v>
      </c>
    </row>
    <row r="26" spans="1:20" outlineLevel="3" collapsed="1" x14ac:dyDescent="0.25">
      <c r="A26" s="381" t="s">
        <v>1496</v>
      </c>
      <c r="B26" s="342"/>
      <c r="C26" s="195" t="str">
        <f t="shared" si="0"/>
        <v>11-050800G</v>
      </c>
      <c r="D26" s="200">
        <v>3859562928</v>
      </c>
      <c r="E26" s="201" t="s">
        <v>86</v>
      </c>
      <c r="F26" s="202">
        <v>0</v>
      </c>
      <c r="G26" s="203">
        <v>3859562928</v>
      </c>
      <c r="H26" s="202">
        <v>3859562928</v>
      </c>
      <c r="I26" s="201" t="s">
        <v>86</v>
      </c>
      <c r="J26" s="202">
        <v>443042</v>
      </c>
      <c r="K26" s="204">
        <v>0</v>
      </c>
      <c r="L26" s="382">
        <v>0</v>
      </c>
      <c r="M26" s="342"/>
      <c r="N26" s="202">
        <v>0</v>
      </c>
      <c r="O26" s="202">
        <v>0</v>
      </c>
      <c r="P26" s="202">
        <v>443042</v>
      </c>
      <c r="Q26" s="207" t="s">
        <v>86</v>
      </c>
      <c r="R26" s="202">
        <v>3859562928</v>
      </c>
      <c r="S26" s="202">
        <v>443042</v>
      </c>
      <c r="T26" s="202">
        <v>3859119886</v>
      </c>
    </row>
    <row r="27" spans="1:20" outlineLevel="2" x14ac:dyDescent="0.25">
      <c r="A27" s="385" t="s">
        <v>1497</v>
      </c>
      <c r="B27" s="342"/>
      <c r="C27" s="195" t="str">
        <f t="shared" si="0"/>
        <v>Arquitectu</v>
      </c>
      <c r="D27" s="3">
        <v>1405686584</v>
      </c>
      <c r="E27" s="275" t="s">
        <v>86</v>
      </c>
      <c r="F27" s="71">
        <v>0</v>
      </c>
      <c r="G27" s="71">
        <v>1405686584</v>
      </c>
      <c r="H27" s="71">
        <v>1405686584</v>
      </c>
      <c r="I27" s="275" t="s">
        <v>86</v>
      </c>
      <c r="J27" s="71">
        <v>0</v>
      </c>
      <c r="K27" s="71">
        <v>0</v>
      </c>
      <c r="L27" s="386">
        <v>0</v>
      </c>
      <c r="M27" s="342"/>
      <c r="N27" s="71">
        <v>0</v>
      </c>
      <c r="O27" s="71">
        <v>0</v>
      </c>
      <c r="P27" s="71">
        <v>0</v>
      </c>
      <c r="Q27" s="276" t="s">
        <v>86</v>
      </c>
      <c r="R27" s="71">
        <v>1405686584</v>
      </c>
      <c r="S27" s="71">
        <v>0</v>
      </c>
      <c r="T27" s="71">
        <v>1405686584</v>
      </c>
    </row>
    <row r="28" spans="1:20" outlineLevel="3" collapsed="1" x14ac:dyDescent="0.25">
      <c r="A28" s="381" t="s">
        <v>1498</v>
      </c>
      <c r="B28" s="342"/>
      <c r="C28" s="195" t="str">
        <f t="shared" si="0"/>
        <v>11-010500G</v>
      </c>
      <c r="D28" s="200">
        <v>1405686584</v>
      </c>
      <c r="E28" s="201" t="s">
        <v>86</v>
      </c>
      <c r="F28" s="202">
        <v>0</v>
      </c>
      <c r="G28" s="203">
        <v>1405686584</v>
      </c>
      <c r="H28" s="202">
        <v>1405686584</v>
      </c>
      <c r="I28" s="201" t="s">
        <v>86</v>
      </c>
      <c r="J28" s="202">
        <v>0</v>
      </c>
      <c r="K28" s="204">
        <v>0</v>
      </c>
      <c r="L28" s="382">
        <v>0</v>
      </c>
      <c r="M28" s="342"/>
      <c r="N28" s="202">
        <v>0</v>
      </c>
      <c r="O28" s="202">
        <v>0</v>
      </c>
      <c r="P28" s="202">
        <v>0</v>
      </c>
      <c r="Q28" s="207" t="s">
        <v>86</v>
      </c>
      <c r="R28" s="202">
        <v>1405686584</v>
      </c>
      <c r="S28" s="202">
        <v>0</v>
      </c>
      <c r="T28" s="202">
        <v>1405686584</v>
      </c>
    </row>
    <row r="29" spans="1:20" outlineLevel="1" x14ac:dyDescent="0.25">
      <c r="A29" s="387" t="s">
        <v>196</v>
      </c>
      <c r="B29" s="342"/>
      <c r="C29" s="195" t="str">
        <f t="shared" si="0"/>
        <v>ATERIALES</v>
      </c>
      <c r="D29" s="196">
        <v>8148288964</v>
      </c>
      <c r="E29" s="195" t="s">
        <v>86</v>
      </c>
      <c r="F29" s="197">
        <v>0</v>
      </c>
      <c r="G29" s="197">
        <v>8148288964</v>
      </c>
      <c r="H29" s="197">
        <v>8148288964</v>
      </c>
      <c r="I29" s="195" t="s">
        <v>86</v>
      </c>
      <c r="J29" s="209">
        <v>0</v>
      </c>
      <c r="K29" s="209">
        <v>31634406</v>
      </c>
      <c r="L29" s="388">
        <v>786301</v>
      </c>
      <c r="M29" s="342"/>
      <c r="N29" s="209">
        <v>0</v>
      </c>
      <c r="O29" s="209">
        <v>32420707</v>
      </c>
      <c r="P29" s="209">
        <v>32420707</v>
      </c>
      <c r="Q29" s="198" t="s">
        <v>86</v>
      </c>
      <c r="R29" s="197">
        <v>8148288964</v>
      </c>
      <c r="S29" s="209">
        <v>32420707</v>
      </c>
      <c r="T29" s="199">
        <v>8115868257</v>
      </c>
    </row>
    <row r="30" spans="1:20" outlineLevel="2" x14ac:dyDescent="0.25">
      <c r="A30" s="385" t="s">
        <v>25</v>
      </c>
      <c r="B30" s="342"/>
      <c r="C30" s="195" t="str">
        <f t="shared" si="0"/>
        <v>Obras Civi</v>
      </c>
      <c r="D30" s="3">
        <v>7382681667</v>
      </c>
      <c r="E30" s="275" t="s">
        <v>86</v>
      </c>
      <c r="F30" s="71">
        <v>0</v>
      </c>
      <c r="G30" s="71">
        <v>7382681667</v>
      </c>
      <c r="H30" s="71">
        <v>7382681667</v>
      </c>
      <c r="I30" s="275" t="s">
        <v>86</v>
      </c>
      <c r="J30" s="71">
        <v>0</v>
      </c>
      <c r="K30" s="71">
        <v>24721846</v>
      </c>
      <c r="L30" s="386">
        <v>786301</v>
      </c>
      <c r="M30" s="342"/>
      <c r="N30" s="71">
        <v>0</v>
      </c>
      <c r="O30" s="71">
        <v>25508147</v>
      </c>
      <c r="P30" s="71">
        <v>25508147</v>
      </c>
      <c r="Q30" s="276" t="s">
        <v>86</v>
      </c>
      <c r="R30" s="71">
        <v>7382681667</v>
      </c>
      <c r="S30" s="71">
        <v>25508147</v>
      </c>
      <c r="T30" s="71">
        <v>7357173520</v>
      </c>
    </row>
    <row r="31" spans="1:20" outlineLevel="3" collapsed="1" x14ac:dyDescent="0.25">
      <c r="A31" s="381" t="s">
        <v>1499</v>
      </c>
      <c r="B31" s="342"/>
      <c r="C31" s="195" t="str">
        <f t="shared" si="0"/>
        <v>21-010201A</v>
      </c>
      <c r="D31" s="200">
        <v>4306648919</v>
      </c>
      <c r="E31" s="201" t="s">
        <v>86</v>
      </c>
      <c r="F31" s="202">
        <v>0</v>
      </c>
      <c r="G31" s="203">
        <v>4306648919</v>
      </c>
      <c r="H31" s="202">
        <v>4306648919</v>
      </c>
      <c r="I31" s="201" t="s">
        <v>86</v>
      </c>
      <c r="J31" s="202">
        <v>0</v>
      </c>
      <c r="K31" s="204">
        <v>1974003</v>
      </c>
      <c r="L31" s="382">
        <v>14920</v>
      </c>
      <c r="M31" s="342"/>
      <c r="N31" s="202">
        <v>0</v>
      </c>
      <c r="O31" s="202">
        <v>1988923</v>
      </c>
      <c r="P31" s="202">
        <v>1988923</v>
      </c>
      <c r="Q31" s="207" t="s">
        <v>86</v>
      </c>
      <c r="R31" s="202">
        <v>4306648919</v>
      </c>
      <c r="S31" s="202">
        <v>1988923</v>
      </c>
      <c r="T31" s="202">
        <v>4304659996</v>
      </c>
    </row>
    <row r="32" spans="1:20" outlineLevel="3" collapsed="1" x14ac:dyDescent="0.25">
      <c r="A32" s="381" t="s">
        <v>1500</v>
      </c>
      <c r="B32" s="342"/>
      <c r="C32" s="195" t="str">
        <f t="shared" si="0"/>
        <v>21-010201G</v>
      </c>
      <c r="D32" s="200">
        <v>0</v>
      </c>
      <c r="E32" s="201" t="s">
        <v>86</v>
      </c>
      <c r="F32" s="202">
        <v>0</v>
      </c>
      <c r="G32" s="203">
        <v>0</v>
      </c>
      <c r="H32" s="202">
        <v>0</v>
      </c>
      <c r="I32" s="201" t="s">
        <v>86</v>
      </c>
      <c r="J32" s="202">
        <v>0</v>
      </c>
      <c r="K32" s="204">
        <v>0</v>
      </c>
      <c r="L32" s="382">
        <v>0</v>
      </c>
      <c r="M32" s="342"/>
      <c r="N32" s="202">
        <v>0</v>
      </c>
      <c r="O32" s="202">
        <v>0</v>
      </c>
      <c r="P32" s="202">
        <v>0</v>
      </c>
      <c r="Q32" s="207" t="s">
        <v>86</v>
      </c>
      <c r="R32" s="202">
        <v>0</v>
      </c>
      <c r="S32" s="202">
        <v>0</v>
      </c>
      <c r="T32" s="202">
        <v>0</v>
      </c>
    </row>
    <row r="33" spans="1:20" outlineLevel="3" collapsed="1" x14ac:dyDescent="0.25">
      <c r="A33" s="381" t="s">
        <v>1501</v>
      </c>
      <c r="B33" s="342"/>
      <c r="C33" s="195" t="str">
        <f t="shared" si="0"/>
        <v>21-010301A</v>
      </c>
      <c r="D33" s="200">
        <v>266781480</v>
      </c>
      <c r="E33" s="201" t="s">
        <v>86</v>
      </c>
      <c r="F33" s="202">
        <v>0</v>
      </c>
      <c r="G33" s="203">
        <v>266781480</v>
      </c>
      <c r="H33" s="202">
        <v>266781480</v>
      </c>
      <c r="I33" s="201" t="s">
        <v>86</v>
      </c>
      <c r="J33" s="202">
        <v>0</v>
      </c>
      <c r="K33" s="204">
        <v>4070863</v>
      </c>
      <c r="L33" s="382">
        <v>0</v>
      </c>
      <c r="M33" s="342"/>
      <c r="N33" s="202">
        <v>0</v>
      </c>
      <c r="O33" s="202">
        <v>4070863</v>
      </c>
      <c r="P33" s="202">
        <v>4070863</v>
      </c>
      <c r="Q33" s="207" t="s">
        <v>86</v>
      </c>
      <c r="R33" s="202">
        <v>266781480</v>
      </c>
      <c r="S33" s="202">
        <v>4070863</v>
      </c>
      <c r="T33" s="202">
        <v>262710617</v>
      </c>
    </row>
    <row r="34" spans="1:20" outlineLevel="3" collapsed="1" x14ac:dyDescent="0.25">
      <c r="A34" s="381" t="s">
        <v>1502</v>
      </c>
      <c r="B34" s="342"/>
      <c r="C34" s="195" t="str">
        <f t="shared" si="0"/>
        <v>21-010301G</v>
      </c>
      <c r="D34" s="200">
        <v>0</v>
      </c>
      <c r="E34" s="201" t="s">
        <v>86</v>
      </c>
      <c r="F34" s="202">
        <v>0</v>
      </c>
      <c r="G34" s="203">
        <v>0</v>
      </c>
      <c r="H34" s="202">
        <v>0</v>
      </c>
      <c r="I34" s="201" t="s">
        <v>86</v>
      </c>
      <c r="J34" s="202">
        <v>0</v>
      </c>
      <c r="K34" s="204">
        <v>0</v>
      </c>
      <c r="L34" s="382">
        <v>0</v>
      </c>
      <c r="M34" s="342"/>
      <c r="N34" s="202">
        <v>0</v>
      </c>
      <c r="O34" s="202">
        <v>0</v>
      </c>
      <c r="P34" s="202">
        <v>0</v>
      </c>
      <c r="Q34" s="207" t="s">
        <v>86</v>
      </c>
      <c r="R34" s="202">
        <v>0</v>
      </c>
      <c r="S34" s="202">
        <v>0</v>
      </c>
      <c r="T34" s="202">
        <v>0</v>
      </c>
    </row>
    <row r="35" spans="1:20" outlineLevel="3" collapsed="1" x14ac:dyDescent="0.25">
      <c r="A35" s="381" t="s">
        <v>1503</v>
      </c>
      <c r="B35" s="342"/>
      <c r="C35" s="195" t="str">
        <f t="shared" si="0"/>
        <v>21-010401A</v>
      </c>
      <c r="D35" s="200">
        <v>73796571</v>
      </c>
      <c r="E35" s="201" t="s">
        <v>86</v>
      </c>
      <c r="F35" s="202">
        <v>0</v>
      </c>
      <c r="G35" s="203">
        <v>73796571</v>
      </c>
      <c r="H35" s="202">
        <v>73796571</v>
      </c>
      <c r="I35" s="201" t="s">
        <v>86</v>
      </c>
      <c r="J35" s="202">
        <v>0</v>
      </c>
      <c r="K35" s="204">
        <v>11751710</v>
      </c>
      <c r="L35" s="382">
        <v>0</v>
      </c>
      <c r="M35" s="342"/>
      <c r="N35" s="202">
        <v>0</v>
      </c>
      <c r="O35" s="202">
        <v>11751710</v>
      </c>
      <c r="P35" s="202">
        <v>11751710</v>
      </c>
      <c r="Q35" s="207" t="s">
        <v>86</v>
      </c>
      <c r="R35" s="202">
        <v>73796571</v>
      </c>
      <c r="S35" s="202">
        <v>11751710</v>
      </c>
      <c r="T35" s="202">
        <v>62044861</v>
      </c>
    </row>
    <row r="36" spans="1:20" outlineLevel="3" collapsed="1" x14ac:dyDescent="0.25">
      <c r="A36" s="381" t="s">
        <v>1504</v>
      </c>
      <c r="B36" s="342"/>
      <c r="C36" s="195" t="str">
        <f t="shared" si="0"/>
        <v>21-010401G</v>
      </c>
      <c r="D36" s="200">
        <v>0</v>
      </c>
      <c r="E36" s="201" t="s">
        <v>86</v>
      </c>
      <c r="F36" s="202">
        <v>0</v>
      </c>
      <c r="G36" s="203">
        <v>0</v>
      </c>
      <c r="H36" s="202">
        <v>0</v>
      </c>
      <c r="I36" s="201" t="s">
        <v>86</v>
      </c>
      <c r="J36" s="202">
        <v>0</v>
      </c>
      <c r="K36" s="204">
        <v>0</v>
      </c>
      <c r="L36" s="382">
        <v>0</v>
      </c>
      <c r="M36" s="342"/>
      <c r="N36" s="202">
        <v>0</v>
      </c>
      <c r="O36" s="202">
        <v>0</v>
      </c>
      <c r="P36" s="202">
        <v>0</v>
      </c>
      <c r="Q36" s="207" t="s">
        <v>86</v>
      </c>
      <c r="R36" s="202">
        <v>0</v>
      </c>
      <c r="S36" s="202">
        <v>0</v>
      </c>
      <c r="T36" s="202">
        <v>0</v>
      </c>
    </row>
    <row r="37" spans="1:20" outlineLevel="3" collapsed="1" x14ac:dyDescent="0.25">
      <c r="A37" s="381" t="s">
        <v>1505</v>
      </c>
      <c r="B37" s="342"/>
      <c r="C37" s="195" t="str">
        <f t="shared" si="0"/>
        <v>21-010501A</v>
      </c>
      <c r="D37" s="200">
        <v>99676374</v>
      </c>
      <c r="E37" s="201" t="s">
        <v>86</v>
      </c>
      <c r="F37" s="202">
        <v>0</v>
      </c>
      <c r="G37" s="203">
        <v>99676374</v>
      </c>
      <c r="H37" s="202">
        <v>99676374</v>
      </c>
      <c r="I37" s="201" t="s">
        <v>86</v>
      </c>
      <c r="J37" s="202">
        <v>0</v>
      </c>
      <c r="K37" s="204">
        <v>0</v>
      </c>
      <c r="L37" s="382">
        <v>0</v>
      </c>
      <c r="M37" s="342"/>
      <c r="N37" s="202">
        <v>0</v>
      </c>
      <c r="O37" s="202">
        <v>0</v>
      </c>
      <c r="P37" s="202">
        <v>0</v>
      </c>
      <c r="Q37" s="207" t="s">
        <v>86</v>
      </c>
      <c r="R37" s="202">
        <v>99676374</v>
      </c>
      <c r="S37" s="202">
        <v>0</v>
      </c>
      <c r="T37" s="202">
        <v>99676374</v>
      </c>
    </row>
    <row r="38" spans="1:20" outlineLevel="3" collapsed="1" x14ac:dyDescent="0.25">
      <c r="A38" s="381" t="s">
        <v>1506</v>
      </c>
      <c r="B38" s="342"/>
      <c r="C38" s="195" t="str">
        <f t="shared" si="0"/>
        <v>21-010501G</v>
      </c>
      <c r="D38" s="200">
        <v>0</v>
      </c>
      <c r="E38" s="201" t="s">
        <v>86</v>
      </c>
      <c r="F38" s="202">
        <v>0</v>
      </c>
      <c r="G38" s="203">
        <v>0</v>
      </c>
      <c r="H38" s="202">
        <v>0</v>
      </c>
      <c r="I38" s="201" t="s">
        <v>86</v>
      </c>
      <c r="J38" s="202">
        <v>0</v>
      </c>
      <c r="K38" s="204">
        <v>0</v>
      </c>
      <c r="L38" s="382">
        <v>0</v>
      </c>
      <c r="M38" s="342"/>
      <c r="N38" s="202">
        <v>0</v>
      </c>
      <c r="O38" s="202">
        <v>0</v>
      </c>
      <c r="P38" s="202">
        <v>0</v>
      </c>
      <c r="Q38" s="207" t="s">
        <v>86</v>
      </c>
      <c r="R38" s="202">
        <v>0</v>
      </c>
      <c r="S38" s="202">
        <v>0</v>
      </c>
      <c r="T38" s="202">
        <v>0</v>
      </c>
    </row>
    <row r="39" spans="1:20" outlineLevel="3" collapsed="1" x14ac:dyDescent="0.25">
      <c r="A39" s="381" t="s">
        <v>1507</v>
      </c>
      <c r="B39" s="342"/>
      <c r="C39" s="195" t="str">
        <f t="shared" si="0"/>
        <v>21-011101A</v>
      </c>
      <c r="D39" s="200">
        <v>19439628</v>
      </c>
      <c r="E39" s="201" t="s">
        <v>86</v>
      </c>
      <c r="F39" s="202">
        <v>0</v>
      </c>
      <c r="G39" s="203">
        <v>19439628</v>
      </c>
      <c r="H39" s="202">
        <v>19439628</v>
      </c>
      <c r="I39" s="201" t="s">
        <v>86</v>
      </c>
      <c r="J39" s="202">
        <v>0</v>
      </c>
      <c r="K39" s="204">
        <v>0</v>
      </c>
      <c r="L39" s="382">
        <v>0</v>
      </c>
      <c r="M39" s="342"/>
      <c r="N39" s="202">
        <v>0</v>
      </c>
      <c r="O39" s="202">
        <v>0</v>
      </c>
      <c r="P39" s="202">
        <v>0</v>
      </c>
      <c r="Q39" s="207" t="s">
        <v>86</v>
      </c>
      <c r="R39" s="202">
        <v>19439628</v>
      </c>
      <c r="S39" s="202">
        <v>0</v>
      </c>
      <c r="T39" s="202">
        <v>19439628</v>
      </c>
    </row>
    <row r="40" spans="1:20" outlineLevel="3" collapsed="1" x14ac:dyDescent="0.25">
      <c r="A40" s="381" t="s">
        <v>1508</v>
      </c>
      <c r="B40" s="342"/>
      <c r="C40" s="195" t="str">
        <f t="shared" si="0"/>
        <v>21-011101G</v>
      </c>
      <c r="D40" s="200">
        <v>0</v>
      </c>
      <c r="E40" s="201" t="s">
        <v>86</v>
      </c>
      <c r="F40" s="202">
        <v>0</v>
      </c>
      <c r="G40" s="203">
        <v>0</v>
      </c>
      <c r="H40" s="202">
        <v>0</v>
      </c>
      <c r="I40" s="201" t="s">
        <v>86</v>
      </c>
      <c r="J40" s="202">
        <v>0</v>
      </c>
      <c r="K40" s="204">
        <v>0</v>
      </c>
      <c r="L40" s="382">
        <v>0</v>
      </c>
      <c r="M40" s="342"/>
      <c r="N40" s="202">
        <v>0</v>
      </c>
      <c r="O40" s="202">
        <v>0</v>
      </c>
      <c r="P40" s="202">
        <v>0</v>
      </c>
      <c r="Q40" s="207" t="s">
        <v>86</v>
      </c>
      <c r="R40" s="202">
        <v>0</v>
      </c>
      <c r="S40" s="202">
        <v>0</v>
      </c>
      <c r="T40" s="202">
        <v>0</v>
      </c>
    </row>
    <row r="41" spans="1:20" outlineLevel="3" collapsed="1" x14ac:dyDescent="0.25">
      <c r="A41" s="381" t="s">
        <v>1509</v>
      </c>
      <c r="B41" s="342"/>
      <c r="C41" s="195" t="str">
        <f t="shared" si="0"/>
        <v>21-019901A</v>
      </c>
      <c r="D41" s="200">
        <v>2616338695</v>
      </c>
      <c r="E41" s="201" t="s">
        <v>86</v>
      </c>
      <c r="F41" s="202">
        <v>0</v>
      </c>
      <c r="G41" s="203">
        <v>2616338695</v>
      </c>
      <c r="H41" s="202">
        <v>2616338695</v>
      </c>
      <c r="I41" s="201" t="s">
        <v>86</v>
      </c>
      <c r="J41" s="202">
        <v>0</v>
      </c>
      <c r="K41" s="204">
        <v>6925270</v>
      </c>
      <c r="L41" s="382">
        <v>771381</v>
      </c>
      <c r="M41" s="342"/>
      <c r="N41" s="202">
        <v>0</v>
      </c>
      <c r="O41" s="202">
        <v>7696651</v>
      </c>
      <c r="P41" s="202">
        <v>7696651</v>
      </c>
      <c r="Q41" s="207" t="s">
        <v>86</v>
      </c>
      <c r="R41" s="202">
        <v>2616338695</v>
      </c>
      <c r="S41" s="202">
        <v>7696651</v>
      </c>
      <c r="T41" s="202">
        <v>2608642044</v>
      </c>
    </row>
    <row r="42" spans="1:20" outlineLevel="3" collapsed="1" x14ac:dyDescent="0.25">
      <c r="A42" s="381" t="s">
        <v>1510</v>
      </c>
      <c r="B42" s="342"/>
      <c r="C42" s="195" t="str">
        <f t="shared" si="0"/>
        <v>21-019901G</v>
      </c>
      <c r="D42" s="200">
        <v>0</v>
      </c>
      <c r="E42" s="201" t="s">
        <v>86</v>
      </c>
      <c r="F42" s="202">
        <v>0</v>
      </c>
      <c r="G42" s="203">
        <v>0</v>
      </c>
      <c r="H42" s="202">
        <v>0</v>
      </c>
      <c r="I42" s="201" t="s">
        <v>86</v>
      </c>
      <c r="J42" s="202">
        <v>0</v>
      </c>
      <c r="K42" s="204">
        <v>0</v>
      </c>
      <c r="L42" s="382">
        <v>0</v>
      </c>
      <c r="M42" s="342"/>
      <c r="N42" s="202">
        <v>0</v>
      </c>
      <c r="O42" s="202">
        <v>0</v>
      </c>
      <c r="P42" s="202">
        <v>0</v>
      </c>
      <c r="Q42" s="207" t="s">
        <v>86</v>
      </c>
      <c r="R42" s="202">
        <v>0</v>
      </c>
      <c r="S42" s="202">
        <v>0</v>
      </c>
      <c r="T42" s="202">
        <v>0</v>
      </c>
    </row>
    <row r="43" spans="1:20" outlineLevel="2" x14ac:dyDescent="0.25">
      <c r="A43" s="385" t="s">
        <v>1492</v>
      </c>
      <c r="B43" s="342"/>
      <c r="C43" s="195" t="str">
        <f t="shared" si="0"/>
        <v>Mecanica</v>
      </c>
      <c r="D43" s="3">
        <v>369194189</v>
      </c>
      <c r="E43" s="275" t="s">
        <v>86</v>
      </c>
      <c r="F43" s="71">
        <v>0</v>
      </c>
      <c r="G43" s="71">
        <v>369194189</v>
      </c>
      <c r="H43" s="71">
        <v>369194189</v>
      </c>
      <c r="I43" s="275" t="s">
        <v>86</v>
      </c>
      <c r="J43" s="71">
        <v>0</v>
      </c>
      <c r="K43" s="71">
        <v>6912560</v>
      </c>
      <c r="L43" s="386">
        <v>0</v>
      </c>
      <c r="M43" s="342"/>
      <c r="N43" s="71">
        <v>0</v>
      </c>
      <c r="O43" s="71">
        <v>6912560</v>
      </c>
      <c r="P43" s="71">
        <v>6912560</v>
      </c>
      <c r="Q43" s="276" t="s">
        <v>86</v>
      </c>
      <c r="R43" s="71">
        <v>369194189</v>
      </c>
      <c r="S43" s="71">
        <v>6912560</v>
      </c>
      <c r="T43" s="71">
        <v>362281629</v>
      </c>
    </row>
    <row r="44" spans="1:20" outlineLevel="3" collapsed="1" x14ac:dyDescent="0.25">
      <c r="A44" s="381" t="s">
        <v>1511</v>
      </c>
      <c r="B44" s="342"/>
      <c r="C44" s="195" t="str">
        <f t="shared" si="0"/>
        <v>21-031401A</v>
      </c>
      <c r="D44" s="200">
        <v>69955591</v>
      </c>
      <c r="E44" s="201" t="s">
        <v>86</v>
      </c>
      <c r="F44" s="202">
        <v>0</v>
      </c>
      <c r="G44" s="203">
        <v>69955591</v>
      </c>
      <c r="H44" s="202">
        <v>69955591</v>
      </c>
      <c r="I44" s="201" t="s">
        <v>86</v>
      </c>
      <c r="J44" s="202">
        <v>0</v>
      </c>
      <c r="K44" s="204">
        <v>0</v>
      </c>
      <c r="L44" s="382">
        <v>0</v>
      </c>
      <c r="M44" s="342"/>
      <c r="N44" s="202">
        <v>0</v>
      </c>
      <c r="O44" s="202">
        <v>0</v>
      </c>
      <c r="P44" s="202">
        <v>0</v>
      </c>
      <c r="Q44" s="207" t="s">
        <v>86</v>
      </c>
      <c r="R44" s="202">
        <v>69955591</v>
      </c>
      <c r="S44" s="202">
        <v>0</v>
      </c>
      <c r="T44" s="202">
        <v>69955591</v>
      </c>
    </row>
    <row r="45" spans="1:20" outlineLevel="3" collapsed="1" x14ac:dyDescent="0.25">
      <c r="A45" s="381" t="s">
        <v>1512</v>
      </c>
      <c r="B45" s="342"/>
      <c r="C45" s="195" t="str">
        <f t="shared" si="0"/>
        <v>21-031401G</v>
      </c>
      <c r="D45" s="200">
        <v>0</v>
      </c>
      <c r="E45" s="201" t="s">
        <v>86</v>
      </c>
      <c r="F45" s="202">
        <v>0</v>
      </c>
      <c r="G45" s="203">
        <v>0</v>
      </c>
      <c r="H45" s="202">
        <v>0</v>
      </c>
      <c r="I45" s="201" t="s">
        <v>86</v>
      </c>
      <c r="J45" s="202">
        <v>0</v>
      </c>
      <c r="K45" s="204">
        <v>0</v>
      </c>
      <c r="L45" s="382">
        <v>0</v>
      </c>
      <c r="M45" s="342"/>
      <c r="N45" s="202">
        <v>0</v>
      </c>
      <c r="O45" s="202">
        <v>0</v>
      </c>
      <c r="P45" s="202">
        <v>0</v>
      </c>
      <c r="Q45" s="207" t="s">
        <v>86</v>
      </c>
      <c r="R45" s="202">
        <v>0</v>
      </c>
      <c r="S45" s="202">
        <v>0</v>
      </c>
      <c r="T45" s="202">
        <v>0</v>
      </c>
    </row>
    <row r="46" spans="1:20" outlineLevel="3" collapsed="1" x14ac:dyDescent="0.25">
      <c r="A46" s="381" t="s">
        <v>1513</v>
      </c>
      <c r="B46" s="342"/>
      <c r="C46" s="195" t="str">
        <f t="shared" si="0"/>
        <v>21-039901A</v>
      </c>
      <c r="D46" s="200">
        <v>299238598</v>
      </c>
      <c r="E46" s="201" t="s">
        <v>86</v>
      </c>
      <c r="F46" s="202">
        <v>0</v>
      </c>
      <c r="G46" s="203">
        <v>299238598</v>
      </c>
      <c r="H46" s="202">
        <v>299238598</v>
      </c>
      <c r="I46" s="201" t="s">
        <v>86</v>
      </c>
      <c r="J46" s="202">
        <v>0</v>
      </c>
      <c r="K46" s="204">
        <v>6912560</v>
      </c>
      <c r="L46" s="382">
        <v>0</v>
      </c>
      <c r="M46" s="342"/>
      <c r="N46" s="202">
        <v>0</v>
      </c>
      <c r="O46" s="202">
        <v>6912560</v>
      </c>
      <c r="P46" s="202">
        <v>6912560</v>
      </c>
      <c r="Q46" s="207" t="s">
        <v>86</v>
      </c>
      <c r="R46" s="202">
        <v>299238598</v>
      </c>
      <c r="S46" s="202">
        <v>6912560</v>
      </c>
      <c r="T46" s="202">
        <v>292326038</v>
      </c>
    </row>
    <row r="47" spans="1:20" outlineLevel="3" collapsed="1" x14ac:dyDescent="0.25">
      <c r="A47" s="381" t="s">
        <v>1514</v>
      </c>
      <c r="B47" s="342"/>
      <c r="C47" s="195" t="str">
        <f t="shared" si="0"/>
        <v>21-039901G</v>
      </c>
      <c r="D47" s="200">
        <v>0</v>
      </c>
      <c r="E47" s="201" t="s">
        <v>86</v>
      </c>
      <c r="F47" s="202">
        <v>0</v>
      </c>
      <c r="G47" s="203">
        <v>0</v>
      </c>
      <c r="H47" s="202">
        <v>0</v>
      </c>
      <c r="I47" s="201" t="s">
        <v>86</v>
      </c>
      <c r="J47" s="202">
        <v>0</v>
      </c>
      <c r="K47" s="204">
        <v>0</v>
      </c>
      <c r="L47" s="382">
        <v>0</v>
      </c>
      <c r="M47" s="342"/>
      <c r="N47" s="202">
        <v>0</v>
      </c>
      <c r="O47" s="202">
        <v>0</v>
      </c>
      <c r="P47" s="202">
        <v>0</v>
      </c>
      <c r="Q47" s="207" t="s">
        <v>86</v>
      </c>
      <c r="R47" s="202">
        <v>0</v>
      </c>
      <c r="S47" s="202">
        <v>0</v>
      </c>
      <c r="T47" s="202">
        <v>0</v>
      </c>
    </row>
    <row r="48" spans="1:20" outlineLevel="2" x14ac:dyDescent="0.25">
      <c r="A48" s="385" t="s">
        <v>41</v>
      </c>
      <c r="B48" s="342"/>
      <c r="C48" s="195" t="str">
        <f t="shared" si="0"/>
        <v>Cañeria</v>
      </c>
      <c r="D48" s="3">
        <v>50020189</v>
      </c>
      <c r="E48" s="275" t="s">
        <v>86</v>
      </c>
      <c r="F48" s="71">
        <v>0</v>
      </c>
      <c r="G48" s="71">
        <v>50020189</v>
      </c>
      <c r="H48" s="71">
        <v>50020189</v>
      </c>
      <c r="I48" s="275" t="s">
        <v>86</v>
      </c>
      <c r="J48" s="71">
        <v>0</v>
      </c>
      <c r="K48" s="71">
        <v>0</v>
      </c>
      <c r="L48" s="386">
        <v>0</v>
      </c>
      <c r="M48" s="342"/>
      <c r="N48" s="71">
        <v>0</v>
      </c>
      <c r="O48" s="71">
        <v>0</v>
      </c>
      <c r="P48" s="71">
        <v>0</v>
      </c>
      <c r="Q48" s="276" t="s">
        <v>86</v>
      </c>
      <c r="R48" s="71">
        <v>50020189</v>
      </c>
      <c r="S48" s="71">
        <v>0</v>
      </c>
      <c r="T48" s="71">
        <v>50020189</v>
      </c>
    </row>
    <row r="49" spans="1:20" outlineLevel="3" collapsed="1" x14ac:dyDescent="0.25">
      <c r="A49" s="381" t="s">
        <v>1515</v>
      </c>
      <c r="B49" s="342"/>
      <c r="C49" s="195" t="str">
        <f t="shared" si="0"/>
        <v>21-041401A</v>
      </c>
      <c r="D49" s="200">
        <v>6036964</v>
      </c>
      <c r="E49" s="201" t="s">
        <v>86</v>
      </c>
      <c r="F49" s="202">
        <v>0</v>
      </c>
      <c r="G49" s="203">
        <v>6036964</v>
      </c>
      <c r="H49" s="202">
        <v>6036964</v>
      </c>
      <c r="I49" s="201" t="s">
        <v>86</v>
      </c>
      <c r="J49" s="202">
        <v>0</v>
      </c>
      <c r="K49" s="204">
        <v>0</v>
      </c>
      <c r="L49" s="382">
        <v>0</v>
      </c>
      <c r="M49" s="342"/>
      <c r="N49" s="202">
        <v>0</v>
      </c>
      <c r="O49" s="202">
        <v>0</v>
      </c>
      <c r="P49" s="202">
        <v>0</v>
      </c>
      <c r="Q49" s="207" t="s">
        <v>86</v>
      </c>
      <c r="R49" s="202">
        <v>6036964</v>
      </c>
      <c r="S49" s="202">
        <v>0</v>
      </c>
      <c r="T49" s="202">
        <v>6036964</v>
      </c>
    </row>
    <row r="50" spans="1:20" outlineLevel="3" collapsed="1" x14ac:dyDescent="0.25">
      <c r="A50" s="381" t="s">
        <v>1516</v>
      </c>
      <c r="B50" s="342"/>
      <c r="C50" s="195" t="str">
        <f t="shared" si="0"/>
        <v>21-041401G</v>
      </c>
      <c r="D50" s="200">
        <v>0</v>
      </c>
      <c r="E50" s="201" t="s">
        <v>86</v>
      </c>
      <c r="F50" s="202">
        <v>0</v>
      </c>
      <c r="G50" s="203">
        <v>0</v>
      </c>
      <c r="H50" s="202">
        <v>0</v>
      </c>
      <c r="I50" s="201" t="s">
        <v>86</v>
      </c>
      <c r="J50" s="202">
        <v>0</v>
      </c>
      <c r="K50" s="204">
        <v>0</v>
      </c>
      <c r="L50" s="382">
        <v>0</v>
      </c>
      <c r="M50" s="342"/>
      <c r="N50" s="202">
        <v>0</v>
      </c>
      <c r="O50" s="202">
        <v>0</v>
      </c>
      <c r="P50" s="202">
        <v>0</v>
      </c>
      <c r="Q50" s="207" t="s">
        <v>86</v>
      </c>
      <c r="R50" s="202">
        <v>0</v>
      </c>
      <c r="S50" s="202">
        <v>0</v>
      </c>
      <c r="T50" s="202">
        <v>0</v>
      </c>
    </row>
    <row r="51" spans="1:20" outlineLevel="3" collapsed="1" x14ac:dyDescent="0.25">
      <c r="A51" s="381" t="s">
        <v>1517</v>
      </c>
      <c r="B51" s="342"/>
      <c r="C51" s="195" t="str">
        <f t="shared" si="0"/>
        <v>21-042001A</v>
      </c>
      <c r="D51" s="200">
        <v>13182785</v>
      </c>
      <c r="E51" s="201" t="s">
        <v>86</v>
      </c>
      <c r="F51" s="202">
        <v>0</v>
      </c>
      <c r="G51" s="203">
        <v>13182785</v>
      </c>
      <c r="H51" s="202">
        <v>13182785</v>
      </c>
      <c r="I51" s="201" t="s">
        <v>86</v>
      </c>
      <c r="J51" s="202">
        <v>0</v>
      </c>
      <c r="K51" s="204">
        <v>0</v>
      </c>
      <c r="L51" s="382">
        <v>0</v>
      </c>
      <c r="M51" s="342"/>
      <c r="N51" s="202">
        <v>0</v>
      </c>
      <c r="O51" s="202">
        <v>0</v>
      </c>
      <c r="P51" s="202">
        <v>0</v>
      </c>
      <c r="Q51" s="207" t="s">
        <v>86</v>
      </c>
      <c r="R51" s="202">
        <v>13182785</v>
      </c>
      <c r="S51" s="202">
        <v>0</v>
      </c>
      <c r="T51" s="202">
        <v>13182785</v>
      </c>
    </row>
    <row r="52" spans="1:20" outlineLevel="3" collapsed="1" x14ac:dyDescent="0.25">
      <c r="A52" s="381" t="s">
        <v>1518</v>
      </c>
      <c r="B52" s="342"/>
      <c r="C52" s="195" t="str">
        <f t="shared" si="0"/>
        <v>21-042001G</v>
      </c>
      <c r="D52" s="200">
        <v>0</v>
      </c>
      <c r="E52" s="201" t="s">
        <v>86</v>
      </c>
      <c r="F52" s="202">
        <v>0</v>
      </c>
      <c r="G52" s="203">
        <v>0</v>
      </c>
      <c r="H52" s="202">
        <v>0</v>
      </c>
      <c r="I52" s="201" t="s">
        <v>86</v>
      </c>
      <c r="J52" s="202">
        <v>0</v>
      </c>
      <c r="K52" s="204">
        <v>0</v>
      </c>
      <c r="L52" s="382">
        <v>0</v>
      </c>
      <c r="M52" s="342"/>
      <c r="N52" s="202">
        <v>0</v>
      </c>
      <c r="O52" s="202">
        <v>0</v>
      </c>
      <c r="P52" s="202">
        <v>0</v>
      </c>
      <c r="Q52" s="207" t="s">
        <v>86</v>
      </c>
      <c r="R52" s="202">
        <v>0</v>
      </c>
      <c r="S52" s="202">
        <v>0</v>
      </c>
      <c r="T52" s="202">
        <v>0</v>
      </c>
    </row>
    <row r="53" spans="1:20" outlineLevel="3" collapsed="1" x14ac:dyDescent="0.25">
      <c r="A53" s="381" t="s">
        <v>1519</v>
      </c>
      <c r="B53" s="342"/>
      <c r="C53" s="195" t="str">
        <f t="shared" si="0"/>
        <v>21-049901A</v>
      </c>
      <c r="D53" s="200">
        <v>30800440</v>
      </c>
      <c r="E53" s="201" t="s">
        <v>86</v>
      </c>
      <c r="F53" s="202">
        <v>0</v>
      </c>
      <c r="G53" s="203">
        <v>30800440</v>
      </c>
      <c r="H53" s="202">
        <v>30800440</v>
      </c>
      <c r="I53" s="201" t="s">
        <v>86</v>
      </c>
      <c r="J53" s="202">
        <v>0</v>
      </c>
      <c r="K53" s="204">
        <v>0</v>
      </c>
      <c r="L53" s="382">
        <v>0</v>
      </c>
      <c r="M53" s="342"/>
      <c r="N53" s="202">
        <v>0</v>
      </c>
      <c r="O53" s="202">
        <v>0</v>
      </c>
      <c r="P53" s="202">
        <v>0</v>
      </c>
      <c r="Q53" s="207" t="s">
        <v>86</v>
      </c>
      <c r="R53" s="202">
        <v>30800440</v>
      </c>
      <c r="S53" s="202">
        <v>0</v>
      </c>
      <c r="T53" s="202">
        <v>30800440</v>
      </c>
    </row>
    <row r="54" spans="1:20" outlineLevel="3" collapsed="1" x14ac:dyDescent="0.25">
      <c r="A54" s="381" t="s">
        <v>1520</v>
      </c>
      <c r="B54" s="342"/>
      <c r="C54" s="195" t="str">
        <f t="shared" si="0"/>
        <v>21-049901G</v>
      </c>
      <c r="D54" s="200">
        <v>0</v>
      </c>
      <c r="E54" s="201" t="s">
        <v>86</v>
      </c>
      <c r="F54" s="202">
        <v>0</v>
      </c>
      <c r="G54" s="203">
        <v>0</v>
      </c>
      <c r="H54" s="202">
        <v>0</v>
      </c>
      <c r="I54" s="201" t="s">
        <v>86</v>
      </c>
      <c r="J54" s="202">
        <v>0</v>
      </c>
      <c r="K54" s="204">
        <v>0</v>
      </c>
      <c r="L54" s="382">
        <v>0</v>
      </c>
      <c r="M54" s="342"/>
      <c r="N54" s="202">
        <v>0</v>
      </c>
      <c r="O54" s="202">
        <v>0</v>
      </c>
      <c r="P54" s="202">
        <v>0</v>
      </c>
      <c r="Q54" s="207" t="s">
        <v>86</v>
      </c>
      <c r="R54" s="202">
        <v>0</v>
      </c>
      <c r="S54" s="202">
        <v>0</v>
      </c>
      <c r="T54" s="202">
        <v>0</v>
      </c>
    </row>
    <row r="55" spans="1:20" outlineLevel="2" x14ac:dyDescent="0.25">
      <c r="A55" s="385" t="s">
        <v>1495</v>
      </c>
      <c r="B55" s="342"/>
      <c r="C55" s="195" t="str">
        <f t="shared" si="0"/>
        <v>Electricid</v>
      </c>
      <c r="D55" s="3">
        <v>346392919</v>
      </c>
      <c r="E55" s="275" t="s">
        <v>86</v>
      </c>
      <c r="F55" s="71">
        <v>0</v>
      </c>
      <c r="G55" s="71">
        <v>346392919</v>
      </c>
      <c r="H55" s="71">
        <v>346392919</v>
      </c>
      <c r="I55" s="275" t="s">
        <v>86</v>
      </c>
      <c r="J55" s="71">
        <v>0</v>
      </c>
      <c r="K55" s="71">
        <v>0</v>
      </c>
      <c r="L55" s="386">
        <v>0</v>
      </c>
      <c r="M55" s="342"/>
      <c r="N55" s="71">
        <v>0</v>
      </c>
      <c r="O55" s="71">
        <v>0</v>
      </c>
      <c r="P55" s="71">
        <v>0</v>
      </c>
      <c r="Q55" s="276" t="s">
        <v>86</v>
      </c>
      <c r="R55" s="71">
        <v>346392919</v>
      </c>
      <c r="S55" s="71">
        <v>0</v>
      </c>
      <c r="T55" s="71">
        <v>346392919</v>
      </c>
    </row>
    <row r="56" spans="1:20" outlineLevel="3" collapsed="1" x14ac:dyDescent="0.25">
      <c r="A56" s="381" t="s">
        <v>1521</v>
      </c>
      <c r="B56" s="342"/>
      <c r="C56" s="195" t="str">
        <f t="shared" si="0"/>
        <v>21-051801A</v>
      </c>
      <c r="D56" s="200">
        <v>19027296</v>
      </c>
      <c r="E56" s="201" t="s">
        <v>86</v>
      </c>
      <c r="F56" s="202">
        <v>0</v>
      </c>
      <c r="G56" s="203">
        <v>19027296</v>
      </c>
      <c r="H56" s="202">
        <v>19027296</v>
      </c>
      <c r="I56" s="201" t="s">
        <v>86</v>
      </c>
      <c r="J56" s="202">
        <v>0</v>
      </c>
      <c r="K56" s="204">
        <v>0</v>
      </c>
      <c r="L56" s="382">
        <v>0</v>
      </c>
      <c r="M56" s="342"/>
      <c r="N56" s="202">
        <v>0</v>
      </c>
      <c r="O56" s="202">
        <v>0</v>
      </c>
      <c r="P56" s="202">
        <v>0</v>
      </c>
      <c r="Q56" s="207" t="s">
        <v>86</v>
      </c>
      <c r="R56" s="202">
        <v>19027296</v>
      </c>
      <c r="S56" s="202">
        <v>0</v>
      </c>
      <c r="T56" s="202">
        <v>19027296</v>
      </c>
    </row>
    <row r="57" spans="1:20" outlineLevel="3" collapsed="1" x14ac:dyDescent="0.25">
      <c r="A57" s="381" t="s">
        <v>1522</v>
      </c>
      <c r="B57" s="342"/>
      <c r="C57" s="195" t="str">
        <f t="shared" si="0"/>
        <v>21-051801G</v>
      </c>
      <c r="D57" s="200">
        <v>0</v>
      </c>
      <c r="E57" s="201" t="s">
        <v>86</v>
      </c>
      <c r="F57" s="202">
        <v>0</v>
      </c>
      <c r="G57" s="203">
        <v>0</v>
      </c>
      <c r="H57" s="202">
        <v>0</v>
      </c>
      <c r="I57" s="201" t="s">
        <v>86</v>
      </c>
      <c r="J57" s="202">
        <v>0</v>
      </c>
      <c r="K57" s="204">
        <v>0</v>
      </c>
      <c r="L57" s="382">
        <v>0</v>
      </c>
      <c r="M57" s="342"/>
      <c r="N57" s="202">
        <v>0</v>
      </c>
      <c r="O57" s="202">
        <v>0</v>
      </c>
      <c r="P57" s="202">
        <v>0</v>
      </c>
      <c r="Q57" s="207" t="s">
        <v>86</v>
      </c>
      <c r="R57" s="202">
        <v>0</v>
      </c>
      <c r="S57" s="202">
        <v>0</v>
      </c>
      <c r="T57" s="202">
        <v>0</v>
      </c>
    </row>
    <row r="58" spans="1:20" outlineLevel="3" collapsed="1" x14ac:dyDescent="0.25">
      <c r="A58" s="381" t="s">
        <v>1523</v>
      </c>
      <c r="B58" s="342"/>
      <c r="C58" s="195" t="str">
        <f t="shared" si="0"/>
        <v>21-052101A</v>
      </c>
      <c r="D58" s="200">
        <v>1162338</v>
      </c>
      <c r="E58" s="201" t="s">
        <v>86</v>
      </c>
      <c r="F58" s="202">
        <v>0</v>
      </c>
      <c r="G58" s="203">
        <v>1162338</v>
      </c>
      <c r="H58" s="202">
        <v>1162338</v>
      </c>
      <c r="I58" s="201" t="s">
        <v>86</v>
      </c>
      <c r="J58" s="202">
        <v>0</v>
      </c>
      <c r="K58" s="204">
        <v>0</v>
      </c>
      <c r="L58" s="382">
        <v>0</v>
      </c>
      <c r="M58" s="342"/>
      <c r="N58" s="202">
        <v>0</v>
      </c>
      <c r="O58" s="202">
        <v>0</v>
      </c>
      <c r="P58" s="202">
        <v>0</v>
      </c>
      <c r="Q58" s="207" t="s">
        <v>86</v>
      </c>
      <c r="R58" s="202">
        <v>1162338</v>
      </c>
      <c r="S58" s="202">
        <v>0</v>
      </c>
      <c r="T58" s="202">
        <v>1162338</v>
      </c>
    </row>
    <row r="59" spans="1:20" outlineLevel="3" collapsed="1" x14ac:dyDescent="0.25">
      <c r="A59" s="381" t="s">
        <v>1524</v>
      </c>
      <c r="B59" s="342"/>
      <c r="C59" s="195" t="str">
        <f t="shared" si="0"/>
        <v>21-052101G</v>
      </c>
      <c r="D59" s="200">
        <v>0</v>
      </c>
      <c r="E59" s="201" t="s">
        <v>86</v>
      </c>
      <c r="F59" s="202">
        <v>0</v>
      </c>
      <c r="G59" s="203">
        <v>0</v>
      </c>
      <c r="H59" s="202">
        <v>0</v>
      </c>
      <c r="I59" s="201" t="s">
        <v>86</v>
      </c>
      <c r="J59" s="202">
        <v>0</v>
      </c>
      <c r="K59" s="204">
        <v>0</v>
      </c>
      <c r="L59" s="382">
        <v>0</v>
      </c>
      <c r="M59" s="342"/>
      <c r="N59" s="202">
        <v>0</v>
      </c>
      <c r="O59" s="202">
        <v>0</v>
      </c>
      <c r="P59" s="202">
        <v>0</v>
      </c>
      <c r="Q59" s="207" t="s">
        <v>86</v>
      </c>
      <c r="R59" s="202">
        <v>0</v>
      </c>
      <c r="S59" s="202">
        <v>0</v>
      </c>
      <c r="T59" s="202">
        <v>0</v>
      </c>
    </row>
    <row r="60" spans="1:20" outlineLevel="3" collapsed="1" x14ac:dyDescent="0.25">
      <c r="A60" s="381" t="s">
        <v>1525</v>
      </c>
      <c r="B60" s="342"/>
      <c r="C60" s="195" t="str">
        <f t="shared" si="0"/>
        <v>21-059901A</v>
      </c>
      <c r="D60" s="200">
        <v>326203285</v>
      </c>
      <c r="E60" s="201" t="s">
        <v>86</v>
      </c>
      <c r="F60" s="202">
        <v>0</v>
      </c>
      <c r="G60" s="203">
        <v>326203285</v>
      </c>
      <c r="H60" s="202">
        <v>326203285</v>
      </c>
      <c r="I60" s="201" t="s">
        <v>86</v>
      </c>
      <c r="J60" s="202">
        <v>0</v>
      </c>
      <c r="K60" s="204">
        <v>0</v>
      </c>
      <c r="L60" s="382">
        <v>0</v>
      </c>
      <c r="M60" s="342"/>
      <c r="N60" s="202">
        <v>0</v>
      </c>
      <c r="O60" s="202">
        <v>0</v>
      </c>
      <c r="P60" s="202">
        <v>0</v>
      </c>
      <c r="Q60" s="207" t="s">
        <v>86</v>
      </c>
      <c r="R60" s="202">
        <v>326203285</v>
      </c>
      <c r="S60" s="202">
        <v>0</v>
      </c>
      <c r="T60" s="202">
        <v>326203285</v>
      </c>
    </row>
    <row r="61" spans="1:20" outlineLevel="3" collapsed="1" x14ac:dyDescent="0.25">
      <c r="A61" s="381" t="s">
        <v>1526</v>
      </c>
      <c r="B61" s="342"/>
      <c r="C61" s="195" t="str">
        <f t="shared" si="0"/>
        <v>21-059901G</v>
      </c>
      <c r="D61" s="200">
        <v>0</v>
      </c>
      <c r="E61" s="201" t="s">
        <v>86</v>
      </c>
      <c r="F61" s="202">
        <v>0</v>
      </c>
      <c r="G61" s="203">
        <v>0</v>
      </c>
      <c r="H61" s="202">
        <v>0</v>
      </c>
      <c r="I61" s="201" t="s">
        <v>86</v>
      </c>
      <c r="J61" s="202">
        <v>0</v>
      </c>
      <c r="K61" s="204">
        <v>0</v>
      </c>
      <c r="L61" s="382">
        <v>0</v>
      </c>
      <c r="M61" s="342"/>
      <c r="N61" s="202">
        <v>0</v>
      </c>
      <c r="O61" s="202">
        <v>0</v>
      </c>
      <c r="P61" s="202">
        <v>0</v>
      </c>
      <c r="Q61" s="207" t="s">
        <v>86</v>
      </c>
      <c r="R61" s="202">
        <v>0</v>
      </c>
      <c r="S61" s="202">
        <v>0</v>
      </c>
      <c r="T61" s="202">
        <v>0</v>
      </c>
    </row>
    <row r="62" spans="1:20" outlineLevel="1" x14ac:dyDescent="0.25">
      <c r="A62" s="387" t="s">
        <v>201</v>
      </c>
      <c r="B62" s="342"/>
      <c r="C62" s="195" t="str">
        <f t="shared" si="0"/>
        <v>OSTO PROPO</v>
      </c>
      <c r="D62" s="196">
        <v>10413713582</v>
      </c>
      <c r="E62" s="195" t="s">
        <v>86</v>
      </c>
      <c r="F62" s="197">
        <v>50274465</v>
      </c>
      <c r="G62" s="197">
        <v>10385471772</v>
      </c>
      <c r="H62" s="197">
        <v>10435746237</v>
      </c>
      <c r="I62" s="195" t="s">
        <v>86</v>
      </c>
      <c r="J62" s="209">
        <v>37354188</v>
      </c>
      <c r="K62" s="209">
        <v>224582562</v>
      </c>
      <c r="L62" s="388">
        <v>21779613</v>
      </c>
      <c r="M62" s="342"/>
      <c r="N62" s="209">
        <v>0</v>
      </c>
      <c r="O62" s="209">
        <v>246362175</v>
      </c>
      <c r="P62" s="209">
        <v>283716363</v>
      </c>
      <c r="Q62" s="198" t="s">
        <v>86</v>
      </c>
      <c r="R62" s="197">
        <v>10435746237</v>
      </c>
      <c r="S62" s="209">
        <v>283716363</v>
      </c>
      <c r="T62" s="199">
        <v>10152029874</v>
      </c>
    </row>
    <row r="63" spans="1:20" outlineLevel="2" x14ac:dyDescent="0.25">
      <c r="A63" s="385" t="s">
        <v>1527</v>
      </c>
      <c r="B63" s="342"/>
      <c r="C63" s="195" t="str">
        <f t="shared" si="0"/>
        <v>Movilizaci</v>
      </c>
      <c r="D63" s="3">
        <v>4577899786</v>
      </c>
      <c r="E63" s="275" t="s">
        <v>86</v>
      </c>
      <c r="F63" s="71">
        <v>0</v>
      </c>
      <c r="G63" s="71">
        <v>4577899786</v>
      </c>
      <c r="H63" s="71">
        <v>4577899786</v>
      </c>
      <c r="I63" s="275" t="s">
        <v>86</v>
      </c>
      <c r="J63" s="71">
        <v>1382596</v>
      </c>
      <c r="K63" s="71">
        <v>0</v>
      </c>
      <c r="L63" s="386">
        <v>0</v>
      </c>
      <c r="M63" s="342"/>
      <c r="N63" s="71">
        <v>0</v>
      </c>
      <c r="O63" s="71">
        <v>0</v>
      </c>
      <c r="P63" s="71">
        <v>1382596</v>
      </c>
      <c r="Q63" s="276" t="s">
        <v>86</v>
      </c>
      <c r="R63" s="71">
        <v>4577899786</v>
      </c>
      <c r="S63" s="71">
        <v>1382596</v>
      </c>
      <c r="T63" s="71">
        <v>4576517190</v>
      </c>
    </row>
    <row r="64" spans="1:20" outlineLevel="3" collapsed="1" x14ac:dyDescent="0.25">
      <c r="A64" s="381" t="s">
        <v>1528</v>
      </c>
      <c r="B64" s="342"/>
      <c r="C64" s="195" t="str">
        <f t="shared" si="0"/>
        <v>51-040100A</v>
      </c>
      <c r="D64" s="200">
        <v>4577899786</v>
      </c>
      <c r="E64" s="201" t="s">
        <v>86</v>
      </c>
      <c r="F64" s="202">
        <v>0</v>
      </c>
      <c r="G64" s="203">
        <v>4577899786</v>
      </c>
      <c r="H64" s="202">
        <v>4577899786</v>
      </c>
      <c r="I64" s="201" t="s">
        <v>86</v>
      </c>
      <c r="J64" s="202">
        <v>1382596</v>
      </c>
      <c r="K64" s="204">
        <v>0</v>
      </c>
      <c r="L64" s="382">
        <v>0</v>
      </c>
      <c r="M64" s="342"/>
      <c r="N64" s="202">
        <v>0</v>
      </c>
      <c r="O64" s="202">
        <v>0</v>
      </c>
      <c r="P64" s="202">
        <v>1382596</v>
      </c>
      <c r="Q64" s="207" t="s">
        <v>86</v>
      </c>
      <c r="R64" s="202">
        <v>4577899786</v>
      </c>
      <c r="S64" s="202">
        <v>1382596</v>
      </c>
      <c r="T64" s="202">
        <v>4576517190</v>
      </c>
    </row>
    <row r="65" spans="1:20" outlineLevel="3" collapsed="1" x14ac:dyDescent="0.25">
      <c r="A65" s="381" t="s">
        <v>1529</v>
      </c>
      <c r="B65" s="342"/>
      <c r="C65" s="195" t="str">
        <f t="shared" si="0"/>
        <v>51-040100G</v>
      </c>
      <c r="D65" s="200">
        <v>0</v>
      </c>
      <c r="E65" s="201" t="s">
        <v>86</v>
      </c>
      <c r="F65" s="202">
        <v>0</v>
      </c>
      <c r="G65" s="203">
        <v>0</v>
      </c>
      <c r="H65" s="202">
        <v>0</v>
      </c>
      <c r="I65" s="201" t="s">
        <v>86</v>
      </c>
      <c r="J65" s="202">
        <v>0</v>
      </c>
      <c r="K65" s="204">
        <v>0</v>
      </c>
      <c r="L65" s="382">
        <v>0</v>
      </c>
      <c r="M65" s="342"/>
      <c r="N65" s="202">
        <v>0</v>
      </c>
      <c r="O65" s="202">
        <v>0</v>
      </c>
      <c r="P65" s="202">
        <v>0</v>
      </c>
      <c r="Q65" s="207" t="s">
        <v>86</v>
      </c>
      <c r="R65" s="202">
        <v>0</v>
      </c>
      <c r="S65" s="202">
        <v>0</v>
      </c>
      <c r="T65" s="202">
        <v>0</v>
      </c>
    </row>
    <row r="66" spans="1:20" outlineLevel="2" x14ac:dyDescent="0.25">
      <c r="A66" s="385" t="s">
        <v>1530</v>
      </c>
      <c r="B66" s="342"/>
      <c r="C66" s="195" t="str">
        <f t="shared" si="0"/>
        <v>Alimentaci</v>
      </c>
      <c r="D66" s="3">
        <v>3511939866</v>
      </c>
      <c r="E66" s="275" t="s">
        <v>86</v>
      </c>
      <c r="F66" s="71">
        <v>0</v>
      </c>
      <c r="G66" s="71">
        <v>3511939866</v>
      </c>
      <c r="H66" s="71">
        <v>3511939866</v>
      </c>
      <c r="I66" s="275" t="s">
        <v>86</v>
      </c>
      <c r="J66" s="71">
        <v>0</v>
      </c>
      <c r="K66" s="71">
        <v>179690</v>
      </c>
      <c r="L66" s="386">
        <v>0</v>
      </c>
      <c r="M66" s="342"/>
      <c r="N66" s="71">
        <v>0</v>
      </c>
      <c r="O66" s="71">
        <v>179690</v>
      </c>
      <c r="P66" s="71">
        <v>179690</v>
      </c>
      <c r="Q66" s="276" t="s">
        <v>86</v>
      </c>
      <c r="R66" s="71">
        <v>3511939866</v>
      </c>
      <c r="S66" s="71">
        <v>179690</v>
      </c>
      <c r="T66" s="71">
        <v>3511760176</v>
      </c>
    </row>
    <row r="67" spans="1:20" outlineLevel="3" collapsed="1" x14ac:dyDescent="0.25">
      <c r="A67" s="381" t="s">
        <v>1531</v>
      </c>
      <c r="B67" s="342"/>
      <c r="C67" s="195" t="str">
        <f t="shared" si="0"/>
        <v>51-050100A</v>
      </c>
      <c r="D67" s="200">
        <v>3511939866</v>
      </c>
      <c r="E67" s="201" t="s">
        <v>86</v>
      </c>
      <c r="F67" s="202">
        <v>0</v>
      </c>
      <c r="G67" s="203">
        <v>3511939866</v>
      </c>
      <c r="H67" s="202">
        <v>3511939866</v>
      </c>
      <c r="I67" s="201" t="s">
        <v>86</v>
      </c>
      <c r="J67" s="202">
        <v>0</v>
      </c>
      <c r="K67" s="204">
        <v>179690</v>
      </c>
      <c r="L67" s="382">
        <v>0</v>
      </c>
      <c r="M67" s="342"/>
      <c r="N67" s="202">
        <v>0</v>
      </c>
      <c r="O67" s="202">
        <v>179690</v>
      </c>
      <c r="P67" s="202">
        <v>179690</v>
      </c>
      <c r="Q67" s="207" t="s">
        <v>86</v>
      </c>
      <c r="R67" s="202">
        <v>3511939866</v>
      </c>
      <c r="S67" s="202">
        <v>179690</v>
      </c>
      <c r="T67" s="202">
        <v>3511760176</v>
      </c>
    </row>
    <row r="68" spans="1:20" outlineLevel="3" collapsed="1" x14ac:dyDescent="0.25">
      <c r="A68" s="381" t="s">
        <v>1532</v>
      </c>
      <c r="B68" s="342"/>
      <c r="C68" s="195" t="str">
        <f t="shared" si="0"/>
        <v>51-050100G</v>
      </c>
      <c r="D68" s="200">
        <v>0</v>
      </c>
      <c r="E68" s="201" t="s">
        <v>86</v>
      </c>
      <c r="F68" s="202">
        <v>0</v>
      </c>
      <c r="G68" s="203">
        <v>0</v>
      </c>
      <c r="H68" s="202">
        <v>0</v>
      </c>
      <c r="I68" s="201" t="s">
        <v>86</v>
      </c>
      <c r="J68" s="202">
        <v>0</v>
      </c>
      <c r="K68" s="204">
        <v>0</v>
      </c>
      <c r="L68" s="382">
        <v>0</v>
      </c>
      <c r="M68" s="342"/>
      <c r="N68" s="202">
        <v>0</v>
      </c>
      <c r="O68" s="202">
        <v>0</v>
      </c>
      <c r="P68" s="202">
        <v>0</v>
      </c>
      <c r="Q68" s="207" t="s">
        <v>86</v>
      </c>
      <c r="R68" s="202">
        <v>0</v>
      </c>
      <c r="S68" s="202">
        <v>0</v>
      </c>
      <c r="T68" s="202">
        <v>0</v>
      </c>
    </row>
    <row r="69" spans="1:20" outlineLevel="2" x14ac:dyDescent="0.25">
      <c r="A69" s="385" t="s">
        <v>1533</v>
      </c>
      <c r="B69" s="342"/>
      <c r="C69" s="195" t="str">
        <f t="shared" si="0"/>
        <v>Cursos y E</v>
      </c>
      <c r="D69" s="3">
        <v>889177446</v>
      </c>
      <c r="E69" s="275" t="s">
        <v>86</v>
      </c>
      <c r="F69" s="71">
        <v>35403423</v>
      </c>
      <c r="G69" s="71">
        <v>874811535</v>
      </c>
      <c r="H69" s="71">
        <v>910214958</v>
      </c>
      <c r="I69" s="275" t="s">
        <v>86</v>
      </c>
      <c r="J69" s="71">
        <v>20101110</v>
      </c>
      <c r="K69" s="71">
        <v>-555090</v>
      </c>
      <c r="L69" s="386">
        <v>0</v>
      </c>
      <c r="M69" s="342"/>
      <c r="N69" s="71">
        <v>0</v>
      </c>
      <c r="O69" s="71">
        <v>-555090</v>
      </c>
      <c r="P69" s="71">
        <v>19546020</v>
      </c>
      <c r="Q69" s="276" t="s">
        <v>86</v>
      </c>
      <c r="R69" s="71">
        <v>910214958</v>
      </c>
      <c r="S69" s="71">
        <v>19546020</v>
      </c>
      <c r="T69" s="71">
        <v>890668938</v>
      </c>
    </row>
    <row r="70" spans="1:20" outlineLevel="3" collapsed="1" x14ac:dyDescent="0.25">
      <c r="A70" s="381" t="s">
        <v>1534</v>
      </c>
      <c r="B70" s="342"/>
      <c r="C70" s="195" t="str">
        <f t="shared" si="0"/>
        <v>72-105010A</v>
      </c>
      <c r="D70" s="200">
        <v>889177446</v>
      </c>
      <c r="E70" s="201" t="s">
        <v>86</v>
      </c>
      <c r="F70" s="202">
        <v>35403423</v>
      </c>
      <c r="G70" s="203">
        <v>874811535</v>
      </c>
      <c r="H70" s="202">
        <v>910214958</v>
      </c>
      <c r="I70" s="201" t="s">
        <v>86</v>
      </c>
      <c r="J70" s="202">
        <v>20085615</v>
      </c>
      <c r="K70" s="204">
        <v>-555090</v>
      </c>
      <c r="L70" s="382">
        <v>0</v>
      </c>
      <c r="M70" s="342"/>
      <c r="N70" s="202">
        <v>0</v>
      </c>
      <c r="O70" s="202">
        <v>-555090</v>
      </c>
      <c r="P70" s="202">
        <v>19530525</v>
      </c>
      <c r="Q70" s="207" t="s">
        <v>86</v>
      </c>
      <c r="R70" s="202">
        <v>910214958</v>
      </c>
      <c r="S70" s="202">
        <v>19530525</v>
      </c>
      <c r="T70" s="202">
        <v>890684433</v>
      </c>
    </row>
    <row r="71" spans="1:20" outlineLevel="3" collapsed="1" x14ac:dyDescent="0.25">
      <c r="A71" s="381" t="s">
        <v>1535</v>
      </c>
      <c r="B71" s="342"/>
      <c r="C71" s="195" t="str">
        <f t="shared" ref="C71:C134" si="1">IF(MID(A71,6,1)="      - ","-",
IF(A71="     0 - Categoría NULA",0,MID(A71,6,10)))</f>
        <v>72-105010G</v>
      </c>
      <c r="D71" s="200">
        <v>0</v>
      </c>
      <c r="E71" s="201" t="s">
        <v>86</v>
      </c>
      <c r="F71" s="202">
        <v>0</v>
      </c>
      <c r="G71" s="203">
        <v>0</v>
      </c>
      <c r="H71" s="202">
        <v>0</v>
      </c>
      <c r="I71" s="201" t="s">
        <v>86</v>
      </c>
      <c r="J71" s="202">
        <v>15495</v>
      </c>
      <c r="K71" s="204">
        <v>0</v>
      </c>
      <c r="L71" s="382">
        <v>0</v>
      </c>
      <c r="M71" s="342"/>
      <c r="N71" s="202">
        <v>0</v>
      </c>
      <c r="O71" s="202">
        <v>0</v>
      </c>
      <c r="P71" s="202">
        <v>15495</v>
      </c>
      <c r="Q71" s="207" t="s">
        <v>86</v>
      </c>
      <c r="R71" s="202">
        <v>0</v>
      </c>
      <c r="S71" s="202">
        <v>15495</v>
      </c>
      <c r="T71" s="202">
        <v>-15495</v>
      </c>
    </row>
    <row r="72" spans="1:20" outlineLevel="2" x14ac:dyDescent="0.25">
      <c r="A72" s="385" t="s">
        <v>1536</v>
      </c>
      <c r="B72" s="342"/>
      <c r="C72" s="195" t="str">
        <f t="shared" si="1"/>
        <v>Elem. de S</v>
      </c>
      <c r="D72" s="3">
        <v>1020192452</v>
      </c>
      <c r="E72" s="275" t="s">
        <v>86</v>
      </c>
      <c r="F72" s="71">
        <v>13900677</v>
      </c>
      <c r="G72" s="71">
        <v>1007286918</v>
      </c>
      <c r="H72" s="71">
        <v>1021187595</v>
      </c>
      <c r="I72" s="275" t="s">
        <v>86</v>
      </c>
      <c r="J72" s="71">
        <v>15700682</v>
      </c>
      <c r="K72" s="71">
        <v>176733744</v>
      </c>
      <c r="L72" s="386">
        <v>11057920</v>
      </c>
      <c r="M72" s="342"/>
      <c r="N72" s="71">
        <v>0</v>
      </c>
      <c r="O72" s="71">
        <v>187791664</v>
      </c>
      <c r="P72" s="71">
        <v>203492346</v>
      </c>
      <c r="Q72" s="276" t="s">
        <v>86</v>
      </c>
      <c r="R72" s="71">
        <v>1021187595</v>
      </c>
      <c r="S72" s="71">
        <v>203492346</v>
      </c>
      <c r="T72" s="71">
        <v>817695249</v>
      </c>
    </row>
    <row r="73" spans="1:20" outlineLevel="3" collapsed="1" x14ac:dyDescent="0.25">
      <c r="A73" s="381" t="s">
        <v>1537</v>
      </c>
      <c r="B73" s="342"/>
      <c r="C73" s="195" t="str">
        <f t="shared" si="1"/>
        <v>51-010100A</v>
      </c>
      <c r="D73" s="200">
        <v>1020192452</v>
      </c>
      <c r="E73" s="201" t="s">
        <v>86</v>
      </c>
      <c r="F73" s="202">
        <v>13900677</v>
      </c>
      <c r="G73" s="203">
        <v>1007286918</v>
      </c>
      <c r="H73" s="202">
        <v>1021187595</v>
      </c>
      <c r="I73" s="201" t="s">
        <v>86</v>
      </c>
      <c r="J73" s="202">
        <v>15700682</v>
      </c>
      <c r="K73" s="204">
        <v>176733744</v>
      </c>
      <c r="L73" s="382">
        <v>11057920</v>
      </c>
      <c r="M73" s="342"/>
      <c r="N73" s="202">
        <v>0</v>
      </c>
      <c r="O73" s="202">
        <v>187791664</v>
      </c>
      <c r="P73" s="202">
        <v>203492346</v>
      </c>
      <c r="Q73" s="207" t="s">
        <v>86</v>
      </c>
      <c r="R73" s="202">
        <v>1021187595</v>
      </c>
      <c r="S73" s="202">
        <v>203492346</v>
      </c>
      <c r="T73" s="202">
        <v>817695249</v>
      </c>
    </row>
    <row r="74" spans="1:20" outlineLevel="3" collapsed="1" x14ac:dyDescent="0.25">
      <c r="A74" s="381" t="s">
        <v>1538</v>
      </c>
      <c r="B74" s="342"/>
      <c r="C74" s="195" t="str">
        <f t="shared" si="1"/>
        <v>51-010100G</v>
      </c>
      <c r="D74" s="200">
        <v>0</v>
      </c>
      <c r="E74" s="201" t="s">
        <v>86</v>
      </c>
      <c r="F74" s="202">
        <v>0</v>
      </c>
      <c r="G74" s="203">
        <v>0</v>
      </c>
      <c r="H74" s="202">
        <v>0</v>
      </c>
      <c r="I74" s="201" t="s">
        <v>86</v>
      </c>
      <c r="J74" s="202">
        <v>0</v>
      </c>
      <c r="K74" s="204">
        <v>0</v>
      </c>
      <c r="L74" s="382">
        <v>0</v>
      </c>
      <c r="M74" s="342"/>
      <c r="N74" s="202">
        <v>0</v>
      </c>
      <c r="O74" s="202">
        <v>0</v>
      </c>
      <c r="P74" s="202">
        <v>0</v>
      </c>
      <c r="Q74" s="207" t="s">
        <v>86</v>
      </c>
      <c r="R74" s="202">
        <v>0</v>
      </c>
      <c r="S74" s="202">
        <v>0</v>
      </c>
      <c r="T74" s="202">
        <v>0</v>
      </c>
    </row>
    <row r="75" spans="1:20" outlineLevel="2" x14ac:dyDescent="0.25">
      <c r="A75" s="385" t="s">
        <v>1539</v>
      </c>
      <c r="B75" s="342"/>
      <c r="C75" s="195" t="str">
        <f t="shared" si="1"/>
        <v>Mat. de Co</v>
      </c>
      <c r="D75" s="3">
        <v>233136584</v>
      </c>
      <c r="E75" s="275" t="s">
        <v>86</v>
      </c>
      <c r="F75" s="71">
        <v>115901</v>
      </c>
      <c r="G75" s="71">
        <v>233020683</v>
      </c>
      <c r="H75" s="71">
        <v>233136584</v>
      </c>
      <c r="I75" s="275" t="s">
        <v>86</v>
      </c>
      <c r="J75" s="71">
        <v>165500</v>
      </c>
      <c r="K75" s="71">
        <v>10395865</v>
      </c>
      <c r="L75" s="386">
        <v>9819080</v>
      </c>
      <c r="M75" s="342"/>
      <c r="N75" s="71">
        <v>0</v>
      </c>
      <c r="O75" s="71">
        <v>20214945</v>
      </c>
      <c r="P75" s="71">
        <v>20380445</v>
      </c>
      <c r="Q75" s="276" t="s">
        <v>86</v>
      </c>
      <c r="R75" s="71">
        <v>233136584</v>
      </c>
      <c r="S75" s="71">
        <v>20380445</v>
      </c>
      <c r="T75" s="71">
        <v>212756139</v>
      </c>
    </row>
    <row r="76" spans="1:20" outlineLevel="3" collapsed="1" x14ac:dyDescent="0.25">
      <c r="A76" s="381" t="s">
        <v>1540</v>
      </c>
      <c r="B76" s="342"/>
      <c r="C76" s="195" t="str">
        <f t="shared" si="1"/>
        <v>51-020100A</v>
      </c>
      <c r="D76" s="200">
        <v>233136584</v>
      </c>
      <c r="E76" s="201" t="s">
        <v>86</v>
      </c>
      <c r="F76" s="202">
        <v>115901</v>
      </c>
      <c r="G76" s="203">
        <v>233020683</v>
      </c>
      <c r="H76" s="202">
        <v>233136584</v>
      </c>
      <c r="I76" s="201" t="s">
        <v>86</v>
      </c>
      <c r="J76" s="202">
        <v>165500</v>
      </c>
      <c r="K76" s="204">
        <v>10395865</v>
      </c>
      <c r="L76" s="382">
        <v>9819080</v>
      </c>
      <c r="M76" s="342"/>
      <c r="N76" s="202">
        <v>0</v>
      </c>
      <c r="O76" s="202">
        <v>20214945</v>
      </c>
      <c r="P76" s="202">
        <v>20380445</v>
      </c>
      <c r="Q76" s="207" t="s">
        <v>86</v>
      </c>
      <c r="R76" s="202">
        <v>233136584</v>
      </c>
      <c r="S76" s="202">
        <v>20380445</v>
      </c>
      <c r="T76" s="202">
        <v>212756139</v>
      </c>
    </row>
    <row r="77" spans="1:20" outlineLevel="3" collapsed="1" x14ac:dyDescent="0.25">
      <c r="A77" s="381" t="s">
        <v>1541</v>
      </c>
      <c r="B77" s="342"/>
      <c r="C77" s="195" t="str">
        <f t="shared" si="1"/>
        <v>51-020100G</v>
      </c>
      <c r="D77" s="200">
        <v>0</v>
      </c>
      <c r="E77" s="201" t="s">
        <v>86</v>
      </c>
      <c r="F77" s="202">
        <v>0</v>
      </c>
      <c r="G77" s="203">
        <v>0</v>
      </c>
      <c r="H77" s="202">
        <v>0</v>
      </c>
      <c r="I77" s="201" t="s">
        <v>86</v>
      </c>
      <c r="J77" s="202">
        <v>0</v>
      </c>
      <c r="K77" s="204">
        <v>0</v>
      </c>
      <c r="L77" s="382">
        <v>0</v>
      </c>
      <c r="M77" s="342"/>
      <c r="N77" s="202">
        <v>0</v>
      </c>
      <c r="O77" s="202">
        <v>0</v>
      </c>
      <c r="P77" s="202">
        <v>0</v>
      </c>
      <c r="Q77" s="207" t="s">
        <v>86</v>
      </c>
      <c r="R77" s="202">
        <v>0</v>
      </c>
      <c r="S77" s="202">
        <v>0</v>
      </c>
      <c r="T77" s="202">
        <v>0</v>
      </c>
    </row>
    <row r="78" spans="1:20" outlineLevel="2" x14ac:dyDescent="0.25">
      <c r="A78" s="385" t="s">
        <v>1542</v>
      </c>
      <c r="B78" s="342"/>
      <c r="C78" s="195" t="str">
        <f t="shared" si="1"/>
        <v>Herramient</v>
      </c>
      <c r="D78" s="3">
        <v>181367448</v>
      </c>
      <c r="E78" s="275" t="s">
        <v>86</v>
      </c>
      <c r="F78" s="71">
        <v>854464</v>
      </c>
      <c r="G78" s="71">
        <v>180512984</v>
      </c>
      <c r="H78" s="71">
        <v>181367448</v>
      </c>
      <c r="I78" s="275" t="s">
        <v>86</v>
      </c>
      <c r="J78" s="71">
        <v>4300</v>
      </c>
      <c r="K78" s="71">
        <v>37828353</v>
      </c>
      <c r="L78" s="386">
        <v>902613</v>
      </c>
      <c r="M78" s="342"/>
      <c r="N78" s="71">
        <v>0</v>
      </c>
      <c r="O78" s="71">
        <v>38730966</v>
      </c>
      <c r="P78" s="71">
        <v>38735266</v>
      </c>
      <c r="Q78" s="276" t="s">
        <v>86</v>
      </c>
      <c r="R78" s="71">
        <v>181367448</v>
      </c>
      <c r="S78" s="71">
        <v>38735266</v>
      </c>
      <c r="T78" s="71">
        <v>142632182</v>
      </c>
    </row>
    <row r="79" spans="1:20" outlineLevel="3" collapsed="1" x14ac:dyDescent="0.25">
      <c r="A79" s="381" t="s">
        <v>1543</v>
      </c>
      <c r="B79" s="342"/>
      <c r="C79" s="195" t="str">
        <f t="shared" si="1"/>
        <v>51-030100A</v>
      </c>
      <c r="D79" s="200">
        <v>181367448</v>
      </c>
      <c r="E79" s="201" t="s">
        <v>86</v>
      </c>
      <c r="F79" s="202">
        <v>854464</v>
      </c>
      <c r="G79" s="203">
        <v>180512984</v>
      </c>
      <c r="H79" s="202">
        <v>181367448</v>
      </c>
      <c r="I79" s="201" t="s">
        <v>86</v>
      </c>
      <c r="J79" s="202">
        <v>4300</v>
      </c>
      <c r="K79" s="204">
        <v>37828353</v>
      </c>
      <c r="L79" s="382">
        <v>902613</v>
      </c>
      <c r="M79" s="342"/>
      <c r="N79" s="202">
        <v>0</v>
      </c>
      <c r="O79" s="202">
        <v>38730966</v>
      </c>
      <c r="P79" s="202">
        <v>38735266</v>
      </c>
      <c r="Q79" s="207" t="s">
        <v>86</v>
      </c>
      <c r="R79" s="202">
        <v>181367448</v>
      </c>
      <c r="S79" s="202">
        <v>38735266</v>
      </c>
      <c r="T79" s="202">
        <v>142632182</v>
      </c>
    </row>
    <row r="80" spans="1:20" outlineLevel="3" collapsed="1" x14ac:dyDescent="0.25">
      <c r="A80" s="381" t="s">
        <v>1544</v>
      </c>
      <c r="B80" s="342"/>
      <c r="C80" s="195" t="str">
        <f t="shared" si="1"/>
        <v>51-030100G</v>
      </c>
      <c r="D80" s="200">
        <v>0</v>
      </c>
      <c r="E80" s="201" t="s">
        <v>86</v>
      </c>
      <c r="F80" s="202">
        <v>0</v>
      </c>
      <c r="G80" s="203">
        <v>0</v>
      </c>
      <c r="H80" s="202">
        <v>0</v>
      </c>
      <c r="I80" s="201" t="s">
        <v>86</v>
      </c>
      <c r="J80" s="202">
        <v>0</v>
      </c>
      <c r="K80" s="204">
        <v>0</v>
      </c>
      <c r="L80" s="382">
        <v>0</v>
      </c>
      <c r="M80" s="342"/>
      <c r="N80" s="202">
        <v>0</v>
      </c>
      <c r="O80" s="202">
        <v>0</v>
      </c>
      <c r="P80" s="202">
        <v>0</v>
      </c>
      <c r="Q80" s="207" t="s">
        <v>86</v>
      </c>
      <c r="R80" s="202">
        <v>0</v>
      </c>
      <c r="S80" s="202">
        <v>0</v>
      </c>
      <c r="T80" s="202">
        <v>0</v>
      </c>
    </row>
    <row r="81" spans="1:20" outlineLevel="1" x14ac:dyDescent="0.25">
      <c r="A81" s="387" t="s">
        <v>206</v>
      </c>
      <c r="B81" s="342"/>
      <c r="C81" s="195" t="str">
        <f t="shared" si="1"/>
        <v>QUIPOS Y C</v>
      </c>
      <c r="D81" s="196">
        <v>11187580928</v>
      </c>
      <c r="E81" s="195" t="s">
        <v>86</v>
      </c>
      <c r="F81" s="197">
        <v>128399050</v>
      </c>
      <c r="G81" s="197">
        <v>11198245469</v>
      </c>
      <c r="H81" s="197">
        <v>11326644519</v>
      </c>
      <c r="I81" s="195" t="s">
        <v>86</v>
      </c>
      <c r="J81" s="209">
        <v>183108864</v>
      </c>
      <c r="K81" s="209">
        <v>36420500</v>
      </c>
      <c r="L81" s="388">
        <v>984450</v>
      </c>
      <c r="M81" s="342"/>
      <c r="N81" s="209">
        <v>0</v>
      </c>
      <c r="O81" s="209">
        <v>37404950</v>
      </c>
      <c r="P81" s="209">
        <v>220513814</v>
      </c>
      <c r="Q81" s="198" t="s">
        <v>86</v>
      </c>
      <c r="R81" s="197">
        <v>11326644519</v>
      </c>
      <c r="S81" s="209">
        <v>220513814</v>
      </c>
      <c r="T81" s="199">
        <v>11106130705</v>
      </c>
    </row>
    <row r="82" spans="1:20" outlineLevel="2" x14ac:dyDescent="0.25">
      <c r="A82" s="385" t="s">
        <v>1545</v>
      </c>
      <c r="B82" s="342"/>
      <c r="C82" s="195" t="str">
        <f t="shared" si="1"/>
        <v>Equipo May</v>
      </c>
      <c r="D82" s="3">
        <v>3410627206</v>
      </c>
      <c r="E82" s="275" t="s">
        <v>86</v>
      </c>
      <c r="F82" s="71">
        <v>4206056</v>
      </c>
      <c r="G82" s="71">
        <v>3451796192</v>
      </c>
      <c r="H82" s="71">
        <v>3456002248</v>
      </c>
      <c r="I82" s="275" t="s">
        <v>86</v>
      </c>
      <c r="J82" s="71">
        <v>97736381</v>
      </c>
      <c r="K82" s="71">
        <v>0</v>
      </c>
      <c r="L82" s="386">
        <v>0</v>
      </c>
      <c r="M82" s="342"/>
      <c r="N82" s="71">
        <v>0</v>
      </c>
      <c r="O82" s="71">
        <v>0</v>
      </c>
      <c r="P82" s="71">
        <v>97736381</v>
      </c>
      <c r="Q82" s="276" t="s">
        <v>86</v>
      </c>
      <c r="R82" s="71">
        <v>3456002248</v>
      </c>
      <c r="S82" s="71">
        <v>97736381</v>
      </c>
      <c r="T82" s="71">
        <v>3358265867</v>
      </c>
    </row>
    <row r="83" spans="1:20" outlineLevel="3" collapsed="1" x14ac:dyDescent="0.25">
      <c r="A83" s="381" t="s">
        <v>1546</v>
      </c>
      <c r="B83" s="342"/>
      <c r="C83" s="195" t="str">
        <f t="shared" si="1"/>
        <v>41-101200A</v>
      </c>
      <c r="D83" s="200">
        <v>3410627206</v>
      </c>
      <c r="E83" s="201" t="s">
        <v>86</v>
      </c>
      <c r="F83" s="202">
        <v>4206056</v>
      </c>
      <c r="G83" s="203">
        <v>3451796192</v>
      </c>
      <c r="H83" s="202">
        <v>3456002248</v>
      </c>
      <c r="I83" s="201" t="s">
        <v>86</v>
      </c>
      <c r="J83" s="202">
        <v>0</v>
      </c>
      <c r="K83" s="204">
        <v>0</v>
      </c>
      <c r="L83" s="382">
        <v>0</v>
      </c>
      <c r="M83" s="342"/>
      <c r="N83" s="202">
        <v>0</v>
      </c>
      <c r="O83" s="202">
        <v>0</v>
      </c>
      <c r="P83" s="202">
        <v>0</v>
      </c>
      <c r="Q83" s="207" t="s">
        <v>86</v>
      </c>
      <c r="R83" s="202">
        <v>3456002248</v>
      </c>
      <c r="S83" s="202">
        <v>0</v>
      </c>
      <c r="T83" s="202">
        <v>3456002248</v>
      </c>
    </row>
    <row r="84" spans="1:20" outlineLevel="3" collapsed="1" x14ac:dyDescent="0.25">
      <c r="A84" s="381" t="s">
        <v>1547</v>
      </c>
      <c r="B84" s="342"/>
      <c r="C84" s="195" t="str">
        <f t="shared" si="1"/>
        <v>41-101200G</v>
      </c>
      <c r="D84" s="200">
        <v>0</v>
      </c>
      <c r="E84" s="201" t="s">
        <v>86</v>
      </c>
      <c r="F84" s="202">
        <v>0</v>
      </c>
      <c r="G84" s="203">
        <v>0</v>
      </c>
      <c r="H84" s="202">
        <v>0</v>
      </c>
      <c r="I84" s="201" t="s">
        <v>86</v>
      </c>
      <c r="J84" s="202">
        <v>97736381</v>
      </c>
      <c r="K84" s="204">
        <v>0</v>
      </c>
      <c r="L84" s="382">
        <v>0</v>
      </c>
      <c r="M84" s="342"/>
      <c r="N84" s="202">
        <v>0</v>
      </c>
      <c r="O84" s="202">
        <v>0</v>
      </c>
      <c r="P84" s="202">
        <v>97736381</v>
      </c>
      <c r="Q84" s="207" t="s">
        <v>86</v>
      </c>
      <c r="R84" s="202">
        <v>0</v>
      </c>
      <c r="S84" s="202">
        <v>97736381</v>
      </c>
      <c r="T84" s="202">
        <v>-97736381</v>
      </c>
    </row>
    <row r="85" spans="1:20" outlineLevel="2" x14ac:dyDescent="0.25">
      <c r="A85" s="385" t="s">
        <v>1548</v>
      </c>
      <c r="B85" s="342"/>
      <c r="C85" s="195" t="str">
        <f t="shared" si="1"/>
        <v>Equipo May</v>
      </c>
      <c r="D85" s="3">
        <v>4983960317</v>
      </c>
      <c r="E85" s="275" t="s">
        <v>86</v>
      </c>
      <c r="F85" s="71">
        <v>81976305</v>
      </c>
      <c r="G85" s="71">
        <v>4979923786</v>
      </c>
      <c r="H85" s="71">
        <v>5061900091</v>
      </c>
      <c r="I85" s="275" t="s">
        <v>86</v>
      </c>
      <c r="J85" s="71">
        <v>60543165</v>
      </c>
      <c r="K85" s="71">
        <v>4416360</v>
      </c>
      <c r="L85" s="386">
        <v>0</v>
      </c>
      <c r="M85" s="342"/>
      <c r="N85" s="71">
        <v>0</v>
      </c>
      <c r="O85" s="71">
        <v>4416360</v>
      </c>
      <c r="P85" s="71">
        <v>64959525</v>
      </c>
      <c r="Q85" s="276" t="s">
        <v>86</v>
      </c>
      <c r="R85" s="71">
        <v>5061900091</v>
      </c>
      <c r="S85" s="71">
        <v>64959525</v>
      </c>
      <c r="T85" s="71">
        <v>4996940566</v>
      </c>
    </row>
    <row r="86" spans="1:20" outlineLevel="3" collapsed="1" x14ac:dyDescent="0.25">
      <c r="A86" s="381" t="s">
        <v>1549</v>
      </c>
      <c r="B86" s="342"/>
      <c r="C86" s="195" t="str">
        <f t="shared" si="1"/>
        <v>41-102100A</v>
      </c>
      <c r="D86" s="200">
        <v>0</v>
      </c>
      <c r="E86" s="201" t="s">
        <v>86</v>
      </c>
      <c r="F86" s="202">
        <v>0</v>
      </c>
      <c r="G86" s="203">
        <v>0</v>
      </c>
      <c r="H86" s="202">
        <v>0</v>
      </c>
      <c r="I86" s="201" t="s">
        <v>86</v>
      </c>
      <c r="J86" s="202">
        <v>0</v>
      </c>
      <c r="K86" s="204">
        <v>0</v>
      </c>
      <c r="L86" s="382">
        <v>0</v>
      </c>
      <c r="M86" s="342"/>
      <c r="N86" s="202">
        <v>0</v>
      </c>
      <c r="O86" s="202">
        <v>0</v>
      </c>
      <c r="P86" s="202">
        <v>0</v>
      </c>
      <c r="Q86" s="207" t="s">
        <v>86</v>
      </c>
      <c r="R86" s="202">
        <v>0</v>
      </c>
      <c r="S86" s="202">
        <v>0</v>
      </c>
      <c r="T86" s="202">
        <v>0</v>
      </c>
    </row>
    <row r="87" spans="1:20" outlineLevel="3" collapsed="1" x14ac:dyDescent="0.25">
      <c r="A87" s="381" t="s">
        <v>1550</v>
      </c>
      <c r="B87" s="342"/>
      <c r="C87" s="195" t="str">
        <f t="shared" si="1"/>
        <v>41-102200A</v>
      </c>
      <c r="D87" s="200">
        <v>296106321</v>
      </c>
      <c r="E87" s="201" t="s">
        <v>86</v>
      </c>
      <c r="F87" s="202">
        <v>1850665</v>
      </c>
      <c r="G87" s="203">
        <v>306124392</v>
      </c>
      <c r="H87" s="202">
        <v>307975057</v>
      </c>
      <c r="I87" s="201" t="s">
        <v>86</v>
      </c>
      <c r="J87" s="202">
        <v>0</v>
      </c>
      <c r="K87" s="204">
        <v>0</v>
      </c>
      <c r="L87" s="382">
        <v>0</v>
      </c>
      <c r="M87" s="342"/>
      <c r="N87" s="202">
        <v>0</v>
      </c>
      <c r="O87" s="202">
        <v>0</v>
      </c>
      <c r="P87" s="202">
        <v>0</v>
      </c>
      <c r="Q87" s="207" t="s">
        <v>86</v>
      </c>
      <c r="R87" s="202">
        <v>307975057</v>
      </c>
      <c r="S87" s="202">
        <v>0</v>
      </c>
      <c r="T87" s="202">
        <v>307975057</v>
      </c>
    </row>
    <row r="88" spans="1:20" outlineLevel="3" collapsed="1" x14ac:dyDescent="0.25">
      <c r="A88" s="381" t="s">
        <v>1551</v>
      </c>
      <c r="B88" s="342"/>
      <c r="C88" s="195" t="str">
        <f t="shared" si="1"/>
        <v>41-102200G</v>
      </c>
      <c r="D88" s="200">
        <v>0</v>
      </c>
      <c r="E88" s="201" t="s">
        <v>86</v>
      </c>
      <c r="F88" s="202">
        <v>0</v>
      </c>
      <c r="G88" s="203">
        <v>0</v>
      </c>
      <c r="H88" s="202">
        <v>0</v>
      </c>
      <c r="I88" s="201" t="s">
        <v>86</v>
      </c>
      <c r="J88" s="202">
        <v>24279350</v>
      </c>
      <c r="K88" s="204">
        <v>0</v>
      </c>
      <c r="L88" s="382">
        <v>0</v>
      </c>
      <c r="M88" s="342"/>
      <c r="N88" s="202">
        <v>0</v>
      </c>
      <c r="O88" s="202">
        <v>0</v>
      </c>
      <c r="P88" s="202">
        <v>24279350</v>
      </c>
      <c r="Q88" s="207" t="s">
        <v>86</v>
      </c>
      <c r="R88" s="202">
        <v>0</v>
      </c>
      <c r="S88" s="202">
        <v>24279350</v>
      </c>
      <c r="T88" s="202">
        <v>-24279350</v>
      </c>
    </row>
    <row r="89" spans="1:20" outlineLevel="3" collapsed="1" x14ac:dyDescent="0.25">
      <c r="A89" s="381" t="s">
        <v>1552</v>
      </c>
      <c r="B89" s="342"/>
      <c r="C89" s="195" t="str">
        <f t="shared" si="1"/>
        <v>41-103200A</v>
      </c>
      <c r="D89" s="200">
        <v>425989321</v>
      </c>
      <c r="E89" s="201" t="s">
        <v>86</v>
      </c>
      <c r="F89" s="202">
        <v>1857394</v>
      </c>
      <c r="G89" s="203">
        <v>436304712</v>
      </c>
      <c r="H89" s="202">
        <v>438162106</v>
      </c>
      <c r="I89" s="201" t="s">
        <v>86</v>
      </c>
      <c r="J89" s="202">
        <v>0</v>
      </c>
      <c r="K89" s="204">
        <v>0</v>
      </c>
      <c r="L89" s="382">
        <v>0</v>
      </c>
      <c r="M89" s="342"/>
      <c r="N89" s="202">
        <v>0</v>
      </c>
      <c r="O89" s="202">
        <v>0</v>
      </c>
      <c r="P89" s="202">
        <v>0</v>
      </c>
      <c r="Q89" s="207" t="s">
        <v>86</v>
      </c>
      <c r="R89" s="202">
        <v>438162106</v>
      </c>
      <c r="S89" s="202">
        <v>0</v>
      </c>
      <c r="T89" s="202">
        <v>438162106</v>
      </c>
    </row>
    <row r="90" spans="1:20" outlineLevel="3" collapsed="1" x14ac:dyDescent="0.25">
      <c r="A90" s="381" t="s">
        <v>1553</v>
      </c>
      <c r="B90" s="342"/>
      <c r="C90" s="195" t="str">
        <f t="shared" si="1"/>
        <v>41-103200G</v>
      </c>
      <c r="D90" s="200">
        <v>0</v>
      </c>
      <c r="E90" s="201" t="s">
        <v>86</v>
      </c>
      <c r="F90" s="202">
        <v>0</v>
      </c>
      <c r="G90" s="203">
        <v>0</v>
      </c>
      <c r="H90" s="202">
        <v>0</v>
      </c>
      <c r="I90" s="201" t="s">
        <v>86</v>
      </c>
      <c r="J90" s="202">
        <v>0</v>
      </c>
      <c r="K90" s="204">
        <v>0</v>
      </c>
      <c r="L90" s="382">
        <v>0</v>
      </c>
      <c r="M90" s="342"/>
      <c r="N90" s="202">
        <v>0</v>
      </c>
      <c r="O90" s="202">
        <v>0</v>
      </c>
      <c r="P90" s="202">
        <v>0</v>
      </c>
      <c r="Q90" s="207" t="s">
        <v>86</v>
      </c>
      <c r="R90" s="202">
        <v>0</v>
      </c>
      <c r="S90" s="202">
        <v>0</v>
      </c>
      <c r="T90" s="202">
        <v>0</v>
      </c>
    </row>
    <row r="91" spans="1:20" outlineLevel="3" collapsed="1" x14ac:dyDescent="0.25">
      <c r="A91" s="381" t="s">
        <v>1554</v>
      </c>
      <c r="B91" s="342"/>
      <c r="C91" s="195" t="str">
        <f t="shared" si="1"/>
        <v>41-104200A</v>
      </c>
      <c r="D91" s="200">
        <v>2867645766</v>
      </c>
      <c r="E91" s="201" t="s">
        <v>86</v>
      </c>
      <c r="F91" s="202">
        <v>64692305</v>
      </c>
      <c r="G91" s="203">
        <v>2836960358</v>
      </c>
      <c r="H91" s="202">
        <v>2901652663</v>
      </c>
      <c r="I91" s="201" t="s">
        <v>86</v>
      </c>
      <c r="J91" s="202">
        <v>0</v>
      </c>
      <c r="K91" s="204">
        <v>0</v>
      </c>
      <c r="L91" s="382">
        <v>0</v>
      </c>
      <c r="M91" s="342"/>
      <c r="N91" s="202">
        <v>0</v>
      </c>
      <c r="O91" s="202">
        <v>0</v>
      </c>
      <c r="P91" s="202">
        <v>0</v>
      </c>
      <c r="Q91" s="207" t="s">
        <v>86</v>
      </c>
      <c r="R91" s="202">
        <v>2901652663</v>
      </c>
      <c r="S91" s="202">
        <v>0</v>
      </c>
      <c r="T91" s="202">
        <v>2901652663</v>
      </c>
    </row>
    <row r="92" spans="1:20" outlineLevel="3" collapsed="1" x14ac:dyDescent="0.25">
      <c r="A92" s="381" t="s">
        <v>1555</v>
      </c>
      <c r="B92" s="342"/>
      <c r="C92" s="195" t="str">
        <f t="shared" si="1"/>
        <v>41-104200G</v>
      </c>
      <c r="D92" s="200">
        <v>0</v>
      </c>
      <c r="E92" s="201" t="s">
        <v>86</v>
      </c>
      <c r="F92" s="202">
        <v>0</v>
      </c>
      <c r="G92" s="203">
        <v>0</v>
      </c>
      <c r="H92" s="202">
        <v>0</v>
      </c>
      <c r="I92" s="201" t="s">
        <v>86</v>
      </c>
      <c r="J92" s="202">
        <v>21206130</v>
      </c>
      <c r="K92" s="204">
        <v>0</v>
      </c>
      <c r="L92" s="382">
        <v>0</v>
      </c>
      <c r="M92" s="342"/>
      <c r="N92" s="202">
        <v>0</v>
      </c>
      <c r="O92" s="202">
        <v>0</v>
      </c>
      <c r="P92" s="202">
        <v>21206130</v>
      </c>
      <c r="Q92" s="207" t="s">
        <v>86</v>
      </c>
      <c r="R92" s="202">
        <v>0</v>
      </c>
      <c r="S92" s="202">
        <v>21206130</v>
      </c>
      <c r="T92" s="202">
        <v>-21206130</v>
      </c>
    </row>
    <row r="93" spans="1:20" outlineLevel="3" collapsed="1" x14ac:dyDescent="0.25">
      <c r="A93" s="381" t="s">
        <v>1556</v>
      </c>
      <c r="B93" s="342"/>
      <c r="C93" s="195" t="str">
        <f t="shared" si="1"/>
        <v>41-105200A</v>
      </c>
      <c r="D93" s="200">
        <v>111929104</v>
      </c>
      <c r="E93" s="201" t="s">
        <v>86</v>
      </c>
      <c r="F93" s="202">
        <v>680743</v>
      </c>
      <c r="G93" s="203">
        <v>115752897</v>
      </c>
      <c r="H93" s="202">
        <v>116433640</v>
      </c>
      <c r="I93" s="201" t="s">
        <v>86</v>
      </c>
      <c r="J93" s="202">
        <v>0</v>
      </c>
      <c r="K93" s="204">
        <v>0</v>
      </c>
      <c r="L93" s="382">
        <v>0</v>
      </c>
      <c r="M93" s="342"/>
      <c r="N93" s="202">
        <v>0</v>
      </c>
      <c r="O93" s="202">
        <v>0</v>
      </c>
      <c r="P93" s="202">
        <v>0</v>
      </c>
      <c r="Q93" s="207" t="s">
        <v>86</v>
      </c>
      <c r="R93" s="202">
        <v>116433640</v>
      </c>
      <c r="S93" s="202">
        <v>0</v>
      </c>
      <c r="T93" s="202">
        <v>116433640</v>
      </c>
    </row>
    <row r="94" spans="1:20" outlineLevel="3" collapsed="1" x14ac:dyDescent="0.25">
      <c r="A94" s="381" t="s">
        <v>1557</v>
      </c>
      <c r="B94" s="342"/>
      <c r="C94" s="195" t="str">
        <f t="shared" si="1"/>
        <v>41-105200G</v>
      </c>
      <c r="D94" s="200">
        <v>0</v>
      </c>
      <c r="E94" s="201" t="s">
        <v>86</v>
      </c>
      <c r="F94" s="202">
        <v>0</v>
      </c>
      <c r="G94" s="203">
        <v>0</v>
      </c>
      <c r="H94" s="202">
        <v>0</v>
      </c>
      <c r="I94" s="201" t="s">
        <v>86</v>
      </c>
      <c r="J94" s="202">
        <v>2143242</v>
      </c>
      <c r="K94" s="204">
        <v>0</v>
      </c>
      <c r="L94" s="382">
        <v>0</v>
      </c>
      <c r="M94" s="342"/>
      <c r="N94" s="202">
        <v>0</v>
      </c>
      <c r="O94" s="202">
        <v>0</v>
      </c>
      <c r="P94" s="202">
        <v>2143242</v>
      </c>
      <c r="Q94" s="207" t="s">
        <v>86</v>
      </c>
      <c r="R94" s="202">
        <v>0</v>
      </c>
      <c r="S94" s="202">
        <v>2143242</v>
      </c>
      <c r="T94" s="202">
        <v>-2143242</v>
      </c>
    </row>
    <row r="95" spans="1:20" outlineLevel="3" collapsed="1" x14ac:dyDescent="0.25">
      <c r="A95" s="381" t="s">
        <v>1558</v>
      </c>
      <c r="B95" s="342"/>
      <c r="C95" s="195" t="str">
        <f t="shared" si="1"/>
        <v>41-106200A</v>
      </c>
      <c r="D95" s="200">
        <v>124863773</v>
      </c>
      <c r="E95" s="201" t="s">
        <v>86</v>
      </c>
      <c r="F95" s="202">
        <v>409389</v>
      </c>
      <c r="G95" s="203">
        <v>127506879</v>
      </c>
      <c r="H95" s="202">
        <v>127916268</v>
      </c>
      <c r="I95" s="201" t="s">
        <v>86</v>
      </c>
      <c r="J95" s="202">
        <v>0</v>
      </c>
      <c r="K95" s="204">
        <v>0</v>
      </c>
      <c r="L95" s="382">
        <v>0</v>
      </c>
      <c r="M95" s="342"/>
      <c r="N95" s="202">
        <v>0</v>
      </c>
      <c r="O95" s="202">
        <v>0</v>
      </c>
      <c r="P95" s="202">
        <v>0</v>
      </c>
      <c r="Q95" s="207" t="s">
        <v>86</v>
      </c>
      <c r="R95" s="202">
        <v>127916268</v>
      </c>
      <c r="S95" s="202">
        <v>0</v>
      </c>
      <c r="T95" s="202">
        <v>127916268</v>
      </c>
    </row>
    <row r="96" spans="1:20" outlineLevel="3" collapsed="1" x14ac:dyDescent="0.25">
      <c r="A96" s="381" t="s">
        <v>1559</v>
      </c>
      <c r="B96" s="342"/>
      <c r="C96" s="195" t="str">
        <f t="shared" si="1"/>
        <v>41-106200G</v>
      </c>
      <c r="D96" s="200">
        <v>0</v>
      </c>
      <c r="E96" s="201" t="s">
        <v>86</v>
      </c>
      <c r="F96" s="202">
        <v>0</v>
      </c>
      <c r="G96" s="203">
        <v>0</v>
      </c>
      <c r="H96" s="202">
        <v>0</v>
      </c>
      <c r="I96" s="201" t="s">
        <v>86</v>
      </c>
      <c r="J96" s="202">
        <v>8336598</v>
      </c>
      <c r="K96" s="204">
        <v>0</v>
      </c>
      <c r="L96" s="382">
        <v>0</v>
      </c>
      <c r="M96" s="342"/>
      <c r="N96" s="202">
        <v>0</v>
      </c>
      <c r="O96" s="202">
        <v>0</v>
      </c>
      <c r="P96" s="202">
        <v>8336598</v>
      </c>
      <c r="Q96" s="207" t="s">
        <v>86</v>
      </c>
      <c r="R96" s="202">
        <v>0</v>
      </c>
      <c r="S96" s="202">
        <v>8336598</v>
      </c>
      <c r="T96" s="202">
        <v>-8336598</v>
      </c>
    </row>
    <row r="97" spans="1:20" outlineLevel="3" collapsed="1" x14ac:dyDescent="0.25">
      <c r="A97" s="381" t="s">
        <v>1560</v>
      </c>
      <c r="B97" s="342"/>
      <c r="C97" s="195" t="str">
        <f t="shared" si="1"/>
        <v>41-107200A</v>
      </c>
      <c r="D97" s="200">
        <v>322621296</v>
      </c>
      <c r="E97" s="201" t="s">
        <v>86</v>
      </c>
      <c r="F97" s="202">
        <v>0</v>
      </c>
      <c r="G97" s="203">
        <v>323416454</v>
      </c>
      <c r="H97" s="202">
        <v>323416454</v>
      </c>
      <c r="I97" s="201" t="s">
        <v>86</v>
      </c>
      <c r="J97" s="202">
        <v>0</v>
      </c>
      <c r="K97" s="204">
        <v>0</v>
      </c>
      <c r="L97" s="382">
        <v>0</v>
      </c>
      <c r="M97" s="342"/>
      <c r="N97" s="202">
        <v>0</v>
      </c>
      <c r="O97" s="202">
        <v>0</v>
      </c>
      <c r="P97" s="202">
        <v>0</v>
      </c>
      <c r="Q97" s="207" t="s">
        <v>86</v>
      </c>
      <c r="R97" s="202">
        <v>323416454</v>
      </c>
      <c r="S97" s="202">
        <v>0</v>
      </c>
      <c r="T97" s="202">
        <v>323416454</v>
      </c>
    </row>
    <row r="98" spans="1:20" outlineLevel="3" collapsed="1" x14ac:dyDescent="0.25">
      <c r="A98" s="381" t="s">
        <v>1561</v>
      </c>
      <c r="B98" s="342"/>
      <c r="C98" s="195" t="str">
        <f t="shared" si="1"/>
        <v>41-107200G</v>
      </c>
      <c r="D98" s="200">
        <v>0</v>
      </c>
      <c r="E98" s="201" t="s">
        <v>86</v>
      </c>
      <c r="F98" s="202">
        <v>0</v>
      </c>
      <c r="G98" s="203">
        <v>0</v>
      </c>
      <c r="H98" s="202">
        <v>0</v>
      </c>
      <c r="I98" s="201" t="s">
        <v>86</v>
      </c>
      <c r="J98" s="202">
        <v>0</v>
      </c>
      <c r="K98" s="204">
        <v>0</v>
      </c>
      <c r="L98" s="382">
        <v>0</v>
      </c>
      <c r="M98" s="342"/>
      <c r="N98" s="202">
        <v>0</v>
      </c>
      <c r="O98" s="202">
        <v>0</v>
      </c>
      <c r="P98" s="202">
        <v>0</v>
      </c>
      <c r="Q98" s="207" t="s">
        <v>86</v>
      </c>
      <c r="R98" s="202">
        <v>0</v>
      </c>
      <c r="S98" s="202">
        <v>0</v>
      </c>
      <c r="T98" s="202">
        <v>0</v>
      </c>
    </row>
    <row r="99" spans="1:20" outlineLevel="3" collapsed="1" x14ac:dyDescent="0.25">
      <c r="A99" s="381" t="s">
        <v>1562</v>
      </c>
      <c r="B99" s="342"/>
      <c r="C99" s="195" t="str">
        <f t="shared" si="1"/>
        <v>41-199100A</v>
      </c>
      <c r="D99" s="200">
        <v>237399735</v>
      </c>
      <c r="E99" s="201" t="s">
        <v>86</v>
      </c>
      <c r="F99" s="202">
        <v>2299202</v>
      </c>
      <c r="G99" s="203">
        <v>245167287</v>
      </c>
      <c r="H99" s="202">
        <v>247466489</v>
      </c>
      <c r="I99" s="201" t="s">
        <v>86</v>
      </c>
      <c r="J99" s="202">
        <v>0</v>
      </c>
      <c r="K99" s="204">
        <v>0</v>
      </c>
      <c r="L99" s="382">
        <v>0</v>
      </c>
      <c r="M99" s="342"/>
      <c r="N99" s="202">
        <v>0</v>
      </c>
      <c r="O99" s="202">
        <v>0</v>
      </c>
      <c r="P99" s="202">
        <v>0</v>
      </c>
      <c r="Q99" s="207" t="s">
        <v>86</v>
      </c>
      <c r="R99" s="202">
        <v>247466489</v>
      </c>
      <c r="S99" s="202">
        <v>0</v>
      </c>
      <c r="T99" s="202">
        <v>247466489</v>
      </c>
    </row>
    <row r="100" spans="1:20" outlineLevel="3" collapsed="1" x14ac:dyDescent="0.25">
      <c r="A100" s="381" t="s">
        <v>1563</v>
      </c>
      <c r="B100" s="342"/>
      <c r="C100" s="195" t="str">
        <f t="shared" si="1"/>
        <v>41-199100G</v>
      </c>
      <c r="D100" s="200">
        <v>0</v>
      </c>
      <c r="E100" s="201" t="s">
        <v>86</v>
      </c>
      <c r="F100" s="202">
        <v>0</v>
      </c>
      <c r="G100" s="203">
        <v>0</v>
      </c>
      <c r="H100" s="202">
        <v>0</v>
      </c>
      <c r="I100" s="201" t="s">
        <v>86</v>
      </c>
      <c r="J100" s="202">
        <v>4577845</v>
      </c>
      <c r="K100" s="204">
        <v>0</v>
      </c>
      <c r="L100" s="382">
        <v>0</v>
      </c>
      <c r="M100" s="342"/>
      <c r="N100" s="202">
        <v>0</v>
      </c>
      <c r="O100" s="202">
        <v>0</v>
      </c>
      <c r="P100" s="202">
        <v>4577845</v>
      </c>
      <c r="Q100" s="207" t="s">
        <v>86</v>
      </c>
      <c r="R100" s="202">
        <v>0</v>
      </c>
      <c r="S100" s="202">
        <v>4577845</v>
      </c>
      <c r="T100" s="202">
        <v>-4577845</v>
      </c>
    </row>
    <row r="101" spans="1:20" outlineLevel="3" collapsed="1" x14ac:dyDescent="0.25">
      <c r="A101" s="381" t="s">
        <v>1564</v>
      </c>
      <c r="B101" s="342"/>
      <c r="C101" s="195" t="str">
        <f t="shared" si="1"/>
        <v>41-199200A</v>
      </c>
      <c r="D101" s="200">
        <v>597405001</v>
      </c>
      <c r="E101" s="201" t="s">
        <v>86</v>
      </c>
      <c r="F101" s="202">
        <v>10186607</v>
      </c>
      <c r="G101" s="203">
        <v>588690807</v>
      </c>
      <c r="H101" s="202">
        <v>598877414</v>
      </c>
      <c r="I101" s="201" t="s">
        <v>86</v>
      </c>
      <c r="J101" s="202">
        <v>0</v>
      </c>
      <c r="K101" s="204">
        <v>4416360</v>
      </c>
      <c r="L101" s="382">
        <v>0</v>
      </c>
      <c r="M101" s="342"/>
      <c r="N101" s="202">
        <v>0</v>
      </c>
      <c r="O101" s="202">
        <v>4416360</v>
      </c>
      <c r="P101" s="202">
        <v>4416360</v>
      </c>
      <c r="Q101" s="207" t="s">
        <v>86</v>
      </c>
      <c r="R101" s="202">
        <v>598877414</v>
      </c>
      <c r="S101" s="202">
        <v>4416360</v>
      </c>
      <c r="T101" s="202">
        <v>594461054</v>
      </c>
    </row>
    <row r="102" spans="1:20" outlineLevel="3" collapsed="1" x14ac:dyDescent="0.25">
      <c r="A102" s="381" t="s">
        <v>1565</v>
      </c>
      <c r="B102" s="342"/>
      <c r="C102" s="195" t="str">
        <f t="shared" si="1"/>
        <v>41-199200G</v>
      </c>
      <c r="D102" s="200">
        <v>0</v>
      </c>
      <c r="E102" s="201" t="s">
        <v>86</v>
      </c>
      <c r="F102" s="202">
        <v>0</v>
      </c>
      <c r="G102" s="203">
        <v>0</v>
      </c>
      <c r="H102" s="202">
        <v>0</v>
      </c>
      <c r="I102" s="201" t="s">
        <v>86</v>
      </c>
      <c r="J102" s="202">
        <v>0</v>
      </c>
      <c r="K102" s="204">
        <v>0</v>
      </c>
      <c r="L102" s="382">
        <v>0</v>
      </c>
      <c r="M102" s="342"/>
      <c r="N102" s="202">
        <v>0</v>
      </c>
      <c r="O102" s="202">
        <v>0</v>
      </c>
      <c r="P102" s="202">
        <v>0</v>
      </c>
      <c r="Q102" s="207" t="s">
        <v>86</v>
      </c>
      <c r="R102" s="202">
        <v>0</v>
      </c>
      <c r="S102" s="202">
        <v>0</v>
      </c>
      <c r="T102" s="202">
        <v>0</v>
      </c>
    </row>
    <row r="103" spans="1:20" outlineLevel="2" x14ac:dyDescent="0.25">
      <c r="A103" s="385" t="s">
        <v>1566</v>
      </c>
      <c r="B103" s="342"/>
      <c r="C103" s="195" t="str">
        <f t="shared" si="1"/>
        <v>Equipo Men</v>
      </c>
      <c r="D103" s="3">
        <v>780889311</v>
      </c>
      <c r="E103" s="275" t="s">
        <v>86</v>
      </c>
      <c r="F103" s="71">
        <v>10239952</v>
      </c>
      <c r="G103" s="71">
        <v>775272224</v>
      </c>
      <c r="H103" s="71">
        <v>785512176</v>
      </c>
      <c r="I103" s="275" t="s">
        <v>86</v>
      </c>
      <c r="J103" s="71">
        <v>0</v>
      </c>
      <c r="K103" s="71">
        <v>29797140</v>
      </c>
      <c r="L103" s="386">
        <v>984450</v>
      </c>
      <c r="M103" s="342"/>
      <c r="N103" s="71">
        <v>0</v>
      </c>
      <c r="O103" s="71">
        <v>30781590</v>
      </c>
      <c r="P103" s="71">
        <v>30781590</v>
      </c>
      <c r="Q103" s="276" t="s">
        <v>86</v>
      </c>
      <c r="R103" s="71">
        <v>785512176</v>
      </c>
      <c r="S103" s="71">
        <v>30781590</v>
      </c>
      <c r="T103" s="71">
        <v>754730586</v>
      </c>
    </row>
    <row r="104" spans="1:20" outlineLevel="3" collapsed="1" x14ac:dyDescent="0.25">
      <c r="A104" s="381" t="s">
        <v>1567</v>
      </c>
      <c r="B104" s="342"/>
      <c r="C104" s="195" t="str">
        <f t="shared" si="1"/>
        <v>41-250200A</v>
      </c>
      <c r="D104" s="200">
        <v>50371723</v>
      </c>
      <c r="E104" s="201" t="s">
        <v>86</v>
      </c>
      <c r="F104" s="202">
        <v>0</v>
      </c>
      <c r="G104" s="203">
        <v>50495873</v>
      </c>
      <c r="H104" s="202">
        <v>50495873</v>
      </c>
      <c r="I104" s="201" t="s">
        <v>86</v>
      </c>
      <c r="J104" s="202">
        <v>0</v>
      </c>
      <c r="K104" s="204">
        <v>7354352</v>
      </c>
      <c r="L104" s="382">
        <v>952050</v>
      </c>
      <c r="M104" s="342"/>
      <c r="N104" s="202">
        <v>0</v>
      </c>
      <c r="O104" s="202">
        <v>8306402</v>
      </c>
      <c r="P104" s="202">
        <v>8306402</v>
      </c>
      <c r="Q104" s="207" t="s">
        <v>86</v>
      </c>
      <c r="R104" s="202">
        <v>50495873</v>
      </c>
      <c r="S104" s="202">
        <v>8306402</v>
      </c>
      <c r="T104" s="202">
        <v>42189471</v>
      </c>
    </row>
    <row r="105" spans="1:20" outlineLevel="3" collapsed="1" x14ac:dyDescent="0.25">
      <c r="A105" s="381" t="s">
        <v>1568</v>
      </c>
      <c r="B105" s="342"/>
      <c r="C105" s="195" t="str">
        <f t="shared" si="1"/>
        <v>41-250200G</v>
      </c>
      <c r="D105" s="200">
        <v>0</v>
      </c>
      <c r="E105" s="201" t="s">
        <v>86</v>
      </c>
      <c r="F105" s="202">
        <v>0</v>
      </c>
      <c r="G105" s="203">
        <v>0</v>
      </c>
      <c r="H105" s="202">
        <v>0</v>
      </c>
      <c r="I105" s="201" t="s">
        <v>86</v>
      </c>
      <c r="J105" s="202">
        <v>0</v>
      </c>
      <c r="K105" s="204">
        <v>0</v>
      </c>
      <c r="L105" s="382">
        <v>0</v>
      </c>
      <c r="M105" s="342"/>
      <c r="N105" s="202">
        <v>0</v>
      </c>
      <c r="O105" s="202">
        <v>0</v>
      </c>
      <c r="P105" s="202">
        <v>0</v>
      </c>
      <c r="Q105" s="207" t="s">
        <v>86</v>
      </c>
      <c r="R105" s="202">
        <v>0</v>
      </c>
      <c r="S105" s="202">
        <v>0</v>
      </c>
      <c r="T105" s="202">
        <v>0</v>
      </c>
    </row>
    <row r="106" spans="1:20" outlineLevel="3" collapsed="1" x14ac:dyDescent="0.25">
      <c r="A106" s="381" t="s">
        <v>1569</v>
      </c>
      <c r="B106" s="342"/>
      <c r="C106" s="195" t="str">
        <f t="shared" si="1"/>
        <v>41-299200A</v>
      </c>
      <c r="D106" s="200">
        <v>730517588</v>
      </c>
      <c r="E106" s="201" t="s">
        <v>86</v>
      </c>
      <c r="F106" s="202">
        <v>10239952</v>
      </c>
      <c r="G106" s="203">
        <v>724776351</v>
      </c>
      <c r="H106" s="202">
        <v>735016303</v>
      </c>
      <c r="I106" s="201" t="s">
        <v>86</v>
      </c>
      <c r="J106" s="202">
        <v>0</v>
      </c>
      <c r="K106" s="204">
        <v>22442788</v>
      </c>
      <c r="L106" s="382">
        <v>32400</v>
      </c>
      <c r="M106" s="342"/>
      <c r="N106" s="202">
        <v>0</v>
      </c>
      <c r="O106" s="202">
        <v>22475188</v>
      </c>
      <c r="P106" s="202">
        <v>22475188</v>
      </c>
      <c r="Q106" s="207" t="s">
        <v>86</v>
      </c>
      <c r="R106" s="202">
        <v>735016303</v>
      </c>
      <c r="S106" s="202">
        <v>22475188</v>
      </c>
      <c r="T106" s="202">
        <v>712541115</v>
      </c>
    </row>
    <row r="107" spans="1:20" outlineLevel="3" collapsed="1" x14ac:dyDescent="0.25">
      <c r="A107" s="381" t="s">
        <v>1570</v>
      </c>
      <c r="B107" s="342"/>
      <c r="C107" s="195" t="str">
        <f t="shared" si="1"/>
        <v>41-299200G</v>
      </c>
      <c r="D107" s="200">
        <v>0</v>
      </c>
      <c r="E107" s="201" t="s">
        <v>86</v>
      </c>
      <c r="F107" s="202">
        <v>0</v>
      </c>
      <c r="G107" s="203">
        <v>0</v>
      </c>
      <c r="H107" s="202">
        <v>0</v>
      </c>
      <c r="I107" s="201" t="s">
        <v>86</v>
      </c>
      <c r="J107" s="202">
        <v>0</v>
      </c>
      <c r="K107" s="204">
        <v>0</v>
      </c>
      <c r="L107" s="382">
        <v>0</v>
      </c>
      <c r="M107" s="342"/>
      <c r="N107" s="202">
        <v>0</v>
      </c>
      <c r="O107" s="202">
        <v>0</v>
      </c>
      <c r="P107" s="202">
        <v>0</v>
      </c>
      <c r="Q107" s="207" t="s">
        <v>86</v>
      </c>
      <c r="R107" s="202">
        <v>0</v>
      </c>
      <c r="S107" s="202">
        <v>0</v>
      </c>
      <c r="T107" s="202">
        <v>0</v>
      </c>
    </row>
    <row r="108" spans="1:20" outlineLevel="2" x14ac:dyDescent="0.25">
      <c r="A108" s="385" t="s">
        <v>1571</v>
      </c>
      <c r="B108" s="342"/>
      <c r="C108" s="195" t="str">
        <f t="shared" si="1"/>
        <v>Andamios</v>
      </c>
      <c r="D108" s="3">
        <v>348001401</v>
      </c>
      <c r="E108" s="275" t="s">
        <v>86</v>
      </c>
      <c r="F108" s="71">
        <v>351262</v>
      </c>
      <c r="G108" s="71">
        <v>348507851</v>
      </c>
      <c r="H108" s="71">
        <v>348859113</v>
      </c>
      <c r="I108" s="275" t="s">
        <v>86</v>
      </c>
      <c r="J108" s="71">
        <v>0</v>
      </c>
      <c r="K108" s="71">
        <v>2207000</v>
      </c>
      <c r="L108" s="386">
        <v>0</v>
      </c>
      <c r="M108" s="342"/>
      <c r="N108" s="71">
        <v>0</v>
      </c>
      <c r="O108" s="71">
        <v>2207000</v>
      </c>
      <c r="P108" s="71">
        <v>2207000</v>
      </c>
      <c r="Q108" s="276" t="s">
        <v>86</v>
      </c>
      <c r="R108" s="71">
        <v>348859113</v>
      </c>
      <c r="S108" s="71">
        <v>2207000</v>
      </c>
      <c r="T108" s="71">
        <v>346652113</v>
      </c>
    </row>
    <row r="109" spans="1:20" outlineLevel="3" collapsed="1" x14ac:dyDescent="0.25">
      <c r="A109" s="381" t="s">
        <v>1572</v>
      </c>
      <c r="B109" s="342"/>
      <c r="C109" s="195" t="str">
        <f t="shared" si="1"/>
        <v>41-252200A</v>
      </c>
      <c r="D109" s="200">
        <v>348001401</v>
      </c>
      <c r="E109" s="201" t="s">
        <v>86</v>
      </c>
      <c r="F109" s="202">
        <v>351262</v>
      </c>
      <c r="G109" s="203">
        <v>348507851</v>
      </c>
      <c r="H109" s="202">
        <v>348859113</v>
      </c>
      <c r="I109" s="201" t="s">
        <v>86</v>
      </c>
      <c r="J109" s="202">
        <v>0</v>
      </c>
      <c r="K109" s="204">
        <v>2207000</v>
      </c>
      <c r="L109" s="382">
        <v>0</v>
      </c>
      <c r="M109" s="342"/>
      <c r="N109" s="202">
        <v>0</v>
      </c>
      <c r="O109" s="202">
        <v>2207000</v>
      </c>
      <c r="P109" s="202">
        <v>2207000</v>
      </c>
      <c r="Q109" s="207" t="s">
        <v>86</v>
      </c>
      <c r="R109" s="202">
        <v>348859113</v>
      </c>
      <c r="S109" s="202">
        <v>2207000</v>
      </c>
      <c r="T109" s="202">
        <v>346652113</v>
      </c>
    </row>
    <row r="110" spans="1:20" outlineLevel="3" collapsed="1" x14ac:dyDescent="0.25">
      <c r="A110" s="381" t="s">
        <v>1573</v>
      </c>
      <c r="B110" s="342"/>
      <c r="C110" s="195" t="str">
        <f t="shared" si="1"/>
        <v>41-252200G</v>
      </c>
      <c r="D110" s="200">
        <v>0</v>
      </c>
      <c r="E110" s="201" t="s">
        <v>86</v>
      </c>
      <c r="F110" s="202">
        <v>0</v>
      </c>
      <c r="G110" s="203">
        <v>0</v>
      </c>
      <c r="H110" s="202">
        <v>0</v>
      </c>
      <c r="I110" s="201" t="s">
        <v>86</v>
      </c>
      <c r="J110" s="202">
        <v>0</v>
      </c>
      <c r="K110" s="204">
        <v>0</v>
      </c>
      <c r="L110" s="382">
        <v>0</v>
      </c>
      <c r="M110" s="342"/>
      <c r="N110" s="202">
        <v>0</v>
      </c>
      <c r="O110" s="202">
        <v>0</v>
      </c>
      <c r="P110" s="202">
        <v>0</v>
      </c>
      <c r="Q110" s="207" t="s">
        <v>86</v>
      </c>
      <c r="R110" s="202">
        <v>0</v>
      </c>
      <c r="S110" s="202">
        <v>0</v>
      </c>
      <c r="T110" s="202">
        <v>0</v>
      </c>
    </row>
    <row r="111" spans="1:20" outlineLevel="2" x14ac:dyDescent="0.25">
      <c r="A111" s="385" t="s">
        <v>1574</v>
      </c>
      <c r="B111" s="342"/>
      <c r="C111" s="195" t="str">
        <f t="shared" si="1"/>
        <v>Combustibl</v>
      </c>
      <c r="D111" s="3">
        <v>737047474</v>
      </c>
      <c r="E111" s="275" t="s">
        <v>86</v>
      </c>
      <c r="F111" s="71">
        <v>26077870</v>
      </c>
      <c r="G111" s="71">
        <v>715944151</v>
      </c>
      <c r="H111" s="71">
        <v>742022021</v>
      </c>
      <c r="I111" s="275" t="s">
        <v>86</v>
      </c>
      <c r="J111" s="71">
        <v>771389</v>
      </c>
      <c r="K111" s="71">
        <v>0</v>
      </c>
      <c r="L111" s="386">
        <v>0</v>
      </c>
      <c r="M111" s="342"/>
      <c r="N111" s="71">
        <v>0</v>
      </c>
      <c r="O111" s="71">
        <v>0</v>
      </c>
      <c r="P111" s="71">
        <v>771389</v>
      </c>
      <c r="Q111" s="276" t="s">
        <v>86</v>
      </c>
      <c r="R111" s="71">
        <v>742022021</v>
      </c>
      <c r="S111" s="71">
        <v>771389</v>
      </c>
      <c r="T111" s="71">
        <v>741250632</v>
      </c>
    </row>
    <row r="112" spans="1:20" outlineLevel="3" collapsed="1" x14ac:dyDescent="0.25">
      <c r="A112" s="381" t="s">
        <v>1575</v>
      </c>
      <c r="B112" s="342"/>
      <c r="C112" s="195" t="str">
        <f t="shared" si="1"/>
        <v>41-397100A</v>
      </c>
      <c r="D112" s="200">
        <v>737047474</v>
      </c>
      <c r="E112" s="201" t="s">
        <v>86</v>
      </c>
      <c r="F112" s="202">
        <v>26077870</v>
      </c>
      <c r="G112" s="203">
        <v>715944151</v>
      </c>
      <c r="H112" s="202">
        <v>742022021</v>
      </c>
      <c r="I112" s="201" t="s">
        <v>86</v>
      </c>
      <c r="J112" s="202">
        <v>661065</v>
      </c>
      <c r="K112" s="204">
        <v>0</v>
      </c>
      <c r="L112" s="382">
        <v>0</v>
      </c>
      <c r="M112" s="342"/>
      <c r="N112" s="202">
        <v>0</v>
      </c>
      <c r="O112" s="202">
        <v>0</v>
      </c>
      <c r="P112" s="202">
        <v>661065</v>
      </c>
      <c r="Q112" s="207" t="s">
        <v>86</v>
      </c>
      <c r="R112" s="202">
        <v>742022021</v>
      </c>
      <c r="S112" s="202">
        <v>661065</v>
      </c>
      <c r="T112" s="202">
        <v>741360956</v>
      </c>
    </row>
    <row r="113" spans="1:20" outlineLevel="3" collapsed="1" x14ac:dyDescent="0.25">
      <c r="A113" s="381" t="s">
        <v>1576</v>
      </c>
      <c r="B113" s="342"/>
      <c r="C113" s="195" t="str">
        <f t="shared" si="1"/>
        <v>41-397100G</v>
      </c>
      <c r="D113" s="200">
        <v>0</v>
      </c>
      <c r="E113" s="201" t="s">
        <v>86</v>
      </c>
      <c r="F113" s="202">
        <v>0</v>
      </c>
      <c r="G113" s="203">
        <v>0</v>
      </c>
      <c r="H113" s="202">
        <v>0</v>
      </c>
      <c r="I113" s="201" t="s">
        <v>86</v>
      </c>
      <c r="J113" s="202">
        <v>110324</v>
      </c>
      <c r="K113" s="204">
        <v>0</v>
      </c>
      <c r="L113" s="382">
        <v>0</v>
      </c>
      <c r="M113" s="342"/>
      <c r="N113" s="202">
        <v>0</v>
      </c>
      <c r="O113" s="202">
        <v>0</v>
      </c>
      <c r="P113" s="202">
        <v>110324</v>
      </c>
      <c r="Q113" s="207" t="s">
        <v>86</v>
      </c>
      <c r="R113" s="202">
        <v>0</v>
      </c>
      <c r="S113" s="202">
        <v>110324</v>
      </c>
      <c r="T113" s="202">
        <v>-110324</v>
      </c>
    </row>
    <row r="114" spans="1:20" outlineLevel="2" x14ac:dyDescent="0.25">
      <c r="A114" s="385" t="s">
        <v>1577</v>
      </c>
      <c r="B114" s="342"/>
      <c r="C114" s="195" t="str">
        <f t="shared" si="1"/>
        <v>Fletes</v>
      </c>
      <c r="D114" s="3">
        <v>510032008</v>
      </c>
      <c r="E114" s="275" t="s">
        <v>86</v>
      </c>
      <c r="F114" s="71">
        <v>3114944</v>
      </c>
      <c r="G114" s="71">
        <v>508174130</v>
      </c>
      <c r="H114" s="71">
        <v>511289074</v>
      </c>
      <c r="I114" s="275" t="s">
        <v>86</v>
      </c>
      <c r="J114" s="71">
        <v>16200000</v>
      </c>
      <c r="K114" s="71">
        <v>0</v>
      </c>
      <c r="L114" s="386">
        <v>0</v>
      </c>
      <c r="M114" s="342"/>
      <c r="N114" s="71">
        <v>0</v>
      </c>
      <c r="O114" s="71">
        <v>0</v>
      </c>
      <c r="P114" s="71">
        <v>16200000</v>
      </c>
      <c r="Q114" s="276" t="s">
        <v>86</v>
      </c>
      <c r="R114" s="71">
        <v>511289074</v>
      </c>
      <c r="S114" s="71">
        <v>16200000</v>
      </c>
      <c r="T114" s="71">
        <v>495089074</v>
      </c>
    </row>
    <row r="115" spans="1:20" outlineLevel="3" collapsed="1" x14ac:dyDescent="0.25">
      <c r="A115" s="381" t="s">
        <v>1578</v>
      </c>
      <c r="B115" s="342"/>
      <c r="C115" s="195" t="str">
        <f t="shared" si="1"/>
        <v>41-495100A</v>
      </c>
      <c r="D115" s="200">
        <v>510032008</v>
      </c>
      <c r="E115" s="201" t="s">
        <v>86</v>
      </c>
      <c r="F115" s="202">
        <v>3114944</v>
      </c>
      <c r="G115" s="203">
        <v>508174130</v>
      </c>
      <c r="H115" s="202">
        <v>511289074</v>
      </c>
      <c r="I115" s="201" t="s">
        <v>86</v>
      </c>
      <c r="J115" s="202">
        <v>16200000</v>
      </c>
      <c r="K115" s="204">
        <v>0</v>
      </c>
      <c r="L115" s="382">
        <v>0</v>
      </c>
      <c r="M115" s="342"/>
      <c r="N115" s="202">
        <v>0</v>
      </c>
      <c r="O115" s="202">
        <v>0</v>
      </c>
      <c r="P115" s="202">
        <v>16200000</v>
      </c>
      <c r="Q115" s="207" t="s">
        <v>86</v>
      </c>
      <c r="R115" s="202">
        <v>511289074</v>
      </c>
      <c r="S115" s="202">
        <v>16200000</v>
      </c>
      <c r="T115" s="202">
        <v>495089074</v>
      </c>
    </row>
    <row r="116" spans="1:20" outlineLevel="3" collapsed="1" x14ac:dyDescent="0.25">
      <c r="A116" s="381" t="s">
        <v>1579</v>
      </c>
      <c r="B116" s="342"/>
      <c r="C116" s="195" t="str">
        <f t="shared" si="1"/>
        <v>41-495100G</v>
      </c>
      <c r="D116" s="200">
        <v>0</v>
      </c>
      <c r="E116" s="201" t="s">
        <v>86</v>
      </c>
      <c r="F116" s="202">
        <v>0</v>
      </c>
      <c r="G116" s="203">
        <v>0</v>
      </c>
      <c r="H116" s="202">
        <v>0</v>
      </c>
      <c r="I116" s="201" t="s">
        <v>86</v>
      </c>
      <c r="J116" s="202">
        <v>0</v>
      </c>
      <c r="K116" s="204">
        <v>0</v>
      </c>
      <c r="L116" s="382">
        <v>0</v>
      </c>
      <c r="M116" s="342"/>
      <c r="N116" s="202">
        <v>0</v>
      </c>
      <c r="O116" s="202">
        <v>0</v>
      </c>
      <c r="P116" s="202">
        <v>0</v>
      </c>
      <c r="Q116" s="207" t="s">
        <v>86</v>
      </c>
      <c r="R116" s="202">
        <v>0</v>
      </c>
      <c r="S116" s="202">
        <v>0</v>
      </c>
      <c r="T116" s="202">
        <v>0</v>
      </c>
    </row>
    <row r="117" spans="1:20" outlineLevel="2" x14ac:dyDescent="0.25">
      <c r="A117" s="385" t="s">
        <v>1580</v>
      </c>
      <c r="B117" s="342"/>
      <c r="C117" s="195" t="str">
        <f t="shared" si="1"/>
        <v>Operador y</v>
      </c>
      <c r="D117" s="3">
        <v>417023211</v>
      </c>
      <c r="E117" s="275" t="s">
        <v>86</v>
      </c>
      <c r="F117" s="71">
        <v>2432661</v>
      </c>
      <c r="G117" s="71">
        <v>418627135</v>
      </c>
      <c r="H117" s="71">
        <v>421059796</v>
      </c>
      <c r="I117" s="275" t="s">
        <v>86</v>
      </c>
      <c r="J117" s="71">
        <v>7857929</v>
      </c>
      <c r="K117" s="71">
        <v>0</v>
      </c>
      <c r="L117" s="386">
        <v>0</v>
      </c>
      <c r="M117" s="342"/>
      <c r="N117" s="71">
        <v>0</v>
      </c>
      <c r="O117" s="71">
        <v>0</v>
      </c>
      <c r="P117" s="71">
        <v>7857929</v>
      </c>
      <c r="Q117" s="276" t="s">
        <v>86</v>
      </c>
      <c r="R117" s="71">
        <v>421059796</v>
      </c>
      <c r="S117" s="71">
        <v>7857929</v>
      </c>
      <c r="T117" s="71">
        <v>413201867</v>
      </c>
    </row>
    <row r="118" spans="1:20" outlineLevel="3" collapsed="1" x14ac:dyDescent="0.25">
      <c r="A118" s="381" t="s">
        <v>1581</v>
      </c>
      <c r="B118" s="342"/>
      <c r="C118" s="195" t="str">
        <f t="shared" si="1"/>
        <v>11-120101G</v>
      </c>
      <c r="D118" s="200">
        <v>254412461</v>
      </c>
      <c r="E118" s="201" t="s">
        <v>86</v>
      </c>
      <c r="F118" s="202">
        <v>1481853</v>
      </c>
      <c r="G118" s="203">
        <v>255691077</v>
      </c>
      <c r="H118" s="202">
        <v>257172930</v>
      </c>
      <c r="I118" s="201" t="s">
        <v>86</v>
      </c>
      <c r="J118" s="202">
        <v>7404938</v>
      </c>
      <c r="K118" s="204">
        <v>0</v>
      </c>
      <c r="L118" s="382">
        <v>0</v>
      </c>
      <c r="M118" s="342"/>
      <c r="N118" s="202">
        <v>0</v>
      </c>
      <c r="O118" s="202">
        <v>0</v>
      </c>
      <c r="P118" s="202">
        <v>7404938</v>
      </c>
      <c r="Q118" s="207" t="s">
        <v>86</v>
      </c>
      <c r="R118" s="202">
        <v>257172930</v>
      </c>
      <c r="S118" s="202">
        <v>7404938</v>
      </c>
      <c r="T118" s="202">
        <v>249767992</v>
      </c>
    </row>
    <row r="119" spans="1:20" outlineLevel="3" collapsed="1" x14ac:dyDescent="0.25">
      <c r="A119" s="381" t="s">
        <v>1582</v>
      </c>
      <c r="B119" s="342"/>
      <c r="C119" s="195" t="str">
        <f t="shared" si="1"/>
        <v>11-120102G</v>
      </c>
      <c r="D119" s="200">
        <v>162610750</v>
      </c>
      <c r="E119" s="201" t="s">
        <v>86</v>
      </c>
      <c r="F119" s="202">
        <v>950808</v>
      </c>
      <c r="G119" s="203">
        <v>162936058</v>
      </c>
      <c r="H119" s="202">
        <v>163886866</v>
      </c>
      <c r="I119" s="201" t="s">
        <v>86</v>
      </c>
      <c r="J119" s="202">
        <v>452991</v>
      </c>
      <c r="K119" s="204">
        <v>0</v>
      </c>
      <c r="L119" s="382">
        <v>0</v>
      </c>
      <c r="M119" s="342"/>
      <c r="N119" s="202">
        <v>0</v>
      </c>
      <c r="O119" s="202">
        <v>0</v>
      </c>
      <c r="P119" s="202">
        <v>452991</v>
      </c>
      <c r="Q119" s="207" t="s">
        <v>86</v>
      </c>
      <c r="R119" s="202">
        <v>163886866</v>
      </c>
      <c r="S119" s="202">
        <v>452991</v>
      </c>
      <c r="T119" s="202">
        <v>163433875</v>
      </c>
    </row>
    <row r="120" spans="1:20" outlineLevel="1" x14ac:dyDescent="0.25">
      <c r="A120" s="387" t="s">
        <v>1583</v>
      </c>
      <c r="B120" s="342"/>
      <c r="C120" s="195" t="str">
        <f t="shared" si="1"/>
        <v>UBCONTRATO</v>
      </c>
      <c r="D120" s="196">
        <v>3116359911</v>
      </c>
      <c r="E120" s="195" t="s">
        <v>86</v>
      </c>
      <c r="F120" s="197">
        <v>0</v>
      </c>
      <c r="G120" s="197">
        <v>3138442969</v>
      </c>
      <c r="H120" s="197">
        <v>3138442969</v>
      </c>
      <c r="I120" s="195" t="s">
        <v>86</v>
      </c>
      <c r="J120" s="209">
        <v>0</v>
      </c>
      <c r="K120" s="209">
        <v>0</v>
      </c>
      <c r="L120" s="388">
        <v>0</v>
      </c>
      <c r="M120" s="342"/>
      <c r="N120" s="209">
        <v>0</v>
      </c>
      <c r="O120" s="209">
        <v>0</v>
      </c>
      <c r="P120" s="209">
        <v>0</v>
      </c>
      <c r="Q120" s="198" t="s">
        <v>86</v>
      </c>
      <c r="R120" s="197">
        <v>3138442969</v>
      </c>
      <c r="S120" s="209">
        <v>0</v>
      </c>
      <c r="T120" s="199">
        <v>3138442969</v>
      </c>
    </row>
    <row r="121" spans="1:20" outlineLevel="2" x14ac:dyDescent="0.25">
      <c r="A121" s="385" t="s">
        <v>1584</v>
      </c>
      <c r="B121" s="342"/>
      <c r="C121" s="195" t="str">
        <f t="shared" si="1"/>
        <v>Subcontrat</v>
      </c>
      <c r="D121" s="3">
        <v>319868845</v>
      </c>
      <c r="E121" s="275" t="s">
        <v>86</v>
      </c>
      <c r="F121" s="71">
        <v>0</v>
      </c>
      <c r="G121" s="71">
        <v>320657219</v>
      </c>
      <c r="H121" s="71">
        <v>320657219</v>
      </c>
      <c r="I121" s="275" t="s">
        <v>86</v>
      </c>
      <c r="J121" s="71">
        <v>0</v>
      </c>
      <c r="K121" s="71">
        <v>0</v>
      </c>
      <c r="L121" s="386">
        <v>0</v>
      </c>
      <c r="M121" s="342"/>
      <c r="N121" s="71">
        <v>0</v>
      </c>
      <c r="O121" s="71">
        <v>0</v>
      </c>
      <c r="P121" s="71">
        <v>0</v>
      </c>
      <c r="Q121" s="276" t="s">
        <v>86</v>
      </c>
      <c r="R121" s="71">
        <v>320657219</v>
      </c>
      <c r="S121" s="71">
        <v>0</v>
      </c>
      <c r="T121" s="71">
        <v>320657219</v>
      </c>
    </row>
    <row r="122" spans="1:20" outlineLevel="3" collapsed="1" x14ac:dyDescent="0.25">
      <c r="A122" s="381" t="s">
        <v>1585</v>
      </c>
      <c r="B122" s="342"/>
      <c r="C122" s="195" t="str">
        <f t="shared" si="1"/>
        <v>31-013300A</v>
      </c>
      <c r="D122" s="200">
        <v>319868845</v>
      </c>
      <c r="E122" s="201" t="s">
        <v>86</v>
      </c>
      <c r="F122" s="202">
        <v>0</v>
      </c>
      <c r="G122" s="203">
        <v>320657219</v>
      </c>
      <c r="H122" s="202">
        <v>320657219</v>
      </c>
      <c r="I122" s="201" t="s">
        <v>86</v>
      </c>
      <c r="J122" s="202">
        <v>0</v>
      </c>
      <c r="K122" s="204">
        <v>0</v>
      </c>
      <c r="L122" s="382">
        <v>0</v>
      </c>
      <c r="M122" s="342"/>
      <c r="N122" s="202">
        <v>0</v>
      </c>
      <c r="O122" s="202">
        <v>0</v>
      </c>
      <c r="P122" s="202">
        <v>0</v>
      </c>
      <c r="Q122" s="207" t="s">
        <v>86</v>
      </c>
      <c r="R122" s="202">
        <v>320657219</v>
      </c>
      <c r="S122" s="202">
        <v>0</v>
      </c>
      <c r="T122" s="202">
        <v>320657219</v>
      </c>
    </row>
    <row r="123" spans="1:20" outlineLevel="3" collapsed="1" x14ac:dyDescent="0.25">
      <c r="A123" s="381" t="s">
        <v>1586</v>
      </c>
      <c r="B123" s="342"/>
      <c r="C123" s="195" t="str">
        <f t="shared" si="1"/>
        <v>31-013300G</v>
      </c>
      <c r="D123" s="200">
        <v>0</v>
      </c>
      <c r="E123" s="201" t="s">
        <v>86</v>
      </c>
      <c r="F123" s="202">
        <v>0</v>
      </c>
      <c r="G123" s="203">
        <v>0</v>
      </c>
      <c r="H123" s="202">
        <v>0</v>
      </c>
      <c r="I123" s="201" t="s">
        <v>86</v>
      </c>
      <c r="J123" s="202">
        <v>0</v>
      </c>
      <c r="K123" s="204">
        <v>0</v>
      </c>
      <c r="L123" s="382">
        <v>0</v>
      </c>
      <c r="M123" s="342"/>
      <c r="N123" s="202">
        <v>0</v>
      </c>
      <c r="O123" s="202">
        <v>0</v>
      </c>
      <c r="P123" s="202">
        <v>0</v>
      </c>
      <c r="Q123" s="207" t="s">
        <v>86</v>
      </c>
      <c r="R123" s="202">
        <v>0</v>
      </c>
      <c r="S123" s="202">
        <v>0</v>
      </c>
      <c r="T123" s="202">
        <v>0</v>
      </c>
    </row>
    <row r="124" spans="1:20" outlineLevel="2" x14ac:dyDescent="0.25">
      <c r="A124" s="385" t="s">
        <v>1587</v>
      </c>
      <c r="B124" s="342"/>
      <c r="C124" s="195" t="str">
        <f t="shared" si="1"/>
        <v>Subcontrat</v>
      </c>
      <c r="D124" s="3">
        <v>1683868314</v>
      </c>
      <c r="E124" s="275" t="s">
        <v>86</v>
      </c>
      <c r="F124" s="71">
        <v>0</v>
      </c>
      <c r="G124" s="71">
        <v>1688018512</v>
      </c>
      <c r="H124" s="71">
        <v>1688018512</v>
      </c>
      <c r="I124" s="275" t="s">
        <v>86</v>
      </c>
      <c r="J124" s="71">
        <v>0</v>
      </c>
      <c r="K124" s="71">
        <v>0</v>
      </c>
      <c r="L124" s="386">
        <v>0</v>
      </c>
      <c r="M124" s="342"/>
      <c r="N124" s="71">
        <v>0</v>
      </c>
      <c r="O124" s="71">
        <v>0</v>
      </c>
      <c r="P124" s="71">
        <v>0</v>
      </c>
      <c r="Q124" s="276" t="s">
        <v>86</v>
      </c>
      <c r="R124" s="71">
        <v>1688018512</v>
      </c>
      <c r="S124" s="71">
        <v>0</v>
      </c>
      <c r="T124" s="71">
        <v>1688018512</v>
      </c>
    </row>
    <row r="125" spans="1:20" outlineLevel="3" collapsed="1" x14ac:dyDescent="0.25">
      <c r="A125" s="381" t="s">
        <v>1588</v>
      </c>
      <c r="B125" s="342"/>
      <c r="C125" s="195" t="str">
        <f t="shared" si="1"/>
        <v>31-033900A</v>
      </c>
      <c r="D125" s="200">
        <v>776151663</v>
      </c>
      <c r="E125" s="201" t="s">
        <v>86</v>
      </c>
      <c r="F125" s="202">
        <v>0</v>
      </c>
      <c r="G125" s="203">
        <v>778064629</v>
      </c>
      <c r="H125" s="202">
        <v>778064629</v>
      </c>
      <c r="I125" s="201" t="s">
        <v>86</v>
      </c>
      <c r="J125" s="202">
        <v>0</v>
      </c>
      <c r="K125" s="204">
        <v>0</v>
      </c>
      <c r="L125" s="382">
        <v>0</v>
      </c>
      <c r="M125" s="342"/>
      <c r="N125" s="202">
        <v>0</v>
      </c>
      <c r="O125" s="202">
        <v>0</v>
      </c>
      <c r="P125" s="202">
        <v>0</v>
      </c>
      <c r="Q125" s="207" t="s">
        <v>86</v>
      </c>
      <c r="R125" s="202">
        <v>778064629</v>
      </c>
      <c r="S125" s="202">
        <v>0</v>
      </c>
      <c r="T125" s="202">
        <v>778064629</v>
      </c>
    </row>
    <row r="126" spans="1:20" outlineLevel="3" collapsed="1" x14ac:dyDescent="0.25">
      <c r="A126" s="381" t="s">
        <v>1589</v>
      </c>
      <c r="B126" s="342"/>
      <c r="C126" s="195" t="str">
        <f t="shared" si="1"/>
        <v>31-033900G</v>
      </c>
      <c r="D126" s="200">
        <v>0</v>
      </c>
      <c r="E126" s="201" t="s">
        <v>86</v>
      </c>
      <c r="F126" s="202">
        <v>0</v>
      </c>
      <c r="G126" s="203">
        <v>0</v>
      </c>
      <c r="H126" s="202">
        <v>0</v>
      </c>
      <c r="I126" s="201" t="s">
        <v>86</v>
      </c>
      <c r="J126" s="202">
        <v>0</v>
      </c>
      <c r="K126" s="204">
        <v>0</v>
      </c>
      <c r="L126" s="382">
        <v>0</v>
      </c>
      <c r="M126" s="342"/>
      <c r="N126" s="202">
        <v>0</v>
      </c>
      <c r="O126" s="202">
        <v>0</v>
      </c>
      <c r="P126" s="202">
        <v>0</v>
      </c>
      <c r="Q126" s="207" t="s">
        <v>86</v>
      </c>
      <c r="R126" s="202">
        <v>0</v>
      </c>
      <c r="S126" s="202">
        <v>0</v>
      </c>
      <c r="T126" s="202">
        <v>0</v>
      </c>
    </row>
    <row r="127" spans="1:20" outlineLevel="3" collapsed="1" x14ac:dyDescent="0.25">
      <c r="A127" s="381" t="s">
        <v>1590</v>
      </c>
      <c r="B127" s="342"/>
      <c r="C127" s="195" t="str">
        <f t="shared" si="1"/>
        <v>31-034000A</v>
      </c>
      <c r="D127" s="200">
        <v>10833762</v>
      </c>
      <c r="E127" s="201" t="s">
        <v>86</v>
      </c>
      <c r="F127" s="202">
        <v>0</v>
      </c>
      <c r="G127" s="203">
        <v>10860464</v>
      </c>
      <c r="H127" s="202">
        <v>10860464</v>
      </c>
      <c r="I127" s="201" t="s">
        <v>86</v>
      </c>
      <c r="J127" s="202">
        <v>0</v>
      </c>
      <c r="K127" s="204">
        <v>0</v>
      </c>
      <c r="L127" s="382">
        <v>0</v>
      </c>
      <c r="M127" s="342"/>
      <c r="N127" s="202">
        <v>0</v>
      </c>
      <c r="O127" s="202">
        <v>0</v>
      </c>
      <c r="P127" s="202">
        <v>0</v>
      </c>
      <c r="Q127" s="207" t="s">
        <v>86</v>
      </c>
      <c r="R127" s="202">
        <v>10860464</v>
      </c>
      <c r="S127" s="202">
        <v>0</v>
      </c>
      <c r="T127" s="202">
        <v>10860464</v>
      </c>
    </row>
    <row r="128" spans="1:20" outlineLevel="3" collapsed="1" x14ac:dyDescent="0.25">
      <c r="A128" s="381" t="s">
        <v>1591</v>
      </c>
      <c r="B128" s="342"/>
      <c r="C128" s="195" t="str">
        <f t="shared" si="1"/>
        <v>31-034000G</v>
      </c>
      <c r="D128" s="200">
        <v>0</v>
      </c>
      <c r="E128" s="201" t="s">
        <v>86</v>
      </c>
      <c r="F128" s="202">
        <v>0</v>
      </c>
      <c r="G128" s="203">
        <v>0</v>
      </c>
      <c r="H128" s="202">
        <v>0</v>
      </c>
      <c r="I128" s="201" t="s">
        <v>86</v>
      </c>
      <c r="J128" s="202">
        <v>0</v>
      </c>
      <c r="K128" s="204">
        <v>0</v>
      </c>
      <c r="L128" s="382">
        <v>0</v>
      </c>
      <c r="M128" s="342"/>
      <c r="N128" s="202">
        <v>0</v>
      </c>
      <c r="O128" s="202">
        <v>0</v>
      </c>
      <c r="P128" s="202">
        <v>0</v>
      </c>
      <c r="Q128" s="207" t="s">
        <v>86</v>
      </c>
      <c r="R128" s="202">
        <v>0</v>
      </c>
      <c r="S128" s="202">
        <v>0</v>
      </c>
      <c r="T128" s="202">
        <v>0</v>
      </c>
    </row>
    <row r="129" spans="1:20" outlineLevel="3" collapsed="1" x14ac:dyDescent="0.25">
      <c r="A129" s="381" t="s">
        <v>1592</v>
      </c>
      <c r="B129" s="342"/>
      <c r="C129" s="195" t="str">
        <f t="shared" si="1"/>
        <v>31-034300A</v>
      </c>
      <c r="D129" s="200">
        <v>248645648</v>
      </c>
      <c r="E129" s="201" t="s">
        <v>86</v>
      </c>
      <c r="F129" s="202">
        <v>0</v>
      </c>
      <c r="G129" s="203">
        <v>249258480</v>
      </c>
      <c r="H129" s="202">
        <v>249258480</v>
      </c>
      <c r="I129" s="201" t="s">
        <v>86</v>
      </c>
      <c r="J129" s="202">
        <v>0</v>
      </c>
      <c r="K129" s="204">
        <v>0</v>
      </c>
      <c r="L129" s="382">
        <v>0</v>
      </c>
      <c r="M129" s="342"/>
      <c r="N129" s="202">
        <v>0</v>
      </c>
      <c r="O129" s="202">
        <v>0</v>
      </c>
      <c r="P129" s="202">
        <v>0</v>
      </c>
      <c r="Q129" s="207" t="s">
        <v>86</v>
      </c>
      <c r="R129" s="202">
        <v>249258480</v>
      </c>
      <c r="S129" s="202">
        <v>0</v>
      </c>
      <c r="T129" s="202">
        <v>249258480</v>
      </c>
    </row>
    <row r="130" spans="1:20" outlineLevel="3" collapsed="1" x14ac:dyDescent="0.25">
      <c r="A130" s="381" t="s">
        <v>1593</v>
      </c>
      <c r="B130" s="342"/>
      <c r="C130" s="195" t="str">
        <f t="shared" si="1"/>
        <v>31-034300G</v>
      </c>
      <c r="D130" s="200">
        <v>0</v>
      </c>
      <c r="E130" s="201" t="s">
        <v>86</v>
      </c>
      <c r="F130" s="202">
        <v>0</v>
      </c>
      <c r="G130" s="203">
        <v>0</v>
      </c>
      <c r="H130" s="202">
        <v>0</v>
      </c>
      <c r="I130" s="201" t="s">
        <v>86</v>
      </c>
      <c r="J130" s="202">
        <v>0</v>
      </c>
      <c r="K130" s="204">
        <v>0</v>
      </c>
      <c r="L130" s="382">
        <v>0</v>
      </c>
      <c r="M130" s="342"/>
      <c r="N130" s="202">
        <v>0</v>
      </c>
      <c r="O130" s="202">
        <v>0</v>
      </c>
      <c r="P130" s="202">
        <v>0</v>
      </c>
      <c r="Q130" s="207" t="s">
        <v>86</v>
      </c>
      <c r="R130" s="202">
        <v>0</v>
      </c>
      <c r="S130" s="202">
        <v>0</v>
      </c>
      <c r="T130" s="202">
        <v>0</v>
      </c>
    </row>
    <row r="131" spans="1:20" outlineLevel="3" collapsed="1" x14ac:dyDescent="0.25">
      <c r="A131" s="381" t="s">
        <v>1594</v>
      </c>
      <c r="B131" s="342"/>
      <c r="C131" s="195" t="str">
        <f t="shared" si="1"/>
        <v>31-039900A</v>
      </c>
      <c r="D131" s="200">
        <v>648237241</v>
      </c>
      <c r="E131" s="201" t="s">
        <v>86</v>
      </c>
      <c r="F131" s="202">
        <v>0</v>
      </c>
      <c r="G131" s="203">
        <v>649834939</v>
      </c>
      <c r="H131" s="202">
        <v>649834939</v>
      </c>
      <c r="I131" s="201" t="s">
        <v>86</v>
      </c>
      <c r="J131" s="202">
        <v>0</v>
      </c>
      <c r="K131" s="204">
        <v>0</v>
      </c>
      <c r="L131" s="382">
        <v>0</v>
      </c>
      <c r="M131" s="342"/>
      <c r="N131" s="202">
        <v>0</v>
      </c>
      <c r="O131" s="202">
        <v>0</v>
      </c>
      <c r="P131" s="202">
        <v>0</v>
      </c>
      <c r="Q131" s="207" t="s">
        <v>86</v>
      </c>
      <c r="R131" s="202">
        <v>649834939</v>
      </c>
      <c r="S131" s="202">
        <v>0</v>
      </c>
      <c r="T131" s="202">
        <v>649834939</v>
      </c>
    </row>
    <row r="132" spans="1:20" outlineLevel="3" collapsed="1" x14ac:dyDescent="0.25">
      <c r="A132" s="381" t="s">
        <v>1595</v>
      </c>
      <c r="B132" s="342"/>
      <c r="C132" s="195" t="str">
        <f t="shared" si="1"/>
        <v>31-039900G</v>
      </c>
      <c r="D132" s="200">
        <v>0</v>
      </c>
      <c r="E132" s="201" t="s">
        <v>86</v>
      </c>
      <c r="F132" s="202">
        <v>0</v>
      </c>
      <c r="G132" s="203">
        <v>0</v>
      </c>
      <c r="H132" s="202">
        <v>0</v>
      </c>
      <c r="I132" s="201" t="s">
        <v>86</v>
      </c>
      <c r="J132" s="202">
        <v>0</v>
      </c>
      <c r="K132" s="204">
        <v>0</v>
      </c>
      <c r="L132" s="382">
        <v>0</v>
      </c>
      <c r="M132" s="342"/>
      <c r="N132" s="202">
        <v>0</v>
      </c>
      <c r="O132" s="202">
        <v>0</v>
      </c>
      <c r="P132" s="202">
        <v>0</v>
      </c>
      <c r="Q132" s="207" t="s">
        <v>86</v>
      </c>
      <c r="R132" s="202">
        <v>0</v>
      </c>
      <c r="S132" s="202">
        <v>0</v>
      </c>
      <c r="T132" s="202">
        <v>0</v>
      </c>
    </row>
    <row r="133" spans="1:20" outlineLevel="2" x14ac:dyDescent="0.25">
      <c r="A133" s="385" t="s">
        <v>1596</v>
      </c>
      <c r="B133" s="342"/>
      <c r="C133" s="195" t="str">
        <f t="shared" si="1"/>
        <v>Subcontrat</v>
      </c>
      <c r="D133" s="3">
        <v>46685712</v>
      </c>
      <c r="E133" s="275" t="s">
        <v>86</v>
      </c>
      <c r="F133" s="71">
        <v>0</v>
      </c>
      <c r="G133" s="71">
        <v>61203003</v>
      </c>
      <c r="H133" s="71">
        <v>61203003</v>
      </c>
      <c r="I133" s="275" t="s">
        <v>86</v>
      </c>
      <c r="J133" s="71">
        <v>0</v>
      </c>
      <c r="K133" s="71">
        <v>0</v>
      </c>
      <c r="L133" s="386">
        <v>0</v>
      </c>
      <c r="M133" s="342"/>
      <c r="N133" s="71">
        <v>0</v>
      </c>
      <c r="O133" s="71">
        <v>0</v>
      </c>
      <c r="P133" s="71">
        <v>0</v>
      </c>
      <c r="Q133" s="276" t="s">
        <v>86</v>
      </c>
      <c r="R133" s="71">
        <v>61203003</v>
      </c>
      <c r="S133" s="71">
        <v>0</v>
      </c>
      <c r="T133" s="71">
        <v>61203003</v>
      </c>
    </row>
    <row r="134" spans="1:20" outlineLevel="3" collapsed="1" x14ac:dyDescent="0.25">
      <c r="A134" s="381" t="s">
        <v>1597</v>
      </c>
      <c r="B134" s="342"/>
      <c r="C134" s="195" t="str">
        <f t="shared" si="1"/>
        <v>31-044600A</v>
      </c>
      <c r="D134" s="200">
        <v>38461317</v>
      </c>
      <c r="E134" s="201" t="s">
        <v>86</v>
      </c>
      <c r="F134" s="202">
        <v>0</v>
      </c>
      <c r="G134" s="203">
        <v>52958337</v>
      </c>
      <c r="H134" s="202">
        <v>52958337</v>
      </c>
      <c r="I134" s="201" t="s">
        <v>86</v>
      </c>
      <c r="J134" s="202">
        <v>0</v>
      </c>
      <c r="K134" s="204">
        <v>0</v>
      </c>
      <c r="L134" s="382">
        <v>0</v>
      </c>
      <c r="M134" s="342"/>
      <c r="N134" s="202">
        <v>0</v>
      </c>
      <c r="O134" s="202">
        <v>0</v>
      </c>
      <c r="P134" s="202">
        <v>0</v>
      </c>
      <c r="Q134" s="207" t="s">
        <v>86</v>
      </c>
      <c r="R134" s="202">
        <v>52958337</v>
      </c>
      <c r="S134" s="202">
        <v>0</v>
      </c>
      <c r="T134" s="202">
        <v>52958337</v>
      </c>
    </row>
    <row r="135" spans="1:20" outlineLevel="3" collapsed="1" x14ac:dyDescent="0.25">
      <c r="A135" s="381" t="s">
        <v>1598</v>
      </c>
      <c r="B135" s="342"/>
      <c r="C135" s="195" t="str">
        <f t="shared" ref="C135:C198" si="2">IF(MID(A135,6,1)="      - ","-",
IF(A135="     0 - Categoría NULA",0,MID(A135,6,10)))</f>
        <v>31-044600G</v>
      </c>
      <c r="D135" s="200">
        <v>0</v>
      </c>
      <c r="E135" s="201" t="s">
        <v>86</v>
      </c>
      <c r="F135" s="202">
        <v>0</v>
      </c>
      <c r="G135" s="203">
        <v>0</v>
      </c>
      <c r="H135" s="202">
        <v>0</v>
      </c>
      <c r="I135" s="201" t="s">
        <v>86</v>
      </c>
      <c r="J135" s="202">
        <v>0</v>
      </c>
      <c r="K135" s="204">
        <v>0</v>
      </c>
      <c r="L135" s="382">
        <v>0</v>
      </c>
      <c r="M135" s="342"/>
      <c r="N135" s="202">
        <v>0</v>
      </c>
      <c r="O135" s="202">
        <v>0</v>
      </c>
      <c r="P135" s="202">
        <v>0</v>
      </c>
      <c r="Q135" s="207" t="s">
        <v>86</v>
      </c>
      <c r="R135" s="202">
        <v>0</v>
      </c>
      <c r="S135" s="202">
        <v>0</v>
      </c>
      <c r="T135" s="202">
        <v>0</v>
      </c>
    </row>
    <row r="136" spans="1:20" outlineLevel="3" collapsed="1" x14ac:dyDescent="0.25">
      <c r="A136" s="381" t="s">
        <v>1599</v>
      </c>
      <c r="B136" s="342"/>
      <c r="C136" s="195" t="str">
        <f t="shared" si="2"/>
        <v>31-045100A</v>
      </c>
      <c r="D136" s="200">
        <v>8224395</v>
      </c>
      <c r="E136" s="201" t="s">
        <v>86</v>
      </c>
      <c r="F136" s="202">
        <v>0</v>
      </c>
      <c r="G136" s="203">
        <v>8244666</v>
      </c>
      <c r="H136" s="202">
        <v>8244666</v>
      </c>
      <c r="I136" s="201" t="s">
        <v>86</v>
      </c>
      <c r="J136" s="202">
        <v>0</v>
      </c>
      <c r="K136" s="204">
        <v>0</v>
      </c>
      <c r="L136" s="382">
        <v>0</v>
      </c>
      <c r="M136" s="342"/>
      <c r="N136" s="202">
        <v>0</v>
      </c>
      <c r="O136" s="202">
        <v>0</v>
      </c>
      <c r="P136" s="202">
        <v>0</v>
      </c>
      <c r="Q136" s="207" t="s">
        <v>86</v>
      </c>
      <c r="R136" s="202">
        <v>8244666</v>
      </c>
      <c r="S136" s="202">
        <v>0</v>
      </c>
      <c r="T136" s="202">
        <v>8244666</v>
      </c>
    </row>
    <row r="137" spans="1:20" outlineLevel="3" collapsed="1" x14ac:dyDescent="0.25">
      <c r="A137" s="381" t="s">
        <v>1600</v>
      </c>
      <c r="B137" s="342"/>
      <c r="C137" s="195" t="str">
        <f t="shared" si="2"/>
        <v>31-045100G</v>
      </c>
      <c r="D137" s="200">
        <v>0</v>
      </c>
      <c r="E137" s="201" t="s">
        <v>86</v>
      </c>
      <c r="F137" s="202">
        <v>0</v>
      </c>
      <c r="G137" s="203">
        <v>0</v>
      </c>
      <c r="H137" s="202">
        <v>0</v>
      </c>
      <c r="I137" s="201" t="s">
        <v>86</v>
      </c>
      <c r="J137" s="202">
        <v>0</v>
      </c>
      <c r="K137" s="204">
        <v>0</v>
      </c>
      <c r="L137" s="382">
        <v>0</v>
      </c>
      <c r="M137" s="342"/>
      <c r="N137" s="202">
        <v>0</v>
      </c>
      <c r="O137" s="202">
        <v>0</v>
      </c>
      <c r="P137" s="202">
        <v>0</v>
      </c>
      <c r="Q137" s="207" t="s">
        <v>86</v>
      </c>
      <c r="R137" s="202">
        <v>0</v>
      </c>
      <c r="S137" s="202">
        <v>0</v>
      </c>
      <c r="T137" s="202">
        <v>0</v>
      </c>
    </row>
    <row r="138" spans="1:20" outlineLevel="2" x14ac:dyDescent="0.25">
      <c r="A138" s="385" t="s">
        <v>1601</v>
      </c>
      <c r="B138" s="342"/>
      <c r="C138" s="195" t="str">
        <f t="shared" si="2"/>
        <v>Subcontrat</v>
      </c>
      <c r="D138" s="3">
        <v>580099008</v>
      </c>
      <c r="E138" s="275" t="s">
        <v>86</v>
      </c>
      <c r="F138" s="71">
        <v>0</v>
      </c>
      <c r="G138" s="71">
        <v>581528767</v>
      </c>
      <c r="H138" s="71">
        <v>581528767</v>
      </c>
      <c r="I138" s="275" t="s">
        <v>86</v>
      </c>
      <c r="J138" s="71">
        <v>0</v>
      </c>
      <c r="K138" s="71">
        <v>0</v>
      </c>
      <c r="L138" s="386">
        <v>0</v>
      </c>
      <c r="M138" s="342"/>
      <c r="N138" s="71">
        <v>0</v>
      </c>
      <c r="O138" s="71">
        <v>0</v>
      </c>
      <c r="P138" s="71">
        <v>0</v>
      </c>
      <c r="Q138" s="276" t="s">
        <v>86</v>
      </c>
      <c r="R138" s="71">
        <v>581528767</v>
      </c>
      <c r="S138" s="71">
        <v>0</v>
      </c>
      <c r="T138" s="71">
        <v>581528767</v>
      </c>
    </row>
    <row r="139" spans="1:20" outlineLevel="3" collapsed="1" x14ac:dyDescent="0.25">
      <c r="A139" s="381" t="s">
        <v>1602</v>
      </c>
      <c r="B139" s="342"/>
      <c r="C139" s="195" t="str">
        <f t="shared" si="2"/>
        <v>31-055300A</v>
      </c>
      <c r="D139" s="200">
        <v>178743582</v>
      </c>
      <c r="E139" s="201" t="s">
        <v>86</v>
      </c>
      <c r="F139" s="202">
        <v>0</v>
      </c>
      <c r="G139" s="203">
        <v>179184128</v>
      </c>
      <c r="H139" s="202">
        <v>179184128</v>
      </c>
      <c r="I139" s="201" t="s">
        <v>86</v>
      </c>
      <c r="J139" s="202">
        <v>0</v>
      </c>
      <c r="K139" s="204">
        <v>0</v>
      </c>
      <c r="L139" s="382">
        <v>0</v>
      </c>
      <c r="M139" s="342"/>
      <c r="N139" s="202">
        <v>0</v>
      </c>
      <c r="O139" s="202">
        <v>0</v>
      </c>
      <c r="P139" s="202">
        <v>0</v>
      </c>
      <c r="Q139" s="207" t="s">
        <v>86</v>
      </c>
      <c r="R139" s="202">
        <v>179184128</v>
      </c>
      <c r="S139" s="202">
        <v>0</v>
      </c>
      <c r="T139" s="202">
        <v>179184128</v>
      </c>
    </row>
    <row r="140" spans="1:20" outlineLevel="3" collapsed="1" x14ac:dyDescent="0.25">
      <c r="A140" s="381" t="s">
        <v>1603</v>
      </c>
      <c r="B140" s="342"/>
      <c r="C140" s="195" t="str">
        <f t="shared" si="2"/>
        <v>31-055300G</v>
      </c>
      <c r="D140" s="200">
        <v>0</v>
      </c>
      <c r="E140" s="201" t="s">
        <v>86</v>
      </c>
      <c r="F140" s="202">
        <v>0</v>
      </c>
      <c r="G140" s="203">
        <v>0</v>
      </c>
      <c r="H140" s="202">
        <v>0</v>
      </c>
      <c r="I140" s="201" t="s">
        <v>86</v>
      </c>
      <c r="J140" s="202">
        <v>0</v>
      </c>
      <c r="K140" s="204">
        <v>0</v>
      </c>
      <c r="L140" s="382">
        <v>0</v>
      </c>
      <c r="M140" s="342"/>
      <c r="N140" s="202">
        <v>0</v>
      </c>
      <c r="O140" s="202">
        <v>0</v>
      </c>
      <c r="P140" s="202">
        <v>0</v>
      </c>
      <c r="Q140" s="207" t="s">
        <v>86</v>
      </c>
      <c r="R140" s="202">
        <v>0</v>
      </c>
      <c r="S140" s="202">
        <v>0</v>
      </c>
      <c r="T140" s="202">
        <v>0</v>
      </c>
    </row>
    <row r="141" spans="1:20" outlineLevel="3" collapsed="1" x14ac:dyDescent="0.25">
      <c r="A141" s="381" t="s">
        <v>1604</v>
      </c>
      <c r="B141" s="342"/>
      <c r="C141" s="195" t="str">
        <f t="shared" si="2"/>
        <v>31-055400A</v>
      </c>
      <c r="D141" s="200">
        <v>77608849</v>
      </c>
      <c r="E141" s="201" t="s">
        <v>86</v>
      </c>
      <c r="F141" s="202">
        <v>0</v>
      </c>
      <c r="G141" s="203">
        <v>77800130</v>
      </c>
      <c r="H141" s="202">
        <v>77800130</v>
      </c>
      <c r="I141" s="201" t="s">
        <v>86</v>
      </c>
      <c r="J141" s="202">
        <v>0</v>
      </c>
      <c r="K141" s="204">
        <v>0</v>
      </c>
      <c r="L141" s="382">
        <v>0</v>
      </c>
      <c r="M141" s="342"/>
      <c r="N141" s="202">
        <v>0</v>
      </c>
      <c r="O141" s="202">
        <v>0</v>
      </c>
      <c r="P141" s="202">
        <v>0</v>
      </c>
      <c r="Q141" s="207" t="s">
        <v>86</v>
      </c>
      <c r="R141" s="202">
        <v>77800130</v>
      </c>
      <c r="S141" s="202">
        <v>0</v>
      </c>
      <c r="T141" s="202">
        <v>77800130</v>
      </c>
    </row>
    <row r="142" spans="1:20" outlineLevel="3" collapsed="1" x14ac:dyDescent="0.25">
      <c r="A142" s="381" t="s">
        <v>1605</v>
      </c>
      <c r="B142" s="342"/>
      <c r="C142" s="195" t="str">
        <f t="shared" si="2"/>
        <v>31-055400G</v>
      </c>
      <c r="D142" s="200">
        <v>0</v>
      </c>
      <c r="E142" s="201" t="s">
        <v>86</v>
      </c>
      <c r="F142" s="202">
        <v>0</v>
      </c>
      <c r="G142" s="203">
        <v>0</v>
      </c>
      <c r="H142" s="202">
        <v>0</v>
      </c>
      <c r="I142" s="201" t="s">
        <v>86</v>
      </c>
      <c r="J142" s="202">
        <v>0</v>
      </c>
      <c r="K142" s="204">
        <v>0</v>
      </c>
      <c r="L142" s="382">
        <v>0</v>
      </c>
      <c r="M142" s="342"/>
      <c r="N142" s="202">
        <v>0</v>
      </c>
      <c r="O142" s="202">
        <v>0</v>
      </c>
      <c r="P142" s="202">
        <v>0</v>
      </c>
      <c r="Q142" s="207" t="s">
        <v>86</v>
      </c>
      <c r="R142" s="202">
        <v>0</v>
      </c>
      <c r="S142" s="202">
        <v>0</v>
      </c>
      <c r="T142" s="202">
        <v>0</v>
      </c>
    </row>
    <row r="143" spans="1:20" outlineLevel="3" collapsed="1" x14ac:dyDescent="0.25">
      <c r="A143" s="381" t="s">
        <v>1606</v>
      </c>
      <c r="B143" s="342"/>
      <c r="C143" s="195" t="str">
        <f t="shared" si="2"/>
        <v>31-055500A</v>
      </c>
      <c r="D143" s="200">
        <v>51385934</v>
      </c>
      <c r="E143" s="201" t="s">
        <v>86</v>
      </c>
      <c r="F143" s="202">
        <v>0</v>
      </c>
      <c r="G143" s="203">
        <v>51512584</v>
      </c>
      <c r="H143" s="202">
        <v>51512584</v>
      </c>
      <c r="I143" s="201" t="s">
        <v>86</v>
      </c>
      <c r="J143" s="202">
        <v>0</v>
      </c>
      <c r="K143" s="204">
        <v>0</v>
      </c>
      <c r="L143" s="382">
        <v>0</v>
      </c>
      <c r="M143" s="342"/>
      <c r="N143" s="202">
        <v>0</v>
      </c>
      <c r="O143" s="202">
        <v>0</v>
      </c>
      <c r="P143" s="202">
        <v>0</v>
      </c>
      <c r="Q143" s="207" t="s">
        <v>86</v>
      </c>
      <c r="R143" s="202">
        <v>51512584</v>
      </c>
      <c r="S143" s="202">
        <v>0</v>
      </c>
      <c r="T143" s="202">
        <v>51512584</v>
      </c>
    </row>
    <row r="144" spans="1:20" outlineLevel="3" collapsed="1" x14ac:dyDescent="0.25">
      <c r="A144" s="381" t="s">
        <v>1607</v>
      </c>
      <c r="B144" s="342"/>
      <c r="C144" s="195" t="str">
        <f t="shared" si="2"/>
        <v>31-055500G</v>
      </c>
      <c r="D144" s="200">
        <v>0</v>
      </c>
      <c r="E144" s="201" t="s">
        <v>86</v>
      </c>
      <c r="F144" s="202">
        <v>0</v>
      </c>
      <c r="G144" s="203">
        <v>0</v>
      </c>
      <c r="H144" s="202">
        <v>0</v>
      </c>
      <c r="I144" s="201" t="s">
        <v>86</v>
      </c>
      <c r="J144" s="202">
        <v>0</v>
      </c>
      <c r="K144" s="204">
        <v>0</v>
      </c>
      <c r="L144" s="382">
        <v>0</v>
      </c>
      <c r="M144" s="342"/>
      <c r="N144" s="202">
        <v>0</v>
      </c>
      <c r="O144" s="202">
        <v>0</v>
      </c>
      <c r="P144" s="202">
        <v>0</v>
      </c>
      <c r="Q144" s="207" t="s">
        <v>86</v>
      </c>
      <c r="R144" s="202">
        <v>0</v>
      </c>
      <c r="S144" s="202">
        <v>0</v>
      </c>
      <c r="T144" s="202">
        <v>0</v>
      </c>
    </row>
    <row r="145" spans="1:20" outlineLevel="3" collapsed="1" x14ac:dyDescent="0.25">
      <c r="A145" s="381" t="s">
        <v>1608</v>
      </c>
      <c r="B145" s="342"/>
      <c r="C145" s="195" t="str">
        <f t="shared" si="2"/>
        <v>31-059900A</v>
      </c>
      <c r="D145" s="200">
        <v>54142098</v>
      </c>
      <c r="E145" s="201" t="s">
        <v>86</v>
      </c>
      <c r="F145" s="202">
        <v>0</v>
      </c>
      <c r="G145" s="203">
        <v>54275541</v>
      </c>
      <c r="H145" s="202">
        <v>54275541</v>
      </c>
      <c r="I145" s="201" t="s">
        <v>86</v>
      </c>
      <c r="J145" s="202">
        <v>0</v>
      </c>
      <c r="K145" s="204">
        <v>0</v>
      </c>
      <c r="L145" s="382">
        <v>0</v>
      </c>
      <c r="M145" s="342"/>
      <c r="N145" s="202">
        <v>0</v>
      </c>
      <c r="O145" s="202">
        <v>0</v>
      </c>
      <c r="P145" s="202">
        <v>0</v>
      </c>
      <c r="Q145" s="207" t="s">
        <v>86</v>
      </c>
      <c r="R145" s="202">
        <v>54275541</v>
      </c>
      <c r="S145" s="202">
        <v>0</v>
      </c>
      <c r="T145" s="202">
        <v>54275541</v>
      </c>
    </row>
    <row r="146" spans="1:20" outlineLevel="3" collapsed="1" x14ac:dyDescent="0.25">
      <c r="A146" s="381" t="s">
        <v>1609</v>
      </c>
      <c r="B146" s="342"/>
      <c r="C146" s="195" t="str">
        <f t="shared" si="2"/>
        <v>31-059900G</v>
      </c>
      <c r="D146" s="200">
        <v>0</v>
      </c>
      <c r="E146" s="201" t="s">
        <v>86</v>
      </c>
      <c r="F146" s="202">
        <v>0</v>
      </c>
      <c r="G146" s="203">
        <v>0</v>
      </c>
      <c r="H146" s="202">
        <v>0</v>
      </c>
      <c r="I146" s="201" t="s">
        <v>86</v>
      </c>
      <c r="J146" s="202">
        <v>0</v>
      </c>
      <c r="K146" s="204">
        <v>0</v>
      </c>
      <c r="L146" s="382">
        <v>0</v>
      </c>
      <c r="M146" s="342"/>
      <c r="N146" s="202">
        <v>0</v>
      </c>
      <c r="O146" s="202">
        <v>0</v>
      </c>
      <c r="P146" s="202">
        <v>0</v>
      </c>
      <c r="Q146" s="207" t="s">
        <v>86</v>
      </c>
      <c r="R146" s="202">
        <v>0</v>
      </c>
      <c r="S146" s="202">
        <v>0</v>
      </c>
      <c r="T146" s="202">
        <v>0</v>
      </c>
    </row>
    <row r="147" spans="1:20" outlineLevel="3" collapsed="1" x14ac:dyDescent="0.25">
      <c r="A147" s="381" t="s">
        <v>1610</v>
      </c>
      <c r="B147" s="342"/>
      <c r="C147" s="195" t="str">
        <f t="shared" si="2"/>
        <v>31-065700A</v>
      </c>
      <c r="D147" s="200">
        <v>120139233</v>
      </c>
      <c r="E147" s="201" t="s">
        <v>86</v>
      </c>
      <c r="F147" s="202">
        <v>0</v>
      </c>
      <c r="G147" s="203">
        <v>120435338</v>
      </c>
      <c r="H147" s="202">
        <v>120435338</v>
      </c>
      <c r="I147" s="201" t="s">
        <v>86</v>
      </c>
      <c r="J147" s="202">
        <v>0</v>
      </c>
      <c r="K147" s="204">
        <v>0</v>
      </c>
      <c r="L147" s="382">
        <v>0</v>
      </c>
      <c r="M147" s="342"/>
      <c r="N147" s="202">
        <v>0</v>
      </c>
      <c r="O147" s="202">
        <v>0</v>
      </c>
      <c r="P147" s="202">
        <v>0</v>
      </c>
      <c r="Q147" s="207" t="s">
        <v>86</v>
      </c>
      <c r="R147" s="202">
        <v>120435338</v>
      </c>
      <c r="S147" s="202">
        <v>0</v>
      </c>
      <c r="T147" s="202">
        <v>120435338</v>
      </c>
    </row>
    <row r="148" spans="1:20" outlineLevel="3" collapsed="1" x14ac:dyDescent="0.25">
      <c r="A148" s="381" t="s">
        <v>1611</v>
      </c>
      <c r="B148" s="342"/>
      <c r="C148" s="195" t="str">
        <f t="shared" si="2"/>
        <v>31-065700G</v>
      </c>
      <c r="D148" s="200">
        <v>0</v>
      </c>
      <c r="E148" s="201" t="s">
        <v>86</v>
      </c>
      <c r="F148" s="202">
        <v>0</v>
      </c>
      <c r="G148" s="203">
        <v>0</v>
      </c>
      <c r="H148" s="202">
        <v>0</v>
      </c>
      <c r="I148" s="201" t="s">
        <v>86</v>
      </c>
      <c r="J148" s="202">
        <v>0</v>
      </c>
      <c r="K148" s="204">
        <v>0</v>
      </c>
      <c r="L148" s="382">
        <v>0</v>
      </c>
      <c r="M148" s="342"/>
      <c r="N148" s="202">
        <v>0</v>
      </c>
      <c r="O148" s="202">
        <v>0</v>
      </c>
      <c r="P148" s="202">
        <v>0</v>
      </c>
      <c r="Q148" s="207" t="s">
        <v>86</v>
      </c>
      <c r="R148" s="202">
        <v>0</v>
      </c>
      <c r="S148" s="202">
        <v>0</v>
      </c>
      <c r="T148" s="202">
        <v>0</v>
      </c>
    </row>
    <row r="149" spans="1:20" outlineLevel="3" collapsed="1" x14ac:dyDescent="0.25">
      <c r="A149" s="381" t="s">
        <v>1612</v>
      </c>
      <c r="B149" s="342"/>
      <c r="C149" s="195" t="str">
        <f t="shared" si="2"/>
        <v>31-065800A</v>
      </c>
      <c r="D149" s="200">
        <v>98079312</v>
      </c>
      <c r="E149" s="201" t="s">
        <v>86</v>
      </c>
      <c r="F149" s="202">
        <v>0</v>
      </c>
      <c r="G149" s="203">
        <v>98321046</v>
      </c>
      <c r="H149" s="202">
        <v>98321046</v>
      </c>
      <c r="I149" s="201" t="s">
        <v>86</v>
      </c>
      <c r="J149" s="202">
        <v>0</v>
      </c>
      <c r="K149" s="204">
        <v>0</v>
      </c>
      <c r="L149" s="382">
        <v>0</v>
      </c>
      <c r="M149" s="342"/>
      <c r="N149" s="202">
        <v>0</v>
      </c>
      <c r="O149" s="202">
        <v>0</v>
      </c>
      <c r="P149" s="202">
        <v>0</v>
      </c>
      <c r="Q149" s="207" t="s">
        <v>86</v>
      </c>
      <c r="R149" s="202">
        <v>98321046</v>
      </c>
      <c r="S149" s="202">
        <v>0</v>
      </c>
      <c r="T149" s="202">
        <v>98321046</v>
      </c>
    </row>
    <row r="150" spans="1:20" outlineLevel="3" collapsed="1" x14ac:dyDescent="0.25">
      <c r="A150" s="381" t="s">
        <v>1613</v>
      </c>
      <c r="B150" s="342"/>
      <c r="C150" s="195" t="str">
        <f t="shared" si="2"/>
        <v>31-065800G</v>
      </c>
      <c r="D150" s="200">
        <v>0</v>
      </c>
      <c r="E150" s="201" t="s">
        <v>86</v>
      </c>
      <c r="F150" s="202">
        <v>0</v>
      </c>
      <c r="G150" s="203">
        <v>0</v>
      </c>
      <c r="H150" s="202">
        <v>0</v>
      </c>
      <c r="I150" s="201" t="s">
        <v>86</v>
      </c>
      <c r="J150" s="202">
        <v>0</v>
      </c>
      <c r="K150" s="204">
        <v>0</v>
      </c>
      <c r="L150" s="382">
        <v>0</v>
      </c>
      <c r="M150" s="342"/>
      <c r="N150" s="202">
        <v>0</v>
      </c>
      <c r="O150" s="202">
        <v>0</v>
      </c>
      <c r="P150" s="202">
        <v>0</v>
      </c>
      <c r="Q150" s="207" t="s">
        <v>86</v>
      </c>
      <c r="R150" s="202">
        <v>0</v>
      </c>
      <c r="S150" s="202">
        <v>0</v>
      </c>
      <c r="T150" s="202">
        <v>0</v>
      </c>
    </row>
    <row r="151" spans="1:20" outlineLevel="2" x14ac:dyDescent="0.25">
      <c r="A151" s="385" t="s">
        <v>1614</v>
      </c>
      <c r="B151" s="342"/>
      <c r="C151" s="195" t="str">
        <f t="shared" si="2"/>
        <v>Subcontrat</v>
      </c>
      <c r="D151" s="3">
        <v>483921422</v>
      </c>
      <c r="E151" s="275" t="s">
        <v>86</v>
      </c>
      <c r="F151" s="71">
        <v>0</v>
      </c>
      <c r="G151" s="71">
        <v>485114134</v>
      </c>
      <c r="H151" s="71">
        <v>485114134</v>
      </c>
      <c r="I151" s="275" t="s">
        <v>86</v>
      </c>
      <c r="J151" s="71">
        <v>0</v>
      </c>
      <c r="K151" s="71">
        <v>0</v>
      </c>
      <c r="L151" s="386">
        <v>0</v>
      </c>
      <c r="M151" s="342"/>
      <c r="N151" s="71">
        <v>0</v>
      </c>
      <c r="O151" s="71">
        <v>0</v>
      </c>
      <c r="P151" s="71">
        <v>0</v>
      </c>
      <c r="Q151" s="276" t="s">
        <v>86</v>
      </c>
      <c r="R151" s="71">
        <v>485114134</v>
      </c>
      <c r="S151" s="71">
        <v>0</v>
      </c>
      <c r="T151" s="71">
        <v>485114134</v>
      </c>
    </row>
    <row r="152" spans="1:20" outlineLevel="3" collapsed="1" x14ac:dyDescent="0.25">
      <c r="A152" s="381" t="s">
        <v>1615</v>
      </c>
      <c r="B152" s="342"/>
      <c r="C152" s="195" t="str">
        <f t="shared" si="2"/>
        <v>31-070800A</v>
      </c>
      <c r="D152" s="200">
        <v>483921422</v>
      </c>
      <c r="E152" s="201" t="s">
        <v>86</v>
      </c>
      <c r="F152" s="202">
        <v>0</v>
      </c>
      <c r="G152" s="203">
        <v>485114134</v>
      </c>
      <c r="H152" s="202">
        <v>485114134</v>
      </c>
      <c r="I152" s="201" t="s">
        <v>86</v>
      </c>
      <c r="J152" s="202">
        <v>0</v>
      </c>
      <c r="K152" s="204">
        <v>0</v>
      </c>
      <c r="L152" s="382">
        <v>0</v>
      </c>
      <c r="M152" s="342"/>
      <c r="N152" s="202">
        <v>0</v>
      </c>
      <c r="O152" s="202">
        <v>0</v>
      </c>
      <c r="P152" s="202">
        <v>0</v>
      </c>
      <c r="Q152" s="207" t="s">
        <v>86</v>
      </c>
      <c r="R152" s="202">
        <v>485114134</v>
      </c>
      <c r="S152" s="202">
        <v>0</v>
      </c>
      <c r="T152" s="202">
        <v>485114134</v>
      </c>
    </row>
    <row r="153" spans="1:20" outlineLevel="3" collapsed="1" x14ac:dyDescent="0.25">
      <c r="A153" s="381" t="s">
        <v>1616</v>
      </c>
      <c r="B153" s="342"/>
      <c r="C153" s="195" t="str">
        <f t="shared" si="2"/>
        <v>31-070800G</v>
      </c>
      <c r="D153" s="200">
        <v>0</v>
      </c>
      <c r="E153" s="201" t="s">
        <v>86</v>
      </c>
      <c r="F153" s="202">
        <v>0</v>
      </c>
      <c r="G153" s="203">
        <v>0</v>
      </c>
      <c r="H153" s="202">
        <v>0</v>
      </c>
      <c r="I153" s="201" t="s">
        <v>86</v>
      </c>
      <c r="J153" s="202">
        <v>0</v>
      </c>
      <c r="K153" s="204">
        <v>0</v>
      </c>
      <c r="L153" s="382">
        <v>0</v>
      </c>
      <c r="M153" s="342"/>
      <c r="N153" s="202">
        <v>0</v>
      </c>
      <c r="O153" s="202">
        <v>0</v>
      </c>
      <c r="P153" s="202">
        <v>0</v>
      </c>
      <c r="Q153" s="207" t="s">
        <v>86</v>
      </c>
      <c r="R153" s="202">
        <v>0</v>
      </c>
      <c r="S153" s="202">
        <v>0</v>
      </c>
      <c r="T153" s="202">
        <v>0</v>
      </c>
    </row>
    <row r="154" spans="1:20" outlineLevel="2" x14ac:dyDescent="0.25">
      <c r="A154" s="385" t="s">
        <v>1617</v>
      </c>
      <c r="B154" s="342"/>
      <c r="C154" s="195" t="str">
        <f t="shared" si="2"/>
        <v>Subcontrat</v>
      </c>
      <c r="D154" s="3">
        <v>1916610</v>
      </c>
      <c r="E154" s="275" t="s">
        <v>86</v>
      </c>
      <c r="F154" s="71">
        <v>0</v>
      </c>
      <c r="G154" s="71">
        <v>1921334</v>
      </c>
      <c r="H154" s="71">
        <v>1921334</v>
      </c>
      <c r="I154" s="275" t="s">
        <v>86</v>
      </c>
      <c r="J154" s="71">
        <v>0</v>
      </c>
      <c r="K154" s="71">
        <v>0</v>
      </c>
      <c r="L154" s="386">
        <v>0</v>
      </c>
      <c r="M154" s="342"/>
      <c r="N154" s="71">
        <v>0</v>
      </c>
      <c r="O154" s="71">
        <v>0</v>
      </c>
      <c r="P154" s="71">
        <v>0</v>
      </c>
      <c r="Q154" s="276" t="s">
        <v>86</v>
      </c>
      <c r="R154" s="71">
        <v>1921334</v>
      </c>
      <c r="S154" s="71">
        <v>0</v>
      </c>
      <c r="T154" s="71">
        <v>1921334</v>
      </c>
    </row>
    <row r="155" spans="1:20" outlineLevel="3" collapsed="1" x14ac:dyDescent="0.25">
      <c r="A155" s="381" t="s">
        <v>1618</v>
      </c>
      <c r="B155" s="342"/>
      <c r="C155" s="195" t="str">
        <f t="shared" si="2"/>
        <v>31-084600A</v>
      </c>
      <c r="D155" s="200">
        <v>1916610</v>
      </c>
      <c r="E155" s="201" t="s">
        <v>86</v>
      </c>
      <c r="F155" s="202">
        <v>0</v>
      </c>
      <c r="G155" s="203">
        <v>1921334</v>
      </c>
      <c r="H155" s="202">
        <v>1921334</v>
      </c>
      <c r="I155" s="201" t="s">
        <v>86</v>
      </c>
      <c r="J155" s="202">
        <v>0</v>
      </c>
      <c r="K155" s="204">
        <v>0</v>
      </c>
      <c r="L155" s="382">
        <v>0</v>
      </c>
      <c r="M155" s="342"/>
      <c r="N155" s="202">
        <v>0</v>
      </c>
      <c r="O155" s="202">
        <v>0</v>
      </c>
      <c r="P155" s="202">
        <v>0</v>
      </c>
      <c r="Q155" s="207" t="s">
        <v>86</v>
      </c>
      <c r="R155" s="202">
        <v>1921334</v>
      </c>
      <c r="S155" s="202">
        <v>0</v>
      </c>
      <c r="T155" s="202">
        <v>1921334</v>
      </c>
    </row>
    <row r="156" spans="1:20" outlineLevel="3" collapsed="1" x14ac:dyDescent="0.25">
      <c r="A156" s="381" t="s">
        <v>1619</v>
      </c>
      <c r="B156" s="342"/>
      <c r="C156" s="195" t="str">
        <f t="shared" si="2"/>
        <v>31-084600G</v>
      </c>
      <c r="D156" s="200">
        <v>0</v>
      </c>
      <c r="E156" s="201" t="s">
        <v>86</v>
      </c>
      <c r="F156" s="202">
        <v>0</v>
      </c>
      <c r="G156" s="203">
        <v>0</v>
      </c>
      <c r="H156" s="202">
        <v>0</v>
      </c>
      <c r="I156" s="201" t="s">
        <v>86</v>
      </c>
      <c r="J156" s="202">
        <v>0</v>
      </c>
      <c r="K156" s="204">
        <v>0</v>
      </c>
      <c r="L156" s="382">
        <v>0</v>
      </c>
      <c r="M156" s="342"/>
      <c r="N156" s="202">
        <v>0</v>
      </c>
      <c r="O156" s="202">
        <v>0</v>
      </c>
      <c r="P156" s="202">
        <v>0</v>
      </c>
      <c r="Q156" s="207" t="s">
        <v>86</v>
      </c>
      <c r="R156" s="202">
        <v>0</v>
      </c>
      <c r="S156" s="202">
        <v>0</v>
      </c>
      <c r="T156" s="202">
        <v>0</v>
      </c>
    </row>
    <row r="157" spans="1:20" x14ac:dyDescent="0.25">
      <c r="A157" s="389" t="s">
        <v>1620</v>
      </c>
      <c r="B157" s="342"/>
      <c r="C157" s="195" t="str">
        <f t="shared" si="2"/>
        <v xml:space="preserve"> INDIRECTO</v>
      </c>
      <c r="D157" s="1">
        <v>19548063264</v>
      </c>
      <c r="E157" s="274" t="s">
        <v>86</v>
      </c>
      <c r="F157" s="12">
        <v>687988858</v>
      </c>
      <c r="G157" s="12">
        <v>19128295773</v>
      </c>
      <c r="H157" s="12">
        <v>19816284631</v>
      </c>
      <c r="I157" s="274" t="s">
        <v>86</v>
      </c>
      <c r="J157" s="11">
        <v>532496050</v>
      </c>
      <c r="K157" s="11">
        <v>210211398</v>
      </c>
      <c r="L157" s="390">
        <v>179157277.05000001</v>
      </c>
      <c r="M157" s="342"/>
      <c r="N157" s="11">
        <v>0</v>
      </c>
      <c r="O157" s="11">
        <v>389368675.05000001</v>
      </c>
      <c r="P157" s="11">
        <v>921864725.04999995</v>
      </c>
      <c r="Q157" s="242" t="s">
        <v>86</v>
      </c>
      <c r="R157" s="12">
        <v>19816284631</v>
      </c>
      <c r="S157" s="11">
        <v>921864725.04999995</v>
      </c>
      <c r="T157" s="2">
        <v>18894419905.950001</v>
      </c>
    </row>
    <row r="158" spans="1:20" outlineLevel="1" x14ac:dyDescent="0.25">
      <c r="A158" s="387" t="s">
        <v>221</v>
      </c>
      <c r="B158" s="342"/>
      <c r="C158" s="195" t="str">
        <f t="shared" si="2"/>
        <v>ANO DE OBR</v>
      </c>
      <c r="D158" s="196">
        <v>11626339448</v>
      </c>
      <c r="E158" s="195" t="s">
        <v>86</v>
      </c>
      <c r="F158" s="197">
        <v>415833496</v>
      </c>
      <c r="G158" s="197">
        <v>11412330667</v>
      </c>
      <c r="H158" s="197">
        <v>11828164163</v>
      </c>
      <c r="I158" s="195" t="s">
        <v>86</v>
      </c>
      <c r="J158" s="209">
        <v>424483856</v>
      </c>
      <c r="K158" s="209">
        <v>5672319</v>
      </c>
      <c r="L158" s="388">
        <v>131800</v>
      </c>
      <c r="M158" s="342"/>
      <c r="N158" s="209">
        <v>0</v>
      </c>
      <c r="O158" s="209">
        <v>5804119</v>
      </c>
      <c r="P158" s="209">
        <v>430287975</v>
      </c>
      <c r="Q158" s="198" t="s">
        <v>86</v>
      </c>
      <c r="R158" s="197">
        <v>11828164163</v>
      </c>
      <c r="S158" s="209">
        <v>430287975</v>
      </c>
      <c r="T158" s="199">
        <v>11397876188</v>
      </c>
    </row>
    <row r="159" spans="1:20" outlineLevel="2" x14ac:dyDescent="0.25">
      <c r="A159" s="385" t="s">
        <v>1621</v>
      </c>
      <c r="B159" s="342"/>
      <c r="C159" s="195" t="str">
        <f t="shared" si="2"/>
        <v>Staff Supe</v>
      </c>
      <c r="D159" s="3">
        <v>2650904307</v>
      </c>
      <c r="E159" s="275" t="s">
        <v>86</v>
      </c>
      <c r="F159" s="71">
        <v>297510383</v>
      </c>
      <c r="G159" s="71">
        <v>2416561711</v>
      </c>
      <c r="H159" s="71">
        <v>2714072094</v>
      </c>
      <c r="I159" s="275" t="s">
        <v>86</v>
      </c>
      <c r="J159" s="71">
        <v>187050436</v>
      </c>
      <c r="K159" s="71">
        <v>0</v>
      </c>
      <c r="L159" s="386">
        <v>0</v>
      </c>
      <c r="M159" s="342"/>
      <c r="N159" s="71">
        <v>0</v>
      </c>
      <c r="O159" s="71">
        <v>0</v>
      </c>
      <c r="P159" s="71">
        <v>187050436</v>
      </c>
      <c r="Q159" s="276" t="s">
        <v>86</v>
      </c>
      <c r="R159" s="71">
        <v>2714072094</v>
      </c>
      <c r="S159" s="71">
        <v>187050436</v>
      </c>
      <c r="T159" s="71">
        <v>2527021658</v>
      </c>
    </row>
    <row r="160" spans="1:20" outlineLevel="3" collapsed="1" x14ac:dyDescent="0.25">
      <c r="A160" s="381" t="s">
        <v>1622</v>
      </c>
      <c r="B160" s="342"/>
      <c r="C160" s="195" t="str">
        <f t="shared" si="2"/>
        <v>12-510100G</v>
      </c>
      <c r="D160" s="200">
        <v>2650904307</v>
      </c>
      <c r="E160" s="201" t="s">
        <v>86</v>
      </c>
      <c r="F160" s="202">
        <v>297510383</v>
      </c>
      <c r="G160" s="203">
        <v>2416561711</v>
      </c>
      <c r="H160" s="202">
        <v>2714072094</v>
      </c>
      <c r="I160" s="201" t="s">
        <v>86</v>
      </c>
      <c r="J160" s="202">
        <v>182627191</v>
      </c>
      <c r="K160" s="204">
        <v>0</v>
      </c>
      <c r="L160" s="382">
        <v>0</v>
      </c>
      <c r="M160" s="342"/>
      <c r="N160" s="202">
        <v>0</v>
      </c>
      <c r="O160" s="202">
        <v>0</v>
      </c>
      <c r="P160" s="202">
        <v>182627191</v>
      </c>
      <c r="Q160" s="207" t="s">
        <v>86</v>
      </c>
      <c r="R160" s="202">
        <v>2714072094</v>
      </c>
      <c r="S160" s="202">
        <v>182627191</v>
      </c>
      <c r="T160" s="202">
        <v>2531444903</v>
      </c>
    </row>
    <row r="161" spans="1:20" outlineLevel="3" collapsed="1" x14ac:dyDescent="0.25">
      <c r="A161" s="381" t="s">
        <v>1623</v>
      </c>
      <c r="B161" s="342"/>
      <c r="C161" s="195" t="str">
        <f t="shared" si="2"/>
        <v>12-600100G</v>
      </c>
      <c r="D161" s="200">
        <v>0</v>
      </c>
      <c r="E161" s="201" t="s">
        <v>86</v>
      </c>
      <c r="F161" s="202">
        <v>0</v>
      </c>
      <c r="G161" s="203">
        <v>0</v>
      </c>
      <c r="H161" s="202">
        <v>0</v>
      </c>
      <c r="I161" s="201" t="s">
        <v>86</v>
      </c>
      <c r="J161" s="202">
        <v>4423245</v>
      </c>
      <c r="K161" s="204">
        <v>0</v>
      </c>
      <c r="L161" s="382">
        <v>0</v>
      </c>
      <c r="M161" s="342"/>
      <c r="N161" s="202">
        <v>0</v>
      </c>
      <c r="O161" s="202">
        <v>0</v>
      </c>
      <c r="P161" s="202">
        <v>4423245</v>
      </c>
      <c r="Q161" s="207" t="s">
        <v>86</v>
      </c>
      <c r="R161" s="202">
        <v>0</v>
      </c>
      <c r="S161" s="202">
        <v>4423245</v>
      </c>
      <c r="T161" s="202">
        <v>-4423245</v>
      </c>
    </row>
    <row r="162" spans="1:20" outlineLevel="3" collapsed="1" x14ac:dyDescent="0.25">
      <c r="A162" s="381" t="s">
        <v>1624</v>
      </c>
      <c r="B162" s="342"/>
      <c r="C162" s="195" t="str">
        <f t="shared" si="2"/>
        <v>12-600200G</v>
      </c>
      <c r="D162" s="200">
        <v>0</v>
      </c>
      <c r="E162" s="201" t="s">
        <v>86</v>
      </c>
      <c r="F162" s="202">
        <v>0</v>
      </c>
      <c r="G162" s="203">
        <v>0</v>
      </c>
      <c r="H162" s="202">
        <v>0</v>
      </c>
      <c r="I162" s="201" t="s">
        <v>86</v>
      </c>
      <c r="J162" s="202">
        <v>0</v>
      </c>
      <c r="K162" s="204">
        <v>0</v>
      </c>
      <c r="L162" s="382">
        <v>0</v>
      </c>
      <c r="M162" s="342"/>
      <c r="N162" s="202">
        <v>0</v>
      </c>
      <c r="O162" s="202">
        <v>0</v>
      </c>
      <c r="P162" s="202">
        <v>0</v>
      </c>
      <c r="Q162" s="207" t="s">
        <v>86</v>
      </c>
      <c r="R162" s="202">
        <v>0</v>
      </c>
      <c r="S162" s="202">
        <v>0</v>
      </c>
      <c r="T162" s="202">
        <v>0</v>
      </c>
    </row>
    <row r="163" spans="1:20" outlineLevel="2" x14ac:dyDescent="0.25">
      <c r="A163" s="385" t="s">
        <v>1625</v>
      </c>
      <c r="B163" s="342"/>
      <c r="C163" s="195" t="str">
        <f t="shared" si="2"/>
        <v>Oficina Té</v>
      </c>
      <c r="D163" s="3">
        <v>1023028199</v>
      </c>
      <c r="E163" s="275" t="s">
        <v>86</v>
      </c>
      <c r="F163" s="71">
        <v>11003558</v>
      </c>
      <c r="G163" s="71">
        <v>1039843080</v>
      </c>
      <c r="H163" s="71">
        <v>1050846638</v>
      </c>
      <c r="I163" s="275" t="s">
        <v>86</v>
      </c>
      <c r="J163" s="71">
        <v>73492012</v>
      </c>
      <c r="K163" s="71">
        <v>0</v>
      </c>
      <c r="L163" s="386">
        <v>0</v>
      </c>
      <c r="M163" s="342"/>
      <c r="N163" s="71">
        <v>0</v>
      </c>
      <c r="O163" s="71">
        <v>0</v>
      </c>
      <c r="P163" s="71">
        <v>73492012</v>
      </c>
      <c r="Q163" s="276" t="s">
        <v>86</v>
      </c>
      <c r="R163" s="71">
        <v>1050846638</v>
      </c>
      <c r="S163" s="71">
        <v>73492012</v>
      </c>
      <c r="T163" s="71">
        <v>977354626</v>
      </c>
    </row>
    <row r="164" spans="1:20" outlineLevel="3" collapsed="1" x14ac:dyDescent="0.25">
      <c r="A164" s="381" t="s">
        <v>1626</v>
      </c>
      <c r="B164" s="342"/>
      <c r="C164" s="195" t="str">
        <f t="shared" si="2"/>
        <v>12-520100G</v>
      </c>
      <c r="D164" s="200">
        <v>1023028199</v>
      </c>
      <c r="E164" s="201" t="s">
        <v>86</v>
      </c>
      <c r="F164" s="202">
        <v>11003558</v>
      </c>
      <c r="G164" s="203">
        <v>1039843080</v>
      </c>
      <c r="H164" s="202">
        <v>1050846638</v>
      </c>
      <c r="I164" s="201" t="s">
        <v>86</v>
      </c>
      <c r="J164" s="202">
        <v>73492012</v>
      </c>
      <c r="K164" s="204">
        <v>0</v>
      </c>
      <c r="L164" s="382">
        <v>0</v>
      </c>
      <c r="M164" s="342"/>
      <c r="N164" s="202">
        <v>0</v>
      </c>
      <c r="O164" s="202">
        <v>0</v>
      </c>
      <c r="P164" s="202">
        <v>73492012</v>
      </c>
      <c r="Q164" s="207" t="s">
        <v>86</v>
      </c>
      <c r="R164" s="202">
        <v>1050846638</v>
      </c>
      <c r="S164" s="202">
        <v>73492012</v>
      </c>
      <c r="T164" s="202">
        <v>977354626</v>
      </c>
    </row>
    <row r="165" spans="1:20" outlineLevel="2" x14ac:dyDescent="0.25">
      <c r="A165" s="385" t="s">
        <v>1627</v>
      </c>
      <c r="B165" s="342"/>
      <c r="C165" s="195" t="str">
        <f t="shared" si="2"/>
        <v>Supervisió</v>
      </c>
      <c r="D165" s="3">
        <v>2262958913</v>
      </c>
      <c r="E165" s="275" t="s">
        <v>86</v>
      </c>
      <c r="F165" s="71">
        <v>7192291</v>
      </c>
      <c r="G165" s="71">
        <v>2270014787</v>
      </c>
      <c r="H165" s="71">
        <v>2277207078</v>
      </c>
      <c r="I165" s="275" t="s">
        <v>86</v>
      </c>
      <c r="J165" s="71">
        <v>16524772</v>
      </c>
      <c r="K165" s="71">
        <v>0</v>
      </c>
      <c r="L165" s="386">
        <v>0</v>
      </c>
      <c r="M165" s="342"/>
      <c r="N165" s="71">
        <v>0</v>
      </c>
      <c r="O165" s="71">
        <v>0</v>
      </c>
      <c r="P165" s="71">
        <v>16524772</v>
      </c>
      <c r="Q165" s="276" t="s">
        <v>86</v>
      </c>
      <c r="R165" s="71">
        <v>2277207078</v>
      </c>
      <c r="S165" s="71">
        <v>16524772</v>
      </c>
      <c r="T165" s="71">
        <v>2260682306</v>
      </c>
    </row>
    <row r="166" spans="1:20" outlineLevel="3" collapsed="1" x14ac:dyDescent="0.25">
      <c r="A166" s="381" t="s">
        <v>1628</v>
      </c>
      <c r="B166" s="342"/>
      <c r="C166" s="195" t="str">
        <f t="shared" si="2"/>
        <v>12-530100G</v>
      </c>
      <c r="D166" s="200">
        <v>2262958913</v>
      </c>
      <c r="E166" s="201" t="s">
        <v>86</v>
      </c>
      <c r="F166" s="202">
        <v>7192291</v>
      </c>
      <c r="G166" s="203">
        <v>2270014787</v>
      </c>
      <c r="H166" s="202">
        <v>2277207078</v>
      </c>
      <c r="I166" s="201" t="s">
        <v>86</v>
      </c>
      <c r="J166" s="202">
        <v>16524772</v>
      </c>
      <c r="K166" s="204">
        <v>0</v>
      </c>
      <c r="L166" s="382">
        <v>0</v>
      </c>
      <c r="M166" s="342"/>
      <c r="N166" s="202">
        <v>0</v>
      </c>
      <c r="O166" s="202">
        <v>0</v>
      </c>
      <c r="P166" s="202">
        <v>16524772</v>
      </c>
      <c r="Q166" s="207" t="s">
        <v>86</v>
      </c>
      <c r="R166" s="202">
        <v>2277207078</v>
      </c>
      <c r="S166" s="202">
        <v>16524772</v>
      </c>
      <c r="T166" s="202">
        <v>2260682306</v>
      </c>
    </row>
    <row r="167" spans="1:20" outlineLevel="2" x14ac:dyDescent="0.25">
      <c r="A167" s="385" t="s">
        <v>1629</v>
      </c>
      <c r="B167" s="342"/>
      <c r="C167" s="195" t="str">
        <f t="shared" si="2"/>
        <v>Administra</v>
      </c>
      <c r="D167" s="3">
        <v>356009950</v>
      </c>
      <c r="E167" s="275" t="s">
        <v>86</v>
      </c>
      <c r="F167" s="71">
        <v>876051</v>
      </c>
      <c r="G167" s="71">
        <v>366825561</v>
      </c>
      <c r="H167" s="71">
        <v>367701612</v>
      </c>
      <c r="I167" s="275" t="s">
        <v>86</v>
      </c>
      <c r="J167" s="71">
        <v>17338026</v>
      </c>
      <c r="K167" s="71">
        <v>0</v>
      </c>
      <c r="L167" s="386">
        <v>0</v>
      </c>
      <c r="M167" s="342"/>
      <c r="N167" s="71">
        <v>0</v>
      </c>
      <c r="O167" s="71">
        <v>0</v>
      </c>
      <c r="P167" s="71">
        <v>17338026</v>
      </c>
      <c r="Q167" s="276" t="s">
        <v>86</v>
      </c>
      <c r="R167" s="71">
        <v>367701612</v>
      </c>
      <c r="S167" s="71">
        <v>17338026</v>
      </c>
      <c r="T167" s="71">
        <v>350363586</v>
      </c>
    </row>
    <row r="168" spans="1:20" outlineLevel="3" collapsed="1" x14ac:dyDescent="0.25">
      <c r="A168" s="381" t="s">
        <v>1630</v>
      </c>
      <c r="B168" s="342"/>
      <c r="C168" s="195" t="str">
        <f t="shared" si="2"/>
        <v>12-540100G</v>
      </c>
      <c r="D168" s="200">
        <v>356009950</v>
      </c>
      <c r="E168" s="201" t="s">
        <v>86</v>
      </c>
      <c r="F168" s="202">
        <v>876051</v>
      </c>
      <c r="G168" s="203">
        <v>366825561</v>
      </c>
      <c r="H168" s="202">
        <v>367701612</v>
      </c>
      <c r="I168" s="201" t="s">
        <v>86</v>
      </c>
      <c r="J168" s="202">
        <v>17338026</v>
      </c>
      <c r="K168" s="204">
        <v>0</v>
      </c>
      <c r="L168" s="382">
        <v>0</v>
      </c>
      <c r="M168" s="342"/>
      <c r="N168" s="202">
        <v>0</v>
      </c>
      <c r="O168" s="202">
        <v>0</v>
      </c>
      <c r="P168" s="202">
        <v>17338026</v>
      </c>
      <c r="Q168" s="207" t="s">
        <v>86</v>
      </c>
      <c r="R168" s="202">
        <v>367701612</v>
      </c>
      <c r="S168" s="202">
        <v>17338026</v>
      </c>
      <c r="T168" s="202">
        <v>350363586</v>
      </c>
    </row>
    <row r="169" spans="1:20" outlineLevel="2" x14ac:dyDescent="0.25">
      <c r="A169" s="385" t="s">
        <v>1631</v>
      </c>
      <c r="B169" s="342"/>
      <c r="C169" s="195" t="str">
        <f t="shared" si="2"/>
        <v xml:space="preserve">Seguridad </v>
      </c>
      <c r="D169" s="3">
        <v>910193161</v>
      </c>
      <c r="E169" s="275" t="s">
        <v>86</v>
      </c>
      <c r="F169" s="71">
        <v>5446149</v>
      </c>
      <c r="G169" s="71">
        <v>921449858</v>
      </c>
      <c r="H169" s="71">
        <v>926896007</v>
      </c>
      <c r="I169" s="275" t="s">
        <v>86</v>
      </c>
      <c r="J169" s="71">
        <v>34752716</v>
      </c>
      <c r="K169" s="71">
        <v>0</v>
      </c>
      <c r="L169" s="386">
        <v>0</v>
      </c>
      <c r="M169" s="342"/>
      <c r="N169" s="71">
        <v>0</v>
      </c>
      <c r="O169" s="71">
        <v>0</v>
      </c>
      <c r="P169" s="71">
        <v>34752716</v>
      </c>
      <c r="Q169" s="276" t="s">
        <v>86</v>
      </c>
      <c r="R169" s="71">
        <v>926896007</v>
      </c>
      <c r="S169" s="71">
        <v>34752716</v>
      </c>
      <c r="T169" s="71">
        <v>892143291</v>
      </c>
    </row>
    <row r="170" spans="1:20" outlineLevel="3" collapsed="1" x14ac:dyDescent="0.25">
      <c r="A170" s="381" t="s">
        <v>1632</v>
      </c>
      <c r="B170" s="342"/>
      <c r="C170" s="195" t="str">
        <f t="shared" si="2"/>
        <v>12-550100G</v>
      </c>
      <c r="D170" s="200">
        <v>910193161</v>
      </c>
      <c r="E170" s="201" t="s">
        <v>86</v>
      </c>
      <c r="F170" s="202">
        <v>5446149</v>
      </c>
      <c r="G170" s="203">
        <v>921449858</v>
      </c>
      <c r="H170" s="202">
        <v>926896007</v>
      </c>
      <c r="I170" s="201" t="s">
        <v>86</v>
      </c>
      <c r="J170" s="202">
        <v>34752716</v>
      </c>
      <c r="K170" s="204">
        <v>0</v>
      </c>
      <c r="L170" s="382">
        <v>0</v>
      </c>
      <c r="M170" s="342"/>
      <c r="N170" s="202">
        <v>0</v>
      </c>
      <c r="O170" s="202">
        <v>0</v>
      </c>
      <c r="P170" s="202">
        <v>34752716</v>
      </c>
      <c r="Q170" s="207" t="s">
        <v>86</v>
      </c>
      <c r="R170" s="202">
        <v>926896007</v>
      </c>
      <c r="S170" s="202">
        <v>34752716</v>
      </c>
      <c r="T170" s="202">
        <v>892143291</v>
      </c>
    </row>
    <row r="171" spans="1:20" outlineLevel="2" x14ac:dyDescent="0.25">
      <c r="A171" s="385" t="s">
        <v>1633</v>
      </c>
      <c r="B171" s="342"/>
      <c r="C171" s="195" t="str">
        <f t="shared" si="2"/>
        <v>Control de</v>
      </c>
      <c r="D171" s="3">
        <v>455086104</v>
      </c>
      <c r="E171" s="275" t="s">
        <v>86</v>
      </c>
      <c r="F171" s="71">
        <v>0</v>
      </c>
      <c r="G171" s="71">
        <v>457284617</v>
      </c>
      <c r="H171" s="71">
        <v>457284617</v>
      </c>
      <c r="I171" s="275" t="s">
        <v>86</v>
      </c>
      <c r="J171" s="71">
        <v>0</v>
      </c>
      <c r="K171" s="71">
        <v>0</v>
      </c>
      <c r="L171" s="386">
        <v>0</v>
      </c>
      <c r="M171" s="342"/>
      <c r="N171" s="71">
        <v>0</v>
      </c>
      <c r="O171" s="71">
        <v>0</v>
      </c>
      <c r="P171" s="71">
        <v>0</v>
      </c>
      <c r="Q171" s="276" t="s">
        <v>86</v>
      </c>
      <c r="R171" s="71">
        <v>457284617</v>
      </c>
      <c r="S171" s="71">
        <v>0</v>
      </c>
      <c r="T171" s="71">
        <v>457284617</v>
      </c>
    </row>
    <row r="172" spans="1:20" outlineLevel="3" collapsed="1" x14ac:dyDescent="0.25">
      <c r="A172" s="381" t="s">
        <v>1634</v>
      </c>
      <c r="B172" s="342"/>
      <c r="C172" s="195" t="str">
        <f t="shared" si="2"/>
        <v>12-560100G</v>
      </c>
      <c r="D172" s="200">
        <v>455086104</v>
      </c>
      <c r="E172" s="201" t="s">
        <v>86</v>
      </c>
      <c r="F172" s="202">
        <v>0</v>
      </c>
      <c r="G172" s="203">
        <v>457284617</v>
      </c>
      <c r="H172" s="202">
        <v>457284617</v>
      </c>
      <c r="I172" s="201" t="s">
        <v>86</v>
      </c>
      <c r="J172" s="202">
        <v>0</v>
      </c>
      <c r="K172" s="204">
        <v>0</v>
      </c>
      <c r="L172" s="382">
        <v>0</v>
      </c>
      <c r="M172" s="342"/>
      <c r="N172" s="202">
        <v>0</v>
      </c>
      <c r="O172" s="202">
        <v>0</v>
      </c>
      <c r="P172" s="202">
        <v>0</v>
      </c>
      <c r="Q172" s="207" t="s">
        <v>86</v>
      </c>
      <c r="R172" s="202">
        <v>457284617</v>
      </c>
      <c r="S172" s="202">
        <v>0</v>
      </c>
      <c r="T172" s="202">
        <v>457284617</v>
      </c>
    </row>
    <row r="173" spans="1:20" outlineLevel="2" x14ac:dyDescent="0.25">
      <c r="A173" s="385" t="s">
        <v>1635</v>
      </c>
      <c r="B173" s="342"/>
      <c r="C173" s="195" t="str">
        <f t="shared" si="2"/>
        <v>Servicios</v>
      </c>
      <c r="D173" s="3">
        <v>658243815</v>
      </c>
      <c r="E173" s="275" t="s">
        <v>86</v>
      </c>
      <c r="F173" s="71">
        <v>4084611</v>
      </c>
      <c r="G173" s="71">
        <v>689808266</v>
      </c>
      <c r="H173" s="71">
        <v>693892877</v>
      </c>
      <c r="I173" s="275" t="s">
        <v>86</v>
      </c>
      <c r="J173" s="71">
        <v>31369430</v>
      </c>
      <c r="K173" s="71">
        <v>0</v>
      </c>
      <c r="L173" s="386">
        <v>0</v>
      </c>
      <c r="M173" s="342"/>
      <c r="N173" s="71">
        <v>0</v>
      </c>
      <c r="O173" s="71">
        <v>0</v>
      </c>
      <c r="P173" s="71">
        <v>31369430</v>
      </c>
      <c r="Q173" s="276" t="s">
        <v>86</v>
      </c>
      <c r="R173" s="71">
        <v>693892877</v>
      </c>
      <c r="S173" s="71">
        <v>31369430</v>
      </c>
      <c r="T173" s="71">
        <v>662523447</v>
      </c>
    </row>
    <row r="174" spans="1:20" outlineLevel="3" collapsed="1" x14ac:dyDescent="0.25">
      <c r="A174" s="381" t="s">
        <v>1636</v>
      </c>
      <c r="B174" s="342"/>
      <c r="C174" s="195" t="str">
        <f t="shared" si="2"/>
        <v>12-570100G</v>
      </c>
      <c r="D174" s="200">
        <v>658243815</v>
      </c>
      <c r="E174" s="201" t="s">
        <v>86</v>
      </c>
      <c r="F174" s="202">
        <v>4084611</v>
      </c>
      <c r="G174" s="203">
        <v>689808266</v>
      </c>
      <c r="H174" s="202">
        <v>693892877</v>
      </c>
      <c r="I174" s="201" t="s">
        <v>86</v>
      </c>
      <c r="J174" s="202">
        <v>30722107</v>
      </c>
      <c r="K174" s="204">
        <v>0</v>
      </c>
      <c r="L174" s="382">
        <v>0</v>
      </c>
      <c r="M174" s="342"/>
      <c r="N174" s="202">
        <v>0</v>
      </c>
      <c r="O174" s="202">
        <v>0</v>
      </c>
      <c r="P174" s="202">
        <v>30722107</v>
      </c>
      <c r="Q174" s="207" t="s">
        <v>86</v>
      </c>
      <c r="R174" s="202">
        <v>693892877</v>
      </c>
      <c r="S174" s="202">
        <v>30722107</v>
      </c>
      <c r="T174" s="202">
        <v>663170770</v>
      </c>
    </row>
    <row r="175" spans="1:20" outlineLevel="3" collapsed="1" x14ac:dyDescent="0.25">
      <c r="A175" s="381" t="s">
        <v>1637</v>
      </c>
      <c r="B175" s="342"/>
      <c r="C175" s="195" t="str">
        <f t="shared" si="2"/>
        <v>12-999999G</v>
      </c>
      <c r="D175" s="200">
        <v>0</v>
      </c>
      <c r="E175" s="201" t="s">
        <v>86</v>
      </c>
      <c r="F175" s="202">
        <v>0</v>
      </c>
      <c r="G175" s="203">
        <v>0</v>
      </c>
      <c r="H175" s="202">
        <v>0</v>
      </c>
      <c r="I175" s="201" t="s">
        <v>86</v>
      </c>
      <c r="J175" s="202">
        <v>647323</v>
      </c>
      <c r="K175" s="204">
        <v>0</v>
      </c>
      <c r="L175" s="382">
        <v>0</v>
      </c>
      <c r="M175" s="342"/>
      <c r="N175" s="202">
        <v>0</v>
      </c>
      <c r="O175" s="202">
        <v>0</v>
      </c>
      <c r="P175" s="202">
        <v>647323</v>
      </c>
      <c r="Q175" s="207" t="s">
        <v>86</v>
      </c>
      <c r="R175" s="202">
        <v>0</v>
      </c>
      <c r="S175" s="202">
        <v>647323</v>
      </c>
      <c r="T175" s="202">
        <v>-647323</v>
      </c>
    </row>
    <row r="176" spans="1:20" outlineLevel="2" x14ac:dyDescent="0.25">
      <c r="A176" s="385" t="s">
        <v>1638</v>
      </c>
      <c r="B176" s="342"/>
      <c r="C176" s="195" t="str">
        <f t="shared" si="2"/>
        <v>Topografía</v>
      </c>
      <c r="D176" s="3">
        <v>633099827</v>
      </c>
      <c r="E176" s="275" t="s">
        <v>86</v>
      </c>
      <c r="F176" s="71">
        <v>0</v>
      </c>
      <c r="G176" s="71">
        <v>637439375</v>
      </c>
      <c r="H176" s="71">
        <v>637439375</v>
      </c>
      <c r="I176" s="275" t="s">
        <v>86</v>
      </c>
      <c r="J176" s="71">
        <v>352517</v>
      </c>
      <c r="K176" s="71">
        <v>0</v>
      </c>
      <c r="L176" s="386">
        <v>0</v>
      </c>
      <c r="M176" s="342"/>
      <c r="N176" s="71">
        <v>0</v>
      </c>
      <c r="O176" s="71">
        <v>0</v>
      </c>
      <c r="P176" s="71">
        <v>352517</v>
      </c>
      <c r="Q176" s="276" t="s">
        <v>86</v>
      </c>
      <c r="R176" s="71">
        <v>637439375</v>
      </c>
      <c r="S176" s="71">
        <v>352517</v>
      </c>
      <c r="T176" s="71">
        <v>637086858</v>
      </c>
    </row>
    <row r="177" spans="1:20" outlineLevel="3" collapsed="1" x14ac:dyDescent="0.25">
      <c r="A177" s="381" t="s">
        <v>1639</v>
      </c>
      <c r="B177" s="342"/>
      <c r="C177" s="195" t="str">
        <f t="shared" si="2"/>
        <v>12-590200G</v>
      </c>
      <c r="D177" s="200">
        <v>633099827</v>
      </c>
      <c r="E177" s="201" t="s">
        <v>86</v>
      </c>
      <c r="F177" s="202">
        <v>0</v>
      </c>
      <c r="G177" s="203">
        <v>637439375</v>
      </c>
      <c r="H177" s="202">
        <v>637439375</v>
      </c>
      <c r="I177" s="201" t="s">
        <v>86</v>
      </c>
      <c r="J177" s="202">
        <v>352517</v>
      </c>
      <c r="K177" s="204">
        <v>0</v>
      </c>
      <c r="L177" s="382">
        <v>0</v>
      </c>
      <c r="M177" s="342"/>
      <c r="N177" s="202">
        <v>0</v>
      </c>
      <c r="O177" s="202">
        <v>0</v>
      </c>
      <c r="P177" s="202">
        <v>352517</v>
      </c>
      <c r="Q177" s="207" t="s">
        <v>86</v>
      </c>
      <c r="R177" s="202">
        <v>637439375</v>
      </c>
      <c r="S177" s="202">
        <v>352517</v>
      </c>
      <c r="T177" s="202">
        <v>637086858</v>
      </c>
    </row>
    <row r="178" spans="1:20" outlineLevel="2" x14ac:dyDescent="0.25">
      <c r="A178" s="385" t="s">
        <v>1640</v>
      </c>
      <c r="B178" s="342"/>
      <c r="C178" s="195" t="str">
        <f t="shared" si="2"/>
        <v>Movilizaci</v>
      </c>
      <c r="D178" s="3">
        <v>1612765667</v>
      </c>
      <c r="E178" s="275" t="s">
        <v>86</v>
      </c>
      <c r="F178" s="71">
        <v>70518781</v>
      </c>
      <c r="G178" s="71">
        <v>1555678716</v>
      </c>
      <c r="H178" s="71">
        <v>1626197497</v>
      </c>
      <c r="I178" s="275" t="s">
        <v>86</v>
      </c>
      <c r="J178" s="71">
        <v>46772446</v>
      </c>
      <c r="K178" s="71">
        <v>5672319</v>
      </c>
      <c r="L178" s="386">
        <v>54300</v>
      </c>
      <c r="M178" s="342"/>
      <c r="N178" s="71">
        <v>0</v>
      </c>
      <c r="O178" s="71">
        <v>5726619</v>
      </c>
      <c r="P178" s="71">
        <v>52499065</v>
      </c>
      <c r="Q178" s="276" t="s">
        <v>86</v>
      </c>
      <c r="R178" s="71">
        <v>1626197497</v>
      </c>
      <c r="S178" s="71">
        <v>52499065</v>
      </c>
      <c r="T178" s="71">
        <v>1573698432</v>
      </c>
    </row>
    <row r="179" spans="1:20" outlineLevel="3" collapsed="1" x14ac:dyDescent="0.25">
      <c r="A179" s="381" t="s">
        <v>1641</v>
      </c>
      <c r="B179" s="342"/>
      <c r="C179" s="195" t="str">
        <f t="shared" si="2"/>
        <v>12-580100A</v>
      </c>
      <c r="D179" s="200">
        <v>1612765667</v>
      </c>
      <c r="E179" s="201" t="s">
        <v>86</v>
      </c>
      <c r="F179" s="202">
        <v>70518781</v>
      </c>
      <c r="G179" s="203">
        <v>1555678716</v>
      </c>
      <c r="H179" s="202">
        <v>1626197497</v>
      </c>
      <c r="I179" s="201" t="s">
        <v>86</v>
      </c>
      <c r="J179" s="202">
        <v>46772446</v>
      </c>
      <c r="K179" s="204">
        <v>5672319</v>
      </c>
      <c r="L179" s="382">
        <v>54300</v>
      </c>
      <c r="M179" s="342"/>
      <c r="N179" s="202">
        <v>0</v>
      </c>
      <c r="O179" s="202">
        <v>5726619</v>
      </c>
      <c r="P179" s="202">
        <v>52499065</v>
      </c>
      <c r="Q179" s="207" t="s">
        <v>86</v>
      </c>
      <c r="R179" s="202">
        <v>1626197497</v>
      </c>
      <c r="S179" s="202">
        <v>52499065</v>
      </c>
      <c r="T179" s="202">
        <v>1573698432</v>
      </c>
    </row>
    <row r="180" spans="1:20" outlineLevel="2" x14ac:dyDescent="0.25">
      <c r="A180" s="385" t="s">
        <v>1642</v>
      </c>
      <c r="B180" s="342"/>
      <c r="C180" s="195" t="str">
        <f t="shared" si="2"/>
        <v xml:space="preserve">Pensión y </v>
      </c>
      <c r="D180" s="3">
        <v>1064049505</v>
      </c>
      <c r="E180" s="275" t="s">
        <v>86</v>
      </c>
      <c r="F180" s="71">
        <v>19201672</v>
      </c>
      <c r="G180" s="71">
        <v>1057424696</v>
      </c>
      <c r="H180" s="71">
        <v>1076626368</v>
      </c>
      <c r="I180" s="275" t="s">
        <v>86</v>
      </c>
      <c r="J180" s="71">
        <v>16831501</v>
      </c>
      <c r="K180" s="71">
        <v>0</v>
      </c>
      <c r="L180" s="386">
        <v>77500</v>
      </c>
      <c r="M180" s="342"/>
      <c r="N180" s="71">
        <v>0</v>
      </c>
      <c r="O180" s="71">
        <v>77500</v>
      </c>
      <c r="P180" s="71">
        <v>16909001</v>
      </c>
      <c r="Q180" s="276" t="s">
        <v>86</v>
      </c>
      <c r="R180" s="71">
        <v>1076626368</v>
      </c>
      <c r="S180" s="71">
        <v>16909001</v>
      </c>
      <c r="T180" s="71">
        <v>1059717367</v>
      </c>
    </row>
    <row r="181" spans="1:20" outlineLevel="3" collapsed="1" x14ac:dyDescent="0.25">
      <c r="A181" s="381" t="s">
        <v>1643</v>
      </c>
      <c r="B181" s="342"/>
      <c r="C181" s="195" t="str">
        <f t="shared" si="2"/>
        <v>12-580400A</v>
      </c>
      <c r="D181" s="200">
        <v>1064049505</v>
      </c>
      <c r="E181" s="201" t="s">
        <v>86</v>
      </c>
      <c r="F181" s="202">
        <v>19201672</v>
      </c>
      <c r="G181" s="203">
        <v>1057424696</v>
      </c>
      <c r="H181" s="202">
        <v>1076626368</v>
      </c>
      <c r="I181" s="201" t="s">
        <v>86</v>
      </c>
      <c r="J181" s="202">
        <v>16831501</v>
      </c>
      <c r="K181" s="204">
        <v>0</v>
      </c>
      <c r="L181" s="382">
        <v>77500</v>
      </c>
      <c r="M181" s="342"/>
      <c r="N181" s="202">
        <v>0</v>
      </c>
      <c r="O181" s="202">
        <v>77500</v>
      </c>
      <c r="P181" s="202">
        <v>16909001</v>
      </c>
      <c r="Q181" s="207" t="s">
        <v>86</v>
      </c>
      <c r="R181" s="202">
        <v>1076626368</v>
      </c>
      <c r="S181" s="202">
        <v>16909001</v>
      </c>
      <c r="T181" s="202">
        <v>1059717367</v>
      </c>
    </row>
    <row r="182" spans="1:20" outlineLevel="1" x14ac:dyDescent="0.25">
      <c r="A182" s="387" t="s">
        <v>223</v>
      </c>
      <c r="B182" s="342"/>
      <c r="C182" s="195" t="str">
        <f t="shared" si="2"/>
        <v>QUIPOS IND</v>
      </c>
      <c r="D182" s="196">
        <v>490645033</v>
      </c>
      <c r="E182" s="195" t="s">
        <v>86</v>
      </c>
      <c r="F182" s="197">
        <v>87410058</v>
      </c>
      <c r="G182" s="197">
        <v>415715740</v>
      </c>
      <c r="H182" s="197">
        <v>503125798</v>
      </c>
      <c r="I182" s="195" t="s">
        <v>86</v>
      </c>
      <c r="J182" s="209">
        <v>8992169</v>
      </c>
      <c r="K182" s="209">
        <v>60750</v>
      </c>
      <c r="L182" s="388">
        <v>0</v>
      </c>
      <c r="M182" s="342"/>
      <c r="N182" s="209">
        <v>0</v>
      </c>
      <c r="O182" s="209">
        <v>60750</v>
      </c>
      <c r="P182" s="209">
        <v>9052919</v>
      </c>
      <c r="Q182" s="198" t="s">
        <v>86</v>
      </c>
      <c r="R182" s="197">
        <v>503125798</v>
      </c>
      <c r="S182" s="209">
        <v>9052919</v>
      </c>
      <c r="T182" s="199">
        <v>494072879</v>
      </c>
    </row>
    <row r="183" spans="1:20" outlineLevel="2" x14ac:dyDescent="0.25">
      <c r="A183" s="385" t="s">
        <v>1644</v>
      </c>
      <c r="B183" s="342"/>
      <c r="C183" s="195" t="str">
        <f t="shared" si="2"/>
        <v>Equipos To</v>
      </c>
      <c r="D183" s="3">
        <v>20520168</v>
      </c>
      <c r="E183" s="275" t="s">
        <v>86</v>
      </c>
      <c r="F183" s="71">
        <v>349898</v>
      </c>
      <c r="G183" s="71">
        <v>20220846</v>
      </c>
      <c r="H183" s="71">
        <v>20570744</v>
      </c>
      <c r="I183" s="275" t="s">
        <v>86</v>
      </c>
      <c r="J183" s="71">
        <v>373332</v>
      </c>
      <c r="K183" s="71">
        <v>60750</v>
      </c>
      <c r="L183" s="386">
        <v>0</v>
      </c>
      <c r="M183" s="342"/>
      <c r="N183" s="71">
        <v>0</v>
      </c>
      <c r="O183" s="71">
        <v>60750</v>
      </c>
      <c r="P183" s="71">
        <v>434082</v>
      </c>
      <c r="Q183" s="276" t="s">
        <v>86</v>
      </c>
      <c r="R183" s="71">
        <v>20570744</v>
      </c>
      <c r="S183" s="71">
        <v>434082</v>
      </c>
      <c r="T183" s="71">
        <v>20136662</v>
      </c>
    </row>
    <row r="184" spans="1:20" outlineLevel="3" collapsed="1" x14ac:dyDescent="0.25">
      <c r="A184" s="381" t="s">
        <v>1645</v>
      </c>
      <c r="B184" s="342"/>
      <c r="C184" s="195" t="str">
        <f t="shared" si="2"/>
        <v>42-253200A</v>
      </c>
      <c r="D184" s="200">
        <v>20520168</v>
      </c>
      <c r="E184" s="201" t="s">
        <v>86</v>
      </c>
      <c r="F184" s="202">
        <v>349898</v>
      </c>
      <c r="G184" s="203">
        <v>20220846</v>
      </c>
      <c r="H184" s="202">
        <v>20570744</v>
      </c>
      <c r="I184" s="201" t="s">
        <v>86</v>
      </c>
      <c r="J184" s="202">
        <v>373332</v>
      </c>
      <c r="K184" s="204">
        <v>60750</v>
      </c>
      <c r="L184" s="382">
        <v>0</v>
      </c>
      <c r="M184" s="342"/>
      <c r="N184" s="202">
        <v>0</v>
      </c>
      <c r="O184" s="202">
        <v>60750</v>
      </c>
      <c r="P184" s="202">
        <v>434082</v>
      </c>
      <c r="Q184" s="207" t="s">
        <v>86</v>
      </c>
      <c r="R184" s="202">
        <v>20570744</v>
      </c>
      <c r="S184" s="202">
        <v>434082</v>
      </c>
      <c r="T184" s="202">
        <v>20136662</v>
      </c>
    </row>
    <row r="185" spans="1:20" outlineLevel="3" collapsed="1" x14ac:dyDescent="0.25">
      <c r="A185" s="381" t="s">
        <v>1646</v>
      </c>
      <c r="B185" s="342"/>
      <c r="C185" s="195" t="str">
        <f t="shared" si="2"/>
        <v>42-253200G</v>
      </c>
      <c r="D185" s="200">
        <v>0</v>
      </c>
      <c r="E185" s="201" t="s">
        <v>86</v>
      </c>
      <c r="F185" s="202">
        <v>0</v>
      </c>
      <c r="G185" s="203">
        <v>0</v>
      </c>
      <c r="H185" s="202">
        <v>0</v>
      </c>
      <c r="I185" s="201" t="s">
        <v>86</v>
      </c>
      <c r="J185" s="202">
        <v>0</v>
      </c>
      <c r="K185" s="204">
        <v>0</v>
      </c>
      <c r="L185" s="382">
        <v>0</v>
      </c>
      <c r="M185" s="342"/>
      <c r="N185" s="202">
        <v>0</v>
      </c>
      <c r="O185" s="202">
        <v>0</v>
      </c>
      <c r="P185" s="202">
        <v>0</v>
      </c>
      <c r="Q185" s="207" t="s">
        <v>86</v>
      </c>
      <c r="R185" s="202">
        <v>0</v>
      </c>
      <c r="S185" s="202">
        <v>0</v>
      </c>
      <c r="T185" s="202">
        <v>0</v>
      </c>
    </row>
    <row r="186" spans="1:20" outlineLevel="2" x14ac:dyDescent="0.25">
      <c r="A186" s="385" t="s">
        <v>1647</v>
      </c>
      <c r="B186" s="342"/>
      <c r="C186" s="195" t="str">
        <f t="shared" si="2"/>
        <v>Camionetas</v>
      </c>
      <c r="D186" s="3">
        <v>470124865</v>
      </c>
      <c r="E186" s="275" t="s">
        <v>86</v>
      </c>
      <c r="F186" s="71">
        <v>87060160</v>
      </c>
      <c r="G186" s="71">
        <v>395494894</v>
      </c>
      <c r="H186" s="71">
        <v>482555054</v>
      </c>
      <c r="I186" s="275" t="s">
        <v>86</v>
      </c>
      <c r="J186" s="71">
        <v>8618837</v>
      </c>
      <c r="K186" s="71">
        <v>0</v>
      </c>
      <c r="L186" s="386">
        <v>0</v>
      </c>
      <c r="M186" s="342"/>
      <c r="N186" s="71">
        <v>0</v>
      </c>
      <c r="O186" s="71">
        <v>0</v>
      </c>
      <c r="P186" s="71">
        <v>8618837</v>
      </c>
      <c r="Q186" s="276" t="s">
        <v>86</v>
      </c>
      <c r="R186" s="71">
        <v>482555054</v>
      </c>
      <c r="S186" s="71">
        <v>8618837</v>
      </c>
      <c r="T186" s="71">
        <v>473936217</v>
      </c>
    </row>
    <row r="187" spans="1:20" outlineLevel="3" collapsed="1" x14ac:dyDescent="0.25">
      <c r="A187" s="381" t="s">
        <v>1648</v>
      </c>
      <c r="B187" s="342"/>
      <c r="C187" s="195" t="str">
        <f t="shared" si="2"/>
        <v>42-254100A</v>
      </c>
      <c r="D187" s="200">
        <v>0</v>
      </c>
      <c r="E187" s="201" t="s">
        <v>86</v>
      </c>
      <c r="F187" s="202">
        <v>0</v>
      </c>
      <c r="G187" s="203">
        <v>0</v>
      </c>
      <c r="H187" s="202">
        <v>0</v>
      </c>
      <c r="I187" s="201" t="s">
        <v>86</v>
      </c>
      <c r="J187" s="202">
        <v>0</v>
      </c>
      <c r="K187" s="204">
        <v>0</v>
      </c>
      <c r="L187" s="382">
        <v>0</v>
      </c>
      <c r="M187" s="342"/>
      <c r="N187" s="202">
        <v>0</v>
      </c>
      <c r="O187" s="202">
        <v>0</v>
      </c>
      <c r="P187" s="202">
        <v>0</v>
      </c>
      <c r="Q187" s="207" t="s">
        <v>86</v>
      </c>
      <c r="R187" s="202">
        <v>0</v>
      </c>
      <c r="S187" s="202">
        <v>0</v>
      </c>
      <c r="T187" s="202">
        <v>0</v>
      </c>
    </row>
    <row r="188" spans="1:20" outlineLevel="3" collapsed="1" x14ac:dyDescent="0.25">
      <c r="A188" s="381" t="s">
        <v>1649</v>
      </c>
      <c r="B188" s="342"/>
      <c r="C188" s="195" t="str">
        <f t="shared" si="2"/>
        <v>42-254100G</v>
      </c>
      <c r="D188" s="200">
        <v>0</v>
      </c>
      <c r="E188" s="201" t="s">
        <v>86</v>
      </c>
      <c r="F188" s="202">
        <v>0</v>
      </c>
      <c r="G188" s="203">
        <v>0</v>
      </c>
      <c r="H188" s="202">
        <v>0</v>
      </c>
      <c r="I188" s="201" t="s">
        <v>86</v>
      </c>
      <c r="J188" s="202">
        <v>0</v>
      </c>
      <c r="K188" s="204">
        <v>0</v>
      </c>
      <c r="L188" s="382">
        <v>0</v>
      </c>
      <c r="M188" s="342"/>
      <c r="N188" s="202">
        <v>0</v>
      </c>
      <c r="O188" s="202">
        <v>0</v>
      </c>
      <c r="P188" s="202">
        <v>0</v>
      </c>
      <c r="Q188" s="207" t="s">
        <v>86</v>
      </c>
      <c r="R188" s="202">
        <v>0</v>
      </c>
      <c r="S188" s="202">
        <v>0</v>
      </c>
      <c r="T188" s="202">
        <v>0</v>
      </c>
    </row>
    <row r="189" spans="1:20" outlineLevel="3" collapsed="1" x14ac:dyDescent="0.25">
      <c r="A189" s="381" t="s">
        <v>1650</v>
      </c>
      <c r="B189" s="342"/>
      <c r="C189" s="195" t="str">
        <f t="shared" si="2"/>
        <v>42-254200A</v>
      </c>
      <c r="D189" s="200">
        <v>470124865</v>
      </c>
      <c r="E189" s="201" t="s">
        <v>86</v>
      </c>
      <c r="F189" s="202">
        <v>87060160</v>
      </c>
      <c r="G189" s="203">
        <v>395494894</v>
      </c>
      <c r="H189" s="202">
        <v>482555054</v>
      </c>
      <c r="I189" s="201" t="s">
        <v>86</v>
      </c>
      <c r="J189" s="202">
        <v>1565391</v>
      </c>
      <c r="K189" s="204">
        <v>0</v>
      </c>
      <c r="L189" s="382">
        <v>0</v>
      </c>
      <c r="M189" s="342"/>
      <c r="N189" s="202">
        <v>0</v>
      </c>
      <c r="O189" s="202">
        <v>0</v>
      </c>
      <c r="P189" s="202">
        <v>1565391</v>
      </c>
      <c r="Q189" s="207" t="s">
        <v>86</v>
      </c>
      <c r="R189" s="202">
        <v>482555054</v>
      </c>
      <c r="S189" s="202">
        <v>1565391</v>
      </c>
      <c r="T189" s="202">
        <v>480989663</v>
      </c>
    </row>
    <row r="190" spans="1:20" outlineLevel="3" collapsed="1" x14ac:dyDescent="0.25">
      <c r="A190" s="381" t="s">
        <v>1651</v>
      </c>
      <c r="B190" s="342"/>
      <c r="C190" s="195" t="str">
        <f t="shared" si="2"/>
        <v>42-254200G</v>
      </c>
      <c r="D190" s="200">
        <v>0</v>
      </c>
      <c r="E190" s="201" t="s">
        <v>86</v>
      </c>
      <c r="F190" s="202">
        <v>0</v>
      </c>
      <c r="G190" s="203">
        <v>0</v>
      </c>
      <c r="H190" s="202">
        <v>0</v>
      </c>
      <c r="I190" s="201" t="s">
        <v>86</v>
      </c>
      <c r="J190" s="202">
        <v>7053446</v>
      </c>
      <c r="K190" s="204">
        <v>0</v>
      </c>
      <c r="L190" s="382">
        <v>0</v>
      </c>
      <c r="M190" s="342"/>
      <c r="N190" s="202">
        <v>0</v>
      </c>
      <c r="O190" s="202">
        <v>0</v>
      </c>
      <c r="P190" s="202">
        <v>7053446</v>
      </c>
      <c r="Q190" s="207" t="s">
        <v>86</v>
      </c>
      <c r="R190" s="202">
        <v>0</v>
      </c>
      <c r="S190" s="202">
        <v>7053446</v>
      </c>
      <c r="T190" s="202">
        <v>-7053446</v>
      </c>
    </row>
    <row r="191" spans="1:20" outlineLevel="2" x14ac:dyDescent="0.25">
      <c r="A191" s="385" t="s">
        <v>1652</v>
      </c>
      <c r="B191" s="342"/>
      <c r="C191" s="195" t="str">
        <f t="shared" si="2"/>
        <v>Minibus In</v>
      </c>
      <c r="D191" s="3">
        <v>0</v>
      </c>
      <c r="E191" s="275" t="s">
        <v>86</v>
      </c>
      <c r="F191" s="71">
        <v>0</v>
      </c>
      <c r="G191" s="71">
        <v>0</v>
      </c>
      <c r="H191" s="71">
        <v>0</v>
      </c>
      <c r="I191" s="275" t="s">
        <v>86</v>
      </c>
      <c r="J191" s="71">
        <v>0</v>
      </c>
      <c r="K191" s="71">
        <v>0</v>
      </c>
      <c r="L191" s="386">
        <v>0</v>
      </c>
      <c r="M191" s="342"/>
      <c r="N191" s="71">
        <v>0</v>
      </c>
      <c r="O191" s="71">
        <v>0</v>
      </c>
      <c r="P191" s="71">
        <v>0</v>
      </c>
      <c r="Q191" s="276" t="s">
        <v>86</v>
      </c>
      <c r="R191" s="71">
        <v>0</v>
      </c>
      <c r="S191" s="71">
        <v>0</v>
      </c>
      <c r="T191" s="71">
        <v>0</v>
      </c>
    </row>
    <row r="192" spans="1:20" outlineLevel="3" collapsed="1" x14ac:dyDescent="0.25">
      <c r="A192" s="381" t="s">
        <v>1653</v>
      </c>
      <c r="B192" s="342"/>
      <c r="C192" s="195" t="str">
        <f t="shared" si="2"/>
        <v>12-580100G</v>
      </c>
      <c r="D192" s="200">
        <v>0</v>
      </c>
      <c r="E192" s="201" t="s">
        <v>86</v>
      </c>
      <c r="F192" s="202">
        <v>0</v>
      </c>
      <c r="G192" s="203">
        <v>0</v>
      </c>
      <c r="H192" s="202">
        <v>0</v>
      </c>
      <c r="I192" s="201" t="s">
        <v>86</v>
      </c>
      <c r="J192" s="202">
        <v>0</v>
      </c>
      <c r="K192" s="204">
        <v>0</v>
      </c>
      <c r="L192" s="382">
        <v>0</v>
      </c>
      <c r="M192" s="342"/>
      <c r="N192" s="202">
        <v>0</v>
      </c>
      <c r="O192" s="202">
        <v>0</v>
      </c>
      <c r="P192" s="202">
        <v>0</v>
      </c>
      <c r="Q192" s="207" t="s">
        <v>86</v>
      </c>
      <c r="R192" s="202">
        <v>0</v>
      </c>
      <c r="S192" s="202">
        <v>0</v>
      </c>
      <c r="T192" s="202">
        <v>0</v>
      </c>
    </row>
    <row r="193" spans="1:20" outlineLevel="1" x14ac:dyDescent="0.25">
      <c r="A193" s="387" t="s">
        <v>228</v>
      </c>
      <c r="B193" s="342"/>
      <c r="C193" s="195" t="str">
        <f t="shared" si="2"/>
        <v>NSTALACIÓN</v>
      </c>
      <c r="D193" s="196">
        <v>498034998</v>
      </c>
      <c r="E193" s="195" t="s">
        <v>86</v>
      </c>
      <c r="F193" s="197">
        <v>56038689</v>
      </c>
      <c r="G193" s="197">
        <v>458082402</v>
      </c>
      <c r="H193" s="197">
        <v>514121091</v>
      </c>
      <c r="I193" s="195" t="s">
        <v>86</v>
      </c>
      <c r="J193" s="209">
        <v>8708262</v>
      </c>
      <c r="K193" s="209">
        <v>185836669</v>
      </c>
      <c r="L193" s="388">
        <v>121233369.65000001</v>
      </c>
      <c r="M193" s="342"/>
      <c r="N193" s="209">
        <v>0</v>
      </c>
      <c r="O193" s="209">
        <v>307070038.64999998</v>
      </c>
      <c r="P193" s="209">
        <v>315778300.64999998</v>
      </c>
      <c r="Q193" s="198" t="s">
        <v>86</v>
      </c>
      <c r="R193" s="197">
        <v>514121091</v>
      </c>
      <c r="S193" s="209">
        <v>315778300.64999998</v>
      </c>
      <c r="T193" s="199">
        <v>198342790.34999999</v>
      </c>
    </row>
    <row r="194" spans="1:20" outlineLevel="2" x14ac:dyDescent="0.25">
      <c r="A194" s="385" t="s">
        <v>1654</v>
      </c>
      <c r="B194" s="342"/>
      <c r="C194" s="195" t="str">
        <f t="shared" si="2"/>
        <v>Contenedor</v>
      </c>
      <c r="D194" s="3">
        <v>284783800</v>
      </c>
      <c r="E194" s="275" t="s">
        <v>86</v>
      </c>
      <c r="F194" s="71">
        <v>19963632</v>
      </c>
      <c r="G194" s="71">
        <v>277366893</v>
      </c>
      <c r="H194" s="71">
        <v>297330525</v>
      </c>
      <c r="I194" s="275" t="s">
        <v>86</v>
      </c>
      <c r="J194" s="71">
        <v>581430</v>
      </c>
      <c r="K194" s="71">
        <v>8307134</v>
      </c>
      <c r="L194" s="386">
        <v>89716230.989999995</v>
      </c>
      <c r="M194" s="342"/>
      <c r="N194" s="71">
        <v>0</v>
      </c>
      <c r="O194" s="71">
        <v>98023364.989999995</v>
      </c>
      <c r="P194" s="71">
        <v>98604794.989999995</v>
      </c>
      <c r="Q194" s="276" t="s">
        <v>86</v>
      </c>
      <c r="R194" s="71">
        <v>297330525</v>
      </c>
      <c r="S194" s="71">
        <v>98604794.989999995</v>
      </c>
      <c r="T194" s="71">
        <v>198725730.00999999</v>
      </c>
    </row>
    <row r="195" spans="1:20" outlineLevel="3" collapsed="1" x14ac:dyDescent="0.25">
      <c r="A195" s="381" t="s">
        <v>1655</v>
      </c>
      <c r="B195" s="342"/>
      <c r="C195" s="195" t="str">
        <f t="shared" si="2"/>
        <v>62-070100A</v>
      </c>
      <c r="D195" s="200">
        <v>284783800</v>
      </c>
      <c r="E195" s="201" t="s">
        <v>86</v>
      </c>
      <c r="F195" s="202">
        <v>19963632</v>
      </c>
      <c r="G195" s="203">
        <v>277366893</v>
      </c>
      <c r="H195" s="202">
        <v>297330525</v>
      </c>
      <c r="I195" s="201" t="s">
        <v>86</v>
      </c>
      <c r="J195" s="202">
        <v>581430</v>
      </c>
      <c r="K195" s="204">
        <v>8307134</v>
      </c>
      <c r="L195" s="382">
        <v>89716230.989999995</v>
      </c>
      <c r="M195" s="342"/>
      <c r="N195" s="202">
        <v>0</v>
      </c>
      <c r="O195" s="202">
        <v>98023364.989999995</v>
      </c>
      <c r="P195" s="202">
        <v>98604794.989999995</v>
      </c>
      <c r="Q195" s="207" t="s">
        <v>86</v>
      </c>
      <c r="R195" s="202">
        <v>297330525</v>
      </c>
      <c r="S195" s="202">
        <v>98604794.989999995</v>
      </c>
      <c r="T195" s="202">
        <v>198725730.00999999</v>
      </c>
    </row>
    <row r="196" spans="1:20" outlineLevel="3" collapsed="1" x14ac:dyDescent="0.25">
      <c r="A196" s="381" t="s">
        <v>1656</v>
      </c>
      <c r="B196" s="342"/>
      <c r="C196" s="195" t="str">
        <f t="shared" si="2"/>
        <v>62-070100G</v>
      </c>
      <c r="D196" s="200">
        <v>0</v>
      </c>
      <c r="E196" s="201" t="s">
        <v>86</v>
      </c>
      <c r="F196" s="202">
        <v>0</v>
      </c>
      <c r="G196" s="203">
        <v>0</v>
      </c>
      <c r="H196" s="202">
        <v>0</v>
      </c>
      <c r="I196" s="201" t="s">
        <v>86</v>
      </c>
      <c r="J196" s="202">
        <v>0</v>
      </c>
      <c r="K196" s="204">
        <v>0</v>
      </c>
      <c r="L196" s="382">
        <v>0</v>
      </c>
      <c r="M196" s="342"/>
      <c r="N196" s="202">
        <v>0</v>
      </c>
      <c r="O196" s="202">
        <v>0</v>
      </c>
      <c r="P196" s="202">
        <v>0</v>
      </c>
      <c r="Q196" s="207" t="s">
        <v>86</v>
      </c>
      <c r="R196" s="202">
        <v>0</v>
      </c>
      <c r="S196" s="202">
        <v>0</v>
      </c>
      <c r="T196" s="202">
        <v>0</v>
      </c>
    </row>
    <row r="197" spans="1:20" outlineLevel="2" x14ac:dyDescent="0.25">
      <c r="A197" s="385" t="s">
        <v>1657</v>
      </c>
      <c r="B197" s="342"/>
      <c r="C197" s="195" t="str">
        <f t="shared" si="2"/>
        <v>Estructura</v>
      </c>
      <c r="D197" s="3">
        <v>98513278</v>
      </c>
      <c r="E197" s="275" t="s">
        <v>86</v>
      </c>
      <c r="F197" s="71">
        <v>19679945</v>
      </c>
      <c r="G197" s="71">
        <v>79076137</v>
      </c>
      <c r="H197" s="71">
        <v>98756082</v>
      </c>
      <c r="I197" s="275" t="s">
        <v>86</v>
      </c>
      <c r="J197" s="71">
        <v>8096872</v>
      </c>
      <c r="K197" s="71">
        <v>35590215</v>
      </c>
      <c r="L197" s="386">
        <v>25004194.66</v>
      </c>
      <c r="M197" s="342"/>
      <c r="N197" s="71">
        <v>0</v>
      </c>
      <c r="O197" s="71">
        <v>60594409.659999996</v>
      </c>
      <c r="P197" s="71">
        <v>68691281.659999996</v>
      </c>
      <c r="Q197" s="276" t="s">
        <v>86</v>
      </c>
      <c r="R197" s="71">
        <v>98756082</v>
      </c>
      <c r="S197" s="71">
        <v>68691281.659999996</v>
      </c>
      <c r="T197" s="71">
        <v>30064800.34</v>
      </c>
    </row>
    <row r="198" spans="1:20" outlineLevel="3" collapsed="1" x14ac:dyDescent="0.25">
      <c r="A198" s="381" t="s">
        <v>1658</v>
      </c>
      <c r="B198" s="342"/>
      <c r="C198" s="195" t="str">
        <f t="shared" si="2"/>
        <v>62-030100A</v>
      </c>
      <c r="D198" s="200">
        <v>84512208</v>
      </c>
      <c r="E198" s="201" t="s">
        <v>86</v>
      </c>
      <c r="F198" s="202">
        <v>16879731</v>
      </c>
      <c r="G198" s="203">
        <v>67840773</v>
      </c>
      <c r="H198" s="202">
        <v>84720504</v>
      </c>
      <c r="I198" s="201" t="s">
        <v>86</v>
      </c>
      <c r="J198" s="202">
        <v>0</v>
      </c>
      <c r="K198" s="204">
        <v>11687190</v>
      </c>
      <c r="L198" s="382">
        <v>1369237.6</v>
      </c>
      <c r="M198" s="342"/>
      <c r="N198" s="202">
        <v>0</v>
      </c>
      <c r="O198" s="202">
        <v>13056427.6</v>
      </c>
      <c r="P198" s="202">
        <v>13056427.6</v>
      </c>
      <c r="Q198" s="207" t="s">
        <v>86</v>
      </c>
      <c r="R198" s="202">
        <v>84720504</v>
      </c>
      <c r="S198" s="202">
        <v>13056427.6</v>
      </c>
      <c r="T198" s="202">
        <v>71664076.400000006</v>
      </c>
    </row>
    <row r="199" spans="1:20" outlineLevel="3" collapsed="1" x14ac:dyDescent="0.25">
      <c r="A199" s="381" t="s">
        <v>1659</v>
      </c>
      <c r="B199" s="342"/>
      <c r="C199" s="195" t="str">
        <f t="shared" ref="C199:C262" si="3">IF(MID(A199,6,1)="      - ","-",
IF(A199="     0 - Categoría NULA",0,MID(A199,6,10)))</f>
        <v>62-030100G</v>
      </c>
      <c r="D199" s="200">
        <v>0</v>
      </c>
      <c r="E199" s="201" t="s">
        <v>86</v>
      </c>
      <c r="F199" s="202">
        <v>0</v>
      </c>
      <c r="G199" s="203">
        <v>0</v>
      </c>
      <c r="H199" s="202">
        <v>0</v>
      </c>
      <c r="I199" s="201" t="s">
        <v>86</v>
      </c>
      <c r="J199" s="202">
        <v>0</v>
      </c>
      <c r="K199" s="204">
        <v>0</v>
      </c>
      <c r="L199" s="382">
        <v>0</v>
      </c>
      <c r="M199" s="342"/>
      <c r="N199" s="202">
        <v>0</v>
      </c>
      <c r="O199" s="202">
        <v>0</v>
      </c>
      <c r="P199" s="202">
        <v>0</v>
      </c>
      <c r="Q199" s="207" t="s">
        <v>86</v>
      </c>
      <c r="R199" s="202">
        <v>0</v>
      </c>
      <c r="S199" s="202">
        <v>0</v>
      </c>
      <c r="T199" s="202">
        <v>0</v>
      </c>
    </row>
    <row r="200" spans="1:20" outlineLevel="3" collapsed="1" x14ac:dyDescent="0.25">
      <c r="A200" s="381" t="s">
        <v>1660</v>
      </c>
      <c r="B200" s="342"/>
      <c r="C200" s="195" t="str">
        <f t="shared" si="3"/>
        <v>62-040100A</v>
      </c>
      <c r="D200" s="200">
        <v>14001070</v>
      </c>
      <c r="E200" s="201" t="s">
        <v>86</v>
      </c>
      <c r="F200" s="202">
        <v>2800214</v>
      </c>
      <c r="G200" s="203">
        <v>11235364</v>
      </c>
      <c r="H200" s="202">
        <v>14035578</v>
      </c>
      <c r="I200" s="201" t="s">
        <v>86</v>
      </c>
      <c r="J200" s="202">
        <v>0</v>
      </c>
      <c r="K200" s="204">
        <v>23903025</v>
      </c>
      <c r="L200" s="382">
        <v>23634957.059999999</v>
      </c>
      <c r="M200" s="342"/>
      <c r="N200" s="202">
        <v>0</v>
      </c>
      <c r="O200" s="202">
        <v>47537982.060000002</v>
      </c>
      <c r="P200" s="202">
        <v>47537982.060000002</v>
      </c>
      <c r="Q200" s="207" t="s">
        <v>86</v>
      </c>
      <c r="R200" s="202">
        <v>14035578</v>
      </c>
      <c r="S200" s="202">
        <v>47537982.060000002</v>
      </c>
      <c r="T200" s="202">
        <v>-33502404.059999999</v>
      </c>
    </row>
    <row r="201" spans="1:20" outlineLevel="3" collapsed="1" x14ac:dyDescent="0.25">
      <c r="A201" s="381" t="s">
        <v>1661</v>
      </c>
      <c r="B201" s="342"/>
      <c r="C201" s="195" t="str">
        <f t="shared" si="3"/>
        <v>62-040100G</v>
      </c>
      <c r="D201" s="200">
        <v>0</v>
      </c>
      <c r="E201" s="201" t="s">
        <v>86</v>
      </c>
      <c r="F201" s="202">
        <v>0</v>
      </c>
      <c r="G201" s="203">
        <v>0</v>
      </c>
      <c r="H201" s="202">
        <v>0</v>
      </c>
      <c r="I201" s="201" t="s">
        <v>86</v>
      </c>
      <c r="J201" s="202">
        <v>8096872</v>
      </c>
      <c r="K201" s="204">
        <v>0</v>
      </c>
      <c r="L201" s="382">
        <v>0</v>
      </c>
      <c r="M201" s="342"/>
      <c r="N201" s="202">
        <v>0</v>
      </c>
      <c r="O201" s="202">
        <v>0</v>
      </c>
      <c r="P201" s="202">
        <v>8096872</v>
      </c>
      <c r="Q201" s="207" t="s">
        <v>86</v>
      </c>
      <c r="R201" s="202">
        <v>0</v>
      </c>
      <c r="S201" s="202">
        <v>8096872</v>
      </c>
      <c r="T201" s="202">
        <v>-8096872</v>
      </c>
    </row>
    <row r="202" spans="1:20" outlineLevel="2" x14ac:dyDescent="0.25">
      <c r="A202" s="385" t="s">
        <v>1662</v>
      </c>
      <c r="B202" s="342"/>
      <c r="C202" s="195" t="str">
        <f t="shared" si="3"/>
        <v>Instalació</v>
      </c>
      <c r="D202" s="3">
        <v>47673131</v>
      </c>
      <c r="E202" s="275" t="s">
        <v>86</v>
      </c>
      <c r="F202" s="71">
        <v>9534626</v>
      </c>
      <c r="G202" s="71">
        <v>38256004</v>
      </c>
      <c r="H202" s="71">
        <v>47790630</v>
      </c>
      <c r="I202" s="275" t="s">
        <v>86</v>
      </c>
      <c r="J202" s="71">
        <v>29960</v>
      </c>
      <c r="K202" s="71">
        <v>139035380</v>
      </c>
      <c r="L202" s="386">
        <v>156944</v>
      </c>
      <c r="M202" s="342"/>
      <c r="N202" s="71">
        <v>0</v>
      </c>
      <c r="O202" s="71">
        <v>139192324</v>
      </c>
      <c r="P202" s="71">
        <v>139222284</v>
      </c>
      <c r="Q202" s="276" t="s">
        <v>86</v>
      </c>
      <c r="R202" s="71">
        <v>47790630</v>
      </c>
      <c r="S202" s="71">
        <v>139222284</v>
      </c>
      <c r="T202" s="71">
        <v>-91431654</v>
      </c>
    </row>
    <row r="203" spans="1:20" outlineLevel="3" collapsed="1" x14ac:dyDescent="0.25">
      <c r="A203" s="381" t="s">
        <v>1663</v>
      </c>
      <c r="B203" s="342"/>
      <c r="C203" s="195" t="str">
        <f t="shared" si="3"/>
        <v>62-090100A</v>
      </c>
      <c r="D203" s="200">
        <v>47673131</v>
      </c>
      <c r="E203" s="201" t="s">
        <v>86</v>
      </c>
      <c r="F203" s="202">
        <v>9534626</v>
      </c>
      <c r="G203" s="203">
        <v>38256004</v>
      </c>
      <c r="H203" s="202">
        <v>47790630</v>
      </c>
      <c r="I203" s="201" t="s">
        <v>86</v>
      </c>
      <c r="J203" s="202">
        <v>29960</v>
      </c>
      <c r="K203" s="204">
        <v>139035380</v>
      </c>
      <c r="L203" s="382">
        <v>156944</v>
      </c>
      <c r="M203" s="342"/>
      <c r="N203" s="202">
        <v>0</v>
      </c>
      <c r="O203" s="202">
        <v>139192324</v>
      </c>
      <c r="P203" s="202">
        <v>139222284</v>
      </c>
      <c r="Q203" s="207" t="s">
        <v>86</v>
      </c>
      <c r="R203" s="202">
        <v>47790630</v>
      </c>
      <c r="S203" s="202">
        <v>139222284</v>
      </c>
      <c r="T203" s="202">
        <v>-91431654</v>
      </c>
    </row>
    <row r="204" spans="1:20" outlineLevel="3" collapsed="1" x14ac:dyDescent="0.25">
      <c r="A204" s="381" t="s">
        <v>1664</v>
      </c>
      <c r="B204" s="342"/>
      <c r="C204" s="195" t="str">
        <f t="shared" si="3"/>
        <v>62-090100G</v>
      </c>
      <c r="D204" s="200">
        <v>0</v>
      </c>
      <c r="E204" s="201" t="s">
        <v>86</v>
      </c>
      <c r="F204" s="202">
        <v>0</v>
      </c>
      <c r="G204" s="203">
        <v>0</v>
      </c>
      <c r="H204" s="202">
        <v>0</v>
      </c>
      <c r="I204" s="201" t="s">
        <v>86</v>
      </c>
      <c r="J204" s="202">
        <v>0</v>
      </c>
      <c r="K204" s="204">
        <v>0</v>
      </c>
      <c r="L204" s="382">
        <v>0</v>
      </c>
      <c r="M204" s="342"/>
      <c r="N204" s="202">
        <v>0</v>
      </c>
      <c r="O204" s="202">
        <v>0</v>
      </c>
      <c r="P204" s="202">
        <v>0</v>
      </c>
      <c r="Q204" s="207" t="s">
        <v>86</v>
      </c>
      <c r="R204" s="202">
        <v>0</v>
      </c>
      <c r="S204" s="202">
        <v>0</v>
      </c>
      <c r="T204" s="202">
        <v>0</v>
      </c>
    </row>
    <row r="205" spans="1:20" outlineLevel="2" x14ac:dyDescent="0.25">
      <c r="A205" s="385" t="s">
        <v>1665</v>
      </c>
      <c r="B205" s="342"/>
      <c r="C205" s="195" t="str">
        <f t="shared" si="3"/>
        <v>Letreros y</v>
      </c>
      <c r="D205" s="3">
        <v>26826867</v>
      </c>
      <c r="E205" s="275" t="s">
        <v>86</v>
      </c>
      <c r="F205" s="71">
        <v>4967938</v>
      </c>
      <c r="G205" s="71">
        <v>22300048</v>
      </c>
      <c r="H205" s="71">
        <v>27267986</v>
      </c>
      <c r="I205" s="275" t="s">
        <v>86</v>
      </c>
      <c r="J205" s="71">
        <v>0</v>
      </c>
      <c r="K205" s="71">
        <v>363940</v>
      </c>
      <c r="L205" s="386">
        <v>6356000</v>
      </c>
      <c r="M205" s="342"/>
      <c r="N205" s="71">
        <v>0</v>
      </c>
      <c r="O205" s="71">
        <v>6719940</v>
      </c>
      <c r="P205" s="71">
        <v>6719940</v>
      </c>
      <c r="Q205" s="276" t="s">
        <v>86</v>
      </c>
      <c r="R205" s="71">
        <v>27267986</v>
      </c>
      <c r="S205" s="71">
        <v>6719940</v>
      </c>
      <c r="T205" s="71">
        <v>20548046</v>
      </c>
    </row>
    <row r="206" spans="1:20" outlineLevel="3" collapsed="1" x14ac:dyDescent="0.25">
      <c r="A206" s="381" t="s">
        <v>1666</v>
      </c>
      <c r="B206" s="342"/>
      <c r="C206" s="195" t="str">
        <f t="shared" si="3"/>
        <v>62-100100A</v>
      </c>
      <c r="D206" s="200">
        <v>26826867</v>
      </c>
      <c r="E206" s="201" t="s">
        <v>86</v>
      </c>
      <c r="F206" s="202">
        <v>4967938</v>
      </c>
      <c r="G206" s="203">
        <v>22300048</v>
      </c>
      <c r="H206" s="202">
        <v>27267986</v>
      </c>
      <c r="I206" s="201" t="s">
        <v>86</v>
      </c>
      <c r="J206" s="202">
        <v>0</v>
      </c>
      <c r="K206" s="204">
        <v>363940</v>
      </c>
      <c r="L206" s="382">
        <v>6356000</v>
      </c>
      <c r="M206" s="342"/>
      <c r="N206" s="202">
        <v>0</v>
      </c>
      <c r="O206" s="202">
        <v>6719940</v>
      </c>
      <c r="P206" s="202">
        <v>6719940</v>
      </c>
      <c r="Q206" s="207" t="s">
        <v>86</v>
      </c>
      <c r="R206" s="202">
        <v>27267986</v>
      </c>
      <c r="S206" s="202">
        <v>6719940</v>
      </c>
      <c r="T206" s="202">
        <v>20548046</v>
      </c>
    </row>
    <row r="207" spans="1:20" outlineLevel="3" collapsed="1" x14ac:dyDescent="0.25">
      <c r="A207" s="381" t="s">
        <v>1667</v>
      </c>
      <c r="B207" s="342"/>
      <c r="C207" s="195" t="str">
        <f t="shared" si="3"/>
        <v>62-100100G</v>
      </c>
      <c r="D207" s="200">
        <v>0</v>
      </c>
      <c r="E207" s="201" t="s">
        <v>86</v>
      </c>
      <c r="F207" s="202">
        <v>0</v>
      </c>
      <c r="G207" s="203">
        <v>0</v>
      </c>
      <c r="H207" s="202">
        <v>0</v>
      </c>
      <c r="I207" s="201" t="s">
        <v>86</v>
      </c>
      <c r="J207" s="202">
        <v>0</v>
      </c>
      <c r="K207" s="204">
        <v>0</v>
      </c>
      <c r="L207" s="382">
        <v>0</v>
      </c>
      <c r="M207" s="342"/>
      <c r="N207" s="202">
        <v>0</v>
      </c>
      <c r="O207" s="202">
        <v>0</v>
      </c>
      <c r="P207" s="202">
        <v>0</v>
      </c>
      <c r="Q207" s="207" t="s">
        <v>86</v>
      </c>
      <c r="R207" s="202">
        <v>0</v>
      </c>
      <c r="S207" s="202">
        <v>0</v>
      </c>
      <c r="T207" s="202">
        <v>0</v>
      </c>
    </row>
    <row r="208" spans="1:20" outlineLevel="2" x14ac:dyDescent="0.25">
      <c r="A208" s="385" t="s">
        <v>1668</v>
      </c>
      <c r="B208" s="342"/>
      <c r="C208" s="195" t="str">
        <f t="shared" si="3"/>
        <v>Mano de Ob</v>
      </c>
      <c r="D208" s="3">
        <v>30018163</v>
      </c>
      <c r="E208" s="275" t="s">
        <v>86</v>
      </c>
      <c r="F208" s="71">
        <v>0</v>
      </c>
      <c r="G208" s="71">
        <v>32730920</v>
      </c>
      <c r="H208" s="71">
        <v>32730920</v>
      </c>
      <c r="I208" s="275" t="s">
        <v>86</v>
      </c>
      <c r="J208" s="71">
        <v>0</v>
      </c>
      <c r="K208" s="71">
        <v>2540000</v>
      </c>
      <c r="L208" s="386">
        <v>0</v>
      </c>
      <c r="M208" s="342"/>
      <c r="N208" s="71">
        <v>0</v>
      </c>
      <c r="O208" s="71">
        <v>2540000</v>
      </c>
      <c r="P208" s="71">
        <v>2540000</v>
      </c>
      <c r="Q208" s="276" t="s">
        <v>86</v>
      </c>
      <c r="R208" s="71">
        <v>32730920</v>
      </c>
      <c r="S208" s="71">
        <v>2540000</v>
      </c>
      <c r="T208" s="71">
        <v>30190920</v>
      </c>
    </row>
    <row r="209" spans="1:20" outlineLevel="3" collapsed="1" x14ac:dyDescent="0.25">
      <c r="A209" s="381" t="s">
        <v>1669</v>
      </c>
      <c r="B209" s="342"/>
      <c r="C209" s="195" t="str">
        <f t="shared" si="3"/>
        <v>62-010100A</v>
      </c>
      <c r="D209" s="200">
        <v>0</v>
      </c>
      <c r="E209" s="201" t="s">
        <v>86</v>
      </c>
      <c r="F209" s="202">
        <v>0</v>
      </c>
      <c r="G209" s="203">
        <v>0</v>
      </c>
      <c r="H209" s="202">
        <v>0</v>
      </c>
      <c r="I209" s="201" t="s">
        <v>86</v>
      </c>
      <c r="J209" s="202">
        <v>0</v>
      </c>
      <c r="K209" s="204">
        <v>2540000</v>
      </c>
      <c r="L209" s="382">
        <v>0</v>
      </c>
      <c r="M209" s="342"/>
      <c r="N209" s="202">
        <v>0</v>
      </c>
      <c r="O209" s="202">
        <v>2540000</v>
      </c>
      <c r="P209" s="202">
        <v>2540000</v>
      </c>
      <c r="Q209" s="207" t="s">
        <v>86</v>
      </c>
      <c r="R209" s="202">
        <v>0</v>
      </c>
      <c r="S209" s="202">
        <v>2540000</v>
      </c>
      <c r="T209" s="202">
        <v>-2540000</v>
      </c>
    </row>
    <row r="210" spans="1:20" outlineLevel="3" collapsed="1" x14ac:dyDescent="0.25">
      <c r="A210" s="381" t="s">
        <v>1670</v>
      </c>
      <c r="B210" s="342"/>
      <c r="C210" s="195" t="str">
        <f t="shared" si="3"/>
        <v>62-010100G</v>
      </c>
      <c r="D210" s="200">
        <v>30018163</v>
      </c>
      <c r="E210" s="201" t="s">
        <v>86</v>
      </c>
      <c r="F210" s="202">
        <v>0</v>
      </c>
      <c r="G210" s="203">
        <v>32730920</v>
      </c>
      <c r="H210" s="202">
        <v>32730920</v>
      </c>
      <c r="I210" s="201" t="s">
        <v>86</v>
      </c>
      <c r="J210" s="202">
        <v>0</v>
      </c>
      <c r="K210" s="204">
        <v>0</v>
      </c>
      <c r="L210" s="382">
        <v>0</v>
      </c>
      <c r="M210" s="342"/>
      <c r="N210" s="202">
        <v>0</v>
      </c>
      <c r="O210" s="202">
        <v>0</v>
      </c>
      <c r="P210" s="202">
        <v>0</v>
      </c>
      <c r="Q210" s="207" t="s">
        <v>86</v>
      </c>
      <c r="R210" s="202">
        <v>32730920</v>
      </c>
      <c r="S210" s="202">
        <v>0</v>
      </c>
      <c r="T210" s="202">
        <v>32730920</v>
      </c>
    </row>
    <row r="211" spans="1:20" outlineLevel="2" x14ac:dyDescent="0.25">
      <c r="A211" s="385" t="s">
        <v>1671</v>
      </c>
      <c r="B211" s="342"/>
      <c r="C211" s="195" t="str">
        <f t="shared" si="3"/>
        <v>Permisos D</v>
      </c>
      <c r="D211" s="3">
        <v>10219759</v>
      </c>
      <c r="E211" s="275" t="s">
        <v>86</v>
      </c>
      <c r="F211" s="71">
        <v>1892548</v>
      </c>
      <c r="G211" s="71">
        <v>8352400</v>
      </c>
      <c r="H211" s="71">
        <v>10244948</v>
      </c>
      <c r="I211" s="275" t="s">
        <v>86</v>
      </c>
      <c r="J211" s="71">
        <v>0</v>
      </c>
      <c r="K211" s="71">
        <v>0</v>
      </c>
      <c r="L211" s="386">
        <v>0</v>
      </c>
      <c r="M211" s="342"/>
      <c r="N211" s="71">
        <v>0</v>
      </c>
      <c r="O211" s="71">
        <v>0</v>
      </c>
      <c r="P211" s="71">
        <v>0</v>
      </c>
      <c r="Q211" s="276" t="s">
        <v>86</v>
      </c>
      <c r="R211" s="71">
        <v>10244948</v>
      </c>
      <c r="S211" s="71">
        <v>0</v>
      </c>
      <c r="T211" s="71">
        <v>10244948</v>
      </c>
    </row>
    <row r="212" spans="1:20" outlineLevel="3" collapsed="1" x14ac:dyDescent="0.25">
      <c r="A212" s="381" t="s">
        <v>1672</v>
      </c>
      <c r="B212" s="342"/>
      <c r="C212" s="195" t="str">
        <f t="shared" si="3"/>
        <v>62-020100A</v>
      </c>
      <c r="D212" s="200">
        <v>10219759</v>
      </c>
      <c r="E212" s="201" t="s">
        <v>86</v>
      </c>
      <c r="F212" s="202">
        <v>1892548</v>
      </c>
      <c r="G212" s="203">
        <v>8352400</v>
      </c>
      <c r="H212" s="202">
        <v>10244948</v>
      </c>
      <c r="I212" s="201" t="s">
        <v>86</v>
      </c>
      <c r="J212" s="202">
        <v>0</v>
      </c>
      <c r="K212" s="204">
        <v>0</v>
      </c>
      <c r="L212" s="382">
        <v>0</v>
      </c>
      <c r="M212" s="342"/>
      <c r="N212" s="202">
        <v>0</v>
      </c>
      <c r="O212" s="202">
        <v>0</v>
      </c>
      <c r="P212" s="202">
        <v>0</v>
      </c>
      <c r="Q212" s="207" t="s">
        <v>86</v>
      </c>
      <c r="R212" s="202">
        <v>10244948</v>
      </c>
      <c r="S212" s="202">
        <v>0</v>
      </c>
      <c r="T212" s="202">
        <v>10244948</v>
      </c>
    </row>
    <row r="213" spans="1:20" outlineLevel="3" collapsed="1" x14ac:dyDescent="0.25">
      <c r="A213" s="381" t="s">
        <v>1673</v>
      </c>
      <c r="B213" s="342"/>
      <c r="C213" s="195" t="str">
        <f t="shared" si="3"/>
        <v>62-020100G</v>
      </c>
      <c r="D213" s="200">
        <v>0</v>
      </c>
      <c r="E213" s="201" t="s">
        <v>86</v>
      </c>
      <c r="F213" s="202">
        <v>0</v>
      </c>
      <c r="G213" s="203">
        <v>0</v>
      </c>
      <c r="H213" s="202">
        <v>0</v>
      </c>
      <c r="I213" s="201" t="s">
        <v>86</v>
      </c>
      <c r="J213" s="202">
        <v>0</v>
      </c>
      <c r="K213" s="204">
        <v>0</v>
      </c>
      <c r="L213" s="382">
        <v>0</v>
      </c>
      <c r="M213" s="342"/>
      <c r="N213" s="202">
        <v>0</v>
      </c>
      <c r="O213" s="202">
        <v>0</v>
      </c>
      <c r="P213" s="202">
        <v>0</v>
      </c>
      <c r="Q213" s="207" t="s">
        <v>86</v>
      </c>
      <c r="R213" s="202">
        <v>0</v>
      </c>
      <c r="S213" s="202">
        <v>0</v>
      </c>
      <c r="T213" s="202">
        <v>0</v>
      </c>
    </row>
    <row r="214" spans="1:20" outlineLevel="1" x14ac:dyDescent="0.25">
      <c r="A214" s="387" t="s">
        <v>237</v>
      </c>
      <c r="B214" s="342"/>
      <c r="C214" s="195" t="str">
        <f t="shared" si="3"/>
        <v>ASTOS GENE</v>
      </c>
      <c r="D214" s="196">
        <v>510170504</v>
      </c>
      <c r="E214" s="195" t="s">
        <v>86</v>
      </c>
      <c r="F214" s="197">
        <v>94480563</v>
      </c>
      <c r="G214" s="197">
        <v>436394845</v>
      </c>
      <c r="H214" s="197">
        <v>530875408</v>
      </c>
      <c r="I214" s="195" t="s">
        <v>86</v>
      </c>
      <c r="J214" s="209">
        <v>59039333</v>
      </c>
      <c r="K214" s="209">
        <v>18641660</v>
      </c>
      <c r="L214" s="388">
        <v>57792107.399999999</v>
      </c>
      <c r="M214" s="342"/>
      <c r="N214" s="209">
        <v>0</v>
      </c>
      <c r="O214" s="209">
        <v>76433767.400000006</v>
      </c>
      <c r="P214" s="209">
        <v>135473100.40000001</v>
      </c>
      <c r="Q214" s="198" t="s">
        <v>86</v>
      </c>
      <c r="R214" s="197">
        <v>530875408</v>
      </c>
      <c r="S214" s="209">
        <v>135473100.40000001</v>
      </c>
      <c r="T214" s="199">
        <v>395402307.60000002</v>
      </c>
    </row>
    <row r="215" spans="1:20" outlineLevel="2" x14ac:dyDescent="0.25">
      <c r="A215" s="385" t="s">
        <v>1674</v>
      </c>
      <c r="B215" s="342"/>
      <c r="C215" s="195" t="str">
        <f t="shared" si="3"/>
        <v>Fletes Gen</v>
      </c>
      <c r="D215" s="3">
        <v>122126118</v>
      </c>
      <c r="E215" s="275" t="s">
        <v>86</v>
      </c>
      <c r="F215" s="71">
        <v>22615948</v>
      </c>
      <c r="G215" s="71">
        <v>103700098</v>
      </c>
      <c r="H215" s="71">
        <v>126316046</v>
      </c>
      <c r="I215" s="275" t="s">
        <v>86</v>
      </c>
      <c r="J215" s="71">
        <v>19160000</v>
      </c>
      <c r="K215" s="71">
        <v>0</v>
      </c>
      <c r="L215" s="386">
        <v>51810000</v>
      </c>
      <c r="M215" s="342"/>
      <c r="N215" s="71">
        <v>0</v>
      </c>
      <c r="O215" s="71">
        <v>51810000</v>
      </c>
      <c r="P215" s="71">
        <v>70970000</v>
      </c>
      <c r="Q215" s="276" t="s">
        <v>86</v>
      </c>
      <c r="R215" s="71">
        <v>126316046</v>
      </c>
      <c r="S215" s="71">
        <v>70970000</v>
      </c>
      <c r="T215" s="71">
        <v>55346046</v>
      </c>
    </row>
    <row r="216" spans="1:20" outlineLevel="3" collapsed="1" x14ac:dyDescent="0.25">
      <c r="A216" s="381" t="s">
        <v>1675</v>
      </c>
      <c r="B216" s="342"/>
      <c r="C216" s="195" t="str">
        <f t="shared" si="3"/>
        <v>72-107010A</v>
      </c>
      <c r="D216" s="200">
        <v>122126118</v>
      </c>
      <c r="E216" s="201" t="s">
        <v>86</v>
      </c>
      <c r="F216" s="202">
        <v>22615948</v>
      </c>
      <c r="G216" s="203">
        <v>103700098</v>
      </c>
      <c r="H216" s="202">
        <v>126316046</v>
      </c>
      <c r="I216" s="201" t="s">
        <v>86</v>
      </c>
      <c r="J216" s="202">
        <v>19160000</v>
      </c>
      <c r="K216" s="204">
        <v>0</v>
      </c>
      <c r="L216" s="382">
        <v>51810000</v>
      </c>
      <c r="M216" s="342"/>
      <c r="N216" s="202">
        <v>0</v>
      </c>
      <c r="O216" s="202">
        <v>51810000</v>
      </c>
      <c r="P216" s="202">
        <v>70970000</v>
      </c>
      <c r="Q216" s="207" t="s">
        <v>86</v>
      </c>
      <c r="R216" s="202">
        <v>126316046</v>
      </c>
      <c r="S216" s="202">
        <v>70970000</v>
      </c>
      <c r="T216" s="202">
        <v>55346046</v>
      </c>
    </row>
    <row r="217" spans="1:20" outlineLevel="3" collapsed="1" x14ac:dyDescent="0.25">
      <c r="A217" s="381" t="s">
        <v>1676</v>
      </c>
      <c r="B217" s="342"/>
      <c r="C217" s="195" t="str">
        <f t="shared" si="3"/>
        <v>72-107010G</v>
      </c>
      <c r="D217" s="200">
        <v>0</v>
      </c>
      <c r="E217" s="201" t="s">
        <v>86</v>
      </c>
      <c r="F217" s="202">
        <v>0</v>
      </c>
      <c r="G217" s="203">
        <v>0</v>
      </c>
      <c r="H217" s="202">
        <v>0</v>
      </c>
      <c r="I217" s="201" t="s">
        <v>86</v>
      </c>
      <c r="J217" s="202">
        <v>0</v>
      </c>
      <c r="K217" s="204">
        <v>0</v>
      </c>
      <c r="L217" s="382">
        <v>0</v>
      </c>
      <c r="M217" s="342"/>
      <c r="N217" s="202">
        <v>0</v>
      </c>
      <c r="O217" s="202">
        <v>0</v>
      </c>
      <c r="P217" s="202">
        <v>0</v>
      </c>
      <c r="Q217" s="207" t="s">
        <v>86</v>
      </c>
      <c r="R217" s="202">
        <v>0</v>
      </c>
      <c r="S217" s="202">
        <v>0</v>
      </c>
      <c r="T217" s="202">
        <v>0</v>
      </c>
    </row>
    <row r="218" spans="1:20" outlineLevel="2" x14ac:dyDescent="0.25">
      <c r="A218" s="385" t="s">
        <v>1677</v>
      </c>
      <c r="B218" s="342"/>
      <c r="C218" s="195" t="str">
        <f t="shared" si="3"/>
        <v>Gastos Var</v>
      </c>
      <c r="D218" s="3">
        <v>190733118</v>
      </c>
      <c r="E218" s="275" t="s">
        <v>86</v>
      </c>
      <c r="F218" s="71">
        <v>35320949</v>
      </c>
      <c r="G218" s="71">
        <v>162072231</v>
      </c>
      <c r="H218" s="71">
        <v>197393180</v>
      </c>
      <c r="I218" s="275" t="s">
        <v>86</v>
      </c>
      <c r="J218" s="71">
        <v>24139099</v>
      </c>
      <c r="K218" s="71">
        <v>5918828</v>
      </c>
      <c r="L218" s="386">
        <v>646390</v>
      </c>
      <c r="M218" s="342"/>
      <c r="N218" s="71">
        <v>0</v>
      </c>
      <c r="O218" s="71">
        <v>6565218</v>
      </c>
      <c r="P218" s="71">
        <v>30704317</v>
      </c>
      <c r="Q218" s="276" t="s">
        <v>86</v>
      </c>
      <c r="R218" s="71">
        <v>197393180</v>
      </c>
      <c r="S218" s="71">
        <v>30704317</v>
      </c>
      <c r="T218" s="71">
        <v>166688863</v>
      </c>
    </row>
    <row r="219" spans="1:20" outlineLevel="3" collapsed="1" x14ac:dyDescent="0.25">
      <c r="A219" s="381" t="s">
        <v>1678</v>
      </c>
      <c r="B219" s="342"/>
      <c r="C219" s="195" t="str">
        <f t="shared" si="3"/>
        <v>72-103010A</v>
      </c>
      <c r="D219" s="200">
        <v>7511523</v>
      </c>
      <c r="E219" s="201" t="s">
        <v>86</v>
      </c>
      <c r="F219" s="202">
        <v>1391023</v>
      </c>
      <c r="G219" s="203">
        <v>6400174</v>
      </c>
      <c r="H219" s="202">
        <v>7791197</v>
      </c>
      <c r="I219" s="201" t="s">
        <v>86</v>
      </c>
      <c r="J219" s="202">
        <v>0</v>
      </c>
      <c r="K219" s="204">
        <v>905911</v>
      </c>
      <c r="L219" s="382">
        <v>2246</v>
      </c>
      <c r="M219" s="342"/>
      <c r="N219" s="202">
        <v>0</v>
      </c>
      <c r="O219" s="202">
        <v>908157</v>
      </c>
      <c r="P219" s="202">
        <v>908157</v>
      </c>
      <c r="Q219" s="207" t="s">
        <v>86</v>
      </c>
      <c r="R219" s="202">
        <v>7791197</v>
      </c>
      <c r="S219" s="202">
        <v>908157</v>
      </c>
      <c r="T219" s="202">
        <v>6883040</v>
      </c>
    </row>
    <row r="220" spans="1:20" outlineLevel="3" collapsed="1" x14ac:dyDescent="0.25">
      <c r="A220" s="381" t="s">
        <v>1679</v>
      </c>
      <c r="B220" s="342"/>
      <c r="C220" s="195" t="str">
        <f t="shared" si="3"/>
        <v>72-103010G</v>
      </c>
      <c r="D220" s="200">
        <v>0</v>
      </c>
      <c r="E220" s="201" t="s">
        <v>86</v>
      </c>
      <c r="F220" s="202">
        <v>0</v>
      </c>
      <c r="G220" s="203">
        <v>0</v>
      </c>
      <c r="H220" s="202">
        <v>0</v>
      </c>
      <c r="I220" s="201" t="s">
        <v>86</v>
      </c>
      <c r="J220" s="202">
        <v>0</v>
      </c>
      <c r="K220" s="204">
        <v>0</v>
      </c>
      <c r="L220" s="382">
        <v>0</v>
      </c>
      <c r="M220" s="342"/>
      <c r="N220" s="202">
        <v>0</v>
      </c>
      <c r="O220" s="202">
        <v>0</v>
      </c>
      <c r="P220" s="202">
        <v>0</v>
      </c>
      <c r="Q220" s="207" t="s">
        <v>86</v>
      </c>
      <c r="R220" s="202">
        <v>0</v>
      </c>
      <c r="S220" s="202">
        <v>0</v>
      </c>
      <c r="T220" s="202">
        <v>0</v>
      </c>
    </row>
    <row r="221" spans="1:20" outlineLevel="3" collapsed="1" x14ac:dyDescent="0.25">
      <c r="A221" s="381" t="s">
        <v>1680</v>
      </c>
      <c r="B221" s="342"/>
      <c r="C221" s="195" t="str">
        <f t="shared" si="3"/>
        <v>72-103020A</v>
      </c>
      <c r="D221" s="200">
        <v>46229723</v>
      </c>
      <c r="E221" s="201" t="s">
        <v>86</v>
      </c>
      <c r="F221" s="202">
        <v>8561060</v>
      </c>
      <c r="G221" s="203">
        <v>39652424</v>
      </c>
      <c r="H221" s="202">
        <v>48213484</v>
      </c>
      <c r="I221" s="201" t="s">
        <v>86</v>
      </c>
      <c r="J221" s="202">
        <v>0</v>
      </c>
      <c r="K221" s="204">
        <v>224026</v>
      </c>
      <c r="L221" s="382">
        <v>60758</v>
      </c>
      <c r="M221" s="342"/>
      <c r="N221" s="202">
        <v>0</v>
      </c>
      <c r="O221" s="202">
        <v>284784</v>
      </c>
      <c r="P221" s="202">
        <v>284784</v>
      </c>
      <c r="Q221" s="207" t="s">
        <v>86</v>
      </c>
      <c r="R221" s="202">
        <v>48213484</v>
      </c>
      <c r="S221" s="202">
        <v>284784</v>
      </c>
      <c r="T221" s="202">
        <v>47928700</v>
      </c>
    </row>
    <row r="222" spans="1:20" outlineLevel="3" collapsed="1" x14ac:dyDescent="0.25">
      <c r="A222" s="381" t="s">
        <v>1681</v>
      </c>
      <c r="B222" s="342"/>
      <c r="C222" s="195" t="str">
        <f t="shared" si="3"/>
        <v>72-103020G</v>
      </c>
      <c r="D222" s="200">
        <v>0</v>
      </c>
      <c r="E222" s="201" t="s">
        <v>86</v>
      </c>
      <c r="F222" s="202">
        <v>0</v>
      </c>
      <c r="G222" s="203">
        <v>0</v>
      </c>
      <c r="H222" s="202">
        <v>0</v>
      </c>
      <c r="I222" s="201" t="s">
        <v>86</v>
      </c>
      <c r="J222" s="202">
        <v>0</v>
      </c>
      <c r="K222" s="204">
        <v>0</v>
      </c>
      <c r="L222" s="382">
        <v>0</v>
      </c>
      <c r="M222" s="342"/>
      <c r="N222" s="202">
        <v>0</v>
      </c>
      <c r="O222" s="202">
        <v>0</v>
      </c>
      <c r="P222" s="202">
        <v>0</v>
      </c>
      <c r="Q222" s="207" t="s">
        <v>86</v>
      </c>
      <c r="R222" s="202">
        <v>0</v>
      </c>
      <c r="S222" s="202">
        <v>0</v>
      </c>
      <c r="T222" s="202">
        <v>0</v>
      </c>
    </row>
    <row r="223" spans="1:20" outlineLevel="3" collapsed="1" x14ac:dyDescent="0.25">
      <c r="A223" s="381" t="s">
        <v>1682</v>
      </c>
      <c r="B223" s="342"/>
      <c r="C223" s="195" t="str">
        <f t="shared" si="3"/>
        <v>72-103030A</v>
      </c>
      <c r="D223" s="200">
        <v>19315344</v>
      </c>
      <c r="E223" s="201" t="s">
        <v>86</v>
      </c>
      <c r="F223" s="202">
        <v>3576916</v>
      </c>
      <c r="G223" s="203">
        <v>16457589</v>
      </c>
      <c r="H223" s="202">
        <v>20034505</v>
      </c>
      <c r="I223" s="201" t="s">
        <v>86</v>
      </c>
      <c r="J223" s="202">
        <v>331660</v>
      </c>
      <c r="K223" s="204">
        <v>-203930</v>
      </c>
      <c r="L223" s="382">
        <v>198896</v>
      </c>
      <c r="M223" s="342"/>
      <c r="N223" s="202">
        <v>0</v>
      </c>
      <c r="O223" s="202">
        <v>-5034</v>
      </c>
      <c r="P223" s="202">
        <v>326626</v>
      </c>
      <c r="Q223" s="207" t="s">
        <v>86</v>
      </c>
      <c r="R223" s="202">
        <v>20034505</v>
      </c>
      <c r="S223" s="202">
        <v>326626</v>
      </c>
      <c r="T223" s="202">
        <v>19707879</v>
      </c>
    </row>
    <row r="224" spans="1:20" outlineLevel="3" collapsed="1" x14ac:dyDescent="0.25">
      <c r="A224" s="381" t="s">
        <v>1683</v>
      </c>
      <c r="B224" s="342"/>
      <c r="C224" s="195" t="str">
        <f t="shared" si="3"/>
        <v>72-103030G</v>
      </c>
      <c r="D224" s="200">
        <v>0</v>
      </c>
      <c r="E224" s="201" t="s">
        <v>86</v>
      </c>
      <c r="F224" s="202">
        <v>0</v>
      </c>
      <c r="G224" s="203">
        <v>0</v>
      </c>
      <c r="H224" s="202">
        <v>0</v>
      </c>
      <c r="I224" s="201" t="s">
        <v>86</v>
      </c>
      <c r="J224" s="202">
        <v>0</v>
      </c>
      <c r="K224" s="204">
        <v>0</v>
      </c>
      <c r="L224" s="382">
        <v>0</v>
      </c>
      <c r="M224" s="342"/>
      <c r="N224" s="202">
        <v>0</v>
      </c>
      <c r="O224" s="202">
        <v>0</v>
      </c>
      <c r="P224" s="202">
        <v>0</v>
      </c>
      <c r="Q224" s="207" t="s">
        <v>86</v>
      </c>
      <c r="R224" s="202">
        <v>0</v>
      </c>
      <c r="S224" s="202">
        <v>0</v>
      </c>
      <c r="T224" s="202">
        <v>0</v>
      </c>
    </row>
    <row r="225" spans="1:20" outlineLevel="3" collapsed="1" x14ac:dyDescent="0.25">
      <c r="A225" s="381" t="s">
        <v>1684</v>
      </c>
      <c r="B225" s="342"/>
      <c r="C225" s="195" t="str">
        <f t="shared" si="3"/>
        <v>72-103990A</v>
      </c>
      <c r="D225" s="200">
        <v>4598891</v>
      </c>
      <c r="E225" s="201" t="s">
        <v>86</v>
      </c>
      <c r="F225" s="202">
        <v>851647</v>
      </c>
      <c r="G225" s="203">
        <v>4216696</v>
      </c>
      <c r="H225" s="202">
        <v>5068343</v>
      </c>
      <c r="I225" s="201" t="s">
        <v>86</v>
      </c>
      <c r="J225" s="202">
        <v>852697</v>
      </c>
      <c r="K225" s="204">
        <v>4629661</v>
      </c>
      <c r="L225" s="382">
        <v>104490</v>
      </c>
      <c r="M225" s="342"/>
      <c r="N225" s="202">
        <v>0</v>
      </c>
      <c r="O225" s="202">
        <v>4734151</v>
      </c>
      <c r="P225" s="202">
        <v>5586848</v>
      </c>
      <c r="Q225" s="207" t="s">
        <v>86</v>
      </c>
      <c r="R225" s="202">
        <v>5068343</v>
      </c>
      <c r="S225" s="202">
        <v>5586848</v>
      </c>
      <c r="T225" s="202">
        <v>-518505</v>
      </c>
    </row>
    <row r="226" spans="1:20" outlineLevel="3" collapsed="1" x14ac:dyDescent="0.25">
      <c r="A226" s="381" t="s">
        <v>1685</v>
      </c>
      <c r="B226" s="342"/>
      <c r="C226" s="195" t="str">
        <f t="shared" si="3"/>
        <v>72-103990G</v>
      </c>
      <c r="D226" s="200">
        <v>0</v>
      </c>
      <c r="E226" s="201" t="s">
        <v>86</v>
      </c>
      <c r="F226" s="202">
        <v>0</v>
      </c>
      <c r="G226" s="203">
        <v>0</v>
      </c>
      <c r="H226" s="202">
        <v>0</v>
      </c>
      <c r="I226" s="201" t="s">
        <v>86</v>
      </c>
      <c r="J226" s="202">
        <v>0</v>
      </c>
      <c r="K226" s="204">
        <v>0</v>
      </c>
      <c r="L226" s="382">
        <v>0</v>
      </c>
      <c r="M226" s="342"/>
      <c r="N226" s="202">
        <v>0</v>
      </c>
      <c r="O226" s="202">
        <v>0</v>
      </c>
      <c r="P226" s="202">
        <v>0</v>
      </c>
      <c r="Q226" s="207" t="s">
        <v>86</v>
      </c>
      <c r="R226" s="202">
        <v>0</v>
      </c>
      <c r="S226" s="202">
        <v>0</v>
      </c>
      <c r="T226" s="202">
        <v>0</v>
      </c>
    </row>
    <row r="227" spans="1:20" outlineLevel="3" collapsed="1" x14ac:dyDescent="0.25">
      <c r="A227" s="381" t="s">
        <v>1686</v>
      </c>
      <c r="B227" s="342"/>
      <c r="C227" s="195" t="str">
        <f t="shared" si="3"/>
        <v>72-199010A</v>
      </c>
      <c r="D227" s="200">
        <v>113077637</v>
      </c>
      <c r="E227" s="201" t="s">
        <v>86</v>
      </c>
      <c r="F227" s="202">
        <v>20940303</v>
      </c>
      <c r="G227" s="203">
        <v>95345348</v>
      </c>
      <c r="H227" s="202">
        <v>116285651</v>
      </c>
      <c r="I227" s="201" t="s">
        <v>86</v>
      </c>
      <c r="J227" s="202">
        <v>17933154</v>
      </c>
      <c r="K227" s="204">
        <v>363160</v>
      </c>
      <c r="L227" s="382">
        <v>280000</v>
      </c>
      <c r="M227" s="342"/>
      <c r="N227" s="202">
        <v>0</v>
      </c>
      <c r="O227" s="202">
        <v>643160</v>
      </c>
      <c r="P227" s="202">
        <v>18576314</v>
      </c>
      <c r="Q227" s="207" t="s">
        <v>86</v>
      </c>
      <c r="R227" s="202">
        <v>116285651</v>
      </c>
      <c r="S227" s="202">
        <v>18576314</v>
      </c>
      <c r="T227" s="202">
        <v>97709337</v>
      </c>
    </row>
    <row r="228" spans="1:20" outlineLevel="3" collapsed="1" x14ac:dyDescent="0.25">
      <c r="A228" s="381" t="s">
        <v>1687</v>
      </c>
      <c r="B228" s="342"/>
      <c r="C228" s="195" t="str">
        <f t="shared" si="3"/>
        <v>72-199010G</v>
      </c>
      <c r="D228" s="200">
        <v>0</v>
      </c>
      <c r="E228" s="201" t="s">
        <v>86</v>
      </c>
      <c r="F228" s="202">
        <v>0</v>
      </c>
      <c r="G228" s="203">
        <v>0</v>
      </c>
      <c r="H228" s="202">
        <v>0</v>
      </c>
      <c r="I228" s="201" t="s">
        <v>86</v>
      </c>
      <c r="J228" s="202">
        <v>5021588</v>
      </c>
      <c r="K228" s="204">
        <v>0</v>
      </c>
      <c r="L228" s="382">
        <v>0</v>
      </c>
      <c r="M228" s="342"/>
      <c r="N228" s="202">
        <v>0</v>
      </c>
      <c r="O228" s="202">
        <v>0</v>
      </c>
      <c r="P228" s="202">
        <v>5021588</v>
      </c>
      <c r="Q228" s="207" t="s">
        <v>86</v>
      </c>
      <c r="R228" s="202">
        <v>0</v>
      </c>
      <c r="S228" s="202">
        <v>5021588</v>
      </c>
      <c r="T228" s="202">
        <v>-5021588</v>
      </c>
    </row>
    <row r="229" spans="1:20" outlineLevel="2" x14ac:dyDescent="0.25">
      <c r="A229" s="385" t="s">
        <v>1688</v>
      </c>
      <c r="B229" s="342"/>
      <c r="C229" s="195" t="str">
        <f t="shared" si="3"/>
        <v>Informatic</v>
      </c>
      <c r="D229" s="3">
        <v>28002139</v>
      </c>
      <c r="E229" s="275" t="s">
        <v>86</v>
      </c>
      <c r="F229" s="71">
        <v>5185581</v>
      </c>
      <c r="G229" s="71">
        <v>23832316</v>
      </c>
      <c r="H229" s="71">
        <v>29017897</v>
      </c>
      <c r="I229" s="275" t="s">
        <v>86</v>
      </c>
      <c r="J229" s="71">
        <v>6551122</v>
      </c>
      <c r="K229" s="71">
        <v>11797693</v>
      </c>
      <c r="L229" s="386">
        <v>5062917.4000000004</v>
      </c>
      <c r="M229" s="342"/>
      <c r="N229" s="71">
        <v>0</v>
      </c>
      <c r="O229" s="71">
        <v>16860610.399999999</v>
      </c>
      <c r="P229" s="71">
        <v>23411732.399999999</v>
      </c>
      <c r="Q229" s="276" t="s">
        <v>86</v>
      </c>
      <c r="R229" s="71">
        <v>29017897</v>
      </c>
      <c r="S229" s="71">
        <v>23411732.399999999</v>
      </c>
      <c r="T229" s="71">
        <v>5606164.5999999996</v>
      </c>
    </row>
    <row r="230" spans="1:20" outlineLevel="3" collapsed="1" x14ac:dyDescent="0.25">
      <c r="A230" s="381" t="s">
        <v>1689</v>
      </c>
      <c r="B230" s="342"/>
      <c r="C230" s="195" t="str">
        <f t="shared" si="3"/>
        <v>72-102010A</v>
      </c>
      <c r="D230" s="200">
        <v>15023045</v>
      </c>
      <c r="E230" s="201" t="s">
        <v>86</v>
      </c>
      <c r="F230" s="202">
        <v>2782045</v>
      </c>
      <c r="G230" s="203">
        <v>12911190</v>
      </c>
      <c r="H230" s="202">
        <v>15693235</v>
      </c>
      <c r="I230" s="201" t="s">
        <v>86</v>
      </c>
      <c r="J230" s="202">
        <v>0</v>
      </c>
      <c r="K230" s="204">
        <v>5589490</v>
      </c>
      <c r="L230" s="382">
        <v>455200</v>
      </c>
      <c r="M230" s="342"/>
      <c r="N230" s="202">
        <v>0</v>
      </c>
      <c r="O230" s="202">
        <v>6044690</v>
      </c>
      <c r="P230" s="202">
        <v>6044690</v>
      </c>
      <c r="Q230" s="207" t="s">
        <v>86</v>
      </c>
      <c r="R230" s="202">
        <v>15693235</v>
      </c>
      <c r="S230" s="202">
        <v>6044690</v>
      </c>
      <c r="T230" s="202">
        <v>9648545</v>
      </c>
    </row>
    <row r="231" spans="1:20" outlineLevel="3" collapsed="1" x14ac:dyDescent="0.25">
      <c r="A231" s="381" t="s">
        <v>1690</v>
      </c>
      <c r="B231" s="342"/>
      <c r="C231" s="195" t="str">
        <f t="shared" si="3"/>
        <v>72-102010G</v>
      </c>
      <c r="D231" s="200">
        <v>0</v>
      </c>
      <c r="E231" s="201" t="s">
        <v>86</v>
      </c>
      <c r="F231" s="202">
        <v>0</v>
      </c>
      <c r="G231" s="203">
        <v>0</v>
      </c>
      <c r="H231" s="202">
        <v>0</v>
      </c>
      <c r="I231" s="201" t="s">
        <v>86</v>
      </c>
      <c r="J231" s="202">
        <v>567140</v>
      </c>
      <c r="K231" s="204">
        <v>0</v>
      </c>
      <c r="L231" s="382">
        <v>0</v>
      </c>
      <c r="M231" s="342"/>
      <c r="N231" s="202">
        <v>0</v>
      </c>
      <c r="O231" s="202">
        <v>0</v>
      </c>
      <c r="P231" s="202">
        <v>567140</v>
      </c>
      <c r="Q231" s="207" t="s">
        <v>86</v>
      </c>
      <c r="R231" s="202">
        <v>0</v>
      </c>
      <c r="S231" s="202">
        <v>567140</v>
      </c>
      <c r="T231" s="202">
        <v>-567140</v>
      </c>
    </row>
    <row r="232" spans="1:20" outlineLevel="3" collapsed="1" x14ac:dyDescent="0.25">
      <c r="A232" s="381" t="s">
        <v>1691</v>
      </c>
      <c r="B232" s="342"/>
      <c r="C232" s="195" t="str">
        <f t="shared" si="3"/>
        <v>72-102020A</v>
      </c>
      <c r="D232" s="200">
        <v>2759335</v>
      </c>
      <c r="E232" s="201" t="s">
        <v>86</v>
      </c>
      <c r="F232" s="202">
        <v>510988</v>
      </c>
      <c r="G232" s="203">
        <v>2356264</v>
      </c>
      <c r="H232" s="202">
        <v>2867252</v>
      </c>
      <c r="I232" s="201" t="s">
        <v>86</v>
      </c>
      <c r="J232" s="202">
        <v>0</v>
      </c>
      <c r="K232" s="204">
        <v>307990</v>
      </c>
      <c r="L232" s="382">
        <v>0</v>
      </c>
      <c r="M232" s="342"/>
      <c r="N232" s="202">
        <v>0</v>
      </c>
      <c r="O232" s="202">
        <v>307990</v>
      </c>
      <c r="P232" s="202">
        <v>307990</v>
      </c>
      <c r="Q232" s="207" t="s">
        <v>86</v>
      </c>
      <c r="R232" s="202">
        <v>2867252</v>
      </c>
      <c r="S232" s="202">
        <v>307990</v>
      </c>
      <c r="T232" s="202">
        <v>2559262</v>
      </c>
    </row>
    <row r="233" spans="1:20" outlineLevel="3" collapsed="1" x14ac:dyDescent="0.25">
      <c r="A233" s="381" t="s">
        <v>1692</v>
      </c>
      <c r="B233" s="342"/>
      <c r="C233" s="195" t="str">
        <f t="shared" si="3"/>
        <v>72-102020G</v>
      </c>
      <c r="D233" s="200">
        <v>0</v>
      </c>
      <c r="E233" s="201" t="s">
        <v>86</v>
      </c>
      <c r="F233" s="202">
        <v>0</v>
      </c>
      <c r="G233" s="203">
        <v>0</v>
      </c>
      <c r="H233" s="202">
        <v>0</v>
      </c>
      <c r="I233" s="201" t="s">
        <v>86</v>
      </c>
      <c r="J233" s="202">
        <v>0</v>
      </c>
      <c r="K233" s="204">
        <v>0</v>
      </c>
      <c r="L233" s="382">
        <v>0</v>
      </c>
      <c r="M233" s="342"/>
      <c r="N233" s="202">
        <v>0</v>
      </c>
      <c r="O233" s="202">
        <v>0</v>
      </c>
      <c r="P233" s="202">
        <v>0</v>
      </c>
      <c r="Q233" s="207" t="s">
        <v>86</v>
      </c>
      <c r="R233" s="202">
        <v>0</v>
      </c>
      <c r="S233" s="202">
        <v>0</v>
      </c>
      <c r="T233" s="202">
        <v>0</v>
      </c>
    </row>
    <row r="234" spans="1:20" outlineLevel="3" collapsed="1" x14ac:dyDescent="0.25">
      <c r="A234" s="381" t="s">
        <v>1693</v>
      </c>
      <c r="B234" s="342"/>
      <c r="C234" s="195" t="str">
        <f t="shared" si="3"/>
        <v>72-102040A</v>
      </c>
      <c r="D234" s="200">
        <v>10219759</v>
      </c>
      <c r="E234" s="201" t="s">
        <v>86</v>
      </c>
      <c r="F234" s="202">
        <v>1892548</v>
      </c>
      <c r="G234" s="203">
        <v>8564862</v>
      </c>
      <c r="H234" s="202">
        <v>10457410</v>
      </c>
      <c r="I234" s="201" t="s">
        <v>86</v>
      </c>
      <c r="J234" s="202">
        <v>946348</v>
      </c>
      <c r="K234" s="204">
        <v>4444914</v>
      </c>
      <c r="L234" s="382">
        <v>4607717.4000000004</v>
      </c>
      <c r="M234" s="342"/>
      <c r="N234" s="202">
        <v>0</v>
      </c>
      <c r="O234" s="202">
        <v>9052631.4000000004</v>
      </c>
      <c r="P234" s="202">
        <v>9998979.4000000004</v>
      </c>
      <c r="Q234" s="207" t="s">
        <v>86</v>
      </c>
      <c r="R234" s="202">
        <v>10457410</v>
      </c>
      <c r="S234" s="202">
        <v>9998979.4000000004</v>
      </c>
      <c r="T234" s="202">
        <v>458430.6</v>
      </c>
    </row>
    <row r="235" spans="1:20" outlineLevel="3" collapsed="1" x14ac:dyDescent="0.25">
      <c r="A235" s="381" t="s">
        <v>1694</v>
      </c>
      <c r="B235" s="342"/>
      <c r="C235" s="195" t="str">
        <f t="shared" si="3"/>
        <v>72-102040G</v>
      </c>
      <c r="D235" s="200">
        <v>0</v>
      </c>
      <c r="E235" s="201" t="s">
        <v>86</v>
      </c>
      <c r="F235" s="202">
        <v>0</v>
      </c>
      <c r="G235" s="203">
        <v>0</v>
      </c>
      <c r="H235" s="202">
        <v>0</v>
      </c>
      <c r="I235" s="201" t="s">
        <v>86</v>
      </c>
      <c r="J235" s="202">
        <v>0</v>
      </c>
      <c r="K235" s="204">
        <v>0</v>
      </c>
      <c r="L235" s="382">
        <v>0</v>
      </c>
      <c r="M235" s="342"/>
      <c r="N235" s="202">
        <v>0</v>
      </c>
      <c r="O235" s="202">
        <v>0</v>
      </c>
      <c r="P235" s="202">
        <v>0</v>
      </c>
      <c r="Q235" s="207" t="s">
        <v>86</v>
      </c>
      <c r="R235" s="202">
        <v>0</v>
      </c>
      <c r="S235" s="202">
        <v>0</v>
      </c>
      <c r="T235" s="202">
        <v>0</v>
      </c>
    </row>
    <row r="236" spans="1:20" outlineLevel="3" collapsed="1" x14ac:dyDescent="0.25">
      <c r="A236" s="381" t="s">
        <v>1695</v>
      </c>
      <c r="B236" s="342"/>
      <c r="C236" s="195" t="str">
        <f t="shared" si="3"/>
        <v>72-102050A</v>
      </c>
      <c r="D236" s="200">
        <v>0</v>
      </c>
      <c r="E236" s="201" t="s">
        <v>86</v>
      </c>
      <c r="F236" s="202">
        <v>0</v>
      </c>
      <c r="G236" s="203">
        <v>0</v>
      </c>
      <c r="H236" s="202">
        <v>0</v>
      </c>
      <c r="I236" s="201" t="s">
        <v>86</v>
      </c>
      <c r="J236" s="202">
        <v>5037634</v>
      </c>
      <c r="K236" s="204">
        <v>1455299</v>
      </c>
      <c r="L236" s="382">
        <v>0</v>
      </c>
      <c r="M236" s="342"/>
      <c r="N236" s="202">
        <v>0</v>
      </c>
      <c r="O236" s="202">
        <v>1455299</v>
      </c>
      <c r="P236" s="202">
        <v>6492933</v>
      </c>
      <c r="Q236" s="207" t="s">
        <v>86</v>
      </c>
      <c r="R236" s="202">
        <v>0</v>
      </c>
      <c r="S236" s="202">
        <v>6492933</v>
      </c>
      <c r="T236" s="202">
        <v>-6492933</v>
      </c>
    </row>
    <row r="237" spans="1:20" outlineLevel="2" x14ac:dyDescent="0.25">
      <c r="A237" s="385" t="s">
        <v>1696</v>
      </c>
      <c r="B237" s="342"/>
      <c r="C237" s="195" t="str">
        <f t="shared" si="3"/>
        <v>Telecomuni</v>
      </c>
      <c r="D237" s="3">
        <v>92047752</v>
      </c>
      <c r="E237" s="275" t="s">
        <v>86</v>
      </c>
      <c r="F237" s="71">
        <v>17050423</v>
      </c>
      <c r="G237" s="71">
        <v>80959845</v>
      </c>
      <c r="H237" s="71">
        <v>98010268</v>
      </c>
      <c r="I237" s="275" t="s">
        <v>86</v>
      </c>
      <c r="J237" s="71">
        <v>3955814</v>
      </c>
      <c r="K237" s="71">
        <v>925139</v>
      </c>
      <c r="L237" s="386">
        <v>0</v>
      </c>
      <c r="M237" s="342"/>
      <c r="N237" s="71">
        <v>0</v>
      </c>
      <c r="O237" s="71">
        <v>925139</v>
      </c>
      <c r="P237" s="71">
        <v>4880953</v>
      </c>
      <c r="Q237" s="276" t="s">
        <v>86</v>
      </c>
      <c r="R237" s="71">
        <v>98010268</v>
      </c>
      <c r="S237" s="71">
        <v>4880953</v>
      </c>
      <c r="T237" s="71">
        <v>93129315</v>
      </c>
    </row>
    <row r="238" spans="1:20" outlineLevel="3" collapsed="1" x14ac:dyDescent="0.25">
      <c r="A238" s="381" t="s">
        <v>1697</v>
      </c>
      <c r="B238" s="342"/>
      <c r="C238" s="195" t="str">
        <f t="shared" si="3"/>
        <v>72-101020A</v>
      </c>
      <c r="D238" s="200">
        <v>27261207</v>
      </c>
      <c r="E238" s="201" t="s">
        <v>86</v>
      </c>
      <c r="F238" s="202">
        <v>5048372</v>
      </c>
      <c r="G238" s="203">
        <v>23949291</v>
      </c>
      <c r="H238" s="202">
        <v>28997663</v>
      </c>
      <c r="I238" s="201" t="s">
        <v>86</v>
      </c>
      <c r="J238" s="202">
        <v>1518045</v>
      </c>
      <c r="K238" s="204">
        <v>925139</v>
      </c>
      <c r="L238" s="382">
        <v>0</v>
      </c>
      <c r="M238" s="342"/>
      <c r="N238" s="202">
        <v>0</v>
      </c>
      <c r="O238" s="202">
        <v>925139</v>
      </c>
      <c r="P238" s="202">
        <v>2443184</v>
      </c>
      <c r="Q238" s="207" t="s">
        <v>86</v>
      </c>
      <c r="R238" s="202">
        <v>28997663</v>
      </c>
      <c r="S238" s="202">
        <v>2443184</v>
      </c>
      <c r="T238" s="202">
        <v>26554479</v>
      </c>
    </row>
    <row r="239" spans="1:20" outlineLevel="3" collapsed="1" x14ac:dyDescent="0.25">
      <c r="A239" s="381" t="s">
        <v>1698</v>
      </c>
      <c r="B239" s="342"/>
      <c r="C239" s="195" t="str">
        <f t="shared" si="3"/>
        <v>72-101020G</v>
      </c>
      <c r="D239" s="200">
        <v>0</v>
      </c>
      <c r="E239" s="201" t="s">
        <v>86</v>
      </c>
      <c r="F239" s="202">
        <v>0</v>
      </c>
      <c r="G239" s="203">
        <v>0</v>
      </c>
      <c r="H239" s="202">
        <v>0</v>
      </c>
      <c r="I239" s="201" t="s">
        <v>86</v>
      </c>
      <c r="J239" s="202">
        <v>2125769</v>
      </c>
      <c r="K239" s="204">
        <v>0</v>
      </c>
      <c r="L239" s="382">
        <v>0</v>
      </c>
      <c r="M239" s="342"/>
      <c r="N239" s="202">
        <v>0</v>
      </c>
      <c r="O239" s="202">
        <v>0</v>
      </c>
      <c r="P239" s="202">
        <v>2125769</v>
      </c>
      <c r="Q239" s="207" t="s">
        <v>86</v>
      </c>
      <c r="R239" s="202">
        <v>0</v>
      </c>
      <c r="S239" s="202">
        <v>2125769</v>
      </c>
      <c r="T239" s="202">
        <v>-2125769</v>
      </c>
    </row>
    <row r="240" spans="1:20" outlineLevel="3" collapsed="1" x14ac:dyDescent="0.25">
      <c r="A240" s="381" t="s">
        <v>1699</v>
      </c>
      <c r="B240" s="342"/>
      <c r="C240" s="195" t="str">
        <f t="shared" si="3"/>
        <v>72-101030A</v>
      </c>
      <c r="D240" s="200">
        <v>19315344</v>
      </c>
      <c r="E240" s="201" t="s">
        <v>86</v>
      </c>
      <c r="F240" s="202">
        <v>3581458</v>
      </c>
      <c r="G240" s="203">
        <v>16502556</v>
      </c>
      <c r="H240" s="202">
        <v>20084014</v>
      </c>
      <c r="I240" s="201" t="s">
        <v>86</v>
      </c>
      <c r="J240" s="202">
        <v>0</v>
      </c>
      <c r="K240" s="204">
        <v>0</v>
      </c>
      <c r="L240" s="382">
        <v>0</v>
      </c>
      <c r="M240" s="342"/>
      <c r="N240" s="202">
        <v>0</v>
      </c>
      <c r="O240" s="202">
        <v>0</v>
      </c>
      <c r="P240" s="202">
        <v>0</v>
      </c>
      <c r="Q240" s="207" t="s">
        <v>86</v>
      </c>
      <c r="R240" s="202">
        <v>20084014</v>
      </c>
      <c r="S240" s="202">
        <v>0</v>
      </c>
      <c r="T240" s="202">
        <v>20084014</v>
      </c>
    </row>
    <row r="241" spans="1:20" outlineLevel="3" collapsed="1" x14ac:dyDescent="0.25">
      <c r="A241" s="381" t="s">
        <v>1700</v>
      </c>
      <c r="B241" s="342"/>
      <c r="C241" s="195" t="str">
        <f t="shared" si="3"/>
        <v>72-101030G</v>
      </c>
      <c r="D241" s="200">
        <v>0</v>
      </c>
      <c r="E241" s="201" t="s">
        <v>86</v>
      </c>
      <c r="F241" s="202">
        <v>0</v>
      </c>
      <c r="G241" s="203">
        <v>0</v>
      </c>
      <c r="H241" s="202">
        <v>0</v>
      </c>
      <c r="I241" s="201" t="s">
        <v>86</v>
      </c>
      <c r="J241" s="202">
        <v>0</v>
      </c>
      <c r="K241" s="204">
        <v>0</v>
      </c>
      <c r="L241" s="382">
        <v>0</v>
      </c>
      <c r="M241" s="342"/>
      <c r="N241" s="202">
        <v>0</v>
      </c>
      <c r="O241" s="202">
        <v>0</v>
      </c>
      <c r="P241" s="202">
        <v>0</v>
      </c>
      <c r="Q241" s="207" t="s">
        <v>86</v>
      </c>
      <c r="R241" s="202">
        <v>0</v>
      </c>
      <c r="S241" s="202">
        <v>0</v>
      </c>
      <c r="T241" s="202">
        <v>0</v>
      </c>
    </row>
    <row r="242" spans="1:20" outlineLevel="3" collapsed="1" x14ac:dyDescent="0.25">
      <c r="A242" s="381" t="s">
        <v>1701</v>
      </c>
      <c r="B242" s="342"/>
      <c r="C242" s="195" t="str">
        <f t="shared" si="3"/>
        <v>72-101040A</v>
      </c>
      <c r="D242" s="200">
        <v>45471201</v>
      </c>
      <c r="E242" s="201" t="s">
        <v>86</v>
      </c>
      <c r="F242" s="202">
        <v>8420593</v>
      </c>
      <c r="G242" s="203">
        <v>40507998</v>
      </c>
      <c r="H242" s="202">
        <v>48928591</v>
      </c>
      <c r="I242" s="201" t="s">
        <v>86</v>
      </c>
      <c r="J242" s="202">
        <v>312000</v>
      </c>
      <c r="K242" s="204">
        <v>0</v>
      </c>
      <c r="L242" s="382">
        <v>0</v>
      </c>
      <c r="M242" s="342"/>
      <c r="N242" s="202">
        <v>0</v>
      </c>
      <c r="O242" s="202">
        <v>0</v>
      </c>
      <c r="P242" s="202">
        <v>312000</v>
      </c>
      <c r="Q242" s="207" t="s">
        <v>86</v>
      </c>
      <c r="R242" s="202">
        <v>48928591</v>
      </c>
      <c r="S242" s="202">
        <v>312000</v>
      </c>
      <c r="T242" s="202">
        <v>48616591</v>
      </c>
    </row>
    <row r="243" spans="1:20" outlineLevel="3" collapsed="1" x14ac:dyDescent="0.25">
      <c r="A243" s="381" t="s">
        <v>1702</v>
      </c>
      <c r="B243" s="342"/>
      <c r="C243" s="195" t="str">
        <f t="shared" si="3"/>
        <v>72-101040G</v>
      </c>
      <c r="D243" s="200">
        <v>0</v>
      </c>
      <c r="E243" s="201" t="s">
        <v>86</v>
      </c>
      <c r="F243" s="202">
        <v>0</v>
      </c>
      <c r="G243" s="203">
        <v>0</v>
      </c>
      <c r="H243" s="202">
        <v>0</v>
      </c>
      <c r="I243" s="201" t="s">
        <v>86</v>
      </c>
      <c r="J243" s="202">
        <v>0</v>
      </c>
      <c r="K243" s="204">
        <v>0</v>
      </c>
      <c r="L243" s="382">
        <v>0</v>
      </c>
      <c r="M243" s="342"/>
      <c r="N243" s="202">
        <v>0</v>
      </c>
      <c r="O243" s="202">
        <v>0</v>
      </c>
      <c r="P243" s="202">
        <v>0</v>
      </c>
      <c r="Q243" s="207" t="s">
        <v>86</v>
      </c>
      <c r="R243" s="202">
        <v>0</v>
      </c>
      <c r="S243" s="202">
        <v>0</v>
      </c>
      <c r="T243" s="202">
        <v>0</v>
      </c>
    </row>
    <row r="244" spans="1:20" outlineLevel="2" x14ac:dyDescent="0.25">
      <c r="A244" s="385" t="s">
        <v>1703</v>
      </c>
      <c r="B244" s="342"/>
      <c r="C244" s="195" t="str">
        <f t="shared" si="3"/>
        <v>Otros GG</v>
      </c>
      <c r="D244" s="3">
        <v>77261377</v>
      </c>
      <c r="E244" s="275" t="s">
        <v>86</v>
      </c>
      <c r="F244" s="71">
        <v>14307662</v>
      </c>
      <c r="G244" s="71">
        <v>65830355</v>
      </c>
      <c r="H244" s="71">
        <v>80138017</v>
      </c>
      <c r="I244" s="275" t="s">
        <v>86</v>
      </c>
      <c r="J244" s="71">
        <v>38214</v>
      </c>
      <c r="K244" s="71">
        <v>0</v>
      </c>
      <c r="L244" s="386">
        <v>0</v>
      </c>
      <c r="M244" s="342"/>
      <c r="N244" s="71">
        <v>0</v>
      </c>
      <c r="O244" s="71">
        <v>0</v>
      </c>
      <c r="P244" s="71">
        <v>38214</v>
      </c>
      <c r="Q244" s="276" t="s">
        <v>86</v>
      </c>
      <c r="R244" s="71">
        <v>80138017</v>
      </c>
      <c r="S244" s="71">
        <v>38214</v>
      </c>
      <c r="T244" s="71">
        <v>80099803</v>
      </c>
    </row>
    <row r="245" spans="1:20" outlineLevel="3" collapsed="1" x14ac:dyDescent="0.25">
      <c r="A245" s="381" t="s">
        <v>1704</v>
      </c>
      <c r="B245" s="342"/>
      <c r="C245" s="195" t="str">
        <f t="shared" si="3"/>
        <v>72-109010A</v>
      </c>
      <c r="D245" s="200">
        <v>77261377</v>
      </c>
      <c r="E245" s="201" t="s">
        <v>86</v>
      </c>
      <c r="F245" s="202">
        <v>14307662</v>
      </c>
      <c r="G245" s="203">
        <v>65830355</v>
      </c>
      <c r="H245" s="202">
        <v>80138017</v>
      </c>
      <c r="I245" s="201" t="s">
        <v>86</v>
      </c>
      <c r="J245" s="202">
        <v>0</v>
      </c>
      <c r="K245" s="204">
        <v>0</v>
      </c>
      <c r="L245" s="382">
        <v>0</v>
      </c>
      <c r="M245" s="342"/>
      <c r="N245" s="202">
        <v>0</v>
      </c>
      <c r="O245" s="202">
        <v>0</v>
      </c>
      <c r="P245" s="202">
        <v>0</v>
      </c>
      <c r="Q245" s="207" t="s">
        <v>86</v>
      </c>
      <c r="R245" s="202">
        <v>80138017</v>
      </c>
      <c r="S245" s="202">
        <v>0</v>
      </c>
      <c r="T245" s="202">
        <v>80138017</v>
      </c>
    </row>
    <row r="246" spans="1:20" outlineLevel="3" collapsed="1" x14ac:dyDescent="0.25">
      <c r="A246" s="381" t="s">
        <v>1705</v>
      </c>
      <c r="B246" s="342"/>
      <c r="C246" s="195" t="str">
        <f t="shared" si="3"/>
        <v>72-109010G</v>
      </c>
      <c r="D246" s="200">
        <v>0</v>
      </c>
      <c r="E246" s="201" t="s">
        <v>86</v>
      </c>
      <c r="F246" s="202">
        <v>0</v>
      </c>
      <c r="G246" s="203">
        <v>0</v>
      </c>
      <c r="H246" s="202">
        <v>0</v>
      </c>
      <c r="I246" s="201" t="s">
        <v>86</v>
      </c>
      <c r="J246" s="202">
        <v>0</v>
      </c>
      <c r="K246" s="204">
        <v>0</v>
      </c>
      <c r="L246" s="382">
        <v>0</v>
      </c>
      <c r="M246" s="342"/>
      <c r="N246" s="202">
        <v>0</v>
      </c>
      <c r="O246" s="202">
        <v>0</v>
      </c>
      <c r="P246" s="202">
        <v>0</v>
      </c>
      <c r="Q246" s="207" t="s">
        <v>86</v>
      </c>
      <c r="R246" s="202">
        <v>0</v>
      </c>
      <c r="S246" s="202">
        <v>0</v>
      </c>
      <c r="T246" s="202">
        <v>0</v>
      </c>
    </row>
    <row r="247" spans="1:20" outlineLevel="3" collapsed="1" x14ac:dyDescent="0.25">
      <c r="A247" s="381" t="s">
        <v>1706</v>
      </c>
      <c r="B247" s="342"/>
      <c r="C247" s="195" t="str">
        <f t="shared" si="3"/>
        <v>72-607070A</v>
      </c>
      <c r="D247" s="200">
        <v>0</v>
      </c>
      <c r="E247" s="201" t="s">
        <v>86</v>
      </c>
      <c r="F247" s="202">
        <v>0</v>
      </c>
      <c r="G247" s="203">
        <v>0</v>
      </c>
      <c r="H247" s="202">
        <v>0</v>
      </c>
      <c r="I247" s="201" t="s">
        <v>86</v>
      </c>
      <c r="J247" s="202">
        <v>38214</v>
      </c>
      <c r="K247" s="204">
        <v>0</v>
      </c>
      <c r="L247" s="382">
        <v>0</v>
      </c>
      <c r="M247" s="342"/>
      <c r="N247" s="202">
        <v>0</v>
      </c>
      <c r="O247" s="202">
        <v>0</v>
      </c>
      <c r="P247" s="202">
        <v>38214</v>
      </c>
      <c r="Q247" s="207" t="s">
        <v>86</v>
      </c>
      <c r="R247" s="202">
        <v>0</v>
      </c>
      <c r="S247" s="202">
        <v>38214</v>
      </c>
      <c r="T247" s="202">
        <v>-38214</v>
      </c>
    </row>
    <row r="248" spans="1:20" outlineLevel="2" x14ac:dyDescent="0.25">
      <c r="A248" s="385" t="s">
        <v>1707</v>
      </c>
      <c r="B248" s="342"/>
      <c r="C248" s="195" t="str">
        <f t="shared" si="3"/>
        <v>Viatico</v>
      </c>
      <c r="D248" s="3">
        <v>0</v>
      </c>
      <c r="E248" s="275" t="s">
        <v>86</v>
      </c>
      <c r="F248" s="71">
        <v>0</v>
      </c>
      <c r="G248" s="71">
        <v>0</v>
      </c>
      <c r="H248" s="71">
        <v>0</v>
      </c>
      <c r="I248" s="275" t="s">
        <v>86</v>
      </c>
      <c r="J248" s="71">
        <v>5195084</v>
      </c>
      <c r="K248" s="71">
        <v>0</v>
      </c>
      <c r="L248" s="386">
        <v>272800</v>
      </c>
      <c r="M248" s="342"/>
      <c r="N248" s="71">
        <v>0</v>
      </c>
      <c r="O248" s="71">
        <v>272800</v>
      </c>
      <c r="P248" s="71">
        <v>5467884</v>
      </c>
      <c r="Q248" s="276" t="s">
        <v>86</v>
      </c>
      <c r="R248" s="71">
        <v>0</v>
      </c>
      <c r="S248" s="71">
        <v>5467884</v>
      </c>
      <c r="T248" s="71">
        <v>-5467884</v>
      </c>
    </row>
    <row r="249" spans="1:20" outlineLevel="3" collapsed="1" x14ac:dyDescent="0.25">
      <c r="A249" s="381" t="s">
        <v>1708</v>
      </c>
      <c r="B249" s="342"/>
      <c r="C249" s="195" t="str">
        <f t="shared" si="3"/>
        <v>12-580200A</v>
      </c>
      <c r="D249" s="200">
        <v>0</v>
      </c>
      <c r="E249" s="201" t="s">
        <v>86</v>
      </c>
      <c r="F249" s="202">
        <v>0</v>
      </c>
      <c r="G249" s="203">
        <v>0</v>
      </c>
      <c r="H249" s="202">
        <v>0</v>
      </c>
      <c r="I249" s="201" t="s">
        <v>86</v>
      </c>
      <c r="J249" s="202">
        <v>5195084</v>
      </c>
      <c r="K249" s="204">
        <v>0</v>
      </c>
      <c r="L249" s="382">
        <v>272800</v>
      </c>
      <c r="M249" s="342"/>
      <c r="N249" s="202">
        <v>0</v>
      </c>
      <c r="O249" s="202">
        <v>272800</v>
      </c>
      <c r="P249" s="202">
        <v>5467884</v>
      </c>
      <c r="Q249" s="207" t="s">
        <v>86</v>
      </c>
      <c r="R249" s="202">
        <v>0</v>
      </c>
      <c r="S249" s="202">
        <v>5467884</v>
      </c>
      <c r="T249" s="202">
        <v>-5467884</v>
      </c>
    </row>
    <row r="250" spans="1:20" outlineLevel="3" collapsed="1" x14ac:dyDescent="0.25">
      <c r="A250" s="381" t="s">
        <v>1709</v>
      </c>
      <c r="B250" s="342"/>
      <c r="C250" s="195" t="str">
        <f t="shared" si="3"/>
        <v>12-580400G</v>
      </c>
      <c r="D250" s="200">
        <v>0</v>
      </c>
      <c r="E250" s="201" t="s">
        <v>86</v>
      </c>
      <c r="F250" s="202">
        <v>0</v>
      </c>
      <c r="G250" s="203">
        <v>0</v>
      </c>
      <c r="H250" s="202">
        <v>0</v>
      </c>
      <c r="I250" s="201" t="s">
        <v>86</v>
      </c>
      <c r="J250" s="202">
        <v>0</v>
      </c>
      <c r="K250" s="204">
        <v>0</v>
      </c>
      <c r="L250" s="382">
        <v>0</v>
      </c>
      <c r="M250" s="342"/>
      <c r="N250" s="202">
        <v>0</v>
      </c>
      <c r="O250" s="202">
        <v>0</v>
      </c>
      <c r="P250" s="202">
        <v>0</v>
      </c>
      <c r="Q250" s="207" t="s">
        <v>86</v>
      </c>
      <c r="R250" s="202">
        <v>0</v>
      </c>
      <c r="S250" s="202">
        <v>0</v>
      </c>
      <c r="T250" s="202">
        <v>0</v>
      </c>
    </row>
    <row r="251" spans="1:20" outlineLevel="1" x14ac:dyDescent="0.25">
      <c r="A251" s="387" t="s">
        <v>245</v>
      </c>
      <c r="B251" s="342"/>
      <c r="C251" s="195" t="str">
        <f t="shared" si="3"/>
        <v>ASTOS FINA</v>
      </c>
      <c r="D251" s="196">
        <v>720940214</v>
      </c>
      <c r="E251" s="195" t="s">
        <v>86</v>
      </c>
      <c r="F251" s="197">
        <v>16712315</v>
      </c>
      <c r="G251" s="197">
        <v>720992684</v>
      </c>
      <c r="H251" s="197">
        <v>737704999</v>
      </c>
      <c r="I251" s="195" t="s">
        <v>86</v>
      </c>
      <c r="J251" s="209">
        <v>31272430</v>
      </c>
      <c r="K251" s="209">
        <v>0</v>
      </c>
      <c r="L251" s="388">
        <v>0</v>
      </c>
      <c r="M251" s="342"/>
      <c r="N251" s="209">
        <v>0</v>
      </c>
      <c r="O251" s="209">
        <v>0</v>
      </c>
      <c r="P251" s="209">
        <v>31272430</v>
      </c>
      <c r="Q251" s="198" t="s">
        <v>86</v>
      </c>
      <c r="R251" s="197">
        <v>737704999</v>
      </c>
      <c r="S251" s="209">
        <v>31272430</v>
      </c>
      <c r="T251" s="199">
        <v>706432569</v>
      </c>
    </row>
    <row r="252" spans="1:20" outlineLevel="2" x14ac:dyDescent="0.25">
      <c r="A252" s="385" t="s">
        <v>1710</v>
      </c>
      <c r="B252" s="342"/>
      <c r="C252" s="195" t="str">
        <f t="shared" si="3"/>
        <v>Boletas de</v>
      </c>
      <c r="D252" s="3">
        <v>139753261</v>
      </c>
      <c r="E252" s="275" t="s">
        <v>86</v>
      </c>
      <c r="F252" s="71">
        <v>429258</v>
      </c>
      <c r="G252" s="71">
        <v>142573833</v>
      </c>
      <c r="H252" s="71">
        <v>143003091</v>
      </c>
      <c r="I252" s="275" t="s">
        <v>86</v>
      </c>
      <c r="J252" s="71">
        <v>0</v>
      </c>
      <c r="K252" s="71">
        <v>0</v>
      </c>
      <c r="L252" s="386">
        <v>0</v>
      </c>
      <c r="M252" s="342"/>
      <c r="N252" s="71">
        <v>0</v>
      </c>
      <c r="O252" s="71">
        <v>0</v>
      </c>
      <c r="P252" s="71">
        <v>0</v>
      </c>
      <c r="Q252" s="276" t="s">
        <v>86</v>
      </c>
      <c r="R252" s="71">
        <v>143003091</v>
      </c>
      <c r="S252" s="71">
        <v>0</v>
      </c>
      <c r="T252" s="71">
        <v>143003091</v>
      </c>
    </row>
    <row r="253" spans="1:20" outlineLevel="3" collapsed="1" x14ac:dyDescent="0.25">
      <c r="A253" s="381" t="s">
        <v>1711</v>
      </c>
      <c r="B253" s="342"/>
      <c r="C253" s="195" t="str">
        <f t="shared" si="3"/>
        <v>72-A02010G</v>
      </c>
      <c r="D253" s="200">
        <v>139753261</v>
      </c>
      <c r="E253" s="201" t="s">
        <v>86</v>
      </c>
      <c r="F253" s="202">
        <v>429258</v>
      </c>
      <c r="G253" s="203">
        <v>142573833</v>
      </c>
      <c r="H253" s="202">
        <v>143003091</v>
      </c>
      <c r="I253" s="201" t="s">
        <v>86</v>
      </c>
      <c r="J253" s="202">
        <v>0</v>
      </c>
      <c r="K253" s="204">
        <v>0</v>
      </c>
      <c r="L253" s="382">
        <v>0</v>
      </c>
      <c r="M253" s="342"/>
      <c r="N253" s="202">
        <v>0</v>
      </c>
      <c r="O253" s="202">
        <v>0</v>
      </c>
      <c r="P253" s="202">
        <v>0</v>
      </c>
      <c r="Q253" s="207" t="s">
        <v>86</v>
      </c>
      <c r="R253" s="202">
        <v>143003091</v>
      </c>
      <c r="S253" s="202">
        <v>0</v>
      </c>
      <c r="T253" s="202">
        <v>143003091</v>
      </c>
    </row>
    <row r="254" spans="1:20" outlineLevel="2" x14ac:dyDescent="0.25">
      <c r="A254" s="385" t="s">
        <v>1712</v>
      </c>
      <c r="B254" s="342"/>
      <c r="C254" s="195" t="str">
        <f t="shared" si="3"/>
        <v>Seguros</v>
      </c>
      <c r="D254" s="3">
        <v>256276258</v>
      </c>
      <c r="E254" s="275" t="s">
        <v>86</v>
      </c>
      <c r="F254" s="71">
        <v>15285080</v>
      </c>
      <c r="G254" s="71">
        <v>246950641</v>
      </c>
      <c r="H254" s="71">
        <v>262235721</v>
      </c>
      <c r="I254" s="275" t="s">
        <v>86</v>
      </c>
      <c r="J254" s="71">
        <v>31272430</v>
      </c>
      <c r="K254" s="71">
        <v>0</v>
      </c>
      <c r="L254" s="386">
        <v>0</v>
      </c>
      <c r="M254" s="342"/>
      <c r="N254" s="71">
        <v>0</v>
      </c>
      <c r="O254" s="71">
        <v>0</v>
      </c>
      <c r="P254" s="71">
        <v>31272430</v>
      </c>
      <c r="Q254" s="276" t="s">
        <v>86</v>
      </c>
      <c r="R254" s="71">
        <v>262235721</v>
      </c>
      <c r="S254" s="71">
        <v>31272430</v>
      </c>
      <c r="T254" s="71">
        <v>230963291</v>
      </c>
    </row>
    <row r="255" spans="1:20" outlineLevel="3" collapsed="1" x14ac:dyDescent="0.25">
      <c r="A255" s="381" t="s">
        <v>1713</v>
      </c>
      <c r="B255" s="342"/>
      <c r="C255" s="195" t="str">
        <f t="shared" si="3"/>
        <v>72-A03010A</v>
      </c>
      <c r="D255" s="200">
        <v>0</v>
      </c>
      <c r="E255" s="201" t="s">
        <v>86</v>
      </c>
      <c r="F255" s="202">
        <v>0</v>
      </c>
      <c r="G255" s="203">
        <v>0</v>
      </c>
      <c r="H255" s="202">
        <v>0</v>
      </c>
      <c r="I255" s="201" t="s">
        <v>86</v>
      </c>
      <c r="J255" s="202">
        <v>0</v>
      </c>
      <c r="K255" s="204">
        <v>0</v>
      </c>
      <c r="L255" s="382">
        <v>0</v>
      </c>
      <c r="M255" s="342"/>
      <c r="N255" s="202">
        <v>0</v>
      </c>
      <c r="O255" s="202">
        <v>0</v>
      </c>
      <c r="P255" s="202">
        <v>0</v>
      </c>
      <c r="Q255" s="207" t="s">
        <v>86</v>
      </c>
      <c r="R255" s="202">
        <v>0</v>
      </c>
      <c r="S255" s="202">
        <v>0</v>
      </c>
      <c r="T255" s="202">
        <v>0</v>
      </c>
    </row>
    <row r="256" spans="1:20" outlineLevel="3" collapsed="1" x14ac:dyDescent="0.25">
      <c r="A256" s="381" t="s">
        <v>1714</v>
      </c>
      <c r="B256" s="342"/>
      <c r="C256" s="195" t="str">
        <f t="shared" si="3"/>
        <v>72-A03010G</v>
      </c>
      <c r="D256" s="200">
        <v>256276258</v>
      </c>
      <c r="E256" s="201" t="s">
        <v>86</v>
      </c>
      <c r="F256" s="202">
        <v>15285080</v>
      </c>
      <c r="G256" s="203">
        <v>246950641</v>
      </c>
      <c r="H256" s="202">
        <v>262235721</v>
      </c>
      <c r="I256" s="201" t="s">
        <v>86</v>
      </c>
      <c r="J256" s="202">
        <v>31272430</v>
      </c>
      <c r="K256" s="204">
        <v>0</v>
      </c>
      <c r="L256" s="382">
        <v>0</v>
      </c>
      <c r="M256" s="342"/>
      <c r="N256" s="202">
        <v>0</v>
      </c>
      <c r="O256" s="202">
        <v>0</v>
      </c>
      <c r="P256" s="202">
        <v>31272430</v>
      </c>
      <c r="Q256" s="207" t="s">
        <v>86</v>
      </c>
      <c r="R256" s="202">
        <v>262235721</v>
      </c>
      <c r="S256" s="202">
        <v>31272430</v>
      </c>
      <c r="T256" s="202">
        <v>230963291</v>
      </c>
    </row>
    <row r="257" spans="1:20" outlineLevel="2" x14ac:dyDescent="0.25">
      <c r="A257" s="385" t="s">
        <v>1715</v>
      </c>
      <c r="B257" s="342"/>
      <c r="C257" s="195" t="str">
        <f t="shared" si="3"/>
        <v>Costo Fina</v>
      </c>
      <c r="D257" s="3">
        <v>324910695</v>
      </c>
      <c r="E257" s="275" t="s">
        <v>86</v>
      </c>
      <c r="F257" s="71">
        <v>997977</v>
      </c>
      <c r="G257" s="71">
        <v>331468210</v>
      </c>
      <c r="H257" s="71">
        <v>332466187</v>
      </c>
      <c r="I257" s="275" t="s">
        <v>86</v>
      </c>
      <c r="J257" s="71">
        <v>0</v>
      </c>
      <c r="K257" s="71">
        <v>0</v>
      </c>
      <c r="L257" s="386">
        <v>0</v>
      </c>
      <c r="M257" s="342"/>
      <c r="N257" s="71">
        <v>0</v>
      </c>
      <c r="O257" s="71">
        <v>0</v>
      </c>
      <c r="P257" s="71">
        <v>0</v>
      </c>
      <c r="Q257" s="276" t="s">
        <v>86</v>
      </c>
      <c r="R257" s="71">
        <v>332466187</v>
      </c>
      <c r="S257" s="71">
        <v>0</v>
      </c>
      <c r="T257" s="71">
        <v>332466187</v>
      </c>
    </row>
    <row r="258" spans="1:20" outlineLevel="3" collapsed="1" x14ac:dyDescent="0.25">
      <c r="A258" s="381" t="s">
        <v>1716</v>
      </c>
      <c r="B258" s="342"/>
      <c r="C258" s="195" t="str">
        <f t="shared" si="3"/>
        <v>72-A01010G</v>
      </c>
      <c r="D258" s="200">
        <v>324910695</v>
      </c>
      <c r="E258" s="201" t="s">
        <v>86</v>
      </c>
      <c r="F258" s="202">
        <v>997977</v>
      </c>
      <c r="G258" s="203">
        <v>331468210</v>
      </c>
      <c r="H258" s="202">
        <v>332466187</v>
      </c>
      <c r="I258" s="201" t="s">
        <v>86</v>
      </c>
      <c r="J258" s="202">
        <v>0</v>
      </c>
      <c r="K258" s="204">
        <v>0</v>
      </c>
      <c r="L258" s="382">
        <v>0</v>
      </c>
      <c r="M258" s="342"/>
      <c r="N258" s="202">
        <v>0</v>
      </c>
      <c r="O258" s="202">
        <v>0</v>
      </c>
      <c r="P258" s="202">
        <v>0</v>
      </c>
      <c r="Q258" s="207" t="s">
        <v>86</v>
      </c>
      <c r="R258" s="202">
        <v>332466187</v>
      </c>
      <c r="S258" s="202">
        <v>0</v>
      </c>
      <c r="T258" s="202">
        <v>332466187</v>
      </c>
    </row>
    <row r="259" spans="1:20" outlineLevel="3" collapsed="1" x14ac:dyDescent="0.25">
      <c r="A259" s="381" t="s">
        <v>1717</v>
      </c>
      <c r="B259" s="342"/>
      <c r="C259" s="195" t="str">
        <f t="shared" si="3"/>
        <v>72-A01110G</v>
      </c>
      <c r="D259" s="200">
        <v>0</v>
      </c>
      <c r="E259" s="201" t="s">
        <v>86</v>
      </c>
      <c r="F259" s="202">
        <v>0</v>
      </c>
      <c r="G259" s="203">
        <v>0</v>
      </c>
      <c r="H259" s="202">
        <v>0</v>
      </c>
      <c r="I259" s="201" t="s">
        <v>86</v>
      </c>
      <c r="J259" s="202">
        <v>0</v>
      </c>
      <c r="K259" s="204">
        <v>0</v>
      </c>
      <c r="L259" s="382">
        <v>0</v>
      </c>
      <c r="M259" s="342"/>
      <c r="N259" s="202">
        <v>0</v>
      </c>
      <c r="O259" s="202">
        <v>0</v>
      </c>
      <c r="P259" s="202">
        <v>0</v>
      </c>
      <c r="Q259" s="207" t="s">
        <v>86</v>
      </c>
      <c r="R259" s="202">
        <v>0</v>
      </c>
      <c r="S259" s="202">
        <v>0</v>
      </c>
      <c r="T259" s="202">
        <v>0</v>
      </c>
    </row>
    <row r="260" spans="1:20" outlineLevel="1" x14ac:dyDescent="0.25">
      <c r="A260" s="387" t="s">
        <v>249</v>
      </c>
      <c r="B260" s="342"/>
      <c r="C260" s="195" t="str">
        <f t="shared" si="3"/>
        <v>FICINA CEN</v>
      </c>
      <c r="D260" s="196">
        <v>5701933067</v>
      </c>
      <c r="E260" s="195" t="s">
        <v>86</v>
      </c>
      <c r="F260" s="197">
        <v>17513737</v>
      </c>
      <c r="G260" s="197">
        <v>5684779435</v>
      </c>
      <c r="H260" s="197">
        <v>5702293172</v>
      </c>
      <c r="I260" s="195" t="s">
        <v>86</v>
      </c>
      <c r="J260" s="209">
        <v>0</v>
      </c>
      <c r="K260" s="209">
        <v>0</v>
      </c>
      <c r="L260" s="388">
        <v>0</v>
      </c>
      <c r="M260" s="342"/>
      <c r="N260" s="209">
        <v>0</v>
      </c>
      <c r="O260" s="209">
        <v>0</v>
      </c>
      <c r="P260" s="209">
        <v>0</v>
      </c>
      <c r="Q260" s="198" t="s">
        <v>86</v>
      </c>
      <c r="R260" s="197">
        <v>5702293172</v>
      </c>
      <c r="S260" s="209">
        <v>0</v>
      </c>
      <c r="T260" s="199">
        <v>5702293172</v>
      </c>
    </row>
    <row r="261" spans="1:20" outlineLevel="2" x14ac:dyDescent="0.25">
      <c r="A261" s="385" t="s">
        <v>1718</v>
      </c>
      <c r="B261" s="342"/>
      <c r="C261" s="195" t="str">
        <f t="shared" si="3"/>
        <v>Oficina Ce</v>
      </c>
      <c r="D261" s="3">
        <v>2414936358</v>
      </c>
      <c r="E261" s="275" t="s">
        <v>86</v>
      </c>
      <c r="F261" s="71">
        <v>7417583</v>
      </c>
      <c r="G261" s="71">
        <v>2407518775</v>
      </c>
      <c r="H261" s="71">
        <v>2414936358</v>
      </c>
      <c r="I261" s="275" t="s">
        <v>86</v>
      </c>
      <c r="J261" s="71">
        <v>0</v>
      </c>
      <c r="K261" s="71">
        <v>0</v>
      </c>
      <c r="L261" s="386">
        <v>0</v>
      </c>
      <c r="M261" s="342"/>
      <c r="N261" s="71">
        <v>0</v>
      </c>
      <c r="O261" s="71">
        <v>0</v>
      </c>
      <c r="P261" s="71">
        <v>0</v>
      </c>
      <c r="Q261" s="276" t="s">
        <v>86</v>
      </c>
      <c r="R261" s="71">
        <v>2414936358</v>
      </c>
      <c r="S261" s="71">
        <v>0</v>
      </c>
      <c r="T261" s="71">
        <v>2414936358</v>
      </c>
    </row>
    <row r="262" spans="1:20" outlineLevel="3" collapsed="1" x14ac:dyDescent="0.25">
      <c r="A262" s="381" t="s">
        <v>1719</v>
      </c>
      <c r="B262" s="342"/>
      <c r="C262" s="195" t="str">
        <f t="shared" si="3"/>
        <v>72-A04010G</v>
      </c>
      <c r="D262" s="200">
        <v>2414936358</v>
      </c>
      <c r="E262" s="201" t="s">
        <v>86</v>
      </c>
      <c r="F262" s="202">
        <v>7417583</v>
      </c>
      <c r="G262" s="203">
        <v>2407518775</v>
      </c>
      <c r="H262" s="202">
        <v>2414936358</v>
      </c>
      <c r="I262" s="201" t="s">
        <v>86</v>
      </c>
      <c r="J262" s="202">
        <v>0</v>
      </c>
      <c r="K262" s="204">
        <v>0</v>
      </c>
      <c r="L262" s="382">
        <v>0</v>
      </c>
      <c r="M262" s="342"/>
      <c r="N262" s="202">
        <v>0</v>
      </c>
      <c r="O262" s="202">
        <v>0</v>
      </c>
      <c r="P262" s="202">
        <v>0</v>
      </c>
      <c r="Q262" s="207" t="s">
        <v>86</v>
      </c>
      <c r="R262" s="202">
        <v>2414936358</v>
      </c>
      <c r="S262" s="202">
        <v>0</v>
      </c>
      <c r="T262" s="202">
        <v>2414936358</v>
      </c>
    </row>
    <row r="263" spans="1:20" outlineLevel="2" x14ac:dyDescent="0.25">
      <c r="A263" s="385" t="s">
        <v>1720</v>
      </c>
      <c r="B263" s="342"/>
      <c r="C263" s="195" t="str">
        <f t="shared" ref="C263:C326" si="4">IF(MID(A263,6,1)="      - ","-",
IF(A263="     0 - Categoría NULA",0,MID(A263,6,10)))</f>
        <v>Imprevisto</v>
      </c>
      <c r="D263" s="3">
        <v>1609957572</v>
      </c>
      <c r="E263" s="275" t="s">
        <v>86</v>
      </c>
      <c r="F263" s="71">
        <v>4945055</v>
      </c>
      <c r="G263" s="71">
        <v>1605012517</v>
      </c>
      <c r="H263" s="71">
        <v>1609957572</v>
      </c>
      <c r="I263" s="275" t="s">
        <v>86</v>
      </c>
      <c r="J263" s="71">
        <v>0</v>
      </c>
      <c r="K263" s="71">
        <v>0</v>
      </c>
      <c r="L263" s="386">
        <v>0</v>
      </c>
      <c r="M263" s="342"/>
      <c r="N263" s="71">
        <v>0</v>
      </c>
      <c r="O263" s="71">
        <v>0</v>
      </c>
      <c r="P263" s="71">
        <v>0</v>
      </c>
      <c r="Q263" s="276" t="s">
        <v>86</v>
      </c>
      <c r="R263" s="71">
        <v>1609957572</v>
      </c>
      <c r="S263" s="71">
        <v>0</v>
      </c>
      <c r="T263" s="71">
        <v>1609957572</v>
      </c>
    </row>
    <row r="264" spans="1:20" outlineLevel="3" collapsed="1" x14ac:dyDescent="0.25">
      <c r="A264" s="381" t="s">
        <v>1721</v>
      </c>
      <c r="B264" s="342"/>
      <c r="C264" s="195" t="str">
        <f t="shared" si="4"/>
        <v>72-A05010G</v>
      </c>
      <c r="D264" s="200">
        <v>1609957572</v>
      </c>
      <c r="E264" s="201" t="s">
        <v>86</v>
      </c>
      <c r="F264" s="202">
        <v>4945055</v>
      </c>
      <c r="G264" s="203">
        <v>1605012517</v>
      </c>
      <c r="H264" s="202">
        <v>1609957572</v>
      </c>
      <c r="I264" s="201" t="s">
        <v>86</v>
      </c>
      <c r="J264" s="202">
        <v>0</v>
      </c>
      <c r="K264" s="204">
        <v>0</v>
      </c>
      <c r="L264" s="382">
        <v>0</v>
      </c>
      <c r="M264" s="342"/>
      <c r="N264" s="202">
        <v>0</v>
      </c>
      <c r="O264" s="202">
        <v>0</v>
      </c>
      <c r="P264" s="202">
        <v>0</v>
      </c>
      <c r="Q264" s="207" t="s">
        <v>86</v>
      </c>
      <c r="R264" s="202">
        <v>1609957572</v>
      </c>
      <c r="S264" s="202">
        <v>0</v>
      </c>
      <c r="T264" s="202">
        <v>1609957572</v>
      </c>
    </row>
    <row r="265" spans="1:20" outlineLevel="2" x14ac:dyDescent="0.25">
      <c r="A265" s="385" t="s">
        <v>1722</v>
      </c>
      <c r="B265" s="342"/>
      <c r="C265" s="195" t="str">
        <f t="shared" si="4"/>
        <v>Utilidades</v>
      </c>
      <c r="D265" s="3">
        <v>1677039137</v>
      </c>
      <c r="E265" s="275" t="s">
        <v>86</v>
      </c>
      <c r="F265" s="71">
        <v>5151099</v>
      </c>
      <c r="G265" s="71">
        <v>1672248143</v>
      </c>
      <c r="H265" s="71">
        <v>1677399242</v>
      </c>
      <c r="I265" s="275" t="s">
        <v>86</v>
      </c>
      <c r="J265" s="71">
        <v>0</v>
      </c>
      <c r="K265" s="71">
        <v>0</v>
      </c>
      <c r="L265" s="386">
        <v>0</v>
      </c>
      <c r="M265" s="342"/>
      <c r="N265" s="71">
        <v>0</v>
      </c>
      <c r="O265" s="71">
        <v>0</v>
      </c>
      <c r="P265" s="71">
        <v>0</v>
      </c>
      <c r="Q265" s="276" t="s">
        <v>86</v>
      </c>
      <c r="R265" s="71">
        <v>1677399242</v>
      </c>
      <c r="S265" s="71">
        <v>0</v>
      </c>
      <c r="T265" s="71">
        <v>1677399242</v>
      </c>
    </row>
    <row r="266" spans="1:20" outlineLevel="3" collapsed="1" x14ac:dyDescent="0.25">
      <c r="A266" s="381" t="s">
        <v>1723</v>
      </c>
      <c r="B266" s="342"/>
      <c r="C266" s="195" t="str">
        <f t="shared" si="4"/>
        <v>72-A06010G</v>
      </c>
      <c r="D266" s="200">
        <v>1677039137</v>
      </c>
      <c r="E266" s="201" t="s">
        <v>86</v>
      </c>
      <c r="F266" s="202">
        <v>5151099</v>
      </c>
      <c r="G266" s="203">
        <v>1672248143</v>
      </c>
      <c r="H266" s="202">
        <v>1677399242</v>
      </c>
      <c r="I266" s="201" t="s">
        <v>86</v>
      </c>
      <c r="J266" s="202">
        <v>0</v>
      </c>
      <c r="K266" s="204">
        <v>0</v>
      </c>
      <c r="L266" s="382">
        <v>0</v>
      </c>
      <c r="M266" s="342"/>
      <c r="N266" s="202">
        <v>0</v>
      </c>
      <c r="O266" s="202">
        <v>0</v>
      </c>
      <c r="P266" s="202">
        <v>0</v>
      </c>
      <c r="Q266" s="207" t="s">
        <v>86</v>
      </c>
      <c r="R266" s="202">
        <v>1677399242</v>
      </c>
      <c r="S266" s="202">
        <v>0</v>
      </c>
      <c r="T266" s="202">
        <v>1677399242</v>
      </c>
    </row>
    <row r="267" spans="1:20" x14ac:dyDescent="0.25">
      <c r="A267" s="383" t="s">
        <v>162</v>
      </c>
      <c r="B267" s="342"/>
      <c r="C267" s="195" t="str">
        <f t="shared" si="4"/>
        <v/>
      </c>
      <c r="D267" s="4">
        <v>67081565498</v>
      </c>
      <c r="E267" s="277" t="s">
        <v>86</v>
      </c>
      <c r="F267" s="13">
        <v>866662373</v>
      </c>
      <c r="G267" s="13">
        <v>66666303796</v>
      </c>
      <c r="H267" s="13">
        <v>67532966169</v>
      </c>
      <c r="I267" s="277" t="s">
        <v>86</v>
      </c>
      <c r="J267" s="9">
        <v>789843587</v>
      </c>
      <c r="K267" s="210">
        <v>509364568</v>
      </c>
      <c r="L267" s="384">
        <v>202707641.05000001</v>
      </c>
      <c r="M267" s="342"/>
      <c r="N267" s="9">
        <v>0</v>
      </c>
      <c r="O267" s="9">
        <v>712072209.04999995</v>
      </c>
      <c r="P267" s="9">
        <v>1501915796.05</v>
      </c>
      <c r="Q267" s="242" t="s">
        <v>86</v>
      </c>
      <c r="R267" s="13">
        <v>67532966169</v>
      </c>
      <c r="S267" s="9">
        <v>1501915796.05</v>
      </c>
      <c r="T267" s="278">
        <v>66031050372.949997</v>
      </c>
    </row>
    <row r="268" spans="1:20" ht="0" hidden="1" customHeight="1" x14ac:dyDescent="0.25">
      <c r="A268" s="14"/>
      <c r="B268" s="14"/>
      <c r="C268" s="195" t="str">
        <f t="shared" si="4"/>
        <v/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 spans="1:20" ht="92.85" customHeight="1" x14ac:dyDescent="0.25">
      <c r="A269" s="14"/>
      <c r="B269" s="14"/>
      <c r="C269" s="195" t="str">
        <f t="shared" si="4"/>
        <v/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spans="1:20" x14ac:dyDescent="0.25">
      <c r="A270" s="14"/>
      <c r="B270" s="14"/>
      <c r="C270" s="195" t="str">
        <f t="shared" si="4"/>
        <v/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 spans="1:20" x14ac:dyDescent="0.25">
      <c r="A271" s="14"/>
      <c r="B271" s="14"/>
      <c r="C271" s="195" t="str">
        <f t="shared" si="4"/>
        <v/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spans="1:20" x14ac:dyDescent="0.25">
      <c r="A272" s="14"/>
      <c r="B272" s="14"/>
      <c r="C272" s="195" t="str">
        <f t="shared" si="4"/>
        <v/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spans="3:3" x14ac:dyDescent="0.25">
      <c r="C273" s="195" t="str">
        <f t="shared" si="4"/>
        <v/>
      </c>
    </row>
    <row r="274" spans="3:3" x14ac:dyDescent="0.25">
      <c r="C274" s="195" t="str">
        <f t="shared" si="4"/>
        <v/>
      </c>
    </row>
    <row r="275" spans="3:3" x14ac:dyDescent="0.25">
      <c r="C275" s="195" t="str">
        <f t="shared" si="4"/>
        <v/>
      </c>
    </row>
    <row r="276" spans="3:3" x14ac:dyDescent="0.25">
      <c r="C276" s="195" t="str">
        <f t="shared" si="4"/>
        <v/>
      </c>
    </row>
    <row r="277" spans="3:3" x14ac:dyDescent="0.25">
      <c r="C277" s="195" t="str">
        <f t="shared" si="4"/>
        <v/>
      </c>
    </row>
    <row r="278" spans="3:3" x14ac:dyDescent="0.25">
      <c r="C278" s="195" t="str">
        <f t="shared" si="4"/>
        <v/>
      </c>
    </row>
    <row r="279" spans="3:3" x14ac:dyDescent="0.25">
      <c r="C279" s="195" t="str">
        <f t="shared" si="4"/>
        <v/>
      </c>
    </row>
    <row r="280" spans="3:3" x14ac:dyDescent="0.25">
      <c r="C280" s="195" t="str">
        <f t="shared" si="4"/>
        <v/>
      </c>
    </row>
    <row r="281" spans="3:3" x14ac:dyDescent="0.25">
      <c r="C281" s="195" t="str">
        <f t="shared" si="4"/>
        <v/>
      </c>
    </row>
    <row r="282" spans="3:3" x14ac:dyDescent="0.25">
      <c r="C282" s="195" t="str">
        <f t="shared" si="4"/>
        <v/>
      </c>
    </row>
    <row r="283" spans="3:3" x14ac:dyDescent="0.25">
      <c r="C283" s="195" t="str">
        <f t="shared" si="4"/>
        <v/>
      </c>
    </row>
    <row r="284" spans="3:3" x14ac:dyDescent="0.25">
      <c r="C284" s="195" t="str">
        <f t="shared" si="4"/>
        <v/>
      </c>
    </row>
    <row r="285" spans="3:3" x14ac:dyDescent="0.25">
      <c r="C285" s="195" t="str">
        <f t="shared" si="4"/>
        <v/>
      </c>
    </row>
    <row r="286" spans="3:3" x14ac:dyDescent="0.25">
      <c r="C286" s="195" t="str">
        <f t="shared" si="4"/>
        <v/>
      </c>
    </row>
    <row r="287" spans="3:3" x14ac:dyDescent="0.25">
      <c r="C287" s="195" t="str">
        <f t="shared" si="4"/>
        <v/>
      </c>
    </row>
    <row r="288" spans="3:3" x14ac:dyDescent="0.25">
      <c r="C288" s="195" t="str">
        <f t="shared" si="4"/>
        <v/>
      </c>
    </row>
    <row r="289" spans="3:3" x14ac:dyDescent="0.25">
      <c r="C289" s="195" t="str">
        <f t="shared" si="4"/>
        <v/>
      </c>
    </row>
    <row r="290" spans="3:3" x14ac:dyDescent="0.25">
      <c r="C290" s="195" t="str">
        <f t="shared" si="4"/>
        <v/>
      </c>
    </row>
    <row r="291" spans="3:3" x14ac:dyDescent="0.25">
      <c r="C291" s="195" t="str">
        <f t="shared" si="4"/>
        <v/>
      </c>
    </row>
    <row r="292" spans="3:3" x14ac:dyDescent="0.25">
      <c r="C292" s="195" t="str">
        <f t="shared" si="4"/>
        <v/>
      </c>
    </row>
    <row r="293" spans="3:3" x14ac:dyDescent="0.25">
      <c r="C293" s="195" t="str">
        <f t="shared" si="4"/>
        <v/>
      </c>
    </row>
    <row r="294" spans="3:3" x14ac:dyDescent="0.25">
      <c r="C294" s="195" t="str">
        <f t="shared" si="4"/>
        <v/>
      </c>
    </row>
    <row r="295" spans="3:3" x14ac:dyDescent="0.25">
      <c r="C295" s="195" t="str">
        <f t="shared" si="4"/>
        <v/>
      </c>
    </row>
    <row r="296" spans="3:3" x14ac:dyDescent="0.25">
      <c r="C296" s="195" t="str">
        <f t="shared" si="4"/>
        <v/>
      </c>
    </row>
    <row r="297" spans="3:3" x14ac:dyDescent="0.25">
      <c r="C297" s="195" t="str">
        <f t="shared" si="4"/>
        <v/>
      </c>
    </row>
    <row r="298" spans="3:3" x14ac:dyDescent="0.25">
      <c r="C298" s="195" t="str">
        <f t="shared" si="4"/>
        <v/>
      </c>
    </row>
    <row r="299" spans="3:3" x14ac:dyDescent="0.25">
      <c r="C299" s="195" t="str">
        <f t="shared" si="4"/>
        <v/>
      </c>
    </row>
    <row r="300" spans="3:3" x14ac:dyDescent="0.25">
      <c r="C300" s="195" t="str">
        <f t="shared" si="4"/>
        <v/>
      </c>
    </row>
    <row r="301" spans="3:3" x14ac:dyDescent="0.25">
      <c r="C301" s="195" t="str">
        <f t="shared" si="4"/>
        <v/>
      </c>
    </row>
    <row r="302" spans="3:3" x14ac:dyDescent="0.25">
      <c r="C302" s="195" t="str">
        <f t="shared" si="4"/>
        <v/>
      </c>
    </row>
    <row r="303" spans="3:3" x14ac:dyDescent="0.25">
      <c r="C303" s="195" t="str">
        <f t="shared" si="4"/>
        <v/>
      </c>
    </row>
    <row r="304" spans="3:3" x14ac:dyDescent="0.25">
      <c r="C304" s="195" t="str">
        <f t="shared" si="4"/>
        <v/>
      </c>
    </row>
    <row r="305" spans="3:3" x14ac:dyDescent="0.25">
      <c r="C305" s="195" t="str">
        <f t="shared" si="4"/>
        <v/>
      </c>
    </row>
    <row r="306" spans="3:3" x14ac:dyDescent="0.25">
      <c r="C306" s="195" t="str">
        <f t="shared" si="4"/>
        <v/>
      </c>
    </row>
    <row r="307" spans="3:3" x14ac:dyDescent="0.25">
      <c r="C307" s="195" t="str">
        <f t="shared" si="4"/>
        <v/>
      </c>
    </row>
    <row r="308" spans="3:3" x14ac:dyDescent="0.25">
      <c r="C308" s="195" t="str">
        <f t="shared" si="4"/>
        <v/>
      </c>
    </row>
    <row r="309" spans="3:3" x14ac:dyDescent="0.25">
      <c r="C309" s="195" t="str">
        <f t="shared" si="4"/>
        <v/>
      </c>
    </row>
    <row r="310" spans="3:3" x14ac:dyDescent="0.25">
      <c r="C310" s="195" t="str">
        <f t="shared" si="4"/>
        <v/>
      </c>
    </row>
    <row r="311" spans="3:3" x14ac:dyDescent="0.25">
      <c r="C311" s="195" t="str">
        <f t="shared" si="4"/>
        <v/>
      </c>
    </row>
    <row r="312" spans="3:3" x14ac:dyDescent="0.25">
      <c r="C312" s="195" t="str">
        <f t="shared" si="4"/>
        <v/>
      </c>
    </row>
    <row r="313" spans="3:3" x14ac:dyDescent="0.25">
      <c r="C313" s="195" t="str">
        <f t="shared" si="4"/>
        <v/>
      </c>
    </row>
    <row r="314" spans="3:3" x14ac:dyDescent="0.25">
      <c r="C314" s="195" t="str">
        <f t="shared" si="4"/>
        <v/>
      </c>
    </row>
    <row r="315" spans="3:3" x14ac:dyDescent="0.25">
      <c r="C315" s="195" t="str">
        <f t="shared" si="4"/>
        <v/>
      </c>
    </row>
    <row r="316" spans="3:3" x14ac:dyDescent="0.25">
      <c r="C316" s="195" t="str">
        <f t="shared" si="4"/>
        <v/>
      </c>
    </row>
    <row r="317" spans="3:3" x14ac:dyDescent="0.25">
      <c r="C317" s="195" t="str">
        <f t="shared" si="4"/>
        <v/>
      </c>
    </row>
    <row r="318" spans="3:3" x14ac:dyDescent="0.25">
      <c r="C318" s="195" t="str">
        <f t="shared" si="4"/>
        <v/>
      </c>
    </row>
    <row r="319" spans="3:3" x14ac:dyDescent="0.25">
      <c r="C319" s="195" t="str">
        <f t="shared" si="4"/>
        <v/>
      </c>
    </row>
    <row r="320" spans="3:3" x14ac:dyDescent="0.25">
      <c r="C320" s="195" t="str">
        <f t="shared" si="4"/>
        <v/>
      </c>
    </row>
    <row r="321" spans="3:3" x14ac:dyDescent="0.25">
      <c r="C321" s="195" t="str">
        <f t="shared" si="4"/>
        <v/>
      </c>
    </row>
    <row r="322" spans="3:3" x14ac:dyDescent="0.25">
      <c r="C322" s="195" t="str">
        <f t="shared" si="4"/>
        <v/>
      </c>
    </row>
    <row r="323" spans="3:3" x14ac:dyDescent="0.25">
      <c r="C323" s="195" t="str">
        <f t="shared" si="4"/>
        <v/>
      </c>
    </row>
    <row r="324" spans="3:3" x14ac:dyDescent="0.25">
      <c r="C324" s="195" t="str">
        <f t="shared" si="4"/>
        <v/>
      </c>
    </row>
    <row r="325" spans="3:3" x14ac:dyDescent="0.25">
      <c r="C325" s="195" t="str">
        <f t="shared" si="4"/>
        <v/>
      </c>
    </row>
    <row r="326" spans="3:3" x14ac:dyDescent="0.25">
      <c r="C326" s="195" t="str">
        <f t="shared" si="4"/>
        <v/>
      </c>
    </row>
    <row r="327" spans="3:3" x14ac:dyDescent="0.25">
      <c r="C327" s="195" t="str">
        <f t="shared" ref="C327:C390" si="5">IF(MID(A327,6,1)="      - ","-",
IF(A327="     0 - Categoría NULA",0,MID(A327,6,10)))</f>
        <v/>
      </c>
    </row>
    <row r="328" spans="3:3" x14ac:dyDescent="0.25">
      <c r="C328" s="195" t="str">
        <f t="shared" si="5"/>
        <v/>
      </c>
    </row>
    <row r="329" spans="3:3" x14ac:dyDescent="0.25">
      <c r="C329" s="195" t="str">
        <f t="shared" si="5"/>
        <v/>
      </c>
    </row>
    <row r="330" spans="3:3" x14ac:dyDescent="0.25">
      <c r="C330" s="195" t="str">
        <f t="shared" si="5"/>
        <v/>
      </c>
    </row>
    <row r="331" spans="3:3" x14ac:dyDescent="0.25">
      <c r="C331" s="195" t="str">
        <f t="shared" si="5"/>
        <v/>
      </c>
    </row>
    <row r="332" spans="3:3" x14ac:dyDescent="0.25">
      <c r="C332" s="195" t="str">
        <f t="shared" si="5"/>
        <v/>
      </c>
    </row>
    <row r="333" spans="3:3" x14ac:dyDescent="0.25">
      <c r="C333" s="195" t="str">
        <f t="shared" si="5"/>
        <v/>
      </c>
    </row>
    <row r="334" spans="3:3" x14ac:dyDescent="0.25">
      <c r="C334" s="195" t="str">
        <f t="shared" si="5"/>
        <v/>
      </c>
    </row>
    <row r="335" spans="3:3" x14ac:dyDescent="0.25">
      <c r="C335" s="195" t="str">
        <f t="shared" si="5"/>
        <v/>
      </c>
    </row>
    <row r="336" spans="3:3" x14ac:dyDescent="0.25">
      <c r="C336" s="195" t="str">
        <f t="shared" si="5"/>
        <v/>
      </c>
    </row>
    <row r="337" spans="3:3" x14ac:dyDescent="0.25">
      <c r="C337" s="195" t="str">
        <f t="shared" si="5"/>
        <v/>
      </c>
    </row>
    <row r="338" spans="3:3" x14ac:dyDescent="0.25">
      <c r="C338" s="195" t="str">
        <f t="shared" si="5"/>
        <v/>
      </c>
    </row>
    <row r="339" spans="3:3" x14ac:dyDescent="0.25">
      <c r="C339" s="195" t="str">
        <f t="shared" si="5"/>
        <v/>
      </c>
    </row>
    <row r="340" spans="3:3" x14ac:dyDescent="0.25">
      <c r="C340" s="195" t="str">
        <f t="shared" si="5"/>
        <v/>
      </c>
    </row>
    <row r="341" spans="3:3" x14ac:dyDescent="0.25">
      <c r="C341" s="195" t="str">
        <f t="shared" si="5"/>
        <v/>
      </c>
    </row>
    <row r="342" spans="3:3" x14ac:dyDescent="0.25">
      <c r="C342" s="195" t="str">
        <f t="shared" si="5"/>
        <v/>
      </c>
    </row>
    <row r="343" spans="3:3" x14ac:dyDescent="0.25">
      <c r="C343" s="195" t="str">
        <f t="shared" si="5"/>
        <v/>
      </c>
    </row>
    <row r="344" spans="3:3" x14ac:dyDescent="0.25">
      <c r="C344" s="195" t="str">
        <f t="shared" si="5"/>
        <v/>
      </c>
    </row>
    <row r="345" spans="3:3" x14ac:dyDescent="0.25">
      <c r="C345" s="195" t="str">
        <f t="shared" si="5"/>
        <v/>
      </c>
    </row>
    <row r="346" spans="3:3" x14ac:dyDescent="0.25">
      <c r="C346" s="195" t="str">
        <f t="shared" si="5"/>
        <v/>
      </c>
    </row>
    <row r="347" spans="3:3" x14ac:dyDescent="0.25">
      <c r="C347" s="195" t="str">
        <f t="shared" si="5"/>
        <v/>
      </c>
    </row>
    <row r="348" spans="3:3" x14ac:dyDescent="0.25">
      <c r="C348" s="195" t="str">
        <f t="shared" si="5"/>
        <v/>
      </c>
    </row>
    <row r="349" spans="3:3" x14ac:dyDescent="0.25">
      <c r="C349" s="195" t="str">
        <f t="shared" si="5"/>
        <v/>
      </c>
    </row>
    <row r="350" spans="3:3" x14ac:dyDescent="0.25">
      <c r="C350" s="195" t="str">
        <f t="shared" si="5"/>
        <v/>
      </c>
    </row>
    <row r="351" spans="3:3" x14ac:dyDescent="0.25">
      <c r="C351" s="195" t="str">
        <f t="shared" si="5"/>
        <v/>
      </c>
    </row>
    <row r="352" spans="3:3" x14ac:dyDescent="0.25">
      <c r="C352" s="195" t="str">
        <f t="shared" si="5"/>
        <v/>
      </c>
    </row>
    <row r="353" spans="3:3" x14ac:dyDescent="0.25">
      <c r="C353" s="195" t="str">
        <f t="shared" si="5"/>
        <v/>
      </c>
    </row>
    <row r="354" spans="3:3" x14ac:dyDescent="0.25">
      <c r="C354" s="195" t="str">
        <f t="shared" si="5"/>
        <v/>
      </c>
    </row>
    <row r="355" spans="3:3" x14ac:dyDescent="0.25">
      <c r="C355" s="195" t="str">
        <f t="shared" si="5"/>
        <v/>
      </c>
    </row>
    <row r="356" spans="3:3" x14ac:dyDescent="0.25">
      <c r="C356" s="195" t="str">
        <f t="shared" si="5"/>
        <v/>
      </c>
    </row>
    <row r="357" spans="3:3" x14ac:dyDescent="0.25">
      <c r="C357" s="195" t="str">
        <f t="shared" si="5"/>
        <v/>
      </c>
    </row>
    <row r="358" spans="3:3" x14ac:dyDescent="0.25">
      <c r="C358" s="195" t="str">
        <f t="shared" si="5"/>
        <v/>
      </c>
    </row>
    <row r="359" spans="3:3" x14ac:dyDescent="0.25">
      <c r="C359" s="195" t="str">
        <f t="shared" si="5"/>
        <v/>
      </c>
    </row>
    <row r="360" spans="3:3" x14ac:dyDescent="0.25">
      <c r="C360" s="195" t="str">
        <f t="shared" si="5"/>
        <v/>
      </c>
    </row>
    <row r="361" spans="3:3" x14ac:dyDescent="0.25">
      <c r="C361" s="195" t="str">
        <f t="shared" si="5"/>
        <v/>
      </c>
    </row>
    <row r="362" spans="3:3" x14ac:dyDescent="0.25">
      <c r="C362" s="195" t="str">
        <f t="shared" si="5"/>
        <v/>
      </c>
    </row>
    <row r="363" spans="3:3" x14ac:dyDescent="0.25">
      <c r="C363" s="195" t="str">
        <f t="shared" si="5"/>
        <v/>
      </c>
    </row>
    <row r="364" spans="3:3" x14ac:dyDescent="0.25">
      <c r="C364" s="195" t="str">
        <f t="shared" si="5"/>
        <v/>
      </c>
    </row>
    <row r="365" spans="3:3" x14ac:dyDescent="0.25">
      <c r="C365" s="195" t="str">
        <f t="shared" si="5"/>
        <v/>
      </c>
    </row>
    <row r="366" spans="3:3" x14ac:dyDescent="0.25">
      <c r="C366" s="195" t="str">
        <f t="shared" si="5"/>
        <v/>
      </c>
    </row>
    <row r="367" spans="3:3" x14ac:dyDescent="0.25">
      <c r="C367" s="195" t="str">
        <f t="shared" si="5"/>
        <v/>
      </c>
    </row>
    <row r="368" spans="3:3" x14ac:dyDescent="0.25">
      <c r="C368" s="195" t="str">
        <f t="shared" si="5"/>
        <v/>
      </c>
    </row>
    <row r="369" spans="3:3" x14ac:dyDescent="0.25">
      <c r="C369" s="195" t="str">
        <f t="shared" si="5"/>
        <v/>
      </c>
    </row>
    <row r="370" spans="3:3" x14ac:dyDescent="0.25">
      <c r="C370" s="195" t="str">
        <f t="shared" si="5"/>
        <v/>
      </c>
    </row>
    <row r="371" spans="3:3" x14ac:dyDescent="0.25">
      <c r="C371" s="195" t="str">
        <f t="shared" si="5"/>
        <v/>
      </c>
    </row>
    <row r="372" spans="3:3" x14ac:dyDescent="0.25">
      <c r="C372" s="195" t="str">
        <f t="shared" si="5"/>
        <v/>
      </c>
    </row>
    <row r="373" spans="3:3" x14ac:dyDescent="0.25">
      <c r="C373" s="195" t="str">
        <f t="shared" si="5"/>
        <v/>
      </c>
    </row>
    <row r="374" spans="3:3" x14ac:dyDescent="0.25">
      <c r="C374" s="195" t="str">
        <f t="shared" si="5"/>
        <v/>
      </c>
    </row>
    <row r="375" spans="3:3" x14ac:dyDescent="0.25">
      <c r="C375" s="195" t="str">
        <f t="shared" si="5"/>
        <v/>
      </c>
    </row>
    <row r="376" spans="3:3" x14ac:dyDescent="0.25">
      <c r="C376" s="195" t="str">
        <f t="shared" si="5"/>
        <v/>
      </c>
    </row>
    <row r="377" spans="3:3" x14ac:dyDescent="0.25">
      <c r="C377" s="195" t="str">
        <f t="shared" si="5"/>
        <v/>
      </c>
    </row>
    <row r="378" spans="3:3" x14ac:dyDescent="0.25">
      <c r="C378" s="195" t="str">
        <f t="shared" si="5"/>
        <v/>
      </c>
    </row>
    <row r="379" spans="3:3" x14ac:dyDescent="0.25">
      <c r="C379" s="195" t="str">
        <f t="shared" si="5"/>
        <v/>
      </c>
    </row>
    <row r="380" spans="3:3" x14ac:dyDescent="0.25">
      <c r="C380" s="195" t="str">
        <f t="shared" si="5"/>
        <v/>
      </c>
    </row>
    <row r="381" spans="3:3" x14ac:dyDescent="0.25">
      <c r="C381" s="195" t="str">
        <f t="shared" si="5"/>
        <v/>
      </c>
    </row>
    <row r="382" spans="3:3" x14ac:dyDescent="0.25">
      <c r="C382" s="195" t="str">
        <f t="shared" si="5"/>
        <v/>
      </c>
    </row>
    <row r="383" spans="3:3" x14ac:dyDescent="0.25">
      <c r="C383" s="195" t="str">
        <f t="shared" si="5"/>
        <v/>
      </c>
    </row>
    <row r="384" spans="3:3" x14ac:dyDescent="0.25">
      <c r="C384" s="195" t="str">
        <f t="shared" si="5"/>
        <v/>
      </c>
    </row>
    <row r="385" spans="3:3" x14ac:dyDescent="0.25">
      <c r="C385" s="195" t="str">
        <f t="shared" si="5"/>
        <v/>
      </c>
    </row>
    <row r="386" spans="3:3" x14ac:dyDescent="0.25">
      <c r="C386" s="195" t="str">
        <f t="shared" si="5"/>
        <v/>
      </c>
    </row>
    <row r="387" spans="3:3" x14ac:dyDescent="0.25">
      <c r="C387" s="195" t="str">
        <f t="shared" si="5"/>
        <v/>
      </c>
    </row>
    <row r="388" spans="3:3" x14ac:dyDescent="0.25">
      <c r="C388" s="195" t="str">
        <f t="shared" si="5"/>
        <v/>
      </c>
    </row>
    <row r="389" spans="3:3" x14ac:dyDescent="0.25">
      <c r="C389" s="195" t="str">
        <f t="shared" si="5"/>
        <v/>
      </c>
    </row>
    <row r="390" spans="3:3" x14ac:dyDescent="0.25">
      <c r="C390" s="195" t="str">
        <f t="shared" si="5"/>
        <v/>
      </c>
    </row>
    <row r="391" spans="3:3" x14ac:dyDescent="0.25">
      <c r="C391" s="195" t="str">
        <f t="shared" ref="C391:C454" si="6">IF(MID(A391,6,1)="      - ","-",
IF(A391="     0 - Categoría NULA",0,MID(A391,6,10)))</f>
        <v/>
      </c>
    </row>
    <row r="392" spans="3:3" x14ac:dyDescent="0.25">
      <c r="C392" s="195" t="str">
        <f t="shared" si="6"/>
        <v/>
      </c>
    </row>
    <row r="393" spans="3:3" x14ac:dyDescent="0.25">
      <c r="C393" s="195" t="str">
        <f t="shared" si="6"/>
        <v/>
      </c>
    </row>
    <row r="394" spans="3:3" x14ac:dyDescent="0.25">
      <c r="C394" s="195" t="str">
        <f t="shared" si="6"/>
        <v/>
      </c>
    </row>
    <row r="395" spans="3:3" x14ac:dyDescent="0.25">
      <c r="C395" s="195" t="str">
        <f t="shared" si="6"/>
        <v/>
      </c>
    </row>
    <row r="396" spans="3:3" x14ac:dyDescent="0.25">
      <c r="C396" s="195" t="str">
        <f t="shared" si="6"/>
        <v/>
      </c>
    </row>
    <row r="397" spans="3:3" x14ac:dyDescent="0.25">
      <c r="C397" s="195" t="str">
        <f t="shared" si="6"/>
        <v/>
      </c>
    </row>
    <row r="398" spans="3:3" x14ac:dyDescent="0.25">
      <c r="C398" s="195" t="str">
        <f t="shared" si="6"/>
        <v/>
      </c>
    </row>
    <row r="399" spans="3:3" x14ac:dyDescent="0.25">
      <c r="C399" s="195" t="str">
        <f t="shared" si="6"/>
        <v/>
      </c>
    </row>
    <row r="400" spans="3:3" x14ac:dyDescent="0.25">
      <c r="C400" s="195" t="str">
        <f t="shared" si="6"/>
        <v/>
      </c>
    </row>
    <row r="401" spans="3:3" x14ac:dyDescent="0.25">
      <c r="C401" s="195" t="str">
        <f t="shared" si="6"/>
        <v/>
      </c>
    </row>
    <row r="402" spans="3:3" x14ac:dyDescent="0.25">
      <c r="C402" s="195" t="str">
        <f t="shared" si="6"/>
        <v/>
      </c>
    </row>
    <row r="403" spans="3:3" x14ac:dyDescent="0.25">
      <c r="C403" s="195" t="str">
        <f t="shared" si="6"/>
        <v/>
      </c>
    </row>
    <row r="404" spans="3:3" x14ac:dyDescent="0.25">
      <c r="C404" s="195" t="str">
        <f t="shared" si="6"/>
        <v/>
      </c>
    </row>
    <row r="405" spans="3:3" x14ac:dyDescent="0.25">
      <c r="C405" s="195" t="str">
        <f t="shared" si="6"/>
        <v/>
      </c>
    </row>
    <row r="406" spans="3:3" x14ac:dyDescent="0.25">
      <c r="C406" s="195" t="str">
        <f t="shared" si="6"/>
        <v/>
      </c>
    </row>
    <row r="407" spans="3:3" x14ac:dyDescent="0.25">
      <c r="C407" s="195" t="str">
        <f t="shared" si="6"/>
        <v/>
      </c>
    </row>
    <row r="408" spans="3:3" x14ac:dyDescent="0.25">
      <c r="C408" s="195" t="str">
        <f t="shared" si="6"/>
        <v/>
      </c>
    </row>
    <row r="409" spans="3:3" x14ac:dyDescent="0.25">
      <c r="C409" s="195" t="str">
        <f t="shared" si="6"/>
        <v/>
      </c>
    </row>
    <row r="410" spans="3:3" x14ac:dyDescent="0.25">
      <c r="C410" s="195" t="str">
        <f t="shared" si="6"/>
        <v/>
      </c>
    </row>
    <row r="411" spans="3:3" x14ac:dyDescent="0.25">
      <c r="C411" s="195" t="str">
        <f t="shared" si="6"/>
        <v/>
      </c>
    </row>
    <row r="412" spans="3:3" x14ac:dyDescent="0.25">
      <c r="C412" s="195" t="str">
        <f t="shared" si="6"/>
        <v/>
      </c>
    </row>
    <row r="413" spans="3:3" x14ac:dyDescent="0.25">
      <c r="C413" s="195" t="str">
        <f t="shared" si="6"/>
        <v/>
      </c>
    </row>
    <row r="414" spans="3:3" x14ac:dyDescent="0.25">
      <c r="C414" s="195" t="str">
        <f t="shared" si="6"/>
        <v/>
      </c>
    </row>
    <row r="415" spans="3:3" x14ac:dyDescent="0.25">
      <c r="C415" s="195" t="str">
        <f t="shared" si="6"/>
        <v/>
      </c>
    </row>
    <row r="416" spans="3:3" x14ac:dyDescent="0.25">
      <c r="C416" s="195" t="str">
        <f t="shared" si="6"/>
        <v/>
      </c>
    </row>
    <row r="417" spans="3:3" x14ac:dyDescent="0.25">
      <c r="C417" s="195" t="str">
        <f t="shared" si="6"/>
        <v/>
      </c>
    </row>
    <row r="418" spans="3:3" x14ac:dyDescent="0.25">
      <c r="C418" s="195" t="str">
        <f t="shared" si="6"/>
        <v/>
      </c>
    </row>
    <row r="419" spans="3:3" x14ac:dyDescent="0.25">
      <c r="C419" s="195" t="str">
        <f t="shared" si="6"/>
        <v/>
      </c>
    </row>
    <row r="420" spans="3:3" x14ac:dyDescent="0.25">
      <c r="C420" s="195" t="str">
        <f t="shared" si="6"/>
        <v/>
      </c>
    </row>
    <row r="421" spans="3:3" x14ac:dyDescent="0.25">
      <c r="C421" s="195" t="str">
        <f t="shared" si="6"/>
        <v/>
      </c>
    </row>
    <row r="422" spans="3:3" x14ac:dyDescent="0.25">
      <c r="C422" s="195" t="str">
        <f t="shared" si="6"/>
        <v/>
      </c>
    </row>
    <row r="423" spans="3:3" x14ac:dyDescent="0.25">
      <c r="C423" s="195" t="str">
        <f t="shared" si="6"/>
        <v/>
      </c>
    </row>
    <row r="424" spans="3:3" x14ac:dyDescent="0.25">
      <c r="C424" s="195" t="str">
        <f t="shared" si="6"/>
        <v/>
      </c>
    </row>
    <row r="425" spans="3:3" x14ac:dyDescent="0.25">
      <c r="C425" s="195" t="str">
        <f t="shared" si="6"/>
        <v/>
      </c>
    </row>
    <row r="426" spans="3:3" x14ac:dyDescent="0.25">
      <c r="C426" s="195" t="str">
        <f t="shared" si="6"/>
        <v/>
      </c>
    </row>
    <row r="427" spans="3:3" x14ac:dyDescent="0.25">
      <c r="C427" s="195" t="str">
        <f t="shared" si="6"/>
        <v/>
      </c>
    </row>
    <row r="428" spans="3:3" x14ac:dyDescent="0.25">
      <c r="C428" s="195" t="str">
        <f t="shared" si="6"/>
        <v/>
      </c>
    </row>
    <row r="429" spans="3:3" x14ac:dyDescent="0.25">
      <c r="C429" s="195" t="str">
        <f t="shared" si="6"/>
        <v/>
      </c>
    </row>
    <row r="430" spans="3:3" x14ac:dyDescent="0.25">
      <c r="C430" s="195" t="str">
        <f t="shared" si="6"/>
        <v/>
      </c>
    </row>
    <row r="431" spans="3:3" x14ac:dyDescent="0.25">
      <c r="C431" s="195" t="str">
        <f t="shared" si="6"/>
        <v/>
      </c>
    </row>
    <row r="432" spans="3:3" x14ac:dyDescent="0.25">
      <c r="C432" s="195" t="str">
        <f t="shared" si="6"/>
        <v/>
      </c>
    </row>
    <row r="433" spans="3:3" x14ac:dyDescent="0.25">
      <c r="C433" s="195" t="str">
        <f t="shared" si="6"/>
        <v/>
      </c>
    </row>
    <row r="434" spans="3:3" x14ac:dyDescent="0.25">
      <c r="C434" s="195" t="str">
        <f t="shared" si="6"/>
        <v/>
      </c>
    </row>
    <row r="435" spans="3:3" x14ac:dyDescent="0.25">
      <c r="C435" s="195" t="str">
        <f t="shared" si="6"/>
        <v/>
      </c>
    </row>
    <row r="436" spans="3:3" x14ac:dyDescent="0.25">
      <c r="C436" s="195" t="str">
        <f t="shared" si="6"/>
        <v/>
      </c>
    </row>
    <row r="437" spans="3:3" x14ac:dyDescent="0.25">
      <c r="C437" s="195" t="str">
        <f t="shared" si="6"/>
        <v/>
      </c>
    </row>
    <row r="438" spans="3:3" x14ac:dyDescent="0.25">
      <c r="C438" s="195" t="str">
        <f t="shared" si="6"/>
        <v/>
      </c>
    </row>
    <row r="439" spans="3:3" x14ac:dyDescent="0.25">
      <c r="C439" s="195" t="str">
        <f t="shared" si="6"/>
        <v/>
      </c>
    </row>
    <row r="440" spans="3:3" x14ac:dyDescent="0.25">
      <c r="C440" s="195" t="str">
        <f t="shared" si="6"/>
        <v/>
      </c>
    </row>
    <row r="441" spans="3:3" x14ac:dyDescent="0.25">
      <c r="C441" s="195" t="str">
        <f t="shared" si="6"/>
        <v/>
      </c>
    </row>
    <row r="442" spans="3:3" x14ac:dyDescent="0.25">
      <c r="C442" s="195" t="str">
        <f t="shared" si="6"/>
        <v/>
      </c>
    </row>
    <row r="443" spans="3:3" x14ac:dyDescent="0.25">
      <c r="C443" s="195" t="str">
        <f t="shared" si="6"/>
        <v/>
      </c>
    </row>
    <row r="444" spans="3:3" x14ac:dyDescent="0.25">
      <c r="C444" s="195" t="str">
        <f t="shared" si="6"/>
        <v/>
      </c>
    </row>
    <row r="445" spans="3:3" x14ac:dyDescent="0.25">
      <c r="C445" s="195" t="str">
        <f t="shared" si="6"/>
        <v/>
      </c>
    </row>
    <row r="446" spans="3:3" x14ac:dyDescent="0.25">
      <c r="C446" s="195" t="str">
        <f t="shared" si="6"/>
        <v/>
      </c>
    </row>
    <row r="447" spans="3:3" x14ac:dyDescent="0.25">
      <c r="C447" s="195" t="str">
        <f t="shared" si="6"/>
        <v/>
      </c>
    </row>
    <row r="448" spans="3:3" x14ac:dyDescent="0.25">
      <c r="C448" s="195" t="str">
        <f t="shared" si="6"/>
        <v/>
      </c>
    </row>
    <row r="449" spans="3:3" x14ac:dyDescent="0.25">
      <c r="C449" s="195" t="str">
        <f t="shared" si="6"/>
        <v/>
      </c>
    </row>
    <row r="450" spans="3:3" x14ac:dyDescent="0.25">
      <c r="C450" s="195" t="str">
        <f t="shared" si="6"/>
        <v/>
      </c>
    </row>
    <row r="451" spans="3:3" x14ac:dyDescent="0.25">
      <c r="C451" s="195" t="str">
        <f t="shared" si="6"/>
        <v/>
      </c>
    </row>
    <row r="452" spans="3:3" x14ac:dyDescent="0.25">
      <c r="C452" s="195" t="str">
        <f t="shared" si="6"/>
        <v/>
      </c>
    </row>
    <row r="453" spans="3:3" x14ac:dyDescent="0.25">
      <c r="C453" s="195" t="str">
        <f t="shared" si="6"/>
        <v/>
      </c>
    </row>
    <row r="454" spans="3:3" x14ac:dyDescent="0.25">
      <c r="C454" s="195" t="str">
        <f t="shared" si="6"/>
        <v/>
      </c>
    </row>
    <row r="455" spans="3:3" x14ac:dyDescent="0.25">
      <c r="C455" s="195" t="str">
        <f t="shared" ref="C455:C518" si="7">IF(MID(A455,6,1)="      - ","-",
IF(A455="     0 - Categoría NULA",0,MID(A455,6,10)))</f>
        <v/>
      </c>
    </row>
    <row r="456" spans="3:3" x14ac:dyDescent="0.25">
      <c r="C456" s="195" t="str">
        <f t="shared" si="7"/>
        <v/>
      </c>
    </row>
    <row r="457" spans="3:3" x14ac:dyDescent="0.25">
      <c r="C457" s="195" t="str">
        <f t="shared" si="7"/>
        <v/>
      </c>
    </row>
    <row r="458" spans="3:3" x14ac:dyDescent="0.25">
      <c r="C458" s="195" t="str">
        <f t="shared" si="7"/>
        <v/>
      </c>
    </row>
    <row r="459" spans="3:3" x14ac:dyDescent="0.25">
      <c r="C459" s="195" t="str">
        <f t="shared" si="7"/>
        <v/>
      </c>
    </row>
    <row r="460" spans="3:3" x14ac:dyDescent="0.25">
      <c r="C460" s="195" t="str">
        <f t="shared" si="7"/>
        <v/>
      </c>
    </row>
    <row r="461" spans="3:3" x14ac:dyDescent="0.25">
      <c r="C461" s="195" t="str">
        <f t="shared" si="7"/>
        <v/>
      </c>
    </row>
    <row r="462" spans="3:3" x14ac:dyDescent="0.25">
      <c r="C462" s="195" t="str">
        <f t="shared" si="7"/>
        <v/>
      </c>
    </row>
    <row r="463" spans="3:3" x14ac:dyDescent="0.25">
      <c r="C463" s="195" t="str">
        <f t="shared" si="7"/>
        <v/>
      </c>
    </row>
    <row r="464" spans="3:3" x14ac:dyDescent="0.25">
      <c r="C464" s="195" t="str">
        <f t="shared" si="7"/>
        <v/>
      </c>
    </row>
    <row r="465" spans="3:3" x14ac:dyDescent="0.25">
      <c r="C465" s="195" t="str">
        <f t="shared" si="7"/>
        <v/>
      </c>
    </row>
    <row r="466" spans="3:3" x14ac:dyDescent="0.25">
      <c r="C466" s="195" t="str">
        <f t="shared" si="7"/>
        <v/>
      </c>
    </row>
    <row r="467" spans="3:3" x14ac:dyDescent="0.25">
      <c r="C467" s="195" t="str">
        <f t="shared" si="7"/>
        <v/>
      </c>
    </row>
    <row r="468" spans="3:3" x14ac:dyDescent="0.25">
      <c r="C468" s="195" t="str">
        <f t="shared" si="7"/>
        <v/>
      </c>
    </row>
    <row r="469" spans="3:3" x14ac:dyDescent="0.25">
      <c r="C469" s="195" t="str">
        <f t="shared" si="7"/>
        <v/>
      </c>
    </row>
    <row r="470" spans="3:3" x14ac:dyDescent="0.25">
      <c r="C470" s="195" t="str">
        <f t="shared" si="7"/>
        <v/>
      </c>
    </row>
    <row r="471" spans="3:3" x14ac:dyDescent="0.25">
      <c r="C471" s="195" t="str">
        <f t="shared" si="7"/>
        <v/>
      </c>
    </row>
    <row r="472" spans="3:3" x14ac:dyDescent="0.25">
      <c r="C472" s="195" t="str">
        <f t="shared" si="7"/>
        <v/>
      </c>
    </row>
    <row r="473" spans="3:3" x14ac:dyDescent="0.25">
      <c r="C473" s="195" t="str">
        <f t="shared" si="7"/>
        <v/>
      </c>
    </row>
    <row r="474" spans="3:3" x14ac:dyDescent="0.25">
      <c r="C474" s="195" t="str">
        <f t="shared" si="7"/>
        <v/>
      </c>
    </row>
    <row r="475" spans="3:3" x14ac:dyDescent="0.25">
      <c r="C475" s="195" t="str">
        <f t="shared" si="7"/>
        <v/>
      </c>
    </row>
    <row r="476" spans="3:3" x14ac:dyDescent="0.25">
      <c r="C476" s="195" t="str">
        <f t="shared" si="7"/>
        <v/>
      </c>
    </row>
    <row r="477" spans="3:3" x14ac:dyDescent="0.25">
      <c r="C477" s="195" t="str">
        <f t="shared" si="7"/>
        <v/>
      </c>
    </row>
    <row r="478" spans="3:3" x14ac:dyDescent="0.25">
      <c r="C478" s="195" t="str">
        <f t="shared" si="7"/>
        <v/>
      </c>
    </row>
    <row r="479" spans="3:3" x14ac:dyDescent="0.25">
      <c r="C479" s="195" t="str">
        <f t="shared" si="7"/>
        <v/>
      </c>
    </row>
    <row r="480" spans="3:3" x14ac:dyDescent="0.25">
      <c r="C480" s="195" t="str">
        <f t="shared" si="7"/>
        <v/>
      </c>
    </row>
    <row r="481" spans="3:3" x14ac:dyDescent="0.25">
      <c r="C481" s="195" t="str">
        <f t="shared" si="7"/>
        <v/>
      </c>
    </row>
    <row r="482" spans="3:3" x14ac:dyDescent="0.25">
      <c r="C482" s="195" t="str">
        <f t="shared" si="7"/>
        <v/>
      </c>
    </row>
    <row r="483" spans="3:3" x14ac:dyDescent="0.25">
      <c r="C483" s="195" t="str">
        <f t="shared" si="7"/>
        <v/>
      </c>
    </row>
    <row r="484" spans="3:3" x14ac:dyDescent="0.25">
      <c r="C484" s="195" t="str">
        <f t="shared" si="7"/>
        <v/>
      </c>
    </row>
    <row r="485" spans="3:3" x14ac:dyDescent="0.25">
      <c r="C485" s="195" t="str">
        <f t="shared" si="7"/>
        <v/>
      </c>
    </row>
    <row r="486" spans="3:3" x14ac:dyDescent="0.25">
      <c r="C486" s="195" t="str">
        <f t="shared" si="7"/>
        <v/>
      </c>
    </row>
    <row r="487" spans="3:3" x14ac:dyDescent="0.25">
      <c r="C487" s="195" t="str">
        <f t="shared" si="7"/>
        <v/>
      </c>
    </row>
    <row r="488" spans="3:3" x14ac:dyDescent="0.25">
      <c r="C488" s="195" t="str">
        <f t="shared" si="7"/>
        <v/>
      </c>
    </row>
    <row r="489" spans="3:3" x14ac:dyDescent="0.25">
      <c r="C489" s="195" t="str">
        <f t="shared" si="7"/>
        <v/>
      </c>
    </row>
    <row r="490" spans="3:3" x14ac:dyDescent="0.25">
      <c r="C490" s="195" t="str">
        <f t="shared" si="7"/>
        <v/>
      </c>
    </row>
    <row r="491" spans="3:3" x14ac:dyDescent="0.25">
      <c r="C491" s="195" t="str">
        <f t="shared" si="7"/>
        <v/>
      </c>
    </row>
    <row r="492" spans="3:3" x14ac:dyDescent="0.25">
      <c r="C492" s="195" t="str">
        <f t="shared" si="7"/>
        <v/>
      </c>
    </row>
    <row r="493" spans="3:3" x14ac:dyDescent="0.25">
      <c r="C493" s="195" t="str">
        <f t="shared" si="7"/>
        <v/>
      </c>
    </row>
    <row r="494" spans="3:3" x14ac:dyDescent="0.25">
      <c r="C494" s="195" t="str">
        <f t="shared" si="7"/>
        <v/>
      </c>
    </row>
    <row r="495" spans="3:3" x14ac:dyDescent="0.25">
      <c r="C495" s="195" t="str">
        <f t="shared" si="7"/>
        <v/>
      </c>
    </row>
    <row r="496" spans="3:3" x14ac:dyDescent="0.25">
      <c r="C496" s="195" t="str">
        <f t="shared" si="7"/>
        <v/>
      </c>
    </row>
    <row r="497" spans="3:3" x14ac:dyDescent="0.25">
      <c r="C497" s="195" t="str">
        <f t="shared" si="7"/>
        <v/>
      </c>
    </row>
    <row r="498" spans="3:3" x14ac:dyDescent="0.25">
      <c r="C498" s="195" t="str">
        <f t="shared" si="7"/>
        <v/>
      </c>
    </row>
    <row r="499" spans="3:3" x14ac:dyDescent="0.25">
      <c r="C499" s="195" t="str">
        <f t="shared" si="7"/>
        <v/>
      </c>
    </row>
    <row r="500" spans="3:3" x14ac:dyDescent="0.25">
      <c r="C500" s="195" t="str">
        <f t="shared" si="7"/>
        <v/>
      </c>
    </row>
    <row r="501" spans="3:3" x14ac:dyDescent="0.25">
      <c r="C501" s="195" t="str">
        <f t="shared" si="7"/>
        <v/>
      </c>
    </row>
    <row r="502" spans="3:3" x14ac:dyDescent="0.25">
      <c r="C502" s="195" t="str">
        <f t="shared" si="7"/>
        <v/>
      </c>
    </row>
    <row r="503" spans="3:3" x14ac:dyDescent="0.25">
      <c r="C503" s="195" t="str">
        <f t="shared" si="7"/>
        <v/>
      </c>
    </row>
    <row r="504" spans="3:3" x14ac:dyDescent="0.25">
      <c r="C504" s="195" t="str">
        <f t="shared" si="7"/>
        <v/>
      </c>
    </row>
    <row r="505" spans="3:3" x14ac:dyDescent="0.25">
      <c r="C505" s="195" t="str">
        <f t="shared" si="7"/>
        <v/>
      </c>
    </row>
    <row r="506" spans="3:3" x14ac:dyDescent="0.25">
      <c r="C506" s="195" t="str">
        <f t="shared" si="7"/>
        <v/>
      </c>
    </row>
    <row r="507" spans="3:3" x14ac:dyDescent="0.25">
      <c r="C507" s="195" t="str">
        <f t="shared" si="7"/>
        <v/>
      </c>
    </row>
    <row r="508" spans="3:3" x14ac:dyDescent="0.25">
      <c r="C508" s="195" t="str">
        <f t="shared" si="7"/>
        <v/>
      </c>
    </row>
    <row r="509" spans="3:3" x14ac:dyDescent="0.25">
      <c r="C509" s="195" t="str">
        <f t="shared" si="7"/>
        <v/>
      </c>
    </row>
    <row r="510" spans="3:3" x14ac:dyDescent="0.25">
      <c r="C510" s="195" t="str">
        <f t="shared" si="7"/>
        <v/>
      </c>
    </row>
    <row r="511" spans="3:3" x14ac:dyDescent="0.25">
      <c r="C511" s="195" t="str">
        <f t="shared" si="7"/>
        <v/>
      </c>
    </row>
    <row r="512" spans="3:3" x14ac:dyDescent="0.25">
      <c r="C512" s="195" t="str">
        <f t="shared" si="7"/>
        <v/>
      </c>
    </row>
    <row r="513" spans="3:3" x14ac:dyDescent="0.25">
      <c r="C513" s="195" t="str">
        <f t="shared" si="7"/>
        <v/>
      </c>
    </row>
    <row r="514" spans="3:3" x14ac:dyDescent="0.25">
      <c r="C514" s="195" t="str">
        <f t="shared" si="7"/>
        <v/>
      </c>
    </row>
    <row r="515" spans="3:3" x14ac:dyDescent="0.25">
      <c r="C515" s="195" t="str">
        <f t="shared" si="7"/>
        <v/>
      </c>
    </row>
    <row r="516" spans="3:3" x14ac:dyDescent="0.25">
      <c r="C516" s="195" t="str">
        <f t="shared" si="7"/>
        <v/>
      </c>
    </row>
    <row r="517" spans="3:3" x14ac:dyDescent="0.25">
      <c r="C517" s="195" t="str">
        <f t="shared" si="7"/>
        <v/>
      </c>
    </row>
    <row r="518" spans="3:3" x14ac:dyDescent="0.25">
      <c r="C518" s="195" t="str">
        <f t="shared" si="7"/>
        <v/>
      </c>
    </row>
    <row r="519" spans="3:3" x14ac:dyDescent="0.25">
      <c r="C519" s="195" t="str">
        <f t="shared" ref="C519:C582" si="8">IF(MID(A519,6,1)="      - ","-",
IF(A519="     0 - Categoría NULA",0,MID(A519,6,10)))</f>
        <v/>
      </c>
    </row>
    <row r="520" spans="3:3" x14ac:dyDescent="0.25">
      <c r="C520" s="195" t="str">
        <f t="shared" si="8"/>
        <v/>
      </c>
    </row>
    <row r="521" spans="3:3" x14ac:dyDescent="0.25">
      <c r="C521" s="195" t="str">
        <f t="shared" si="8"/>
        <v/>
      </c>
    </row>
    <row r="522" spans="3:3" x14ac:dyDescent="0.25">
      <c r="C522" s="195" t="str">
        <f t="shared" si="8"/>
        <v/>
      </c>
    </row>
    <row r="523" spans="3:3" x14ac:dyDescent="0.25">
      <c r="C523" s="195" t="str">
        <f t="shared" si="8"/>
        <v/>
      </c>
    </row>
    <row r="524" spans="3:3" x14ac:dyDescent="0.25">
      <c r="C524" s="195" t="str">
        <f t="shared" si="8"/>
        <v/>
      </c>
    </row>
    <row r="525" spans="3:3" x14ac:dyDescent="0.25">
      <c r="C525" s="195" t="str">
        <f t="shared" si="8"/>
        <v/>
      </c>
    </row>
    <row r="526" spans="3:3" x14ac:dyDescent="0.25">
      <c r="C526" s="195" t="str">
        <f t="shared" si="8"/>
        <v/>
      </c>
    </row>
    <row r="527" spans="3:3" x14ac:dyDescent="0.25">
      <c r="C527" s="195" t="str">
        <f t="shared" si="8"/>
        <v/>
      </c>
    </row>
    <row r="528" spans="3:3" x14ac:dyDescent="0.25">
      <c r="C528" s="195" t="str">
        <f t="shared" si="8"/>
        <v/>
      </c>
    </row>
    <row r="529" spans="3:3" x14ac:dyDescent="0.25">
      <c r="C529" s="195" t="str">
        <f t="shared" si="8"/>
        <v/>
      </c>
    </row>
    <row r="530" spans="3:3" x14ac:dyDescent="0.25">
      <c r="C530" s="195" t="str">
        <f t="shared" si="8"/>
        <v/>
      </c>
    </row>
    <row r="531" spans="3:3" x14ac:dyDescent="0.25">
      <c r="C531" s="195" t="str">
        <f t="shared" si="8"/>
        <v/>
      </c>
    </row>
    <row r="532" spans="3:3" x14ac:dyDescent="0.25">
      <c r="C532" s="195" t="str">
        <f t="shared" si="8"/>
        <v/>
      </c>
    </row>
    <row r="533" spans="3:3" x14ac:dyDescent="0.25">
      <c r="C533" s="195" t="str">
        <f t="shared" si="8"/>
        <v/>
      </c>
    </row>
    <row r="534" spans="3:3" x14ac:dyDescent="0.25">
      <c r="C534" s="195" t="str">
        <f t="shared" si="8"/>
        <v/>
      </c>
    </row>
    <row r="535" spans="3:3" x14ac:dyDescent="0.25">
      <c r="C535" s="195" t="str">
        <f t="shared" si="8"/>
        <v/>
      </c>
    </row>
    <row r="536" spans="3:3" x14ac:dyDescent="0.25">
      <c r="C536" s="195" t="str">
        <f t="shared" si="8"/>
        <v/>
      </c>
    </row>
    <row r="537" spans="3:3" x14ac:dyDescent="0.25">
      <c r="C537" s="195" t="str">
        <f t="shared" si="8"/>
        <v/>
      </c>
    </row>
    <row r="538" spans="3:3" x14ac:dyDescent="0.25">
      <c r="C538" s="195" t="str">
        <f t="shared" si="8"/>
        <v/>
      </c>
    </row>
    <row r="539" spans="3:3" x14ac:dyDescent="0.25">
      <c r="C539" s="195" t="str">
        <f t="shared" si="8"/>
        <v/>
      </c>
    </row>
    <row r="540" spans="3:3" x14ac:dyDescent="0.25">
      <c r="C540" s="195" t="str">
        <f t="shared" si="8"/>
        <v/>
      </c>
    </row>
    <row r="541" spans="3:3" x14ac:dyDescent="0.25">
      <c r="C541" s="195" t="str">
        <f t="shared" si="8"/>
        <v/>
      </c>
    </row>
    <row r="542" spans="3:3" x14ac:dyDescent="0.25">
      <c r="C542" s="195" t="str">
        <f t="shared" si="8"/>
        <v/>
      </c>
    </row>
    <row r="543" spans="3:3" x14ac:dyDescent="0.25">
      <c r="C543" s="195" t="str">
        <f t="shared" si="8"/>
        <v/>
      </c>
    </row>
    <row r="544" spans="3:3" x14ac:dyDescent="0.25">
      <c r="C544" s="195" t="str">
        <f t="shared" si="8"/>
        <v/>
      </c>
    </row>
    <row r="545" spans="3:3" x14ac:dyDescent="0.25">
      <c r="C545" s="195" t="str">
        <f t="shared" si="8"/>
        <v/>
      </c>
    </row>
    <row r="546" spans="3:3" x14ac:dyDescent="0.25">
      <c r="C546" s="195" t="str">
        <f t="shared" si="8"/>
        <v/>
      </c>
    </row>
    <row r="547" spans="3:3" x14ac:dyDescent="0.25">
      <c r="C547" s="195" t="str">
        <f t="shared" si="8"/>
        <v/>
      </c>
    </row>
    <row r="548" spans="3:3" x14ac:dyDescent="0.25">
      <c r="C548" s="195" t="str">
        <f t="shared" si="8"/>
        <v/>
      </c>
    </row>
    <row r="549" spans="3:3" x14ac:dyDescent="0.25">
      <c r="C549" s="195" t="str">
        <f t="shared" si="8"/>
        <v/>
      </c>
    </row>
    <row r="550" spans="3:3" x14ac:dyDescent="0.25">
      <c r="C550" s="195" t="str">
        <f t="shared" si="8"/>
        <v/>
      </c>
    </row>
    <row r="551" spans="3:3" x14ac:dyDescent="0.25">
      <c r="C551" s="195" t="str">
        <f t="shared" si="8"/>
        <v/>
      </c>
    </row>
    <row r="552" spans="3:3" x14ac:dyDescent="0.25">
      <c r="C552" s="195" t="str">
        <f t="shared" si="8"/>
        <v/>
      </c>
    </row>
    <row r="553" spans="3:3" x14ac:dyDescent="0.25">
      <c r="C553" s="195" t="str">
        <f t="shared" si="8"/>
        <v/>
      </c>
    </row>
    <row r="554" spans="3:3" x14ac:dyDescent="0.25">
      <c r="C554" s="195" t="str">
        <f t="shared" si="8"/>
        <v/>
      </c>
    </row>
    <row r="555" spans="3:3" x14ac:dyDescent="0.25">
      <c r="C555" s="195" t="str">
        <f t="shared" si="8"/>
        <v/>
      </c>
    </row>
    <row r="556" spans="3:3" x14ac:dyDescent="0.25">
      <c r="C556" s="195" t="str">
        <f t="shared" si="8"/>
        <v/>
      </c>
    </row>
    <row r="557" spans="3:3" x14ac:dyDescent="0.25">
      <c r="C557" s="195" t="str">
        <f t="shared" si="8"/>
        <v/>
      </c>
    </row>
    <row r="558" spans="3:3" x14ac:dyDescent="0.25">
      <c r="C558" s="195" t="str">
        <f t="shared" si="8"/>
        <v/>
      </c>
    </row>
    <row r="559" spans="3:3" x14ac:dyDescent="0.25">
      <c r="C559" s="195" t="str">
        <f t="shared" si="8"/>
        <v/>
      </c>
    </row>
    <row r="560" spans="3:3" x14ac:dyDescent="0.25">
      <c r="C560" s="195" t="str">
        <f t="shared" si="8"/>
        <v/>
      </c>
    </row>
    <row r="561" spans="3:3" x14ac:dyDescent="0.25">
      <c r="C561" s="195" t="str">
        <f t="shared" si="8"/>
        <v/>
      </c>
    </row>
    <row r="562" spans="3:3" x14ac:dyDescent="0.25">
      <c r="C562" s="195" t="str">
        <f t="shared" si="8"/>
        <v/>
      </c>
    </row>
    <row r="563" spans="3:3" x14ac:dyDescent="0.25">
      <c r="C563" s="195" t="str">
        <f t="shared" si="8"/>
        <v/>
      </c>
    </row>
    <row r="564" spans="3:3" x14ac:dyDescent="0.25">
      <c r="C564" s="195" t="str">
        <f t="shared" si="8"/>
        <v/>
      </c>
    </row>
    <row r="565" spans="3:3" x14ac:dyDescent="0.25">
      <c r="C565" s="195" t="str">
        <f t="shared" si="8"/>
        <v/>
      </c>
    </row>
    <row r="566" spans="3:3" x14ac:dyDescent="0.25">
      <c r="C566" s="195" t="str">
        <f t="shared" si="8"/>
        <v/>
      </c>
    </row>
    <row r="567" spans="3:3" x14ac:dyDescent="0.25">
      <c r="C567" s="195" t="str">
        <f t="shared" si="8"/>
        <v/>
      </c>
    </row>
    <row r="568" spans="3:3" x14ac:dyDescent="0.25">
      <c r="C568" s="195" t="str">
        <f t="shared" si="8"/>
        <v/>
      </c>
    </row>
    <row r="569" spans="3:3" x14ac:dyDescent="0.25">
      <c r="C569" s="195" t="str">
        <f t="shared" si="8"/>
        <v/>
      </c>
    </row>
    <row r="570" spans="3:3" x14ac:dyDescent="0.25">
      <c r="C570" s="195" t="str">
        <f t="shared" si="8"/>
        <v/>
      </c>
    </row>
    <row r="571" spans="3:3" x14ac:dyDescent="0.25">
      <c r="C571" s="195" t="str">
        <f t="shared" si="8"/>
        <v/>
      </c>
    </row>
    <row r="572" spans="3:3" x14ac:dyDescent="0.25">
      <c r="C572" s="195" t="str">
        <f t="shared" si="8"/>
        <v/>
      </c>
    </row>
    <row r="573" spans="3:3" x14ac:dyDescent="0.25">
      <c r="C573" s="195" t="str">
        <f t="shared" si="8"/>
        <v/>
      </c>
    </row>
    <row r="574" spans="3:3" x14ac:dyDescent="0.25">
      <c r="C574" s="195" t="str">
        <f t="shared" si="8"/>
        <v/>
      </c>
    </row>
    <row r="575" spans="3:3" x14ac:dyDescent="0.25">
      <c r="C575" s="195" t="str">
        <f t="shared" si="8"/>
        <v/>
      </c>
    </row>
    <row r="576" spans="3:3" x14ac:dyDescent="0.25">
      <c r="C576" s="195" t="str">
        <f t="shared" si="8"/>
        <v/>
      </c>
    </row>
    <row r="577" spans="3:3" x14ac:dyDescent="0.25">
      <c r="C577" s="195" t="str">
        <f t="shared" si="8"/>
        <v/>
      </c>
    </row>
    <row r="578" spans="3:3" x14ac:dyDescent="0.25">
      <c r="C578" s="195" t="str">
        <f t="shared" si="8"/>
        <v/>
      </c>
    </row>
    <row r="579" spans="3:3" x14ac:dyDescent="0.25">
      <c r="C579" s="195" t="str">
        <f t="shared" si="8"/>
        <v/>
      </c>
    </row>
    <row r="580" spans="3:3" x14ac:dyDescent="0.25">
      <c r="C580" s="195" t="str">
        <f t="shared" si="8"/>
        <v/>
      </c>
    </row>
    <row r="581" spans="3:3" x14ac:dyDescent="0.25">
      <c r="C581" s="195" t="str">
        <f t="shared" si="8"/>
        <v/>
      </c>
    </row>
    <row r="582" spans="3:3" x14ac:dyDescent="0.25">
      <c r="C582" s="195" t="str">
        <f t="shared" si="8"/>
        <v/>
      </c>
    </row>
    <row r="583" spans="3:3" x14ac:dyDescent="0.25">
      <c r="C583" s="195" t="str">
        <f t="shared" ref="C583:C600" si="9">IF(MID(A583,6,1)="      - ","-",
IF(A583="     0 - Categoría NULA",0,MID(A583,6,10)))</f>
        <v/>
      </c>
    </row>
    <row r="584" spans="3:3" x14ac:dyDescent="0.25">
      <c r="C584" s="195" t="str">
        <f t="shared" si="9"/>
        <v/>
      </c>
    </row>
    <row r="585" spans="3:3" x14ac:dyDescent="0.25">
      <c r="C585" s="195" t="str">
        <f t="shared" si="9"/>
        <v/>
      </c>
    </row>
    <row r="586" spans="3:3" x14ac:dyDescent="0.25">
      <c r="C586" s="195" t="str">
        <f t="shared" si="9"/>
        <v/>
      </c>
    </row>
    <row r="587" spans="3:3" x14ac:dyDescent="0.25">
      <c r="C587" s="195" t="str">
        <f t="shared" si="9"/>
        <v/>
      </c>
    </row>
    <row r="588" spans="3:3" x14ac:dyDescent="0.25">
      <c r="C588" s="195" t="str">
        <f t="shared" si="9"/>
        <v/>
      </c>
    </row>
    <row r="589" spans="3:3" x14ac:dyDescent="0.25">
      <c r="C589" s="195" t="str">
        <f t="shared" si="9"/>
        <v/>
      </c>
    </row>
    <row r="590" spans="3:3" x14ac:dyDescent="0.25">
      <c r="C590" s="195" t="str">
        <f t="shared" si="9"/>
        <v/>
      </c>
    </row>
    <row r="591" spans="3:3" x14ac:dyDescent="0.25">
      <c r="C591" s="195" t="str">
        <f t="shared" si="9"/>
        <v/>
      </c>
    </row>
    <row r="592" spans="3:3" x14ac:dyDescent="0.25">
      <c r="C592" s="195" t="str">
        <f t="shared" si="9"/>
        <v/>
      </c>
    </row>
    <row r="593" spans="3:3" x14ac:dyDescent="0.25">
      <c r="C593" s="195" t="str">
        <f t="shared" si="9"/>
        <v/>
      </c>
    </row>
    <row r="594" spans="3:3" x14ac:dyDescent="0.25">
      <c r="C594" s="195" t="str">
        <f t="shared" si="9"/>
        <v/>
      </c>
    </row>
    <row r="595" spans="3:3" x14ac:dyDescent="0.25">
      <c r="C595" s="195" t="str">
        <f t="shared" si="9"/>
        <v/>
      </c>
    </row>
    <row r="596" spans="3:3" x14ac:dyDescent="0.25">
      <c r="C596" s="195" t="str">
        <f t="shared" si="9"/>
        <v/>
      </c>
    </row>
    <row r="597" spans="3:3" x14ac:dyDescent="0.25">
      <c r="C597" s="195" t="str">
        <f t="shared" si="9"/>
        <v/>
      </c>
    </row>
    <row r="598" spans="3:3" x14ac:dyDescent="0.25">
      <c r="C598" s="195" t="str">
        <f t="shared" si="9"/>
        <v/>
      </c>
    </row>
    <row r="599" spans="3:3" x14ac:dyDescent="0.25">
      <c r="C599" s="195" t="str">
        <f t="shared" si="9"/>
        <v/>
      </c>
    </row>
    <row r="600" spans="3:3" x14ac:dyDescent="0.25">
      <c r="C600" s="195" t="str">
        <f t="shared" si="9"/>
        <v/>
      </c>
    </row>
  </sheetData>
  <sheetProtection algorithmName="SHA-512" hashValue="JPZBoIwZ8ggJM9YMvb8Pv3Kp+zwJqRKlS6rI2+PllIwb78bwiygkEcxMozDAY5bsApCsx+n/CiJtmu9uUX76WQ==" saltValue="5g44V5EZ/44gmw2uUoXSyg==" spinCount="100000" sheet="1" objects="1" scenarios="1" selectLockedCells="1" autoFilter="0" selectUnlockedCells="1"/>
  <autoFilter ref="A4:T59" xr:uid="{55853347-309A-4495-AFC8-9063A07B813F}">
    <filterColumn colId="0" showButton="0"/>
    <filterColumn colId="11" showButton="0"/>
  </autoFilter>
  <mergeCells count="533">
    <mergeCell ref="A125:B125"/>
    <mergeCell ref="L125:M125"/>
    <mergeCell ref="A120:B120"/>
    <mergeCell ref="L120:M120"/>
    <mergeCell ref="A121:B121"/>
    <mergeCell ref="L121:M121"/>
    <mergeCell ref="A122:B122"/>
    <mergeCell ref="L122:M122"/>
    <mergeCell ref="A123:B123"/>
    <mergeCell ref="L123:M123"/>
    <mergeCell ref="A124:B124"/>
    <mergeCell ref="L124:M124"/>
    <mergeCell ref="A115:B115"/>
    <mergeCell ref="L115:M115"/>
    <mergeCell ref="A116:B116"/>
    <mergeCell ref="L116:M116"/>
    <mergeCell ref="A117:B117"/>
    <mergeCell ref="L117:M117"/>
    <mergeCell ref="A118:B118"/>
    <mergeCell ref="L118:M118"/>
    <mergeCell ref="A119:B119"/>
    <mergeCell ref="L119:M119"/>
    <mergeCell ref="A110:B110"/>
    <mergeCell ref="L110:M110"/>
    <mergeCell ref="A111:B111"/>
    <mergeCell ref="L111:M111"/>
    <mergeCell ref="A112:B112"/>
    <mergeCell ref="L112:M112"/>
    <mergeCell ref="A113:B113"/>
    <mergeCell ref="L113:M113"/>
    <mergeCell ref="A114:B114"/>
    <mergeCell ref="L114:M114"/>
    <mergeCell ref="A105:B105"/>
    <mergeCell ref="L105:M105"/>
    <mergeCell ref="A106:B106"/>
    <mergeCell ref="L106:M106"/>
    <mergeCell ref="A107:B107"/>
    <mergeCell ref="L107:M107"/>
    <mergeCell ref="A108:B108"/>
    <mergeCell ref="L108:M108"/>
    <mergeCell ref="A109:B109"/>
    <mergeCell ref="L109:M109"/>
    <mergeCell ref="A100:B100"/>
    <mergeCell ref="L100:M100"/>
    <mergeCell ref="A101:B101"/>
    <mergeCell ref="L101:M101"/>
    <mergeCell ref="A102:B102"/>
    <mergeCell ref="L102:M102"/>
    <mergeCell ref="A103:B103"/>
    <mergeCell ref="L103:M103"/>
    <mergeCell ref="A104:B104"/>
    <mergeCell ref="L104:M104"/>
    <mergeCell ref="A95:B95"/>
    <mergeCell ref="L95:M95"/>
    <mergeCell ref="A96:B96"/>
    <mergeCell ref="L96:M96"/>
    <mergeCell ref="A97:B97"/>
    <mergeCell ref="L97:M97"/>
    <mergeCell ref="A98:B98"/>
    <mergeCell ref="L98:M98"/>
    <mergeCell ref="A99:B99"/>
    <mergeCell ref="L99:M99"/>
    <mergeCell ref="A90:B90"/>
    <mergeCell ref="L90:M90"/>
    <mergeCell ref="A91:B91"/>
    <mergeCell ref="L91:M91"/>
    <mergeCell ref="A92:B92"/>
    <mergeCell ref="L92:M92"/>
    <mergeCell ref="A93:B93"/>
    <mergeCell ref="L93:M93"/>
    <mergeCell ref="A94:B94"/>
    <mergeCell ref="L94:M94"/>
    <mergeCell ref="A85:B85"/>
    <mergeCell ref="L85:M85"/>
    <mergeCell ref="A86:B86"/>
    <mergeCell ref="L86:M86"/>
    <mergeCell ref="A87:B87"/>
    <mergeCell ref="L87:M87"/>
    <mergeCell ref="A88:B88"/>
    <mergeCell ref="L88:M88"/>
    <mergeCell ref="A89:B89"/>
    <mergeCell ref="L89:M89"/>
    <mergeCell ref="A80:B80"/>
    <mergeCell ref="L80:M80"/>
    <mergeCell ref="A81:B81"/>
    <mergeCell ref="L81:M81"/>
    <mergeCell ref="A82:B82"/>
    <mergeCell ref="L82:M82"/>
    <mergeCell ref="A83:B83"/>
    <mergeCell ref="L83:M83"/>
    <mergeCell ref="A84:B84"/>
    <mergeCell ref="L84:M84"/>
    <mergeCell ref="A75:B75"/>
    <mergeCell ref="L75:M75"/>
    <mergeCell ref="A76:B76"/>
    <mergeCell ref="L76:M76"/>
    <mergeCell ref="A77:B77"/>
    <mergeCell ref="L77:M77"/>
    <mergeCell ref="A78:B78"/>
    <mergeCell ref="L78:M78"/>
    <mergeCell ref="A79:B79"/>
    <mergeCell ref="L79:M79"/>
    <mergeCell ref="A70:B70"/>
    <mergeCell ref="L70:M70"/>
    <mergeCell ref="A71:B71"/>
    <mergeCell ref="L71:M71"/>
    <mergeCell ref="A72:B72"/>
    <mergeCell ref="L72:M72"/>
    <mergeCell ref="A73:B73"/>
    <mergeCell ref="L73:M73"/>
    <mergeCell ref="A74:B74"/>
    <mergeCell ref="L74:M74"/>
    <mergeCell ref="A65:B65"/>
    <mergeCell ref="L65:M65"/>
    <mergeCell ref="A66:B66"/>
    <mergeCell ref="L66:M66"/>
    <mergeCell ref="A67:B67"/>
    <mergeCell ref="L67:M67"/>
    <mergeCell ref="A68:B68"/>
    <mergeCell ref="L68:M68"/>
    <mergeCell ref="A69:B69"/>
    <mergeCell ref="L69:M69"/>
    <mergeCell ref="A60:B60"/>
    <mergeCell ref="L60:M60"/>
    <mergeCell ref="A61:B61"/>
    <mergeCell ref="L61:M61"/>
    <mergeCell ref="A62:B62"/>
    <mergeCell ref="L62:M62"/>
    <mergeCell ref="A63:B63"/>
    <mergeCell ref="L63:M63"/>
    <mergeCell ref="A64:B64"/>
    <mergeCell ref="L64:M64"/>
    <mergeCell ref="A57:B57"/>
    <mergeCell ref="L57:M57"/>
    <mergeCell ref="A58:B58"/>
    <mergeCell ref="L58:M58"/>
    <mergeCell ref="A59:B59"/>
    <mergeCell ref="L59:M59"/>
    <mergeCell ref="A54:B54"/>
    <mergeCell ref="L54:M54"/>
    <mergeCell ref="A55:B55"/>
    <mergeCell ref="L55:M55"/>
    <mergeCell ref="A56:B56"/>
    <mergeCell ref="L56:M56"/>
    <mergeCell ref="A51:B51"/>
    <mergeCell ref="L51:M51"/>
    <mergeCell ref="A52:B52"/>
    <mergeCell ref="L52:M52"/>
    <mergeCell ref="A53:B53"/>
    <mergeCell ref="L53:M53"/>
    <mergeCell ref="A48:B48"/>
    <mergeCell ref="L48:M48"/>
    <mergeCell ref="A49:B49"/>
    <mergeCell ref="L49:M49"/>
    <mergeCell ref="A50:B50"/>
    <mergeCell ref="L50:M50"/>
    <mergeCell ref="A45:B45"/>
    <mergeCell ref="L45:M45"/>
    <mergeCell ref="A46:B46"/>
    <mergeCell ref="L46:M46"/>
    <mergeCell ref="A47:B47"/>
    <mergeCell ref="L47:M47"/>
    <mergeCell ref="A42:B42"/>
    <mergeCell ref="L42:M42"/>
    <mergeCell ref="A43:B43"/>
    <mergeCell ref="L43:M43"/>
    <mergeCell ref="A44:B44"/>
    <mergeCell ref="L44:M44"/>
    <mergeCell ref="A39:B39"/>
    <mergeCell ref="L39:M39"/>
    <mergeCell ref="A40:B40"/>
    <mergeCell ref="L40:M40"/>
    <mergeCell ref="A41:B41"/>
    <mergeCell ref="L41:M41"/>
    <mergeCell ref="A36:B36"/>
    <mergeCell ref="L36:M36"/>
    <mergeCell ref="A37:B37"/>
    <mergeCell ref="L37:M37"/>
    <mergeCell ref="A38:B38"/>
    <mergeCell ref="L38:M38"/>
    <mergeCell ref="A33:B33"/>
    <mergeCell ref="L33:M33"/>
    <mergeCell ref="A34:B34"/>
    <mergeCell ref="L34:M34"/>
    <mergeCell ref="A35:B35"/>
    <mergeCell ref="L35:M35"/>
    <mergeCell ref="A30:B30"/>
    <mergeCell ref="L30:M30"/>
    <mergeCell ref="A31:B31"/>
    <mergeCell ref="L31:M31"/>
    <mergeCell ref="A32:B32"/>
    <mergeCell ref="L32:M32"/>
    <mergeCell ref="B1:L1"/>
    <mergeCell ref="A3:B3"/>
    <mergeCell ref="F3:H3"/>
    <mergeCell ref="J3:P3"/>
    <mergeCell ref="R3:T3"/>
    <mergeCell ref="A4:B4"/>
    <mergeCell ref="L4:M4"/>
    <mergeCell ref="A14:B14"/>
    <mergeCell ref="L14:M14"/>
    <mergeCell ref="A8:B8"/>
    <mergeCell ref="L8:M8"/>
    <mergeCell ref="A9:B9"/>
    <mergeCell ref="L9:M9"/>
    <mergeCell ref="A10:B10"/>
    <mergeCell ref="L10:M10"/>
    <mergeCell ref="A5:B5"/>
    <mergeCell ref="L5:M5"/>
    <mergeCell ref="A6:B6"/>
    <mergeCell ref="L6:M6"/>
    <mergeCell ref="A7:B7"/>
    <mergeCell ref="L7:M7"/>
    <mergeCell ref="A15:B15"/>
    <mergeCell ref="L15:M15"/>
    <mergeCell ref="A16:B16"/>
    <mergeCell ref="L16:M16"/>
    <mergeCell ref="A11:B11"/>
    <mergeCell ref="L11:M11"/>
    <mergeCell ref="A12:B12"/>
    <mergeCell ref="L12:M12"/>
    <mergeCell ref="A13:B13"/>
    <mergeCell ref="L13:M13"/>
    <mergeCell ref="A17:B17"/>
    <mergeCell ref="L17:M17"/>
    <mergeCell ref="A18:B18"/>
    <mergeCell ref="L18:M18"/>
    <mergeCell ref="A19:B19"/>
    <mergeCell ref="L19:M19"/>
    <mergeCell ref="A23:B23"/>
    <mergeCell ref="L23:M23"/>
    <mergeCell ref="A24:B24"/>
    <mergeCell ref="L24:M24"/>
    <mergeCell ref="A25:B25"/>
    <mergeCell ref="L25:M25"/>
    <mergeCell ref="A20:B20"/>
    <mergeCell ref="L20:M20"/>
    <mergeCell ref="A21:B21"/>
    <mergeCell ref="L21:M21"/>
    <mergeCell ref="A22:B22"/>
    <mergeCell ref="L22:M22"/>
    <mergeCell ref="A29:B29"/>
    <mergeCell ref="L29:M29"/>
    <mergeCell ref="A26:B26"/>
    <mergeCell ref="L26:M26"/>
    <mergeCell ref="A27:B27"/>
    <mergeCell ref="L27:M27"/>
    <mergeCell ref="A28:B28"/>
    <mergeCell ref="L28:M28"/>
    <mergeCell ref="A126:B126"/>
    <mergeCell ref="L126:M126"/>
    <mergeCell ref="A127:B127"/>
    <mergeCell ref="L127:M127"/>
    <mergeCell ref="A128:B128"/>
    <mergeCell ref="L128:M128"/>
    <mergeCell ref="A129:B129"/>
    <mergeCell ref="L129:M129"/>
    <mergeCell ref="A130:B130"/>
    <mergeCell ref="L130:M130"/>
    <mergeCell ref="A131:B131"/>
    <mergeCell ref="L131:M131"/>
    <mergeCell ref="A132:B132"/>
    <mergeCell ref="L132:M132"/>
    <mergeCell ref="A133:B133"/>
    <mergeCell ref="L133:M133"/>
    <mergeCell ref="A134:B134"/>
    <mergeCell ref="L134:M134"/>
    <mergeCell ref="A135:B135"/>
    <mergeCell ref="L135:M135"/>
    <mergeCell ref="A136:B136"/>
    <mergeCell ref="L136:M136"/>
    <mergeCell ref="A137:B137"/>
    <mergeCell ref="L137:M137"/>
    <mergeCell ref="A138:B138"/>
    <mergeCell ref="L138:M138"/>
    <mergeCell ref="A139:B139"/>
    <mergeCell ref="L139:M139"/>
    <mergeCell ref="A140:B140"/>
    <mergeCell ref="L140:M140"/>
    <mergeCell ref="A141:B141"/>
    <mergeCell ref="L141:M141"/>
    <mergeCell ref="A142:B142"/>
    <mergeCell ref="L142:M142"/>
    <mergeCell ref="A143:B143"/>
    <mergeCell ref="L143:M143"/>
    <mergeCell ref="A144:B144"/>
    <mergeCell ref="L144:M144"/>
    <mergeCell ref="A145:B145"/>
    <mergeCell ref="L145:M145"/>
    <mergeCell ref="A146:B146"/>
    <mergeCell ref="L146:M146"/>
    <mergeCell ref="A147:B147"/>
    <mergeCell ref="L147:M147"/>
    <mergeCell ref="A148:B148"/>
    <mergeCell ref="L148:M148"/>
    <mergeCell ref="A149:B149"/>
    <mergeCell ref="L149:M149"/>
    <mergeCell ref="A150:B150"/>
    <mergeCell ref="L150:M150"/>
    <mergeCell ref="A151:B151"/>
    <mergeCell ref="L151:M151"/>
    <mergeCell ref="A152:B152"/>
    <mergeCell ref="L152:M152"/>
    <mergeCell ref="A153:B153"/>
    <mergeCell ref="L153:M153"/>
    <mergeCell ref="A154:B154"/>
    <mergeCell ref="L154:M154"/>
    <mergeCell ref="A155:B155"/>
    <mergeCell ref="L155:M155"/>
    <mergeCell ref="A156:B156"/>
    <mergeCell ref="L156:M156"/>
    <mergeCell ref="A157:B157"/>
    <mergeCell ref="L157:M157"/>
    <mergeCell ref="A158:B158"/>
    <mergeCell ref="L158:M158"/>
    <mergeCell ref="A159:B159"/>
    <mergeCell ref="L159:M159"/>
    <mergeCell ref="A160:B160"/>
    <mergeCell ref="L160:M160"/>
    <mergeCell ref="A161:B161"/>
    <mergeCell ref="L161:M161"/>
    <mergeCell ref="A162:B162"/>
    <mergeCell ref="L162:M162"/>
    <mergeCell ref="A163:B163"/>
    <mergeCell ref="L163:M163"/>
    <mergeCell ref="A164:B164"/>
    <mergeCell ref="L164:M164"/>
    <mergeCell ref="A165:B165"/>
    <mergeCell ref="L165:M165"/>
    <mergeCell ref="A166:B166"/>
    <mergeCell ref="L166:M166"/>
    <mergeCell ref="A167:B167"/>
    <mergeCell ref="L167:M167"/>
    <mergeCell ref="A168:B168"/>
    <mergeCell ref="L168:M168"/>
    <mergeCell ref="A169:B169"/>
    <mergeCell ref="L169:M169"/>
    <mergeCell ref="A170:B170"/>
    <mergeCell ref="L170:M170"/>
    <mergeCell ref="A171:B171"/>
    <mergeCell ref="L171:M171"/>
    <mergeCell ref="A172:B172"/>
    <mergeCell ref="L172:M172"/>
    <mergeCell ref="A173:B173"/>
    <mergeCell ref="L173:M173"/>
    <mergeCell ref="A174:B174"/>
    <mergeCell ref="L174:M174"/>
    <mergeCell ref="A175:B175"/>
    <mergeCell ref="L175:M175"/>
    <mergeCell ref="A176:B176"/>
    <mergeCell ref="L176:M176"/>
    <mergeCell ref="A177:B177"/>
    <mergeCell ref="L177:M177"/>
    <mergeCell ref="A178:B178"/>
    <mergeCell ref="L178:M178"/>
    <mergeCell ref="A179:B179"/>
    <mergeCell ref="L179:M179"/>
    <mergeCell ref="A180:B180"/>
    <mergeCell ref="L180:M180"/>
    <mergeCell ref="A181:B181"/>
    <mergeCell ref="L181:M181"/>
    <mergeCell ref="A182:B182"/>
    <mergeCell ref="L182:M182"/>
    <mergeCell ref="A183:B183"/>
    <mergeCell ref="L183:M183"/>
    <mergeCell ref="A184:B184"/>
    <mergeCell ref="L184:M184"/>
    <mergeCell ref="A185:B185"/>
    <mergeCell ref="L185:M185"/>
    <mergeCell ref="A186:B186"/>
    <mergeCell ref="L186:M186"/>
    <mergeCell ref="A187:B187"/>
    <mergeCell ref="L187:M187"/>
    <mergeCell ref="A188:B188"/>
    <mergeCell ref="L188:M188"/>
    <mergeCell ref="A189:B189"/>
    <mergeCell ref="L189:M189"/>
    <mergeCell ref="A190:B190"/>
    <mergeCell ref="L190:M190"/>
    <mergeCell ref="A191:B191"/>
    <mergeCell ref="L191:M191"/>
    <mergeCell ref="A192:B192"/>
    <mergeCell ref="L192:M192"/>
    <mergeCell ref="A193:B193"/>
    <mergeCell ref="L193:M193"/>
    <mergeCell ref="A194:B194"/>
    <mergeCell ref="L194:M194"/>
    <mergeCell ref="A195:B195"/>
    <mergeCell ref="L195:M195"/>
    <mergeCell ref="A196:B196"/>
    <mergeCell ref="L196:M196"/>
    <mergeCell ref="A197:B197"/>
    <mergeCell ref="L197:M197"/>
    <mergeCell ref="A198:B198"/>
    <mergeCell ref="L198:M198"/>
    <mergeCell ref="A199:B199"/>
    <mergeCell ref="L199:M199"/>
    <mergeCell ref="A200:B200"/>
    <mergeCell ref="L200:M200"/>
    <mergeCell ref="A201:B201"/>
    <mergeCell ref="L201:M201"/>
    <mergeCell ref="A202:B202"/>
    <mergeCell ref="L202:M202"/>
    <mergeCell ref="A203:B203"/>
    <mergeCell ref="L203:M203"/>
    <mergeCell ref="A204:B204"/>
    <mergeCell ref="L204:M204"/>
    <mergeCell ref="A205:B205"/>
    <mergeCell ref="L205:M205"/>
    <mergeCell ref="A206:B206"/>
    <mergeCell ref="L206:M206"/>
    <mergeCell ref="A207:B207"/>
    <mergeCell ref="L207:M207"/>
    <mergeCell ref="A208:B208"/>
    <mergeCell ref="L208:M208"/>
    <mergeCell ref="A209:B209"/>
    <mergeCell ref="L209:M209"/>
    <mergeCell ref="A210:B210"/>
    <mergeCell ref="L210:M210"/>
    <mergeCell ref="A211:B211"/>
    <mergeCell ref="L211:M211"/>
    <mergeCell ref="A212:B212"/>
    <mergeCell ref="L212:M212"/>
    <mergeCell ref="A213:B213"/>
    <mergeCell ref="L213:M213"/>
    <mergeCell ref="A214:B214"/>
    <mergeCell ref="L214:M214"/>
    <mergeCell ref="A215:B215"/>
    <mergeCell ref="L215:M215"/>
    <mergeCell ref="A216:B216"/>
    <mergeCell ref="L216:M216"/>
    <mergeCell ref="A217:B217"/>
    <mergeCell ref="L217:M217"/>
    <mergeCell ref="A218:B218"/>
    <mergeCell ref="L218:M218"/>
    <mergeCell ref="A219:B219"/>
    <mergeCell ref="L219:M219"/>
    <mergeCell ref="A220:B220"/>
    <mergeCell ref="L220:M220"/>
    <mergeCell ref="A221:B221"/>
    <mergeCell ref="L221:M221"/>
    <mergeCell ref="A222:B222"/>
    <mergeCell ref="L222:M222"/>
    <mergeCell ref="A223:B223"/>
    <mergeCell ref="L223:M223"/>
    <mergeCell ref="A224:B224"/>
    <mergeCell ref="L224:M224"/>
    <mergeCell ref="A225:B225"/>
    <mergeCell ref="L225:M225"/>
    <mergeCell ref="A226:B226"/>
    <mergeCell ref="L226:M226"/>
    <mergeCell ref="A227:B227"/>
    <mergeCell ref="L227:M227"/>
    <mergeCell ref="A228:B228"/>
    <mergeCell ref="L228:M228"/>
    <mergeCell ref="A229:B229"/>
    <mergeCell ref="L229:M229"/>
    <mergeCell ref="A230:B230"/>
    <mergeCell ref="L230:M230"/>
    <mergeCell ref="A231:B231"/>
    <mergeCell ref="L231:M231"/>
    <mergeCell ref="A232:B232"/>
    <mergeCell ref="L232:M232"/>
    <mergeCell ref="A233:B233"/>
    <mergeCell ref="L233:M233"/>
    <mergeCell ref="A234:B234"/>
    <mergeCell ref="L234:M234"/>
    <mergeCell ref="A235:B235"/>
    <mergeCell ref="L235:M235"/>
    <mergeCell ref="A236:B236"/>
    <mergeCell ref="L236:M236"/>
    <mergeCell ref="A237:B237"/>
    <mergeCell ref="L237:M237"/>
    <mergeCell ref="A238:B238"/>
    <mergeCell ref="L238:M238"/>
    <mergeCell ref="A239:B239"/>
    <mergeCell ref="L239:M239"/>
    <mergeCell ref="A240:B240"/>
    <mergeCell ref="L240:M240"/>
    <mergeCell ref="A241:B241"/>
    <mergeCell ref="L241:M241"/>
    <mergeCell ref="A242:B242"/>
    <mergeCell ref="L242:M242"/>
    <mergeCell ref="A243:B243"/>
    <mergeCell ref="L243:M243"/>
    <mergeCell ref="A244:B244"/>
    <mergeCell ref="L244:M244"/>
    <mergeCell ref="A245:B245"/>
    <mergeCell ref="L245:M245"/>
    <mergeCell ref="A246:B246"/>
    <mergeCell ref="L246:M246"/>
    <mergeCell ref="A247:B247"/>
    <mergeCell ref="L247:M247"/>
    <mergeCell ref="A248:B248"/>
    <mergeCell ref="L248:M248"/>
    <mergeCell ref="A249:B249"/>
    <mergeCell ref="L249:M249"/>
    <mergeCell ref="A250:B250"/>
    <mergeCell ref="L250:M250"/>
    <mergeCell ref="A251:B251"/>
    <mergeCell ref="L251:M251"/>
    <mergeCell ref="A252:B252"/>
    <mergeCell ref="L252:M252"/>
    <mergeCell ref="A253:B253"/>
    <mergeCell ref="L253:M253"/>
    <mergeCell ref="A254:B254"/>
    <mergeCell ref="L254:M254"/>
    <mergeCell ref="A255:B255"/>
    <mergeCell ref="L255:M255"/>
    <mergeCell ref="A256:B256"/>
    <mergeCell ref="L256:M256"/>
    <mergeCell ref="A257:B257"/>
    <mergeCell ref="L257:M257"/>
    <mergeCell ref="A258:B258"/>
    <mergeCell ref="L258:M258"/>
    <mergeCell ref="A259:B259"/>
    <mergeCell ref="L259:M259"/>
    <mergeCell ref="A260:B260"/>
    <mergeCell ref="L260:M260"/>
    <mergeCell ref="A266:B266"/>
    <mergeCell ref="L266:M266"/>
    <mergeCell ref="A267:B267"/>
    <mergeCell ref="L267:M267"/>
    <mergeCell ref="A261:B261"/>
    <mergeCell ref="L261:M261"/>
    <mergeCell ref="A262:B262"/>
    <mergeCell ref="L262:M262"/>
    <mergeCell ref="A263:B263"/>
    <mergeCell ref="L263:M263"/>
    <mergeCell ref="A264:B264"/>
    <mergeCell ref="L264:M264"/>
    <mergeCell ref="A265:B265"/>
    <mergeCell ref="L265:M265"/>
  </mergeCells>
  <hyperlinks>
    <hyperlink ref="K8" r:id="rId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xr:uid="{37B908A4-90A8-42EA-A960-48D4B77113C7}"/>
    <hyperlink ref="L8" r:id="rId2" display="http://eiax-bi/ReportServer?%2FDynamicsAX%2FEIMI_SCP03_Detalles_Report.PrecisionDesign3PedidosNoRecibidos&amp;Dataset1_FechaInicio=01%2F01%2F2010%2000%3A00%3A00&amp;Dataset1_FechaTermino=08%2F31%2F2019%2000%3A00%3A00&amp;Dataset1_Proyecto=0357&amp;Dataset1_Categoria=&amp;Dataset1_Reporte=3&amp;rs%3AParameterLanguage=" xr:uid="{09918FAD-ECDF-4973-BC9E-E97AB5B9A826}"/>
    <hyperlink ref="K9" r:id="rId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0&amp;rs%3AParameterLanguage=" xr:uid="{1C39F7CF-3725-45F1-B3FD-91C8F874DAF3}"/>
    <hyperlink ref="L9" r:id="rId4" display="http://eiax-bi/ReportServer?%2FDynamicsAX%2FEIMI_SCP03_Detalles_Report.PrecisionDesign3PedidosNoRecibidos&amp;Dataset1_FechaInicio=01%2F01%2F2010%2000%3A00%3A00&amp;Dataset1_FechaTermino=08%2F31%2F2019%2000%3A00%3A00&amp;Dataset1_Proyecto=0357&amp;Dataset1_Categoria=0&amp;Dataset1_Reporte=3&amp;rs%3AParameterLanguage=" xr:uid="{85702C0F-EA83-44D8-8DF5-97BBDC569FF6}"/>
    <hyperlink ref="K10" r:id="rId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10100G&amp;rs%3AParameterLanguage=" xr:uid="{43F1CF7E-31E1-415A-9DBE-E1C537F91289}"/>
    <hyperlink ref="L10" r:id="rId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10100G&amp;Dataset1_Reporte=3&amp;rs%3AParameterLanguage=" xr:uid="{723A6F47-B834-4C18-9BA1-09ED0A5A1422}"/>
    <hyperlink ref="K11" r:id="rId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600G&amp;rs%3AParameterLanguage=" xr:uid="{B937C87D-3FE9-493A-9C88-2644DE747861}"/>
    <hyperlink ref="L11" r:id="rId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600G&amp;Dataset1_Reporte=3&amp;rs%3AParameterLanguage=" xr:uid="{FD10DE32-C1DB-4CF9-833E-6725573DFAAD}"/>
    <hyperlink ref="K12" r:id="rId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AA-799999G&amp;rs%3AParameterLanguage=" xr:uid="{74617233-1096-44EA-8D59-AE2DA46397DF}"/>
    <hyperlink ref="L12" r:id="rId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AA-799999G&amp;Dataset1_Reporte=3&amp;rs%3AParameterLanguage=" xr:uid="{A98C58A6-7A10-4F25-9868-D26D6653196D}"/>
    <hyperlink ref="K16" r:id="rId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100G&amp;rs%3AParameterLanguage=" xr:uid="{43AD4AF2-A081-4355-BC83-97604EE0FB94}"/>
    <hyperlink ref="L16" r:id="rId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100G&amp;Dataset1_Reporte=3&amp;rs%3AParameterLanguage=" xr:uid="{3D666578-0DBF-4050-B4B4-70A449E84518}"/>
    <hyperlink ref="K17" r:id="rId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200G&amp;rs%3AParameterLanguage=" xr:uid="{51C0218E-FC01-42F5-91AD-36B22B464EDD}"/>
    <hyperlink ref="L17" r:id="rId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200G&amp;Dataset1_Reporte=3&amp;rs%3AParameterLanguage=" xr:uid="{74CE72E1-921C-4361-99FD-7E764BEA94AE}"/>
    <hyperlink ref="K18" r:id="rId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300G&amp;rs%3AParameterLanguage=" xr:uid="{4A8D5D53-6257-495F-9872-281A08F1D3E4}"/>
    <hyperlink ref="L18" r:id="rId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300G&amp;Dataset1_Reporte=3&amp;rs%3AParameterLanguage=" xr:uid="{3B83712D-131B-4C24-83C8-566BC53C7425}"/>
    <hyperlink ref="K19" r:id="rId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400G&amp;rs%3AParameterLanguage=" xr:uid="{62F57AA6-C90C-415D-8608-63FD4DE22AFF}"/>
    <hyperlink ref="L19" r:id="rId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400G&amp;Dataset1_Reporte=3&amp;rs%3AParameterLanguage=" xr:uid="{1245B684-81C6-4346-88BE-B7E711978FD4}"/>
    <hyperlink ref="K20" r:id="rId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9900G&amp;rs%3AParameterLanguage=" xr:uid="{13AE3EF9-A3D7-4B5E-93D7-1770C72DEADE}"/>
    <hyperlink ref="L20" r:id="rId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9900G&amp;Dataset1_Reporte=3&amp;rs%3AParameterLanguage=" xr:uid="{587A56F8-A090-4757-8A34-C2E848F8F701}"/>
    <hyperlink ref="K22" r:id="rId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30800G&amp;rs%3AParameterLanguage=" xr:uid="{36189B13-F4E7-4742-B71D-6887A19F0AC9}"/>
    <hyperlink ref="L22" r:id="rId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30800G&amp;Dataset1_Reporte=3&amp;rs%3AParameterLanguage=" xr:uid="{7F9B3744-A39F-4F4C-B4AA-97AE400DF60B}"/>
    <hyperlink ref="K24" r:id="rId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40800G&amp;rs%3AParameterLanguage=" xr:uid="{AD85F16A-F843-48FA-83D7-82A15EAA75AB}"/>
    <hyperlink ref="L24" r:id="rId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40800G&amp;Dataset1_Reporte=3&amp;rs%3AParameterLanguage=" xr:uid="{2E241C01-0B60-4009-A18B-5F4934D9E07A}"/>
    <hyperlink ref="K26" r:id="rId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50800G&amp;rs%3AParameterLanguage=" xr:uid="{51FDC5F9-3A1F-421A-AC6F-51A0E004B4D2}"/>
    <hyperlink ref="L26" r:id="rId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50800G&amp;Dataset1_Reporte=3&amp;rs%3AParameterLanguage=" xr:uid="{F13C03C2-E3A3-4959-B61F-46C29A266EB7}"/>
    <hyperlink ref="K28" r:id="rId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010500G&amp;rs%3AParameterLanguage=" xr:uid="{50A545AA-26E7-46B0-8542-3656923F658B}"/>
    <hyperlink ref="L28" r:id="rId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010500G&amp;Dataset1_Reporte=3&amp;rs%3AParameterLanguage=" xr:uid="{7BB19D10-BEBF-4549-9E18-C433C599C1F6}"/>
    <hyperlink ref="K31" r:id="rId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A&amp;rs%3AParameterLanguage=" xr:uid="{98369E93-7700-4F99-A510-A1604A8FD15C}"/>
    <hyperlink ref="L31" r:id="rId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201A&amp;Dataset1_Reporte=3&amp;rs%3AParameterLanguage=" xr:uid="{0039DAD5-F320-4698-ACAB-AAAA30373F24}"/>
    <hyperlink ref="K32" r:id="rId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201G&amp;rs%3AParameterLanguage=" xr:uid="{04E19A38-8ABE-4799-A242-5B7EA97B5659}"/>
    <hyperlink ref="L32" r:id="rId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201G&amp;Dataset1_Reporte=3&amp;rs%3AParameterLanguage=" xr:uid="{000C75B3-63A0-492E-A943-D877D7539B7F}"/>
    <hyperlink ref="K33" r:id="rId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A&amp;rs%3AParameterLanguage=" xr:uid="{3EC18BB2-1648-4921-9547-23809CE97072}"/>
    <hyperlink ref="L33" r:id="rId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301A&amp;Dataset1_Reporte=3&amp;rs%3AParameterLanguage=" xr:uid="{06771194-84AF-4930-B1AE-671F68D9A9A4}"/>
    <hyperlink ref="K34" r:id="rId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301G&amp;rs%3AParameterLanguage=" xr:uid="{80A5633B-0691-4BD6-B7E3-8191C81BE284}"/>
    <hyperlink ref="L34" r:id="rId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301G&amp;Dataset1_Reporte=3&amp;rs%3AParameterLanguage=" xr:uid="{44C5D726-7339-490C-9431-AAA60930F9EF}"/>
    <hyperlink ref="K35" r:id="rId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A&amp;rs%3AParameterLanguage=" xr:uid="{D1D0ADD2-DA8A-4B10-8971-8BBE856DA361}"/>
    <hyperlink ref="L35" r:id="rId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401A&amp;Dataset1_Reporte=3&amp;rs%3AParameterLanguage=" xr:uid="{2E01892A-8076-481C-90A9-A8651C67E3F7}"/>
    <hyperlink ref="K36" r:id="rId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401G&amp;rs%3AParameterLanguage=" xr:uid="{7C128A3C-C0E4-41E2-A532-61ED191F331D}"/>
    <hyperlink ref="L36" r:id="rId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401G&amp;Dataset1_Reporte=3&amp;rs%3AParameterLanguage=" xr:uid="{6479F188-55C9-4015-B4FE-9BBDBFFE768D}"/>
    <hyperlink ref="K37" r:id="rId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A&amp;rs%3AParameterLanguage=" xr:uid="{6D880ED0-DAD9-4ED3-AF93-333F06DE213D}"/>
    <hyperlink ref="L37" r:id="rId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501A&amp;Dataset1_Reporte=3&amp;rs%3AParameterLanguage=" xr:uid="{D380A82D-E005-44E3-A299-E7ED6D59FEF6}"/>
    <hyperlink ref="K38" r:id="rId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0501G&amp;rs%3AParameterLanguage=" xr:uid="{7D62E225-6EC0-40CE-A52B-9149C13E67A4}"/>
    <hyperlink ref="L38" r:id="rId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0501G&amp;Dataset1_Reporte=3&amp;rs%3AParameterLanguage=" xr:uid="{16C57A5F-4AC5-429C-B941-F009C7F68839}"/>
    <hyperlink ref="K39" r:id="rId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A&amp;rs%3AParameterLanguage=" xr:uid="{FE901890-3977-494F-883F-E46F8A15D0B7}"/>
    <hyperlink ref="L39" r:id="rId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1101A&amp;Dataset1_Reporte=3&amp;rs%3AParameterLanguage=" xr:uid="{85C57814-0ADC-4848-A1D1-9137E219DA16}"/>
    <hyperlink ref="K40" r:id="rId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1101G&amp;rs%3AParameterLanguage=" xr:uid="{AC283AF5-B0F8-43CB-B403-5E8C16C07C1F}"/>
    <hyperlink ref="L40" r:id="rId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1101G&amp;Dataset1_Reporte=3&amp;rs%3AParameterLanguage=" xr:uid="{6CA2F1DD-32FB-4848-8112-F82CB3536285}"/>
    <hyperlink ref="K41" r:id="rId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A&amp;rs%3AParameterLanguage=" xr:uid="{67995402-EC27-43BE-A9FA-AEE14ED4531E}"/>
    <hyperlink ref="L41" r:id="rId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9901A&amp;Dataset1_Reporte=3&amp;rs%3AParameterLanguage=" xr:uid="{EA509C8B-2AFB-4F43-8BC1-4DC060615A51}"/>
    <hyperlink ref="K42" r:id="rId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19901G&amp;rs%3AParameterLanguage=" xr:uid="{6BC175FC-06B6-41AF-973B-7D71878C2C82}"/>
    <hyperlink ref="L42" r:id="rId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19901G&amp;Dataset1_Reporte=3&amp;rs%3AParameterLanguage=" xr:uid="{17F50842-C66C-42F6-913B-BDE5519E77F2}"/>
    <hyperlink ref="K44" r:id="rId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A&amp;rs%3AParameterLanguage=" xr:uid="{9798864E-F154-4D9C-9B6D-D08077237E3C}"/>
    <hyperlink ref="L44" r:id="rId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1401A&amp;Dataset1_Reporte=3&amp;rs%3AParameterLanguage=" xr:uid="{08E8E7BE-4F0D-43F0-80BD-C1061841DB63}"/>
    <hyperlink ref="K45" r:id="rId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1401G&amp;rs%3AParameterLanguage=" xr:uid="{FFA169F4-F94C-4E48-8DB7-BDF5FC4CA3ED}"/>
    <hyperlink ref="L45" r:id="rId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1401G&amp;Dataset1_Reporte=3&amp;rs%3AParameterLanguage=" xr:uid="{6891D58E-7DFC-4329-9248-28EFBE7A5806}"/>
    <hyperlink ref="K46" r:id="rId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A&amp;rs%3AParameterLanguage=" xr:uid="{FBCDC2E7-3BEC-45BE-8BFF-FFABA9DBD52B}"/>
    <hyperlink ref="L46" r:id="rId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9901A&amp;Dataset1_Reporte=3&amp;rs%3AParameterLanguage=" xr:uid="{95648995-1635-4C13-9363-1470ABFDCA4B}"/>
    <hyperlink ref="K47" r:id="rId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39901G&amp;rs%3AParameterLanguage=" xr:uid="{EA0C176C-9FB8-49BD-89D8-319BB9B02B36}"/>
    <hyperlink ref="L47" r:id="rId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39901G&amp;Dataset1_Reporte=3&amp;rs%3AParameterLanguage=" xr:uid="{E9219541-FA4E-489B-8E0D-FDE2834E2DE7}"/>
    <hyperlink ref="K49" r:id="rId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A&amp;rs%3AParameterLanguage=" xr:uid="{6C8B1C56-6AA6-4A30-B1EE-31109E2B7850}"/>
    <hyperlink ref="L49" r:id="rId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1401A&amp;Dataset1_Reporte=3&amp;rs%3AParameterLanguage=" xr:uid="{1F96F7CC-7345-44CA-947A-E2CE446322CA}"/>
    <hyperlink ref="K50" r:id="rId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1401G&amp;rs%3AParameterLanguage=" xr:uid="{0E18D6E1-686F-471A-A29F-8E77D2747AAE}"/>
    <hyperlink ref="L50" r:id="rId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1401G&amp;Dataset1_Reporte=3&amp;rs%3AParameterLanguage=" xr:uid="{ED9026B7-C68C-4ABC-919F-82320321B695}"/>
    <hyperlink ref="K51" r:id="rId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A&amp;rs%3AParameterLanguage=" xr:uid="{85A2ED20-5FDF-44D3-A473-7BAFBE3CD650}"/>
    <hyperlink ref="L51" r:id="rId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2001A&amp;Dataset1_Reporte=3&amp;rs%3AParameterLanguage=" xr:uid="{110C1273-FEFE-49FE-A78D-DBD1A875D85E}"/>
    <hyperlink ref="K52" r:id="rId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2001G&amp;rs%3AParameterLanguage=" xr:uid="{0A84BABE-B421-44C9-AC2C-B71687ADBB34}"/>
    <hyperlink ref="L52" r:id="rId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2001G&amp;Dataset1_Reporte=3&amp;rs%3AParameterLanguage=" xr:uid="{B1AB986F-82F9-4561-B16D-5C5786E0EC7D}"/>
    <hyperlink ref="K53" r:id="rId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A&amp;rs%3AParameterLanguage=" xr:uid="{87164A44-1418-44C8-BC9E-417B5BBE8019}"/>
    <hyperlink ref="L53" r:id="rId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9901A&amp;Dataset1_Reporte=3&amp;rs%3AParameterLanguage=" xr:uid="{C218747E-5BC3-46C8-8BBF-058345AB80BB}"/>
    <hyperlink ref="K54" r:id="rId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49901G&amp;rs%3AParameterLanguage=" xr:uid="{4843F75D-731F-4334-AF52-E91C2DBCCC8B}"/>
    <hyperlink ref="L54" r:id="rId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49901G&amp;Dataset1_Reporte=3&amp;rs%3AParameterLanguage=" xr:uid="{C64ABB5D-18B0-415B-9AC0-C555D3FD995A}"/>
    <hyperlink ref="K56" r:id="rId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A&amp;rs%3AParameterLanguage=" xr:uid="{5BD658FF-2DC5-4ACF-B20D-B877EBCF93B5}"/>
    <hyperlink ref="L56" r:id="rId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1801A&amp;Dataset1_Reporte=3&amp;rs%3AParameterLanguage=" xr:uid="{ABDF24BC-C5EB-427D-89E4-3F7BB1253786}"/>
    <hyperlink ref="K57" r:id="rId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1801G&amp;rs%3AParameterLanguage=" xr:uid="{994A5DC9-143E-4264-8D0D-F9D2BAB9E8E9}"/>
    <hyperlink ref="L57" r:id="rId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1801G&amp;Dataset1_Reporte=3&amp;rs%3AParameterLanguage=" xr:uid="{16896FC2-3B99-42F7-927D-EB5DC507D46E}"/>
    <hyperlink ref="K58" r:id="rId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A&amp;rs%3AParameterLanguage=" xr:uid="{E0D9ED14-4E4A-4CC4-81BE-C0EF227BCC34}"/>
    <hyperlink ref="L58" r:id="rId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2101A&amp;Dataset1_Reporte=3&amp;rs%3AParameterLanguage=" xr:uid="{793E1BA9-0107-492B-99FA-8E17D7A86DFD}"/>
    <hyperlink ref="K59" r:id="rId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2101G&amp;rs%3AParameterLanguage=" xr:uid="{F89278B5-8C93-4796-A947-2B0E7FD0DD57}"/>
    <hyperlink ref="L59" r:id="rId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2101G&amp;Dataset1_Reporte=3&amp;rs%3AParameterLanguage=" xr:uid="{1181AB6A-7400-4B19-9D0A-56BCC0AFD2BB}"/>
    <hyperlink ref="K60" r:id="rId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A&amp;rs%3AParameterLanguage=" xr:uid="{389CEE2F-6868-472F-AFB6-EBD96155C656}"/>
    <hyperlink ref="L60" r:id="rId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9901A&amp;Dataset1_Reporte=3&amp;rs%3AParameterLanguage=" xr:uid="{3225242F-CE05-41E0-9395-22B44F3D9D10}"/>
    <hyperlink ref="K61" r:id="rId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21-059901G&amp;rs%3AParameterLanguage=" xr:uid="{7DAB1D2E-2177-47D6-8547-A7E4B5778DAD}"/>
    <hyperlink ref="L61" r:id="rId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21-059901G&amp;Dataset1_Reporte=3&amp;rs%3AParameterLanguage=" xr:uid="{BB64A1C4-85AC-4924-94E7-44BCE75091CF}"/>
    <hyperlink ref="K64" r:id="rId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A&amp;rs%3AParameterLanguage=" xr:uid="{1A76C0B8-983A-4E6B-8E30-D708340FEF6C}"/>
    <hyperlink ref="L64" r:id="rId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40100A&amp;Dataset1_Reporte=3&amp;rs%3AParameterLanguage=" xr:uid="{4C08EAA1-A925-4E85-BE84-2CE0636F0A81}"/>
    <hyperlink ref="K65" r:id="rId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40100G&amp;rs%3AParameterLanguage=" xr:uid="{1EBCFD24-12BB-4C4F-B6AE-D5FFC5B765D5}"/>
    <hyperlink ref="L65" r:id="rId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40100G&amp;Dataset1_Reporte=3&amp;rs%3AParameterLanguage=" xr:uid="{45685A2A-EF6D-44EB-9DC3-163DDA251BBC}"/>
    <hyperlink ref="K67" r:id="rId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A&amp;rs%3AParameterLanguage=" xr:uid="{F318EB0F-FCA1-4A05-81E3-57BCD0FE1DB3}"/>
    <hyperlink ref="L67" r:id="rId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50100A&amp;Dataset1_Reporte=3&amp;rs%3AParameterLanguage=" xr:uid="{8362678C-1A39-41E7-BE40-318902927610}"/>
    <hyperlink ref="K68" r:id="rId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50100G&amp;rs%3AParameterLanguage=" xr:uid="{349A06E7-DD88-4BAC-80A0-3B729EACCAF1}"/>
    <hyperlink ref="L68" r:id="rId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50100G&amp;Dataset1_Reporte=3&amp;rs%3AParameterLanguage=" xr:uid="{2C5F42F3-A3A3-4101-AFA6-43D0E2145138}"/>
    <hyperlink ref="K70" r:id="rId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A&amp;rs%3AParameterLanguage=" xr:uid="{EB50C7D0-A67B-47D5-8990-0A42C0488502}"/>
    <hyperlink ref="L70" r:id="rId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010A&amp;Dataset1_Reporte=3&amp;rs%3AParameterLanguage=" xr:uid="{9FEA37BA-399E-44E4-9FA7-1CB9D8F74C68}"/>
    <hyperlink ref="K71" r:id="rId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5010G&amp;rs%3AParameterLanguage=" xr:uid="{93692B8E-A1F2-449A-861C-5565220F6C51}"/>
    <hyperlink ref="L71" r:id="rId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5010G&amp;Dataset1_Reporte=3&amp;rs%3AParameterLanguage=" xr:uid="{457395DD-6220-48E3-BB15-26732169E579}"/>
    <hyperlink ref="K73" r:id="rId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A&amp;rs%3AParameterLanguage=" xr:uid="{292AFE19-EACB-402D-ACE4-1C0F03FD171C}"/>
    <hyperlink ref="L73" r:id="rId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10100A&amp;Dataset1_Reporte=3&amp;rs%3AParameterLanguage=" xr:uid="{9011945C-01E8-474E-9EBF-C3657BA9F085}"/>
    <hyperlink ref="K74" r:id="rId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10100G&amp;rs%3AParameterLanguage=" xr:uid="{77DD1EEC-4397-48C5-A9B8-CC69ECEE97F7}"/>
    <hyperlink ref="L74" r:id="rId1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10100G&amp;Dataset1_Reporte=3&amp;rs%3AParameterLanguage=" xr:uid="{2790BB58-E8A9-4738-B297-B8504D0CF0FC}"/>
    <hyperlink ref="K76" r:id="rId1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A&amp;rs%3AParameterLanguage=" xr:uid="{5EC0E984-F09E-4EA4-9285-DC2E4B992738}"/>
    <hyperlink ref="L76" r:id="rId1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20100A&amp;Dataset1_Reporte=3&amp;rs%3AParameterLanguage=" xr:uid="{A947537B-41F1-4F78-A45D-98797EA23BEB}"/>
    <hyperlink ref="K77" r:id="rId1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20100G&amp;rs%3AParameterLanguage=" xr:uid="{7411BB11-9347-4EFA-97BE-7CEB9D0DB72E}"/>
    <hyperlink ref="L77" r:id="rId1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20100G&amp;Dataset1_Reporte=3&amp;rs%3AParameterLanguage=" xr:uid="{2AA8D69F-A206-4317-8335-F09EF93F3F8D}"/>
    <hyperlink ref="K79" r:id="rId1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A&amp;rs%3AParameterLanguage=" xr:uid="{D30D7D25-90A7-4D4D-B1EA-D7A54F5017D2}"/>
    <hyperlink ref="L79" r:id="rId1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30100A&amp;Dataset1_Reporte=3&amp;rs%3AParameterLanguage=" xr:uid="{76D51F8C-7570-412F-8BE6-D2D99BCB2D3A}"/>
    <hyperlink ref="K80" r:id="rId1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51-030100G&amp;rs%3AParameterLanguage=" xr:uid="{DEF7AF4C-C47B-4DD0-811A-4FE385FCF580}"/>
    <hyperlink ref="L80" r:id="rId1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51-030100G&amp;Dataset1_Reporte=3&amp;rs%3AParameterLanguage=" xr:uid="{022DBEF8-51C6-44CF-84E7-0A8450A3FDBA}"/>
    <hyperlink ref="K83" r:id="rId1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A&amp;rs%3AParameterLanguage=" xr:uid="{FB1ED5EA-579B-4C6E-8C59-507827C00BBE}"/>
    <hyperlink ref="L83" r:id="rId1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1200A&amp;Dataset1_Reporte=3&amp;rs%3AParameterLanguage=" xr:uid="{25569E24-7122-481C-B601-68FD3EFE32C6}"/>
    <hyperlink ref="K84" r:id="rId1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1200G&amp;rs%3AParameterLanguage=" xr:uid="{B8D2FF77-C0BC-4FF8-BA1B-041A8DE328AF}"/>
    <hyperlink ref="L84" r:id="rId1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1200G&amp;Dataset1_Reporte=3&amp;rs%3AParameterLanguage=" xr:uid="{4D66A983-35F3-4F1E-9187-CC2D4EE3F76D}"/>
    <hyperlink ref="K86" r:id="rId1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100A&amp;rs%3AParameterLanguage=" xr:uid="{4B4A7F4C-07C8-4049-A180-67C757DAE6C4}"/>
    <hyperlink ref="L86" r:id="rId1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100A&amp;Dataset1_Reporte=3&amp;rs%3AParameterLanguage=" xr:uid="{E1AEBB00-3D1D-4C47-BD45-4D693763232A}"/>
    <hyperlink ref="K87" r:id="rId1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A&amp;rs%3AParameterLanguage=" xr:uid="{86D5306A-4670-4D56-9D2B-76C6B5259834}"/>
    <hyperlink ref="L87" r:id="rId1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200A&amp;Dataset1_Reporte=3&amp;rs%3AParameterLanguage=" xr:uid="{987863DE-388F-497C-8B10-58D1F9822BFD}"/>
    <hyperlink ref="K88" r:id="rId1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2200G&amp;rs%3AParameterLanguage=" xr:uid="{6895D312-0DB5-4650-AFA6-36A876F359A4}"/>
    <hyperlink ref="L88" r:id="rId1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2200G&amp;Dataset1_Reporte=3&amp;rs%3AParameterLanguage=" xr:uid="{48EE6F52-EF0A-4865-9F78-717578904EA3}"/>
    <hyperlink ref="K89" r:id="rId1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A&amp;rs%3AParameterLanguage=" xr:uid="{1AA2B01C-0B56-4681-84A8-4641ECF34AF9}"/>
    <hyperlink ref="L89" r:id="rId1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3200A&amp;Dataset1_Reporte=3&amp;rs%3AParameterLanguage=" xr:uid="{DE567223-E1FD-4943-A3DE-77F40A2FCA00}"/>
    <hyperlink ref="K90" r:id="rId1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3200G&amp;rs%3AParameterLanguage=" xr:uid="{2D094F54-6C61-4B4E-8182-3352FCAABC53}"/>
    <hyperlink ref="L90" r:id="rId1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3200G&amp;Dataset1_Reporte=3&amp;rs%3AParameterLanguage=" xr:uid="{172AD24F-97DE-4D2F-9D32-6E7395A2D29B}"/>
    <hyperlink ref="K91" r:id="rId1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A&amp;rs%3AParameterLanguage=" xr:uid="{3C6256D5-1E4B-4E6F-97E6-9B1A2781D121}"/>
    <hyperlink ref="L91" r:id="rId1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4200A&amp;Dataset1_Reporte=3&amp;rs%3AParameterLanguage=" xr:uid="{DBDAA40A-F17A-4351-BC9C-62F822E04439}"/>
    <hyperlink ref="K92" r:id="rId1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4200G&amp;rs%3AParameterLanguage=" xr:uid="{4727080E-923F-42DD-9EFB-B4C58FA818AD}"/>
    <hyperlink ref="L92" r:id="rId1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4200G&amp;Dataset1_Reporte=3&amp;rs%3AParameterLanguage=" xr:uid="{C2FE2DE3-C1FD-4F63-BD1A-D2B52D8B5564}"/>
    <hyperlink ref="K93" r:id="rId1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A&amp;rs%3AParameterLanguage=" xr:uid="{83FF4A4C-E6BD-4DA3-A44A-1487B593F98A}"/>
    <hyperlink ref="L93" r:id="rId1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5200A&amp;Dataset1_Reporte=3&amp;rs%3AParameterLanguage=" xr:uid="{47982A0F-ED70-4719-9CE2-14C78BEA4D41}"/>
    <hyperlink ref="K94" r:id="rId1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5200G&amp;rs%3AParameterLanguage=" xr:uid="{F39CF961-14BD-4BB3-8A3B-695185310788}"/>
    <hyperlink ref="L94" r:id="rId1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5200G&amp;Dataset1_Reporte=3&amp;rs%3AParameterLanguage=" xr:uid="{09007DCA-EB0B-4109-B151-242689D9EC6B}"/>
    <hyperlink ref="K95" r:id="rId1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A&amp;rs%3AParameterLanguage=" xr:uid="{6660764C-741B-4186-AE02-E47E1327F0E4}"/>
    <hyperlink ref="L95" r:id="rId1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6200A&amp;Dataset1_Reporte=3&amp;rs%3AParameterLanguage=" xr:uid="{937EE043-805F-4C5C-BE00-3F32E646A245}"/>
    <hyperlink ref="K96" r:id="rId1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6200G&amp;rs%3AParameterLanguage=" xr:uid="{7DBFA78B-50D8-49BE-B0A6-A37EC439AE67}"/>
    <hyperlink ref="L96" r:id="rId1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6200G&amp;Dataset1_Reporte=3&amp;rs%3AParameterLanguage=" xr:uid="{0183496D-7AE7-401A-B1A8-BEBDB67C58A6}"/>
    <hyperlink ref="K97" r:id="rId1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A&amp;rs%3AParameterLanguage=" xr:uid="{048C4DC0-FFFE-46ED-9D04-D73B6E63722D}"/>
    <hyperlink ref="L97" r:id="rId1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7200A&amp;Dataset1_Reporte=3&amp;rs%3AParameterLanguage=" xr:uid="{4F8D64E7-74D8-438B-A313-8233F3103409}"/>
    <hyperlink ref="K98" r:id="rId1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07200G&amp;rs%3AParameterLanguage=" xr:uid="{166E2A6E-9053-41E1-B746-A9C0BCEE9BF9}"/>
    <hyperlink ref="L98" r:id="rId1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07200G&amp;Dataset1_Reporte=3&amp;rs%3AParameterLanguage=" xr:uid="{AC662109-8BE9-40F2-94A9-4FAC7041EF94}"/>
    <hyperlink ref="K99" r:id="rId1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A&amp;rs%3AParameterLanguage=" xr:uid="{98C93FC9-FE9D-46F6-B0C6-F7B3036CA379}"/>
    <hyperlink ref="L99" r:id="rId1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100A&amp;Dataset1_Reporte=3&amp;rs%3AParameterLanguage=" xr:uid="{05BD5F16-33E3-4670-83AE-ECD86A873DA0}"/>
    <hyperlink ref="K100" r:id="rId1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100G&amp;rs%3AParameterLanguage=" xr:uid="{03CBF1A4-665B-4E9A-9A46-1871B7164C39}"/>
    <hyperlink ref="L100" r:id="rId1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100G&amp;Dataset1_Reporte=3&amp;rs%3AParameterLanguage=" xr:uid="{5AE71946-2862-4F5C-A9D2-C131FC7DAB19}"/>
    <hyperlink ref="K101" r:id="rId1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A&amp;rs%3AParameterLanguage=" xr:uid="{C452DAE4-49AB-4718-9005-6C7CC57A3DBD}"/>
    <hyperlink ref="L101" r:id="rId1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200A&amp;Dataset1_Reporte=3&amp;rs%3AParameterLanguage=" xr:uid="{17EE576E-3CC6-44AA-9A45-1D37E1131C10}"/>
    <hyperlink ref="K102" r:id="rId1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199200G&amp;rs%3AParameterLanguage=" xr:uid="{0EA91AD6-2DA8-4BFA-8C20-A1AED466696E}"/>
    <hyperlink ref="L102" r:id="rId1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199200G&amp;Dataset1_Reporte=3&amp;rs%3AParameterLanguage=" xr:uid="{9505DB5E-A384-42FF-B799-6182FD43ECEF}"/>
    <hyperlink ref="K104" r:id="rId1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A&amp;rs%3AParameterLanguage=" xr:uid="{898DBA92-72C8-4306-8404-EA0863E4BF66}"/>
    <hyperlink ref="L104" r:id="rId1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0200A&amp;Dataset1_Reporte=3&amp;rs%3AParameterLanguage=" xr:uid="{7D7E56C1-AD78-4A05-A95B-849C77772521}"/>
    <hyperlink ref="K105" r:id="rId1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0200G&amp;rs%3AParameterLanguage=" xr:uid="{ED24E3D2-7CFF-49BE-BE10-1F0CA85BC537}"/>
    <hyperlink ref="L105" r:id="rId1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0200G&amp;Dataset1_Reporte=3&amp;rs%3AParameterLanguage=" xr:uid="{E9229A53-DDD6-4F47-BC7D-EDA7E20AE814}"/>
    <hyperlink ref="K106" r:id="rId1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A&amp;rs%3AParameterLanguage=" xr:uid="{5F29495E-4AC2-4577-B04E-036082B9B220}"/>
    <hyperlink ref="L106" r:id="rId1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99200A&amp;Dataset1_Reporte=3&amp;rs%3AParameterLanguage=" xr:uid="{ABB78E8D-1350-45B2-91A2-40D257749928}"/>
    <hyperlink ref="K107" r:id="rId1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99200G&amp;rs%3AParameterLanguage=" xr:uid="{D43B870F-EC37-4187-8863-33DB2FDB37B9}"/>
    <hyperlink ref="L107" r:id="rId1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99200G&amp;Dataset1_Reporte=3&amp;rs%3AParameterLanguage=" xr:uid="{27357AAD-4F7E-4AAE-AE73-F065868B473E}"/>
    <hyperlink ref="K109" r:id="rId1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A&amp;rs%3AParameterLanguage=" xr:uid="{1EB303C0-D3FB-4C30-B7E5-60C2E1344B78}"/>
    <hyperlink ref="L109" r:id="rId1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2200A&amp;Dataset1_Reporte=3&amp;rs%3AParameterLanguage=" xr:uid="{84448346-7A2F-49F1-845A-71F20944C916}"/>
    <hyperlink ref="K110" r:id="rId1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252200G&amp;rs%3AParameterLanguage=" xr:uid="{68B5CBD2-E872-4BB5-9C78-BF81578A03A3}"/>
    <hyperlink ref="L110" r:id="rId1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252200G&amp;Dataset1_Reporte=3&amp;rs%3AParameterLanguage=" xr:uid="{A09769F0-D9F9-4B52-BBF9-6EFE07B6396C}"/>
    <hyperlink ref="K112" r:id="rId1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A&amp;rs%3AParameterLanguage=" xr:uid="{BFC34469-2F06-4F5D-8FAA-6CA3380003AA}"/>
    <hyperlink ref="L112" r:id="rId1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397100A&amp;Dataset1_Reporte=3&amp;rs%3AParameterLanguage=" xr:uid="{F2B7816C-2D48-4A9F-9E9E-FCA3B3B2A466}"/>
    <hyperlink ref="K113" r:id="rId1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397100G&amp;rs%3AParameterLanguage=" xr:uid="{8D21CCA8-DEEE-4EE1-9044-DA46A18C8DAB}"/>
    <hyperlink ref="L113" r:id="rId1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397100G&amp;Dataset1_Reporte=3&amp;rs%3AParameterLanguage=" xr:uid="{24B4B172-9B78-4744-84C3-981DB1954EC7}"/>
    <hyperlink ref="K115" r:id="rId1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A&amp;rs%3AParameterLanguage=" xr:uid="{0621712C-5FD3-4F5D-B0AE-19CCBEA2C691}"/>
    <hyperlink ref="L115" r:id="rId1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495100A&amp;Dataset1_Reporte=3&amp;rs%3AParameterLanguage=" xr:uid="{C01E7C98-6503-4CFC-91F9-B0381F904763}"/>
    <hyperlink ref="K116" r:id="rId1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1-495100G&amp;rs%3AParameterLanguage=" xr:uid="{61DDF911-1E98-4D72-8462-48EB83EE0074}"/>
    <hyperlink ref="L116" r:id="rId1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1-495100G&amp;Dataset1_Reporte=3&amp;rs%3AParameterLanguage=" xr:uid="{580AECAD-F3E6-49C8-A488-58AD51136106}"/>
    <hyperlink ref="K118" r:id="rId1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1G&amp;rs%3AParameterLanguage=" xr:uid="{C609DBDD-17DC-4A50-A2D6-8964ECA36603}"/>
    <hyperlink ref="L118" r:id="rId1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20101G&amp;Dataset1_Reporte=3&amp;rs%3AParameterLanguage=" xr:uid="{ABA546BA-393B-47A8-B747-583D4321089A}"/>
    <hyperlink ref="K119" r:id="rId1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1-120102G&amp;rs%3AParameterLanguage=" xr:uid="{080A71C2-D057-4425-B705-E61A16975802}"/>
    <hyperlink ref="L119" r:id="rId1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1-120102G&amp;Dataset1_Reporte=3&amp;rs%3AParameterLanguage=" xr:uid="{DAAAD0A9-9AC3-4DFC-84DE-B932860930FE}"/>
    <hyperlink ref="K122" r:id="rId1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A&amp;rs%3AParameterLanguage=" xr:uid="{DACA7DFF-2470-4022-B03D-71D4108CC34B}"/>
    <hyperlink ref="L122" r:id="rId1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13300A&amp;Dataset1_Reporte=3&amp;rs%3AParameterLanguage=" xr:uid="{E39EE1FB-FC79-4CB9-B18B-8347696F8064}"/>
    <hyperlink ref="K123" r:id="rId1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13300G&amp;rs%3AParameterLanguage=" xr:uid="{FB96F822-8366-4438-8E59-A747E7464285}"/>
    <hyperlink ref="L123" r:id="rId1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13300G&amp;Dataset1_Reporte=3&amp;rs%3AParameterLanguage=" xr:uid="{3B78EE4A-AF49-43BD-A93D-A674D81044D1}"/>
    <hyperlink ref="K125" r:id="rId1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A&amp;rs%3AParameterLanguage=" xr:uid="{52FC7421-8F6C-41BC-A647-14D4BF5EBDDF}"/>
    <hyperlink ref="L125" r:id="rId1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3900A&amp;Dataset1_Reporte=3&amp;rs%3AParameterLanguage=" xr:uid="{6BBDECD9-BC7A-4234-8F19-39D460282D70}"/>
    <hyperlink ref="K126" r:id="rId1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3900G&amp;rs%3AParameterLanguage=" xr:uid="{31F0413E-9F70-45CE-AED3-27A934AAD783}"/>
    <hyperlink ref="L126" r:id="rId1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3900G&amp;Dataset1_Reporte=3&amp;rs%3AParameterLanguage=" xr:uid="{E366DA66-97E4-4F0A-9B6F-EDBF671F0026}"/>
    <hyperlink ref="K127" r:id="rId1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A&amp;rs%3AParameterLanguage=" xr:uid="{15E21E69-9A55-454C-93AC-00ED631F246B}"/>
    <hyperlink ref="L127" r:id="rId1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000A&amp;Dataset1_Reporte=3&amp;rs%3AParameterLanguage=" xr:uid="{134C71B3-1BA3-46A1-8CB3-DD0D1522AAD3}"/>
    <hyperlink ref="K128" r:id="rId1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000G&amp;rs%3AParameterLanguage=" xr:uid="{35A7E0DA-8C4D-4118-A455-796A1242598E}"/>
    <hyperlink ref="L128" r:id="rId1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000G&amp;Dataset1_Reporte=3&amp;rs%3AParameterLanguage=" xr:uid="{F17B066F-30D1-4F1C-8856-F0116668DB24}"/>
    <hyperlink ref="K129" r:id="rId1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A&amp;rs%3AParameterLanguage=" xr:uid="{B1ECADE1-CDB2-42D4-A930-BCF9815EC154}"/>
    <hyperlink ref="L129" r:id="rId1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300A&amp;Dataset1_Reporte=3&amp;rs%3AParameterLanguage=" xr:uid="{94969642-E1B4-48B7-8E8A-A57D19646AE2}"/>
    <hyperlink ref="K130" r:id="rId1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4300G&amp;rs%3AParameterLanguage=" xr:uid="{0FCF12B4-937E-4311-AB89-07C7BE14F882}"/>
    <hyperlink ref="L130" r:id="rId1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4300G&amp;Dataset1_Reporte=3&amp;rs%3AParameterLanguage=" xr:uid="{D55E0A15-B0BD-48E8-BC4D-90DA50004FFF}"/>
    <hyperlink ref="K131" r:id="rId1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A&amp;rs%3AParameterLanguage=" xr:uid="{DEF16EF2-7B50-475B-B1A0-3099B9418851}"/>
    <hyperlink ref="L131" r:id="rId1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9900A&amp;Dataset1_Reporte=3&amp;rs%3AParameterLanguage=" xr:uid="{FE6F8F8B-62A7-4F2E-9B24-A79E11476DC1}"/>
    <hyperlink ref="K132" r:id="rId1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39900G&amp;rs%3AParameterLanguage=" xr:uid="{51FFE314-70C3-465A-8DFC-85CAAC71B80F}"/>
    <hyperlink ref="L132" r:id="rId1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39900G&amp;Dataset1_Reporte=3&amp;rs%3AParameterLanguage=" xr:uid="{57DA5692-6AF3-4D44-8422-B9900DFA9D8C}"/>
    <hyperlink ref="K134" r:id="rId1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A&amp;rs%3AParameterLanguage=" xr:uid="{7612F442-4143-412E-B846-A7537A9B55C6}"/>
    <hyperlink ref="L134" r:id="rId1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4600A&amp;Dataset1_Reporte=3&amp;rs%3AParameterLanguage=" xr:uid="{533047CF-690F-4455-BDCC-A444F1AAA265}"/>
    <hyperlink ref="K135" r:id="rId1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4600G&amp;rs%3AParameterLanguage=" xr:uid="{FF25176F-0E12-495F-BF99-786FA97BE327}"/>
    <hyperlink ref="L135" r:id="rId1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4600G&amp;Dataset1_Reporte=3&amp;rs%3AParameterLanguage=" xr:uid="{9226C307-E372-4F8F-ABA0-8F7B0CD44E0C}"/>
    <hyperlink ref="K136" r:id="rId1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A&amp;rs%3AParameterLanguage=" xr:uid="{1B53E21C-DE76-457A-B293-C8D0BAA3E823}"/>
    <hyperlink ref="L136" r:id="rId1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5100A&amp;Dataset1_Reporte=3&amp;rs%3AParameterLanguage=" xr:uid="{FEC7423E-A00B-436D-A024-647A3CB73AAC}"/>
    <hyperlink ref="K137" r:id="rId1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45100G&amp;rs%3AParameterLanguage=" xr:uid="{B7B2181D-DD76-443F-876B-1E3A87C5ACF6}"/>
    <hyperlink ref="L137" r:id="rId1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45100G&amp;Dataset1_Reporte=3&amp;rs%3AParameterLanguage=" xr:uid="{A37F89A3-4CF5-4BE1-9BB8-3DCD5B207723}"/>
    <hyperlink ref="K139" r:id="rId1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A&amp;rs%3AParameterLanguage=" xr:uid="{50430653-3D28-4F30-8872-D99EDDA8D01A}"/>
    <hyperlink ref="L139" r:id="rId2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300A&amp;Dataset1_Reporte=3&amp;rs%3AParameterLanguage=" xr:uid="{5D4043B9-6859-4752-B758-769704B14BC8}"/>
    <hyperlink ref="K140" r:id="rId2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300G&amp;rs%3AParameterLanguage=" xr:uid="{2DD62633-2845-4B0A-90D2-B9153F6A0093}"/>
    <hyperlink ref="L140" r:id="rId2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300G&amp;Dataset1_Reporte=3&amp;rs%3AParameterLanguage=" xr:uid="{AFD997D6-6689-4036-AC9B-778A009D4507}"/>
    <hyperlink ref="K141" r:id="rId2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A&amp;rs%3AParameterLanguage=" xr:uid="{7D43BCB2-7730-483E-8BA5-C2F4E920A6B3}"/>
    <hyperlink ref="L141" r:id="rId2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400A&amp;Dataset1_Reporte=3&amp;rs%3AParameterLanguage=" xr:uid="{C5693AA4-8A78-43FD-B797-637D76DBBD01}"/>
    <hyperlink ref="K142" r:id="rId2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400G&amp;rs%3AParameterLanguage=" xr:uid="{D414380F-1235-42F8-9216-348426179C28}"/>
    <hyperlink ref="L142" r:id="rId2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400G&amp;Dataset1_Reporte=3&amp;rs%3AParameterLanguage=" xr:uid="{8BCBC41B-F6E6-4767-A164-E1D792BC120A}"/>
    <hyperlink ref="K143" r:id="rId2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A&amp;rs%3AParameterLanguage=" xr:uid="{D49BE1BE-FDBB-4798-BE93-76D769F8B85E}"/>
    <hyperlink ref="L143" r:id="rId2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500A&amp;Dataset1_Reporte=3&amp;rs%3AParameterLanguage=" xr:uid="{EBBF13BD-EE0D-4D33-96F0-8D5B101E488B}"/>
    <hyperlink ref="K144" r:id="rId2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5500G&amp;rs%3AParameterLanguage=" xr:uid="{C1C55F76-BAF2-4001-95D1-2359240D972A}"/>
    <hyperlink ref="L144" r:id="rId2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5500G&amp;Dataset1_Reporte=3&amp;rs%3AParameterLanguage=" xr:uid="{334AC659-FFC7-472E-B2AD-59526DE0D21A}"/>
    <hyperlink ref="K145" r:id="rId2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A&amp;rs%3AParameterLanguage=" xr:uid="{D898D6EF-5D1F-4591-801D-8A132CAB1F61}"/>
    <hyperlink ref="L145" r:id="rId2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9900A&amp;Dataset1_Reporte=3&amp;rs%3AParameterLanguage=" xr:uid="{99186B92-A616-4EB1-BBC8-9516951FCF11}"/>
    <hyperlink ref="K146" r:id="rId2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59900G&amp;rs%3AParameterLanguage=" xr:uid="{ECC94BC9-A7D5-42A6-9CDC-9FCBAA366209}"/>
    <hyperlink ref="L146" r:id="rId2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59900G&amp;Dataset1_Reporte=3&amp;rs%3AParameterLanguage=" xr:uid="{61267779-F47A-4F47-96FC-D5F4C8257A98}"/>
    <hyperlink ref="K147" r:id="rId2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A&amp;rs%3AParameterLanguage=" xr:uid="{B4C46506-F358-464F-970B-E3EF0546EE16}"/>
    <hyperlink ref="L147" r:id="rId2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700A&amp;Dataset1_Reporte=3&amp;rs%3AParameterLanguage=" xr:uid="{F536B69A-AA28-49BD-AECD-6F44C99E7B6A}"/>
    <hyperlink ref="K148" r:id="rId2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700G&amp;rs%3AParameterLanguage=" xr:uid="{203263CF-F98C-4E49-A2DA-07A0F7D63995}"/>
    <hyperlink ref="L148" r:id="rId2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700G&amp;Dataset1_Reporte=3&amp;rs%3AParameterLanguage=" xr:uid="{2D2DF9F8-F488-461B-AC24-E4CC65E2BE23}"/>
    <hyperlink ref="K149" r:id="rId2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A&amp;rs%3AParameterLanguage=" xr:uid="{DA7DBA87-E4DB-49EE-8A42-DBDCD26D7DCA}"/>
    <hyperlink ref="L149" r:id="rId2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800A&amp;Dataset1_Reporte=3&amp;rs%3AParameterLanguage=" xr:uid="{9E7C5D7A-C1A9-46BF-9A33-46CAF8623855}"/>
    <hyperlink ref="K150" r:id="rId2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65800G&amp;rs%3AParameterLanguage=" xr:uid="{9905222B-5EE1-4059-9E9B-A0B55F66F650}"/>
    <hyperlink ref="L150" r:id="rId2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65800G&amp;Dataset1_Reporte=3&amp;rs%3AParameterLanguage=" xr:uid="{8C35E5A3-BB73-4BE3-A8D7-F7AFD6AC9353}"/>
    <hyperlink ref="K152" r:id="rId2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A&amp;rs%3AParameterLanguage=" xr:uid="{EDA5CCFD-CF1F-414C-A859-708CD1F365A0}"/>
    <hyperlink ref="L152" r:id="rId2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70800A&amp;Dataset1_Reporte=3&amp;rs%3AParameterLanguage=" xr:uid="{95B5E4C7-4EC3-420B-B437-107B667138B7}"/>
    <hyperlink ref="K153" r:id="rId2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70800G&amp;rs%3AParameterLanguage=" xr:uid="{839DB555-1587-42A8-B839-14A908A0F610}"/>
    <hyperlink ref="L153" r:id="rId2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70800G&amp;Dataset1_Reporte=3&amp;rs%3AParameterLanguage=" xr:uid="{B453D232-ECD0-4F28-9C5E-19225D994125}"/>
    <hyperlink ref="K155" r:id="rId2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A&amp;rs%3AParameterLanguage=" xr:uid="{135EC2CC-3455-4041-9AB4-2ED205FDD2B0}"/>
    <hyperlink ref="L155" r:id="rId2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84600A&amp;Dataset1_Reporte=3&amp;rs%3AParameterLanguage=" xr:uid="{65275698-B601-42CD-A740-85A167FF7916}"/>
    <hyperlink ref="K156" r:id="rId2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31-084600G&amp;rs%3AParameterLanguage=" xr:uid="{8CE0EA9F-D5F5-49BC-A240-91EC8D108029}"/>
    <hyperlink ref="L156" r:id="rId2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31-084600G&amp;Dataset1_Reporte=3&amp;rs%3AParameterLanguage=" xr:uid="{2DEFFDBE-C68D-4AD3-B571-6AC07C26BD7D}"/>
    <hyperlink ref="K160" r:id="rId2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10100G&amp;rs%3AParameterLanguage=" xr:uid="{DE685CB7-CC5F-4F1F-A8CD-CB3458D9CE2F}"/>
    <hyperlink ref="L160" r:id="rId2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10100G&amp;Dataset1_Reporte=3&amp;rs%3AParameterLanguage=" xr:uid="{A40BC4E5-F4D0-42B9-A627-871031FBF00F}"/>
    <hyperlink ref="K161" r:id="rId2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100G&amp;rs%3AParameterLanguage=" xr:uid="{F9F646DF-FD23-46C6-A939-871FD1503E44}"/>
    <hyperlink ref="L161" r:id="rId2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600100G&amp;Dataset1_Reporte=3&amp;rs%3AParameterLanguage=" xr:uid="{2B181CE0-3BB0-4C75-BEC6-1A644C85FE37}"/>
    <hyperlink ref="K162" r:id="rId2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600200G&amp;rs%3AParameterLanguage=" xr:uid="{473F0F84-850F-4C9F-944B-C408503C294E}"/>
    <hyperlink ref="L162" r:id="rId2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600200G&amp;Dataset1_Reporte=3&amp;rs%3AParameterLanguage=" xr:uid="{F4469961-C768-4B49-99EA-D00E0F74C3E5}"/>
    <hyperlink ref="K164" r:id="rId2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20100G&amp;rs%3AParameterLanguage=" xr:uid="{BB2FBE9D-327B-4D9F-8EAB-309DD6C8C56D}"/>
    <hyperlink ref="L164" r:id="rId2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20100G&amp;Dataset1_Reporte=3&amp;rs%3AParameterLanguage=" xr:uid="{5BD513A0-C56C-4804-9CC4-15A43F2665E2}"/>
    <hyperlink ref="K166" r:id="rId2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30100G&amp;rs%3AParameterLanguage=" xr:uid="{915F0589-5639-4586-A9C8-AE134411F368}"/>
    <hyperlink ref="L166" r:id="rId2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30100G&amp;Dataset1_Reporte=3&amp;rs%3AParameterLanguage=" xr:uid="{0268288A-1FE1-4048-B7BD-257BE1BBE19B}"/>
    <hyperlink ref="K168" r:id="rId2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40100G&amp;rs%3AParameterLanguage=" xr:uid="{DC958753-5E6D-4507-81A7-3C1454EA9317}"/>
    <hyperlink ref="L168" r:id="rId2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40100G&amp;Dataset1_Reporte=3&amp;rs%3AParameterLanguage=" xr:uid="{DCD35FC4-4A68-453C-8374-F7F4C0F09077}"/>
    <hyperlink ref="K170" r:id="rId2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50100G&amp;rs%3AParameterLanguage=" xr:uid="{F9A1F691-5800-4B58-84CF-18E8B177D770}"/>
    <hyperlink ref="L170" r:id="rId2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50100G&amp;Dataset1_Reporte=3&amp;rs%3AParameterLanguage=" xr:uid="{DBF4C415-E1F5-4C72-8AA8-A672D43C734B}"/>
    <hyperlink ref="K172" r:id="rId2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60100G&amp;rs%3AParameterLanguage=" xr:uid="{F7518615-83E6-4357-AA9E-6EC05F90F83E}"/>
    <hyperlink ref="L172" r:id="rId2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60100G&amp;Dataset1_Reporte=3&amp;rs%3AParameterLanguage=" xr:uid="{93878740-D6DC-4065-A0D2-8D78149420DB}"/>
    <hyperlink ref="K174" r:id="rId2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70100G&amp;rs%3AParameterLanguage=" xr:uid="{9F959341-A443-4FDB-B28D-484AC41C9178}"/>
    <hyperlink ref="L174" r:id="rId2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70100G&amp;Dataset1_Reporte=3&amp;rs%3AParameterLanguage=" xr:uid="{D7A02723-3F04-42B3-ACCD-0CF4CAEE48EB}"/>
    <hyperlink ref="K175" r:id="rId2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999999G&amp;rs%3AParameterLanguage=" xr:uid="{D5BE6B97-33F3-4181-8D80-1BDCC2F2A84C}"/>
    <hyperlink ref="L175" r:id="rId2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999999G&amp;Dataset1_Reporte=3&amp;rs%3AParameterLanguage=" xr:uid="{CB71FE58-E854-44C8-A2CD-BF83B31DEC97}"/>
    <hyperlink ref="K177" r:id="rId2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90200G&amp;rs%3AParameterLanguage=" xr:uid="{BF8477F8-2FC1-49C8-8E18-C26FF93BD88C}"/>
    <hyperlink ref="L177" r:id="rId2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90200G&amp;Dataset1_Reporte=3&amp;rs%3AParameterLanguage=" xr:uid="{1377071C-5B23-4433-B931-31151DF4EE09}"/>
    <hyperlink ref="K179" r:id="rId2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A&amp;rs%3AParameterLanguage=" xr:uid="{C81C6E51-8A6B-49E1-BA19-76DC29730BA2}"/>
    <hyperlink ref="L179" r:id="rId2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100A&amp;Dataset1_Reporte=3&amp;rs%3AParameterLanguage=" xr:uid="{B58D348D-0408-41E5-B84E-C905E668040A}"/>
    <hyperlink ref="K181" r:id="rId2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A&amp;rs%3AParameterLanguage=" xr:uid="{3908CF26-F21B-45E0-BABB-B3842F345618}"/>
    <hyperlink ref="L181" r:id="rId2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400A&amp;Dataset1_Reporte=3&amp;rs%3AParameterLanguage=" xr:uid="{CE7CAEDD-5834-4A40-998A-30702E44C570}"/>
    <hyperlink ref="K184" r:id="rId2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A&amp;rs%3AParameterLanguage=" xr:uid="{190CF1C1-FCEE-4E4E-95E9-E8B53AEC9B85}"/>
    <hyperlink ref="L184" r:id="rId2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3200A&amp;Dataset1_Reporte=3&amp;rs%3AParameterLanguage=" xr:uid="{C9C9C533-3323-4EB8-8E66-6A22FF88B4E1}"/>
    <hyperlink ref="K185" r:id="rId2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3200G&amp;rs%3AParameterLanguage=" xr:uid="{34B0F87C-6B10-4DA7-9AA3-8A922FA6A4EF}"/>
    <hyperlink ref="L185" r:id="rId2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3200G&amp;Dataset1_Reporte=3&amp;rs%3AParameterLanguage=" xr:uid="{7EC02D9A-D0F6-4A64-A56E-F7C1C1DDA26F}"/>
    <hyperlink ref="K187" r:id="rId2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A&amp;rs%3AParameterLanguage=" xr:uid="{B0683B1B-12EA-42D8-B2F7-DDF91EDE23CB}"/>
    <hyperlink ref="L187" r:id="rId2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100A&amp;Dataset1_Reporte=3&amp;rs%3AParameterLanguage=" xr:uid="{DAF07436-662A-4142-B5E0-EC00E47B2249}"/>
    <hyperlink ref="K188" r:id="rId2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100G&amp;rs%3AParameterLanguage=" xr:uid="{3ABF29B2-FF67-41BE-8F67-D111EFA5789D}"/>
    <hyperlink ref="L188" r:id="rId2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100G&amp;Dataset1_Reporte=3&amp;rs%3AParameterLanguage=" xr:uid="{A57544EC-C14A-4943-9377-5C253BD1D6F5}"/>
    <hyperlink ref="K189" r:id="rId2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A&amp;rs%3AParameterLanguage=" xr:uid="{F136C379-2A09-46A7-A31A-4DB066822395}"/>
    <hyperlink ref="L189" r:id="rId2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200A&amp;Dataset1_Reporte=3&amp;rs%3AParameterLanguage=" xr:uid="{0A9B335E-D476-4DB0-B2BF-91B364369306}"/>
    <hyperlink ref="K190" r:id="rId2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42-254200G&amp;rs%3AParameterLanguage=" xr:uid="{F07A4BBE-B4C3-49F1-9049-2400EFCFFB9D}"/>
    <hyperlink ref="L190" r:id="rId2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42-254200G&amp;Dataset1_Reporte=3&amp;rs%3AParameterLanguage=" xr:uid="{EC327285-5B7B-4411-BF07-3E1CBA14F29E}"/>
    <hyperlink ref="K192" r:id="rId2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100G&amp;rs%3AParameterLanguage=" xr:uid="{3F3B39B7-8671-481A-BC25-5D0D7E08A7EC}"/>
    <hyperlink ref="L192" r:id="rId2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100G&amp;Dataset1_Reporte=3&amp;rs%3AParameterLanguage=" xr:uid="{4C030DE2-AFB6-4F63-B3AC-24761B13EEBD}"/>
    <hyperlink ref="K195" r:id="rId2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A&amp;rs%3AParameterLanguage=" xr:uid="{BDCB8737-8B65-4D83-8FEC-59863F309DDE}"/>
    <hyperlink ref="L195" r:id="rId2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70100A&amp;Dataset1_Reporte=3&amp;rs%3AParameterLanguage=" xr:uid="{C17F7E1C-5323-4E63-B7EF-98198D61538F}"/>
    <hyperlink ref="K196" r:id="rId2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70100G&amp;rs%3AParameterLanguage=" xr:uid="{DB44A0B7-E560-46FE-BD63-8334090944CE}"/>
    <hyperlink ref="L196" r:id="rId2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70100G&amp;Dataset1_Reporte=3&amp;rs%3AParameterLanguage=" xr:uid="{1AFF82BE-CB29-4B3D-83B1-F0A4D0FAA633}"/>
    <hyperlink ref="K198" r:id="rId2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A&amp;rs%3AParameterLanguage=" xr:uid="{B98C24A4-B350-4643-A48B-0B7A8762486D}"/>
    <hyperlink ref="L198" r:id="rId27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30100A&amp;Dataset1_Reporte=3&amp;rs%3AParameterLanguage=" xr:uid="{AAB8A2BA-FDF2-4DA8-9FC7-A7052A398E71}"/>
    <hyperlink ref="K199" r:id="rId27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30100G&amp;rs%3AParameterLanguage=" xr:uid="{CD5C11A6-F517-4ECF-8519-0F126053BBD8}"/>
    <hyperlink ref="L199" r:id="rId27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30100G&amp;Dataset1_Reporte=3&amp;rs%3AParameterLanguage=" xr:uid="{95ED19D9-B5B0-44AF-8E3F-CA4CFFE7B66D}"/>
    <hyperlink ref="K200" r:id="rId27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A&amp;rs%3AParameterLanguage=" xr:uid="{8CFCF006-B581-42BD-87F1-ABA3AAC05BFF}"/>
    <hyperlink ref="L200" r:id="rId280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40100A&amp;Dataset1_Reporte=3&amp;rs%3AParameterLanguage=" xr:uid="{DEAE2EC4-0717-4276-A874-FE6E2ABE0D31}"/>
    <hyperlink ref="K201" r:id="rId28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40100G&amp;rs%3AParameterLanguage=" xr:uid="{50C1D19E-AE09-4714-A998-8B9F1B226016}"/>
    <hyperlink ref="L201" r:id="rId28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40100G&amp;Dataset1_Reporte=3&amp;rs%3AParameterLanguage=" xr:uid="{235B3B18-CDBD-47B0-9035-2D66C1AC66AF}"/>
    <hyperlink ref="K203" r:id="rId28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A&amp;rs%3AParameterLanguage=" xr:uid="{6FF6D384-D853-4CB0-9AF6-3CBEA48F7EF2}"/>
    <hyperlink ref="L203" r:id="rId28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90100A&amp;Dataset1_Reporte=3&amp;rs%3AParameterLanguage=" xr:uid="{E376FEDE-6D6C-4C5A-857F-368D4E3688CA}"/>
    <hyperlink ref="K204" r:id="rId28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90100G&amp;rs%3AParameterLanguage=" xr:uid="{D97DA5F6-3685-4676-9288-4DC14A4AB9C0}"/>
    <hyperlink ref="L204" r:id="rId28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90100G&amp;Dataset1_Reporte=3&amp;rs%3AParameterLanguage=" xr:uid="{DD341E5C-6EF8-49D2-AFA1-334C4052BC91}"/>
    <hyperlink ref="K206" r:id="rId28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A&amp;rs%3AParameterLanguage=" xr:uid="{55CF64AF-2E26-46C4-815A-1EA25DA9C6EE}"/>
    <hyperlink ref="L206" r:id="rId28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100100A&amp;Dataset1_Reporte=3&amp;rs%3AParameterLanguage=" xr:uid="{CFA64C78-228C-48EE-B938-1A73834C0DB4}"/>
    <hyperlink ref="K207" r:id="rId28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100100G&amp;rs%3AParameterLanguage=" xr:uid="{680C77A7-CE60-4E1B-8A85-E10368C68AC8}"/>
    <hyperlink ref="L207" r:id="rId290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100100G&amp;Dataset1_Reporte=3&amp;rs%3AParameterLanguage=" xr:uid="{7BED67DE-CE4B-484A-9D7B-D8F3B90D4B26}"/>
    <hyperlink ref="K209" r:id="rId29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A&amp;rs%3AParameterLanguage=" xr:uid="{3D576CE9-85F4-4F08-A19E-3C46041A694A}"/>
    <hyperlink ref="L209" r:id="rId292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10100A&amp;Dataset1_Reporte=3&amp;rs%3AParameterLanguage=" xr:uid="{17D46AE3-C08C-4ED4-A7DE-D1221AF85D7B}"/>
    <hyperlink ref="K210" r:id="rId29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10100G&amp;rs%3AParameterLanguage=" xr:uid="{199ECDC2-DE58-43C7-8A3D-AB7B523DB21D}"/>
    <hyperlink ref="L210" r:id="rId294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10100G&amp;Dataset1_Reporte=3&amp;rs%3AParameterLanguage=" xr:uid="{1F56CFB9-142F-4799-98CC-5FF790A2E469}"/>
    <hyperlink ref="K212" r:id="rId29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A&amp;rs%3AParameterLanguage=" xr:uid="{54A182B8-FEC9-4C7A-BDED-E1097F7F1A66}"/>
    <hyperlink ref="L212" r:id="rId296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20100A&amp;Dataset1_Reporte=3&amp;rs%3AParameterLanguage=" xr:uid="{59733E28-F11D-47B2-9B5A-5379B4F10F09}"/>
    <hyperlink ref="K213" r:id="rId29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62-020100G&amp;rs%3AParameterLanguage=" xr:uid="{CA325878-6849-4874-9991-256C8E38284B}"/>
    <hyperlink ref="L213" r:id="rId298" display="http://eiax-bi/ReportServer?%2FDynamicsAX%2FEIMI_SCP03_Detalles_Report.PrecisionDesign3PedidosNoRecibidos&amp;Dataset1_FechaInicio=01%2F01%2F2010%2000%3A00%3A00&amp;Dataset1_FechaTermino=08%2F31%2F2019%2000%3A00%3A00&amp;Dataset1_Proyecto=0357&amp;Dataset1_Categoria=62-020100G&amp;Dataset1_Reporte=3&amp;rs%3AParameterLanguage=" xr:uid="{8CEB2544-2450-4B86-BACC-ECD42860A0CD}"/>
    <hyperlink ref="K216" r:id="rId29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A&amp;rs%3AParameterLanguage=" xr:uid="{AEF672BC-CC0B-46AC-AEE7-C5897318C6B6}"/>
    <hyperlink ref="L216" r:id="rId30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7010A&amp;Dataset1_Reporte=3&amp;rs%3AParameterLanguage=" xr:uid="{48519E95-A28A-4D4B-BF5B-89EA9105CB22}"/>
    <hyperlink ref="K217" r:id="rId30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7010G&amp;rs%3AParameterLanguage=" xr:uid="{F94FAB36-5626-4D97-B124-FF87EC296F60}"/>
    <hyperlink ref="L217" r:id="rId30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7010G&amp;Dataset1_Reporte=3&amp;rs%3AParameterLanguage=" xr:uid="{C72C5784-DFED-4626-8766-BFC1FB08F68B}"/>
    <hyperlink ref="K219" r:id="rId30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A&amp;rs%3AParameterLanguage=" xr:uid="{24A9EDD4-4FE3-40E7-A8CE-30FE1E5749B7}"/>
    <hyperlink ref="L219" r:id="rId30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10A&amp;Dataset1_Reporte=3&amp;rs%3AParameterLanguage=" xr:uid="{5189D3E5-13E9-4BDD-B33F-A0700F13AD42}"/>
    <hyperlink ref="K220" r:id="rId30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10G&amp;rs%3AParameterLanguage=" xr:uid="{AEC71745-0AA9-48BE-AA6A-84D6CFC16554}"/>
    <hyperlink ref="L220" r:id="rId30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10G&amp;Dataset1_Reporte=3&amp;rs%3AParameterLanguage=" xr:uid="{9A3B12FB-F4EE-449D-9312-7B8FCF680BD1}"/>
    <hyperlink ref="K221" r:id="rId30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A&amp;rs%3AParameterLanguage=" xr:uid="{B728C91B-9637-4048-ADFC-DD32D256ED94}"/>
    <hyperlink ref="L221" r:id="rId30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20A&amp;Dataset1_Reporte=3&amp;rs%3AParameterLanguage=" xr:uid="{D3A07984-6854-457F-8402-1594501346B6}"/>
    <hyperlink ref="K222" r:id="rId30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20G&amp;rs%3AParameterLanguage=" xr:uid="{1F06CABB-C560-4458-BEB4-731F0ECA9268}"/>
    <hyperlink ref="L222" r:id="rId31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20G&amp;Dataset1_Reporte=3&amp;rs%3AParameterLanguage=" xr:uid="{24B0C814-2413-4E2A-B6CC-5DCF645C28FB}"/>
    <hyperlink ref="K223" r:id="rId31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A&amp;rs%3AParameterLanguage=" xr:uid="{991DBF36-5778-479A-B207-AA03DDCEDB76}"/>
    <hyperlink ref="L223" r:id="rId31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30A&amp;Dataset1_Reporte=3&amp;rs%3AParameterLanguage=" xr:uid="{F5981E31-3E75-4104-87C7-9C616A6DA5ED}"/>
    <hyperlink ref="K224" r:id="rId31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030G&amp;rs%3AParameterLanguage=" xr:uid="{C38F6BE7-144C-4A5B-BB0D-3B682F0767EA}"/>
    <hyperlink ref="L224" r:id="rId31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030G&amp;Dataset1_Reporte=3&amp;rs%3AParameterLanguage=" xr:uid="{20DEEBFC-94CB-4F43-BE1D-8DA6E6B40CC0}"/>
    <hyperlink ref="K225" r:id="rId31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A&amp;rs%3AParameterLanguage=" xr:uid="{66C78B79-9037-4AAD-AA83-7E577073D82D}"/>
    <hyperlink ref="L225" r:id="rId31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990A&amp;Dataset1_Reporte=3&amp;rs%3AParameterLanguage=" xr:uid="{02F02897-B130-4358-9A4F-57854A06B4CB}"/>
    <hyperlink ref="K226" r:id="rId31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3990G&amp;rs%3AParameterLanguage=" xr:uid="{161691D4-3AED-4E67-BEC3-5477A8A65420}"/>
    <hyperlink ref="L226" r:id="rId31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3990G&amp;Dataset1_Reporte=3&amp;rs%3AParameterLanguage=" xr:uid="{1EBCA759-4DAE-48AF-9686-6EA7FD69DA83}"/>
    <hyperlink ref="K227" r:id="rId31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A&amp;rs%3AParameterLanguage=" xr:uid="{975D07D9-59C1-4D6A-93B8-C6C49DCDDECC}"/>
    <hyperlink ref="L227" r:id="rId32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99010A&amp;Dataset1_Reporte=3&amp;rs%3AParameterLanguage=" xr:uid="{F613059D-519C-4425-8309-F959E5DCF1B9}"/>
    <hyperlink ref="K228" r:id="rId32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99010G&amp;rs%3AParameterLanguage=" xr:uid="{A44FAA33-6AFE-4492-BA8D-815EE111C8D5}"/>
    <hyperlink ref="L228" r:id="rId32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99010G&amp;Dataset1_Reporte=3&amp;rs%3AParameterLanguage=" xr:uid="{0A123D77-E043-46FA-8DAF-405C2D2AEFE4}"/>
    <hyperlink ref="K230" r:id="rId32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A&amp;rs%3AParameterLanguage=" xr:uid="{0E644F8A-1EDF-4EDE-A6B8-4389D0C9AED5}"/>
    <hyperlink ref="L230" r:id="rId32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10A&amp;Dataset1_Reporte=3&amp;rs%3AParameterLanguage=" xr:uid="{96CC910D-37D5-46EE-B05E-A61878B0C396}"/>
    <hyperlink ref="K231" r:id="rId32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10G&amp;rs%3AParameterLanguage=" xr:uid="{F4A8CD5D-51E5-4B43-B2B9-330671938C05}"/>
    <hyperlink ref="L231" r:id="rId32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10G&amp;Dataset1_Reporte=3&amp;rs%3AParameterLanguage=" xr:uid="{3DB0F08F-0661-418A-895E-5B5BA9880865}"/>
    <hyperlink ref="K232" r:id="rId32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A&amp;rs%3AParameterLanguage=" xr:uid="{4703EB0C-3F94-4E1D-A49B-7D2C177F3A42}"/>
    <hyperlink ref="L232" r:id="rId32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20A&amp;Dataset1_Reporte=3&amp;rs%3AParameterLanguage=" xr:uid="{55825C29-33B7-40D8-8B76-912E9662A332}"/>
    <hyperlink ref="K233" r:id="rId32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20G&amp;rs%3AParameterLanguage=" xr:uid="{0BE5812B-2F47-44CF-84FA-F678DCD1F459}"/>
    <hyperlink ref="L233" r:id="rId33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20G&amp;Dataset1_Reporte=3&amp;rs%3AParameterLanguage=" xr:uid="{C3E3D12E-4422-49B4-966A-65B4ACFF0C77}"/>
    <hyperlink ref="K234" r:id="rId33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A&amp;rs%3AParameterLanguage=" xr:uid="{0FA3DEE8-6C20-48E9-91EE-ABD252C6B178}"/>
    <hyperlink ref="L234" r:id="rId33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40A&amp;Dataset1_Reporte=3&amp;rs%3AParameterLanguage=" xr:uid="{5E65D5F3-4A12-4BAB-AA18-C47698E362AD}"/>
    <hyperlink ref="K235" r:id="rId33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40G&amp;rs%3AParameterLanguage=" xr:uid="{12819999-FD1E-42FA-A3D9-B739C74C8EC4}"/>
    <hyperlink ref="L235" r:id="rId33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40G&amp;Dataset1_Reporte=3&amp;rs%3AParameterLanguage=" xr:uid="{E020CEDC-84DB-4D26-ADE4-18C78F72C623}"/>
    <hyperlink ref="K236" r:id="rId33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2050A&amp;rs%3AParameterLanguage=" xr:uid="{C5F4EF03-32AD-44C3-967F-9852F2EFA4C5}"/>
    <hyperlink ref="L236" r:id="rId33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2050A&amp;Dataset1_Reporte=3&amp;rs%3AParameterLanguage=" xr:uid="{D2033FF1-0C9D-4EF3-8D4C-EEE4173B9703}"/>
    <hyperlink ref="K238" r:id="rId33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A&amp;rs%3AParameterLanguage=" xr:uid="{7238354F-7D02-4555-8FC0-4E53ABE62F1C}"/>
    <hyperlink ref="L238" r:id="rId33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20A&amp;Dataset1_Reporte=3&amp;rs%3AParameterLanguage=" xr:uid="{29D4793B-DFDB-4EF4-AE13-CF09754419E4}"/>
    <hyperlink ref="K239" r:id="rId33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20G&amp;rs%3AParameterLanguage=" xr:uid="{1E098DE9-E8FF-46CD-8488-4D3392FD9F10}"/>
    <hyperlink ref="L239" r:id="rId34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20G&amp;Dataset1_Reporte=3&amp;rs%3AParameterLanguage=" xr:uid="{257E65E6-AC56-4C76-A1A4-6347DAA8A010}"/>
    <hyperlink ref="K240" r:id="rId34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A&amp;rs%3AParameterLanguage=" xr:uid="{38ADCE4D-9A7D-41B6-94B0-840DB451BF13}"/>
    <hyperlink ref="L240" r:id="rId34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30A&amp;Dataset1_Reporte=3&amp;rs%3AParameterLanguage=" xr:uid="{1A2D4E1E-5173-4216-B83F-08BBA74DD8DC}"/>
    <hyperlink ref="K241" r:id="rId34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30G&amp;rs%3AParameterLanguage=" xr:uid="{C9ED68FE-69A6-46DE-91D0-F531EDD23785}"/>
    <hyperlink ref="L241" r:id="rId34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30G&amp;Dataset1_Reporte=3&amp;rs%3AParameterLanguage=" xr:uid="{1FA6B0A4-A0DA-4C04-BD7C-452F55DADF80}"/>
    <hyperlink ref="K242" r:id="rId34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A&amp;rs%3AParameterLanguage=" xr:uid="{6407C25B-5407-49AC-BF10-186FAE9613DA}"/>
    <hyperlink ref="L242" r:id="rId34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40A&amp;Dataset1_Reporte=3&amp;rs%3AParameterLanguage=" xr:uid="{4C3D7F42-C847-4647-887D-0073F02D53D0}"/>
    <hyperlink ref="K243" r:id="rId34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1040G&amp;rs%3AParameterLanguage=" xr:uid="{069D17D1-2A8A-44EE-8FD7-B56A477F39D0}"/>
    <hyperlink ref="L243" r:id="rId34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1040G&amp;Dataset1_Reporte=3&amp;rs%3AParameterLanguage=" xr:uid="{F721182D-87DA-4180-A70B-BDBB3C94266F}"/>
    <hyperlink ref="K245" r:id="rId34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A&amp;rs%3AParameterLanguage=" xr:uid="{B464BF3D-8DFD-4738-ABC5-C44694B832EA}"/>
    <hyperlink ref="L245" r:id="rId35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9010A&amp;Dataset1_Reporte=3&amp;rs%3AParameterLanguage=" xr:uid="{93DE65A8-7382-4B31-8EB5-BEE16654FB83}"/>
    <hyperlink ref="K246" r:id="rId35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109010G&amp;rs%3AParameterLanguage=" xr:uid="{0BEB1F94-79EC-49EE-B021-9C516F3301B5}"/>
    <hyperlink ref="L246" r:id="rId35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109010G&amp;Dataset1_Reporte=3&amp;rs%3AParameterLanguage=" xr:uid="{0F78F2D6-3761-4FD1-B4F8-D1D179B95171}"/>
    <hyperlink ref="K247" r:id="rId35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607070A&amp;rs%3AParameterLanguage=" xr:uid="{D7091015-B47C-4B79-9D0F-D8881E50E9B1}"/>
    <hyperlink ref="L247" r:id="rId35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607070A&amp;Dataset1_Reporte=3&amp;rs%3AParameterLanguage=" xr:uid="{D8AD9BAE-1925-4EE9-8CA1-64907BB8868C}"/>
    <hyperlink ref="K249" r:id="rId35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200A&amp;rs%3AParameterLanguage=" xr:uid="{D7E2FBDD-74D7-447B-8E79-E369A6842B3E}"/>
    <hyperlink ref="L249" r:id="rId356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200A&amp;Dataset1_Reporte=3&amp;rs%3AParameterLanguage=" xr:uid="{0FBC3652-E47C-498D-BB8B-961A6B7E2E83}"/>
    <hyperlink ref="K250" r:id="rId35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12-580400G&amp;rs%3AParameterLanguage=" xr:uid="{6BB560BA-28EB-48E8-9A14-DBC0232F1624}"/>
    <hyperlink ref="L250" r:id="rId358" display="http://eiax-bi/ReportServer?%2FDynamicsAX%2FEIMI_SCP03_Detalles_Report.PrecisionDesign3PedidosNoRecibidos&amp;Dataset1_FechaInicio=01%2F01%2F2010%2000%3A00%3A00&amp;Dataset1_FechaTermino=08%2F31%2F2019%2000%3A00%3A00&amp;Dataset1_Proyecto=0357&amp;Dataset1_Categoria=12-580400G&amp;Dataset1_Reporte=3&amp;rs%3AParameterLanguage=" xr:uid="{EA9D924C-9F70-41F3-A5EC-B85FEAFB7C9A}"/>
    <hyperlink ref="K253" r:id="rId35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2010G&amp;rs%3AParameterLanguage=" xr:uid="{3715F182-F33E-486E-9A52-15F2A2984D1F}"/>
    <hyperlink ref="L253" r:id="rId36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2010G&amp;Dataset1_Reporte=3&amp;rs%3AParameterLanguage=" xr:uid="{8D745D36-DA9E-4AEA-93C7-B6779ECA17D0}"/>
    <hyperlink ref="K255" r:id="rId36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A&amp;rs%3AParameterLanguage=" xr:uid="{62BD3A36-C623-4AF5-AB9F-0B46197C65D2}"/>
    <hyperlink ref="L255" r:id="rId36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3010A&amp;Dataset1_Reporte=3&amp;rs%3AParameterLanguage=" xr:uid="{5DA3AB63-75C9-4DC4-97F3-70F5D05953B1}"/>
    <hyperlink ref="K256" r:id="rId36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3010G&amp;rs%3AParameterLanguage=" xr:uid="{5B0BF78C-87DF-4F1F-87F0-88FE5B7786D0}"/>
    <hyperlink ref="L256" r:id="rId36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3010G&amp;Dataset1_Reporte=3&amp;rs%3AParameterLanguage=" xr:uid="{911AEA76-6D46-4705-9312-673AD6A52D75}"/>
    <hyperlink ref="K258" r:id="rId36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010G&amp;rs%3AParameterLanguage=" xr:uid="{59963AFC-1665-41DD-8DCA-4E435931CC07}"/>
    <hyperlink ref="L258" r:id="rId366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1010G&amp;Dataset1_Reporte=3&amp;rs%3AParameterLanguage=" xr:uid="{2862EC2A-3158-48C7-A2CD-E2BF9D94CA4C}"/>
    <hyperlink ref="K259" r:id="rId367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1110G&amp;rs%3AParameterLanguage=" xr:uid="{27DCA544-9F50-462A-850D-DF6BCC56B19B}"/>
    <hyperlink ref="L259" r:id="rId368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1110G&amp;Dataset1_Reporte=3&amp;rs%3AParameterLanguage=" xr:uid="{7A942150-8051-4EDF-8C5C-8776CB199C32}"/>
    <hyperlink ref="K262" r:id="rId369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4010G&amp;rs%3AParameterLanguage=" xr:uid="{99C33C8C-257B-4A4B-AAD5-617A5FB0787D}"/>
    <hyperlink ref="L262" r:id="rId370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4010G&amp;Dataset1_Reporte=3&amp;rs%3AParameterLanguage=" xr:uid="{5D8350D8-8667-4011-8E5B-B24D611FFA4F}"/>
    <hyperlink ref="K264" r:id="rId371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5010G&amp;rs%3AParameterLanguage=" xr:uid="{6C173806-3B35-41FA-9D23-0C812C231177}"/>
    <hyperlink ref="L264" r:id="rId372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5010G&amp;Dataset1_Reporte=3&amp;rs%3AParameterLanguage=" xr:uid="{EE378922-798E-4F2C-BCBB-8146E557DF91}"/>
    <hyperlink ref="K266" r:id="rId373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72-A06010G&amp;rs%3AParameterLanguage=" xr:uid="{C8FA2B99-EC04-44FB-9057-0F2AFEA4988C}"/>
    <hyperlink ref="L266" r:id="rId374" display="http://eiax-bi/ReportServer?%2FDynamicsAX%2FEIMI_SCP03_Detalles_Report.PrecisionDesign3PedidosNoRecibidos&amp;Dataset1_FechaInicio=01%2F01%2F2010%2000%3A00%3A00&amp;Dataset1_FechaTermino=08%2F31%2F2019%2000%3A00%3A00&amp;Dataset1_Proyecto=0357&amp;Dataset1_Categoria=72-A06010G&amp;Dataset1_Reporte=3&amp;rs%3AParameterLanguage=" xr:uid="{2F951B41-0683-4288-A394-BF19717B9738}"/>
    <hyperlink ref="K267" r:id="rId375" display="http://eiax-bi/ReportServer?%2FDynamicsAX%2FEIMI_SCP03_Detalles_Report.PrecisionDesign4Inventario&amp;Dataset1_FechaInicio=01%2F01%2F2010%2000%3A00%3A00&amp;Dataset1_FechaTermino=08%2F31%2F2019%2000%3A00%3A00&amp;Dataset1_Proyecto=0357&amp;Dataset1_Reporte=4&amp;Dataset1_Categoria=&amp;rs%3AParameterLanguage=" xr:uid="{7C07AB84-BD8F-40DC-BCB2-AA0A6EDB0DA3}"/>
    <hyperlink ref="L267" r:id="rId376" display="http://eiax-bi/ReportServer?%2FDynamicsAX%2FEIMI_SCP03_Detalles_Report.PrecisionDesign3PedidosNoRecibidos&amp;Dataset1_FechaInicio=01%2F01%2F2010%2000%3A00%3A00&amp;Dataset1_FechaTermino=08%2F31%2F2019%2000%3A00%3A00&amp;Dataset1_Proyecto=0357&amp;Dataset1_Reporte=3&amp;Dataset1_Categoria=&amp;rs%3AParameterLanguage=" xr:uid="{A545BE0D-ABC9-4812-94CA-9D41E34AA169}"/>
  </hyperlinks>
  <pageMargins left="0.5" right="0.5" top="0.5" bottom="0.5" header="0.5" footer="0.5"/>
  <pageSetup orientation="portrait" horizontalDpi="300" verticalDpi="300" r:id="rId377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70EA-39F6-48DB-8F3A-04A9AA6D4E64}">
  <sheetPr codeName="Hoja10"/>
  <dimension ref="A1:P25"/>
  <sheetViews>
    <sheetView workbookViewId="0">
      <selection activeCell="P1" sqref="P1"/>
    </sheetView>
  </sheetViews>
  <sheetFormatPr baseColWidth="10" defaultColWidth="11.42578125" defaultRowHeight="15" x14ac:dyDescent="0.25"/>
  <cols>
    <col min="1" max="13" width="17.28515625" customWidth="1"/>
    <col min="14" max="16" width="14.5703125" bestFit="1" customWidth="1"/>
  </cols>
  <sheetData>
    <row r="1" spans="1:16" x14ac:dyDescent="0.25">
      <c r="B1" t="b">
        <f>AND(B23=B7,B7=B10,B10=B4)</f>
        <v>1</v>
      </c>
      <c r="C1" t="b">
        <f>AND(C23=C7,C7=D10,D10=E4,C23=J23)</f>
        <v>0</v>
      </c>
      <c r="D1" t="b">
        <f>AND(D23=D7,D7=C4)</f>
        <v>1</v>
      </c>
      <c r="F1" t="b">
        <f>AND(G25=E7,E7=F10,F10=F4)</f>
        <v>1</v>
      </c>
      <c r="H1" t="b">
        <f>AND(I25=H7,H7=H4)</f>
        <v>1</v>
      </c>
      <c r="M1" t="b">
        <f>AND(L25=M4)</f>
        <v>1</v>
      </c>
    </row>
    <row r="2" spans="1:16" x14ac:dyDescent="0.25">
      <c r="A2" s="395" t="s">
        <v>176</v>
      </c>
      <c r="B2" s="395"/>
      <c r="C2" s="396" t="s">
        <v>178</v>
      </c>
      <c r="D2" s="396"/>
      <c r="E2" s="396"/>
      <c r="F2" s="397" t="s">
        <v>267</v>
      </c>
      <c r="G2" s="397"/>
      <c r="H2" s="397"/>
      <c r="I2" s="395" t="s">
        <v>1478</v>
      </c>
      <c r="J2" s="395"/>
      <c r="K2" s="395"/>
      <c r="L2" s="395"/>
      <c r="M2" s="395"/>
    </row>
    <row r="3" spans="1:16" ht="45" x14ac:dyDescent="0.25">
      <c r="A3" s="160" t="s">
        <v>1724</v>
      </c>
      <c r="B3" s="160" t="s">
        <v>176</v>
      </c>
      <c r="C3" s="161" t="s">
        <v>1472</v>
      </c>
      <c r="D3" s="161" t="s">
        <v>1725</v>
      </c>
      <c r="E3" s="162" t="s">
        <v>1726</v>
      </c>
      <c r="F3" s="163" t="s">
        <v>1727</v>
      </c>
      <c r="G3" s="163" t="s">
        <v>1728</v>
      </c>
      <c r="H3" s="164" t="s">
        <v>1729</v>
      </c>
      <c r="I3" s="160" t="s">
        <v>1730</v>
      </c>
      <c r="J3" s="160" t="s">
        <v>1731</v>
      </c>
      <c r="K3" s="160" t="s">
        <v>1732</v>
      </c>
      <c r="L3" s="160" t="s">
        <v>1733</v>
      </c>
      <c r="M3" s="160" t="s">
        <v>1734</v>
      </c>
    </row>
    <row r="4" spans="1:16" x14ac:dyDescent="0.25">
      <c r="A4" s="130" t="str">
        <f>Indice!I11</f>
        <v>EIMI00398</v>
      </c>
      <c r="B4" s="165">
        <f>+'Matriz de Proyecciones'!D118</f>
        <v>4750000000.2055159</v>
      </c>
      <c r="C4" s="166">
        <f>+'Matriz de Proyecciones'!G118</f>
        <v>6013966118.1469126</v>
      </c>
      <c r="D4" s="167">
        <f>+'Matriz de Proyecciones'!H118</f>
        <v>5.105871707201004E-3</v>
      </c>
      <c r="E4" s="168">
        <f>+C4+D4</f>
        <v>6013966118.1520185</v>
      </c>
      <c r="F4" s="169">
        <f>'Matriz de Costos'!I118-'Matriz de Costos'!I113</f>
        <v>5243840296.9115019</v>
      </c>
      <c r="G4" s="167">
        <f>+'Matriz de Proyecciones'!L118-'Matriz de Proyecciones'!L113</f>
        <v>4384841</v>
      </c>
      <c r="H4" s="170">
        <f>+F4+G4</f>
        <v>5248225137.9115019</v>
      </c>
      <c r="I4" s="167">
        <f>+C4-F4</f>
        <v>770125821.23541069</v>
      </c>
      <c r="J4" s="171">
        <f>+D4-G4</f>
        <v>-4384840.9948941283</v>
      </c>
      <c r="K4" s="167">
        <f>+I4+J4</f>
        <v>765740980.24051654</v>
      </c>
      <c r="L4" s="171">
        <f>SUM('Matriz de Proyecciones'!O113)</f>
        <v>380000000.0073449</v>
      </c>
      <c r="M4" s="171">
        <f>TRUNC(K4-L4,0)</f>
        <v>385740980</v>
      </c>
    </row>
    <row r="6" spans="1:16" ht="30" x14ac:dyDescent="0.25">
      <c r="A6" s="154" t="s">
        <v>1735</v>
      </c>
      <c r="B6" s="155" t="s">
        <v>1736</v>
      </c>
      <c r="C6" s="155" t="s">
        <v>1737</v>
      </c>
      <c r="D6" s="155" t="s">
        <v>1738</v>
      </c>
      <c r="E6" s="155" t="s">
        <v>1739</v>
      </c>
      <c r="F6" s="155" t="s">
        <v>1740</v>
      </c>
      <c r="G6" s="155" t="s">
        <v>1741</v>
      </c>
      <c r="H6" s="155" t="s">
        <v>1742</v>
      </c>
      <c r="I6" s="155" t="s">
        <v>1743</v>
      </c>
      <c r="J6" s="155" t="s">
        <v>1744</v>
      </c>
      <c r="K6" s="155" t="s">
        <v>1745</v>
      </c>
      <c r="L6" s="155" t="s">
        <v>1746</v>
      </c>
      <c r="M6" s="155" t="s">
        <v>1747</v>
      </c>
      <c r="N6" s="155" t="s">
        <v>1748</v>
      </c>
      <c r="O6" s="154" t="s">
        <v>1</v>
      </c>
      <c r="P6" s="154" t="s">
        <v>1749</v>
      </c>
    </row>
    <row r="7" spans="1:16" x14ac:dyDescent="0.25">
      <c r="A7" s="156" t="str">
        <f>TEXT(Indice!I12,"dd-mm-yyyy")</f>
        <v>31-01-2026</v>
      </c>
      <c r="B7" s="147">
        <f>'Analisis por Categorias'!G2</f>
        <v>4750000000.2055159</v>
      </c>
      <c r="C7" s="148">
        <f>'Analisis por Categorias'!L2</f>
        <v>6013966118.1450443</v>
      </c>
      <c r="D7" s="149">
        <f>'Analisis por Categorias'!O2</f>
        <v>6013966118.1469145</v>
      </c>
      <c r="E7" s="150">
        <f>'Matriz de Costos'!I118
-'Matriz de Costos'!I129</f>
        <v>5243840296.9115019</v>
      </c>
      <c r="F7" s="151">
        <f>C7-H7</f>
        <v>765740980.23354244</v>
      </c>
      <c r="G7" s="151">
        <f>'Formato General'!E78</f>
        <v>380000000.0073449</v>
      </c>
      <c r="H7" s="152">
        <f xml:space="preserve"> 'Matriz de Proyecciones'!M118
- 'Matriz de Proyecciones'!M129</f>
        <v>5248225137.9115019</v>
      </c>
      <c r="I7" s="153">
        <f>D7/B7</f>
        <v>1.2660981300814129</v>
      </c>
      <c r="J7" s="156"/>
      <c r="K7" s="156"/>
      <c r="L7" s="156"/>
      <c r="M7" s="156"/>
      <c r="N7" s="156" t="str">
        <f>Indice!H2</f>
        <v>CC: EIMI00398
ARAUCO</v>
      </c>
      <c r="O7" s="156" t="str">
        <f>Indice!I9</f>
        <v>ARAUCO</v>
      </c>
      <c r="P7" s="156" t="str">
        <f>Indice!I10</f>
        <v>CRISTIAN SEPULVEDA GARAY</v>
      </c>
    </row>
    <row r="9" spans="1:16" ht="45" x14ac:dyDescent="0.25">
      <c r="A9" s="172" t="s">
        <v>13</v>
      </c>
      <c r="B9" s="173" t="s">
        <v>14</v>
      </c>
      <c r="C9" s="173" t="s">
        <v>15</v>
      </c>
      <c r="D9" s="173" t="s">
        <v>16</v>
      </c>
      <c r="E9" s="173" t="s">
        <v>17</v>
      </c>
      <c r="F9" s="173" t="s">
        <v>18</v>
      </c>
      <c r="G9" s="173" t="s">
        <v>19</v>
      </c>
      <c r="H9" s="173" t="s">
        <v>20</v>
      </c>
      <c r="I9" s="173" t="s">
        <v>21</v>
      </c>
    </row>
    <row r="10" spans="1:16" x14ac:dyDescent="0.25">
      <c r="A10" s="174" t="s">
        <v>162</v>
      </c>
      <c r="B10" s="175">
        <f>'Formato General'!E83</f>
        <v>4750000000.2055168</v>
      </c>
      <c r="C10" s="176">
        <f>'Formato General'!F83</f>
        <v>1263966117.9395285</v>
      </c>
      <c r="D10" s="177">
        <f>'Formato General'!G83</f>
        <v>6013966118.1450424</v>
      </c>
      <c r="E10" s="176">
        <f>'Formato General'!I83</f>
        <v>41655894.819999993</v>
      </c>
      <c r="F10" s="178">
        <f>'Formato General'!J83</f>
        <v>5243840296.9115019</v>
      </c>
      <c r="G10" s="176">
        <f>'Formato General'!K83</f>
        <v>6013966118.1469126</v>
      </c>
      <c r="H10" s="176">
        <f>'Formato General'!L83</f>
        <v>4384841</v>
      </c>
      <c r="I10" s="176">
        <f>'Formato General'!N83</f>
        <v>765740980.21734488</v>
      </c>
    </row>
    <row r="12" spans="1:16" ht="45" x14ac:dyDescent="0.25">
      <c r="A12" s="179" t="s">
        <v>175</v>
      </c>
      <c r="B12" s="179" t="s">
        <v>176</v>
      </c>
      <c r="C12" s="179" t="s">
        <v>177</v>
      </c>
      <c r="D12" s="180" t="s">
        <v>178</v>
      </c>
      <c r="E12" s="180" t="s">
        <v>179</v>
      </c>
      <c r="F12" s="180" t="s">
        <v>180</v>
      </c>
      <c r="G12" s="180" t="s">
        <v>178</v>
      </c>
      <c r="H12" s="180" t="s">
        <v>179</v>
      </c>
      <c r="I12" s="180" t="s">
        <v>181</v>
      </c>
      <c r="J12" s="180" t="s">
        <v>178</v>
      </c>
      <c r="K12" s="180" t="s">
        <v>179</v>
      </c>
      <c r="L12" s="180" t="s">
        <v>182</v>
      </c>
    </row>
    <row r="13" spans="1:16" x14ac:dyDescent="0.25">
      <c r="A13" s="156" t="s">
        <v>178</v>
      </c>
      <c r="B13" s="147">
        <f>'Matriz de Produccion'!D118</f>
        <v>4750000000.2055159</v>
      </c>
      <c r="C13" s="148">
        <f>'Matriz de Produccion'!E118</f>
        <v>6013966118.1520185</v>
      </c>
      <c r="D13" s="151">
        <f>'Matriz de Produccion'!G118</f>
        <v>4451884172.222373</v>
      </c>
      <c r="E13" s="151">
        <f>'Matriz de Produccion'!H118</f>
        <v>1562081945.9245405</v>
      </c>
      <c r="F13" s="151">
        <f>'Matriz de Produccion'!I118</f>
        <v>6013966118.1469135</v>
      </c>
      <c r="G13" s="151">
        <f>'Matriz de Produccion'!K118</f>
        <v>4451872427.8223724</v>
      </c>
      <c r="H13" s="151">
        <f>'Matriz de Produccion'!L118</f>
        <v>1541301354.4184589</v>
      </c>
      <c r="I13" s="151">
        <f>'Matriz de Produccion'!M118</f>
        <v>5993173782.2408314</v>
      </c>
      <c r="J13" s="151">
        <f>'Matriz de Produccion'!O118</f>
        <v>11744.40000006929</v>
      </c>
      <c r="K13" s="151">
        <f>'Matriz de Produccion'!P118</f>
        <v>20780591.506081261</v>
      </c>
      <c r="L13" s="151">
        <f>'Matriz de Produccion'!Q118</f>
        <v>20792335.90608133</v>
      </c>
    </row>
    <row r="14" spans="1:16" x14ac:dyDescent="0.25">
      <c r="A14" s="156"/>
      <c r="B14" s="151">
        <f>'Matriz de Produccion'!D129</f>
        <v>380000000.0073449</v>
      </c>
      <c r="C14" s="151">
        <f>'Matriz de Produccion'!E129</f>
        <v>380000000.0073449</v>
      </c>
      <c r="D14" s="151">
        <f>'Matriz de Produccion'!G129</f>
        <v>380000000.0073449</v>
      </c>
      <c r="E14" s="151">
        <f>'Matriz de Produccion'!H129</f>
        <v>0</v>
      </c>
      <c r="F14" s="151">
        <f>'Matriz de Produccion'!I129</f>
        <v>380000000.0073449</v>
      </c>
      <c r="G14" s="151">
        <f>'Matriz de Produccion'!K129</f>
        <v>380000000.0073449</v>
      </c>
      <c r="H14" s="151">
        <f>'Matriz de Produccion'!L129</f>
        <v>0</v>
      </c>
      <c r="I14" s="151">
        <f>'Matriz de Produccion'!M129</f>
        <v>380000000.0073449</v>
      </c>
      <c r="J14" s="151">
        <f>'Matriz de Produccion'!O129</f>
        <v>0</v>
      </c>
      <c r="K14" s="151">
        <f>'Matriz de Produccion'!P129</f>
        <v>0</v>
      </c>
      <c r="L14" s="151">
        <f>'Matriz de Produccion'!Q129</f>
        <v>0</v>
      </c>
    </row>
    <row r="15" spans="1:16" ht="30" x14ac:dyDescent="0.25">
      <c r="A15" s="181" t="s">
        <v>175</v>
      </c>
      <c r="B15" s="181" t="s">
        <v>176</v>
      </c>
      <c r="C15" s="181" t="s">
        <v>177</v>
      </c>
      <c r="D15" s="182" t="s">
        <v>253</v>
      </c>
      <c r="E15" s="182" t="s">
        <v>254</v>
      </c>
      <c r="F15" s="182" t="s">
        <v>255</v>
      </c>
      <c r="G15" s="182" t="s">
        <v>253</v>
      </c>
      <c r="H15" s="182" t="s">
        <v>254</v>
      </c>
      <c r="I15" s="182" t="s">
        <v>256</v>
      </c>
      <c r="J15" s="182" t="s">
        <v>253</v>
      </c>
      <c r="K15" s="182" t="s">
        <v>254</v>
      </c>
      <c r="L15" s="182" t="s">
        <v>257</v>
      </c>
    </row>
    <row r="16" spans="1:16" x14ac:dyDescent="0.25">
      <c r="A16" s="156" t="s">
        <v>253</v>
      </c>
      <c r="B16" s="147">
        <f>'Matriz de Costos'!D118</f>
        <v>4750000000.2055159</v>
      </c>
      <c r="C16" s="148">
        <f>'Matriz de Costos'!E118</f>
        <v>6013966118.1520185</v>
      </c>
      <c r="D16" s="151">
        <f>'Matriz de Costos'!G118</f>
        <v>5598112754.5761805</v>
      </c>
      <c r="E16" s="151">
        <f>'Matriz de Costos'!H118</f>
        <v>25727542.342666667</v>
      </c>
      <c r="F16" s="151">
        <f>'Matriz de Costos'!I118</f>
        <v>5623840296.9188471</v>
      </c>
      <c r="G16" s="151">
        <f>'Matriz de Costos'!K118</f>
        <v>5416266799.5761814</v>
      </c>
      <c r="H16" s="151">
        <f>'Matriz de Costos'!L118</f>
        <v>165917602.52266666</v>
      </c>
      <c r="I16" s="151">
        <f>'Matriz de Costos'!M118</f>
        <v>5582184402.0988474</v>
      </c>
      <c r="J16" s="151">
        <f>'Matriz de Costos'!O118</f>
        <v>181845955</v>
      </c>
      <c r="K16" s="151">
        <f>'Matriz de Costos'!P118</f>
        <v>-140190060.18000001</v>
      </c>
      <c r="L16" s="151">
        <f>'Matriz de Costos'!Q118</f>
        <v>41655894.819999985</v>
      </c>
    </row>
    <row r="17" spans="1:12" x14ac:dyDescent="0.25">
      <c r="A17" s="156"/>
      <c r="B17" s="151">
        <f>'Matriz de Costos'!D129</f>
        <v>380000000.0073449</v>
      </c>
      <c r="C17" s="151">
        <f>'Matriz de Costos'!E129</f>
        <v>380000000.0073449</v>
      </c>
      <c r="D17" s="151">
        <f>'Matriz de Costos'!G129</f>
        <v>380000000.0073449</v>
      </c>
      <c r="E17" s="151">
        <f>'Matriz de Costos'!H129</f>
        <v>0</v>
      </c>
      <c r="F17" s="151">
        <f>'Matriz de Costos'!I129</f>
        <v>380000000.0073449</v>
      </c>
      <c r="G17" s="151">
        <f>'Matriz de Costos'!K129</f>
        <v>380000000.0073449</v>
      </c>
      <c r="H17" s="151">
        <f>'Matriz de Costos'!L129</f>
        <v>0</v>
      </c>
      <c r="I17" s="151">
        <f>'Matriz de Costos'!M129</f>
        <v>380000000.0073449</v>
      </c>
      <c r="J17" s="151">
        <f>'Matriz de Costos'!O129</f>
        <v>0</v>
      </c>
      <c r="K17" s="151">
        <f>'Matriz de Costos'!P129</f>
        <v>0</v>
      </c>
      <c r="L17" s="151">
        <f>'Matriz de Costos'!Q129</f>
        <v>0</v>
      </c>
    </row>
    <row r="18" spans="1:12" x14ac:dyDescent="0.25">
      <c r="A18" s="156"/>
      <c r="B18" s="157">
        <f t="shared" ref="B18:L18" si="0">B16-B17</f>
        <v>4370000000.1981707</v>
      </c>
      <c r="C18" s="157">
        <f t="shared" si="0"/>
        <v>5633966118.1446733</v>
      </c>
      <c r="D18" s="157">
        <f t="shared" si="0"/>
        <v>5218112754.5688353</v>
      </c>
      <c r="E18" s="157">
        <f t="shared" si="0"/>
        <v>25727542.342666667</v>
      </c>
      <c r="F18" s="158">
        <f t="shared" si="0"/>
        <v>5243840296.9115019</v>
      </c>
      <c r="G18" s="157">
        <f t="shared" si="0"/>
        <v>5036266799.5688362</v>
      </c>
      <c r="H18" s="157">
        <f t="shared" si="0"/>
        <v>165917602.52266666</v>
      </c>
      <c r="I18" s="157">
        <f t="shared" si="0"/>
        <v>5202184402.0915022</v>
      </c>
      <c r="J18" s="157">
        <f t="shared" si="0"/>
        <v>181845955</v>
      </c>
      <c r="K18" s="157">
        <f t="shared" si="0"/>
        <v>-140190060.18000001</v>
      </c>
      <c r="L18" s="157">
        <f t="shared" si="0"/>
        <v>41655894.819999985</v>
      </c>
    </row>
    <row r="19" spans="1:12" ht="45" x14ac:dyDescent="0.25">
      <c r="A19" s="181" t="s">
        <v>175</v>
      </c>
      <c r="B19" s="181" t="s">
        <v>176</v>
      </c>
      <c r="C19" s="181" t="s">
        <v>177</v>
      </c>
      <c r="D19" s="183" t="s">
        <v>180</v>
      </c>
      <c r="E19" s="182" t="s">
        <v>255</v>
      </c>
      <c r="F19" s="181" t="s">
        <v>260</v>
      </c>
      <c r="G19" s="183" t="s">
        <v>181</v>
      </c>
      <c r="H19" s="182" t="s">
        <v>256</v>
      </c>
      <c r="I19" s="181" t="s">
        <v>261</v>
      </c>
      <c r="J19" s="183" t="s">
        <v>262</v>
      </c>
      <c r="K19" s="182" t="s">
        <v>263</v>
      </c>
      <c r="L19" s="181" t="s">
        <v>264</v>
      </c>
    </row>
    <row r="20" spans="1:12" x14ac:dyDescent="0.25">
      <c r="A20" s="156" t="s">
        <v>1478</v>
      </c>
      <c r="B20" s="147">
        <f>'Matriz de Resultados'!D118</f>
        <v>4750000000.2055159</v>
      </c>
      <c r="C20" s="148">
        <f>'Matriz de Resultados'!E118</f>
        <v>6013966118.1520185</v>
      </c>
      <c r="D20" s="151">
        <f>'Matriz de Resultados'!G118</f>
        <v>6013966118.1469126</v>
      </c>
      <c r="E20" s="151">
        <f>'Matriz de Resultados'!H118</f>
        <v>5623840296.9188471</v>
      </c>
      <c r="F20" s="151">
        <f>'Matriz de Resultados'!I118</f>
        <v>390125821.22806585</v>
      </c>
      <c r="G20" s="151">
        <f>'Matriz de Resultados'!K118</f>
        <v>5993173782.2408314</v>
      </c>
      <c r="H20" s="151">
        <f>'Matriz de Resultados'!L118</f>
        <v>5582184402.0988474</v>
      </c>
      <c r="I20" s="151">
        <f>'Matriz de Resultados'!M118</f>
        <v>410989380.1419847</v>
      </c>
      <c r="J20" s="151">
        <f>'Matriz de Resultados'!O118</f>
        <v>20792335.906081431</v>
      </c>
      <c r="K20" s="151">
        <f>'Matriz de Resultados'!P118</f>
        <v>41655894.82</v>
      </c>
      <c r="L20" s="151">
        <f>'Matriz de Resultados'!Q118</f>
        <v>-20863558.913918853</v>
      </c>
    </row>
    <row r="21" spans="1:12" x14ac:dyDescent="0.25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</row>
    <row r="22" spans="1:12" ht="30" x14ac:dyDescent="0.25">
      <c r="A22" s="181" t="s">
        <v>175</v>
      </c>
      <c r="B22" s="181" t="s">
        <v>176</v>
      </c>
      <c r="C22" s="181" t="s">
        <v>177</v>
      </c>
      <c r="D22" s="183" t="s">
        <v>269</v>
      </c>
      <c r="E22" s="183" t="s">
        <v>268</v>
      </c>
      <c r="F22" s="183" t="s">
        <v>262</v>
      </c>
      <c r="G22" s="182" t="s">
        <v>270</v>
      </c>
      <c r="H22" s="182" t="s">
        <v>268</v>
      </c>
      <c r="I22" s="182" t="s">
        <v>271</v>
      </c>
      <c r="J22" s="183" t="s">
        <v>262</v>
      </c>
      <c r="K22" s="182" t="s">
        <v>271</v>
      </c>
      <c r="L22" s="181" t="s">
        <v>272</v>
      </c>
    </row>
    <row r="23" spans="1:12" x14ac:dyDescent="0.25">
      <c r="A23" s="156" t="s">
        <v>268</v>
      </c>
      <c r="B23" s="147">
        <f>'Matriz de Proyecciones'!D118</f>
        <v>4750000000.2055159</v>
      </c>
      <c r="C23" s="148">
        <f>'Matriz de Proyecciones'!E118</f>
        <v>6013966118.1520185</v>
      </c>
      <c r="D23" s="149">
        <f>'Matriz de Proyecciones'!G118</f>
        <v>6013966118.1469126</v>
      </c>
      <c r="E23" s="151">
        <f>'Matriz de Proyecciones'!H118</f>
        <v>5.105871707201004E-3</v>
      </c>
      <c r="F23" s="151">
        <f>'Matriz de Proyecciones'!I118</f>
        <v>6013966118.1520185</v>
      </c>
      <c r="G23" s="151">
        <f>'Matriz de Proyecciones'!K118</f>
        <v>5623840296.9188471</v>
      </c>
      <c r="H23" s="151">
        <f>'Matriz de Proyecciones'!L118</f>
        <v>4384841</v>
      </c>
      <c r="I23" s="151">
        <f>'Matriz de Proyecciones'!M118</f>
        <v>5628225137.9188471</v>
      </c>
      <c r="J23" s="151">
        <f>'Matriz de Proyecciones'!O118</f>
        <v>6013966118.1520185</v>
      </c>
      <c r="K23" s="151">
        <f>'Matriz de Proyecciones'!P118</f>
        <v>5628225137.9188471</v>
      </c>
      <c r="L23" s="151">
        <f>'Matriz de Proyecciones'!Q118</f>
        <v>385740980.2331717</v>
      </c>
    </row>
    <row r="24" spans="1:12" x14ac:dyDescent="0.25">
      <c r="A24" s="156"/>
      <c r="B24" s="151">
        <f>'Matriz de Proyecciones'!D129</f>
        <v>380000000.0073449</v>
      </c>
      <c r="C24" s="151">
        <f>'Matriz de Proyecciones'!E129</f>
        <v>380000000.0073449</v>
      </c>
      <c r="D24" s="151">
        <f>'Matriz de Proyecciones'!G129</f>
        <v>380000000.0073449</v>
      </c>
      <c r="E24" s="151">
        <f>'Matriz de Proyecciones'!H129</f>
        <v>0</v>
      </c>
      <c r="F24" s="151">
        <f>'Matriz de Proyecciones'!I129</f>
        <v>380000000.0073449</v>
      </c>
      <c r="G24" s="151">
        <f>'Matriz de Proyecciones'!K129</f>
        <v>380000000.0073449</v>
      </c>
      <c r="H24" s="151">
        <f>'Matriz de Proyecciones'!L129</f>
        <v>0</v>
      </c>
      <c r="I24" s="151">
        <f>'Matriz de Proyecciones'!M129</f>
        <v>380000000.0073449</v>
      </c>
      <c r="J24" s="151">
        <f>'Matriz de Proyecciones'!O129</f>
        <v>380000000.0073449</v>
      </c>
      <c r="K24" s="151">
        <f>'Matriz de Proyecciones'!P129</f>
        <v>380000000.0073449</v>
      </c>
      <c r="L24" s="151">
        <f>'Matriz de Proyecciones'!Q129</f>
        <v>0</v>
      </c>
    </row>
    <row r="25" spans="1:12" x14ac:dyDescent="0.25">
      <c r="A25" s="156"/>
      <c r="B25" s="157">
        <f t="shared" ref="B25:K25" si="1">B23-B24</f>
        <v>4370000000.1981707</v>
      </c>
      <c r="C25" s="157">
        <f t="shared" si="1"/>
        <v>5633966118.1446733</v>
      </c>
      <c r="D25" s="157">
        <f t="shared" si="1"/>
        <v>5633966118.1395674</v>
      </c>
      <c r="E25" s="157">
        <f t="shared" si="1"/>
        <v>5.105871707201004E-3</v>
      </c>
      <c r="F25" s="157">
        <f t="shared" si="1"/>
        <v>5633966118.1446733</v>
      </c>
      <c r="G25" s="158">
        <f t="shared" si="1"/>
        <v>5243840296.9115019</v>
      </c>
      <c r="H25" s="157">
        <f t="shared" si="1"/>
        <v>4384841</v>
      </c>
      <c r="I25" s="159">
        <f t="shared" si="1"/>
        <v>5248225137.9115019</v>
      </c>
      <c r="J25" s="157">
        <f t="shared" si="1"/>
        <v>5633966118.1446733</v>
      </c>
      <c r="K25" s="157">
        <f t="shared" si="1"/>
        <v>5248225137.9115019</v>
      </c>
      <c r="L25" s="157">
        <f>TRUNC(L23-L24,0)</f>
        <v>385740980</v>
      </c>
    </row>
  </sheetData>
  <sheetProtection algorithmName="SHA-512" hashValue="g6n4rda8wQNtRFH/LZzBWl1S766dd4EUvVg6qqfGsvBZkuBz8bCAox5Ur4KLjknE5VGDGNe5nFrc0mvlaHqoVA==" saltValue="JhsNttlu9EOvDx2gXiGsKw==" spinCount="100000" sheet="1" objects="1" scenarios="1" selectLockedCells="1" autoFilter="0" selectUnlockedCells="1"/>
  <mergeCells count="4">
    <mergeCell ref="A2:B2"/>
    <mergeCell ref="C2:E2"/>
    <mergeCell ref="F2:H2"/>
    <mergeCell ref="I2:M2"/>
  </mergeCells>
  <conditionalFormatting sqref="B1:D1 F1 H1 M1">
    <cfRule type="cellIs" dxfId="3" priority="2" operator="equal">
      <formula>FALSE</formula>
    </cfRule>
    <cfRule type="cellIs" dxfId="2" priority="3" operator="equal">
      <formula>TRUE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94696C-6114-4613-ADC5-53349DBE81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AE1722-1364-4CCE-80DE-A1C09B43A642}">
  <ds:schemaRefs>
    <ds:schemaRef ds:uri="http://schemas.openxmlformats.org/package/2006/metadata/core-properties"/>
    <ds:schemaRef ds:uri="b927864e-f0e3-461d-a8c1-661b56594714"/>
    <ds:schemaRef ds:uri="http://purl.org/dc/dcmitype/"/>
    <ds:schemaRef ds:uri="370229f3-b919-4892-ac79-65456f01318d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6C82963-B5D3-47C1-AB78-F2E7C5DBAA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Hoja1</vt:lpstr>
      <vt:lpstr>Indice</vt:lpstr>
      <vt:lpstr>Formato General</vt:lpstr>
      <vt:lpstr>Analisis por Categorias</vt:lpstr>
      <vt:lpstr>Matriz de Produccion</vt:lpstr>
      <vt:lpstr>Matriz de Costos</vt:lpstr>
      <vt:lpstr>Matriz de Resultados</vt:lpstr>
      <vt:lpstr>Matriz de Proyecciones</vt:lpstr>
      <vt:lpstr>Proyeccion</vt:lpstr>
      <vt:lpstr>Imputar</vt:lpstr>
      <vt:lpstr>EIMI</vt:lpstr>
      <vt:lpstr>PANEL</vt:lpstr>
      <vt:lpstr>'Formato General'!Área_de_impresión</vt:lpstr>
      <vt:lpstr>Hoja1!Área_de_impresión</vt:lpstr>
      <vt:lpstr>Hoja1!Títulos_a_imprimir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Héctor Figueroa</dc:creator>
  <cp:keywords/>
  <dc:description/>
  <cp:lastModifiedBy>Angel Tapia B.</cp:lastModifiedBy>
  <cp:revision/>
  <cp:lastPrinted>2025-07-09T14:37:39Z</cp:lastPrinted>
  <dcterms:created xsi:type="dcterms:W3CDTF">2015-06-05T18:19:34Z</dcterms:created>
  <dcterms:modified xsi:type="dcterms:W3CDTF">2026-03-31T15:01:04Z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0x010100EAC1E4DF7500D14B8F76A70EB935A0E5</vt:lpwstr>
  </property>
  <property fmtid="{D5CDD505-2E9C-101B-9397-08002B2CF9AE}" pid="3" name="MediaServiceImageTags">
    <vt:lpwstr/>
  </property>
</Properties>
</file>
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tapiab\Desktop\COSTOS\1.-VALDIVIA 398\Informes  Santiago\16.- Febrero 2026 Rev.1\informes stgo\Terminados\OK\Informes Directorio\"/>
    </mc:Choice>
  </mc:AlternateContent>
  <xr:revisionPtr revIDLastSave="0" documentId="13_ncr:1_{AC4E1038-A2E9-437E-9E46-C8D5529234AA}" xr6:coauthVersionLast="47" xr6:coauthVersionMax="47" xr10:uidLastSave="{00000000-0000-0000-0000-000000000000}"/>
  <bookViews>
    <workbookView xWindow="-120" yWindow="-120" windowWidth="29040" windowHeight="17520" xr2:uid="{0CD3EF91-1152-4AAC-8FB6-910A08018B5A}"/>
  </bookViews>
  <sheets>
    <sheet name="Flujo" sheetId="1" r:id="rId1"/>
    <sheet name="Costo" sheetId="4" r:id="rId2"/>
    <sheet name="Flujo (reajuste)" sheetId="7" state="hidden" r:id="rId3"/>
    <sheet name="Costo (2)" sheetId="6" state="hidden" r:id="rId4"/>
    <sheet name="Facturacion" sheetId="5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4" l="1"/>
  <c r="H19" i="4"/>
  <c r="AB5" i="4"/>
  <c r="M30" i="4" l="1"/>
  <c r="I30" i="4" l="1"/>
  <c r="M7" i="4"/>
  <c r="M8" i="4"/>
  <c r="M9" i="4"/>
  <c r="M10" i="4"/>
  <c r="M6" i="4"/>
  <c r="AA5" i="4" l="1"/>
  <c r="N43" i="4" l="1"/>
  <c r="L43" i="4"/>
  <c r="M11" i="4"/>
  <c r="Z5" i="4"/>
  <c r="O3" i="4" l="1"/>
  <c r="Y5" i="4"/>
  <c r="X5" i="4" l="1"/>
  <c r="W5" i="4"/>
  <c r="F5" i="4" l="1"/>
  <c r="K23" i="4" l="1"/>
  <c r="K22" i="4"/>
  <c r="K21" i="4"/>
  <c r="K20" i="4"/>
  <c r="K19" i="4"/>
  <c r="H5" i="4"/>
  <c r="I5" i="4"/>
  <c r="J5" i="4"/>
  <c r="M31" i="4" l="1"/>
  <c r="M44" i="4" s="1"/>
  <c r="N45" i="4" l="1"/>
  <c r="N47" i="4"/>
  <c r="N41" i="4" l="1"/>
  <c r="N44" i="4"/>
  <c r="O44" i="4" l="1"/>
  <c r="P29" i="4" l="1"/>
  <c r="K5" i="4"/>
  <c r="V5" i="4" l="1"/>
  <c r="U5" i="4"/>
  <c r="L47" i="4" l="1"/>
  <c r="L46" i="4"/>
  <c r="L45" i="4"/>
  <c r="L44" i="4"/>
  <c r="L48" i="4" s="1"/>
  <c r="H23" i="4" l="1"/>
  <c r="J23" i="4"/>
  <c r="J21" i="4"/>
  <c r="J20" i="4"/>
  <c r="N46" i="4" l="1"/>
  <c r="N48" i="4" s="1"/>
  <c r="L41" i="4"/>
  <c r="T5" i="4"/>
  <c r="N29" i="4" l="1"/>
  <c r="S5" i="4" l="1"/>
  <c r="R55" i="7" l="1"/>
  <c r="Q55" i="7"/>
  <c r="J55" i="7"/>
  <c r="R54" i="7"/>
  <c r="R53" i="7"/>
  <c r="Q52" i="7"/>
  <c r="P52" i="7"/>
  <c r="O52" i="7"/>
  <c r="N52" i="7"/>
  <c r="K52" i="7"/>
  <c r="J52" i="7"/>
  <c r="R52" i="7" s="1"/>
  <c r="I52" i="7"/>
  <c r="H52" i="7"/>
  <c r="R51" i="7"/>
  <c r="Q48" i="7"/>
  <c r="P48" i="7"/>
  <c r="O48" i="7"/>
  <c r="N48" i="7"/>
  <c r="M48" i="7"/>
  <c r="L48" i="7"/>
  <c r="K48" i="7"/>
  <c r="J48" i="7"/>
  <c r="R48" i="7" s="1"/>
  <c r="I48" i="7"/>
  <c r="H48" i="7"/>
  <c r="Q47" i="7"/>
  <c r="P47" i="7"/>
  <c r="O47" i="7"/>
  <c r="N47" i="7"/>
  <c r="M47" i="7"/>
  <c r="L47" i="7"/>
  <c r="K47" i="7"/>
  <c r="J47" i="7"/>
  <c r="I47" i="7"/>
  <c r="H47" i="7"/>
  <c r="R47" i="7" s="1"/>
  <c r="Q46" i="7"/>
  <c r="P46" i="7"/>
  <c r="O46" i="7"/>
  <c r="N46" i="7"/>
  <c r="M46" i="7"/>
  <c r="L46" i="7"/>
  <c r="K46" i="7"/>
  <c r="J46" i="7"/>
  <c r="I46" i="7"/>
  <c r="H46" i="7"/>
  <c r="R46" i="7" s="1"/>
  <c r="Q45" i="7"/>
  <c r="P45" i="7"/>
  <c r="O45" i="7"/>
  <c r="N45" i="7"/>
  <c r="M45" i="7"/>
  <c r="L45" i="7"/>
  <c r="K45" i="7"/>
  <c r="J45" i="7"/>
  <c r="I45" i="7"/>
  <c r="H45" i="7"/>
  <c r="R45" i="7" s="1"/>
  <c r="R44" i="7"/>
  <c r="Q44" i="7"/>
  <c r="P44" i="7"/>
  <c r="O44" i="7"/>
  <c r="N44" i="7"/>
  <c r="M44" i="7"/>
  <c r="L44" i="7"/>
  <c r="K44" i="7"/>
  <c r="J44" i="7"/>
  <c r="I44" i="7"/>
  <c r="H44" i="7"/>
  <c r="F36" i="7"/>
  <c r="E36" i="7"/>
  <c r="Q29" i="7" a="1"/>
  <c r="Q29" i="7" s="1"/>
  <c r="Q30" i="7" s="1"/>
  <c r="P29" i="7" a="1"/>
  <c r="P29" i="7" s="1"/>
  <c r="O29" i="7" a="1"/>
  <c r="O29" i="7" s="1"/>
  <c r="N29" i="7" a="1"/>
  <c r="N29" i="7" s="1"/>
  <c r="M29" i="7" a="1"/>
  <c r="M29" i="7" s="1"/>
  <c r="L29" i="7" a="1"/>
  <c r="L29" i="7" s="1"/>
  <c r="K29" i="7" a="1"/>
  <c r="K29" i="7" s="1"/>
  <c r="K30" i="7" s="1"/>
  <c r="J29" i="7" a="1"/>
  <c r="J29" i="7" s="1"/>
  <c r="I29" i="7" a="1"/>
  <c r="I29" i="7" s="1"/>
  <c r="I30" i="7" s="1"/>
  <c r="H29" i="7" a="1"/>
  <c r="H29" i="7" s="1"/>
  <c r="G29" i="7" a="1"/>
  <c r="G29" i="7" s="1"/>
  <c r="G30" i="7" s="1"/>
  <c r="F29" i="7" a="1"/>
  <c r="F29" i="7" s="1"/>
  <c r="E29" i="7" a="1"/>
  <c r="E29" i="7" s="1"/>
  <c r="D29" i="7" a="1"/>
  <c r="D29" i="7" s="1"/>
  <c r="C29" i="7" a="1"/>
  <c r="C29" i="7" s="1"/>
  <c r="Q28" i="7"/>
  <c r="P28" i="7"/>
  <c r="P33" i="7" s="1"/>
  <c r="O28" i="7"/>
  <c r="N28" i="7"/>
  <c r="M28" i="7"/>
  <c r="M30" i="7" s="1"/>
  <c r="L28" i="7"/>
  <c r="L30" i="7" s="1"/>
  <c r="K28" i="7"/>
  <c r="J28" i="7"/>
  <c r="J30" i="7" s="1"/>
  <c r="I28" i="7"/>
  <c r="H28" i="7"/>
  <c r="H30" i="7" s="1"/>
  <c r="G28" i="7"/>
  <c r="F28" i="7"/>
  <c r="F30" i="7" s="1"/>
  <c r="D28" i="7"/>
  <c r="C28" i="7"/>
  <c r="AF27" i="7"/>
  <c r="F27" i="7"/>
  <c r="E27" i="7"/>
  <c r="D27" i="7"/>
  <c r="AF26" i="7"/>
  <c r="AF25" i="7"/>
  <c r="AF24" i="7"/>
  <c r="F24" i="7"/>
  <c r="E24" i="7"/>
  <c r="E28" i="7" s="1"/>
  <c r="E30" i="7" s="1"/>
  <c r="D24" i="7"/>
  <c r="AF23" i="7"/>
  <c r="AX20" i="7"/>
  <c r="R19" i="7"/>
  <c r="P19" i="7"/>
  <c r="P20" i="7" s="1"/>
  <c r="N19" i="7"/>
  <c r="L19" i="7"/>
  <c r="J19" i="7"/>
  <c r="H19" i="7"/>
  <c r="F19" i="7"/>
  <c r="D19" i="7"/>
  <c r="R18" i="7"/>
  <c r="Q18" i="7"/>
  <c r="Q19" i="7" s="1"/>
  <c r="P18" i="7"/>
  <c r="O18" i="7"/>
  <c r="O19" i="7" s="1"/>
  <c r="O20" i="7" s="1"/>
  <c r="N18" i="7"/>
  <c r="N20" i="7" s="1"/>
  <c r="M18" i="7"/>
  <c r="L18" i="7"/>
  <c r="L33" i="7" s="1"/>
  <c r="K18" i="7"/>
  <c r="K33" i="7" s="1"/>
  <c r="J18" i="7"/>
  <c r="J33" i="7" s="1"/>
  <c r="I18" i="7"/>
  <c r="I19" i="7" s="1"/>
  <c r="H18" i="7"/>
  <c r="H33" i="7" s="1"/>
  <c r="G18" i="7"/>
  <c r="G19" i="7" s="1"/>
  <c r="G20" i="7" s="1"/>
  <c r="F18" i="7"/>
  <c r="F33" i="7" s="1"/>
  <c r="E18" i="7"/>
  <c r="E19" i="7" s="1"/>
  <c r="D18" i="7"/>
  <c r="C18" i="7"/>
  <c r="C19" i="7" s="1"/>
  <c r="C20" i="7" s="1"/>
  <c r="U17" i="7"/>
  <c r="U16" i="7"/>
  <c r="B16" i="7"/>
  <c r="B18" i="7" s="1"/>
  <c r="G15" i="7"/>
  <c r="F15" i="7"/>
  <c r="E15" i="7"/>
  <c r="D15" i="7"/>
  <c r="C15" i="7"/>
  <c r="B15" i="7" s="1"/>
  <c r="U14" i="7"/>
  <c r="B13" i="7"/>
  <c r="W12" i="7"/>
  <c r="U12" i="7"/>
  <c r="R23" i="7"/>
  <c r="S23" i="7" l="1"/>
  <c r="U23" i="7" s="1"/>
  <c r="B19" i="7"/>
  <c r="B20" i="7" s="1"/>
  <c r="M20" i="7"/>
  <c r="M32" i="7" s="1"/>
  <c r="N32" i="7"/>
  <c r="C32" i="7"/>
  <c r="O32" i="7"/>
  <c r="N30" i="7"/>
  <c r="G32" i="7"/>
  <c r="O30" i="7"/>
  <c r="C30" i="7"/>
  <c r="K19" i="7"/>
  <c r="D20" i="7"/>
  <c r="D30" i="7"/>
  <c r="P30" i="7"/>
  <c r="P32" i="7" s="1"/>
  <c r="M33" i="7"/>
  <c r="E20" i="7"/>
  <c r="E32" i="7" s="1"/>
  <c r="Q20" i="7"/>
  <c r="Q32" i="7" s="1"/>
  <c r="N33" i="7"/>
  <c r="M19" i="7"/>
  <c r="F20" i="7"/>
  <c r="F32" i="7" s="1"/>
  <c r="R20" i="7"/>
  <c r="C33" i="7"/>
  <c r="O33" i="7"/>
  <c r="D33" i="7"/>
  <c r="H20" i="7"/>
  <c r="H32" i="7" s="1"/>
  <c r="E33" i="7"/>
  <c r="Q33" i="7"/>
  <c r="J20" i="7"/>
  <c r="J32" i="7" s="1"/>
  <c r="G33" i="7"/>
  <c r="L20" i="7"/>
  <c r="L32" i="7" s="1"/>
  <c r="I33" i="7"/>
  <c r="I20" i="7"/>
  <c r="I32" i="7" s="1"/>
  <c r="K20" i="7"/>
  <c r="K32" i="7" s="1"/>
  <c r="D32" i="7" l="1"/>
  <c r="S24" i="7" l="1"/>
  <c r="R24" i="7"/>
  <c r="S25" i="7"/>
  <c r="R25" i="7"/>
  <c r="S26" i="7"/>
  <c r="R26" i="7"/>
  <c r="R27" i="7"/>
  <c r="S27" i="7"/>
  <c r="Q47" i="4"/>
  <c r="Q44" i="4"/>
  <c r="U25" i="7" l="1"/>
  <c r="U27" i="7"/>
  <c r="U26" i="7"/>
  <c r="U24" i="7"/>
  <c r="R28" i="7"/>
  <c r="R29" i="7" a="1"/>
  <c r="R29" i="7" s="1"/>
  <c r="S29" i="7" a="1"/>
  <c r="S29" i="7" s="1"/>
  <c r="S28" i="7"/>
  <c r="U29" i="7" l="1"/>
  <c r="S30" i="7"/>
  <c r="R30" i="7"/>
  <c r="R33" i="7"/>
  <c r="U28" i="7"/>
  <c r="L49" i="4" l="1"/>
  <c r="L50" i="4" s="1"/>
  <c r="V28" i="7"/>
  <c r="R32" i="7"/>
  <c r="U30" i="7"/>
  <c r="R5" i="4" l="1"/>
  <c r="Q5" i="4"/>
  <c r="H43" i="4" l="1"/>
  <c r="H22" i="4" l="1"/>
  <c r="H21" i="4"/>
  <c r="H20" i="4"/>
  <c r="P5" i="4"/>
  <c r="O5" i="4"/>
  <c r="O13" i="6" l="1"/>
  <c r="K19" i="6"/>
  <c r="N5" i="6" l="1"/>
  <c r="P5" i="6"/>
  <c r="O5" i="6"/>
  <c r="K22" i="6"/>
  <c r="L16" i="6" l="1"/>
  <c r="K23" i="6"/>
  <c r="J23" i="6"/>
  <c r="J22" i="6"/>
  <c r="J21" i="6"/>
  <c r="J20" i="6"/>
  <c r="J19" i="6"/>
  <c r="K20" i="6"/>
  <c r="K21" i="6"/>
  <c r="K5" i="6"/>
  <c r="L73" i="6" l="1"/>
  <c r="L72" i="6"/>
  <c r="L71" i="6"/>
  <c r="L70" i="6"/>
  <c r="L69" i="6"/>
  <c r="L74" i="6" s="1"/>
  <c r="H47" i="6"/>
  <c r="H46" i="6"/>
  <c r="H45" i="6"/>
  <c r="I44" i="6"/>
  <c r="H44" i="6"/>
  <c r="P43" i="6"/>
  <c r="H43" i="6"/>
  <c r="R41" i="6"/>
  <c r="Q41" i="6"/>
  <c r="P41" i="6"/>
  <c r="L41" i="6"/>
  <c r="H41" i="6"/>
  <c r="F41" i="6"/>
  <c r="E41" i="6"/>
  <c r="N40" i="6"/>
  <c r="M40" i="6" s="1"/>
  <c r="J40" i="6"/>
  <c r="I40" i="6"/>
  <c r="N39" i="6"/>
  <c r="M39" i="6"/>
  <c r="J39" i="6"/>
  <c r="I39" i="6"/>
  <c r="N38" i="6"/>
  <c r="M38" i="6"/>
  <c r="J38" i="6"/>
  <c r="I38" i="6"/>
  <c r="N37" i="6"/>
  <c r="M37" i="6" s="1"/>
  <c r="J37" i="6"/>
  <c r="I37" i="6"/>
  <c r="N36" i="6"/>
  <c r="M36" i="6" s="1"/>
  <c r="J36" i="6"/>
  <c r="I36" i="6"/>
  <c r="N35" i="6"/>
  <c r="M35" i="6"/>
  <c r="J35" i="6"/>
  <c r="I35" i="6"/>
  <c r="N34" i="6"/>
  <c r="L46" i="6" s="1"/>
  <c r="J34" i="6"/>
  <c r="I34" i="6"/>
  <c r="I46" i="6" s="1"/>
  <c r="N33" i="6"/>
  <c r="M33" i="6"/>
  <c r="J33" i="6"/>
  <c r="I33" i="6"/>
  <c r="N32" i="6"/>
  <c r="M32" i="6"/>
  <c r="J32" i="6"/>
  <c r="I32" i="6"/>
  <c r="N31" i="6"/>
  <c r="J31" i="6"/>
  <c r="I31" i="6"/>
  <c r="N30" i="6"/>
  <c r="L43" i="6" s="1"/>
  <c r="J30" i="6"/>
  <c r="I30" i="6"/>
  <c r="R29" i="6"/>
  <c r="Q29" i="6"/>
  <c r="P29" i="6"/>
  <c r="L29" i="6"/>
  <c r="H29" i="6"/>
  <c r="F29" i="6"/>
  <c r="E29" i="6"/>
  <c r="H23" i="6"/>
  <c r="H22" i="6"/>
  <c r="H21" i="6"/>
  <c r="H20" i="6"/>
  <c r="H19" i="6"/>
  <c r="J5" i="6"/>
  <c r="I5" i="6"/>
  <c r="H5" i="6"/>
  <c r="F5" i="6"/>
  <c r="E5" i="6"/>
  <c r="I41" i="6" l="1"/>
  <c r="J41" i="6"/>
  <c r="I47" i="6"/>
  <c r="L47" i="6"/>
  <c r="I45" i="6"/>
  <c r="I43" i="6"/>
  <c r="I48" i="6" s="1"/>
  <c r="J29" i="6"/>
  <c r="M30" i="6"/>
  <c r="L45" i="6"/>
  <c r="N29" i="6"/>
  <c r="N41" i="6"/>
  <c r="J24" i="6"/>
  <c r="H24" i="6"/>
  <c r="L44" i="6"/>
  <c r="I29" i="6"/>
  <c r="M31" i="6"/>
  <c r="M34" i="6"/>
  <c r="L48" i="6" l="1"/>
  <c r="M41" i="6"/>
  <c r="M42" i="6" s="1"/>
  <c r="M29" i="6"/>
  <c r="B23" i="7" l="1"/>
  <c r="H47" i="4" l="1"/>
  <c r="H46" i="4"/>
  <c r="H45" i="4"/>
  <c r="H44" i="4"/>
  <c r="M32" i="4"/>
  <c r="M33" i="4"/>
  <c r="M34" i="4"/>
  <c r="M35" i="4"/>
  <c r="M36" i="4"/>
  <c r="M37" i="4"/>
  <c r="M38" i="4"/>
  <c r="M39" i="4"/>
  <c r="M40" i="4"/>
  <c r="I31" i="4"/>
  <c r="I32" i="4"/>
  <c r="I33" i="4"/>
  <c r="I34" i="4"/>
  <c r="I35" i="4"/>
  <c r="I36" i="4"/>
  <c r="I37" i="4"/>
  <c r="I38" i="4"/>
  <c r="I39" i="4"/>
  <c r="I40" i="4"/>
  <c r="M47" i="4" l="1"/>
  <c r="M43" i="4"/>
  <c r="I43" i="4"/>
  <c r="M45" i="4"/>
  <c r="O45" i="4" s="1"/>
  <c r="M46" i="4"/>
  <c r="O46" i="4" s="1"/>
  <c r="M41" i="4"/>
  <c r="O43" i="4"/>
  <c r="O47" i="4"/>
  <c r="J41" i="4"/>
  <c r="M48" i="4" l="1"/>
  <c r="O48" i="4"/>
  <c r="Q29" i="4" l="1"/>
  <c r="R29" i="4"/>
  <c r="L29" i="4"/>
  <c r="I29" i="4"/>
  <c r="J29" i="4"/>
  <c r="N25" i="4" s="1"/>
  <c r="H29" i="4"/>
  <c r="F29" i="4"/>
  <c r="E29" i="4"/>
  <c r="E5" i="4"/>
  <c r="J10" i="5"/>
  <c r="J8" i="5"/>
  <c r="E10" i="5"/>
  <c r="E11" i="5"/>
  <c r="E12" i="5"/>
  <c r="E13" i="5"/>
  <c r="E14" i="5"/>
  <c r="E15" i="5"/>
  <c r="E16" i="5"/>
  <c r="E17" i="5"/>
  <c r="E18" i="5"/>
  <c r="E19" i="5"/>
  <c r="E20" i="5"/>
  <c r="E9" i="5"/>
  <c r="D21" i="5"/>
  <c r="C21" i="5"/>
  <c r="I44" i="4"/>
  <c r="I45" i="4"/>
  <c r="I46" i="4"/>
  <c r="I47" i="4"/>
  <c r="I48" i="4" l="1"/>
  <c r="E21" i="5"/>
  <c r="E41" i="4" l="1"/>
  <c r="F41" i="4"/>
  <c r="K13" i="7" l="1"/>
  <c r="K15" i="7" s="1"/>
  <c r="D36" i="7"/>
  <c r="O13" i="7"/>
  <c r="O15" i="7" s="1"/>
  <c r="M13" i="7"/>
  <c r="M15" i="7" s="1"/>
  <c r="J13" i="7"/>
  <c r="J15" i="7" s="1"/>
  <c r="X16" i="7"/>
  <c r="P13" i="7"/>
  <c r="P15" i="7" s="1"/>
  <c r="L13" i="7"/>
  <c r="I13" i="7"/>
  <c r="I15" i="7" s="1"/>
  <c r="H13" i="7"/>
  <c r="H15" i="7" s="1"/>
  <c r="Q13" i="7"/>
  <c r="Q15" i="7" s="1"/>
  <c r="N13" i="7"/>
  <c r="N15" i="7" s="1"/>
  <c r="U13" i="7" l="1"/>
  <c r="X13" i="7" s="1"/>
  <c r="L15" i="7"/>
  <c r="S17" i="7" s="1"/>
  <c r="S18" i="7" s="1"/>
  <c r="U15" i="7" l="1"/>
  <c r="B24" i="7"/>
  <c r="U18" i="7"/>
  <c r="S19" i="7"/>
  <c r="U19" i="7" s="1"/>
  <c r="S33" i="7"/>
  <c r="U33" i="7" s="1"/>
  <c r="AB34" i="7" s="1"/>
  <c r="B25" i="7"/>
  <c r="S20" i="7" l="1"/>
  <c r="S32" i="7" s="1"/>
  <c r="U32" i="7" s="1"/>
  <c r="AB32" i="7" s="1"/>
  <c r="U20" i="7"/>
  <c r="AB36" i="7" s="1"/>
  <c r="W16" i="7"/>
  <c r="Y16" i="7" s="1"/>
  <c r="AB38" i="7"/>
  <c r="P42" i="4" l="1"/>
  <c r="H24" i="4" l="1"/>
  <c r="J22" i="4"/>
  <c r="B26" i="7" l="1"/>
  <c r="J24" i="4"/>
  <c r="H41" i="4" l="1"/>
  <c r="B27" i="7" l="1"/>
  <c r="B28" i="7" l="1"/>
  <c r="B29" i="7" a="1"/>
  <c r="B29" i="7" s="1"/>
  <c r="I41" i="4"/>
  <c r="B30" i="7" l="1"/>
  <c r="B32" i="7" s="1"/>
  <c r="B33" i="7"/>
  <c r="P41" i="4" l="1"/>
  <c r="Q41" i="4" l="1"/>
  <c r="R41" i="4" l="1"/>
  <c r="M29" i="4" l="1"/>
  <c r="L49" i="6" l="1"/>
  <c r="L5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 Tapia B.</author>
  </authors>
  <commentList>
    <comment ref="L13" authorId="0" shapeId="0" xr:uid="{2EC5B47C-FC98-4739-854B-5A29333F77A0}">
      <text>
        <r>
          <rPr>
            <b/>
            <sz val="9"/>
            <color indexed="81"/>
            <rFont val="Tahoma"/>
            <family val="2"/>
          </rPr>
          <t>CALDERA+ 398</t>
        </r>
      </text>
    </comment>
    <comment ref="T13" authorId="0" shapeId="0" xr:uid="{3D356BBC-F94F-4B87-A2B6-83274107943A}">
      <text>
        <r>
          <rPr>
            <b/>
            <sz val="9"/>
            <color indexed="81"/>
            <rFont val="Tahoma"/>
            <family val="2"/>
          </rPr>
          <t>POM 4.276.460.228 +  Adicionales 917.058.770</t>
        </r>
      </text>
    </comment>
    <comment ref="B23" authorId="0" shapeId="0" xr:uid="{EAF70F4A-09C8-4A2C-B71A-CAA3CE30B796}">
      <text>
        <r>
          <rPr>
            <b/>
            <sz val="9"/>
            <color indexed="81"/>
            <rFont val="Tahoma"/>
            <family val="2"/>
          </rPr>
          <t>COSTO ACUMULADO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 Tapia B.</author>
  </authors>
  <commentList>
    <comment ref="H4" authorId="0" shapeId="0" xr:uid="{88E81B1A-A158-4339-9396-24D56B1B819E}">
      <text>
        <r>
          <rPr>
            <b/>
            <sz val="9"/>
            <color indexed="81"/>
            <rFont val="Tahoma"/>
            <family val="2"/>
          </rPr>
          <t xml:space="preserve">DEL INFORME 1 PEGA ACUMULADO MATRIZ DE COSTO
</t>
        </r>
      </text>
    </comment>
    <comment ref="K4" authorId="0" shapeId="0" xr:uid="{E2219046-A7EB-4839-B5C9-EC7CE42DCA1D}">
      <text>
        <r>
          <rPr>
            <b/>
            <sz val="9"/>
            <color indexed="81"/>
            <rFont val="Tahoma"/>
            <family val="2"/>
          </rPr>
          <t>DE LA MATRIZ DE COSTOS SACAMOS EL VALOR DEL COSTO DEL PERIODO</t>
        </r>
      </text>
    </comment>
    <comment ref="N42" authorId="0" shapeId="0" xr:uid="{8DA0C741-AF78-4BA9-97AE-7BF55C2BA40B}">
      <text>
        <r>
          <rPr>
            <b/>
            <sz val="9"/>
            <color indexed="81"/>
            <rFont val="Tahoma"/>
            <family val="2"/>
          </rPr>
          <t>CONSUMIDO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 Tapia B.</author>
  </authors>
  <commentList>
    <comment ref="U13" authorId="0" shapeId="0" xr:uid="{B5B06C37-02DD-4698-B361-6C4A9183D750}">
      <text>
        <r>
          <rPr>
            <b/>
            <sz val="9"/>
            <color indexed="81"/>
            <rFont val="Tahoma"/>
            <family val="2"/>
          </rPr>
          <t>POM 4.276.460.228 +  Adicionales 917.058.770</t>
        </r>
      </text>
    </comment>
    <comment ref="AX13" authorId="0" shapeId="0" xr:uid="{A9C77F73-D74C-43CF-B100-CF4194E0EEB9}">
      <text>
        <r>
          <rPr>
            <b/>
            <sz val="9"/>
            <color indexed="81"/>
            <rFont val="Tahoma"/>
            <family val="2"/>
          </rPr>
          <t>siempre debe cuadrar con los 4.750.000.000</t>
        </r>
      </text>
    </comment>
    <comment ref="U28" authorId="0" shapeId="0" xr:uid="{EC60E2EF-D4D4-45DD-AB51-5ADF6FD534A3}">
      <text>
        <r>
          <rPr>
            <b/>
            <sz val="9"/>
            <color indexed="81"/>
            <rFont val="Tahoma"/>
            <family val="2"/>
          </rPr>
          <t>Costo al mes de Marzo real + Costo Proyectado de Abril a Enero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<sst xmlns="http://schemas.openxmlformats.org/spreadsheetml/2006/main" count="254" uniqueCount="107">
  <si>
    <t xml:space="preserve">MENSUAL </t>
  </si>
  <si>
    <t>Acumulado Periodo</t>
  </si>
  <si>
    <t>TOTALES</t>
  </si>
  <si>
    <t>INGRESOS</t>
  </si>
  <si>
    <t>Anticipo</t>
  </si>
  <si>
    <t>Avance Estado de Pago</t>
  </si>
  <si>
    <t>Devolución Anticipo</t>
  </si>
  <si>
    <t>Retenciones</t>
  </si>
  <si>
    <t>Total Facturado</t>
  </si>
  <si>
    <t>POM</t>
  </si>
  <si>
    <t>Saldo x Facturar</t>
  </si>
  <si>
    <t>Estado de Pago (Pago Factura)</t>
  </si>
  <si>
    <t>Devolución de Retenciones</t>
  </si>
  <si>
    <t>TOTAL INGRESOS NETO</t>
  </si>
  <si>
    <t>IVA (19%)</t>
  </si>
  <si>
    <t>TOTAL INGRESOS</t>
  </si>
  <si>
    <t>COSTOS</t>
  </si>
  <si>
    <t>Mano de Obra</t>
  </si>
  <si>
    <t>Materiales</t>
  </si>
  <si>
    <t xml:space="preserve">Equipos </t>
  </si>
  <si>
    <t xml:space="preserve">SubContratos </t>
  </si>
  <si>
    <t xml:space="preserve">Otros Gastos </t>
  </si>
  <si>
    <t>TOTAL COSTOS NETOS</t>
  </si>
  <si>
    <t xml:space="preserve">TOTAL COSTOS </t>
  </si>
  <si>
    <t>FLUJO CAJA</t>
  </si>
  <si>
    <t>Resultado Informe de costos</t>
  </si>
  <si>
    <t>COSTO</t>
  </si>
  <si>
    <t/>
  </si>
  <si>
    <t>ACUMULADO</t>
  </si>
  <si>
    <t>COD</t>
  </si>
  <si>
    <t>PARTIDA / CATEGORIA</t>
  </si>
  <si>
    <t>PRESUPUESTO</t>
  </si>
  <si>
    <t>PROVISION</t>
  </si>
  <si>
    <t>TOTAL COSTO
ACUMULADO</t>
  </si>
  <si>
    <t>0A00</t>
  </si>
  <si>
    <t>A - MANO DE OBRA DIRECTA</t>
  </si>
  <si>
    <t>0B00</t>
  </si>
  <si>
    <t>B - MATERIALES</t>
  </si>
  <si>
    <t>0C00</t>
  </si>
  <si>
    <t>C - COSTO PROPORCIONAL HH</t>
  </si>
  <si>
    <t>0D00</t>
  </si>
  <si>
    <t>D - EQUIPOS Y COMBUSTIBLES</t>
  </si>
  <si>
    <t>0X00</t>
  </si>
  <si>
    <t>E - SUBCONTRATOS</t>
  </si>
  <si>
    <t>1F00</t>
  </si>
  <si>
    <t>F - MANO DE OBRA INDIRECTA</t>
  </si>
  <si>
    <t>1G00</t>
  </si>
  <si>
    <t>G - EQUIPOS INDIRECTOS</t>
  </si>
  <si>
    <t>1H00</t>
  </si>
  <si>
    <t>H - INSTALACIÓN DE FAENAS</t>
  </si>
  <si>
    <t>1I00</t>
  </si>
  <si>
    <t>I - GASTOS GENERALES</t>
  </si>
  <si>
    <t>1J00</t>
  </si>
  <si>
    <t>J - GASTOS FINANCIEROS - SEGUROS Y BOLETAS</t>
  </si>
  <si>
    <t>1K00</t>
  </si>
  <si>
    <t>K - OFICINA CENTRAL - IMPREVISTOS - UTILIDADES</t>
  </si>
  <si>
    <t>Equipos</t>
  </si>
  <si>
    <t>Subcontratos</t>
  </si>
  <si>
    <t>Otros Gastos</t>
  </si>
  <si>
    <t>PROYECCION</t>
  </si>
  <si>
    <t>PRODUCCION</t>
  </si>
  <si>
    <t>PERIODO</t>
  </si>
  <si>
    <t>PRESENTADO</t>
  </si>
  <si>
    <t>DESCUENTO ANTICIPO</t>
  </si>
  <si>
    <t>APROBADO</t>
  </si>
  <si>
    <t>OBSERVACIONES2</t>
  </si>
  <si>
    <t>ANTICIPO N°1</t>
  </si>
  <si>
    <t>EDP N°1</t>
  </si>
  <si>
    <t>Facturado</t>
  </si>
  <si>
    <t>EDP N°2</t>
  </si>
  <si>
    <t>EDP N°3</t>
  </si>
  <si>
    <t>EDP N°4</t>
  </si>
  <si>
    <t>EDP N°5</t>
  </si>
  <si>
    <t>FLUJO DE CAJA OBRA CC-0398</t>
  </si>
  <si>
    <t>%AVANCE Producción</t>
  </si>
  <si>
    <t>%AVANCE Costo</t>
  </si>
  <si>
    <t>enero</t>
  </si>
  <si>
    <t>TOTAL COSTO
PERIODO</t>
  </si>
  <si>
    <t>febrero</t>
  </si>
  <si>
    <t>ENERO</t>
  </si>
  <si>
    <t>diciembre</t>
  </si>
  <si>
    <t>noviembre</t>
  </si>
  <si>
    <t>Marzo</t>
  </si>
  <si>
    <t>Costo total</t>
  </si>
  <si>
    <t>Antes del cambio</t>
  </si>
  <si>
    <t>Proyectado</t>
  </si>
  <si>
    <t>Dif</t>
  </si>
  <si>
    <t>Resta mensual</t>
  </si>
  <si>
    <t>Ingreso total</t>
  </si>
  <si>
    <t>Abril</t>
  </si>
  <si>
    <t>ACUM. PERIODO</t>
  </si>
  <si>
    <t>TOTAL</t>
  </si>
  <si>
    <t>Pendiente</t>
  </si>
  <si>
    <t>Mayo</t>
  </si>
  <si>
    <t>Junio</t>
  </si>
  <si>
    <t>Julio</t>
  </si>
  <si>
    <t>Agosto</t>
  </si>
  <si>
    <t>Septiembre</t>
  </si>
  <si>
    <t>Perdida o Ganancia</t>
  </si>
  <si>
    <t>Noviembre</t>
  </si>
  <si>
    <t>Diciembre</t>
  </si>
  <si>
    <t>Enero</t>
  </si>
  <si>
    <t>Octubre</t>
  </si>
  <si>
    <t>Proyec. Costo Acum.</t>
  </si>
  <si>
    <t>Costo Acumulado</t>
  </si>
  <si>
    <t>Costo Proyect. Periodo</t>
  </si>
  <si>
    <t>Reclasificación Fact Hormigón 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</si>
</sst>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_(* #,##0.00_);_(* \(#,##0.00\);_(* &quot;-&quot;_);_(@_)"/>
    <numFmt numFmtId="166" formatCode="#,##0_ ;[Red]\-#,##0\ "/>
    <numFmt numFmtId="167" formatCode="mmm/yyyy"/>
    <numFmt numFmtId="168" formatCode="[$-10C0A]#,##0;\(#,##0\)"/>
    <numFmt numFmtId="169" formatCode="[$-10C0A]#,##0;\-#,##0"/>
    <numFmt numFmtId="170" formatCode="_(* #,##0.00_);_(* \(#,##0.00\);_(* &quot;-&quot;??_);_(@_)"/>
    <numFmt numFmtId="171" formatCode="&quot;$&quot;#,##0"/>
    <numFmt numFmtId="172" formatCode="0.000%"/>
    <numFmt numFmtId="173" formatCode="dd/mm/yy;@"/>
    <numFmt numFmtId="174" formatCode="0.0%"/>
    <numFmt numFmtId="175" formatCode="#,##0_ ;\-#,##0\ "/>
    <numFmt numFmtId="176" formatCode="0.000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002060"/>
      <name val="Arial"/>
      <family val="2"/>
    </font>
    <font>
      <sz val="10"/>
      <color rgb="FF002060"/>
      <name val="Arial"/>
      <family val="2"/>
    </font>
    <font>
      <b/>
      <u/>
      <sz val="18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3D2D1"/>
        <bgColor rgb="FFD3D2D1"/>
      </patternFill>
    </fill>
    <fill>
      <patternFill patternType="solid">
        <fgColor rgb="FFD5B9B3"/>
        <bgColor rgb="FFD5B9B3"/>
      </patternFill>
    </fill>
    <fill>
      <patternFill patternType="solid">
        <fgColor rgb="FFFFFF00"/>
        <bgColor indexed="64"/>
      </patternFill>
    </fill>
    <fill>
      <patternFill patternType="solid">
        <fgColor rgb="FFA9BEBD"/>
        <bgColor rgb="FFA9BEBD"/>
      </patternFill>
    </fill>
    <fill>
      <patternFill patternType="solid">
        <fgColor rgb="FFDEDDDC"/>
        <bgColor rgb="FFDEDDDC"/>
      </patternFill>
    </fill>
    <fill>
      <patternFill patternType="solid">
        <fgColor rgb="FFBECECD"/>
        <bgColor rgb="FFBECECD"/>
      </patternFill>
    </fill>
    <fill>
      <patternFill patternType="solid">
        <fgColor rgb="FFE0CAC6"/>
        <bgColor rgb="FFE0CAC6"/>
      </patternFill>
    </fill>
    <fill>
      <patternFill patternType="solid">
        <fgColor rgb="FFD4DEDE"/>
        <bgColor rgb="FFD4DEDE"/>
      </patternFill>
    </fill>
    <fill>
      <patternFill patternType="solid">
        <fgColor rgb="FFEEEEEE"/>
        <bgColor rgb="FFEEEEEE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13">
    <xf numFmtId="0" fontId="0" fillId="0" borderId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3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42" fontId="1" fillId="0" borderId="0" applyFont="0" applyFill="0" applyBorder="0" applyAlignment="0" applyProtection="0"/>
    <xf numFmtId="0" fontId="19" fillId="0" borderId="0"/>
    <xf numFmtId="41" fontId="1" fillId="0" borderId="0" applyFont="0" applyFill="0" applyBorder="0" applyAlignment="0" applyProtection="0"/>
  </cellStyleXfs>
  <cellXfs count="191">
    <xf numFmtId="0" fontId="0" fillId="0" borderId="0" xfId="0"/>
    <xf numFmtId="0" fontId="5" fillId="0" borderId="0" xfId="0" applyFont="1"/>
    <xf numFmtId="165" fontId="6" fillId="2" borderId="1" xfId="5" applyNumberFormat="1" applyFont="1" applyFill="1" applyBorder="1"/>
    <xf numFmtId="165" fontId="6" fillId="2" borderId="1" xfId="5" applyNumberFormat="1" applyFont="1" applyFill="1" applyBorder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5" xfId="0" applyFont="1" applyBorder="1" applyAlignment="1">
      <alignment horizontal="left" indent="2"/>
    </xf>
    <xf numFmtId="166" fontId="7" fillId="0" borderId="6" xfId="0" applyNumberFormat="1" applyFont="1" applyBorder="1" applyAlignment="1">
      <alignment horizontal="center"/>
    </xf>
    <xf numFmtId="166" fontId="7" fillId="0" borderId="1" xfId="0" applyNumberFormat="1" applyFont="1" applyBorder="1" applyAlignment="1">
      <alignment horizontal="center"/>
    </xf>
    <xf numFmtId="166" fontId="0" fillId="0" borderId="0" xfId="0" applyNumberFormat="1"/>
    <xf numFmtId="166" fontId="0" fillId="3" borderId="1" xfId="0" applyNumberFormat="1" applyFill="1" applyBorder="1"/>
    <xf numFmtId="166" fontId="0" fillId="0" borderId="1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3" borderId="0" xfId="0" applyNumberFormat="1" applyFill="1"/>
    <xf numFmtId="166" fontId="2" fillId="0" borderId="2" xfId="0" applyNumberFormat="1" applyFont="1" applyBorder="1" applyAlignment="1">
      <alignment horizontal="center"/>
    </xf>
    <xf numFmtId="166" fontId="2" fillId="0" borderId="3" xfId="0" applyNumberFormat="1" applyFont="1" applyBorder="1" applyAlignment="1">
      <alignment horizontal="center"/>
    </xf>
    <xf numFmtId="166" fontId="2" fillId="3" borderId="0" xfId="0" applyNumberFormat="1" applyFont="1" applyFill="1" applyAlignment="1">
      <alignment horizontal="center"/>
    </xf>
    <xf numFmtId="166" fontId="0" fillId="0" borderId="4" xfId="0" applyNumberFormat="1" applyBorder="1"/>
    <xf numFmtId="165" fontId="6" fillId="2" borderId="3" xfId="5" applyNumberFormat="1" applyFont="1" applyFill="1" applyBorder="1"/>
    <xf numFmtId="167" fontId="6" fillId="2" borderId="1" xfId="5" applyNumberFormat="1" applyFont="1" applyFill="1" applyBorder="1" applyAlignment="1">
      <alignment horizontal="center"/>
    </xf>
    <xf numFmtId="165" fontId="6" fillId="4" borderId="0" xfId="5" applyNumberFormat="1" applyFont="1" applyFill="1" applyAlignment="1">
      <alignment horizontal="right"/>
    </xf>
    <xf numFmtId="165" fontId="6" fillId="2" borderId="7" xfId="5" applyNumberFormat="1" applyFont="1" applyFill="1" applyBorder="1" applyAlignment="1">
      <alignment horizontal="right"/>
    </xf>
    <xf numFmtId="165" fontId="6" fillId="2" borderId="9" xfId="5" applyNumberFormat="1" applyFont="1" applyFill="1" applyBorder="1" applyAlignment="1">
      <alignment horizontal="right"/>
    </xf>
    <xf numFmtId="166" fontId="7" fillId="0" borderId="5" xfId="0" applyNumberFormat="1" applyFont="1" applyBorder="1" applyAlignment="1">
      <alignment horizontal="center"/>
    </xf>
    <xf numFmtId="165" fontId="6" fillId="2" borderId="9" xfId="5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/>
    <xf numFmtId="166" fontId="0" fillId="0" borderId="2" xfId="0" applyNumberFormat="1" applyBorder="1"/>
    <xf numFmtId="0" fontId="9" fillId="0" borderId="0" xfId="0" applyFont="1"/>
    <xf numFmtId="0" fontId="10" fillId="0" borderId="0" xfId="0" applyFont="1"/>
    <xf numFmtId="0" fontId="11" fillId="5" borderId="10" xfId="0" applyFont="1" applyFill="1" applyBorder="1" applyAlignment="1">
      <alignment horizontal="center" vertical="top" wrapText="1" readingOrder="1"/>
    </xf>
    <xf numFmtId="0" fontId="12" fillId="5" borderId="13" xfId="0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vertical="center"/>
    </xf>
    <xf numFmtId="0" fontId="12" fillId="6" borderId="13" xfId="0" applyFont="1" applyFill="1" applyBorder="1" applyAlignment="1">
      <alignment horizontal="center" vertical="center" wrapText="1" readingOrder="1"/>
    </xf>
    <xf numFmtId="0" fontId="0" fillId="0" borderId="1" xfId="0" applyBorder="1"/>
    <xf numFmtId="0" fontId="2" fillId="0" borderId="1" xfId="0" applyFont="1" applyBorder="1" applyAlignment="1">
      <alignment horizontal="center"/>
    </xf>
    <xf numFmtId="41" fontId="2" fillId="0" borderId="1" xfId="6" applyFont="1" applyBorder="1"/>
    <xf numFmtId="3" fontId="0" fillId="0" borderId="0" xfId="0" applyNumberFormat="1"/>
    <xf numFmtId="0" fontId="0" fillId="0" borderId="1" xfId="0" applyBorder="1" applyAlignment="1">
      <alignment horizontal="center"/>
    </xf>
    <xf numFmtId="41" fontId="0" fillId="0" borderId="1" xfId="6" applyFont="1" applyBorder="1"/>
    <xf numFmtId="41" fontId="0" fillId="7" borderId="1" xfId="6" applyFont="1" applyFill="1" applyBorder="1"/>
    <xf numFmtId="41" fontId="0" fillId="0" borderId="0" xfId="0" applyNumberFormat="1"/>
    <xf numFmtId="41" fontId="2" fillId="0" borderId="0" xfId="0" applyNumberFormat="1" applyFont="1"/>
    <xf numFmtId="0" fontId="12" fillId="9" borderId="10" xfId="0" applyFont="1" applyFill="1" applyBorder="1" applyAlignment="1">
      <alignment vertical="top" wrapText="1" readingOrder="1"/>
    </xf>
    <xf numFmtId="168" fontId="12" fillId="9" borderId="10" xfId="0" applyNumberFormat="1" applyFont="1" applyFill="1" applyBorder="1" applyAlignment="1">
      <alignment vertical="top" wrapText="1" readingOrder="1"/>
    </xf>
    <xf numFmtId="169" fontId="12" fillId="10" borderId="10" xfId="0" applyNumberFormat="1" applyFont="1" applyFill="1" applyBorder="1" applyAlignment="1">
      <alignment vertical="top" wrapText="1" readingOrder="1"/>
    </xf>
    <xf numFmtId="169" fontId="12" fillId="11" borderId="10" xfId="0" applyNumberFormat="1" applyFont="1" applyFill="1" applyBorder="1" applyAlignment="1">
      <alignment vertical="top" wrapText="1" readingOrder="1"/>
    </xf>
    <xf numFmtId="169" fontId="12" fillId="12" borderId="10" xfId="0" applyNumberFormat="1" applyFont="1" applyFill="1" applyBorder="1" applyAlignment="1">
      <alignment vertical="top" wrapText="1" readingOrder="1"/>
    </xf>
    <xf numFmtId="0" fontId="12" fillId="13" borderId="10" xfId="0" applyFont="1" applyFill="1" applyBorder="1" applyAlignment="1">
      <alignment vertical="top" wrapText="1" readingOrder="1"/>
    </xf>
    <xf numFmtId="168" fontId="13" fillId="0" borderId="10" xfId="0" applyNumberFormat="1" applyFont="1" applyBorder="1" applyAlignment="1">
      <alignment horizontal="right" vertical="top" wrapText="1" readingOrder="1"/>
    </xf>
    <xf numFmtId="169" fontId="13" fillId="0" borderId="10" xfId="0" applyNumberFormat="1" applyFont="1" applyBorder="1" applyAlignment="1">
      <alignment vertical="top" wrapText="1" readingOrder="1"/>
    </xf>
    <xf numFmtId="166" fontId="13" fillId="0" borderId="10" xfId="0" applyNumberFormat="1" applyFont="1" applyBorder="1" applyAlignment="1">
      <alignment vertical="top" wrapText="1" readingOrder="1"/>
    </xf>
    <xf numFmtId="41" fontId="0" fillId="0" borderId="0" xfId="6" applyFont="1"/>
    <xf numFmtId="9" fontId="0" fillId="0" borderId="0" xfId="7" applyFont="1"/>
    <xf numFmtId="169" fontId="0" fillId="0" borderId="0" xfId="0" applyNumberFormat="1"/>
    <xf numFmtId="168" fontId="0" fillId="0" borderId="0" xfId="0" applyNumberFormat="1"/>
    <xf numFmtId="0" fontId="2" fillId="0" borderId="0" xfId="0" applyFont="1"/>
    <xf numFmtId="166" fontId="2" fillId="0" borderId="0" xfId="0" applyNumberFormat="1" applyFont="1"/>
    <xf numFmtId="166" fontId="2" fillId="3" borderId="1" xfId="0" applyNumberFormat="1" applyFont="1" applyFill="1" applyBorder="1"/>
    <xf numFmtId="166" fontId="6" fillId="3" borderId="1" xfId="0" applyNumberFormat="1" applyFont="1" applyFill="1" applyBorder="1" applyAlignment="1">
      <alignment horizontal="center"/>
    </xf>
    <xf numFmtId="166" fontId="8" fillId="0" borderId="6" xfId="0" applyNumberFormat="1" applyFont="1" applyBorder="1" applyAlignment="1">
      <alignment horizontal="center"/>
    </xf>
    <xf numFmtId="42" fontId="0" fillId="0" borderId="0" xfId="10" applyFont="1"/>
    <xf numFmtId="166" fontId="0" fillId="0" borderId="4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7" fillId="0" borderId="8" xfId="0" applyNumberFormat="1" applyFont="1" applyBorder="1" applyAlignment="1">
      <alignment horizontal="center"/>
    </xf>
    <xf numFmtId="166" fontId="8" fillId="0" borderId="8" xfId="0" applyNumberFormat="1" applyFont="1" applyBorder="1" applyAlignment="1">
      <alignment horizontal="center"/>
    </xf>
    <xf numFmtId="0" fontId="14" fillId="14" borderId="14" xfId="0" applyFont="1" applyFill="1" applyBorder="1" applyAlignment="1">
      <alignment horizontal="center" vertical="center"/>
    </xf>
    <xf numFmtId="0" fontId="14" fillId="14" borderId="15" xfId="0" applyFont="1" applyFill="1" applyBorder="1" applyAlignment="1">
      <alignment horizontal="center" vertical="center"/>
    </xf>
    <xf numFmtId="0" fontId="14" fillId="14" borderId="16" xfId="0" applyFont="1" applyFill="1" applyBorder="1" applyAlignment="1">
      <alignment horizontal="center" vertical="center"/>
    </xf>
    <xf numFmtId="0" fontId="14" fillId="14" borderId="17" xfId="0" applyFont="1" applyFill="1" applyBorder="1" applyAlignment="1">
      <alignment horizontal="center" vertical="center"/>
    </xf>
    <xf numFmtId="0" fontId="14" fillId="14" borderId="18" xfId="0" applyFont="1" applyFill="1" applyBorder="1" applyAlignment="1">
      <alignment horizontal="center" vertical="center"/>
    </xf>
    <xf numFmtId="17" fontId="15" fillId="0" borderId="19" xfId="0" applyNumberFormat="1" applyFont="1" applyBorder="1" applyAlignment="1">
      <alignment horizontal="center"/>
    </xf>
    <xf numFmtId="171" fontId="15" fillId="0" borderId="1" xfId="6" applyNumberFormat="1" applyFont="1" applyFill="1" applyBorder="1" applyAlignment="1">
      <alignment horizontal="center"/>
    </xf>
    <xf numFmtId="171" fontId="15" fillId="0" borderId="1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15" fillId="15" borderId="6" xfId="0" applyFont="1" applyFill="1" applyBorder="1" applyAlignment="1">
      <alignment horizontal="left" vertical="center"/>
    </xf>
    <xf numFmtId="0" fontId="15" fillId="15" borderId="20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left" vertical="center"/>
    </xf>
    <xf numFmtId="0" fontId="15" fillId="4" borderId="20" xfId="0" applyFont="1" applyFill="1" applyBorder="1" applyAlignment="1">
      <alignment horizontal="left" vertical="center"/>
    </xf>
    <xf numFmtId="0" fontId="16" fillId="4" borderId="6" xfId="0" applyFont="1" applyFill="1" applyBorder="1" applyAlignment="1">
      <alignment horizontal="left" vertical="center"/>
    </xf>
    <xf numFmtId="0" fontId="16" fillId="4" borderId="20" xfId="0" applyFont="1" applyFill="1" applyBorder="1" applyAlignment="1">
      <alignment horizontal="left" vertical="center"/>
    </xf>
    <xf numFmtId="42" fontId="15" fillId="0" borderId="1" xfId="0" applyNumberFormat="1" applyFont="1" applyBorder="1" applyAlignment="1">
      <alignment horizontal="center" vertical="center"/>
    </xf>
    <xf numFmtId="0" fontId="16" fillId="15" borderId="6" xfId="0" applyFont="1" applyFill="1" applyBorder="1" applyAlignment="1">
      <alignment horizontal="left" vertical="center"/>
    </xf>
    <xf numFmtId="0" fontId="16" fillId="15" borderId="20" xfId="0" applyFont="1" applyFill="1" applyBorder="1" applyAlignment="1">
      <alignment horizontal="left" vertical="center"/>
    </xf>
    <xf numFmtId="0" fontId="15" fillId="0" borderId="21" xfId="0" applyFont="1" applyBorder="1" applyAlignment="1">
      <alignment horizontal="center"/>
    </xf>
    <xf numFmtId="171" fontId="15" fillId="0" borderId="22" xfId="6" applyNumberFormat="1" applyFont="1" applyFill="1" applyBorder="1" applyAlignment="1">
      <alignment horizontal="center"/>
    </xf>
    <xf numFmtId="171" fontId="17" fillId="0" borderId="22" xfId="0" applyNumberFormat="1" applyFont="1" applyBorder="1" applyAlignment="1">
      <alignment horizontal="center" vertical="center"/>
    </xf>
    <xf numFmtId="171" fontId="16" fillId="0" borderId="22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left" vertical="center"/>
    </xf>
    <xf numFmtId="0" fontId="16" fillId="4" borderId="23" xfId="0" applyFont="1" applyFill="1" applyBorder="1" applyAlignment="1">
      <alignment horizontal="left" vertical="center"/>
    </xf>
    <xf numFmtId="0" fontId="16" fillId="4" borderId="24" xfId="0" applyFont="1" applyFill="1" applyBorder="1" applyAlignment="1">
      <alignment horizontal="left" vertical="center"/>
    </xf>
    <xf numFmtId="171" fontId="15" fillId="0" borderId="1" xfId="12" applyNumberFormat="1" applyFont="1" applyFill="1" applyBorder="1" applyAlignment="1">
      <alignment horizontal="center"/>
    </xf>
    <xf numFmtId="171" fontId="17" fillId="0" borderId="1" xfId="12" applyNumberFormat="1" applyFont="1" applyFill="1" applyBorder="1" applyAlignment="1">
      <alignment horizontal="center"/>
    </xf>
    <xf numFmtId="171" fontId="18" fillId="0" borderId="1" xfId="12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2" fillId="0" borderId="0" xfId="0" applyNumberFormat="1" applyFont="1" applyAlignment="1">
      <alignment horizontal="center"/>
    </xf>
    <xf numFmtId="171" fontId="17" fillId="0" borderId="1" xfId="6" applyNumberFormat="1" applyFont="1" applyFill="1" applyBorder="1" applyAlignment="1">
      <alignment horizontal="center"/>
    </xf>
    <xf numFmtId="0" fontId="20" fillId="0" borderId="0" xfId="0" applyFont="1"/>
    <xf numFmtId="1" fontId="20" fillId="0" borderId="0" xfId="0" applyNumberFormat="1" applyFont="1"/>
    <xf numFmtId="17" fontId="15" fillId="0" borderId="6" xfId="0" applyNumberFormat="1" applyFont="1" applyBorder="1" applyAlignment="1">
      <alignment horizontal="center"/>
    </xf>
    <xf numFmtId="173" fontId="15" fillId="0" borderId="1" xfId="6" applyNumberFormat="1" applyFont="1" applyFill="1" applyBorder="1" applyAlignment="1">
      <alignment horizontal="left"/>
    </xf>
    <xf numFmtId="173" fontId="15" fillId="0" borderId="1" xfId="0" applyNumberFormat="1" applyFont="1" applyBorder="1" applyAlignment="1">
      <alignment horizontal="center" vertical="center"/>
    </xf>
    <xf numFmtId="171" fontId="15" fillId="0" borderId="1" xfId="10" applyNumberFormat="1" applyFont="1" applyFill="1" applyBorder="1" applyAlignment="1">
      <alignment horizontal="left"/>
    </xf>
    <xf numFmtId="171" fontId="17" fillId="4" borderId="1" xfId="0" applyNumberFormat="1" applyFont="1" applyFill="1" applyBorder="1" applyAlignment="1">
      <alignment horizontal="center" vertical="center"/>
    </xf>
    <xf numFmtId="171" fontId="0" fillId="0" borderId="0" xfId="0" applyNumberFormat="1"/>
    <xf numFmtId="42" fontId="0" fillId="0" borderId="0" xfId="0" applyNumberFormat="1"/>
    <xf numFmtId="169" fontId="13" fillId="7" borderId="10" xfId="0" applyNumberFormat="1" applyFont="1" applyFill="1" applyBorder="1" applyAlignment="1">
      <alignment vertical="top" wrapText="1" readingOrder="1"/>
    </xf>
    <xf numFmtId="168" fontId="13" fillId="7" borderId="10" xfId="0" applyNumberFormat="1" applyFont="1" applyFill="1" applyBorder="1" applyAlignment="1">
      <alignment horizontal="right" vertical="top" wrapText="1" readingOrder="1"/>
    </xf>
    <xf numFmtId="41" fontId="2" fillId="7" borderId="1" xfId="6" applyFont="1" applyFill="1" applyBorder="1"/>
    <xf numFmtId="0" fontId="21" fillId="0" borderId="0" xfId="0" applyFont="1"/>
    <xf numFmtId="10" fontId="20" fillId="0" borderId="0" xfId="0" applyNumberFormat="1" applyFont="1"/>
    <xf numFmtId="168" fontId="0" fillId="7" borderId="0" xfId="0" applyNumberFormat="1" applyFill="1"/>
    <xf numFmtId="0" fontId="12" fillId="6" borderId="25" xfId="0" applyFont="1" applyFill="1" applyBorder="1" applyAlignment="1">
      <alignment horizontal="center" vertical="center" wrapText="1" readingOrder="1"/>
    </xf>
    <xf numFmtId="3" fontId="0" fillId="0" borderId="1" xfId="0" applyNumberFormat="1" applyBorder="1"/>
    <xf numFmtId="3" fontId="0" fillId="16" borderId="1" xfId="0" applyNumberFormat="1" applyFill="1" applyBorder="1"/>
    <xf numFmtId="3" fontId="0" fillId="17" borderId="1" xfId="0" applyNumberFormat="1" applyFill="1" applyBorder="1"/>
    <xf numFmtId="3" fontId="0" fillId="18" borderId="1" xfId="0" applyNumberFormat="1" applyFill="1" applyBorder="1"/>
    <xf numFmtId="3" fontId="0" fillId="19" borderId="1" xfId="0" applyNumberFormat="1" applyFill="1" applyBorder="1"/>
    <xf numFmtId="3" fontId="0" fillId="20" borderId="1" xfId="0" applyNumberFormat="1" applyFill="1" applyBorder="1"/>
    <xf numFmtId="0" fontId="12" fillId="6" borderId="1" xfId="0" applyFont="1" applyFill="1" applyBorder="1" applyAlignment="1">
      <alignment horizontal="center" vertical="center" wrapText="1" readingOrder="1"/>
    </xf>
    <xf numFmtId="41" fontId="0" fillId="16" borderId="1" xfId="6" applyFont="1" applyFill="1" applyBorder="1"/>
    <xf numFmtId="41" fontId="0" fillId="20" borderId="1" xfId="6" applyFont="1" applyFill="1" applyBorder="1"/>
    <xf numFmtId="41" fontId="0" fillId="17" borderId="1" xfId="6" applyFont="1" applyFill="1" applyBorder="1"/>
    <xf numFmtId="41" fontId="0" fillId="18" borderId="1" xfId="6" applyFont="1" applyFill="1" applyBorder="1"/>
    <xf numFmtId="41" fontId="0" fillId="19" borderId="1" xfId="6" applyFont="1" applyFill="1" applyBorder="1"/>
    <xf numFmtId="175" fontId="0" fillId="16" borderId="1" xfId="6" applyNumberFormat="1" applyFont="1" applyFill="1" applyBorder="1" applyAlignment="1">
      <alignment horizontal="center"/>
    </xf>
    <xf numFmtId="175" fontId="0" fillId="20" borderId="1" xfId="6" applyNumberFormat="1" applyFont="1" applyFill="1" applyBorder="1" applyAlignment="1">
      <alignment horizontal="center"/>
    </xf>
    <xf numFmtId="175" fontId="0" fillId="17" borderId="1" xfId="6" applyNumberFormat="1" applyFont="1" applyFill="1" applyBorder="1" applyAlignment="1">
      <alignment horizontal="center"/>
    </xf>
    <xf numFmtId="175" fontId="0" fillId="18" borderId="1" xfId="6" applyNumberFormat="1" applyFont="1" applyFill="1" applyBorder="1" applyAlignment="1">
      <alignment horizontal="center"/>
    </xf>
    <xf numFmtId="175" fontId="0" fillId="19" borderId="1" xfId="6" applyNumberFormat="1" applyFont="1" applyFill="1" applyBorder="1" applyAlignment="1">
      <alignment horizontal="center"/>
    </xf>
    <xf numFmtId="41" fontId="0" fillId="0" borderId="1" xfId="6" applyFont="1" applyFill="1" applyBorder="1"/>
    <xf numFmtId="0" fontId="22" fillId="0" borderId="0" xfId="0" applyFont="1"/>
    <xf numFmtId="0" fontId="20" fillId="0" borderId="0" xfId="0" applyFont="1" applyAlignment="1">
      <alignment horizontal="center"/>
    </xf>
    <xf numFmtId="0" fontId="0" fillId="0" borderId="6" xfId="0" applyBorder="1"/>
    <xf numFmtId="166" fontId="0" fillId="0" borderId="5" xfId="0" applyNumberFormat="1" applyBorder="1" applyAlignment="1">
      <alignment horizontal="center"/>
    </xf>
    <xf numFmtId="166" fontId="8" fillId="0" borderId="5" xfId="0" applyNumberFormat="1" applyFont="1" applyBorder="1" applyAlignment="1">
      <alignment horizontal="center"/>
    </xf>
    <xf numFmtId="166" fontId="20" fillId="0" borderId="0" xfId="0" applyNumberFormat="1" applyFont="1"/>
    <xf numFmtId="42" fontId="20" fillId="0" borderId="0" xfId="10" applyFont="1"/>
    <xf numFmtId="166" fontId="0" fillId="21" borderId="1" xfId="0" applyNumberFormat="1" applyFill="1" applyBorder="1"/>
    <xf numFmtId="0" fontId="12" fillId="6" borderId="26" xfId="0" applyFont="1" applyFill="1" applyBorder="1" applyAlignment="1">
      <alignment horizontal="center" vertical="center" wrapText="1" readingOrder="1"/>
    </xf>
    <xf numFmtId="174" fontId="24" fillId="0" borderId="0" xfId="0" applyNumberFormat="1" applyFont="1"/>
    <xf numFmtId="0" fontId="24" fillId="0" borderId="0" xfId="0" applyFont="1"/>
    <xf numFmtId="174" fontId="0" fillId="0" borderId="0" xfId="7" applyNumberFormat="1" applyFont="1" applyFill="1" applyBorder="1" applyAlignment="1">
      <alignment horizontal="center"/>
    </xf>
    <xf numFmtId="41" fontId="0" fillId="0" borderId="0" xfId="6" applyFont="1" applyFill="1" applyBorder="1"/>
    <xf numFmtId="9" fontId="0" fillId="0" borderId="0" xfId="7" applyFont="1" applyFill="1" applyBorder="1"/>
    <xf numFmtId="174" fontId="0" fillId="0" borderId="0" xfId="7" applyNumberFormat="1" applyFont="1" applyFill="1" applyBorder="1"/>
    <xf numFmtId="10" fontId="24" fillId="0" borderId="0" xfId="7" applyNumberFormat="1" applyFont="1" applyFill="1" applyBorder="1"/>
    <xf numFmtId="10" fontId="0" fillId="0" borderId="0" xfId="0" applyNumberFormat="1"/>
    <xf numFmtId="0" fontId="0" fillId="0" borderId="0" xfId="0" applyAlignment="1">
      <alignment horizontal="center"/>
    </xf>
    <xf numFmtId="172" fontId="0" fillId="0" borderId="0" xfId="0" applyNumberFormat="1" applyAlignment="1">
      <alignment horizontal="center"/>
    </xf>
    <xf numFmtId="172" fontId="0" fillId="0" borderId="0" xfId="0" applyNumberFormat="1"/>
    <xf numFmtId="10" fontId="0" fillId="0" borderId="0" xfId="7" applyNumberFormat="1" applyFont="1" applyFill="1" applyBorder="1"/>
    <xf numFmtId="0" fontId="0" fillId="7" borderId="0" xfId="0" applyFill="1"/>
    <xf numFmtId="41" fontId="0" fillId="7" borderId="0" xfId="0" applyNumberFormat="1" applyFill="1"/>
    <xf numFmtId="41" fontId="0" fillId="7" borderId="1" xfId="0" applyNumberFormat="1" applyFill="1" applyBorder="1"/>
    <xf numFmtId="169" fontId="0" fillId="0" borderId="0" xfId="0" applyNumberFormat="1" applyAlignment="1">
      <alignment horizontal="center"/>
    </xf>
    <xf numFmtId="169" fontId="0" fillId="7" borderId="0" xfId="0" applyNumberFormat="1" applyFill="1"/>
    <xf numFmtId="41" fontId="20" fillId="0" borderId="0" xfId="6" applyFont="1"/>
    <xf numFmtId="169" fontId="0" fillId="7" borderId="0" xfId="0" applyNumberFormat="1" applyFill="1" applyAlignment="1">
      <alignment horizontal="center"/>
    </xf>
    <xf numFmtId="168" fontId="0" fillId="22" borderId="0" xfId="0" applyNumberFormat="1" applyFill="1"/>
    <xf numFmtId="0" fontId="0" fillId="22" borderId="0" xfId="0" applyFill="1" applyAlignment="1">
      <alignment horizontal="center"/>
    </xf>
    <xf numFmtId="41" fontId="0" fillId="23" borderId="0" xfId="6" applyFont="1" applyFill="1"/>
    <xf numFmtId="175" fontId="0" fillId="7" borderId="1" xfId="0" applyNumberFormat="1" applyFill="1" applyBorder="1"/>
    <xf numFmtId="0" fontId="0" fillId="7" borderId="0" xfId="0" applyFill="1" applyAlignment="1">
      <alignment horizontal="center"/>
    </xf>
    <xf numFmtId="168" fontId="0" fillId="18" borderId="0" xfId="0" applyNumberFormat="1" applyFill="1"/>
    <xf numFmtId="169" fontId="0" fillId="23" borderId="0" xfId="0" applyNumberFormat="1" applyFill="1"/>
    <xf numFmtId="175" fontId="2" fillId="7" borderId="1" xfId="6" applyNumberFormat="1" applyFont="1" applyFill="1" applyBorder="1" applyAlignment="1">
      <alignment horizontal="center"/>
    </xf>
    <xf numFmtId="0" fontId="0" fillId="24" borderId="0" xfId="0" applyFill="1" applyAlignment="1">
      <alignment horizontal="center"/>
    </xf>
    <xf numFmtId="175" fontId="0" fillId="0" borderId="0" xfId="0" applyNumberFormat="1"/>
    <xf numFmtId="167" fontId="6" fillId="2" borderId="7" xfId="5" applyNumberFormat="1" applyFont="1" applyFill="1" applyBorder="1" applyAlignment="1">
      <alignment horizontal="center"/>
    </xf>
    <xf numFmtId="166" fontId="6" fillId="3" borderId="7" xfId="0" applyNumberFormat="1" applyFont="1" applyFill="1" applyBorder="1" applyAlignment="1">
      <alignment horizontal="center"/>
    </xf>
    <xf numFmtId="167" fontId="6" fillId="0" borderId="0" xfId="5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0" fontId="0" fillId="0" borderId="0" xfId="7" applyNumberFormat="1" applyFont="1" applyAlignment="1">
      <alignment horizontal="center"/>
    </xf>
    <xf numFmtId="166" fontId="20" fillId="0" borderId="0" xfId="6" applyNumberFormat="1" applyFont="1"/>
    <xf numFmtId="41" fontId="5" fillId="0" borderId="0" xfId="6" applyFont="1"/>
    <xf numFmtId="41" fontId="5" fillId="0" borderId="0" xfId="0" applyNumberFormat="1" applyFont="1"/>
    <xf numFmtId="10" fontId="25" fillId="0" borderId="0" xfId="7" applyNumberFormat="1" applyFont="1" applyFill="1" applyBorder="1" applyAlignment="1">
      <alignment vertical="center" wrapText="1"/>
    </xf>
    <xf numFmtId="42" fontId="25" fillId="0" borderId="0" xfId="10" applyFont="1" applyFill="1" applyBorder="1" applyAlignment="1">
      <alignment vertical="center" wrapText="1"/>
    </xf>
    <xf numFmtId="41" fontId="0" fillId="0" borderId="0" xfId="6" applyFont="1" applyFill="1" applyBorder="1" applyAlignment="1">
      <alignment horizontal="center"/>
    </xf>
    <xf numFmtId="176" fontId="0" fillId="0" borderId="0" xfId="7" applyNumberFormat="1" applyFont="1" applyFill="1" applyBorder="1"/>
    <xf numFmtId="176" fontId="0" fillId="0" borderId="0" xfId="0" applyNumberFormat="1"/>
    <xf numFmtId="0" fontId="11" fillId="6" borderId="10" xfId="0" applyFont="1" applyFill="1" applyBorder="1" applyAlignment="1">
      <alignment horizontal="center" vertical="top" wrapText="1" readingOrder="1"/>
    </xf>
    <xf numFmtId="0" fontId="10" fillId="0" borderId="11" xfId="0" applyFont="1" applyBorder="1" applyAlignment="1">
      <alignment vertical="top" wrapText="1"/>
    </xf>
    <xf numFmtId="0" fontId="10" fillId="0" borderId="12" xfId="0" applyFont="1" applyBorder="1" applyAlignment="1">
      <alignment vertical="top" wrapText="1"/>
    </xf>
    <xf numFmtId="0" fontId="11" fillId="8" borderId="10" xfId="0" applyFont="1" applyFill="1" applyBorder="1" applyAlignment="1">
      <alignment horizontal="center" vertical="top" wrapText="1" readingOrder="1"/>
    </xf>
    <xf numFmtId="0" fontId="11" fillId="6" borderId="27" xfId="0" applyFont="1" applyFill="1" applyBorder="1" applyAlignment="1">
      <alignment horizontal="center" vertical="top" wrapText="1" readingOrder="1"/>
    </xf>
    <xf numFmtId="0" fontId="11" fillId="6" borderId="11" xfId="0" applyFont="1" applyFill="1" applyBorder="1" applyAlignment="1">
      <alignment horizontal="center" vertical="top" wrapText="1" readingOrder="1"/>
    </xf>
    <xf numFmtId="0" fontId="11" fillId="6" borderId="12" xfId="0" applyFont="1" applyFill="1" applyBorder="1" applyAlignment="1">
      <alignment horizontal="center" vertical="top" wrapText="1" readingOrder="1"/>
    </xf>
    <xf numFmtId="0" fontId="11" fillId="5" borderId="10" xfId="0" applyFont="1" applyFill="1" applyBorder="1" applyAlignment="1">
      <alignment horizontal="center" vertical="top" wrapText="1" readingOrder="1"/>
    </xf>
  </cellXfs>
  <cellStyles count="13">
    <cellStyle name="Millares [0]" xfId="6" builtinId="6"/>
    <cellStyle name="Millares [0] 2" xfId="12" xr:uid="{79FDAB35-33CD-4E7F-B653-5B78AAD1FFBC}"/>
    <cellStyle name="Millares 12" xfId="3" xr:uid="{72B6CD19-1A01-48A8-A168-1956418D20E4}"/>
    <cellStyle name="Millares 2" xfId="8" xr:uid="{AD3F3AFA-3139-4103-A369-569291A17840}"/>
    <cellStyle name="Moneda [0]" xfId="10" builtinId="7"/>
    <cellStyle name="Normal" xfId="0" builtinId="0"/>
    <cellStyle name="Normal 10" xfId="2" xr:uid="{C692822B-BFFA-4630-8A9B-8EF2A8BB818C}"/>
    <cellStyle name="Normal 11" xfId="4" xr:uid="{8B0FC189-FEBE-481A-88F0-559DC4C5ECCA}"/>
    <cellStyle name="Normal 13" xfId="1" xr:uid="{7BB34C13-3BDE-4F23-B419-563317AF2D73}"/>
    <cellStyle name="Normal 2" xfId="5" xr:uid="{0C51F2C2-CE91-4A1E-A679-E6501C14DA6F}"/>
    <cellStyle name="Normal 3" xfId="11" xr:uid="{7C64F4B0-AC5A-4120-8D6A-D9DC6B90CF54}"/>
    <cellStyle name="Normal 7 2" xfId="9" xr:uid="{F4C97E0C-9E6A-48AB-BC26-9DBA34C6D8AF}"/>
    <cellStyle name="Porcentaje" xfId="7" builtinId="5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71" formatCode="&quot;$&quot;#,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73" formatCode="dd/mm/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73" formatCode="dd/mm/yy;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2" formatCode="mmm/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8625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212910</xdr:colOff>
      <xdr:row>1</xdr:row>
      <xdr:rowOff>22412</xdr:rowOff>
    </xdr:from>
    <xdr:to>
      <xdr:col>1</xdr:col>
      <xdr:colOff>215821</xdr:colOff>
      <xdr:row>5</xdr:row>
      <xdr:rowOff>78132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D67126-256D-4EFE-8ED1-40DAEBAE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0" y="212912"/>
          <a:ext cx="2199264" cy="8177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112058</xdr:colOff>
      <xdr:row>0</xdr:row>
      <xdr:rowOff>89647</xdr:rowOff>
    </xdr:from>
    <xdr:to>
      <xdr:col>1</xdr:col>
      <xdr:colOff>114969</xdr:colOff>
      <xdr:row>4</xdr:row>
      <xdr:rowOff>145367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B71D1F-3D1E-4570-9793-C931B0022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58" y="89647"/>
          <a:ext cx="2203186" cy="81772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</xdr:row>
      <xdr:rowOff>0</xdr:rowOff>
    </xdr:from>
    <xdr:to>
      <xdr:col>54</xdr:col>
      <xdr:colOff>95582</xdr:colOff>
      <xdr:row>19</xdr:row>
      <xdr:rowOff>47844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0E9F01-0701-4828-B8EA-8DB07123F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805225" y="2076450"/>
          <a:ext cx="2381582" cy="157184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9EA014-BB3D-4221-AD8E-B3CF0687C0FB}" name="EDP_15916" displayName="EDP_15916" ref="B2:F21" totalsRowShown="0" headerRowDxfId="6" dataDxfId="5">
  <autoFilter ref="B2:F21" xr:uid="{AB40E232-9C43-4C8A-B69F-D5E2F92C9C91}"/>
  <tableColumns count="5">
    <tableColumn id="1" xr3:uid="{74116EEF-760D-4CBD-89D4-0361D767B60F}" name="PERIODO" dataDxfId="4"/>
    <tableColumn id="2" xr3:uid="{44F12E0E-37E9-47E9-83DD-B8BA7B4C4C50}" name="PRESENTADO" dataDxfId="3"/>
    <tableColumn id="3" xr3:uid="{1E37AD8D-1273-43F8-B017-73E66D6E4B14}" name="DESCUENTO ANTICIPO" dataDxfId="2"/>
    <tableColumn id="4" xr3:uid="{DF0A940A-E498-43DE-8B21-F817643D2F58}" name="APROBADO" dataDxfId="1"/>
    <tableColumn id="5" xr3:uid="{19B35799-E2F8-4732-83B3-8E89D46676F1}" name="OBSERVACIONES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E11A-EE86-4AB7-9AEE-E5AD1EA70621}">
  <sheetPr codeName="Hoja1"/>
  <dimension ref="A1:T35"/>
  <sheetViews>
    <sheetView showGridLines="0" tabSelected="1" zoomScale="85" zoomScaleNormal="85" workbookViewId="0">
      <pane xSplit="1" ySplit="10" topLeftCell="G11" activePane="bottomRight" state="frozen"/>
      <selection pane="topRight" activeCell="B1" sqref="B1"/>
      <selection pane="bottomLeft" activeCell="A11" sqref="A11"/>
      <selection pane="bottomRight" activeCell="H36" sqref="H36"/>
    </sheetView>
  </sheetViews>
  <sheetFormatPr baseColWidth="10" defaultColWidth="11.42578125" defaultRowHeight="15" outlineLevelRow="1" x14ac:dyDescent="0.25"/>
  <cols>
    <col min="1" max="1" width="33" customWidth="1"/>
    <col min="2" max="2" width="23.85546875" customWidth="1"/>
    <col min="3" max="10" width="21.140625" customWidth="1"/>
    <col min="11" max="11" width="17.85546875" bestFit="1" customWidth="1"/>
    <col min="12" max="14" width="18.140625" bestFit="1" customWidth="1"/>
    <col min="15" max="15" width="18.140625" customWidth="1"/>
    <col min="16" max="16" width="17.85546875" customWidth="1"/>
    <col min="17" max="17" width="16.7109375" customWidth="1"/>
    <col min="18" max="19" width="13.7109375" bestFit="1" customWidth="1"/>
    <col min="20" max="20" width="16.28515625" bestFit="1" customWidth="1"/>
  </cols>
  <sheetData>
    <row r="1" spans="1:20" outlineLevel="1" x14ac:dyDescent="0.25"/>
    <row r="2" spans="1:20" outlineLevel="1" x14ac:dyDescent="0.25">
      <c r="B2" s="147"/>
      <c r="C2" s="178"/>
      <c r="D2" s="178"/>
      <c r="E2" s="178"/>
      <c r="F2" s="178"/>
      <c r="G2" s="178"/>
      <c r="H2" s="178"/>
      <c r="I2" s="178"/>
      <c r="J2" s="178"/>
      <c r="K2" s="150"/>
      <c r="L2" s="178"/>
      <c r="M2" s="150"/>
      <c r="N2" s="178"/>
      <c r="O2" s="178"/>
      <c r="P2" s="150"/>
      <c r="Q2" s="178"/>
      <c r="R2" s="150"/>
    </row>
    <row r="3" spans="1:20" outlineLevel="1" x14ac:dyDescent="0.25">
      <c r="S3" s="36"/>
    </row>
    <row r="4" spans="1:20" outlineLevel="1" x14ac:dyDescent="0.25">
      <c r="B4" s="142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</row>
    <row r="5" spans="1:20" outlineLevel="1" x14ac:dyDescent="0.25">
      <c r="C5" s="142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42"/>
      <c r="P5" s="142"/>
      <c r="Q5" s="142"/>
      <c r="R5" s="142"/>
      <c r="T5" s="36"/>
    </row>
    <row r="6" spans="1:20" x14ac:dyDescent="0.25">
      <c r="C6" s="181"/>
      <c r="D6" s="181"/>
      <c r="E6" s="181"/>
      <c r="F6" s="181"/>
      <c r="G6" s="181"/>
      <c r="H6" s="181"/>
      <c r="I6" s="181"/>
      <c r="J6" s="150"/>
      <c r="K6" s="150"/>
      <c r="L6" s="150"/>
      <c r="M6" s="150"/>
      <c r="N6" s="150"/>
      <c r="O6" s="150"/>
      <c r="P6" s="150"/>
      <c r="Q6" s="150"/>
      <c r="R6" s="182"/>
    </row>
    <row r="7" spans="1:20" ht="21" x14ac:dyDescent="0.35">
      <c r="A7" s="1" t="s">
        <v>73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76"/>
      <c r="P7" s="177"/>
    </row>
    <row r="9" spans="1:20" x14ac:dyDescent="0.25">
      <c r="A9" s="2" t="s">
        <v>0</v>
      </c>
      <c r="B9" s="3" t="s">
        <v>1</v>
      </c>
      <c r="C9" s="18">
        <v>45597</v>
      </c>
      <c r="D9" s="18">
        <v>45627</v>
      </c>
      <c r="E9" s="18">
        <v>45658</v>
      </c>
      <c r="F9" s="18">
        <v>45689</v>
      </c>
      <c r="G9" s="18">
        <v>45717</v>
      </c>
      <c r="H9" s="18">
        <v>45748</v>
      </c>
      <c r="I9" s="18">
        <v>45778</v>
      </c>
      <c r="J9" s="18">
        <v>45809</v>
      </c>
      <c r="K9" s="18">
        <v>45839</v>
      </c>
      <c r="L9" s="18">
        <v>45870</v>
      </c>
      <c r="M9" s="18">
        <v>45901</v>
      </c>
      <c r="N9" s="18">
        <v>45931</v>
      </c>
      <c r="O9" s="18">
        <v>45962</v>
      </c>
      <c r="P9" s="18">
        <v>45992</v>
      </c>
      <c r="Q9" s="18">
        <v>46023</v>
      </c>
      <c r="R9" s="168">
        <v>46054</v>
      </c>
      <c r="S9" s="170"/>
      <c r="T9" s="3" t="s">
        <v>2</v>
      </c>
    </row>
    <row r="10" spans="1:20" ht="7.5" customHeight="1" x14ac:dyDescent="0.25">
      <c r="B10" s="25"/>
      <c r="C10" s="25"/>
      <c r="D10" s="25"/>
      <c r="E10" s="25"/>
      <c r="F10" s="25"/>
      <c r="G10" s="25"/>
      <c r="H10" s="25"/>
      <c r="I10" s="25"/>
      <c r="J10" s="25"/>
      <c r="K10" s="25"/>
    </row>
    <row r="11" spans="1:20" x14ac:dyDescent="0.25">
      <c r="A11" s="17" t="s">
        <v>3</v>
      </c>
      <c r="B11" s="33"/>
      <c r="C11" s="132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93"/>
    </row>
    <row r="12" spans="1:20" x14ac:dyDescent="0.25">
      <c r="A12" s="4" t="s">
        <v>4</v>
      </c>
      <c r="B12" s="61"/>
      <c r="C12" s="93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93"/>
      <c r="T12" s="9">
        <v>0</v>
      </c>
    </row>
    <row r="13" spans="1:20" x14ac:dyDescent="0.25">
      <c r="A13" s="4" t="s">
        <v>5</v>
      </c>
      <c r="B13" s="10">
        <v>6013966118.0950003</v>
      </c>
      <c r="C13" s="11">
        <v>190416015.5</v>
      </c>
      <c r="D13" s="11">
        <v>146477473</v>
      </c>
      <c r="E13" s="11">
        <v>332815173</v>
      </c>
      <c r="F13" s="11">
        <v>289020918.09500003</v>
      </c>
      <c r="G13" s="11">
        <v>425678947</v>
      </c>
      <c r="H13" s="11">
        <v>291006079</v>
      </c>
      <c r="I13" s="11">
        <v>645216248</v>
      </c>
      <c r="J13" s="11">
        <v>473923006</v>
      </c>
      <c r="K13" s="11">
        <v>782666456</v>
      </c>
      <c r="L13" s="11">
        <v>931793770</v>
      </c>
      <c r="M13" s="11">
        <v>403711101</v>
      </c>
      <c r="N13" s="11">
        <v>398527353</v>
      </c>
      <c r="O13" s="11">
        <v>479368495</v>
      </c>
      <c r="P13" s="11">
        <v>223345083.5</v>
      </c>
      <c r="Q13" s="11">
        <v>0</v>
      </c>
      <c r="R13" s="11"/>
      <c r="S13" s="93"/>
      <c r="T13" s="9">
        <v>6013966118.0950003</v>
      </c>
    </row>
    <row r="14" spans="1:20" x14ac:dyDescent="0.25">
      <c r="A14" s="4" t="s">
        <v>6</v>
      </c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93"/>
      <c r="T14" s="9">
        <v>0</v>
      </c>
    </row>
    <row r="15" spans="1:20" x14ac:dyDescent="0.25">
      <c r="A15" s="4" t="s">
        <v>7</v>
      </c>
      <c r="B15" s="10">
        <v>-286349364</v>
      </c>
      <c r="C15" s="11">
        <v>-9520801</v>
      </c>
      <c r="D15" s="11">
        <v>-7323874</v>
      </c>
      <c r="E15" s="11">
        <v>-16640759</v>
      </c>
      <c r="F15" s="11">
        <v>-14451046</v>
      </c>
      <c r="G15" s="11">
        <v>-21283947</v>
      </c>
      <c r="H15" s="11">
        <v>-14550304</v>
      </c>
      <c r="I15" s="11">
        <v>-32260812</v>
      </c>
      <c r="J15" s="11">
        <v>-23696150</v>
      </c>
      <c r="K15" s="11">
        <v>-39133323</v>
      </c>
      <c r="L15" s="11">
        <v>-33140278</v>
      </c>
      <c r="M15" s="11">
        <v>-20185555</v>
      </c>
      <c r="N15" s="11">
        <v>-19926368</v>
      </c>
      <c r="O15" s="11">
        <v>-23968425</v>
      </c>
      <c r="P15" s="11">
        <v>-10267722</v>
      </c>
      <c r="Q15" s="11">
        <v>0</v>
      </c>
      <c r="R15" s="11"/>
      <c r="S15" s="93"/>
      <c r="T15" s="9">
        <v>-286349364</v>
      </c>
    </row>
    <row r="16" spans="1:20" x14ac:dyDescent="0.25">
      <c r="A16" s="4" t="s">
        <v>11</v>
      </c>
      <c r="B16" s="10">
        <v>5514539393.0950003</v>
      </c>
      <c r="C16" s="11">
        <v>0</v>
      </c>
      <c r="D16" s="11">
        <v>180895215</v>
      </c>
      <c r="E16" s="11">
        <v>139153599</v>
      </c>
      <c r="F16" s="11">
        <v>316174414</v>
      </c>
      <c r="G16" s="11">
        <v>274569872.09500003</v>
      </c>
      <c r="H16" s="11">
        <v>404395000</v>
      </c>
      <c r="I16" s="11">
        <v>276455775</v>
      </c>
      <c r="J16" s="11">
        <v>612955436</v>
      </c>
      <c r="K16" s="11">
        <v>450226856</v>
      </c>
      <c r="L16" s="11">
        <v>743533133</v>
      </c>
      <c r="M16" s="11">
        <v>898653492</v>
      </c>
      <c r="N16" s="11">
        <v>383525546</v>
      </c>
      <c r="O16" s="11">
        <v>378600985</v>
      </c>
      <c r="P16" s="11">
        <v>455400070</v>
      </c>
      <c r="Q16" s="11">
        <v>195086719</v>
      </c>
      <c r="R16" s="11">
        <v>0</v>
      </c>
      <c r="S16" s="93"/>
      <c r="T16" s="9">
        <v>5709626112.0950003</v>
      </c>
    </row>
    <row r="17" spans="1:20" x14ac:dyDescent="0.25">
      <c r="A17" s="4" t="s">
        <v>12</v>
      </c>
      <c r="B17" s="62">
        <v>0</v>
      </c>
      <c r="C17" s="133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93">
        <v>286349364</v>
      </c>
      <c r="S17" s="93"/>
      <c r="T17" s="9">
        <v>286349364</v>
      </c>
    </row>
    <row r="18" spans="1:20" x14ac:dyDescent="0.25">
      <c r="A18" s="21" t="s">
        <v>13</v>
      </c>
      <c r="B18" s="63">
        <v>5800888757.0950003</v>
      </c>
      <c r="C18" s="22">
        <v>0</v>
      </c>
      <c r="D18" s="6">
        <v>180895215</v>
      </c>
      <c r="E18" s="6">
        <v>139153599</v>
      </c>
      <c r="F18" s="6">
        <v>316174414</v>
      </c>
      <c r="G18" s="6">
        <v>274569872.09500003</v>
      </c>
      <c r="H18" s="6">
        <v>404395000</v>
      </c>
      <c r="I18" s="6">
        <v>276455775</v>
      </c>
      <c r="J18" s="6">
        <v>612955436</v>
      </c>
      <c r="K18" s="6">
        <v>450226856</v>
      </c>
      <c r="L18" s="6">
        <v>743533133</v>
      </c>
      <c r="M18" s="6">
        <v>898653492</v>
      </c>
      <c r="N18" s="6">
        <v>383525546</v>
      </c>
      <c r="O18" s="6">
        <v>378600985</v>
      </c>
      <c r="P18" s="6">
        <v>455400070</v>
      </c>
      <c r="Q18" s="6">
        <v>481436083</v>
      </c>
      <c r="R18" s="6">
        <v>0</v>
      </c>
      <c r="S18" s="171"/>
      <c r="T18" s="9">
        <v>5995975476.0950003</v>
      </c>
    </row>
    <row r="19" spans="1:20" x14ac:dyDescent="0.25">
      <c r="A19" s="23" t="s">
        <v>14</v>
      </c>
      <c r="B19" s="64">
        <v>1102168863.8480501</v>
      </c>
      <c r="C19" s="134">
        <v>0</v>
      </c>
      <c r="D19" s="59">
        <v>34370091</v>
      </c>
      <c r="E19" s="59">
        <v>26439184</v>
      </c>
      <c r="F19" s="59">
        <v>60073139</v>
      </c>
      <c r="G19" s="59">
        <v>52168276</v>
      </c>
      <c r="H19" s="59">
        <v>76835050</v>
      </c>
      <c r="I19" s="59">
        <v>52526597</v>
      </c>
      <c r="J19" s="59">
        <v>116461533</v>
      </c>
      <c r="K19" s="59">
        <v>85543103</v>
      </c>
      <c r="L19" s="59">
        <v>141271295</v>
      </c>
      <c r="M19" s="59">
        <v>170744163</v>
      </c>
      <c r="N19" s="59">
        <v>72869854</v>
      </c>
      <c r="O19" s="59">
        <v>71934187</v>
      </c>
      <c r="P19" s="59">
        <v>86526013</v>
      </c>
      <c r="Q19" s="59">
        <v>91472856</v>
      </c>
      <c r="R19" s="59">
        <v>0</v>
      </c>
      <c r="S19" s="172"/>
      <c r="T19" s="9">
        <v>1139235341</v>
      </c>
    </row>
    <row r="20" spans="1:20" x14ac:dyDescent="0.25">
      <c r="A20" s="20" t="s">
        <v>15</v>
      </c>
      <c r="B20" s="7">
        <v>6903057620.9430504</v>
      </c>
      <c r="C20" s="6">
        <v>0</v>
      </c>
      <c r="D20" s="6">
        <v>215265306</v>
      </c>
      <c r="E20" s="6">
        <v>165592783</v>
      </c>
      <c r="F20" s="6">
        <v>376247553</v>
      </c>
      <c r="G20" s="6">
        <v>326738148.09500003</v>
      </c>
      <c r="H20" s="6">
        <v>481230050</v>
      </c>
      <c r="I20" s="6">
        <v>328982372</v>
      </c>
      <c r="J20" s="6">
        <v>729416969</v>
      </c>
      <c r="K20" s="6">
        <v>535769959</v>
      </c>
      <c r="L20" s="6">
        <v>884804428</v>
      </c>
      <c r="M20" s="6">
        <v>1069397655</v>
      </c>
      <c r="N20" s="6">
        <v>456395400</v>
      </c>
      <c r="O20" s="6">
        <v>450535172</v>
      </c>
      <c r="P20" s="6">
        <v>541926083</v>
      </c>
      <c r="Q20" s="6">
        <v>572908939</v>
      </c>
      <c r="R20" s="6">
        <v>0</v>
      </c>
      <c r="S20" s="171"/>
      <c r="T20" s="57">
        <v>7135210817.0950003</v>
      </c>
    </row>
    <row r="21" spans="1:20" ht="6.75" customHeight="1" x14ac:dyDescent="0.25">
      <c r="A21" s="24"/>
      <c r="B21" s="16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12"/>
    </row>
    <row r="22" spans="1:20" x14ac:dyDescent="0.25">
      <c r="A22" s="17" t="s">
        <v>16</v>
      </c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94"/>
      <c r="M22" s="94"/>
      <c r="N22" s="94"/>
      <c r="O22" s="94"/>
      <c r="P22" s="94"/>
      <c r="Q22" s="94"/>
      <c r="R22" s="94"/>
      <c r="S22" s="94"/>
      <c r="T22" s="15"/>
    </row>
    <row r="23" spans="1:20" x14ac:dyDescent="0.25">
      <c r="A23" s="5" t="s">
        <v>17</v>
      </c>
      <c r="B23" s="10">
        <v>2937884266.9241209</v>
      </c>
      <c r="C23" s="11">
        <v>0</v>
      </c>
      <c r="D23" s="11">
        <v>270617901.84362197</v>
      </c>
      <c r="E23" s="11">
        <v>147418850.18408585</v>
      </c>
      <c r="F23" s="11">
        <v>188283236.68388826</v>
      </c>
      <c r="G23" s="11">
        <v>179799377.02779919</v>
      </c>
      <c r="H23" s="11">
        <v>196168729.80358601</v>
      </c>
      <c r="I23" s="11">
        <v>218586369.02178547</v>
      </c>
      <c r="J23" s="11">
        <v>263912644.22711766</v>
      </c>
      <c r="K23" s="11">
        <v>406266122.69509387</v>
      </c>
      <c r="L23" s="11">
        <v>285641355.79206038</v>
      </c>
      <c r="M23" s="11">
        <v>240662492.01570284</v>
      </c>
      <c r="N23" s="11">
        <v>212697539.80884421</v>
      </c>
      <c r="O23" s="11">
        <v>161520560.45673782</v>
      </c>
      <c r="P23" s="11">
        <v>169639466.546538</v>
      </c>
      <c r="Q23" s="11">
        <v>0</v>
      </c>
      <c r="R23" s="11">
        <v>0</v>
      </c>
      <c r="S23" s="174"/>
      <c r="T23" s="9">
        <v>2941214646.1068611</v>
      </c>
    </row>
    <row r="24" spans="1:20" x14ac:dyDescent="0.25">
      <c r="A24" s="4" t="s">
        <v>18</v>
      </c>
      <c r="B24" s="10">
        <v>890841215</v>
      </c>
      <c r="C24" s="11">
        <v>0</v>
      </c>
      <c r="D24" s="11">
        <v>24862435</v>
      </c>
      <c r="E24" s="11">
        <v>149788505.104</v>
      </c>
      <c r="F24" s="11">
        <v>60835351.970200002</v>
      </c>
      <c r="G24" s="11">
        <v>156212806.55657852</v>
      </c>
      <c r="H24" s="11">
        <v>61861242.799135789</v>
      </c>
      <c r="I24" s="11">
        <v>33502848.494285718</v>
      </c>
      <c r="J24" s="11">
        <v>66893524</v>
      </c>
      <c r="K24" s="11">
        <v>137096841.80000001</v>
      </c>
      <c r="L24" s="11">
        <v>81272167.864314288</v>
      </c>
      <c r="M24" s="11">
        <v>21347834.763485715</v>
      </c>
      <c r="N24" s="11">
        <v>39346132.294253141</v>
      </c>
      <c r="O24" s="11">
        <v>18248411.352946863</v>
      </c>
      <c r="P24" s="11">
        <v>18321505.854738519</v>
      </c>
      <c r="Q24" s="11">
        <v>0</v>
      </c>
      <c r="R24" s="11">
        <v>0</v>
      </c>
      <c r="S24" s="174"/>
      <c r="T24" s="9">
        <v>869589607.85393846</v>
      </c>
    </row>
    <row r="25" spans="1:20" x14ac:dyDescent="0.25">
      <c r="A25" s="4" t="s">
        <v>19</v>
      </c>
      <c r="B25" s="10">
        <v>850842467.64471459</v>
      </c>
      <c r="C25" s="11">
        <v>0</v>
      </c>
      <c r="D25" s="11">
        <v>45252146.683055557</v>
      </c>
      <c r="E25" s="11">
        <v>60732317.529526144</v>
      </c>
      <c r="F25" s="11">
        <v>59332536.014037259</v>
      </c>
      <c r="G25" s="11">
        <v>73771903.021964401</v>
      </c>
      <c r="H25" s="11">
        <v>78019623.488831058</v>
      </c>
      <c r="I25" s="11">
        <v>87118982.174432606</v>
      </c>
      <c r="J25" s="11">
        <v>96716432.981428578</v>
      </c>
      <c r="K25" s="11">
        <v>87936762.34875007</v>
      </c>
      <c r="L25" s="11">
        <v>81639261.03025046</v>
      </c>
      <c r="M25" s="11">
        <v>79049154.84004122</v>
      </c>
      <c r="N25" s="11">
        <v>37882310.003825948</v>
      </c>
      <c r="O25" s="11">
        <v>37655385.035521239</v>
      </c>
      <c r="P25" s="11">
        <v>33299188.471040301</v>
      </c>
      <c r="Q25" s="11">
        <v>0</v>
      </c>
      <c r="R25" s="11">
        <v>0</v>
      </c>
      <c r="S25" s="174"/>
      <c r="T25" s="9">
        <v>858406003.62270474</v>
      </c>
    </row>
    <row r="26" spans="1:20" x14ac:dyDescent="0.25">
      <c r="A26" s="4" t="s">
        <v>20</v>
      </c>
      <c r="B26" s="10">
        <v>187957917.34266666</v>
      </c>
      <c r="C26" s="11">
        <v>0</v>
      </c>
      <c r="D26" s="11">
        <v>46999638</v>
      </c>
      <c r="E26" s="11">
        <v>623218</v>
      </c>
      <c r="F26" s="11">
        <v>17653632</v>
      </c>
      <c r="G26" s="11">
        <v>6160082.8681600019</v>
      </c>
      <c r="H26" s="11">
        <v>12789488.156839998</v>
      </c>
      <c r="I26" s="11">
        <v>5067928.3529999992</v>
      </c>
      <c r="J26" s="11">
        <v>12429278.006999999</v>
      </c>
      <c r="K26" s="11">
        <v>9134612.1247600019</v>
      </c>
      <c r="L26" s="11">
        <v>25359259.583106667</v>
      </c>
      <c r="M26" s="11">
        <v>-2524857.7502000034</v>
      </c>
      <c r="N26" s="11">
        <v>9384750</v>
      </c>
      <c r="O26" s="11">
        <v>27959337</v>
      </c>
      <c r="P26" s="11">
        <v>16372351.907022361</v>
      </c>
      <c r="Q26" s="11">
        <v>0</v>
      </c>
      <c r="R26" s="11">
        <v>0</v>
      </c>
      <c r="S26" s="174"/>
      <c r="T26" s="9">
        <v>187408718.24968901</v>
      </c>
    </row>
    <row r="27" spans="1:20" x14ac:dyDescent="0.25">
      <c r="A27" s="4" t="s">
        <v>21</v>
      </c>
      <c r="B27" s="10">
        <v>376299148</v>
      </c>
      <c r="C27" s="11">
        <v>0</v>
      </c>
      <c r="D27" s="11">
        <v>55710751</v>
      </c>
      <c r="E27" s="11">
        <v>34698582</v>
      </c>
      <c r="F27" s="11">
        <v>48396539.4414033</v>
      </c>
      <c r="G27" s="11">
        <v>8987376.2142857127</v>
      </c>
      <c r="H27" s="11">
        <v>40368622.285714284</v>
      </c>
      <c r="I27" s="11">
        <v>30718045</v>
      </c>
      <c r="J27" s="11">
        <v>15502896.447168086</v>
      </c>
      <c r="K27" s="11">
        <v>25152219</v>
      </c>
      <c r="L27" s="11">
        <v>17680014</v>
      </c>
      <c r="M27" s="11">
        <v>24555684</v>
      </c>
      <c r="N27" s="11">
        <v>21604970</v>
      </c>
      <c r="O27" s="11">
        <v>23182550</v>
      </c>
      <c r="P27" s="11">
        <v>27057270.822674341</v>
      </c>
      <c r="Q27" s="11">
        <v>0</v>
      </c>
      <c r="R27" s="11">
        <v>0</v>
      </c>
      <c r="S27" s="174"/>
      <c r="T27" s="9">
        <v>373615520.21124572</v>
      </c>
    </row>
    <row r="28" spans="1:20" x14ac:dyDescent="0.25">
      <c r="A28" s="21" t="s">
        <v>22</v>
      </c>
      <c r="B28" s="7">
        <v>5243825014.9115019</v>
      </c>
      <c r="C28" s="22">
        <v>0</v>
      </c>
      <c r="D28" s="22">
        <v>443442872.52667755</v>
      </c>
      <c r="E28" s="22">
        <v>393261472.81761193</v>
      </c>
      <c r="F28" s="22">
        <v>374501296.10952878</v>
      </c>
      <c r="G28" s="22">
        <v>424931545.68878782</v>
      </c>
      <c r="H28" s="22">
        <v>389207706.53410715</v>
      </c>
      <c r="I28" s="22">
        <v>374994173.04350382</v>
      </c>
      <c r="J28" s="22">
        <v>455454775.66271436</v>
      </c>
      <c r="K28" s="22">
        <v>665586557.96860397</v>
      </c>
      <c r="L28" s="22">
        <v>491592058.26973176</v>
      </c>
      <c r="M28" s="22">
        <v>363090307.86902976</v>
      </c>
      <c r="N28" s="22">
        <v>320915702.10692328</v>
      </c>
      <c r="O28" s="22">
        <v>268566243.8452059</v>
      </c>
      <c r="P28" s="22">
        <v>264689783.60201353</v>
      </c>
      <c r="Q28" s="22">
        <v>0</v>
      </c>
      <c r="R28" s="22">
        <v>0</v>
      </c>
      <c r="S28" s="171"/>
      <c r="T28" s="9">
        <v>5230234496.0444403</v>
      </c>
    </row>
    <row r="29" spans="1:20" x14ac:dyDescent="0.25">
      <c r="A29" s="23" t="s">
        <v>14</v>
      </c>
      <c r="B29" s="7">
        <v>996326752.83318543</v>
      </c>
      <c r="C29" s="22">
        <v>0</v>
      </c>
      <c r="D29" s="22">
        <v>84254145.780068725</v>
      </c>
      <c r="E29" s="22">
        <v>74719679.835346282</v>
      </c>
      <c r="F29" s="22">
        <v>71155246.26081048</v>
      </c>
      <c r="G29" s="22">
        <v>80736993.680869699</v>
      </c>
      <c r="H29" s="22">
        <v>73949464.241480365</v>
      </c>
      <c r="I29" s="22">
        <v>71248892.878265709</v>
      </c>
      <c r="J29" s="22">
        <v>86536407.375915721</v>
      </c>
      <c r="K29" s="22">
        <v>126461446.01403475</v>
      </c>
      <c r="L29" s="22">
        <v>93402491.071249038</v>
      </c>
      <c r="M29" s="22">
        <v>68987158.495115653</v>
      </c>
      <c r="N29" s="22">
        <v>60973983.400315426</v>
      </c>
      <c r="O29" s="22">
        <v>51027586.330589123</v>
      </c>
      <c r="P29" s="22">
        <v>50291058.884382568</v>
      </c>
      <c r="Q29" s="22">
        <v>0</v>
      </c>
      <c r="R29" s="22">
        <v>0</v>
      </c>
      <c r="S29" s="171"/>
      <c r="T29" s="9">
        <v>993744554.2484436</v>
      </c>
    </row>
    <row r="30" spans="1:20" x14ac:dyDescent="0.25">
      <c r="A30" s="20" t="s">
        <v>23</v>
      </c>
      <c r="B30" s="7">
        <v>6240151767.7446871</v>
      </c>
      <c r="C30" s="6">
        <v>0</v>
      </c>
      <c r="D30" s="6">
        <v>527697018.30674624</v>
      </c>
      <c r="E30" s="6">
        <v>467981152.65295821</v>
      </c>
      <c r="F30" s="6">
        <v>445656542.37033927</v>
      </c>
      <c r="G30" s="6">
        <v>505668539.36965752</v>
      </c>
      <c r="H30" s="6">
        <v>463157170.7755875</v>
      </c>
      <c r="I30" s="6">
        <v>446243065.9217695</v>
      </c>
      <c r="J30" s="6">
        <v>541991183.03863013</v>
      </c>
      <c r="K30" s="6">
        <v>792048003.98263872</v>
      </c>
      <c r="L30" s="6">
        <v>584994549.34098077</v>
      </c>
      <c r="M30" s="6">
        <v>432077466.3641454</v>
      </c>
      <c r="N30" s="6">
        <v>381889685.50723869</v>
      </c>
      <c r="O30" s="6">
        <v>319593830.17579502</v>
      </c>
      <c r="P30" s="6">
        <v>314980842.48639607</v>
      </c>
      <c r="Q30" s="6">
        <v>0</v>
      </c>
      <c r="R30" s="6">
        <v>0</v>
      </c>
      <c r="S30" s="171"/>
      <c r="T30" s="9">
        <v>6223979050.292882</v>
      </c>
    </row>
    <row r="31" spans="1:20" ht="7.5" customHeight="1" x14ac:dyDescent="0.25">
      <c r="A31" s="19"/>
      <c r="B31" s="26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12"/>
    </row>
    <row r="32" spans="1:20" x14ac:dyDescent="0.25">
      <c r="A32" s="2" t="s">
        <v>24</v>
      </c>
      <c r="B32" s="58">
        <v>662905853.1983633</v>
      </c>
      <c r="C32" s="58">
        <v>0</v>
      </c>
      <c r="D32" s="58">
        <v>-312431712.30674624</v>
      </c>
      <c r="E32" s="58">
        <v>-302388369.65295821</v>
      </c>
      <c r="F32" s="58">
        <v>-69408989.370339274</v>
      </c>
      <c r="G32" s="58">
        <v>-178930391.27465749</v>
      </c>
      <c r="H32" s="58">
        <v>18072879.224412501</v>
      </c>
      <c r="I32" s="58">
        <v>-117260693.9217695</v>
      </c>
      <c r="J32" s="58">
        <v>187425785.96136987</v>
      </c>
      <c r="K32" s="58">
        <v>-256278044.98263872</v>
      </c>
      <c r="L32" s="58">
        <v>299809878.65901923</v>
      </c>
      <c r="M32" s="58">
        <v>637320188.6358546</v>
      </c>
      <c r="N32" s="58">
        <v>74505714.492761314</v>
      </c>
      <c r="O32" s="58">
        <v>130941341.82420498</v>
      </c>
      <c r="P32" s="58">
        <v>226945240.51360393</v>
      </c>
      <c r="Q32" s="58">
        <v>572908939</v>
      </c>
      <c r="R32" s="169">
        <v>0</v>
      </c>
      <c r="S32" s="173"/>
      <c r="T32" s="9">
        <v>911231766.80211711</v>
      </c>
    </row>
    <row r="33" spans="1:20" x14ac:dyDescent="0.25">
      <c r="A33" s="2"/>
      <c r="B33" s="58">
        <v>557063742.18349838</v>
      </c>
      <c r="C33" s="58">
        <v>0</v>
      </c>
      <c r="D33" s="58">
        <v>-262547657.52667755</v>
      </c>
      <c r="E33" s="58">
        <v>-254107873.81761193</v>
      </c>
      <c r="F33" s="58">
        <v>-58326882.10952878</v>
      </c>
      <c r="G33" s="58">
        <v>-150361673.59378779</v>
      </c>
      <c r="H33" s="58">
        <v>15187293.465892851</v>
      </c>
      <c r="I33" s="58">
        <v>-98538398.043503821</v>
      </c>
      <c r="J33" s="58">
        <v>157500660.33728564</v>
      </c>
      <c r="K33" s="58">
        <v>-215359701.96860397</v>
      </c>
      <c r="L33" s="58">
        <v>251941074.73026824</v>
      </c>
      <c r="M33" s="58">
        <v>535563184.13097024</v>
      </c>
      <c r="N33" s="58">
        <v>62609843.893076718</v>
      </c>
      <c r="O33" s="58">
        <v>110034741.1547941</v>
      </c>
      <c r="P33" s="58">
        <v>190710286.39798647</v>
      </c>
      <c r="Q33" s="58">
        <v>481436083</v>
      </c>
      <c r="R33" s="169">
        <v>0</v>
      </c>
      <c r="S33" s="173"/>
      <c r="T33" s="57">
        <v>765740980.05056047</v>
      </c>
    </row>
    <row r="34" spans="1:20" x14ac:dyDescent="0.25">
      <c r="A34" s="97"/>
      <c r="B34" s="96"/>
      <c r="C34" s="135"/>
      <c r="D34" s="175">
        <v>-1312738.2876333876</v>
      </c>
      <c r="E34" s="175">
        <v>-1270539.3690880595</v>
      </c>
      <c r="F34" s="175">
        <v>-291634.4105476439</v>
      </c>
      <c r="G34" s="175">
        <v>-751808.3679689389</v>
      </c>
      <c r="H34" s="175">
        <v>75936.467329464256</v>
      </c>
      <c r="I34" s="175">
        <v>-492691.99021751905</v>
      </c>
      <c r="J34" s="175">
        <v>787503.30168642814</v>
      </c>
      <c r="K34" s="175">
        <v>-1076798.5098430198</v>
      </c>
      <c r="L34" s="175">
        <v>1259705.3736513413</v>
      </c>
      <c r="M34" s="175">
        <v>2677815.920654851</v>
      </c>
      <c r="N34" s="175">
        <v>313049.21946538356</v>
      </c>
      <c r="O34" s="175">
        <v>550173.70577397046</v>
      </c>
      <c r="P34" s="175">
        <v>953551.43198993232</v>
      </c>
      <c r="Q34" s="175">
        <v>2407180.415</v>
      </c>
      <c r="R34" s="156">
        <v>0</v>
      </c>
      <c r="S34" s="96"/>
    </row>
    <row r="35" spans="1:20" x14ac:dyDescent="0.25">
      <c r="A35" s="97"/>
      <c r="B35" s="96"/>
      <c r="C35" s="96"/>
      <c r="D35" s="96"/>
      <c r="E35" s="96"/>
      <c r="F35" s="96"/>
      <c r="G35" s="96"/>
      <c r="H35" s="96"/>
      <c r="I35" s="96"/>
      <c r="J35" s="96"/>
      <c r="K35" s="109"/>
      <c r="L35" s="109"/>
      <c r="M35" s="96"/>
      <c r="N35" s="96"/>
      <c r="O35" s="96"/>
      <c r="P35" s="96"/>
      <c r="Q35" s="96"/>
      <c r="R35" s="96"/>
      <c r="S35" s="96"/>
      <c r="T35" s="96"/>
    </row>
  </sheetData>
  <phoneticPr fontId="4" type="noConversion"/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62AF1-B119-4379-8473-6CD5C1538ED6}">
  <sheetPr codeName="Hoja2"/>
  <dimension ref="B1:AB74"/>
  <sheetViews>
    <sheetView zoomScale="70" zoomScaleNormal="70" workbookViewId="0">
      <pane xSplit="4" ySplit="4" topLeftCell="E5" activePane="bottomRight" state="frozen"/>
      <selection activeCell="L43" sqref="L43"/>
      <selection pane="topRight" activeCell="L43" sqref="L43"/>
      <selection pane="bottomLeft" activeCell="L43" sqref="L43"/>
      <selection pane="bottomRight" activeCell="F30" sqref="F30"/>
    </sheetView>
  </sheetViews>
  <sheetFormatPr baseColWidth="10" defaultColWidth="11.42578125" defaultRowHeight="15" outlineLevelCol="1" x14ac:dyDescent="0.25"/>
  <cols>
    <col min="1" max="1" width="4.140625" customWidth="1"/>
    <col min="2" max="2" width="8.42578125" customWidth="1"/>
    <col min="3" max="3" width="44" customWidth="1"/>
    <col min="4" max="4" width="23.42578125" customWidth="1"/>
    <col min="5" max="6" width="19.7109375" bestFit="1" customWidth="1"/>
    <col min="7" max="7" width="1.140625" customWidth="1"/>
    <col min="8" max="10" width="19.7109375" bestFit="1" customWidth="1"/>
    <col min="11" max="11" width="17.42578125" bestFit="1" customWidth="1"/>
    <col min="12" max="12" width="19.7109375" bestFit="1" customWidth="1"/>
    <col min="13" max="13" width="23.42578125" bestFit="1" customWidth="1"/>
    <col min="14" max="14" width="21.42578125" bestFit="1" customWidth="1"/>
    <col min="15" max="15" width="16.85546875" bestFit="1" customWidth="1"/>
    <col min="16" max="16" width="17.42578125" customWidth="1"/>
    <col min="17" max="17" width="17.140625" bestFit="1" customWidth="1"/>
    <col min="18" max="18" width="17.42578125" bestFit="1" customWidth="1"/>
    <col min="19" max="20" width="17.42578125" hidden="1" customWidth="1" outlineLevel="1"/>
    <col min="21" max="21" width="17" hidden="1" customWidth="1" outlineLevel="1"/>
    <col min="22" max="22" width="0" hidden="1" customWidth="1" outlineLevel="1"/>
    <col min="23" max="23" width="13.5703125" hidden="1" customWidth="1" outlineLevel="1"/>
    <col min="24" max="25" width="0" hidden="1" customWidth="1" outlineLevel="1"/>
    <col min="26" max="26" width="16.85546875" bestFit="1" customWidth="1" collapsed="1"/>
    <col min="27" max="27" width="16" bestFit="1" customWidth="1"/>
    <col min="28" max="28" width="16.42578125" bestFit="1" customWidth="1"/>
  </cols>
  <sheetData>
    <row r="1" spans="2:28" ht="23.25" x14ac:dyDescent="0.35">
      <c r="C1" s="27" t="s">
        <v>26</v>
      </c>
    </row>
    <row r="3" spans="2:28" x14ac:dyDescent="0.25">
      <c r="B3" s="28"/>
      <c r="C3" s="29" t="s">
        <v>27</v>
      </c>
      <c r="D3" s="28"/>
      <c r="E3" s="29" t="s">
        <v>27</v>
      </c>
      <c r="F3" s="29" t="s">
        <v>27</v>
      </c>
      <c r="G3" s="28"/>
      <c r="H3" s="183" t="s">
        <v>28</v>
      </c>
      <c r="I3" s="184"/>
      <c r="J3" s="185"/>
      <c r="N3" t="s">
        <v>91</v>
      </c>
      <c r="O3" s="39">
        <f>+SUM(O5:Y5)</f>
        <v>4726636990.9445992</v>
      </c>
    </row>
    <row r="4" spans="2:28" ht="25.5" x14ac:dyDescent="0.25">
      <c r="B4" s="30" t="s">
        <v>29</v>
      </c>
      <c r="C4" s="30" t="s">
        <v>30</v>
      </c>
      <c r="D4" s="31"/>
      <c r="E4" s="30" t="s">
        <v>31</v>
      </c>
      <c r="F4" s="30" t="s">
        <v>9</v>
      </c>
      <c r="G4" s="31"/>
      <c r="H4" s="32" t="s">
        <v>26</v>
      </c>
      <c r="I4" s="32" t="s">
        <v>32</v>
      </c>
      <c r="J4" s="32" t="s">
        <v>33</v>
      </c>
      <c r="K4" s="111" t="s">
        <v>77</v>
      </c>
      <c r="N4" s="118" t="s">
        <v>81</v>
      </c>
      <c r="O4" s="118" t="s">
        <v>80</v>
      </c>
      <c r="P4" s="118" t="s">
        <v>76</v>
      </c>
      <c r="Q4" s="118" t="s">
        <v>78</v>
      </c>
      <c r="R4" s="138" t="s">
        <v>82</v>
      </c>
      <c r="S4" s="138" t="s">
        <v>89</v>
      </c>
      <c r="T4" s="138" t="s">
        <v>93</v>
      </c>
      <c r="U4" s="138" t="s">
        <v>94</v>
      </c>
      <c r="V4" s="138" t="s">
        <v>95</v>
      </c>
      <c r="W4" s="138" t="s">
        <v>96</v>
      </c>
      <c r="X4" s="138" t="s">
        <v>97</v>
      </c>
      <c r="Y4" s="138" t="s">
        <v>102</v>
      </c>
      <c r="Z4" s="138" t="s">
        <v>99</v>
      </c>
      <c r="AA4" s="138" t="s">
        <v>100</v>
      </c>
      <c r="AB4" s="138" t="s">
        <v>101</v>
      </c>
    </row>
    <row r="5" spans="2:28" x14ac:dyDescent="0.25">
      <c r="B5" s="33"/>
      <c r="C5" s="34" t="s">
        <v>2</v>
      </c>
      <c r="D5" s="33"/>
      <c r="E5" s="35">
        <f>SUM(E6:E16)</f>
        <v>4750000000.2055159</v>
      </c>
      <c r="F5" s="35">
        <f>SUM(F6:F16)</f>
        <v>5777057813.6154633</v>
      </c>
      <c r="G5" s="35"/>
      <c r="H5" s="107">
        <f>+SUM(H6:H16)</f>
        <v>5597288502.5761805</v>
      </c>
      <c r="I5" s="107">
        <f t="shared" ref="I5" si="0">+SUM(I6:I16)</f>
        <v>26536512.342666667</v>
      </c>
      <c r="J5" s="107">
        <f>+SUM(J6:J16)</f>
        <v>5623825014.9188471</v>
      </c>
      <c r="K5" s="107">
        <f>+SUM(K6:K16)</f>
        <v>41640612.819999985</v>
      </c>
      <c r="M5" t="s">
        <v>91</v>
      </c>
      <c r="N5" s="33"/>
      <c r="O5" s="165">
        <f t="shared" ref="O5:T5" si="1">+SUM(O6:O10)</f>
        <v>443442872.52667755</v>
      </c>
      <c r="P5" s="165">
        <f t="shared" si="1"/>
        <v>393261472.81761193</v>
      </c>
      <c r="Q5" s="165">
        <f t="shared" si="1"/>
        <v>374501296.10952878</v>
      </c>
      <c r="R5" s="165">
        <f t="shared" si="1"/>
        <v>424931545.42473853</v>
      </c>
      <c r="S5" s="165">
        <f t="shared" si="1"/>
        <v>389207706.53410697</v>
      </c>
      <c r="T5" s="165">
        <f t="shared" si="1"/>
        <v>374994173.04350382</v>
      </c>
      <c r="U5" s="165">
        <f t="shared" ref="U5:Z5" si="2">+SUM(U6:U10)</f>
        <v>455454775.66271436</v>
      </c>
      <c r="V5" s="165">
        <f t="shared" si="2"/>
        <v>673968998.91003251</v>
      </c>
      <c r="W5" s="165">
        <f t="shared" si="2"/>
        <v>497484249.22544605</v>
      </c>
      <c r="X5" s="165">
        <f t="shared" si="2"/>
        <v>371273943.79760116</v>
      </c>
      <c r="Y5" s="165">
        <f t="shared" si="2"/>
        <v>328115956.89263755</v>
      </c>
      <c r="Z5" s="165">
        <f t="shared" si="2"/>
        <v>276292256.77377737</v>
      </c>
      <c r="AA5" s="165">
        <f t="shared" ref="AA5:AB5" si="3">+SUM(AA6:AA10)</f>
        <v>199274785.08459684</v>
      </c>
      <c r="AB5" s="165">
        <f t="shared" si="3"/>
        <v>41640612.819999985</v>
      </c>
    </row>
    <row r="6" spans="2:28" x14ac:dyDescent="0.25">
      <c r="B6" s="37" t="s">
        <v>34</v>
      </c>
      <c r="C6" s="33" t="s">
        <v>35</v>
      </c>
      <c r="D6" s="33"/>
      <c r="E6" s="38">
        <v>989503980.44566989</v>
      </c>
      <c r="F6" s="38">
        <v>1191450367.9352717</v>
      </c>
      <c r="G6" s="38"/>
      <c r="H6" s="113">
        <v>1021487689</v>
      </c>
      <c r="I6" s="129">
        <v>0</v>
      </c>
      <c r="J6" s="113">
        <v>1021487689</v>
      </c>
      <c r="K6" s="113">
        <v>0</v>
      </c>
      <c r="L6" s="40"/>
      <c r="M6" s="161">
        <f>+SUM(O6:AB6)</f>
        <v>2937884266.6228418</v>
      </c>
      <c r="N6" s="33"/>
      <c r="O6" s="124">
        <v>270617901.84362197</v>
      </c>
      <c r="P6" s="124">
        <v>147418850.18408585</v>
      </c>
      <c r="Q6" s="124">
        <v>188283236.68388826</v>
      </c>
      <c r="R6" s="124">
        <v>179799377</v>
      </c>
      <c r="S6" s="124">
        <v>196168729.80358586</v>
      </c>
      <c r="T6" s="124">
        <v>218586369.02178547</v>
      </c>
      <c r="U6" s="124">
        <v>263912644.22711766</v>
      </c>
      <c r="V6" s="124">
        <v>406266122.69509387</v>
      </c>
      <c r="W6" s="124">
        <v>285641355.79206038</v>
      </c>
      <c r="X6" s="124">
        <v>240662492.01570284</v>
      </c>
      <c r="Y6" s="124">
        <v>212697539.80884421</v>
      </c>
      <c r="Z6" s="124">
        <v>161520560.45673782</v>
      </c>
      <c r="AA6" s="124">
        <v>120451294.09031807</v>
      </c>
      <c r="AB6" s="124">
        <v>45857792.999999985</v>
      </c>
    </row>
    <row r="7" spans="2:28" x14ac:dyDescent="0.25">
      <c r="B7" s="37" t="s">
        <v>36</v>
      </c>
      <c r="C7" s="33" t="s">
        <v>37</v>
      </c>
      <c r="D7" s="33"/>
      <c r="E7" s="38">
        <v>654136807.94229996</v>
      </c>
      <c r="F7" s="38">
        <v>625633929.48646021</v>
      </c>
      <c r="G7" s="38"/>
      <c r="H7" s="117">
        <v>889767275</v>
      </c>
      <c r="I7" s="129">
        <v>1073940</v>
      </c>
      <c r="J7" s="117">
        <v>890841215</v>
      </c>
      <c r="K7" s="117">
        <v>24407773</v>
      </c>
      <c r="L7" s="40"/>
      <c r="M7" s="161">
        <f t="shared" ref="M7:M10" si="4">+SUM(O7:AB7)</f>
        <v>890869564.99919999</v>
      </c>
      <c r="N7" s="33"/>
      <c r="O7" s="125">
        <v>24862435</v>
      </c>
      <c r="P7" s="125">
        <v>149788505.104</v>
      </c>
      <c r="Q7" s="125">
        <v>60835351.970200002</v>
      </c>
      <c r="R7" s="125">
        <v>156212806.55657852</v>
      </c>
      <c r="S7" s="125">
        <v>61861242.799135789</v>
      </c>
      <c r="T7" s="125">
        <v>33502848.494285718</v>
      </c>
      <c r="U7" s="125">
        <v>66893524</v>
      </c>
      <c r="V7" s="125">
        <v>137096841.80000001</v>
      </c>
      <c r="W7" s="125">
        <v>81272167.864314288</v>
      </c>
      <c r="X7" s="125">
        <v>21347834.763485715</v>
      </c>
      <c r="Y7" s="125">
        <v>39346132.294253141</v>
      </c>
      <c r="Z7" s="125">
        <v>18248411.352946863</v>
      </c>
      <c r="AA7" s="125">
        <v>15193690</v>
      </c>
      <c r="AB7" s="125">
        <v>24407773</v>
      </c>
    </row>
    <row r="8" spans="2:28" x14ac:dyDescent="0.25">
      <c r="B8" s="37" t="s">
        <v>38</v>
      </c>
      <c r="C8" s="33" t="s">
        <v>39</v>
      </c>
      <c r="D8" s="33"/>
      <c r="E8" s="38">
        <v>438661457.75153172</v>
      </c>
      <c r="F8" s="38">
        <v>468821027.67491961</v>
      </c>
      <c r="G8" s="38"/>
      <c r="H8" s="113">
        <v>624710131.99974489</v>
      </c>
      <c r="I8" s="129">
        <v>2670636</v>
      </c>
      <c r="J8" s="113">
        <v>627380767.99974489</v>
      </c>
      <c r="K8" s="113">
        <v>12462128.999999985</v>
      </c>
      <c r="L8" s="40"/>
      <c r="M8" s="161">
        <f t="shared" si="4"/>
        <v>850842467.62275016</v>
      </c>
      <c r="N8" s="33"/>
      <c r="O8" s="126">
        <v>45252146.683055557</v>
      </c>
      <c r="P8" s="126">
        <v>60732317.529526144</v>
      </c>
      <c r="Q8" s="126">
        <v>59332536.014037259</v>
      </c>
      <c r="R8" s="126">
        <v>73771903</v>
      </c>
      <c r="S8" s="126">
        <v>78019623.488831058</v>
      </c>
      <c r="T8" s="126">
        <v>87118982.174432606</v>
      </c>
      <c r="U8" s="126">
        <v>96716432.981428578</v>
      </c>
      <c r="V8" s="126">
        <v>87936762.34875007</v>
      </c>
      <c r="W8" s="126">
        <v>81639261.03025046</v>
      </c>
      <c r="X8" s="126">
        <v>79049154.84004122</v>
      </c>
      <c r="Y8" s="126">
        <v>37882310.003825948</v>
      </c>
      <c r="Z8" s="126">
        <v>37655385.035521239</v>
      </c>
      <c r="AA8" s="126">
        <v>27614408.493050192</v>
      </c>
      <c r="AB8" s="126">
        <v>-1878756</v>
      </c>
    </row>
    <row r="9" spans="2:28" x14ac:dyDescent="0.25">
      <c r="B9" s="37" t="s">
        <v>40</v>
      </c>
      <c r="C9" s="33" t="s">
        <v>41</v>
      </c>
      <c r="D9" s="33"/>
      <c r="E9" s="38">
        <v>825206144.46633112</v>
      </c>
      <c r="F9" s="38">
        <v>977118388.75116789</v>
      </c>
      <c r="G9" s="38"/>
      <c r="H9" s="114">
        <v>718781787.34471464</v>
      </c>
      <c r="I9" s="129">
        <v>653386</v>
      </c>
      <c r="J9" s="114">
        <v>719435173.34471464</v>
      </c>
      <c r="K9" s="114">
        <v>-4692261</v>
      </c>
      <c r="L9" s="40"/>
      <c r="M9" s="161">
        <f t="shared" si="4"/>
        <v>187949198.59246665</v>
      </c>
      <c r="N9" s="33"/>
      <c r="O9" s="127">
        <v>46999638</v>
      </c>
      <c r="P9" s="127">
        <v>623218</v>
      </c>
      <c r="Q9" s="127">
        <v>17653632</v>
      </c>
      <c r="R9" s="127">
        <v>6160082.8681600019</v>
      </c>
      <c r="S9" s="127">
        <v>12789488.156839998</v>
      </c>
      <c r="T9" s="127">
        <v>5067928.3529999992</v>
      </c>
      <c r="U9" s="127">
        <v>12429278.006999999</v>
      </c>
      <c r="V9" s="127">
        <v>9134612.1247600019</v>
      </c>
      <c r="W9" s="127">
        <v>25359259.583106667</v>
      </c>
      <c r="X9" s="127">
        <v>-2524857.7502000034</v>
      </c>
      <c r="Y9" s="127">
        <v>9384750</v>
      </c>
      <c r="Z9" s="127">
        <v>27959337</v>
      </c>
      <c r="AA9" s="127">
        <v>13577292.249799997</v>
      </c>
      <c r="AB9" s="127">
        <v>3335540</v>
      </c>
    </row>
    <row r="10" spans="2:28" x14ac:dyDescent="0.25">
      <c r="B10" s="37" t="s">
        <v>42</v>
      </c>
      <c r="C10" s="33" t="s">
        <v>43</v>
      </c>
      <c r="D10" s="33"/>
      <c r="E10" s="38">
        <v>110221472.6512</v>
      </c>
      <c r="F10" s="38">
        <v>209400754.38940826</v>
      </c>
      <c r="G10" s="38"/>
      <c r="H10" s="115">
        <v>180846551</v>
      </c>
      <c r="I10" s="129">
        <v>7111366.342666666</v>
      </c>
      <c r="J10" s="115">
        <v>187957917.34266666</v>
      </c>
      <c r="K10" s="115">
        <v>3335540</v>
      </c>
      <c r="L10" s="40"/>
      <c r="M10" s="161">
        <f t="shared" si="4"/>
        <v>376299147.78571415</v>
      </c>
      <c r="N10" s="33"/>
      <c r="O10" s="128">
        <v>55710751</v>
      </c>
      <c r="P10" s="128">
        <v>34698582</v>
      </c>
      <c r="Q10" s="128">
        <v>48396539.4414033</v>
      </c>
      <c r="R10" s="128">
        <v>8987376</v>
      </c>
      <c r="S10" s="128">
        <v>40368622.285714284</v>
      </c>
      <c r="T10" s="128">
        <v>30718045</v>
      </c>
      <c r="U10" s="128">
        <v>15502896.447168086</v>
      </c>
      <c r="V10" s="128">
        <v>33534659.941428572</v>
      </c>
      <c r="W10" s="128">
        <v>23572204.955714285</v>
      </c>
      <c r="X10" s="128">
        <v>32739319.928571425</v>
      </c>
      <c r="Y10" s="128">
        <v>28805224.785714287</v>
      </c>
      <c r="Z10" s="128">
        <v>30908562.928571433</v>
      </c>
      <c r="AA10" s="128">
        <v>22438100.251428571</v>
      </c>
      <c r="AB10" s="128">
        <v>-30081737.18</v>
      </c>
    </row>
    <row r="11" spans="2:28" x14ac:dyDescent="0.25">
      <c r="B11" s="37" t="s">
        <v>44</v>
      </c>
      <c r="C11" s="33" t="s">
        <v>45</v>
      </c>
      <c r="D11" s="33"/>
      <c r="E11" s="38">
        <v>849346597.24778163</v>
      </c>
      <c r="F11" s="38">
        <v>1277371166.8926299</v>
      </c>
      <c r="G11" s="38"/>
      <c r="H11" s="113">
        <v>1289015809.924376</v>
      </c>
      <c r="I11" s="129">
        <v>0</v>
      </c>
      <c r="J11" s="113">
        <v>1289015809.924376</v>
      </c>
      <c r="K11" s="113">
        <v>33395664</v>
      </c>
      <c r="L11" s="40"/>
      <c r="M11" s="167">
        <f>+SUM(M6:M10)</f>
        <v>5243844645.6229725</v>
      </c>
    </row>
    <row r="12" spans="2:28" x14ac:dyDescent="0.25">
      <c r="B12" s="37" t="s">
        <v>46</v>
      </c>
      <c r="C12" s="33" t="s">
        <v>47</v>
      </c>
      <c r="D12" s="33"/>
      <c r="E12" s="38">
        <v>112795628.36</v>
      </c>
      <c r="F12" s="38">
        <v>157473062.99241921</v>
      </c>
      <c r="G12" s="38"/>
      <c r="H12" s="114">
        <v>123342659.3</v>
      </c>
      <c r="I12" s="129">
        <v>8064635</v>
      </c>
      <c r="J12" s="114">
        <v>131407294.3</v>
      </c>
      <c r="K12" s="114">
        <v>2813505</v>
      </c>
      <c r="L12" s="40"/>
    </row>
    <row r="13" spans="2:28" x14ac:dyDescent="0.25">
      <c r="B13" s="37" t="s">
        <v>48</v>
      </c>
      <c r="C13" s="33" t="s">
        <v>49</v>
      </c>
      <c r="D13" s="33"/>
      <c r="E13" s="38">
        <v>135754532.50963384</v>
      </c>
      <c r="F13" s="38">
        <v>186920397.70188633</v>
      </c>
      <c r="G13" s="38"/>
      <c r="H13" s="116">
        <v>103224911</v>
      </c>
      <c r="I13" s="129">
        <v>1649016</v>
      </c>
      <c r="J13" s="116">
        <v>104873927</v>
      </c>
      <c r="K13" s="116">
        <v>-35662648.18</v>
      </c>
      <c r="L13" s="40"/>
    </row>
    <row r="14" spans="2:28" x14ac:dyDescent="0.25">
      <c r="B14" s="37" t="s">
        <v>50</v>
      </c>
      <c r="C14" s="33" t="s">
        <v>51</v>
      </c>
      <c r="D14" s="33"/>
      <c r="E14" s="38">
        <v>194544741.2074329</v>
      </c>
      <c r="F14" s="38">
        <v>243040080.16766685</v>
      </c>
      <c r="G14" s="38"/>
      <c r="H14" s="116">
        <v>170627337</v>
      </c>
      <c r="I14" s="129">
        <v>3443701</v>
      </c>
      <c r="J14" s="116">
        <v>174071038</v>
      </c>
      <c r="K14" s="116">
        <v>6384688</v>
      </c>
      <c r="L14" s="40"/>
    </row>
    <row r="15" spans="2:28" x14ac:dyDescent="0.25">
      <c r="B15" s="37" t="s">
        <v>52</v>
      </c>
      <c r="C15" s="33" t="s">
        <v>53</v>
      </c>
      <c r="D15" s="33"/>
      <c r="E15" s="38">
        <v>59828637.61628902</v>
      </c>
      <c r="F15" s="38">
        <v>59828637.61628902</v>
      </c>
      <c r="G15" s="38"/>
      <c r="H15" s="116">
        <v>95484351</v>
      </c>
      <c r="I15" s="129">
        <v>1869832</v>
      </c>
      <c r="J15" s="116">
        <v>97354183</v>
      </c>
      <c r="K15" s="116">
        <v>-803777</v>
      </c>
      <c r="L15" s="40"/>
    </row>
    <row r="16" spans="2:28" x14ac:dyDescent="0.25">
      <c r="B16" s="37" t="s">
        <v>54</v>
      </c>
      <c r="C16" s="33" t="s">
        <v>55</v>
      </c>
      <c r="D16" s="33"/>
      <c r="E16" s="38">
        <v>380000000.0073449</v>
      </c>
      <c r="F16" s="39">
        <v>380000000.0073449</v>
      </c>
      <c r="G16" s="38"/>
      <c r="H16" s="129">
        <v>380000000.0073449</v>
      </c>
      <c r="I16" s="129">
        <v>0</v>
      </c>
      <c r="J16" s="112">
        <v>380000000.0073449</v>
      </c>
      <c r="K16" s="112">
        <v>0</v>
      </c>
      <c r="L16" s="40"/>
    </row>
    <row r="18" spans="3:23" ht="6" customHeight="1" x14ac:dyDescent="0.25"/>
    <row r="19" spans="3:23" x14ac:dyDescent="0.25">
      <c r="F19" t="s">
        <v>17</v>
      </c>
      <c r="H19" s="119">
        <f>+H6+H8+H11</f>
        <v>2935213630.9241209</v>
      </c>
      <c r="I19" t="s">
        <v>17</v>
      </c>
      <c r="J19" s="119">
        <f>+J6+J8+J11</f>
        <v>2937884266.9241209</v>
      </c>
      <c r="K19" s="119">
        <f>+K6+K8+K11</f>
        <v>45857792.999999985</v>
      </c>
    </row>
    <row r="20" spans="3:23" x14ac:dyDescent="0.25">
      <c r="F20" t="s">
        <v>18</v>
      </c>
      <c r="H20" s="120">
        <f>+H7</f>
        <v>889767275</v>
      </c>
      <c r="I20" t="s">
        <v>18</v>
      </c>
      <c r="J20" s="120">
        <f>+J7</f>
        <v>890841215</v>
      </c>
      <c r="K20" s="120">
        <f>+K7</f>
        <v>24407773</v>
      </c>
      <c r="L20" t="s">
        <v>106</v>
      </c>
    </row>
    <row r="21" spans="3:23" x14ac:dyDescent="0.25">
      <c r="F21" t="s">
        <v>56</v>
      </c>
      <c r="H21" s="121">
        <f>+H9+H12</f>
        <v>842124446.64471459</v>
      </c>
      <c r="I21" t="s">
        <v>56</v>
      </c>
      <c r="J21" s="121">
        <f>+J9+J12</f>
        <v>850842467.64471459</v>
      </c>
      <c r="K21" s="121">
        <f>+K9+K12</f>
        <v>-1878756</v>
      </c>
    </row>
    <row r="22" spans="3:23" x14ac:dyDescent="0.25">
      <c r="F22" t="s">
        <v>57</v>
      </c>
      <c r="H22" s="122">
        <f>+H10</f>
        <v>180846551</v>
      </c>
      <c r="I22" t="s">
        <v>57</v>
      </c>
      <c r="J22" s="122">
        <f>+J10</f>
        <v>187957917.34266666</v>
      </c>
      <c r="K22" s="122">
        <f>+K10</f>
        <v>3335540</v>
      </c>
    </row>
    <row r="23" spans="3:23" x14ac:dyDescent="0.25">
      <c r="F23" t="s">
        <v>58</v>
      </c>
      <c r="H23" s="123">
        <f>+H13+H14+H15</f>
        <v>369336599</v>
      </c>
      <c r="I23" t="s">
        <v>58</v>
      </c>
      <c r="J23" s="123">
        <f>+J13+J14+J15</f>
        <v>376299148</v>
      </c>
      <c r="K23" s="123">
        <f>+K13+K14+K15</f>
        <v>-30081737.18</v>
      </c>
    </row>
    <row r="24" spans="3:23" x14ac:dyDescent="0.25">
      <c r="H24" s="41">
        <f>SUM(H19:H23)</f>
        <v>5217288502.5688353</v>
      </c>
      <c r="J24" s="41">
        <f>SUM(J19:J23)</f>
        <v>5243825014.9115019</v>
      </c>
    </row>
    <row r="25" spans="3:23" x14ac:dyDescent="0.25">
      <c r="M25" t="s">
        <v>98</v>
      </c>
      <c r="N25" s="164">
        <f>+J29-N29</f>
        <v>385756262.23317146</v>
      </c>
    </row>
    <row r="26" spans="3:23" ht="23.25" x14ac:dyDescent="0.35">
      <c r="C26" s="27" t="s">
        <v>59</v>
      </c>
    </row>
    <row r="27" spans="3:23" x14ac:dyDescent="0.25">
      <c r="L27" s="162" t="s">
        <v>104</v>
      </c>
      <c r="M27" s="162" t="s">
        <v>105</v>
      </c>
      <c r="N27" s="151" t="s">
        <v>103</v>
      </c>
    </row>
    <row r="28" spans="3:23" x14ac:dyDescent="0.25">
      <c r="C28" s="29" t="s">
        <v>27</v>
      </c>
      <c r="D28" s="28"/>
      <c r="E28" s="29" t="s">
        <v>27</v>
      </c>
      <c r="F28" s="29" t="s">
        <v>27</v>
      </c>
      <c r="G28" s="28"/>
      <c r="H28" s="186" t="s">
        <v>60</v>
      </c>
      <c r="I28" s="184"/>
      <c r="J28" s="185"/>
      <c r="K28" s="28"/>
      <c r="L28" s="187" t="s">
        <v>16</v>
      </c>
      <c r="M28" s="188"/>
      <c r="N28" s="189"/>
      <c r="O28" s="28"/>
      <c r="P28" s="190" t="s">
        <v>59</v>
      </c>
      <c r="Q28" s="184"/>
      <c r="R28" s="185"/>
    </row>
    <row r="29" spans="3:23" x14ac:dyDescent="0.25">
      <c r="C29" s="42" t="s">
        <v>2</v>
      </c>
      <c r="D29" s="28"/>
      <c r="E29" s="43">
        <f>SUM(E30:E40)</f>
        <v>4750000000.2055159</v>
      </c>
      <c r="F29" s="43">
        <f>SUM(F30:F40)</f>
        <v>6013966118.1520185</v>
      </c>
      <c r="G29" s="28"/>
      <c r="H29" s="44">
        <f>SUM(H30:H40)</f>
        <v>6013966118.1469126</v>
      </c>
      <c r="I29" s="44">
        <f t="shared" ref="I29:J29" si="5">SUM(I30:I40)</f>
        <v>5.105338990688324E-3</v>
      </c>
      <c r="J29" s="44">
        <f t="shared" si="5"/>
        <v>6013966118.1520185</v>
      </c>
      <c r="K29" s="28">
        <v>0</v>
      </c>
      <c r="L29" s="45">
        <f>SUM(L30:L40)</f>
        <v>5623825014.9188471</v>
      </c>
      <c r="M29" s="45">
        <f t="shared" ref="M29" si="6">SUM(M30:M40)</f>
        <v>4384841</v>
      </c>
      <c r="N29" s="45">
        <f>SUM(N30:N40)</f>
        <v>5628209855.9188471</v>
      </c>
      <c r="O29" s="28">
        <v>0</v>
      </c>
      <c r="P29" s="46">
        <f>SUM(P31:P40)</f>
        <v>5172626112.5354834</v>
      </c>
      <c r="Q29" s="46">
        <f t="shared" ref="Q29:R29" si="7">SUM(Q31:Q40)</f>
        <v>5172626112.5354834</v>
      </c>
      <c r="R29" s="46">
        <f t="shared" si="7"/>
        <v>0</v>
      </c>
    </row>
    <row r="30" spans="3:23" x14ac:dyDescent="0.25">
      <c r="C30" s="47" t="s">
        <v>35</v>
      </c>
      <c r="D30" s="28"/>
      <c r="E30" s="48">
        <v>989503980.44566989</v>
      </c>
      <c r="F30" s="38">
        <v>1239884575.233088</v>
      </c>
      <c r="G30" s="28"/>
      <c r="H30" s="105">
        <v>1239884575.2330875</v>
      </c>
      <c r="I30" s="49">
        <f>+F30-H30</f>
        <v>0</v>
      </c>
      <c r="J30" s="49">
        <v>1239884575.233088</v>
      </c>
      <c r="K30" s="28">
        <v>0</v>
      </c>
      <c r="L30" s="105">
        <v>1021487689</v>
      </c>
      <c r="M30" s="49">
        <f>+N30-L30</f>
        <v>0</v>
      </c>
      <c r="N30" s="49">
        <v>1021487689</v>
      </c>
      <c r="O30" s="28">
        <v>0</v>
      </c>
      <c r="P30" s="49">
        <v>1358736064.3264699</v>
      </c>
      <c r="Q30" s="49">
        <v>1358736064.3264699</v>
      </c>
      <c r="R30" s="50">
        <v>0</v>
      </c>
      <c r="T30" s="51"/>
      <c r="U30" s="51"/>
      <c r="V30" s="52"/>
      <c r="W30" s="53"/>
    </row>
    <row r="31" spans="3:23" x14ac:dyDescent="0.25">
      <c r="C31" s="47" t="s">
        <v>37</v>
      </c>
      <c r="D31" s="28"/>
      <c r="E31" s="48">
        <v>654136807.94229996</v>
      </c>
      <c r="F31" s="38">
        <v>679183187.46936965</v>
      </c>
      <c r="G31" s="28"/>
      <c r="H31" s="105">
        <v>679183187.46936965</v>
      </c>
      <c r="I31" s="49">
        <f t="shared" ref="I31:I40" si="8">+F31-H31</f>
        <v>0</v>
      </c>
      <c r="J31" s="49">
        <v>679183187.46936965</v>
      </c>
      <c r="K31" s="28">
        <v>0</v>
      </c>
      <c r="L31" s="105">
        <v>890841215</v>
      </c>
      <c r="M31" s="49">
        <f>+N31-L31</f>
        <v>0</v>
      </c>
      <c r="N31" s="49">
        <v>890841215</v>
      </c>
      <c r="O31" s="28">
        <v>0</v>
      </c>
      <c r="P31" s="49">
        <v>480906042.55799997</v>
      </c>
      <c r="Q31" s="49">
        <v>480906042.55799997</v>
      </c>
      <c r="R31" s="50">
        <v>0</v>
      </c>
      <c r="T31" s="51"/>
      <c r="U31" s="51"/>
      <c r="V31" s="52"/>
      <c r="W31" s="53"/>
    </row>
    <row r="32" spans="3:23" x14ac:dyDescent="0.25">
      <c r="C32" s="47" t="s">
        <v>39</v>
      </c>
      <c r="D32" s="28"/>
      <c r="E32" s="48">
        <v>438661457.75153172</v>
      </c>
      <c r="F32" s="38">
        <v>495177817.53729898</v>
      </c>
      <c r="G32" s="28"/>
      <c r="H32" s="105">
        <v>495177817.53729898</v>
      </c>
      <c r="I32" s="49">
        <f t="shared" si="8"/>
        <v>0</v>
      </c>
      <c r="J32" s="49">
        <v>495177817.53729898</v>
      </c>
      <c r="K32" s="28">
        <v>0</v>
      </c>
      <c r="L32" s="105">
        <v>627380767.99974489</v>
      </c>
      <c r="M32" s="49">
        <f t="shared" ref="M32:M40" si="9">+N32-L32</f>
        <v>0</v>
      </c>
      <c r="N32" s="49">
        <v>627380767.99974489</v>
      </c>
      <c r="O32" s="28">
        <v>0</v>
      </c>
      <c r="P32" s="49">
        <v>214640335.6621305</v>
      </c>
      <c r="Q32" s="49">
        <v>214640335.6621305</v>
      </c>
      <c r="R32" s="50">
        <v>0</v>
      </c>
      <c r="T32" s="51"/>
      <c r="U32" s="51"/>
      <c r="V32" s="52"/>
      <c r="W32" s="53"/>
    </row>
    <row r="33" spans="3:23" x14ac:dyDescent="0.25">
      <c r="C33" s="47" t="s">
        <v>41</v>
      </c>
      <c r="D33" s="28"/>
      <c r="E33" s="48">
        <v>825206144.46633112</v>
      </c>
      <c r="F33" s="38">
        <v>1005746952.9262139</v>
      </c>
      <c r="G33" s="28"/>
      <c r="H33" s="105">
        <v>1005746952.9262139</v>
      </c>
      <c r="I33" s="49">
        <f t="shared" si="8"/>
        <v>0</v>
      </c>
      <c r="J33" s="49">
        <v>1005746952.9262139</v>
      </c>
      <c r="K33" s="28">
        <v>0</v>
      </c>
      <c r="L33" s="105">
        <v>719435173.34471464</v>
      </c>
      <c r="M33" s="49">
        <f t="shared" si="9"/>
        <v>0</v>
      </c>
      <c r="N33" s="49">
        <v>719435173.34471464</v>
      </c>
      <c r="O33" s="28">
        <v>0</v>
      </c>
      <c r="P33" s="49">
        <v>1134737724.1507001</v>
      </c>
      <c r="Q33" s="49">
        <v>1134737724.1507001</v>
      </c>
      <c r="R33" s="50">
        <v>0</v>
      </c>
      <c r="T33" s="51"/>
      <c r="U33" s="51"/>
      <c r="V33" s="52"/>
      <c r="W33" s="53"/>
    </row>
    <row r="34" spans="3:23" x14ac:dyDescent="0.25">
      <c r="C34" s="47" t="s">
        <v>43</v>
      </c>
      <c r="D34" s="28"/>
      <c r="E34" s="48">
        <v>110221472.6512</v>
      </c>
      <c r="F34" s="38">
        <v>238680817.17854521</v>
      </c>
      <c r="G34" s="28"/>
      <c r="H34" s="105">
        <v>238680817.17854521</v>
      </c>
      <c r="I34" s="49">
        <f t="shared" si="8"/>
        <v>0</v>
      </c>
      <c r="J34" s="49">
        <v>238680817.17854521</v>
      </c>
      <c r="K34" s="28">
        <v>0</v>
      </c>
      <c r="L34" s="105">
        <v>187957917.34266666</v>
      </c>
      <c r="M34" s="49">
        <f t="shared" si="9"/>
        <v>0</v>
      </c>
      <c r="N34" s="49">
        <v>187957917.34266669</v>
      </c>
      <c r="O34" s="28">
        <v>0</v>
      </c>
      <c r="P34" s="49">
        <v>292334884.71689999</v>
      </c>
      <c r="Q34" s="49">
        <v>292334884.71689999</v>
      </c>
      <c r="R34" s="50">
        <v>0</v>
      </c>
      <c r="T34" s="51"/>
      <c r="U34" s="51"/>
      <c r="V34" s="52"/>
      <c r="W34" s="53"/>
    </row>
    <row r="35" spans="3:23" x14ac:dyDescent="0.25">
      <c r="C35" s="47" t="s">
        <v>45</v>
      </c>
      <c r="D35" s="28"/>
      <c r="E35" s="48">
        <v>849346597.24778163</v>
      </c>
      <c r="F35" s="38">
        <v>1307317730.5885222</v>
      </c>
      <c r="G35" s="28"/>
      <c r="H35" s="105">
        <v>1307317730.5885222</v>
      </c>
      <c r="I35" s="49">
        <f t="shared" si="8"/>
        <v>0</v>
      </c>
      <c r="J35" s="49">
        <v>1307317730.5885222</v>
      </c>
      <c r="K35" s="28">
        <v>0</v>
      </c>
      <c r="L35" s="105">
        <v>1289015809.924376</v>
      </c>
      <c r="M35" s="49">
        <f t="shared" si="9"/>
        <v>1902303.5</v>
      </c>
      <c r="N35" s="49">
        <v>1290918113.424376</v>
      </c>
      <c r="O35" s="28">
        <v>0</v>
      </c>
      <c r="P35" s="49">
        <v>1853206780.5873764</v>
      </c>
      <c r="Q35" s="49">
        <v>1853206780.5873766</v>
      </c>
      <c r="R35" s="50">
        <v>0</v>
      </c>
      <c r="T35" s="51"/>
      <c r="U35" s="51"/>
      <c r="V35" s="52"/>
      <c r="W35" s="53"/>
    </row>
    <row r="36" spans="3:23" x14ac:dyDescent="0.25">
      <c r="C36" s="47" t="s">
        <v>47</v>
      </c>
      <c r="D36" s="28"/>
      <c r="E36" s="48">
        <v>112795628.36</v>
      </c>
      <c r="F36" s="38">
        <v>161450051.27994096</v>
      </c>
      <c r="G36" s="28"/>
      <c r="H36" s="105">
        <v>161450051.27994096</v>
      </c>
      <c r="I36" s="49">
        <f t="shared" si="8"/>
        <v>0</v>
      </c>
      <c r="J36" s="49">
        <v>161450051.27994096</v>
      </c>
      <c r="K36" s="28">
        <v>0</v>
      </c>
      <c r="L36" s="105">
        <v>131407294.3</v>
      </c>
      <c r="M36" s="49">
        <f t="shared" si="9"/>
        <v>482537.5</v>
      </c>
      <c r="N36" s="49">
        <v>131889831.8</v>
      </c>
      <c r="O36" s="28">
        <v>0</v>
      </c>
      <c r="P36" s="49">
        <v>78853655.999999985</v>
      </c>
      <c r="Q36" s="49">
        <v>78853655.999999985</v>
      </c>
      <c r="R36" s="50">
        <v>0</v>
      </c>
      <c r="T36" s="51"/>
      <c r="U36" s="51"/>
      <c r="V36" s="52"/>
      <c r="W36" s="53"/>
    </row>
    <row r="37" spans="3:23" x14ac:dyDescent="0.25">
      <c r="C37" s="47" t="s">
        <v>49</v>
      </c>
      <c r="D37" s="28"/>
      <c r="E37" s="48">
        <v>135754532.50963384</v>
      </c>
      <c r="F37" s="38">
        <v>196838271.17832854</v>
      </c>
      <c r="G37" s="28"/>
      <c r="H37" s="105">
        <v>196838271.17832854</v>
      </c>
      <c r="I37" s="49">
        <f t="shared" si="8"/>
        <v>0</v>
      </c>
      <c r="J37" s="49">
        <v>196838271.17832854</v>
      </c>
      <c r="K37" s="28">
        <v>0</v>
      </c>
      <c r="L37" s="105">
        <v>104873927</v>
      </c>
      <c r="M37" s="49">
        <f t="shared" si="9"/>
        <v>0</v>
      </c>
      <c r="N37" s="49">
        <v>104873927</v>
      </c>
      <c r="O37" s="28">
        <v>0</v>
      </c>
      <c r="P37" s="49">
        <v>252538433.32796222</v>
      </c>
      <c r="Q37" s="49">
        <v>252538433.32796222</v>
      </c>
      <c r="R37" s="50">
        <v>0</v>
      </c>
      <c r="T37" s="51"/>
      <c r="U37" s="51"/>
      <c r="V37" s="52"/>
      <c r="W37" s="53"/>
    </row>
    <row r="38" spans="3:23" x14ac:dyDescent="0.25">
      <c r="C38" s="47" t="s">
        <v>51</v>
      </c>
      <c r="D38" s="28"/>
      <c r="E38" s="48">
        <v>194544741.2074329</v>
      </c>
      <c r="F38" s="38">
        <v>247748617.79628068</v>
      </c>
      <c r="G38" s="28"/>
      <c r="H38" s="105">
        <v>247748617.79628068</v>
      </c>
      <c r="I38" s="49">
        <f t="shared" si="8"/>
        <v>0</v>
      </c>
      <c r="J38" s="49">
        <v>247748617.79628068</v>
      </c>
      <c r="K38" s="28">
        <v>0</v>
      </c>
      <c r="L38" s="105">
        <v>174071038</v>
      </c>
      <c r="M38" s="49">
        <f t="shared" si="9"/>
        <v>2000000</v>
      </c>
      <c r="N38" s="49">
        <v>176071038</v>
      </c>
      <c r="O38" s="28">
        <v>0</v>
      </c>
      <c r="P38" s="49">
        <v>265021027.87130544</v>
      </c>
      <c r="Q38" s="49">
        <v>265021027.87130544</v>
      </c>
      <c r="R38" s="50">
        <v>0</v>
      </c>
      <c r="T38" s="51"/>
      <c r="U38" s="51"/>
      <c r="V38" s="52"/>
      <c r="W38" s="53"/>
    </row>
    <row r="39" spans="3:23" x14ac:dyDescent="0.25">
      <c r="C39" s="47" t="s">
        <v>53</v>
      </c>
      <c r="D39" s="28"/>
      <c r="E39" s="48">
        <v>59828637.61628902</v>
      </c>
      <c r="F39" s="38">
        <v>61938096.957085773</v>
      </c>
      <c r="G39" s="48"/>
      <c r="H39" s="106">
        <v>61938096.951980434</v>
      </c>
      <c r="I39" s="49">
        <f t="shared" si="8"/>
        <v>5.105338990688324E-3</v>
      </c>
      <c r="J39" s="49">
        <v>61938096.957085773</v>
      </c>
      <c r="K39" s="28">
        <v>0</v>
      </c>
      <c r="L39" s="105">
        <v>97354183</v>
      </c>
      <c r="M39" s="49">
        <f t="shared" si="9"/>
        <v>0</v>
      </c>
      <c r="N39" s="49">
        <v>97354183</v>
      </c>
      <c r="O39" s="28">
        <v>0</v>
      </c>
      <c r="P39" s="49">
        <v>78147227.660656705</v>
      </c>
      <c r="Q39" s="49">
        <v>78147227.66065675</v>
      </c>
      <c r="R39" s="50">
        <v>0</v>
      </c>
      <c r="T39" s="51"/>
      <c r="U39" s="51"/>
      <c r="V39" s="52"/>
      <c r="W39" s="53"/>
    </row>
    <row r="40" spans="3:23" ht="15.75" customHeight="1" x14ac:dyDescent="0.25">
      <c r="C40" s="47" t="s">
        <v>55</v>
      </c>
      <c r="D40" s="28"/>
      <c r="E40" s="48">
        <v>380000000.0073449</v>
      </c>
      <c r="F40" s="39">
        <v>380000000.0073449</v>
      </c>
      <c r="G40" s="48"/>
      <c r="H40" s="106">
        <v>380000000.0073449</v>
      </c>
      <c r="I40" s="49">
        <f t="shared" si="8"/>
        <v>0</v>
      </c>
      <c r="J40" s="49">
        <v>380000000.0073449</v>
      </c>
      <c r="K40" s="28">
        <v>0</v>
      </c>
      <c r="L40" s="106">
        <v>380000000.0073449</v>
      </c>
      <c r="M40" s="49">
        <f t="shared" si="9"/>
        <v>0</v>
      </c>
      <c r="N40" s="49">
        <v>380000000.0073449</v>
      </c>
      <c r="O40" s="28">
        <v>0</v>
      </c>
      <c r="P40" s="48">
        <v>522240000.00045216</v>
      </c>
      <c r="Q40" s="48">
        <v>522240000.00045216</v>
      </c>
      <c r="R40" s="50">
        <v>0</v>
      </c>
      <c r="S40" s="8"/>
      <c r="T40" s="51"/>
      <c r="U40" s="51"/>
      <c r="V40" s="52"/>
      <c r="W40" s="53"/>
    </row>
    <row r="41" spans="3:23" x14ac:dyDescent="0.25">
      <c r="E41" s="54">
        <f>SUM(E30:E40)</f>
        <v>4750000000.2055159</v>
      </c>
      <c r="F41" s="158">
        <f>SUM(F30:F40)</f>
        <v>6013966118.1520185</v>
      </c>
      <c r="H41" s="54">
        <f>SUM(H30:H40)</f>
        <v>6013966118.1469126</v>
      </c>
      <c r="I41" s="54">
        <f>SUM(I30:I40)</f>
        <v>5.105338990688324E-3</v>
      </c>
      <c r="J41" s="54">
        <f>SUM(J30:J40)</f>
        <v>6013966118.1520185</v>
      </c>
      <c r="L41" s="163">
        <f>SUM(L30:L40)</f>
        <v>5623825014.9188471</v>
      </c>
      <c r="M41" s="163">
        <f>SUM(M30:M40)</f>
        <v>4384841</v>
      </c>
      <c r="N41" s="163">
        <f>SUM(N30:N40)</f>
        <v>5628209855.9188471</v>
      </c>
      <c r="P41" s="54">
        <f>SUM(P30:P40)</f>
        <v>6531362176.8619537</v>
      </c>
      <c r="Q41" s="54">
        <f>SUM(Q30:Q40)</f>
        <v>6531362176.8619537</v>
      </c>
      <c r="R41" s="54">
        <f>SUM(R30:R40)</f>
        <v>0</v>
      </c>
      <c r="T41" s="51"/>
      <c r="W41" s="53"/>
    </row>
    <row r="42" spans="3:23" x14ac:dyDescent="0.25">
      <c r="L42" s="159" t="s">
        <v>85</v>
      </c>
      <c r="M42" s="166" t="s">
        <v>92</v>
      </c>
      <c r="N42" s="157" t="s">
        <v>90</v>
      </c>
      <c r="P42" s="40">
        <f>SUM(P30:P39)</f>
        <v>6009122176.8615017</v>
      </c>
    </row>
    <row r="43" spans="3:23" x14ac:dyDescent="0.25">
      <c r="H43" s="51">
        <f>+H30+H32+H35</f>
        <v>3042380123.3589087</v>
      </c>
      <c r="I43" s="40">
        <f>+I30+I32+I35</f>
        <v>0</v>
      </c>
      <c r="J43" t="s">
        <v>17</v>
      </c>
      <c r="L43" s="160">
        <f>+N30+N32+N35</f>
        <v>2939786570.4241209</v>
      </c>
      <c r="M43" s="53">
        <f>+M30+M32+M35</f>
        <v>1902303.5</v>
      </c>
      <c r="N43" s="53">
        <f>+L30+L32+L35</f>
        <v>2937884266.9241209</v>
      </c>
      <c r="O43" s="154">
        <f>+N43+M43</f>
        <v>2939786570.4241209</v>
      </c>
      <c r="T43" s="51"/>
      <c r="U43" s="40"/>
    </row>
    <row r="44" spans="3:23" x14ac:dyDescent="0.25">
      <c r="H44" s="51">
        <f>+H31</f>
        <v>679183187.46936965</v>
      </c>
      <c r="I44" s="40">
        <f>+I31</f>
        <v>0</v>
      </c>
      <c r="J44" t="s">
        <v>18</v>
      </c>
      <c r="L44" s="160">
        <f>+N31</f>
        <v>890841215</v>
      </c>
      <c r="M44" s="53">
        <f>+M31</f>
        <v>0</v>
      </c>
      <c r="N44" s="155">
        <f>+L31</f>
        <v>890841215</v>
      </c>
      <c r="O44" s="154">
        <f>+N44+M44</f>
        <v>890841215</v>
      </c>
      <c r="P44" s="40">
        <v>331699099</v>
      </c>
      <c r="Q44" s="152">
        <f>+N44-P44</f>
        <v>559142116</v>
      </c>
      <c r="T44" s="51"/>
      <c r="U44" s="40"/>
    </row>
    <row r="45" spans="3:23" x14ac:dyDescent="0.25">
      <c r="H45" s="51">
        <f>+H33+H36</f>
        <v>1167197004.2061548</v>
      </c>
      <c r="I45" s="40">
        <f>+I33+I36</f>
        <v>0</v>
      </c>
      <c r="J45" t="s">
        <v>56</v>
      </c>
      <c r="L45" s="160">
        <f>+N33+N36</f>
        <v>851325005.14471459</v>
      </c>
      <c r="M45" s="53">
        <f>+M33+M36</f>
        <v>482537.5</v>
      </c>
      <c r="N45" s="53">
        <f>+L33+L36</f>
        <v>850842467.64471459</v>
      </c>
      <c r="O45" s="154">
        <f t="shared" ref="O45:O47" si="10">+N45+M45</f>
        <v>851325005.14471459</v>
      </c>
      <c r="P45" s="40"/>
      <c r="T45" s="51"/>
      <c r="U45" s="40"/>
    </row>
    <row r="46" spans="3:23" x14ac:dyDescent="0.25">
      <c r="H46" s="51">
        <f>+H34</f>
        <v>238680817.17854521</v>
      </c>
      <c r="I46" s="40">
        <f>+I34</f>
        <v>0</v>
      </c>
      <c r="J46" t="s">
        <v>57</v>
      </c>
      <c r="L46" s="160">
        <f>+N34</f>
        <v>187957917.34266669</v>
      </c>
      <c r="M46" s="53">
        <f>+M34</f>
        <v>0</v>
      </c>
      <c r="N46" s="53">
        <f>+L34</f>
        <v>187957917.34266666</v>
      </c>
      <c r="O46" s="154">
        <f t="shared" si="10"/>
        <v>187957917.34266666</v>
      </c>
      <c r="P46" s="40"/>
      <c r="T46" s="51"/>
      <c r="U46" s="40"/>
    </row>
    <row r="47" spans="3:23" x14ac:dyDescent="0.25">
      <c r="H47" s="51">
        <f>+H37+H38+H39</f>
        <v>506524985.92658967</v>
      </c>
      <c r="I47" s="40">
        <f>+I37+I38+I39+I40</f>
        <v>5.105338990688324E-3</v>
      </c>
      <c r="J47" t="s">
        <v>58</v>
      </c>
      <c r="L47" s="160">
        <f>+N37+N38+N39</f>
        <v>378299148</v>
      </c>
      <c r="M47" s="53">
        <f>+M37+M38+M39</f>
        <v>2000000</v>
      </c>
      <c r="N47" s="155">
        <f>+L37+L38+L39</f>
        <v>376299148</v>
      </c>
      <c r="O47" s="154">
        <f t="shared" si="10"/>
        <v>378299148</v>
      </c>
      <c r="P47" s="40">
        <v>127793249</v>
      </c>
      <c r="Q47" s="152">
        <f>+N47-P47</f>
        <v>248505899</v>
      </c>
      <c r="T47" s="51"/>
      <c r="U47" s="40"/>
    </row>
    <row r="48" spans="3:23" x14ac:dyDescent="0.25">
      <c r="I48" s="41">
        <f>SUM(I43:I47)</f>
        <v>5.105338990688324E-3</v>
      </c>
      <c r="L48" s="41">
        <f>SUM(L43:L47)</f>
        <v>5248209855.9115019</v>
      </c>
      <c r="M48" s="110">
        <f>+SUM(M43:M47)</f>
        <v>4384841</v>
      </c>
      <c r="N48" s="53">
        <f>+SUM(N43:N47)</f>
        <v>5243825014.9115019</v>
      </c>
      <c r="O48" s="53">
        <f>+SUM(O43:O47)</f>
        <v>5248209855.9115019</v>
      </c>
      <c r="P48" s="41"/>
    </row>
    <row r="49" spans="12:12" x14ac:dyDescent="0.25">
      <c r="L49" s="51">
        <f>+Flujo!T28</f>
        <v>5230234496.0444403</v>
      </c>
    </row>
    <row r="50" spans="12:12" x14ac:dyDescent="0.25">
      <c r="L50" s="40">
        <f>+L49-L48</f>
        <v>-17975359.867061615</v>
      </c>
    </row>
    <row r="51" spans="12:12" x14ac:dyDescent="0.25">
      <c r="L51" s="40"/>
    </row>
    <row r="69" spans="12:12" x14ac:dyDescent="0.25">
      <c r="L69" s="40"/>
    </row>
    <row r="70" spans="12:12" x14ac:dyDescent="0.25">
      <c r="L70" s="40"/>
    </row>
    <row r="71" spans="12:12" x14ac:dyDescent="0.25">
      <c r="L71" s="40"/>
    </row>
    <row r="72" spans="12:12" x14ac:dyDescent="0.25">
      <c r="L72" s="40"/>
    </row>
    <row r="73" spans="12:12" x14ac:dyDescent="0.25">
      <c r="L73" s="40"/>
    </row>
    <row r="74" spans="12:12" x14ac:dyDescent="0.25">
      <c r="L74" s="41"/>
    </row>
  </sheetData>
  <mergeCells count="4">
    <mergeCell ref="H3:J3"/>
    <mergeCell ref="H28:J28"/>
    <mergeCell ref="L28:N28"/>
    <mergeCell ref="P28:R28"/>
  </mergeCells>
  <phoneticPr fontId="4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D052E-6829-4D4B-B0CF-15F9B7373A45}">
  <dimension ref="A2:AX58"/>
  <sheetViews>
    <sheetView showGridLines="0" zoomScale="85" zoomScaleNormal="85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H68" sqref="H68"/>
    </sheetView>
  </sheetViews>
  <sheetFormatPr baseColWidth="10" defaultColWidth="11.42578125" defaultRowHeight="15" outlineLevelRow="1" x14ac:dyDescent="0.25"/>
  <cols>
    <col min="1" max="1" width="33" customWidth="1"/>
    <col min="2" max="10" width="21.140625" customWidth="1"/>
    <col min="11" max="11" width="17.85546875" bestFit="1" customWidth="1"/>
    <col min="12" max="14" width="18.140625" bestFit="1" customWidth="1"/>
    <col min="15" max="15" width="18.140625" customWidth="1"/>
    <col min="16" max="16" width="17.85546875" customWidth="1"/>
    <col min="17" max="17" width="16.7109375" customWidth="1"/>
    <col min="18" max="18" width="19.140625" customWidth="1"/>
    <col min="19" max="19" width="29.5703125" customWidth="1"/>
    <col min="20" max="20" width="4.85546875" customWidth="1"/>
    <col min="21" max="21" width="21.140625" customWidth="1"/>
    <col min="22" max="22" width="21.42578125" customWidth="1"/>
    <col min="23" max="25" width="2.5703125" hidden="1" customWidth="1"/>
    <col min="26" max="26" width="14.7109375" bestFit="1" customWidth="1"/>
    <col min="27" max="27" width="2.5703125" customWidth="1"/>
    <col min="28" max="28" width="13.7109375" bestFit="1" customWidth="1"/>
    <col min="29" max="29" width="2.5703125" customWidth="1"/>
    <col min="30" max="30" width="20.85546875" customWidth="1"/>
    <col min="31" max="31" width="2.5703125" customWidth="1"/>
    <col min="32" max="32" width="14.140625" customWidth="1"/>
    <col min="33" max="33" width="40.42578125" customWidth="1"/>
    <col min="34" max="48" width="2.5703125" customWidth="1"/>
    <col min="49" max="49" width="4.140625" customWidth="1"/>
    <col min="50" max="50" width="16.85546875" bestFit="1" customWidth="1"/>
  </cols>
  <sheetData>
    <row r="2" spans="1:50" x14ac:dyDescent="0.25">
      <c r="E2" s="51">
        <v>4750000000</v>
      </c>
    </row>
    <row r="4" spans="1:50" x14ac:dyDescent="0.25">
      <c r="C4" s="36"/>
      <c r="U4" s="51"/>
    </row>
    <row r="5" spans="1:50" x14ac:dyDescent="0.25">
      <c r="D5" s="36"/>
      <c r="U5" s="8"/>
    </row>
    <row r="6" spans="1:50" x14ac:dyDescent="0.25">
      <c r="E6" s="36"/>
    </row>
    <row r="7" spans="1:50" ht="21" x14ac:dyDescent="0.35">
      <c r="A7" s="1" t="s">
        <v>73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U7" s="1"/>
    </row>
    <row r="8" spans="1:50" x14ac:dyDescent="0.25">
      <c r="AX8" s="3" t="s">
        <v>79</v>
      </c>
    </row>
    <row r="9" spans="1:50" x14ac:dyDescent="0.25">
      <c r="A9" s="2" t="s">
        <v>0</v>
      </c>
      <c r="B9" s="3" t="s">
        <v>1</v>
      </c>
      <c r="C9" s="18">
        <v>45597</v>
      </c>
      <c r="D9" s="18">
        <v>45627</v>
      </c>
      <c r="E9" s="18">
        <v>45658</v>
      </c>
      <c r="F9" s="18">
        <v>45689</v>
      </c>
      <c r="G9" s="18">
        <v>45717</v>
      </c>
      <c r="H9" s="18">
        <v>45748</v>
      </c>
      <c r="I9" s="18">
        <v>45778</v>
      </c>
      <c r="J9" s="18">
        <v>45809</v>
      </c>
      <c r="K9" s="18">
        <v>45839</v>
      </c>
      <c r="L9" s="18">
        <v>45870</v>
      </c>
      <c r="M9" s="18">
        <v>45901</v>
      </c>
      <c r="N9" s="18">
        <v>45931</v>
      </c>
      <c r="O9" s="18">
        <v>45962</v>
      </c>
      <c r="P9" s="18">
        <v>45992</v>
      </c>
      <c r="Q9" s="18">
        <v>46023</v>
      </c>
      <c r="R9" s="18">
        <v>46054</v>
      </c>
      <c r="S9" s="18">
        <v>46082</v>
      </c>
      <c r="U9" s="3" t="s">
        <v>2</v>
      </c>
      <c r="V9" s="130"/>
      <c r="AX9" s="3" t="s">
        <v>2</v>
      </c>
    </row>
    <row r="10" spans="1:50" ht="7.5" customHeight="1" x14ac:dyDescent="0.25">
      <c r="B10" s="25"/>
      <c r="C10" s="25"/>
      <c r="D10" s="25"/>
      <c r="E10" s="25"/>
      <c r="F10" s="25"/>
      <c r="G10" s="25"/>
      <c r="H10" s="25"/>
      <c r="I10" s="25"/>
      <c r="J10" s="25"/>
      <c r="K10" s="25"/>
      <c r="V10" s="130"/>
    </row>
    <row r="11" spans="1:50" x14ac:dyDescent="0.25">
      <c r="A11" s="17" t="s">
        <v>3</v>
      </c>
      <c r="B11" s="33"/>
      <c r="C11" s="132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V11" s="130"/>
      <c r="AX11" s="8"/>
    </row>
    <row r="12" spans="1:50" x14ac:dyDescent="0.25">
      <c r="A12" s="4" t="s">
        <v>4</v>
      </c>
      <c r="B12" s="61"/>
      <c r="C12" s="93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8"/>
      <c r="U12" s="9">
        <f>SUM(B12:B12)</f>
        <v>0</v>
      </c>
      <c r="V12" s="131" t="s">
        <v>88</v>
      </c>
      <c r="W12" s="8">
        <f>+U12+U14</f>
        <v>0</v>
      </c>
      <c r="X12" s="8"/>
      <c r="Y12" s="8"/>
      <c r="Z12" s="93" t="s">
        <v>83</v>
      </c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X12" s="9">
        <v>0</v>
      </c>
    </row>
    <row r="13" spans="1:50" x14ac:dyDescent="0.25">
      <c r="A13" s="4" t="s">
        <v>5</v>
      </c>
      <c r="B13" s="10">
        <f>SUM(C13:G13)</f>
        <v>1454537600.4949999</v>
      </c>
      <c r="C13" s="11">
        <v>190416015.5</v>
      </c>
      <c r="D13" s="11">
        <v>146477473</v>
      </c>
      <c r="E13" s="11">
        <v>332815173</v>
      </c>
      <c r="F13" s="11">
        <v>289020918.09500003</v>
      </c>
      <c r="G13" s="11">
        <v>495808020.89999998</v>
      </c>
      <c r="H13" s="11">
        <f>+Costo!$F$41*'Flujo (reajuste)'!H36</f>
        <v>864998363.67940521</v>
      </c>
      <c r="I13" s="11">
        <f>+Costo!$F$41*'Flujo (reajuste)'!I36</f>
        <v>803516490.41693485</v>
      </c>
      <c r="J13" s="11">
        <f>+Costo!$F$41*'Flujo (reajuste)'!J36</f>
        <v>681794194.77832913</v>
      </c>
      <c r="K13" s="11">
        <f>+Costo!$F$41*'Flujo (reajuste)'!K36</f>
        <v>691606103.58748221</v>
      </c>
      <c r="L13" s="11">
        <f>+Costo!$F$41*'Flujo (reajuste)'!L36</f>
        <v>481117289.45216149</v>
      </c>
      <c r="M13" s="11">
        <f>+Costo!$F$41*'Flujo (reajuste)'!M36</f>
        <v>240558644.72608075</v>
      </c>
      <c r="N13" s="11">
        <f>+Costo!$F$41*'Flujo (reajuste)'!N36</f>
        <v>181162754.01266479</v>
      </c>
      <c r="O13" s="11">
        <f>+Costo!$F$41*'Flujo (reajuste)'!O36</f>
        <v>150349152.95380047</v>
      </c>
      <c r="P13" s="11">
        <f>+Costo!$F$41*'Flujo (reajuste)'!P36</f>
        <v>132307254.5993444</v>
      </c>
      <c r="Q13" s="11">
        <f>+Costo!$F$41*'Flujo (reajuste)'!Q36</f>
        <v>102237424.00858432</v>
      </c>
      <c r="R13" s="11"/>
      <c r="S13" s="11"/>
      <c r="T13" s="8"/>
      <c r="U13" s="9">
        <f>SUM(C13:S13)</f>
        <v>5784185272.7097874</v>
      </c>
      <c r="V13" s="135">
        <v>5193518998.1620865</v>
      </c>
      <c r="W13" s="8"/>
      <c r="X13" s="8">
        <f>+X16-U13</f>
        <v>229780845.44223118</v>
      </c>
      <c r="Y13" s="60"/>
      <c r="Z13" s="60">
        <v>5179316760.715498</v>
      </c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X13" s="137">
        <v>4750000000</v>
      </c>
    </row>
    <row r="14" spans="1:50" x14ac:dyDescent="0.25">
      <c r="A14" s="4" t="s">
        <v>6</v>
      </c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8"/>
      <c r="U14" s="9">
        <f t="shared" ref="U14" si="0">SUM(D14:P14)</f>
        <v>0</v>
      </c>
      <c r="V14" s="135"/>
      <c r="AX14" s="9">
        <v>0</v>
      </c>
    </row>
    <row r="15" spans="1:50" x14ac:dyDescent="0.25">
      <c r="A15" s="4" t="s">
        <v>7</v>
      </c>
      <c r="B15" s="10">
        <f>SUM(C15:G15)</f>
        <v>-72726881</v>
      </c>
      <c r="C15" s="11">
        <f t="shared" ref="C15:Q15" si="1">-ROUND(C13*5%,0)</f>
        <v>-9520801</v>
      </c>
      <c r="D15" s="11">
        <f t="shared" si="1"/>
        <v>-7323874</v>
      </c>
      <c r="E15" s="11">
        <f t="shared" si="1"/>
        <v>-16640759</v>
      </c>
      <c r="F15" s="11">
        <f>-ROUND(F13*5%,0)</f>
        <v>-14451046</v>
      </c>
      <c r="G15" s="11">
        <f t="shared" si="1"/>
        <v>-24790401</v>
      </c>
      <c r="H15" s="11">
        <f t="shared" si="1"/>
        <v>-43249918</v>
      </c>
      <c r="I15" s="11">
        <f t="shared" si="1"/>
        <v>-40175825</v>
      </c>
      <c r="J15" s="11">
        <f t="shared" si="1"/>
        <v>-34089710</v>
      </c>
      <c r="K15" s="11">
        <f t="shared" si="1"/>
        <v>-34580305</v>
      </c>
      <c r="L15" s="11">
        <f t="shared" si="1"/>
        <v>-24055864</v>
      </c>
      <c r="M15" s="11">
        <f t="shared" si="1"/>
        <v>-12027932</v>
      </c>
      <c r="N15" s="11">
        <f t="shared" si="1"/>
        <v>-9058138</v>
      </c>
      <c r="O15" s="11">
        <f t="shared" si="1"/>
        <v>-7517458</v>
      </c>
      <c r="P15" s="11">
        <f t="shared" si="1"/>
        <v>-6615363</v>
      </c>
      <c r="Q15" s="11">
        <f t="shared" si="1"/>
        <v>-5111871</v>
      </c>
      <c r="R15" s="11"/>
      <c r="S15" s="11"/>
      <c r="T15" s="8"/>
      <c r="U15" s="9">
        <f>SUM(C15:S15)</f>
        <v>-289209265</v>
      </c>
      <c r="V15" s="135"/>
      <c r="W15" t="s">
        <v>8</v>
      </c>
      <c r="X15" t="s">
        <v>9</v>
      </c>
      <c r="Y15" t="s">
        <v>10</v>
      </c>
      <c r="AX15" s="9">
        <v>-237500001</v>
      </c>
    </row>
    <row r="16" spans="1:50" x14ac:dyDescent="0.25">
      <c r="A16" s="4" t="s">
        <v>11</v>
      </c>
      <c r="B16" s="10">
        <f>SUM(C16:G16)</f>
        <v>910793100.09500003</v>
      </c>
      <c r="C16" s="11">
        <v>0</v>
      </c>
      <c r="D16" s="11">
        <v>180895215</v>
      </c>
      <c r="E16" s="11">
        <v>139153599</v>
      </c>
      <c r="F16" s="11">
        <v>316174414</v>
      </c>
      <c r="G16" s="11">
        <v>274569872.09500003</v>
      </c>
      <c r="H16" s="11">
        <v>471017620</v>
      </c>
      <c r="I16" s="11">
        <v>709642535</v>
      </c>
      <c r="J16" s="11">
        <v>659202958</v>
      </c>
      <c r="K16" s="11">
        <v>559342284</v>
      </c>
      <c r="L16" s="11">
        <v>567391951</v>
      </c>
      <c r="M16" s="11">
        <v>394707444</v>
      </c>
      <c r="N16" s="11">
        <v>197353722</v>
      </c>
      <c r="O16" s="11">
        <v>148625479</v>
      </c>
      <c r="P16" s="11">
        <v>123346076</v>
      </c>
      <c r="Q16" s="11">
        <v>108544547</v>
      </c>
      <c r="R16" s="11">
        <v>83875332</v>
      </c>
      <c r="S16" s="11"/>
      <c r="T16" s="8"/>
      <c r="U16" s="9">
        <f>SUM(D16:R16)</f>
        <v>4933843048.0950003</v>
      </c>
      <c r="V16" s="135"/>
      <c r="W16" s="8">
        <f>U18</f>
        <v>5223052313.0950003</v>
      </c>
      <c r="X16" s="8">
        <f>+Costo!F41</f>
        <v>6013966118.1520185</v>
      </c>
      <c r="Y16" s="8">
        <f>+X16-W16</f>
        <v>790913805.05701828</v>
      </c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X16" s="9">
        <v>4196986066.9856138</v>
      </c>
    </row>
    <row r="17" spans="1:50" x14ac:dyDescent="0.25">
      <c r="A17" s="4" t="s">
        <v>12</v>
      </c>
      <c r="B17" s="62">
        <v>0</v>
      </c>
      <c r="C17" s="133"/>
      <c r="D17" s="11"/>
      <c r="E17" s="11"/>
      <c r="F17" s="11"/>
      <c r="G17" s="11"/>
      <c r="H17" s="11"/>
      <c r="I17" s="11"/>
      <c r="J17" s="11"/>
      <c r="K17" s="11"/>
      <c r="L17" s="93"/>
      <c r="M17" s="93"/>
      <c r="N17" s="93"/>
      <c r="O17" s="93"/>
      <c r="P17" s="93"/>
      <c r="Q17" s="93"/>
      <c r="R17" s="93"/>
      <c r="S17" s="93">
        <f>+SUM(C15:S15)*-1</f>
        <v>289209265</v>
      </c>
      <c r="T17" s="8"/>
      <c r="U17" s="9">
        <f>SUM(D17:R17)</f>
        <v>0</v>
      </c>
      <c r="V17" s="96"/>
      <c r="W17" s="8"/>
      <c r="X17" s="8"/>
      <c r="AX17" s="9">
        <v>237500001</v>
      </c>
    </row>
    <row r="18" spans="1:50" x14ac:dyDescent="0.25">
      <c r="A18" s="21" t="s">
        <v>13</v>
      </c>
      <c r="B18" s="63">
        <f>+B16-B14-B15</f>
        <v>983519981.09500003</v>
      </c>
      <c r="C18" s="22">
        <f t="shared" ref="C18:J18" si="2">+C16+D17</f>
        <v>0</v>
      </c>
      <c r="D18" s="6">
        <f>+D16+E17</f>
        <v>180895215</v>
      </c>
      <c r="E18" s="6">
        <f>+E16+F17</f>
        <v>139153599</v>
      </c>
      <c r="F18" s="6">
        <f t="shared" si="2"/>
        <v>316174414</v>
      </c>
      <c r="G18" s="6">
        <f t="shared" si="2"/>
        <v>274569872.09500003</v>
      </c>
      <c r="H18" s="6">
        <f>+H16+I17</f>
        <v>471017620</v>
      </c>
      <c r="I18" s="6">
        <f t="shared" si="2"/>
        <v>709642535</v>
      </c>
      <c r="J18" s="6">
        <f t="shared" si="2"/>
        <v>659202958</v>
      </c>
      <c r="K18" s="6">
        <f>+K16+Q17</f>
        <v>559342284</v>
      </c>
      <c r="L18" s="6">
        <f>+L16</f>
        <v>567391951</v>
      </c>
      <c r="M18" s="6">
        <f>+M16</f>
        <v>394707444</v>
      </c>
      <c r="N18" s="6">
        <f>+N16</f>
        <v>197353722</v>
      </c>
      <c r="O18" s="6">
        <f>+O16</f>
        <v>148625479</v>
      </c>
      <c r="P18" s="6">
        <f t="shared" ref="P18:R18" si="3">+P16</f>
        <v>123346076</v>
      </c>
      <c r="Q18" s="6">
        <f t="shared" si="3"/>
        <v>108544547</v>
      </c>
      <c r="R18" s="6">
        <f t="shared" si="3"/>
        <v>83875332</v>
      </c>
      <c r="S18" s="6">
        <f>+S17</f>
        <v>289209265</v>
      </c>
      <c r="T18" s="8"/>
      <c r="U18" s="9">
        <f>SUM(D18:S18)</f>
        <v>5223052313.0950003</v>
      </c>
      <c r="V18" s="135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X18" s="9">
        <v>4434486067.9856138</v>
      </c>
    </row>
    <row r="19" spans="1:50" x14ac:dyDescent="0.25">
      <c r="A19" s="23" t="s">
        <v>14</v>
      </c>
      <c r="B19" s="64">
        <f>B18*0.19</f>
        <v>186868796.40805</v>
      </c>
      <c r="C19" s="134">
        <f t="shared" ref="C19" si="4">ROUND(C18*0.19,0)</f>
        <v>0</v>
      </c>
      <c r="D19" s="59">
        <f>ROUND(D18*0.19,0)</f>
        <v>34370091</v>
      </c>
      <c r="E19" s="59">
        <f t="shared" ref="E19:S19" si="5">ROUND(E18*0.19,0)</f>
        <v>26439184</v>
      </c>
      <c r="F19" s="59">
        <f t="shared" si="5"/>
        <v>60073139</v>
      </c>
      <c r="G19" s="59">
        <f t="shared" si="5"/>
        <v>52168276</v>
      </c>
      <c r="H19" s="59">
        <f t="shared" si="5"/>
        <v>89493348</v>
      </c>
      <c r="I19" s="59">
        <f t="shared" si="5"/>
        <v>134832082</v>
      </c>
      <c r="J19" s="59">
        <f t="shared" si="5"/>
        <v>125248562</v>
      </c>
      <c r="K19" s="59">
        <f t="shared" si="5"/>
        <v>106275034</v>
      </c>
      <c r="L19" s="59">
        <f t="shared" si="5"/>
        <v>107804471</v>
      </c>
      <c r="M19" s="59">
        <f t="shared" si="5"/>
        <v>74994414</v>
      </c>
      <c r="N19" s="59">
        <f t="shared" si="5"/>
        <v>37497207</v>
      </c>
      <c r="O19" s="59">
        <f t="shared" si="5"/>
        <v>28238841</v>
      </c>
      <c r="P19" s="59">
        <f t="shared" si="5"/>
        <v>23435754</v>
      </c>
      <c r="Q19" s="59">
        <f t="shared" si="5"/>
        <v>20623464</v>
      </c>
      <c r="R19" s="59">
        <f t="shared" si="5"/>
        <v>15936313</v>
      </c>
      <c r="S19" s="59">
        <f t="shared" si="5"/>
        <v>54949760</v>
      </c>
      <c r="T19" s="8"/>
      <c r="U19" s="9">
        <f>SUM(D19:S19)</f>
        <v>992379940</v>
      </c>
      <c r="V19" s="96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X19" s="57">
        <v>842552354</v>
      </c>
    </row>
    <row r="20" spans="1:50" x14ac:dyDescent="0.25">
      <c r="A20" s="20" t="s">
        <v>15</v>
      </c>
      <c r="B20" s="7">
        <f>B18+B19</f>
        <v>1170388777.5030501</v>
      </c>
      <c r="C20" s="6">
        <f t="shared" ref="C20" si="6">C18+C19</f>
        <v>0</v>
      </c>
      <c r="D20" s="6">
        <f>D18+D19</f>
        <v>215265306</v>
      </c>
      <c r="E20" s="6">
        <f t="shared" ref="E20:G20" si="7">E18+E19</f>
        <v>165592783</v>
      </c>
      <c r="F20" s="6">
        <f t="shared" si="7"/>
        <v>376247553</v>
      </c>
      <c r="G20" s="6">
        <f t="shared" si="7"/>
        <v>326738148.09500003</v>
      </c>
      <c r="H20" s="6">
        <f>H18+H19</f>
        <v>560510968</v>
      </c>
      <c r="I20" s="6">
        <f>I18+I19</f>
        <v>844474617</v>
      </c>
      <c r="J20" s="6">
        <f>J18+J19</f>
        <v>784451520</v>
      </c>
      <c r="K20" s="6">
        <f>K18+K19</f>
        <v>665617318</v>
      </c>
      <c r="L20" s="6">
        <f t="shared" ref="L20:O20" si="8">L18+L19</f>
        <v>675196422</v>
      </c>
      <c r="M20" s="6">
        <f t="shared" si="8"/>
        <v>469701858</v>
      </c>
      <c r="N20" s="6">
        <f t="shared" si="8"/>
        <v>234850929</v>
      </c>
      <c r="O20" s="6">
        <f t="shared" si="8"/>
        <v>176864320</v>
      </c>
      <c r="P20" s="6">
        <f>P18+P19</f>
        <v>146781830</v>
      </c>
      <c r="Q20" s="6">
        <f>Q18+Q19</f>
        <v>129168011</v>
      </c>
      <c r="R20" s="6">
        <f>R18+R19</f>
        <v>99811645</v>
      </c>
      <c r="S20" s="6">
        <f>S18+S19</f>
        <v>344159025</v>
      </c>
      <c r="T20" s="56"/>
      <c r="U20" s="57">
        <f>+U18+U19</f>
        <v>6215432253.0950003</v>
      </c>
      <c r="V20" s="96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9">
        <f>+AX19+AX18</f>
        <v>5277038421.9856138</v>
      </c>
    </row>
    <row r="21" spans="1:50" ht="6.75" customHeight="1" x14ac:dyDescent="0.25">
      <c r="A21" s="24"/>
      <c r="B21" s="16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12"/>
      <c r="V21" s="96"/>
      <c r="AX21" s="15"/>
    </row>
    <row r="22" spans="1:50" x14ac:dyDescent="0.25">
      <c r="A22" s="17" t="s">
        <v>16</v>
      </c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94"/>
      <c r="M22" s="94"/>
      <c r="N22" s="94"/>
      <c r="O22" s="94"/>
      <c r="P22" s="94"/>
      <c r="Q22" s="94"/>
      <c r="R22" s="94"/>
      <c r="S22" s="94"/>
      <c r="T22" s="8"/>
      <c r="U22" s="15"/>
      <c r="V22" s="135"/>
      <c r="X22" s="8"/>
      <c r="Y22" s="8"/>
      <c r="Z22" s="8"/>
      <c r="AA22" s="8"/>
      <c r="AB22" s="8" t="s">
        <v>85</v>
      </c>
      <c r="AC22" s="8"/>
      <c r="AD22" s="8" t="s">
        <v>84</v>
      </c>
      <c r="AE22" s="8"/>
      <c r="AF22" s="8" t="s">
        <v>86</v>
      </c>
      <c r="AG22" s="8" t="s">
        <v>87</v>
      </c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12"/>
    </row>
    <row r="23" spans="1:50" x14ac:dyDescent="0.25">
      <c r="A23" s="5" t="s">
        <v>17</v>
      </c>
      <c r="B23" s="10">
        <f>+Costo!J19</f>
        <v>2937884266.9241209</v>
      </c>
      <c r="C23" s="11">
        <v>0</v>
      </c>
      <c r="D23" s="11">
        <v>270617901.84362197</v>
      </c>
      <c r="E23" s="11">
        <v>147418850.18408585</v>
      </c>
      <c r="F23" s="11">
        <v>188283236.68388826</v>
      </c>
      <c r="G23" s="11">
        <v>179799377.02779919</v>
      </c>
      <c r="H23" s="11">
        <v>327282536.18787444</v>
      </c>
      <c r="I23" s="11">
        <v>344891210.79730964</v>
      </c>
      <c r="J23" s="11">
        <v>352253988.82089728</v>
      </c>
      <c r="K23" s="11">
        <v>300224157.78109008</v>
      </c>
      <c r="L23" s="11">
        <v>205376327.2414844</v>
      </c>
      <c r="M23" s="11">
        <v>154356551.00818646</v>
      </c>
      <c r="N23" s="11">
        <v>83470118.290794581</v>
      </c>
      <c r="O23" s="11">
        <v>83470118.290794581</v>
      </c>
      <c r="P23" s="11">
        <v>42834715.310507253</v>
      </c>
      <c r="Q23" s="11">
        <v>28747775.610674322</v>
      </c>
      <c r="R23" s="11">
        <f>+R$39*Costo!$L43</f>
        <v>0</v>
      </c>
      <c r="S23" s="11">
        <f>+S$39*Costo!$L43</f>
        <v>0</v>
      </c>
      <c r="T23" s="8"/>
      <c r="U23" s="9">
        <f>SUM(D23:S23)</f>
        <v>2709026865.0790076</v>
      </c>
      <c r="V23" s="136"/>
      <c r="W23" s="8"/>
      <c r="Z23" t="s">
        <v>17</v>
      </c>
      <c r="AB23" s="51">
        <v>1922907499.3396127</v>
      </c>
      <c r="AD23" s="40">
        <v>2036365719.305038</v>
      </c>
      <c r="AF23" s="40">
        <f>+AB23-AD23</f>
        <v>-113458219.96542525</v>
      </c>
      <c r="AG23" s="51">
        <v>11345821.9965425</v>
      </c>
      <c r="AX23" s="9">
        <v>2285542239.3650494</v>
      </c>
    </row>
    <row r="24" spans="1:50" x14ac:dyDescent="0.25">
      <c r="A24" s="4" t="s">
        <v>18</v>
      </c>
      <c r="B24" s="10">
        <f>+Costo!J20</f>
        <v>890841215</v>
      </c>
      <c r="C24" s="11">
        <v>0</v>
      </c>
      <c r="D24" s="11">
        <f>4862435+20000000</f>
        <v>24862435</v>
      </c>
      <c r="E24" s="11">
        <f>129788505.104+20000000</f>
        <v>149788505.104</v>
      </c>
      <c r="F24" s="11">
        <f>40835351.9702+20000000</f>
        <v>60835351.970200002</v>
      </c>
      <c r="G24" s="11">
        <v>156212806.55657852</v>
      </c>
      <c r="H24" s="11">
        <v>47580922.894673102</v>
      </c>
      <c r="I24" s="11">
        <v>51561293.822307199</v>
      </c>
      <c r="J24" s="11">
        <v>45225620.538640998</v>
      </c>
      <c r="K24" s="11">
        <v>31464483.971917503</v>
      </c>
      <c r="L24" s="11">
        <v>25024508.755002432</v>
      </c>
      <c r="M24" s="11">
        <v>13491691.063851386</v>
      </c>
      <c r="N24" s="11">
        <v>2468094.6143598501</v>
      </c>
      <c r="O24" s="11">
        <v>2468094.6143598501</v>
      </c>
      <c r="P24" s="11">
        <v>1282623.2348861992</v>
      </c>
      <c r="Q24" s="11">
        <v>98326.490002000704</v>
      </c>
      <c r="R24" s="11">
        <f>+R$39*Costo!$L44</f>
        <v>0</v>
      </c>
      <c r="S24" s="11">
        <f>+S$39*Costo!$L44</f>
        <v>0</v>
      </c>
      <c r="T24" s="8"/>
      <c r="U24" s="9">
        <f>SUM(D24:S24)</f>
        <v>612364758.63077903</v>
      </c>
      <c r="V24" s="136"/>
      <c r="W24" s="8"/>
      <c r="X24" s="8"/>
      <c r="Z24" t="s">
        <v>18</v>
      </c>
      <c r="AB24" s="51">
        <v>220665659.99999994</v>
      </c>
      <c r="AD24" s="40">
        <v>460312379.3774544</v>
      </c>
      <c r="AF24" s="40">
        <f t="shared" ref="AF24:AF27" si="9">+AB24-AD24</f>
        <v>-239646719.37745446</v>
      </c>
      <c r="AG24" s="51">
        <v>23964671.9377454</v>
      </c>
      <c r="AX24" s="9">
        <v>671027503.34122634</v>
      </c>
    </row>
    <row r="25" spans="1:50" x14ac:dyDescent="0.25">
      <c r="A25" s="4" t="s">
        <v>19</v>
      </c>
      <c r="B25" s="10">
        <f>+Costo!J21</f>
        <v>850842467.64471459</v>
      </c>
      <c r="C25" s="11">
        <v>0</v>
      </c>
      <c r="D25" s="11">
        <v>45252146.683055557</v>
      </c>
      <c r="E25" s="11">
        <v>60732317.529526144</v>
      </c>
      <c r="F25" s="11">
        <v>59332536.014037259</v>
      </c>
      <c r="G25" s="11">
        <v>73771903.021964401</v>
      </c>
      <c r="H25" s="11">
        <v>109134696.76420404</v>
      </c>
      <c r="I25" s="11">
        <v>114906446.29758646</v>
      </c>
      <c r="J25" s="11">
        <v>117319808.55026105</v>
      </c>
      <c r="K25" s="11">
        <v>100265535.03525935</v>
      </c>
      <c r="L25" s="11">
        <v>69176430.727205798</v>
      </c>
      <c r="M25" s="11">
        <v>52453231.72448092</v>
      </c>
      <c r="N25" s="11">
        <v>29218164.688798159</v>
      </c>
      <c r="O25" s="11">
        <v>29218164.688798159</v>
      </c>
      <c r="P25" s="11">
        <v>15898742.677069409</v>
      </c>
      <c r="Q25" s="11">
        <v>11281343.046336774</v>
      </c>
      <c r="R25" s="11">
        <f>+R$39*Costo!$L45</f>
        <v>0</v>
      </c>
      <c r="S25" s="11">
        <f>+S$39*Costo!$L45</f>
        <v>0</v>
      </c>
      <c r="T25" s="8"/>
      <c r="U25" s="9">
        <f t="shared" ref="U25:U27" si="10">SUM(D25:S25)</f>
        <v>887961467.44858348</v>
      </c>
      <c r="V25" s="136"/>
      <c r="W25" s="8"/>
      <c r="X25" s="8"/>
      <c r="Z25" t="s">
        <v>56</v>
      </c>
      <c r="AB25" s="51">
        <v>648872564.20000005</v>
      </c>
      <c r="AD25" s="40">
        <v>667477430.91902268</v>
      </c>
      <c r="AF25" s="40">
        <f t="shared" si="9"/>
        <v>-18604866.719022632</v>
      </c>
      <c r="AG25" s="51">
        <v>1860486.67190226</v>
      </c>
      <c r="AX25" s="9">
        <v>875123520.61413193</v>
      </c>
    </row>
    <row r="26" spans="1:50" x14ac:dyDescent="0.25">
      <c r="A26" s="4" t="s">
        <v>20</v>
      </c>
      <c r="B26" s="10">
        <f>+Costo!J22</f>
        <v>187957917.34266666</v>
      </c>
      <c r="C26" s="11">
        <v>0</v>
      </c>
      <c r="D26" s="11">
        <v>46999638</v>
      </c>
      <c r="E26" s="11">
        <v>623218</v>
      </c>
      <c r="F26" s="11">
        <v>17653632</v>
      </c>
      <c r="G26" s="11">
        <v>6160082.8681600019</v>
      </c>
      <c r="H26" s="11">
        <v>28500186.544593181</v>
      </c>
      <c r="I26" s="11">
        <v>30046501.871387724</v>
      </c>
      <c r="J26" s="11">
        <v>30693068.223381028</v>
      </c>
      <c r="K26" s="11">
        <v>26124040.345253576</v>
      </c>
      <c r="L26" s="11">
        <v>17794926.580040526</v>
      </c>
      <c r="M26" s="11">
        <v>13314597.213462075</v>
      </c>
      <c r="N26" s="11">
        <v>7089666.6151102809</v>
      </c>
      <c r="O26" s="11">
        <v>7089666.6151102809</v>
      </c>
      <c r="P26" s="11">
        <v>3521246.6270878809</v>
      </c>
      <c r="Q26" s="11">
        <v>2284194.364573448</v>
      </c>
      <c r="R26" s="11">
        <f>+R$39*Costo!$L46</f>
        <v>0</v>
      </c>
      <c r="S26" s="11">
        <f>+S$39*Costo!$L46</f>
        <v>0</v>
      </c>
      <c r="T26" s="8"/>
      <c r="U26" s="9">
        <f t="shared" si="10"/>
        <v>237894665.86816001</v>
      </c>
      <c r="V26" s="136"/>
      <c r="W26" s="8"/>
      <c r="Z26" t="s">
        <v>57</v>
      </c>
      <c r="AB26" s="51">
        <v>166458095</v>
      </c>
      <c r="AD26" s="40">
        <v>178824561.90275317</v>
      </c>
      <c r="AF26" s="40">
        <f t="shared" si="9"/>
        <v>-12366466.902753174</v>
      </c>
      <c r="AG26" s="51">
        <v>1236646.6902753201</v>
      </c>
      <c r="AX26" s="9">
        <v>138001831.73977107</v>
      </c>
    </row>
    <row r="27" spans="1:50" x14ac:dyDescent="0.25">
      <c r="A27" s="4" t="s">
        <v>21</v>
      </c>
      <c r="B27" s="10">
        <f>+Costo!J23</f>
        <v>376299148</v>
      </c>
      <c r="C27" s="11">
        <v>0</v>
      </c>
      <c r="D27" s="11">
        <f>50710751+5000000</f>
        <v>55710751</v>
      </c>
      <c r="E27" s="11">
        <f>29698582+5000000</f>
        <v>34698582</v>
      </c>
      <c r="F27" s="11">
        <f>38396539.4414033+10000000</f>
        <v>48396539.4414033</v>
      </c>
      <c r="G27" s="11">
        <v>8987376.2142857127</v>
      </c>
      <c r="H27" s="11">
        <v>37971300.959190264</v>
      </c>
      <c r="I27" s="11">
        <v>40259749.479342312</v>
      </c>
      <c r="J27" s="11">
        <v>40216626.634835802</v>
      </c>
      <c r="K27" s="11">
        <v>34454755.427163646</v>
      </c>
      <c r="L27" s="11">
        <v>22128195.805141363</v>
      </c>
      <c r="M27" s="11">
        <v>15497592.763784789</v>
      </c>
      <c r="N27" s="11">
        <v>6285090.6505336612</v>
      </c>
      <c r="O27" s="11">
        <v>6285090.6505336612</v>
      </c>
      <c r="P27" s="11">
        <v>1004055.5994235091</v>
      </c>
      <c r="Q27" s="11">
        <v>173296.78170532302</v>
      </c>
      <c r="R27" s="11">
        <f>+R$39*Costo!$L47</f>
        <v>0</v>
      </c>
      <c r="S27" s="11">
        <f>+S$39*Costo!$L47</f>
        <v>0</v>
      </c>
      <c r="T27" s="8"/>
      <c r="U27" s="9">
        <f t="shared" si="10"/>
        <v>352069003.40734339</v>
      </c>
      <c r="V27" s="136"/>
      <c r="W27" s="8"/>
      <c r="Y27" s="60"/>
      <c r="Z27" s="60" t="s">
        <v>58</v>
      </c>
      <c r="AA27" s="60"/>
      <c r="AB27" s="51">
        <v>204275754.75165439</v>
      </c>
      <c r="AC27" s="60"/>
      <c r="AD27" s="40">
        <v>264648999.43888795</v>
      </c>
      <c r="AE27" s="60"/>
      <c r="AF27" s="40">
        <f t="shared" si="9"/>
        <v>-60373244.687233567</v>
      </c>
      <c r="AG27" s="51">
        <v>6037324.4687233604</v>
      </c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X27" s="9">
        <v>400304904.93982065</v>
      </c>
    </row>
    <row r="28" spans="1:50" x14ac:dyDescent="0.25">
      <c r="A28" s="21" t="s">
        <v>22</v>
      </c>
      <c r="B28" s="7">
        <f>SUM(B23:B27)</f>
        <v>5243825014.9115019</v>
      </c>
      <c r="C28" s="22">
        <f t="shared" ref="C28:D28" si="11">SUM(C23:C27)</f>
        <v>0</v>
      </c>
      <c r="D28" s="22">
        <f t="shared" si="11"/>
        <v>443442872.52667755</v>
      </c>
      <c r="E28" s="22">
        <f>SUM(E23:E27)</f>
        <v>393261472.81761193</v>
      </c>
      <c r="F28" s="22">
        <f>SUM(F23:F27)</f>
        <v>374501296.10952878</v>
      </c>
      <c r="G28" s="22">
        <f t="shared" ref="G28:S28" si="12">SUM(G23:G27)</f>
        <v>424931545.68878782</v>
      </c>
      <c r="H28" s="22">
        <f t="shared" si="12"/>
        <v>550469643.35053504</v>
      </c>
      <c r="I28" s="22">
        <f t="shared" si="12"/>
        <v>581665202.26793337</v>
      </c>
      <c r="J28" s="22">
        <f t="shared" si="12"/>
        <v>585709112.76801622</v>
      </c>
      <c r="K28" s="22">
        <f t="shared" si="12"/>
        <v>492532972.5606842</v>
      </c>
      <c r="L28" s="22">
        <f t="shared" si="12"/>
        <v>339500389.10887456</v>
      </c>
      <c r="M28" s="22">
        <f t="shared" si="12"/>
        <v>249113663.77376565</v>
      </c>
      <c r="N28" s="22">
        <f t="shared" si="12"/>
        <v>128531134.85959654</v>
      </c>
      <c r="O28" s="22">
        <f t="shared" si="12"/>
        <v>128531134.85959654</v>
      </c>
      <c r="P28" s="22">
        <f t="shared" si="12"/>
        <v>64541383.448974252</v>
      </c>
      <c r="Q28" s="22">
        <f t="shared" si="12"/>
        <v>42584936.293291867</v>
      </c>
      <c r="R28" s="22">
        <f t="shared" si="12"/>
        <v>0</v>
      </c>
      <c r="S28" s="22">
        <f t="shared" si="12"/>
        <v>0</v>
      </c>
      <c r="T28" s="8"/>
      <c r="U28" s="9">
        <f>SUM(D28:S28)</f>
        <v>4799316760.4338741</v>
      </c>
      <c r="V28" s="135">
        <f>+Z13-U28</f>
        <v>380000000.28162384</v>
      </c>
      <c r="Z28" s="8"/>
      <c r="AX28" s="9">
        <v>4370000000</v>
      </c>
    </row>
    <row r="29" spans="1:50" x14ac:dyDescent="0.25">
      <c r="A29" s="23" t="s">
        <v>14</v>
      </c>
      <c r="B29" s="7" cm="1">
        <f t="array" ref="B29">SUM(B23:B27*0.19)</f>
        <v>996326752.83318543</v>
      </c>
      <c r="C29" s="22" cm="1">
        <f t="array" ref="C29">SUM(C23:C27*0.19)</f>
        <v>0</v>
      </c>
      <c r="D29" s="22" cm="1">
        <f t="array" ref="D29">SUM(D23:D27*0.19)</f>
        <v>84254145.780068725</v>
      </c>
      <c r="E29" s="22" cm="1">
        <f t="array" ref="E29">SUM(E23:E27*0.19)</f>
        <v>74719679.835346282</v>
      </c>
      <c r="F29" s="22" cm="1">
        <f t="array" ref="F29">SUM(F23:F27*0.19)</f>
        <v>71155246.26081048</v>
      </c>
      <c r="G29" s="22" cm="1">
        <f t="array" ref="G29">SUM(G23:G27*0.19)</f>
        <v>80736993.680869699</v>
      </c>
      <c r="H29" s="22" cm="1">
        <f t="array" ref="H29">SUM(H23:H27*0.19)</f>
        <v>104589232.23660165</v>
      </c>
      <c r="I29" s="22" cm="1">
        <f t="array" ref="I29">SUM(I23:I27*0.19)</f>
        <v>110516388.43090732</v>
      </c>
      <c r="J29" s="22" cm="1">
        <f t="array" ref="J29">SUM(J23:J27*0.19)</f>
        <v>111284731.42592306</v>
      </c>
      <c r="K29" s="22" cm="1">
        <f t="array" ref="K29">SUM(K23:K27*0.19)</f>
        <v>93581264.786530003</v>
      </c>
      <c r="L29" s="22" cm="1">
        <f t="array" ref="L29">SUM(L23:L27*0.19)</f>
        <v>64505073.930686161</v>
      </c>
      <c r="M29" s="22" cm="1">
        <f t="array" ref="M29">SUM(M23:M27*0.19)</f>
        <v>47331596.117015474</v>
      </c>
      <c r="N29" s="22" cm="1">
        <f t="array" ref="N29">SUM(N23:N27*0.19)</f>
        <v>24420915.623323344</v>
      </c>
      <c r="O29" s="22" cm="1">
        <f t="array" ref="O29">SUM(O23:O27*0.19)</f>
        <v>24420915.623323344</v>
      </c>
      <c r="P29" s="22" cm="1">
        <f t="array" ref="P29">SUM(P23:P27*0.19)</f>
        <v>12262862.855305107</v>
      </c>
      <c r="Q29" s="22" cm="1">
        <f t="array" ref="Q29">SUM(Q23:Q27*0.19)</f>
        <v>8091137.8957254551</v>
      </c>
      <c r="R29" s="22" cm="1">
        <f t="array" ref="R29">SUM(R23:R27*0.19)</f>
        <v>0</v>
      </c>
      <c r="S29" s="22" cm="1">
        <f t="array" ref="S29">SUM(S23:S27*0.19)</f>
        <v>0</v>
      </c>
      <c r="T29" s="8"/>
      <c r="U29" s="9">
        <f>SUM(D29:S29)</f>
        <v>911870184.48243606</v>
      </c>
      <c r="AB29" s="156">
        <v>14202237.446589217</v>
      </c>
      <c r="AX29" s="9">
        <v>830299999.99999976</v>
      </c>
    </row>
    <row r="30" spans="1:50" x14ac:dyDescent="0.25">
      <c r="A30" s="20" t="s">
        <v>23</v>
      </c>
      <c r="B30" s="7">
        <f>B28+B29</f>
        <v>6240151767.7446871</v>
      </c>
      <c r="C30" s="6">
        <f t="shared" ref="C30:S30" si="13">C28+C29</f>
        <v>0</v>
      </c>
      <c r="D30" s="6">
        <f t="shared" si="13"/>
        <v>527697018.30674624</v>
      </c>
      <c r="E30" s="6">
        <f>E28+E29</f>
        <v>467981152.65295821</v>
      </c>
      <c r="F30" s="6">
        <f>F28+F29</f>
        <v>445656542.37033927</v>
      </c>
      <c r="G30" s="6">
        <f t="shared" ref="G30:J30" si="14">G28+G29</f>
        <v>505668539.36965752</v>
      </c>
      <c r="H30" s="6">
        <f t="shared" si="14"/>
        <v>655058875.58713675</v>
      </c>
      <c r="I30" s="6">
        <f t="shared" si="14"/>
        <v>692181590.69884074</v>
      </c>
      <c r="J30" s="6">
        <f t="shared" si="14"/>
        <v>696993844.19393933</v>
      </c>
      <c r="K30" s="6">
        <f t="shared" si="13"/>
        <v>586114237.34721422</v>
      </c>
      <c r="L30" s="6">
        <f t="shared" si="13"/>
        <v>404005463.03956074</v>
      </c>
      <c r="M30" s="6">
        <f t="shared" si="13"/>
        <v>296445259.8907811</v>
      </c>
      <c r="N30" s="6">
        <f t="shared" si="13"/>
        <v>152952050.48291987</v>
      </c>
      <c r="O30" s="6">
        <f t="shared" si="13"/>
        <v>152952050.48291987</v>
      </c>
      <c r="P30" s="6">
        <f t="shared" si="13"/>
        <v>76804246.304279357</v>
      </c>
      <c r="Q30" s="6">
        <f t="shared" si="13"/>
        <v>50676074.189017326</v>
      </c>
      <c r="R30" s="6">
        <f t="shared" si="13"/>
        <v>0</v>
      </c>
      <c r="S30" s="6">
        <f t="shared" si="13"/>
        <v>0</v>
      </c>
      <c r="T30" s="8"/>
      <c r="U30" s="9">
        <f>SUM(D30:S30)</f>
        <v>5711186944.9163103</v>
      </c>
      <c r="V30" s="96"/>
      <c r="AX30" s="9">
        <v>5200299999.999999</v>
      </c>
    </row>
    <row r="31" spans="1:50" ht="7.5" customHeight="1" x14ac:dyDescent="0.25">
      <c r="A31" s="19"/>
      <c r="B31" s="26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12"/>
      <c r="V31" s="130"/>
      <c r="AX31" s="9"/>
    </row>
    <row r="32" spans="1:50" x14ac:dyDescent="0.25">
      <c r="A32" s="2" t="s">
        <v>24</v>
      </c>
      <c r="B32" s="58">
        <f>B20-B30</f>
        <v>-5069762990.2416372</v>
      </c>
      <c r="C32" s="58">
        <f>C20-C30</f>
        <v>0</v>
      </c>
      <c r="D32" s="58">
        <f>D20-D30</f>
        <v>-312431712.30674624</v>
      </c>
      <c r="E32" s="58">
        <f t="shared" ref="E32:S32" si="15">E20-E30</f>
        <v>-302388369.65295821</v>
      </c>
      <c r="F32" s="58">
        <f t="shared" si="15"/>
        <v>-69408989.370339274</v>
      </c>
      <c r="G32" s="58">
        <f t="shared" si="15"/>
        <v>-178930391.27465749</v>
      </c>
      <c r="H32" s="58">
        <f t="shared" si="15"/>
        <v>-94547907.587136745</v>
      </c>
      <c r="I32" s="58">
        <f t="shared" si="15"/>
        <v>152293026.30115926</v>
      </c>
      <c r="J32" s="58">
        <f t="shared" si="15"/>
        <v>87457675.806060672</v>
      </c>
      <c r="K32" s="58">
        <f t="shared" si="15"/>
        <v>79503080.652785778</v>
      </c>
      <c r="L32" s="58">
        <f t="shared" si="15"/>
        <v>271190958.96043926</v>
      </c>
      <c r="M32" s="58">
        <f t="shared" si="15"/>
        <v>173256598.1092189</v>
      </c>
      <c r="N32" s="58">
        <f t="shared" si="15"/>
        <v>81898878.517080128</v>
      </c>
      <c r="O32" s="58">
        <f t="shared" si="15"/>
        <v>23912269.517080128</v>
      </c>
      <c r="P32" s="58">
        <f t="shared" si="15"/>
        <v>69977583.695720643</v>
      </c>
      <c r="Q32" s="58">
        <f t="shared" si="15"/>
        <v>78491936.810982674</v>
      </c>
      <c r="R32" s="58">
        <f>R20-R30</f>
        <v>99811645</v>
      </c>
      <c r="S32" s="58">
        <f t="shared" si="15"/>
        <v>344159025</v>
      </c>
      <c r="T32" s="8"/>
      <c r="U32" s="9">
        <f>SUM(D32:S32)</f>
        <v>504245308.17868954</v>
      </c>
      <c r="AB32" s="8">
        <f>+U32-V28</f>
        <v>124245307.8970657</v>
      </c>
      <c r="AX32" s="57">
        <v>76738421.985613346</v>
      </c>
    </row>
    <row r="33" spans="1:50" x14ac:dyDescent="0.25">
      <c r="A33" s="2"/>
      <c r="B33" s="58">
        <f>+B18-B28</f>
        <v>-4260305033.8165016</v>
      </c>
      <c r="C33" s="58">
        <f>+C18-C28</f>
        <v>0</v>
      </c>
      <c r="D33" s="58">
        <f>+D18-D28</f>
        <v>-262547657.52667755</v>
      </c>
      <c r="E33" s="58">
        <f t="shared" ref="E33:P33" si="16">+E18-E28</f>
        <v>-254107873.81761193</v>
      </c>
      <c r="F33" s="58">
        <f t="shared" si="16"/>
        <v>-58326882.10952878</v>
      </c>
      <c r="G33" s="58">
        <f t="shared" si="16"/>
        <v>-150361673.59378779</v>
      </c>
      <c r="H33" s="58">
        <f t="shared" si="16"/>
        <v>-79452023.350535035</v>
      </c>
      <c r="I33" s="58">
        <f t="shared" si="16"/>
        <v>127977332.73206663</v>
      </c>
      <c r="J33" s="58">
        <f t="shared" si="16"/>
        <v>73493845.231983781</v>
      </c>
      <c r="K33" s="58">
        <f t="shared" si="16"/>
        <v>66809311.439315796</v>
      </c>
      <c r="L33" s="58">
        <f t="shared" si="16"/>
        <v>227891561.89112544</v>
      </c>
      <c r="M33" s="58">
        <f t="shared" si="16"/>
        <v>145593780.22623435</v>
      </c>
      <c r="N33" s="58">
        <f t="shared" si="16"/>
        <v>68822587.140403464</v>
      </c>
      <c r="O33" s="58">
        <f t="shared" si="16"/>
        <v>20094344.140403464</v>
      </c>
      <c r="P33" s="58">
        <f t="shared" si="16"/>
        <v>58804692.551025748</v>
      </c>
      <c r="Q33" s="58">
        <f>+Q18-Q28</f>
        <v>65959610.706708133</v>
      </c>
      <c r="R33" s="58">
        <f>+R18-R28</f>
        <v>83875332</v>
      </c>
      <c r="S33" s="58">
        <f>+S18-S28</f>
        <v>289209265</v>
      </c>
      <c r="T33" s="8"/>
      <c r="U33" s="57">
        <f>SUM(D33:S33)</f>
        <v>423735552.66112566</v>
      </c>
      <c r="V33" s="55" t="s">
        <v>25</v>
      </c>
      <c r="AX33" s="57">
        <v>64486067.985613108</v>
      </c>
    </row>
    <row r="34" spans="1:50" x14ac:dyDescent="0.25">
      <c r="A34" s="97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AB34" s="156">
        <f>+U33*0.19</f>
        <v>80509755.005613878</v>
      </c>
    </row>
    <row r="35" spans="1:50" hidden="1" outlineLevel="1" x14ac:dyDescent="0.25">
      <c r="A35" s="96"/>
      <c r="B35" s="96"/>
      <c r="C35" s="96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8"/>
      <c r="R35" s="108"/>
      <c r="S35" s="108"/>
      <c r="T35" s="108"/>
      <c r="V35" s="108"/>
      <c r="AB35" s="108"/>
    </row>
    <row r="36" spans="1:50" s="96" customFormat="1" hidden="1" outlineLevel="1" x14ac:dyDescent="0.25">
      <c r="A36" s="139"/>
      <c r="B36" s="140" t="s">
        <v>74</v>
      </c>
      <c r="C36" s="140"/>
      <c r="D36" s="141">
        <f>D13/Costo!F41</f>
        <v>2.4356218529047822E-2</v>
      </c>
      <c r="E36" s="141">
        <f>+E13/4750000000</f>
        <v>7.0066352210526317E-2</v>
      </c>
      <c r="F36" s="141">
        <f>+F13/4750000000</f>
        <v>6.0846509072631588E-2</v>
      </c>
      <c r="G36" s="141">
        <v>8.3000000000000004E-2</v>
      </c>
      <c r="H36" s="141">
        <v>0.14383159909540749</v>
      </c>
      <c r="I36" s="141">
        <v>0.13360841658081052</v>
      </c>
      <c r="J36" s="141">
        <v>0.11336847953307591</v>
      </c>
      <c r="K36" s="141">
        <v>0.115</v>
      </c>
      <c r="L36" s="141">
        <v>0.08</v>
      </c>
      <c r="M36" s="141">
        <v>0.04</v>
      </c>
      <c r="N36" s="141">
        <v>3.0123673870702281E-2</v>
      </c>
      <c r="O36" s="141">
        <v>2.5000000000000001E-2</v>
      </c>
      <c r="P36" s="141">
        <v>2.1999999999999999E-2</v>
      </c>
      <c r="Q36" s="141">
        <v>1.7000000000000001E-2</v>
      </c>
      <c r="R36"/>
      <c r="S36"/>
      <c r="T36"/>
      <c r="AB36" s="142">
        <f>+U20-U30</f>
        <v>504245308.17868996</v>
      </c>
    </row>
    <row r="37" spans="1:50" s="96" customFormat="1" hidden="1" outlineLevel="1" x14ac:dyDescent="0.25">
      <c r="A37" s="143"/>
      <c r="B37"/>
      <c r="C37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4"/>
      <c r="P37" s="145"/>
      <c r="Q37"/>
      <c r="R37"/>
      <c r="S37"/>
      <c r="T37"/>
      <c r="W37" s="109"/>
      <c r="AB37" s="146"/>
    </row>
    <row r="38" spans="1:50" s="96" customFormat="1" hidden="1" outlineLevel="1" x14ac:dyDescent="0.25">
      <c r="A38"/>
      <c r="B38"/>
      <c r="C38"/>
      <c r="D38" s="147"/>
      <c r="E38" s="148"/>
      <c r="F38" s="147"/>
      <c r="G38" s="147"/>
      <c r="H38" s="148"/>
      <c r="I38" s="148"/>
      <c r="J38" s="148"/>
      <c r="K38" s="148"/>
      <c r="L38" s="148"/>
      <c r="M38" s="148"/>
      <c r="N38" s="148"/>
      <c r="O38" s="149"/>
      <c r="P38" s="149"/>
      <c r="Q38"/>
      <c r="R38"/>
      <c r="S38"/>
      <c r="T38"/>
      <c r="AB38" s="40">
        <f>+U18-U28</f>
        <v>423735552.66112614</v>
      </c>
    </row>
    <row r="39" spans="1:50" s="96" customFormat="1" hidden="1" outlineLevel="1" x14ac:dyDescent="0.25">
      <c r="A39"/>
      <c r="B39" s="140" t="s">
        <v>75</v>
      </c>
      <c r="C39" s="140"/>
      <c r="D39" s="150">
        <v>2.820389663575628E-2</v>
      </c>
      <c r="E39" s="150">
        <v>7.0066352210526317E-2</v>
      </c>
      <c r="F39" s="150">
        <v>7.000000000317437E-2</v>
      </c>
      <c r="G39" s="150">
        <v>8.0000000003627836E-2</v>
      </c>
      <c r="H39" s="150">
        <v>0.12500000000566847</v>
      </c>
      <c r="I39" s="150">
        <v>0.13150000000000001</v>
      </c>
      <c r="J39" s="150">
        <v>0.13421786821967513</v>
      </c>
      <c r="K39" s="150">
        <v>0.11501177185154729</v>
      </c>
      <c r="L39" s="150">
        <v>8.0000000003627836E-2</v>
      </c>
      <c r="M39" s="150">
        <v>6.1166751472273954E-2</v>
      </c>
      <c r="N39" s="150">
        <v>3.5000000000000003E-2</v>
      </c>
      <c r="O39" s="150">
        <v>3.5000000000000003E-2</v>
      </c>
      <c r="P39" s="150">
        <v>0.02</v>
      </c>
      <c r="Q39" s="150">
        <v>1.4800000000000001E-2</v>
      </c>
      <c r="R39"/>
      <c r="S39"/>
      <c r="T39"/>
      <c r="U39"/>
    </row>
    <row r="40" spans="1:50" s="96" customFormat="1" hidden="1" outlineLevel="1" x14ac:dyDescent="0.25">
      <c r="A40"/>
      <c r="B40"/>
      <c r="C40"/>
      <c r="D40"/>
      <c r="E40"/>
      <c r="F40"/>
      <c r="G40"/>
      <c r="H40"/>
      <c r="I40"/>
      <c r="J40"/>
      <c r="K40" s="147"/>
      <c r="L40" s="143"/>
      <c r="M40" s="143"/>
      <c r="N40" s="143"/>
      <c r="O40" s="143"/>
      <c r="P40"/>
      <c r="Q40" s="146"/>
      <c r="R40"/>
      <c r="S40"/>
      <c r="T40"/>
      <c r="U40"/>
    </row>
    <row r="41" spans="1:50" s="96" customFormat="1" hidden="1" outlineLevel="1" x14ac:dyDescent="0.25">
      <c r="A41"/>
      <c r="B41"/>
      <c r="C41"/>
      <c r="D41"/>
      <c r="E41"/>
      <c r="F41"/>
      <c r="G41"/>
      <c r="H41"/>
      <c r="I41"/>
      <c r="J41"/>
      <c r="K41"/>
      <c r="L41" s="143"/>
      <c r="M41" s="143"/>
      <c r="N41" s="143"/>
      <c r="O41" s="143"/>
      <c r="P41"/>
      <c r="Q41"/>
      <c r="R41"/>
      <c r="S41"/>
      <c r="T41"/>
      <c r="U41"/>
    </row>
    <row r="42" spans="1:50" hidden="1" outlineLevel="1" x14ac:dyDescent="0.25"/>
    <row r="43" spans="1:50" hidden="1" outlineLevel="1" x14ac:dyDescent="0.25"/>
    <row r="44" spans="1:50" hidden="1" outlineLevel="1" x14ac:dyDescent="0.25">
      <c r="H44" s="38">
        <f>+H23-$AG$23</f>
        <v>315936714.19133192</v>
      </c>
      <c r="I44" s="38">
        <f>+I23-$AG$23</f>
        <v>333545388.80076712</v>
      </c>
      <c r="J44" s="38">
        <f t="shared" ref="J44:P44" si="17">+J23-$AG$23</f>
        <v>340908166.82435477</v>
      </c>
      <c r="K44" s="38">
        <f t="shared" si="17"/>
        <v>288878335.78454757</v>
      </c>
      <c r="L44" s="38">
        <f t="shared" si="17"/>
        <v>194030505.24494189</v>
      </c>
      <c r="M44" s="38">
        <f t="shared" si="17"/>
        <v>143010729.01164395</v>
      </c>
      <c r="N44" s="38">
        <f t="shared" si="17"/>
        <v>72124296.294252083</v>
      </c>
      <c r="O44" s="38">
        <f t="shared" si="17"/>
        <v>72124296.294252083</v>
      </c>
      <c r="P44" s="38">
        <f t="shared" si="17"/>
        <v>31488893.313964754</v>
      </c>
      <c r="Q44" s="38">
        <f>+Q23-$AG$23</f>
        <v>17401953.614131823</v>
      </c>
      <c r="R44" s="152">
        <f>+SUM(H44:Q44)</f>
        <v>1809449279.3741882</v>
      </c>
    </row>
    <row r="45" spans="1:50" hidden="1" outlineLevel="1" x14ac:dyDescent="0.25">
      <c r="H45" s="38">
        <f>+H24-$AG$24</f>
        <v>23616250.956927702</v>
      </c>
      <c r="I45" s="38">
        <f t="shared" ref="I45:P45" si="18">+I24-$AG$24</f>
        <v>27596621.884561799</v>
      </c>
      <c r="J45" s="38">
        <f t="shared" si="18"/>
        <v>21260948.600895599</v>
      </c>
      <c r="K45" s="38">
        <f t="shared" si="18"/>
        <v>7499812.0341721028</v>
      </c>
      <c r="L45" s="38">
        <f t="shared" si="18"/>
        <v>1059836.8172570318</v>
      </c>
      <c r="M45" s="38">
        <f t="shared" si="18"/>
        <v>-10472980.873894013</v>
      </c>
      <c r="N45" s="38">
        <f t="shared" si="18"/>
        <v>-21496577.323385552</v>
      </c>
      <c r="O45" s="38">
        <f t="shared" si="18"/>
        <v>-21496577.323385552</v>
      </c>
      <c r="P45" s="38">
        <f t="shared" si="18"/>
        <v>-22682048.702859201</v>
      </c>
      <c r="Q45" s="38">
        <f>+Q24-$AG$24</f>
        <v>-23866345.447743401</v>
      </c>
      <c r="R45" s="152">
        <f t="shared" ref="R45:R48" si="19">+SUM(H45:Q45)</f>
        <v>-18981059.377453469</v>
      </c>
    </row>
    <row r="46" spans="1:50" hidden="1" outlineLevel="1" x14ac:dyDescent="0.25">
      <c r="H46" s="38">
        <f>+H25-$AG$25</f>
        <v>107274210.09230179</v>
      </c>
      <c r="I46" s="38">
        <f t="shared" ref="I46:Q46" si="20">+I25-$AG$25</f>
        <v>113045959.6256842</v>
      </c>
      <c r="J46" s="38">
        <f t="shared" si="20"/>
        <v>115459321.8783588</v>
      </c>
      <c r="K46" s="38">
        <f t="shared" si="20"/>
        <v>98405048.363357097</v>
      </c>
      <c r="L46" s="38">
        <f t="shared" si="20"/>
        <v>67315944.055303544</v>
      </c>
      <c r="M46" s="38">
        <f t="shared" si="20"/>
        <v>50592745.052578658</v>
      </c>
      <c r="N46" s="38">
        <f t="shared" si="20"/>
        <v>27357678.016895898</v>
      </c>
      <c r="O46" s="38">
        <f t="shared" si="20"/>
        <v>27357678.016895898</v>
      </c>
      <c r="P46" s="38">
        <f t="shared" si="20"/>
        <v>14038256.005167149</v>
      </c>
      <c r="Q46" s="38">
        <f t="shared" si="20"/>
        <v>9420856.374434514</v>
      </c>
      <c r="R46" s="152">
        <f t="shared" si="19"/>
        <v>630267697.48097754</v>
      </c>
    </row>
    <row r="47" spans="1:50" hidden="1" outlineLevel="1" x14ac:dyDescent="0.25">
      <c r="H47" s="38">
        <f>+H26-$AG$26</f>
        <v>27263539.854317863</v>
      </c>
      <c r="I47" s="38">
        <f t="shared" ref="I47:Q47" si="21">+I26-$AG$26</f>
        <v>28809855.181112405</v>
      </c>
      <c r="J47" s="38">
        <f t="shared" si="21"/>
        <v>29456421.533105709</v>
      </c>
      <c r="K47" s="38">
        <f t="shared" si="21"/>
        <v>24887393.654978257</v>
      </c>
      <c r="L47" s="38">
        <f t="shared" si="21"/>
        <v>16558279.889765205</v>
      </c>
      <c r="M47" s="38">
        <f t="shared" si="21"/>
        <v>12077950.523186754</v>
      </c>
      <c r="N47" s="38">
        <f t="shared" si="21"/>
        <v>5853019.9248349611</v>
      </c>
      <c r="O47" s="38">
        <f t="shared" si="21"/>
        <v>5853019.9248349611</v>
      </c>
      <c r="P47" s="38">
        <f t="shared" si="21"/>
        <v>2284599.936812561</v>
      </c>
      <c r="Q47" s="38">
        <f t="shared" si="21"/>
        <v>1047547.6742981279</v>
      </c>
      <c r="R47" s="152">
        <f t="shared" si="19"/>
        <v>154091628.09724683</v>
      </c>
    </row>
    <row r="48" spans="1:50" hidden="1" outlineLevel="1" x14ac:dyDescent="0.25">
      <c r="H48" s="38">
        <f>+H27-$AG$27</f>
        <v>31933976.490466904</v>
      </c>
      <c r="I48" s="38">
        <f t="shared" ref="I48:Q48" si="22">+I27-$AG$27</f>
        <v>34222425.010618955</v>
      </c>
      <c r="J48" s="38">
        <f t="shared" si="22"/>
        <v>34179302.166112438</v>
      </c>
      <c r="K48" s="38">
        <f t="shared" si="22"/>
        <v>28417430.958440285</v>
      </c>
      <c r="L48" s="38">
        <f t="shared" si="22"/>
        <v>16090871.336418003</v>
      </c>
      <c r="M48" s="38">
        <f t="shared" si="22"/>
        <v>9460268.2950614281</v>
      </c>
      <c r="N48" s="38">
        <f t="shared" si="22"/>
        <v>247766.1818103008</v>
      </c>
      <c r="O48" s="38">
        <f t="shared" si="22"/>
        <v>247766.1818103008</v>
      </c>
      <c r="P48" s="38">
        <f t="shared" si="22"/>
        <v>-5033268.8692998514</v>
      </c>
      <c r="Q48" s="38">
        <f t="shared" si="22"/>
        <v>-5864027.6870180378</v>
      </c>
      <c r="R48" s="152">
        <f t="shared" si="19"/>
        <v>143902510.0644207</v>
      </c>
    </row>
    <row r="49" spans="8:18" hidden="1" outlineLevel="1" x14ac:dyDescent="0.25"/>
    <row r="50" spans="8:18" hidden="1" outlineLevel="1" x14ac:dyDescent="0.25"/>
    <row r="51" spans="8:18" hidden="1" outlineLevel="1" x14ac:dyDescent="0.25">
      <c r="H51" s="39">
        <v>327282536.18787444</v>
      </c>
      <c r="I51" s="39">
        <v>344891210.79730964</v>
      </c>
      <c r="J51" s="39">
        <v>352253988.82089728</v>
      </c>
      <c r="K51" s="39">
        <v>300224157.78109008</v>
      </c>
      <c r="L51" s="39">
        <v>205376327.2414844</v>
      </c>
      <c r="M51" s="39">
        <v>154356551.00818646</v>
      </c>
      <c r="N51" s="39">
        <v>83470118.290794581</v>
      </c>
      <c r="O51" s="39">
        <v>83470118.290794581</v>
      </c>
      <c r="P51" s="39">
        <v>42834715.310507253</v>
      </c>
      <c r="Q51" s="39">
        <v>28747775.610674322</v>
      </c>
      <c r="R51" s="153">
        <f>+SUM(H51:Q51)</f>
        <v>1922907499.339613</v>
      </c>
    </row>
    <row r="52" spans="8:18" hidden="1" outlineLevel="1" x14ac:dyDescent="0.25">
      <c r="H52" s="39">
        <f>52580922.8946731-5000000</f>
        <v>47580922.894673102</v>
      </c>
      <c r="I52" s="39">
        <f>56561293.8223072-5000000</f>
        <v>51561293.822307199</v>
      </c>
      <c r="J52" s="39">
        <f>58225620.538641-13000000</f>
        <v>45225620.538640998</v>
      </c>
      <c r="K52" s="39">
        <f>46464483.9719175-15000000</f>
        <v>31464483.971917503</v>
      </c>
      <c r="L52" s="39">
        <v>25024508.755002432</v>
      </c>
      <c r="M52" s="39">
        <v>13491691.063851386</v>
      </c>
      <c r="N52" s="39">
        <f>+-2531905.38564015+5000000</f>
        <v>2468094.6143598501</v>
      </c>
      <c r="O52" s="39">
        <f>+-2531905.38564015+5000000</f>
        <v>2468094.6143598501</v>
      </c>
      <c r="P52" s="39">
        <f>-11717376.7651138+13000000</f>
        <v>1282623.2348861992</v>
      </c>
      <c r="Q52" s="39">
        <f>+-14901673.509998+15000000</f>
        <v>98326.490002000704</v>
      </c>
      <c r="R52" s="153">
        <f t="shared" ref="R52:R55" si="23">+SUM(H52:Q52)</f>
        <v>220665660.00000057</v>
      </c>
    </row>
    <row r="53" spans="8:18" hidden="1" outlineLevel="1" x14ac:dyDescent="0.25">
      <c r="H53" s="39">
        <v>109134696.76420404</v>
      </c>
      <c r="I53" s="39">
        <v>114906446.29758646</v>
      </c>
      <c r="J53" s="39">
        <v>117319808.55026105</v>
      </c>
      <c r="K53" s="39">
        <v>100265535.03525935</v>
      </c>
      <c r="L53" s="39">
        <v>69176430.727205798</v>
      </c>
      <c r="M53" s="39">
        <v>52453231.72448092</v>
      </c>
      <c r="N53" s="39">
        <v>29218164.688798159</v>
      </c>
      <c r="O53" s="39">
        <v>29218164.688798159</v>
      </c>
      <c r="P53" s="39">
        <v>15898742.677069409</v>
      </c>
      <c r="Q53" s="39">
        <v>11281343.046336774</v>
      </c>
      <c r="R53" s="153">
        <f t="shared" si="23"/>
        <v>648872564.20000017</v>
      </c>
    </row>
    <row r="54" spans="8:18" hidden="1" outlineLevel="1" x14ac:dyDescent="0.25">
      <c r="H54" s="39">
        <v>28500186.544593181</v>
      </c>
      <c r="I54" s="39">
        <v>30046501.871387724</v>
      </c>
      <c r="J54" s="39">
        <v>30693068.223381028</v>
      </c>
      <c r="K54" s="39">
        <v>26124040.345253576</v>
      </c>
      <c r="L54" s="39">
        <v>17794926.580040526</v>
      </c>
      <c r="M54" s="39">
        <v>13314597.213462075</v>
      </c>
      <c r="N54" s="39">
        <v>7089666.6151102809</v>
      </c>
      <c r="O54" s="39">
        <v>7089666.6151102809</v>
      </c>
      <c r="P54" s="39">
        <v>3521246.6270878809</v>
      </c>
      <c r="Q54" s="39">
        <v>2284194.364573448</v>
      </c>
      <c r="R54" s="153">
        <f t="shared" si="23"/>
        <v>166458095</v>
      </c>
    </row>
    <row r="55" spans="8:18" hidden="1" outlineLevel="1" x14ac:dyDescent="0.25">
      <c r="H55" s="39">
        <v>37971300.959190264</v>
      </c>
      <c r="I55" s="39">
        <v>40259749.479342312</v>
      </c>
      <c r="J55" s="39">
        <f>41216626.6348358-1000000</f>
        <v>40216626.634835802</v>
      </c>
      <c r="K55" s="39">
        <v>34454755.427163646</v>
      </c>
      <c r="L55" s="39">
        <v>22128195.805141363</v>
      </c>
      <c r="M55" s="39">
        <v>15497592.763784789</v>
      </c>
      <c r="N55" s="39">
        <v>6285090.6505336612</v>
      </c>
      <c r="O55" s="39">
        <v>6285090.6505336612</v>
      </c>
      <c r="P55" s="39">
        <v>1004055.5994235091</v>
      </c>
      <c r="Q55" s="39">
        <f>+-826703.218294677+1000000</f>
        <v>173296.78170532302</v>
      </c>
      <c r="R55" s="153">
        <f t="shared" si="23"/>
        <v>204275754.75165436</v>
      </c>
    </row>
    <row r="56" spans="8:18" hidden="1" outlineLevel="1" x14ac:dyDescent="0.25"/>
    <row r="57" spans="8:18" hidden="1" outlineLevel="1" x14ac:dyDescent="0.25"/>
    <row r="58" spans="8:18" collapsed="1" x14ac:dyDescent="0.25"/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2624-0E3C-4E3B-9856-3D9CF8761B77}">
  <dimension ref="B1:W74"/>
  <sheetViews>
    <sheetView zoomScale="70" zoomScaleNormal="70" workbookViewId="0">
      <pane xSplit="4" ySplit="4" topLeftCell="E5" activePane="bottomRight" state="frozen"/>
      <selection activeCell="L43" sqref="L43"/>
      <selection pane="topRight" activeCell="L43" sqref="L43"/>
      <selection pane="bottomLeft" activeCell="L43" sqref="L43"/>
      <selection pane="bottomRight" activeCell="J19" sqref="J19:K23"/>
    </sheetView>
  </sheetViews>
  <sheetFormatPr baseColWidth="10" defaultColWidth="11.42578125" defaultRowHeight="15" x14ac:dyDescent="0.25"/>
  <cols>
    <col min="1" max="1" width="4.140625" customWidth="1"/>
    <col min="2" max="2" width="8.42578125" customWidth="1"/>
    <col min="3" max="3" width="59.5703125" bestFit="1" customWidth="1"/>
    <col min="4" max="4" width="23.42578125" customWidth="1"/>
    <col min="5" max="6" width="19.7109375" bestFit="1" customWidth="1"/>
    <col min="7" max="7" width="7.7109375" customWidth="1"/>
    <col min="8" max="8" width="18.85546875" bestFit="1" customWidth="1"/>
    <col min="9" max="9" width="19.7109375" bestFit="1" customWidth="1"/>
    <col min="10" max="10" width="18.85546875" bestFit="1" customWidth="1"/>
    <col min="11" max="11" width="21.140625" customWidth="1"/>
    <col min="12" max="12" width="19.7109375" bestFit="1" customWidth="1"/>
    <col min="13" max="13" width="19" customWidth="1"/>
    <col min="14" max="14" width="16.5703125" customWidth="1"/>
    <col min="15" max="15" width="17.140625" bestFit="1" customWidth="1"/>
    <col min="16" max="16" width="17.42578125" customWidth="1"/>
    <col min="17" max="17" width="15.85546875" bestFit="1" customWidth="1"/>
    <col min="18" max="18" width="14.85546875" bestFit="1" customWidth="1"/>
    <col min="19" max="19" width="12" bestFit="1" customWidth="1"/>
    <col min="20" max="20" width="14.85546875" bestFit="1" customWidth="1"/>
    <col min="21" max="21" width="17" bestFit="1" customWidth="1"/>
    <col min="23" max="23" width="13.5703125" bestFit="1" customWidth="1"/>
  </cols>
  <sheetData>
    <row r="1" spans="2:16" ht="23.25" x14ac:dyDescent="0.35">
      <c r="C1" s="27" t="s">
        <v>26</v>
      </c>
    </row>
    <row r="3" spans="2:16" x14ac:dyDescent="0.25">
      <c r="B3" s="28"/>
      <c r="C3" s="29" t="s">
        <v>27</v>
      </c>
      <c r="D3" s="28"/>
      <c r="E3" s="29" t="s">
        <v>27</v>
      </c>
      <c r="F3" s="29" t="s">
        <v>27</v>
      </c>
      <c r="G3" s="28"/>
      <c r="H3" s="183" t="s">
        <v>28</v>
      </c>
      <c r="I3" s="184"/>
      <c r="J3" s="185"/>
    </row>
    <row r="4" spans="2:16" ht="25.5" x14ac:dyDescent="0.25">
      <c r="B4" s="30" t="s">
        <v>29</v>
      </c>
      <c r="C4" s="30" t="s">
        <v>30</v>
      </c>
      <c r="D4" s="31"/>
      <c r="E4" s="30" t="s">
        <v>31</v>
      </c>
      <c r="F4" s="30" t="s">
        <v>9</v>
      </c>
      <c r="G4" s="31"/>
      <c r="H4" s="32" t="s">
        <v>26</v>
      </c>
      <c r="I4" s="32" t="s">
        <v>32</v>
      </c>
      <c r="J4" s="32" t="s">
        <v>33</v>
      </c>
      <c r="K4" s="111" t="s">
        <v>77</v>
      </c>
      <c r="M4" s="118" t="s">
        <v>81</v>
      </c>
      <c r="N4" s="118" t="s">
        <v>80</v>
      </c>
      <c r="O4" s="118" t="s">
        <v>76</v>
      </c>
      <c r="P4" s="118" t="s">
        <v>78</v>
      </c>
    </row>
    <row r="5" spans="2:16" x14ac:dyDescent="0.25">
      <c r="B5" s="33"/>
      <c r="C5" s="34" t="s">
        <v>2</v>
      </c>
      <c r="E5" s="35">
        <f>SUM(E6:E16)</f>
        <v>4750000000.2055159</v>
      </c>
      <c r="F5" s="35">
        <f>SUM(F6:F16)</f>
        <v>4750000000.2055159</v>
      </c>
      <c r="G5" s="35"/>
      <c r="H5" s="107">
        <f>+SUM(H6:H16)</f>
        <v>1212625725.5988998</v>
      </c>
      <c r="I5" s="107">
        <f t="shared" ref="I5:K5" si="0">+SUM(I6:I16)</f>
        <v>62184567.021285124</v>
      </c>
      <c r="J5" s="107">
        <f t="shared" si="0"/>
        <v>1274810292.6201849</v>
      </c>
      <c r="K5" s="107">
        <f t="shared" si="0"/>
        <v>375431528.66826624</v>
      </c>
      <c r="M5" s="33"/>
      <c r="N5" s="107">
        <f>+SUM(N6:N10)</f>
        <v>418442872.52667755</v>
      </c>
      <c r="O5" s="107">
        <f>+SUM(O6:O10)</f>
        <v>368261472.81841195</v>
      </c>
      <c r="P5" s="107">
        <f>+SUM(P6:P10)</f>
        <v>344501296.10952884</v>
      </c>
    </row>
    <row r="6" spans="2:16" x14ac:dyDescent="0.25">
      <c r="B6" s="37" t="s">
        <v>34</v>
      </c>
      <c r="C6" s="33" t="s">
        <v>35</v>
      </c>
      <c r="E6" s="38">
        <v>989503980.44566989</v>
      </c>
      <c r="F6" s="38">
        <v>989503980.44566989</v>
      </c>
      <c r="G6" s="38"/>
      <c r="H6" s="129">
        <v>147824642.70167631</v>
      </c>
      <c r="I6" s="129">
        <v>22819433.977975447</v>
      </c>
      <c r="J6" s="113">
        <v>170644076.67965177</v>
      </c>
      <c r="K6" s="113">
        <v>32726608.192437712</v>
      </c>
      <c r="L6" s="40"/>
      <c r="M6" s="33"/>
      <c r="N6" s="124">
        <v>270617901.84362197</v>
      </c>
      <c r="O6" s="124">
        <v>147418850.18408585</v>
      </c>
      <c r="P6" s="124">
        <v>188283236.68388826</v>
      </c>
    </row>
    <row r="7" spans="2:16" x14ac:dyDescent="0.25">
      <c r="B7" s="37" t="s">
        <v>36</v>
      </c>
      <c r="C7" s="33" t="s">
        <v>37</v>
      </c>
      <c r="E7" s="38">
        <v>654136807.94229996</v>
      </c>
      <c r="F7" s="38">
        <v>654136807.94229996</v>
      </c>
      <c r="G7" s="38"/>
      <c r="H7" s="129">
        <v>247212310</v>
      </c>
      <c r="I7" s="129">
        <v>-71726017.925000012</v>
      </c>
      <c r="J7" s="117">
        <v>175486292.07499999</v>
      </c>
      <c r="K7" s="117">
        <v>40835351.970200002</v>
      </c>
      <c r="L7" s="40"/>
      <c r="M7" s="33"/>
      <c r="N7" s="125">
        <v>4862435</v>
      </c>
      <c r="O7" s="125">
        <v>129788505.10479999</v>
      </c>
      <c r="P7" s="125">
        <v>40835351.970200002</v>
      </c>
    </row>
    <row r="8" spans="2:16" x14ac:dyDescent="0.25">
      <c r="B8" s="37" t="s">
        <v>38</v>
      </c>
      <c r="C8" s="33" t="s">
        <v>39</v>
      </c>
      <c r="E8" s="38">
        <v>438661457.75153172</v>
      </c>
      <c r="F8" s="38">
        <v>438661457.75153172</v>
      </c>
      <c r="G8" s="38"/>
      <c r="H8" s="129">
        <v>109382248.2</v>
      </c>
      <c r="I8" s="129">
        <v>22863048.25</v>
      </c>
      <c r="J8" s="113">
        <v>132245296.45</v>
      </c>
      <c r="K8" s="113">
        <v>75165205.450000003</v>
      </c>
      <c r="L8" s="40"/>
      <c r="M8" s="33"/>
      <c r="N8" s="126">
        <v>45252146.683055557</v>
      </c>
      <c r="O8" s="126">
        <v>60732317.529526144</v>
      </c>
      <c r="P8" s="126">
        <v>59332536.014037259</v>
      </c>
    </row>
    <row r="9" spans="2:16" x14ac:dyDescent="0.25">
      <c r="B9" s="37" t="s">
        <v>40</v>
      </c>
      <c r="C9" s="33" t="s">
        <v>41</v>
      </c>
      <c r="E9" s="38">
        <v>825206144.46633112</v>
      </c>
      <c r="F9" s="38">
        <v>825206144.46633112</v>
      </c>
      <c r="G9" s="38"/>
      <c r="H9" s="129">
        <v>109103148.35692039</v>
      </c>
      <c r="I9" s="129">
        <v>28126285.869698573</v>
      </c>
      <c r="J9" s="114">
        <v>137229434.22661898</v>
      </c>
      <c r="K9" s="114">
        <v>52262104.014037259</v>
      </c>
      <c r="L9" s="40"/>
      <c r="M9" s="33"/>
      <c r="N9" s="127">
        <v>46999638</v>
      </c>
      <c r="O9" s="127">
        <v>623218</v>
      </c>
      <c r="P9" s="127">
        <v>17653632</v>
      </c>
    </row>
    <row r="10" spans="2:16" x14ac:dyDescent="0.25">
      <c r="B10" s="37" t="s">
        <v>42</v>
      </c>
      <c r="C10" s="33" t="s">
        <v>43</v>
      </c>
      <c r="E10" s="38">
        <v>110221472.6512</v>
      </c>
      <c r="F10" s="38">
        <v>110221472.6512</v>
      </c>
      <c r="G10" s="38"/>
      <c r="H10" s="129">
        <v>56821348</v>
      </c>
      <c r="I10" s="129">
        <v>8455140</v>
      </c>
      <c r="J10" s="115">
        <v>65276488</v>
      </c>
      <c r="K10" s="115">
        <v>17653632</v>
      </c>
      <c r="L10" s="40"/>
      <c r="M10" s="33"/>
      <c r="N10" s="128">
        <v>50710751</v>
      </c>
      <c r="O10" s="128">
        <v>29698582</v>
      </c>
      <c r="P10" s="128">
        <v>38396539.441403344</v>
      </c>
    </row>
    <row r="11" spans="2:16" x14ac:dyDescent="0.25">
      <c r="B11" s="37" t="s">
        <v>44</v>
      </c>
      <c r="C11" s="33" t="s">
        <v>45</v>
      </c>
      <c r="E11" s="38">
        <v>849346597.24778163</v>
      </c>
      <c r="F11" s="38">
        <v>849346597.24778163</v>
      </c>
      <c r="G11" s="38"/>
      <c r="H11" s="129">
        <v>294294667.73333329</v>
      </c>
      <c r="I11" s="129">
        <v>9135947.8486111108</v>
      </c>
      <c r="J11" s="113">
        <v>303430615.58194441</v>
      </c>
      <c r="K11" s="113">
        <v>80391423.04145056</v>
      </c>
      <c r="L11" s="40"/>
    </row>
    <row r="12" spans="2:16" x14ac:dyDescent="0.25">
      <c r="B12" s="37" t="s">
        <v>46</v>
      </c>
      <c r="C12" s="33" t="s">
        <v>47</v>
      </c>
      <c r="E12" s="38">
        <v>112795628.36</v>
      </c>
      <c r="F12" s="38">
        <v>112795628.36</v>
      </c>
      <c r="G12" s="38"/>
      <c r="H12" s="129">
        <v>12075609</v>
      </c>
      <c r="I12" s="129">
        <v>16011957</v>
      </c>
      <c r="J12" s="114">
        <v>28087566</v>
      </c>
      <c r="K12" s="114">
        <v>7070432</v>
      </c>
      <c r="L12" s="40"/>
    </row>
    <row r="13" spans="2:16" x14ac:dyDescent="0.25">
      <c r="B13" s="37" t="s">
        <v>48</v>
      </c>
      <c r="C13" s="33" t="s">
        <v>49</v>
      </c>
      <c r="E13" s="38">
        <v>135754532.50963384</v>
      </c>
      <c r="F13" s="38">
        <v>135754532.50963384</v>
      </c>
      <c r="G13" s="38"/>
      <c r="H13" s="129">
        <v>37841171.441403344</v>
      </c>
      <c r="I13" s="129">
        <v>12159038.699999999</v>
      </c>
      <c r="J13" s="116">
        <v>50000210.141403347</v>
      </c>
      <c r="K13" s="116">
        <v>12659074.141403344</v>
      </c>
      <c r="L13" s="40"/>
      <c r="N13" s="51">
        <v>270617901.84362197</v>
      </c>
      <c r="O13" s="40">
        <f>+N13-P13</f>
        <v>136527076.75346652</v>
      </c>
      <c r="P13" s="51">
        <v>134090825.09015545</v>
      </c>
    </row>
    <row r="14" spans="2:16" x14ac:dyDescent="0.25">
      <c r="B14" s="37" t="s">
        <v>50</v>
      </c>
      <c r="C14" s="33" t="s">
        <v>51</v>
      </c>
      <c r="E14" s="38">
        <v>194544741.2074329</v>
      </c>
      <c r="F14" s="38">
        <v>194544741.2074329</v>
      </c>
      <c r="G14" s="38"/>
      <c r="H14" s="129">
        <v>43392152</v>
      </c>
      <c r="I14" s="129">
        <v>12177403.300000003</v>
      </c>
      <c r="J14" s="116">
        <v>55569555.300000004</v>
      </c>
      <c r="K14" s="116">
        <v>14993671.300000001</v>
      </c>
      <c r="L14" s="40"/>
      <c r="P14" s="51">
        <v>4862435</v>
      </c>
    </row>
    <row r="15" spans="2:16" x14ac:dyDescent="0.25">
      <c r="B15" s="37" t="s">
        <v>52</v>
      </c>
      <c r="C15" s="33" t="s">
        <v>53</v>
      </c>
      <c r="E15" s="38">
        <v>59828637.61628902</v>
      </c>
      <c r="F15" s="38">
        <v>59828637.61628902</v>
      </c>
      <c r="G15" s="38"/>
      <c r="H15" s="129">
        <v>11073777</v>
      </c>
      <c r="I15" s="129">
        <v>2162330</v>
      </c>
      <c r="J15" s="116">
        <v>13236107</v>
      </c>
      <c r="K15" s="116">
        <v>10743794</v>
      </c>
      <c r="L15" s="40"/>
      <c r="P15" s="51">
        <v>45252146.683055557</v>
      </c>
    </row>
    <row r="16" spans="2:16" x14ac:dyDescent="0.25">
      <c r="B16" s="37" t="s">
        <v>54</v>
      </c>
      <c r="C16" s="33" t="s">
        <v>55</v>
      </c>
      <c r="E16" s="38">
        <v>380000000.0073449</v>
      </c>
      <c r="F16" s="39">
        <v>380000000.0073449</v>
      </c>
      <c r="G16" s="38"/>
      <c r="H16" s="129">
        <v>143604651.16556638</v>
      </c>
      <c r="I16" s="129">
        <v>0</v>
      </c>
      <c r="J16" s="112">
        <v>143604651.16556638</v>
      </c>
      <c r="K16" s="112">
        <v>30930232.558737371</v>
      </c>
      <c r="L16" s="40">
        <f>+J16-H16</f>
        <v>0</v>
      </c>
      <c r="P16" s="51">
        <v>46999638</v>
      </c>
    </row>
    <row r="17" spans="3:23" x14ac:dyDescent="0.25">
      <c r="P17" s="51">
        <v>50710751</v>
      </c>
    </row>
    <row r="18" spans="3:23" ht="6" customHeight="1" x14ac:dyDescent="0.25"/>
    <row r="19" spans="3:23" x14ac:dyDescent="0.25">
      <c r="F19" t="s">
        <v>17</v>
      </c>
      <c r="H19" s="40">
        <f>+H6+H8+H11</f>
        <v>551501558.63500953</v>
      </c>
      <c r="I19" s="33" t="s">
        <v>17</v>
      </c>
      <c r="J19" s="119">
        <f>+J6+J8+J11</f>
        <v>606319988.71159625</v>
      </c>
      <c r="K19" s="119">
        <f>+K6+K8+K11</f>
        <v>188283236.68388826</v>
      </c>
    </row>
    <row r="20" spans="3:23" x14ac:dyDescent="0.25">
      <c r="F20" t="s">
        <v>18</v>
      </c>
      <c r="H20" s="40">
        <f>+H7</f>
        <v>247212310</v>
      </c>
      <c r="I20" s="33" t="s">
        <v>18</v>
      </c>
      <c r="J20" s="120">
        <f>+J7</f>
        <v>175486292.07499999</v>
      </c>
      <c r="K20" s="120">
        <f>+K7</f>
        <v>40835351.970200002</v>
      </c>
    </row>
    <row r="21" spans="3:23" x14ac:dyDescent="0.25">
      <c r="F21" t="s">
        <v>56</v>
      </c>
      <c r="H21" s="40">
        <f>+H9+H12</f>
        <v>121178757.35692039</v>
      </c>
      <c r="I21" s="33" t="s">
        <v>56</v>
      </c>
      <c r="J21" s="121">
        <f>+J9+J12</f>
        <v>165317000.22661898</v>
      </c>
      <c r="K21" s="121">
        <f>+K9+K12</f>
        <v>59332536.014037259</v>
      </c>
    </row>
    <row r="22" spans="3:23" x14ac:dyDescent="0.25">
      <c r="F22" t="s">
        <v>57</v>
      </c>
      <c r="H22" s="40">
        <f>+H10</f>
        <v>56821348</v>
      </c>
      <c r="I22" s="33" t="s">
        <v>57</v>
      </c>
      <c r="J22" s="122">
        <f>+J10</f>
        <v>65276488</v>
      </c>
      <c r="K22" s="122">
        <f>+K10</f>
        <v>17653632</v>
      </c>
    </row>
    <row r="23" spans="3:23" x14ac:dyDescent="0.25">
      <c r="F23" t="s">
        <v>58</v>
      </c>
      <c r="H23" s="40">
        <f>+H13+H14+H15</f>
        <v>92307100.441403344</v>
      </c>
      <c r="I23" s="33" t="s">
        <v>58</v>
      </c>
      <c r="J23" s="123">
        <f>+J13+J14+J15</f>
        <v>118805872.44140336</v>
      </c>
      <c r="K23" s="123">
        <f>+K13+K14+K15</f>
        <v>38396539.441403344</v>
      </c>
    </row>
    <row r="24" spans="3:23" x14ac:dyDescent="0.25">
      <c r="H24" s="41">
        <f>SUM(H19:H23)</f>
        <v>1069021074.4333333</v>
      </c>
      <c r="J24" s="41">
        <f>SUM(J19:J23)</f>
        <v>1131205641.4546187</v>
      </c>
    </row>
    <row r="26" spans="3:23" ht="23.25" x14ac:dyDescent="0.35">
      <c r="C26" s="27" t="s">
        <v>59</v>
      </c>
    </row>
    <row r="28" spans="3:23" x14ac:dyDescent="0.25">
      <c r="C28" s="29" t="s">
        <v>27</v>
      </c>
      <c r="D28" s="28"/>
      <c r="E28" s="29" t="s">
        <v>27</v>
      </c>
      <c r="F28" s="29" t="s">
        <v>27</v>
      </c>
      <c r="G28" s="28"/>
      <c r="H28" s="186" t="s">
        <v>60</v>
      </c>
      <c r="I28" s="184"/>
      <c r="J28" s="185"/>
      <c r="K28" s="28"/>
      <c r="L28" s="183" t="s">
        <v>16</v>
      </c>
      <c r="M28" s="184"/>
      <c r="N28" s="185"/>
      <c r="O28" s="28"/>
      <c r="P28" s="190" t="s">
        <v>59</v>
      </c>
      <c r="Q28" s="184"/>
      <c r="R28" s="185"/>
    </row>
    <row r="29" spans="3:23" x14ac:dyDescent="0.25">
      <c r="C29" s="42" t="s">
        <v>2</v>
      </c>
      <c r="D29" s="28"/>
      <c r="E29" s="43">
        <f>SUM(E30:E40)</f>
        <v>4750000000.2055159</v>
      </c>
      <c r="F29" s="43">
        <f>SUM(F30:F40)</f>
        <v>4750000000.2055159</v>
      </c>
      <c r="G29" s="28"/>
      <c r="H29" s="44">
        <f>SUM(H30:H40)</f>
        <v>882460220.98398972</v>
      </c>
      <c r="I29" s="44">
        <f t="shared" ref="I29:J29" si="1">SUM(I30:I40)</f>
        <v>3867539779.2215257</v>
      </c>
      <c r="J29" s="44">
        <f t="shared" si="1"/>
        <v>4750000000.2055159</v>
      </c>
      <c r="K29" s="28">
        <v>0</v>
      </c>
      <c r="L29" s="45">
        <f>SUM(L30:L40)</f>
        <v>899378763.9519186</v>
      </c>
      <c r="M29" s="45">
        <f t="shared" ref="M29:N29" si="2">SUM(M30:M40)</f>
        <v>3850621236.2535963</v>
      </c>
      <c r="N29" s="45">
        <f t="shared" si="2"/>
        <v>4750000000.2055159</v>
      </c>
      <c r="O29" s="28">
        <v>0</v>
      </c>
      <c r="P29" s="46">
        <f>SUM(P31:P40)</f>
        <v>5172626112.5354834</v>
      </c>
      <c r="Q29" s="46">
        <f t="shared" ref="Q29:R29" si="3">SUM(Q31:Q40)</f>
        <v>5172626112.5354834</v>
      </c>
      <c r="R29" s="46">
        <f t="shared" si="3"/>
        <v>0</v>
      </c>
    </row>
    <row r="30" spans="3:23" x14ac:dyDescent="0.25">
      <c r="C30" s="47" t="s">
        <v>35</v>
      </c>
      <c r="D30" s="28"/>
      <c r="E30" s="48">
        <v>989503980.44566989</v>
      </c>
      <c r="F30" s="38">
        <v>989503980.44566989</v>
      </c>
      <c r="G30" s="28"/>
      <c r="H30" s="105">
        <v>69431091.52737537</v>
      </c>
      <c r="I30" s="49">
        <f>+F30-H30</f>
        <v>920072888.91829455</v>
      </c>
      <c r="J30" s="49">
        <f>+F30</f>
        <v>989503980.44566989</v>
      </c>
      <c r="K30" s="28">
        <v>0</v>
      </c>
      <c r="L30" s="105">
        <v>137917468.48721403</v>
      </c>
      <c r="M30" s="49">
        <f>+N30-L30</f>
        <v>851586511.9584558</v>
      </c>
      <c r="N30" s="49">
        <f>+F30</f>
        <v>989503980.44566989</v>
      </c>
      <c r="O30" s="28">
        <v>0</v>
      </c>
      <c r="P30" s="49">
        <v>1358736064.3264697</v>
      </c>
      <c r="Q30" s="49">
        <v>1358736064.3264697</v>
      </c>
      <c r="R30" s="50">
        <v>0</v>
      </c>
      <c r="T30" s="51"/>
      <c r="U30" s="51"/>
      <c r="V30" s="52"/>
      <c r="W30" s="53"/>
    </row>
    <row r="31" spans="3:23" x14ac:dyDescent="0.25">
      <c r="C31" s="47" t="s">
        <v>37</v>
      </c>
      <c r="D31" s="28"/>
      <c r="E31" s="48">
        <v>654136807.94229996</v>
      </c>
      <c r="F31" s="38">
        <v>654136807.94229996</v>
      </c>
      <c r="G31" s="28"/>
      <c r="H31" s="105">
        <v>96894575.042966664</v>
      </c>
      <c r="I31" s="49">
        <f t="shared" ref="I31:I40" si="4">+F31-H31</f>
        <v>557242232.89933324</v>
      </c>
      <c r="J31" s="49">
        <f t="shared" ref="J31:J40" si="5">+F31</f>
        <v>654136807.94229996</v>
      </c>
      <c r="K31" s="28">
        <v>0</v>
      </c>
      <c r="L31" s="105">
        <v>134650940.10479999</v>
      </c>
      <c r="M31" s="49">
        <f t="shared" ref="M31:M40" si="6">+N31-L31</f>
        <v>519485867.83749998</v>
      </c>
      <c r="N31" s="49">
        <f t="shared" ref="N31:N40" si="7">+F31</f>
        <v>654136807.94229996</v>
      </c>
      <c r="O31" s="28">
        <v>0</v>
      </c>
      <c r="P31" s="49">
        <v>480906042.55799997</v>
      </c>
      <c r="Q31" s="49">
        <v>480906042.55799997</v>
      </c>
      <c r="R31" s="50">
        <v>0</v>
      </c>
      <c r="T31" s="51"/>
      <c r="U31" s="51"/>
      <c r="V31" s="52"/>
      <c r="W31" s="53"/>
    </row>
    <row r="32" spans="3:23" x14ac:dyDescent="0.25">
      <c r="C32" s="47" t="s">
        <v>39</v>
      </c>
      <c r="D32" s="28"/>
      <c r="E32" s="48">
        <v>438661457.75153172</v>
      </c>
      <c r="F32" s="38">
        <v>438661457.75153172</v>
      </c>
      <c r="G32" s="28"/>
      <c r="H32" s="105">
        <v>39440180.983142696</v>
      </c>
      <c r="I32" s="49">
        <f t="shared" si="4"/>
        <v>399221276.76838905</v>
      </c>
      <c r="J32" s="49">
        <f t="shared" si="5"/>
        <v>438661457.75153172</v>
      </c>
      <c r="K32" s="28">
        <v>0</v>
      </c>
      <c r="L32" s="105">
        <v>57080091</v>
      </c>
      <c r="M32" s="49">
        <f t="shared" si="6"/>
        <v>381581366.75153172</v>
      </c>
      <c r="N32" s="49">
        <f t="shared" si="7"/>
        <v>438661457.75153172</v>
      </c>
      <c r="O32" s="28">
        <v>0</v>
      </c>
      <c r="P32" s="49">
        <v>214640335.6621305</v>
      </c>
      <c r="Q32" s="49">
        <v>214640335.6621305</v>
      </c>
      <c r="R32" s="50">
        <v>0</v>
      </c>
      <c r="T32" s="51"/>
      <c r="U32" s="51"/>
      <c r="V32" s="52"/>
      <c r="W32" s="53"/>
    </row>
    <row r="33" spans="3:23" x14ac:dyDescent="0.25">
      <c r="C33" s="47" t="s">
        <v>41</v>
      </c>
      <c r="D33" s="28"/>
      <c r="E33" s="48">
        <v>825206144.46633112</v>
      </c>
      <c r="F33" s="38">
        <v>825206144.46633112</v>
      </c>
      <c r="G33" s="28"/>
      <c r="H33" s="105">
        <v>141075144.03112808</v>
      </c>
      <c r="I33" s="49">
        <f t="shared" si="4"/>
        <v>684131000.43520308</v>
      </c>
      <c r="J33" s="49">
        <f t="shared" si="5"/>
        <v>825206144.46633112</v>
      </c>
      <c r="K33" s="28">
        <v>0</v>
      </c>
      <c r="L33" s="105">
        <v>84967330.212581694</v>
      </c>
      <c r="M33" s="49">
        <f t="shared" si="6"/>
        <v>740238814.25374937</v>
      </c>
      <c r="N33" s="49">
        <f t="shared" si="7"/>
        <v>825206144.46633112</v>
      </c>
      <c r="O33" s="28">
        <v>0</v>
      </c>
      <c r="P33" s="49">
        <v>1134737724.1507001</v>
      </c>
      <c r="Q33" s="49">
        <v>1134737724.1507001</v>
      </c>
      <c r="R33" s="50">
        <v>0</v>
      </c>
      <c r="T33" s="51"/>
      <c r="U33" s="51"/>
      <c r="V33" s="52"/>
      <c r="W33" s="53"/>
    </row>
    <row r="34" spans="3:23" x14ac:dyDescent="0.25">
      <c r="C34" s="47" t="s">
        <v>43</v>
      </c>
      <c r="D34" s="28"/>
      <c r="E34" s="48">
        <v>110221472.6512</v>
      </c>
      <c r="F34" s="38">
        <v>110221472.6512</v>
      </c>
      <c r="G34" s="28"/>
      <c r="H34" s="105">
        <v>26021130.035800003</v>
      </c>
      <c r="I34" s="49">
        <f t="shared" si="4"/>
        <v>84200342.615399987</v>
      </c>
      <c r="J34" s="49">
        <f t="shared" si="5"/>
        <v>110221472.6512</v>
      </c>
      <c r="K34" s="28">
        <v>0</v>
      </c>
      <c r="L34" s="105">
        <v>47622856</v>
      </c>
      <c r="M34" s="49">
        <f t="shared" si="6"/>
        <v>62598616.651199996</v>
      </c>
      <c r="N34" s="49">
        <f t="shared" si="7"/>
        <v>110221472.6512</v>
      </c>
      <c r="O34" s="28">
        <v>0</v>
      </c>
      <c r="P34" s="49">
        <v>292334884.71689999</v>
      </c>
      <c r="Q34" s="49">
        <v>292334884.71689999</v>
      </c>
      <c r="R34" s="50">
        <v>0</v>
      </c>
      <c r="T34" s="51"/>
      <c r="U34" s="51"/>
      <c r="V34" s="52"/>
      <c r="W34" s="53"/>
    </row>
    <row r="35" spans="3:23" x14ac:dyDescent="0.25">
      <c r="C35" s="47" t="s">
        <v>45</v>
      </c>
      <c r="D35" s="28"/>
      <c r="E35" s="48">
        <v>849346597.24778163</v>
      </c>
      <c r="F35" s="38">
        <v>849346597.24778163</v>
      </c>
      <c r="G35" s="28"/>
      <c r="H35" s="105">
        <v>251841142.20719102</v>
      </c>
      <c r="I35" s="49">
        <f t="shared" si="4"/>
        <v>597505455.04059064</v>
      </c>
      <c r="J35" s="49">
        <f t="shared" si="5"/>
        <v>849346597.24778163</v>
      </c>
      <c r="K35" s="28">
        <v>0</v>
      </c>
      <c r="L35" s="105">
        <v>223039192.54049385</v>
      </c>
      <c r="M35" s="49">
        <f t="shared" si="6"/>
        <v>626307404.70728779</v>
      </c>
      <c r="N35" s="49">
        <f t="shared" si="7"/>
        <v>849346597.24778163</v>
      </c>
      <c r="O35" s="28">
        <v>0</v>
      </c>
      <c r="P35" s="49">
        <v>1853206780.5873764</v>
      </c>
      <c r="Q35" s="49">
        <v>1853206780.5873766</v>
      </c>
      <c r="R35" s="50">
        <v>0</v>
      </c>
      <c r="T35" s="51"/>
      <c r="U35" s="51"/>
      <c r="V35" s="52"/>
      <c r="W35" s="53"/>
    </row>
    <row r="36" spans="3:23" x14ac:dyDescent="0.25">
      <c r="C36" s="47" t="s">
        <v>47</v>
      </c>
      <c r="D36" s="28"/>
      <c r="E36" s="48">
        <v>112795628.36</v>
      </c>
      <c r="F36" s="38">
        <v>112795628.36</v>
      </c>
      <c r="G36" s="28"/>
      <c r="H36" s="105">
        <v>33445215.385813955</v>
      </c>
      <c r="I36" s="49">
        <f t="shared" si="4"/>
        <v>79350412.974186048</v>
      </c>
      <c r="J36" s="49">
        <f t="shared" si="5"/>
        <v>112795628.36</v>
      </c>
      <c r="K36" s="28">
        <v>0</v>
      </c>
      <c r="L36" s="105">
        <v>21017134</v>
      </c>
      <c r="M36" s="49">
        <f t="shared" si="6"/>
        <v>91778494.359999999</v>
      </c>
      <c r="N36" s="49">
        <f t="shared" si="7"/>
        <v>112795628.36</v>
      </c>
      <c r="O36" s="28">
        <v>0</v>
      </c>
      <c r="P36" s="49">
        <v>78853655.999999985</v>
      </c>
      <c r="Q36" s="49">
        <v>78853655.999999985</v>
      </c>
      <c r="R36" s="50">
        <v>0</v>
      </c>
      <c r="T36" s="51"/>
      <c r="U36" s="51"/>
      <c r="V36" s="52"/>
      <c r="W36" s="53"/>
    </row>
    <row r="37" spans="3:23" x14ac:dyDescent="0.25">
      <c r="C37" s="47" t="s">
        <v>49</v>
      </c>
      <c r="D37" s="28"/>
      <c r="E37" s="48">
        <v>135754532.50963384</v>
      </c>
      <c r="F37" s="38">
        <v>135754532.50963384</v>
      </c>
      <c r="G37" s="28"/>
      <c r="H37" s="105">
        <v>40252797.430182137</v>
      </c>
      <c r="I37" s="49">
        <f t="shared" si="4"/>
        <v>95501735.07945171</v>
      </c>
      <c r="J37" s="49">
        <f t="shared" si="5"/>
        <v>135754532.50963384</v>
      </c>
      <c r="K37" s="28">
        <v>0</v>
      </c>
      <c r="L37" s="105">
        <v>37341136</v>
      </c>
      <c r="M37" s="49">
        <f t="shared" si="6"/>
        <v>98413396.509633839</v>
      </c>
      <c r="N37" s="49">
        <f t="shared" si="7"/>
        <v>135754532.50963384</v>
      </c>
      <c r="O37" s="28">
        <v>0</v>
      </c>
      <c r="P37" s="49">
        <v>252538433.32796222</v>
      </c>
      <c r="Q37" s="49">
        <v>252538433.32796222</v>
      </c>
      <c r="R37" s="50">
        <v>0</v>
      </c>
      <c r="T37" s="51"/>
      <c r="U37" s="51"/>
      <c r="V37" s="52"/>
      <c r="W37" s="53"/>
    </row>
    <row r="38" spans="3:23" x14ac:dyDescent="0.25">
      <c r="C38" s="47" t="s">
        <v>51</v>
      </c>
      <c r="D38" s="28"/>
      <c r="E38" s="48">
        <v>194544741.2074329</v>
      </c>
      <c r="F38" s="38">
        <v>194544741.2074329</v>
      </c>
      <c r="G38" s="28"/>
      <c r="H38" s="105">
        <v>53644638.998498268</v>
      </c>
      <c r="I38" s="49">
        <f t="shared" si="4"/>
        <v>140900102.20893463</v>
      </c>
      <c r="J38" s="49">
        <f t="shared" si="5"/>
        <v>194544741.2074329</v>
      </c>
      <c r="K38" s="28">
        <v>0</v>
      </c>
      <c r="L38" s="105">
        <v>40575884</v>
      </c>
      <c r="M38" s="49">
        <f t="shared" si="6"/>
        <v>153968857.2074329</v>
      </c>
      <c r="N38" s="49">
        <f t="shared" si="7"/>
        <v>194544741.2074329</v>
      </c>
      <c r="O38" s="28">
        <v>0</v>
      </c>
      <c r="P38" s="49">
        <v>265021027.87130544</v>
      </c>
      <c r="Q38" s="49">
        <v>265021027.87130544</v>
      </c>
      <c r="R38" s="50">
        <v>0</v>
      </c>
      <c r="T38" s="51"/>
      <c r="U38" s="51"/>
      <c r="V38" s="52"/>
      <c r="W38" s="53"/>
    </row>
    <row r="39" spans="3:23" x14ac:dyDescent="0.25">
      <c r="C39" s="47" t="s">
        <v>53</v>
      </c>
      <c r="D39" s="28"/>
      <c r="E39" s="48">
        <v>59828637.61628902</v>
      </c>
      <c r="F39" s="38">
        <v>59828637.61628902</v>
      </c>
      <c r="G39" s="48"/>
      <c r="H39" s="106">
        <v>17739886.735062443</v>
      </c>
      <c r="I39" s="49">
        <f t="shared" si="4"/>
        <v>42088750.881226577</v>
      </c>
      <c r="J39" s="49">
        <f t="shared" si="5"/>
        <v>59828637.61628902</v>
      </c>
      <c r="K39" s="28">
        <v>0</v>
      </c>
      <c r="L39" s="105">
        <v>2492313</v>
      </c>
      <c r="M39" s="49">
        <f t="shared" si="6"/>
        <v>57336324.61628902</v>
      </c>
      <c r="N39" s="49">
        <f t="shared" si="7"/>
        <v>59828637.61628902</v>
      </c>
      <c r="O39" s="28">
        <v>0</v>
      </c>
      <c r="P39" s="49">
        <v>78147227.660656705</v>
      </c>
      <c r="Q39" s="49">
        <v>78147227.66065675</v>
      </c>
      <c r="R39" s="50">
        <v>0</v>
      </c>
      <c r="T39" s="51"/>
      <c r="U39" s="51"/>
      <c r="V39" s="52"/>
      <c r="W39" s="53"/>
    </row>
    <row r="40" spans="3:23" x14ac:dyDescent="0.25">
      <c r="C40" s="47" t="s">
        <v>55</v>
      </c>
      <c r="D40" s="28"/>
      <c r="E40" s="48">
        <v>380000000.0073449</v>
      </c>
      <c r="F40" s="39">
        <v>380000000.0073449</v>
      </c>
      <c r="G40" s="48"/>
      <c r="H40" s="106">
        <v>112674418.60682902</v>
      </c>
      <c r="I40" s="49">
        <f t="shared" si="4"/>
        <v>267325581.40051588</v>
      </c>
      <c r="J40" s="49">
        <f t="shared" si="5"/>
        <v>380000000.0073449</v>
      </c>
      <c r="K40" s="28">
        <v>0</v>
      </c>
      <c r="L40" s="106">
        <v>112674418.60682902</v>
      </c>
      <c r="M40" s="49">
        <f t="shared" si="6"/>
        <v>267325581.40051588</v>
      </c>
      <c r="N40" s="49">
        <f t="shared" si="7"/>
        <v>380000000.0073449</v>
      </c>
      <c r="O40" s="28">
        <v>0</v>
      </c>
      <c r="P40" s="48">
        <v>522240000.00045216</v>
      </c>
      <c r="Q40" s="48">
        <v>522240000.00045216</v>
      </c>
      <c r="R40" s="50">
        <v>0</v>
      </c>
      <c r="S40" s="8"/>
      <c r="T40" s="51"/>
      <c r="U40" s="51"/>
      <c r="V40" s="52"/>
      <c r="W40" s="53"/>
    </row>
    <row r="41" spans="3:23" x14ac:dyDescent="0.25">
      <c r="E41" s="54">
        <f>SUM(E30:E40)</f>
        <v>4750000000.2055159</v>
      </c>
      <c r="F41" s="110">
        <f>SUM(F30:F40)</f>
        <v>4750000000.2055159</v>
      </c>
      <c r="H41" s="54">
        <f>SUM(H30:H40)</f>
        <v>882460220.98398972</v>
      </c>
      <c r="I41" s="54">
        <f>SUM(I30:I40)</f>
        <v>3867539779.2215257</v>
      </c>
      <c r="J41" s="54">
        <f>SUM(J30:J40)</f>
        <v>4750000000.2055159</v>
      </c>
      <c r="L41" s="54">
        <f>SUM(L30:L40)</f>
        <v>899378763.9519186</v>
      </c>
      <c r="M41" s="54">
        <f>SUM(M30:M40)</f>
        <v>3850621236.2535963</v>
      </c>
      <c r="N41" s="54">
        <f>SUM(N30:N40)</f>
        <v>4750000000.2055159</v>
      </c>
      <c r="P41" s="54">
        <f>SUM(P30:P40)</f>
        <v>6531362176.8619528</v>
      </c>
      <c r="Q41" s="54">
        <f>SUM(Q30:Q40)</f>
        <v>6531362176.8619528</v>
      </c>
      <c r="R41" s="54">
        <f>SUM(R30:R40)</f>
        <v>0</v>
      </c>
      <c r="T41" s="51"/>
      <c r="W41" s="53"/>
    </row>
    <row r="42" spans="3:23" x14ac:dyDescent="0.25">
      <c r="M42" s="54">
        <f>+M41-M40</f>
        <v>3583295654.8530803</v>
      </c>
      <c r="N42" s="53"/>
    </row>
    <row r="43" spans="3:23" x14ac:dyDescent="0.25">
      <c r="H43" s="51">
        <f>+H30+H32+H35</f>
        <v>360712414.71770906</v>
      </c>
      <c r="I43" s="40">
        <f>+I30+I32+I35</f>
        <v>1916799620.7272744</v>
      </c>
      <c r="J43" t="s">
        <v>17</v>
      </c>
      <c r="L43" s="51">
        <f>+N30+N32+N35</f>
        <v>2277512035.4449835</v>
      </c>
      <c r="P43" s="40">
        <f>SUM(P30:P39)</f>
        <v>6009122176.8615007</v>
      </c>
      <c r="T43" s="51"/>
      <c r="U43" s="40"/>
    </row>
    <row r="44" spans="3:23" x14ac:dyDescent="0.25">
      <c r="H44" s="51">
        <f>+H31</f>
        <v>96894575.042966664</v>
      </c>
      <c r="I44" s="40">
        <f>+I31</f>
        <v>557242232.89933324</v>
      </c>
      <c r="J44" t="s">
        <v>18</v>
      </c>
      <c r="L44" s="51">
        <f>+N31</f>
        <v>654136807.94229996</v>
      </c>
      <c r="P44" s="40"/>
      <c r="T44" s="51"/>
      <c r="U44" s="40"/>
    </row>
    <row r="45" spans="3:23" x14ac:dyDescent="0.25">
      <c r="H45" s="51">
        <f>+H33+H36</f>
        <v>174520359.41694203</v>
      </c>
      <c r="I45" s="40">
        <f>+I33+I36</f>
        <v>763481413.40938914</v>
      </c>
      <c r="J45" t="s">
        <v>56</v>
      </c>
      <c r="L45" s="51">
        <f>+N33+N36</f>
        <v>938001772.82633114</v>
      </c>
      <c r="P45" s="40"/>
      <c r="T45" s="51"/>
      <c r="U45" s="40"/>
    </row>
    <row r="46" spans="3:23" x14ac:dyDescent="0.25">
      <c r="H46" s="51">
        <f>+H34</f>
        <v>26021130.035800003</v>
      </c>
      <c r="I46" s="40">
        <f>+I34</f>
        <v>84200342.615399987</v>
      </c>
      <c r="J46" t="s">
        <v>57</v>
      </c>
      <c r="L46" s="51">
        <f>+N34</f>
        <v>110221472.6512</v>
      </c>
      <c r="P46" s="40"/>
      <c r="T46" s="51"/>
      <c r="U46" s="40"/>
    </row>
    <row r="47" spans="3:23" x14ac:dyDescent="0.25">
      <c r="H47" s="51">
        <f>+H37+H38+H39</f>
        <v>111637323.16374284</v>
      </c>
      <c r="I47" s="40">
        <f>+I37+I38+I39+I40</f>
        <v>545816169.5701288</v>
      </c>
      <c r="J47" t="s">
        <v>58</v>
      </c>
      <c r="L47" s="51">
        <f>+N37+N38+N39</f>
        <v>390127911.33335578</v>
      </c>
      <c r="P47" s="40"/>
      <c r="T47" s="51"/>
      <c r="U47" s="40"/>
    </row>
    <row r="48" spans="3:23" x14ac:dyDescent="0.25">
      <c r="I48" s="41">
        <f>SUM(I43:I47)</f>
        <v>3867539779.2215257</v>
      </c>
      <c r="L48" s="41">
        <f>SUM(L43:L47)</f>
        <v>4370000000.1981697</v>
      </c>
      <c r="P48" s="41"/>
    </row>
    <row r="49" spans="12:12" x14ac:dyDescent="0.25">
      <c r="L49">
        <f>+Flujo!T28</f>
        <v>5230234496.0444403</v>
      </c>
    </row>
    <row r="50" spans="12:12" x14ac:dyDescent="0.25">
      <c r="L50" s="40">
        <f>+L48-L49</f>
        <v>-860234495.84627056</v>
      </c>
    </row>
    <row r="51" spans="12:12" x14ac:dyDescent="0.25">
      <c r="L51" s="40"/>
    </row>
    <row r="56" spans="12:12" x14ac:dyDescent="0.25">
      <c r="L56">
        <v>85542236.490761414</v>
      </c>
    </row>
    <row r="57" spans="12:12" x14ac:dyDescent="0.25">
      <c r="L57">
        <v>43130098.970200002</v>
      </c>
    </row>
    <row r="58" spans="12:12" x14ac:dyDescent="0.25">
      <c r="L58">
        <v>41029782.25</v>
      </c>
    </row>
    <row r="59" spans="12:12" x14ac:dyDescent="0.25">
      <c r="L59">
        <v>58726652.657116875</v>
      </c>
    </row>
    <row r="60" spans="12:12" x14ac:dyDescent="0.25">
      <c r="L60">
        <v>15358885</v>
      </c>
    </row>
    <row r="61" spans="12:12" x14ac:dyDescent="0.25">
      <c r="L61">
        <v>62592064.241450593</v>
      </c>
    </row>
    <row r="62" spans="12:12" x14ac:dyDescent="0.25">
      <c r="L62">
        <v>-4061919</v>
      </c>
    </row>
    <row r="63" spans="12:12" x14ac:dyDescent="0.25">
      <c r="L63">
        <v>13967885.199999999</v>
      </c>
    </row>
    <row r="64" spans="12:12" x14ac:dyDescent="0.25">
      <c r="L64">
        <v>17471816.300000001</v>
      </c>
    </row>
    <row r="65" spans="12:12" x14ac:dyDescent="0.25">
      <c r="L65">
        <v>10743794</v>
      </c>
    </row>
    <row r="66" spans="12:12" x14ac:dyDescent="0.25">
      <c r="L66">
        <v>30930232.558737371</v>
      </c>
    </row>
    <row r="69" spans="12:12" x14ac:dyDescent="0.25">
      <c r="L69" s="40">
        <f>+L56+L58+L61</f>
        <v>189164082.98221201</v>
      </c>
    </row>
    <row r="70" spans="12:12" x14ac:dyDescent="0.25">
      <c r="L70" s="40">
        <f>+L57</f>
        <v>43130098.970200002</v>
      </c>
    </row>
    <row r="71" spans="12:12" x14ac:dyDescent="0.25">
      <c r="L71" s="40">
        <f>+L59+L62</f>
        <v>54664733.657116875</v>
      </c>
    </row>
    <row r="72" spans="12:12" x14ac:dyDescent="0.25">
      <c r="L72" s="40">
        <f>+L60</f>
        <v>15358885</v>
      </c>
    </row>
    <row r="73" spans="12:12" x14ac:dyDescent="0.25">
      <c r="L73" s="40">
        <f>+L63+L64+L65</f>
        <v>42183495.5</v>
      </c>
    </row>
    <row r="74" spans="12:12" x14ac:dyDescent="0.25">
      <c r="L74" s="41">
        <f>SUM(L69:L73)</f>
        <v>344501296.1095289</v>
      </c>
    </row>
  </sheetData>
  <mergeCells count="4">
    <mergeCell ref="H3:J3"/>
    <mergeCell ref="H28:J28"/>
    <mergeCell ref="L28:N28"/>
    <mergeCell ref="P28:R28"/>
  </mergeCells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405A-0A3E-4D83-B1E9-BD7EB85FCA82}">
  <sheetPr codeName="Hoja3"/>
  <dimension ref="B1:J46"/>
  <sheetViews>
    <sheetView workbookViewId="0">
      <selection activeCell="L43" sqref="L43"/>
    </sheetView>
  </sheetViews>
  <sheetFormatPr baseColWidth="10" defaultRowHeight="15" x14ac:dyDescent="0.25"/>
  <cols>
    <col min="2" max="2" width="17" bestFit="1" customWidth="1"/>
    <col min="3" max="3" width="21.42578125" bestFit="1" customWidth="1"/>
    <col min="4" max="4" width="32.140625" customWidth="1"/>
    <col min="5" max="5" width="19.42578125" bestFit="1" customWidth="1"/>
    <col min="6" max="6" width="23.5703125" customWidth="1"/>
    <col min="10" max="10" width="12.140625" bestFit="1" customWidth="1"/>
  </cols>
  <sheetData>
    <row r="1" spans="2:10" ht="15.75" thickBot="1" x14ac:dyDescent="0.3"/>
    <row r="2" spans="2:10" ht="19.5" thickTop="1" x14ac:dyDescent="0.25">
      <c r="B2" s="65" t="s">
        <v>61</v>
      </c>
      <c r="C2" s="66" t="s">
        <v>62</v>
      </c>
      <c r="D2" s="66" t="s">
        <v>63</v>
      </c>
      <c r="E2" s="66" t="s">
        <v>64</v>
      </c>
      <c r="F2" s="67" t="s">
        <v>65</v>
      </c>
      <c r="G2" s="68"/>
      <c r="H2" s="68"/>
      <c r="I2" s="69"/>
    </row>
    <row r="3" spans="2:10" ht="18.75" x14ac:dyDescent="0.3">
      <c r="B3" s="70" t="s">
        <v>66</v>
      </c>
      <c r="C3" s="71"/>
      <c r="D3" s="72"/>
      <c r="E3" s="71"/>
      <c r="F3" s="73"/>
      <c r="G3" s="74"/>
      <c r="H3" s="74"/>
      <c r="I3" s="75"/>
    </row>
    <row r="4" spans="2:10" ht="18.75" x14ac:dyDescent="0.3">
      <c r="B4" s="70" t="s">
        <v>67</v>
      </c>
      <c r="C4" s="90"/>
      <c r="D4" s="91"/>
      <c r="E4" s="90"/>
      <c r="F4" s="73" t="s">
        <v>68</v>
      </c>
      <c r="G4" s="76"/>
      <c r="H4" s="76"/>
      <c r="I4" s="77"/>
    </row>
    <row r="5" spans="2:10" ht="18.75" x14ac:dyDescent="0.3">
      <c r="B5" s="70" t="s">
        <v>69</v>
      </c>
      <c r="C5" s="90"/>
      <c r="D5" s="91"/>
      <c r="E5" s="90"/>
      <c r="F5" s="73" t="s">
        <v>68</v>
      </c>
      <c r="G5" s="74"/>
      <c r="H5" s="74"/>
      <c r="I5" s="75"/>
    </row>
    <row r="6" spans="2:10" ht="18.75" x14ac:dyDescent="0.3">
      <c r="B6" s="70" t="s">
        <v>70</v>
      </c>
      <c r="C6" s="90"/>
      <c r="D6" s="91"/>
      <c r="E6" s="92"/>
      <c r="F6" s="73" t="s">
        <v>68</v>
      </c>
      <c r="G6" s="78"/>
      <c r="H6" s="78"/>
      <c r="I6" s="79"/>
    </row>
    <row r="7" spans="2:10" ht="18.75" x14ac:dyDescent="0.3">
      <c r="B7" s="70" t="s">
        <v>71</v>
      </c>
      <c r="C7" s="90"/>
      <c r="D7" s="91"/>
      <c r="E7" s="92"/>
      <c r="F7" s="73" t="s">
        <v>68</v>
      </c>
      <c r="G7" s="74"/>
      <c r="H7" s="74"/>
      <c r="I7" s="75"/>
    </row>
    <row r="8" spans="2:10" ht="18.75" x14ac:dyDescent="0.3">
      <c r="B8" s="70" t="s">
        <v>72</v>
      </c>
      <c r="C8" s="71"/>
      <c r="D8" s="95"/>
      <c r="E8" s="72"/>
      <c r="F8" s="73" t="s">
        <v>68</v>
      </c>
      <c r="G8" s="78"/>
      <c r="H8" s="78"/>
      <c r="I8" s="79"/>
      <c r="J8" s="103">
        <f>+EDP_15916[[#This Row],[PRESENTADO]]+C9</f>
        <v>0</v>
      </c>
    </row>
    <row r="9" spans="2:10" ht="18.75" x14ac:dyDescent="0.3">
      <c r="B9" s="70"/>
      <c r="C9" s="71"/>
      <c r="D9" s="80"/>
      <c r="E9" s="72">
        <f>+EDP_15916[[#This Row],[PRESENTADO]]-EDP_15916[[#This Row],[DESCUENTO ANTICIPO]]</f>
        <v>0</v>
      </c>
      <c r="F9" s="73" t="s">
        <v>68</v>
      </c>
      <c r="G9" s="81"/>
      <c r="H9" s="81"/>
      <c r="I9" s="82"/>
    </row>
    <row r="10" spans="2:10" ht="18.75" x14ac:dyDescent="0.3">
      <c r="B10" s="70"/>
      <c r="C10" s="71"/>
      <c r="D10" s="102"/>
      <c r="E10" s="72">
        <f>+EDP_15916[[#This Row],[PRESENTADO]]-EDP_15916[[#This Row],[DESCUENTO ANTICIPO]]</f>
        <v>0</v>
      </c>
      <c r="F10" s="73"/>
      <c r="G10" s="78"/>
      <c r="H10" s="78"/>
      <c r="I10" s="79"/>
      <c r="J10" s="103">
        <f>+EDP_15916[[#This Row],[PRESENTADO]]+C11</f>
        <v>0</v>
      </c>
    </row>
    <row r="11" spans="2:10" ht="18.75" x14ac:dyDescent="0.3">
      <c r="B11" s="98"/>
      <c r="C11" s="101"/>
      <c r="D11" s="100"/>
      <c r="E11" s="72">
        <f>+EDP_15916[[#This Row],[PRESENTADO]]-EDP_15916[[#This Row],[DESCUENTO ANTICIPO]]</f>
        <v>0</v>
      </c>
      <c r="F11" s="73" t="s">
        <v>68</v>
      </c>
      <c r="G11" s="78"/>
      <c r="H11" s="78"/>
      <c r="I11" s="79"/>
    </row>
    <row r="12" spans="2:10" ht="18.75" x14ac:dyDescent="0.3">
      <c r="B12" s="98"/>
      <c r="C12" s="99"/>
      <c r="D12" s="100"/>
      <c r="E12" s="72">
        <f>+EDP_15916[[#This Row],[PRESENTADO]]-EDP_15916[[#This Row],[DESCUENTO ANTICIPO]]</f>
        <v>0</v>
      </c>
      <c r="F12" s="73"/>
      <c r="G12" s="78"/>
      <c r="H12" s="78"/>
      <c r="I12" s="79"/>
    </row>
    <row r="13" spans="2:10" ht="18.75" x14ac:dyDescent="0.3">
      <c r="B13" s="98"/>
      <c r="C13" s="99"/>
      <c r="D13" s="100"/>
      <c r="E13" s="72">
        <f>+EDP_15916[[#This Row],[PRESENTADO]]-EDP_15916[[#This Row],[DESCUENTO ANTICIPO]]</f>
        <v>0</v>
      </c>
      <c r="F13" s="73"/>
      <c r="G13" s="78"/>
      <c r="H13" s="78"/>
      <c r="I13" s="79"/>
    </row>
    <row r="14" spans="2:10" ht="18.75" x14ac:dyDescent="0.3">
      <c r="B14" s="98"/>
      <c r="C14" s="99"/>
      <c r="D14" s="100"/>
      <c r="E14" s="72">
        <f>+EDP_15916[[#This Row],[PRESENTADO]]-EDP_15916[[#This Row],[DESCUENTO ANTICIPO]]</f>
        <v>0</v>
      </c>
      <c r="F14" s="73"/>
      <c r="G14" s="78"/>
      <c r="H14" s="78"/>
      <c r="I14" s="79"/>
    </row>
    <row r="15" spans="2:10" ht="18.75" x14ac:dyDescent="0.3">
      <c r="B15" s="98"/>
      <c r="C15" s="99"/>
      <c r="D15" s="100"/>
      <c r="E15" s="72">
        <f>+EDP_15916[[#This Row],[PRESENTADO]]-EDP_15916[[#This Row],[DESCUENTO ANTICIPO]]</f>
        <v>0</v>
      </c>
      <c r="F15" s="73"/>
      <c r="G15" s="78"/>
      <c r="H15" s="78"/>
      <c r="I15" s="79"/>
    </row>
    <row r="16" spans="2:10" ht="18.75" x14ac:dyDescent="0.3">
      <c r="B16" s="98"/>
      <c r="C16" s="99"/>
      <c r="D16" s="100"/>
      <c r="E16" s="72">
        <f>+EDP_15916[[#This Row],[PRESENTADO]]-EDP_15916[[#This Row],[DESCUENTO ANTICIPO]]</f>
        <v>0</v>
      </c>
      <c r="F16" s="73"/>
      <c r="G16" s="78"/>
      <c r="H16" s="78"/>
      <c r="I16" s="79"/>
    </row>
    <row r="17" spans="2:9" ht="18.75" x14ac:dyDescent="0.3">
      <c r="B17" s="98"/>
      <c r="C17" s="99"/>
      <c r="D17" s="100"/>
      <c r="E17" s="72">
        <f>+EDP_15916[[#This Row],[PRESENTADO]]-EDP_15916[[#This Row],[DESCUENTO ANTICIPO]]</f>
        <v>0</v>
      </c>
      <c r="F17" s="73"/>
      <c r="G17" s="78"/>
      <c r="H17" s="78"/>
      <c r="I17" s="79"/>
    </row>
    <row r="18" spans="2:9" ht="18.75" x14ac:dyDescent="0.3">
      <c r="B18" s="98"/>
      <c r="C18" s="99"/>
      <c r="D18" s="100"/>
      <c r="E18" s="72">
        <f>+EDP_15916[[#This Row],[PRESENTADO]]-EDP_15916[[#This Row],[DESCUENTO ANTICIPO]]</f>
        <v>0</v>
      </c>
      <c r="F18" s="73"/>
      <c r="G18" s="78"/>
      <c r="H18" s="78"/>
      <c r="I18" s="79"/>
    </row>
    <row r="19" spans="2:9" ht="18.75" x14ac:dyDescent="0.3">
      <c r="B19" s="98"/>
      <c r="C19" s="99"/>
      <c r="D19" s="100"/>
      <c r="E19" s="72">
        <f>+EDP_15916[[#This Row],[PRESENTADO]]-EDP_15916[[#This Row],[DESCUENTO ANTICIPO]]</f>
        <v>0</v>
      </c>
      <c r="F19" s="73"/>
      <c r="G19" s="78"/>
      <c r="H19" s="78"/>
      <c r="I19" s="79"/>
    </row>
    <row r="20" spans="2:9" ht="18.75" x14ac:dyDescent="0.3">
      <c r="B20" s="70"/>
      <c r="C20" s="71"/>
      <c r="D20" s="80"/>
      <c r="E20" s="72">
        <f>+EDP_15916[[#This Row],[PRESENTADO]]-EDP_15916[[#This Row],[DESCUENTO ANTICIPO]]</f>
        <v>0</v>
      </c>
      <c r="F20" s="73"/>
      <c r="G20" s="81"/>
      <c r="H20" s="81"/>
      <c r="I20" s="82"/>
    </row>
    <row r="21" spans="2:9" ht="19.5" thickBot="1" x14ac:dyDescent="0.35">
      <c r="B21" s="83"/>
      <c r="C21" s="84">
        <f>SUBTOTAL(109,C3:C20)</f>
        <v>0</v>
      </c>
      <c r="D21" s="85">
        <f>SUBTOTAL(109,D3:D20)</f>
        <v>0</v>
      </c>
      <c r="E21" s="86">
        <f>SUM(E3:E20)</f>
        <v>0</v>
      </c>
      <c r="F21" s="87"/>
      <c r="G21" s="88"/>
      <c r="H21" s="88"/>
      <c r="I21" s="89"/>
    </row>
    <row r="22" spans="2:9" ht="15.75" thickTop="1" x14ac:dyDescent="0.25"/>
    <row r="46" spans="6:6" x14ac:dyDescent="0.25">
      <c r="F46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8CF441430ACE428A1ED4345CB9FA3F" ma:contentTypeVersion="16" ma:contentTypeDescription="Crear nuevo documento." ma:contentTypeScope="" ma:versionID="ef72a3632344287f9700baab040038dd">
  <xsd:schema xmlns:xsd="http://www.w3.org/2001/XMLSchema" xmlns:xs="http://www.w3.org/2001/XMLSchema" xmlns:p="http://schemas.microsoft.com/office/2006/metadata/properties" xmlns:ns2="370229f3-b919-4892-ac79-65456f01318d" xmlns:ns3="b927864e-f0e3-461d-a8c1-661b56594714" targetNamespace="http://schemas.microsoft.com/office/2006/metadata/properties" ma:root="true" ma:fieldsID="da04025c766b376fb2e684dedeb25b76" ns2:_="" ns3:_="">
    <xsd:import namespace="370229f3-b919-4892-ac79-65456f01318d"/>
    <xsd:import namespace="b927864e-f0e3-461d-a8c1-661b56594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229f3-b919-4892-ac79-65456f013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13f0771-de85-4579-8b51-d0741d0a3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7864e-f0e3-461d-a8c1-661b5659471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4a2194c-90ca-440d-97ae-79d8867bf064}" ma:internalName="TaxCatchAll" ma:showField="CatchAllData" ma:web="b927864e-f0e3-461d-a8c1-661b565947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0229f3-b919-4892-ac79-65456f01318d">
      <Terms xmlns="http://schemas.microsoft.com/office/infopath/2007/PartnerControls"/>
    </lcf76f155ced4ddcb4097134ff3c332f>
    <TaxCatchAll xmlns="b927864e-f0e3-461d-a8c1-661b56594714" xsi:nil="true"/>
  </documentManagement>
</p:properties>
</file>

<file path=customXml/itemProps1.xml><?xml version="1.0" encoding="utf-8"?>
<ds:datastoreItem xmlns:ds="http://schemas.openxmlformats.org/officeDocument/2006/customXml" ds:itemID="{1C309079-E18B-431F-B4EC-E83004A4AD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80A859-4FFB-4282-9DC0-2C1AB61E2E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0229f3-b919-4892-ac79-65456f01318d"/>
    <ds:schemaRef ds:uri="b927864e-f0e3-461d-a8c1-661b56594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ACE471-2C11-481F-BB1B-DB431181434F}">
  <ds:schemaRefs>
    <ds:schemaRef ds:uri="http://schemas.microsoft.com/office/2006/metadata/properties"/>
    <ds:schemaRef ds:uri="http://schemas.microsoft.com/office/infopath/2007/PartnerControls"/>
    <ds:schemaRef ds:uri="370229f3-b919-4892-ac79-65456f01318d"/>
    <ds:schemaRef ds:uri="b927864e-f0e3-461d-a8c1-661b565947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Flujo</vt:lpstr>
      <vt:lpstr>Costo</vt:lpstr>
      <vt:lpstr>Flujo (reajuste)</vt:lpstr>
      <vt:lpstr>Costo (2)</vt:lpstr>
      <vt:lpstr>Facturacion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Francesca Coser Perez</dc:creator>
  <cp:keywords/>
  <dc:description/>
  <cp:lastModifiedBy>Angel Tapia B.</cp:lastModifiedBy>
  <cp:revision/>
  <dcterms:created xsi:type="dcterms:W3CDTF">2021-06-07T19:39:54Z</dcterms:created>
  <dcterms:modified xsi:type="dcterms:W3CDTF">2026-02-16T19:00:57Z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0x010100EC8CF441430ACE428A1ED4345CB9FA3F</vt:lpwstr>
  </property>
  <property fmtid="{D5CDD505-2E9C-101B-9397-08002B2CF9AE}" pid="3" name="MediaServiceImageTags">
    <vt:lpwstr/>
  </property>
</Properties>
</file>
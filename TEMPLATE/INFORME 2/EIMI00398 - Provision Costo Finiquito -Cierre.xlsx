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INFORME 2\"/>
    </mc:Choice>
  </mc:AlternateContent>
  <xr:revisionPtr revIDLastSave="0" documentId="13_ncr:1_{39278ED6-949E-41A1-B74B-D950E5B89025}" xr6:coauthVersionLast="47" xr6:coauthVersionMax="47" xr10:uidLastSave="{00000000-0000-0000-0000-000000000000}"/>
  <bookViews>
    <workbookView xWindow="-28920" yWindow="855" windowWidth="29040" windowHeight="15720" xr2:uid="{041B175F-69D0-4BC3-9A09-DF862F0DDC2C}"/>
  </bookViews>
  <sheets>
    <sheet name="Provisión" sheetId="1" r:id="rId1"/>
    <sheet name="HOJA DE CALCULO" sheetId="2" r:id="rId2"/>
    <sheet name="Hoja3" sheetId="3" state="hidden" r:id="rId3"/>
  </sheets>
  <externalReferences>
    <externalReference r:id="rId4"/>
  </externalReferences>
  <definedNames>
    <definedName name="_xlnm._FilterDatabase" localSheetId="1" hidden="1">'HOJA DE CALCULO'!$A$5:$AO$1045754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2" i="1"/>
  <c r="W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2" i="1"/>
  <c r="Y66" i="1" l="1"/>
  <c r="Y67" i="1"/>
  <c r="Y68" i="1"/>
  <c r="Y69" i="1"/>
  <c r="Y70" i="1"/>
  <c r="Y71" i="1"/>
  <c r="Y72" i="1"/>
  <c r="Y73" i="1"/>
  <c r="W66" i="1"/>
  <c r="W67" i="1"/>
  <c r="W68" i="1"/>
  <c r="W69" i="1"/>
  <c r="W70" i="1"/>
  <c r="W71" i="1"/>
  <c r="W72" i="1"/>
  <c r="W73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2" i="1"/>
  <c r="Y65" i="1" l="1"/>
  <c r="W65" i="1"/>
  <c r="Y64" i="1"/>
  <c r="W64" i="1"/>
  <c r="Y63" i="1"/>
  <c r="W63" i="1"/>
  <c r="Y62" i="1"/>
  <c r="W62" i="1"/>
  <c r="Y61" i="1"/>
  <c r="W61" i="1"/>
  <c r="Y60" i="1"/>
  <c r="W60" i="1"/>
  <c r="Y59" i="1"/>
  <c r="W59" i="1"/>
  <c r="Y58" i="1"/>
  <c r="W58" i="1"/>
  <c r="Y57" i="1"/>
  <c r="W57" i="1"/>
  <c r="Y56" i="1"/>
  <c r="W56" i="1"/>
  <c r="Y55" i="1"/>
  <c r="W55" i="1"/>
  <c r="Y54" i="1"/>
  <c r="W54" i="1"/>
  <c r="Y53" i="1"/>
  <c r="W53" i="1"/>
  <c r="Y52" i="1"/>
  <c r="W52" i="1"/>
  <c r="Y51" i="1"/>
  <c r="W51" i="1"/>
  <c r="Y50" i="1"/>
  <c r="W50" i="1"/>
  <c r="M67" i="1"/>
  <c r="M68" i="1"/>
  <c r="M69" i="1"/>
  <c r="M70" i="1"/>
  <c r="M71" i="1"/>
  <c r="M72" i="1"/>
  <c r="M73" i="1"/>
  <c r="N73" i="1" l="1"/>
  <c r="P73" i="1" s="1"/>
  <c r="X73" i="1" s="1"/>
  <c r="Z73" i="1"/>
  <c r="N72" i="1"/>
  <c r="P72" i="1" s="1"/>
  <c r="X72" i="1" s="1"/>
  <c r="Z72" i="1"/>
  <c r="N67" i="1"/>
  <c r="P67" i="1" s="1"/>
  <c r="X67" i="1" s="1"/>
  <c r="Z67" i="1"/>
  <c r="N70" i="1"/>
  <c r="P70" i="1" s="1"/>
  <c r="X70" i="1" s="1"/>
  <c r="Z70" i="1"/>
  <c r="N71" i="1"/>
  <c r="P71" i="1" s="1"/>
  <c r="X71" i="1" s="1"/>
  <c r="Z71" i="1"/>
  <c r="N69" i="1"/>
  <c r="P69" i="1" s="1"/>
  <c r="X69" i="1" s="1"/>
  <c r="Z69" i="1"/>
  <c r="N68" i="1"/>
  <c r="P68" i="1" s="1"/>
  <c r="X68" i="1" s="1"/>
  <c r="Z68" i="1"/>
  <c r="M56" i="1"/>
  <c r="M57" i="1"/>
  <c r="M58" i="1"/>
  <c r="M59" i="1"/>
  <c r="M60" i="1"/>
  <c r="M61" i="1"/>
  <c r="M62" i="1"/>
  <c r="M63" i="1"/>
  <c r="M64" i="1"/>
  <c r="M65" i="1"/>
  <c r="M66" i="1"/>
  <c r="M55" i="1"/>
  <c r="M54" i="1"/>
  <c r="M53" i="1"/>
  <c r="M52" i="1"/>
  <c r="M51" i="1"/>
  <c r="M50" i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M2" i="1"/>
  <c r="AA67" i="1" l="1"/>
  <c r="AA68" i="1"/>
  <c r="AA70" i="1"/>
  <c r="N66" i="1"/>
  <c r="P66" i="1" s="1"/>
  <c r="X66" i="1" s="1"/>
  <c r="Z66" i="1"/>
  <c r="AA69" i="1"/>
  <c r="AA72" i="1"/>
  <c r="AA71" i="1"/>
  <c r="AA73" i="1"/>
  <c r="N65" i="1"/>
  <c r="P65" i="1" s="1"/>
  <c r="X65" i="1" s="1"/>
  <c r="Z65" i="1"/>
  <c r="N63" i="1"/>
  <c r="P63" i="1" s="1"/>
  <c r="X63" i="1" s="1"/>
  <c r="Z63" i="1"/>
  <c r="N52" i="1"/>
  <c r="Z52" i="1"/>
  <c r="N62" i="1"/>
  <c r="P62" i="1" s="1"/>
  <c r="X62" i="1" s="1"/>
  <c r="Z62" i="1"/>
  <c r="N57" i="1"/>
  <c r="P57" i="1" s="1"/>
  <c r="X57" i="1" s="1"/>
  <c r="Z57" i="1"/>
  <c r="N51" i="1"/>
  <c r="Z51" i="1"/>
  <c r="N53" i="1"/>
  <c r="Z53" i="1"/>
  <c r="N61" i="1"/>
  <c r="P61" i="1" s="1"/>
  <c r="X61" i="1" s="1"/>
  <c r="Z61" i="1"/>
  <c r="N60" i="1"/>
  <c r="P60" i="1" s="1"/>
  <c r="X60" i="1" s="1"/>
  <c r="Z60" i="1"/>
  <c r="N59" i="1"/>
  <c r="P59" i="1" s="1"/>
  <c r="X59" i="1" s="1"/>
  <c r="Z59" i="1"/>
  <c r="N58" i="1"/>
  <c r="P58" i="1" s="1"/>
  <c r="X58" i="1" s="1"/>
  <c r="Z58" i="1"/>
  <c r="N55" i="1"/>
  <c r="Z55" i="1"/>
  <c r="N50" i="1"/>
  <c r="Z50" i="1"/>
  <c r="N64" i="1"/>
  <c r="P64" i="1" s="1"/>
  <c r="X64" i="1" s="1"/>
  <c r="Z64" i="1"/>
  <c r="N56" i="1"/>
  <c r="P56" i="1" s="1"/>
  <c r="X56" i="1" s="1"/>
  <c r="Z56" i="1"/>
  <c r="N2" i="1"/>
  <c r="N54" i="1"/>
  <c r="Z54" i="1"/>
  <c r="Y49" i="1"/>
  <c r="Z49" i="1" s="1"/>
  <c r="W49" i="1"/>
  <c r="Y48" i="1"/>
  <c r="Z48" i="1" s="1"/>
  <c r="W48" i="1"/>
  <c r="Y47" i="1"/>
  <c r="Z47" i="1" s="1"/>
  <c r="W47" i="1"/>
  <c r="Y46" i="1"/>
  <c r="Z46" i="1" s="1"/>
  <c r="W46" i="1"/>
  <c r="Y45" i="1"/>
  <c r="Z45" i="1" s="1"/>
  <c r="W45" i="1"/>
  <c r="Y44" i="1"/>
  <c r="Z44" i="1" s="1"/>
  <c r="W44" i="1"/>
  <c r="Y43" i="1"/>
  <c r="Z43" i="1" s="1"/>
  <c r="W43" i="1"/>
  <c r="Y42" i="1"/>
  <c r="Z42" i="1" s="1"/>
  <c r="W42" i="1"/>
  <c r="Y41" i="1"/>
  <c r="Z41" i="1" s="1"/>
  <c r="W41" i="1"/>
  <c r="Y40" i="1"/>
  <c r="Z40" i="1" s="1"/>
  <c r="W40" i="1"/>
  <c r="Y39" i="1"/>
  <c r="Z39" i="1" s="1"/>
  <c r="W39" i="1"/>
  <c r="Y38" i="1"/>
  <c r="Z38" i="1" s="1"/>
  <c r="W38" i="1"/>
  <c r="Y37" i="1"/>
  <c r="Z37" i="1" s="1"/>
  <c r="W37" i="1"/>
  <c r="Y36" i="1"/>
  <c r="Z36" i="1" s="1"/>
  <c r="W36" i="1"/>
  <c r="Y35" i="1"/>
  <c r="Z35" i="1" s="1"/>
  <c r="W35" i="1"/>
  <c r="AA66" i="1" l="1"/>
  <c r="AA60" i="1"/>
  <c r="AA57" i="1"/>
  <c r="AA65" i="1"/>
  <c r="AA61" i="1"/>
  <c r="AA62" i="1"/>
  <c r="AA56" i="1"/>
  <c r="AA58" i="1"/>
  <c r="AA64" i="1"/>
  <c r="AA59" i="1"/>
  <c r="AA63" i="1"/>
  <c r="Q71" i="2"/>
  <c r="P55" i="1" l="1"/>
  <c r="X55" i="1" s="1"/>
  <c r="AA55" i="1" s="1"/>
  <c r="P54" i="1"/>
  <c r="X54" i="1" s="1"/>
  <c r="AA54" i="1" s="1"/>
  <c r="P53" i="1"/>
  <c r="X53" i="1" s="1"/>
  <c r="AA53" i="1" s="1"/>
  <c r="P52" i="1"/>
  <c r="X52" i="1" s="1"/>
  <c r="AA52" i="1" s="1"/>
  <c r="P51" i="1"/>
  <c r="X51" i="1" s="1"/>
  <c r="AA51" i="1" s="1"/>
  <c r="P50" i="1"/>
  <c r="X50" i="1" s="1"/>
  <c r="AA50" i="1" s="1"/>
  <c r="P49" i="1"/>
  <c r="X49" i="1" s="1"/>
  <c r="AA49" i="1" s="1"/>
  <c r="P48" i="1"/>
  <c r="X48" i="1" s="1"/>
  <c r="AA48" i="1" s="1"/>
  <c r="P47" i="1"/>
  <c r="X47" i="1" s="1"/>
  <c r="AA47" i="1" s="1"/>
  <c r="P46" i="1"/>
  <c r="X46" i="1" s="1"/>
  <c r="AA46" i="1" s="1"/>
  <c r="P45" i="1"/>
  <c r="X45" i="1" s="1"/>
  <c r="AA45" i="1" s="1"/>
  <c r="P44" i="1"/>
  <c r="X44" i="1" s="1"/>
  <c r="AA44" i="1" s="1"/>
  <c r="P43" i="1"/>
  <c r="X43" i="1" s="1"/>
  <c r="AA43" i="1" s="1"/>
  <c r="P42" i="1"/>
  <c r="X42" i="1" s="1"/>
  <c r="AA42" i="1" s="1"/>
  <c r="P41" i="1"/>
  <c r="X41" i="1" s="1"/>
  <c r="AA41" i="1" s="1"/>
  <c r="P40" i="1"/>
  <c r="X40" i="1" s="1"/>
  <c r="AA40" i="1" s="1"/>
  <c r="P39" i="1"/>
  <c r="X39" i="1" s="1"/>
  <c r="AA39" i="1" s="1"/>
  <c r="P38" i="1"/>
  <c r="X38" i="1" s="1"/>
  <c r="AA38" i="1" s="1"/>
  <c r="P37" i="1"/>
  <c r="X37" i="1" s="1"/>
  <c r="AA37" i="1" s="1"/>
  <c r="P36" i="1"/>
  <c r="X36" i="1" s="1"/>
  <c r="AA36" i="1" s="1"/>
  <c r="P35" i="1"/>
  <c r="X35" i="1" s="1"/>
  <c r="AA35" i="1" s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X2" i="1" s="1"/>
  <c r="M60" i="2"/>
  <c r="N60" i="2" s="1"/>
  <c r="O60" i="2" s="1"/>
  <c r="M59" i="2"/>
  <c r="N59" i="2" s="1"/>
  <c r="O59" i="2" s="1"/>
  <c r="M58" i="2"/>
  <c r="N58" i="2" s="1"/>
  <c r="O58" i="2" s="1"/>
  <c r="M57" i="2"/>
  <c r="N57" i="2" s="1"/>
  <c r="O57" i="2" s="1"/>
  <c r="M56" i="2"/>
  <c r="N56" i="2" s="1"/>
  <c r="O56" i="2" s="1"/>
  <c r="M55" i="2"/>
  <c r="N55" i="2" s="1"/>
  <c r="O55" i="2" s="1"/>
  <c r="M54" i="2"/>
  <c r="N54" i="2" s="1"/>
  <c r="O54" i="2" s="1"/>
  <c r="M53" i="2"/>
  <c r="N53" i="2" s="1"/>
  <c r="O53" i="2" s="1"/>
  <c r="M52" i="2"/>
  <c r="N52" i="2" s="1"/>
  <c r="O52" i="2" s="1"/>
  <c r="M51" i="2"/>
  <c r="N51" i="2" s="1"/>
  <c r="O51" i="2" s="1"/>
  <c r="M50" i="2"/>
  <c r="N50" i="2" s="1"/>
  <c r="O50" i="2" s="1"/>
  <c r="M49" i="2"/>
  <c r="N49" i="2" s="1"/>
  <c r="O49" i="2" s="1"/>
  <c r="M48" i="2"/>
  <c r="N48" i="2" s="1"/>
  <c r="O48" i="2" s="1"/>
  <c r="M47" i="2"/>
  <c r="N47" i="2" s="1"/>
  <c r="O47" i="2" s="1"/>
  <c r="M46" i="2"/>
  <c r="N46" i="2" s="1"/>
  <c r="O46" i="2" s="1"/>
  <c r="M45" i="2"/>
  <c r="N45" i="2" s="1"/>
  <c r="O45" i="2" s="1"/>
  <c r="M44" i="2"/>
  <c r="N44" i="2" s="1"/>
  <c r="O44" i="2" s="1"/>
  <c r="M43" i="2"/>
  <c r="N43" i="2" s="1"/>
  <c r="O43" i="2" s="1"/>
  <c r="M42" i="2"/>
  <c r="N42" i="2" s="1"/>
  <c r="O42" i="2" s="1"/>
  <c r="M41" i="2"/>
  <c r="N41" i="2" s="1"/>
  <c r="O41" i="2" s="1"/>
  <c r="M40" i="2"/>
  <c r="N40" i="2" s="1"/>
  <c r="O40" i="2" s="1"/>
  <c r="M39" i="2"/>
  <c r="N39" i="2" s="1"/>
  <c r="O39" i="2" s="1"/>
  <c r="M38" i="2"/>
  <c r="N38" i="2" s="1"/>
  <c r="O38" i="2" s="1"/>
  <c r="Q38" i="2" s="1"/>
  <c r="M37" i="2"/>
  <c r="N37" i="2" s="1"/>
  <c r="O37" i="2" s="1"/>
  <c r="Q37" i="2" s="1"/>
  <c r="M36" i="2"/>
  <c r="N36" i="2" s="1"/>
  <c r="O36" i="2" s="1"/>
  <c r="Q36" i="2" s="1"/>
  <c r="M35" i="2"/>
  <c r="N35" i="2" s="1"/>
  <c r="O35" i="2" s="1"/>
  <c r="M34" i="2"/>
  <c r="N34" i="2" s="1"/>
  <c r="O34" i="2" s="1"/>
  <c r="M33" i="2"/>
  <c r="N33" i="2" s="1"/>
  <c r="O33" i="2" s="1"/>
  <c r="M32" i="2"/>
  <c r="N32" i="2" s="1"/>
  <c r="O32" i="2" s="1"/>
  <c r="M31" i="2"/>
  <c r="N31" i="2" s="1"/>
  <c r="O31" i="2" s="1"/>
  <c r="M30" i="2"/>
  <c r="N30" i="2" s="1"/>
  <c r="O30" i="2" s="1"/>
  <c r="M29" i="2"/>
  <c r="N29" i="2" s="1"/>
  <c r="O29" i="2" s="1"/>
  <c r="M28" i="2"/>
  <c r="N28" i="2" s="1"/>
  <c r="O28" i="2" s="1"/>
  <c r="M27" i="2"/>
  <c r="N27" i="2" s="1"/>
  <c r="O27" i="2" s="1"/>
  <c r="M26" i="2"/>
  <c r="N26" i="2" s="1"/>
  <c r="O26" i="2" s="1"/>
  <c r="M25" i="2"/>
  <c r="N25" i="2" s="1"/>
  <c r="O25" i="2" s="1"/>
  <c r="M24" i="2"/>
  <c r="N24" i="2" s="1"/>
  <c r="O24" i="2" s="1"/>
  <c r="M23" i="2"/>
  <c r="N23" i="2" s="1"/>
  <c r="O23" i="2" s="1"/>
  <c r="M22" i="2"/>
  <c r="N22" i="2" s="1"/>
  <c r="O22" i="2" s="1"/>
  <c r="M21" i="2"/>
  <c r="N21" i="2" s="1"/>
  <c r="O21" i="2" s="1"/>
  <c r="M20" i="2"/>
  <c r="N20" i="2" s="1"/>
  <c r="O20" i="2" s="1"/>
  <c r="M19" i="2"/>
  <c r="N19" i="2" s="1"/>
  <c r="O19" i="2" s="1"/>
  <c r="M18" i="2"/>
  <c r="N18" i="2" s="1"/>
  <c r="O18" i="2" s="1"/>
  <c r="M17" i="2"/>
  <c r="N17" i="2" s="1"/>
  <c r="O17" i="2" s="1"/>
  <c r="M16" i="2"/>
  <c r="N16" i="2" s="1"/>
  <c r="O16" i="2" s="1"/>
  <c r="M15" i="2"/>
  <c r="N15" i="2" s="1"/>
  <c r="O15" i="2" s="1"/>
  <c r="M14" i="2"/>
  <c r="N14" i="2" s="1"/>
  <c r="O14" i="2" s="1"/>
  <c r="M13" i="2"/>
  <c r="N13" i="2" s="1"/>
  <c r="O13" i="2" s="1"/>
  <c r="M12" i="2"/>
  <c r="N12" i="2" s="1"/>
  <c r="O12" i="2" s="1"/>
  <c r="M11" i="2"/>
  <c r="N11" i="2" s="1"/>
  <c r="O11" i="2" s="1"/>
  <c r="M10" i="2"/>
  <c r="N10" i="2" s="1"/>
  <c r="O10" i="2" s="1"/>
  <c r="M9" i="2"/>
  <c r="N9" i="2" s="1"/>
  <c r="O9" i="2" s="1"/>
  <c r="M8" i="2"/>
  <c r="N8" i="2" s="1"/>
  <c r="O8" i="2" s="1"/>
  <c r="M7" i="2"/>
  <c r="N7" i="2" s="1"/>
  <c r="O7" i="2" s="1"/>
  <c r="M6" i="2"/>
  <c r="N6" i="2" s="1"/>
  <c r="O6" i="2" s="1"/>
  <c r="W25" i="1" l="1"/>
  <c r="W24" i="1"/>
  <c r="W20" i="1"/>
  <c r="W18" i="1"/>
  <c r="X18" i="1" s="1"/>
  <c r="W14" i="1"/>
  <c r="W12" i="1"/>
  <c r="W10" i="1"/>
  <c r="X10" i="1" s="1"/>
  <c r="W8" i="1"/>
  <c r="W7" i="1"/>
  <c r="W4" i="1"/>
  <c r="W3" i="1"/>
  <c r="Y34" i="1"/>
  <c r="Z34" i="1" s="1"/>
  <c r="Y33" i="1"/>
  <c r="Y32" i="1"/>
  <c r="W32" i="1"/>
  <c r="Y31" i="1"/>
  <c r="Y30" i="1"/>
  <c r="Y29" i="1"/>
  <c r="Y28" i="1"/>
  <c r="W28" i="1"/>
  <c r="Y27" i="1"/>
  <c r="Y26" i="1"/>
  <c r="Y25" i="1"/>
  <c r="Y24" i="1"/>
  <c r="Y23" i="1"/>
  <c r="Y22" i="1"/>
  <c r="Y21" i="1"/>
  <c r="W21" i="1"/>
  <c r="Y20" i="1"/>
  <c r="Y19" i="1"/>
  <c r="Y18" i="1"/>
  <c r="Z18" i="1" s="1"/>
  <c r="Y17" i="1"/>
  <c r="Y16" i="1"/>
  <c r="W16" i="1"/>
  <c r="X16" i="1" s="1"/>
  <c r="Y15" i="1"/>
  <c r="Y14" i="1"/>
  <c r="Y13" i="1"/>
  <c r="Y12" i="1"/>
  <c r="Y11" i="1"/>
  <c r="Y10" i="1"/>
  <c r="Z10" i="1" s="1"/>
  <c r="Y9" i="1"/>
  <c r="Y8" i="1"/>
  <c r="Y7" i="1"/>
  <c r="Y6" i="1"/>
  <c r="Z6" i="1" s="1"/>
  <c r="Y5" i="1"/>
  <c r="Y4" i="1"/>
  <c r="Y3" i="1"/>
  <c r="Y2" i="1"/>
  <c r="Z2" i="1" s="1"/>
  <c r="Z38" i="2"/>
  <c r="Z37" i="2"/>
  <c r="Z36" i="2"/>
  <c r="AA10" i="1" l="1"/>
  <c r="AA18" i="1"/>
  <c r="X3" i="1"/>
  <c r="X12" i="1"/>
  <c r="X25" i="1"/>
  <c r="W26" i="1"/>
  <c r="X26" i="1" s="1"/>
  <c r="W29" i="1"/>
  <c r="X29" i="1" s="1"/>
  <c r="W31" i="1"/>
  <c r="X31" i="1" s="1"/>
  <c r="Z16" i="1"/>
  <c r="AA16" i="1" s="1"/>
  <c r="W9" i="1"/>
  <c r="X9" i="1" s="1"/>
  <c r="W19" i="1"/>
  <c r="X19" i="1" s="1"/>
  <c r="W30" i="1"/>
  <c r="X30" i="1" s="1"/>
  <c r="W34" i="1"/>
  <c r="X34" i="1" s="1"/>
  <c r="AA34" i="1" s="1"/>
  <c r="Z23" i="1"/>
  <c r="Z7" i="1"/>
  <c r="Z24" i="1"/>
  <c r="Z31" i="1"/>
  <c r="W17" i="1"/>
  <c r="X17" i="1" s="1"/>
  <c r="W33" i="1"/>
  <c r="X33" i="1" s="1"/>
  <c r="Z8" i="1"/>
  <c r="X21" i="1"/>
  <c r="W6" i="1"/>
  <c r="X6" i="1" s="1"/>
  <c r="AA6" i="1" s="1"/>
  <c r="W22" i="1"/>
  <c r="X22" i="1" s="1"/>
  <c r="W23" i="1"/>
  <c r="X23" i="1" s="1"/>
  <c r="X4" i="1"/>
  <c r="X8" i="1"/>
  <c r="W11" i="1"/>
  <c r="X11" i="1" s="1"/>
  <c r="W15" i="1"/>
  <c r="X15" i="1" s="1"/>
  <c r="X20" i="1"/>
  <c r="X24" i="1"/>
  <c r="W27" i="1"/>
  <c r="X27" i="1" s="1"/>
  <c r="Z19" i="1"/>
  <c r="Z26" i="1"/>
  <c r="Z32" i="1"/>
  <c r="X28" i="1"/>
  <c r="X7" i="1"/>
  <c r="W5" i="1"/>
  <c r="X5" i="1" s="1"/>
  <c r="W13" i="1"/>
  <c r="X13" i="1" s="1"/>
  <c r="X32" i="1"/>
  <c r="Z15" i="1"/>
  <c r="X14" i="1"/>
  <c r="Z30" i="1"/>
  <c r="Z9" i="1"/>
  <c r="Z13" i="1"/>
  <c r="Z20" i="1"/>
  <c r="Z27" i="1"/>
  <c r="Z12" i="1"/>
  <c r="Z3" i="1"/>
  <c r="Z17" i="1"/>
  <c r="Z5" i="1"/>
  <c r="Z21" i="1"/>
  <c r="Z28" i="1"/>
  <c r="Z33" i="1"/>
  <c r="Z14" i="1"/>
  <c r="Z25" i="1"/>
  <c r="Z29" i="1"/>
  <c r="Z4" i="1"/>
  <c r="Z11" i="1"/>
  <c r="Z22" i="1"/>
  <c r="X38" i="2"/>
  <c r="Y38" i="2" s="1"/>
  <c r="X20" i="2"/>
  <c r="X37" i="2"/>
  <c r="Y37" i="2" s="1"/>
  <c r="X36" i="2"/>
  <c r="Y36" i="2" s="1"/>
  <c r="AA38" i="2"/>
  <c r="AA36" i="2"/>
  <c r="AA37" i="2"/>
  <c r="X29" i="2"/>
  <c r="X32" i="2"/>
  <c r="X27" i="2"/>
  <c r="X19" i="2"/>
  <c r="X11" i="2"/>
  <c r="X31" i="2"/>
  <c r="X7" i="2"/>
  <c r="X17" i="2"/>
  <c r="X24" i="2"/>
  <c r="X16" i="2"/>
  <c r="X8" i="2"/>
  <c r="X25" i="2"/>
  <c r="X15" i="2"/>
  <c r="X23" i="2"/>
  <c r="X21" i="2"/>
  <c r="X12" i="2"/>
  <c r="X13" i="2"/>
  <c r="X33" i="2"/>
  <c r="X34" i="2"/>
  <c r="X28" i="2"/>
  <c r="X10" i="2"/>
  <c r="X26" i="2"/>
  <c r="X18" i="2"/>
  <c r="X9" i="2"/>
  <c r="X35" i="2"/>
  <c r="X30" i="2"/>
  <c r="X22" i="2"/>
  <c r="X14" i="2"/>
  <c r="AA7" i="1" l="1"/>
  <c r="AA15" i="1"/>
  <c r="AA32" i="1"/>
  <c r="AA30" i="1"/>
  <c r="AA4" i="1"/>
  <c r="AA2" i="1"/>
  <c r="AA17" i="1"/>
  <c r="AA14" i="1"/>
  <c r="AA24" i="1"/>
  <c r="AA27" i="1"/>
  <c r="AA22" i="1"/>
  <c r="AA11" i="1"/>
  <c r="AA20" i="1"/>
  <c r="AA5" i="1"/>
  <c r="AA25" i="1"/>
  <c r="AA23" i="1"/>
  <c r="AA19" i="1"/>
  <c r="AA12" i="1"/>
  <c r="AA28" i="1"/>
  <c r="AA8" i="1"/>
  <c r="AA21" i="1"/>
  <c r="AA9" i="1"/>
  <c r="AA31" i="1"/>
  <c r="AA3" i="1"/>
  <c r="AA29" i="1"/>
  <c r="AA13" i="1"/>
  <c r="AA33" i="1"/>
  <c r="AA26" i="1"/>
  <c r="AH60" i="2"/>
  <c r="Q60" i="2" s="1"/>
  <c r="AC60" i="2"/>
  <c r="X60" i="2"/>
  <c r="Z60" i="2"/>
  <c r="AH59" i="2"/>
  <c r="Q59" i="2" s="1"/>
  <c r="AC59" i="2"/>
  <c r="X59" i="2"/>
  <c r="Z59" i="2"/>
  <c r="AH58" i="2"/>
  <c r="Q58" i="2" s="1"/>
  <c r="AC58" i="2"/>
  <c r="X58" i="2"/>
  <c r="Z58" i="2"/>
  <c r="AH57" i="2"/>
  <c r="Q57" i="2" s="1"/>
  <c r="AC57" i="2"/>
  <c r="X57" i="2"/>
  <c r="Z57" i="2"/>
  <c r="AH56" i="2"/>
  <c r="Q56" i="2" s="1"/>
  <c r="AC56" i="2"/>
  <c r="X56" i="2"/>
  <c r="Z56" i="2"/>
  <c r="AH55" i="2"/>
  <c r="Q55" i="2" s="1"/>
  <c r="AC55" i="2"/>
  <c r="X55" i="2"/>
  <c r="Z55" i="2"/>
  <c r="AH54" i="2"/>
  <c r="Q54" i="2" s="1"/>
  <c r="AC54" i="2"/>
  <c r="X54" i="2"/>
  <c r="Z54" i="2"/>
  <c r="AH53" i="2"/>
  <c r="Q53" i="2" s="1"/>
  <c r="AC53" i="2"/>
  <c r="X53" i="2"/>
  <c r="Z53" i="2"/>
  <c r="AH52" i="2"/>
  <c r="Q52" i="2" s="1"/>
  <c r="AC52" i="2"/>
  <c r="X52" i="2"/>
  <c r="Z52" i="2"/>
  <c r="AH51" i="2"/>
  <c r="Q51" i="2" s="1"/>
  <c r="AC51" i="2"/>
  <c r="X51" i="2"/>
  <c r="Z51" i="2"/>
  <c r="AH50" i="2"/>
  <c r="Q50" i="2" s="1"/>
  <c r="AC50" i="2"/>
  <c r="X50" i="2"/>
  <c r="Z50" i="2"/>
  <c r="AH49" i="2"/>
  <c r="Q49" i="2" s="1"/>
  <c r="AC49" i="2"/>
  <c r="X49" i="2"/>
  <c r="Z49" i="2"/>
  <c r="AH48" i="2"/>
  <c r="Q48" i="2" s="1"/>
  <c r="AC48" i="2"/>
  <c r="X48" i="2"/>
  <c r="Z48" i="2"/>
  <c r="AH47" i="2"/>
  <c r="Q47" i="2" s="1"/>
  <c r="AC47" i="2"/>
  <c r="X47" i="2"/>
  <c r="Z47" i="2"/>
  <c r="AH46" i="2"/>
  <c r="Q46" i="2" s="1"/>
  <c r="AC46" i="2"/>
  <c r="X46" i="2"/>
  <c r="Z46" i="2"/>
  <c r="AH45" i="2"/>
  <c r="Q45" i="2" s="1"/>
  <c r="AC45" i="2"/>
  <c r="X45" i="2"/>
  <c r="Z45" i="2"/>
  <c r="AH44" i="2"/>
  <c r="Q44" i="2" s="1"/>
  <c r="AC44" i="2"/>
  <c r="X44" i="2"/>
  <c r="Z44" i="2"/>
  <c r="AH43" i="2"/>
  <c r="Q43" i="2" s="1"/>
  <c r="AC43" i="2"/>
  <c r="X43" i="2"/>
  <c r="Z43" i="2"/>
  <c r="AH42" i="2"/>
  <c r="Q42" i="2" s="1"/>
  <c r="AC42" i="2"/>
  <c r="X42" i="2"/>
  <c r="Z42" i="2"/>
  <c r="AH41" i="2"/>
  <c r="Q41" i="2" s="1"/>
  <c r="AC41" i="2"/>
  <c r="X41" i="2"/>
  <c r="Z41" i="2"/>
  <c r="AH40" i="2"/>
  <c r="Q40" i="2" s="1"/>
  <c r="AC40" i="2"/>
  <c r="X40" i="2"/>
  <c r="Z40" i="2"/>
  <c r="AH39" i="2"/>
  <c r="Q39" i="2" s="1"/>
  <c r="AC39" i="2"/>
  <c r="X39" i="2"/>
  <c r="Z39" i="2"/>
  <c r="AH35" i="2"/>
  <c r="Z35" i="2"/>
  <c r="AA35" i="2" s="1"/>
  <c r="AH34" i="2"/>
  <c r="Z34" i="2"/>
  <c r="AA34" i="2" s="1"/>
  <c r="AH33" i="2"/>
  <c r="Z33" i="2"/>
  <c r="AA33" i="2" s="1"/>
  <c r="AH32" i="2"/>
  <c r="Z32" i="2"/>
  <c r="AA32" i="2" s="1"/>
  <c r="AH31" i="2"/>
  <c r="Q31" i="2" s="1"/>
  <c r="Z31" i="2"/>
  <c r="AH30" i="2"/>
  <c r="Q30" i="2" s="1"/>
  <c r="Z30" i="2"/>
  <c r="AH29" i="2"/>
  <c r="Q29" i="2" s="1"/>
  <c r="Z29" i="2"/>
  <c r="AH28" i="2"/>
  <c r="Q28" i="2" s="1"/>
  <c r="Z28" i="2"/>
  <c r="AH27" i="2"/>
  <c r="Q27" i="2" s="1"/>
  <c r="Z27" i="2"/>
  <c r="AH26" i="2"/>
  <c r="Q26" i="2" s="1"/>
  <c r="Z26" i="2"/>
  <c r="AH25" i="2"/>
  <c r="Q25" i="2" s="1"/>
  <c r="Z25" i="2"/>
  <c r="AH24" i="2"/>
  <c r="Q24" i="2" s="1"/>
  <c r="Z24" i="2"/>
  <c r="AH23" i="2"/>
  <c r="Q23" i="2" s="1"/>
  <c r="Z23" i="2"/>
  <c r="AH22" i="2"/>
  <c r="Q22" i="2" s="1"/>
  <c r="Z22" i="2"/>
  <c r="AH21" i="2"/>
  <c r="Q21" i="2" s="1"/>
  <c r="Z21" i="2"/>
  <c r="AH20" i="2"/>
  <c r="Q20" i="2" s="1"/>
  <c r="Z20" i="2"/>
  <c r="AH19" i="2"/>
  <c r="Q19" i="2" s="1"/>
  <c r="Z19" i="2"/>
  <c r="AH18" i="2"/>
  <c r="Q18" i="2" s="1"/>
  <c r="Z18" i="2"/>
  <c r="AH17" i="2"/>
  <c r="Q17" i="2" s="1"/>
  <c r="Z17" i="2"/>
  <c r="AH16" i="2"/>
  <c r="Q16" i="2" s="1"/>
  <c r="Z16" i="2"/>
  <c r="AH15" i="2"/>
  <c r="Q15" i="2" s="1"/>
  <c r="Z15" i="2"/>
  <c r="AH14" i="2"/>
  <c r="Q14" i="2" s="1"/>
  <c r="Z14" i="2"/>
  <c r="AH13" i="2"/>
  <c r="Q13" i="2" s="1"/>
  <c r="AC13" i="2"/>
  <c r="Z13" i="2"/>
  <c r="AH12" i="2"/>
  <c r="Q12" i="2" s="1"/>
  <c r="AC12" i="2"/>
  <c r="Z12" i="2"/>
  <c r="AH11" i="2"/>
  <c r="Q11" i="2" s="1"/>
  <c r="AC11" i="2"/>
  <c r="Z11" i="2"/>
  <c r="AH10" i="2"/>
  <c r="Q10" i="2" s="1"/>
  <c r="AC10" i="2"/>
  <c r="Z10" i="2"/>
  <c r="AH9" i="2"/>
  <c r="Q9" i="2" s="1"/>
  <c r="AC9" i="2"/>
  <c r="Z9" i="2"/>
  <c r="AH8" i="2"/>
  <c r="Q8" i="2" s="1"/>
  <c r="AC8" i="2"/>
  <c r="Z8" i="2"/>
  <c r="AH7" i="2"/>
  <c r="Q7" i="2" s="1"/>
  <c r="AC7" i="2"/>
  <c r="Z7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AH6" i="2"/>
  <c r="Q6" i="2" s="1"/>
  <c r="AC6" i="2"/>
  <c r="X6" i="2"/>
  <c r="Z6" i="2"/>
  <c r="AE2" i="2"/>
  <c r="AA2" i="2"/>
  <c r="Q34" i="2" l="1"/>
  <c r="Y34" i="2" s="1"/>
  <c r="Q35" i="2"/>
  <c r="Y35" i="2" s="1"/>
  <c r="Q32" i="2"/>
  <c r="Y32" i="2" s="1"/>
  <c r="Q33" i="2"/>
  <c r="Y33" i="2" s="1"/>
  <c r="AA39" i="2"/>
  <c r="Y8" i="2"/>
  <c r="AA18" i="2"/>
  <c r="AA19" i="2"/>
  <c r="Y28" i="2"/>
  <c r="AA47" i="2"/>
  <c r="AA51" i="2"/>
  <c r="Y17" i="2"/>
  <c r="AA50" i="2"/>
  <c r="AA24" i="2"/>
  <c r="AA11" i="2"/>
  <c r="AA25" i="2"/>
  <c r="AA9" i="2"/>
  <c r="Y12" i="2"/>
  <c r="AA7" i="2"/>
  <c r="AA49" i="2"/>
  <c r="AA13" i="2"/>
  <c r="AA45" i="2"/>
  <c r="AA14" i="2"/>
  <c r="AA15" i="2"/>
  <c r="AE43" i="2"/>
  <c r="AE45" i="2"/>
  <c r="AE47" i="2"/>
  <c r="AA53" i="2"/>
  <c r="AA6" i="2"/>
  <c r="Y10" i="2"/>
  <c r="Y20" i="2"/>
  <c r="Y29" i="2"/>
  <c r="AE42" i="2"/>
  <c r="AE44" i="2"/>
  <c r="AE46" i="2"/>
  <c r="AE7" i="2"/>
  <c r="Y21" i="2"/>
  <c r="AA48" i="2"/>
  <c r="Y14" i="2"/>
  <c r="Y19" i="2"/>
  <c r="Y9" i="2"/>
  <c r="Y25" i="2"/>
  <c r="AE8" i="2"/>
  <c r="AE11" i="2"/>
  <c r="AE40" i="2"/>
  <c r="AE39" i="2"/>
  <c r="AE41" i="2"/>
  <c r="AE10" i="2"/>
  <c r="AE13" i="2"/>
  <c r="AE6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9" i="2"/>
  <c r="AE12" i="2"/>
  <c r="Y49" i="2" l="1"/>
  <c r="Y13" i="2"/>
  <c r="Y24" i="2"/>
  <c r="Y18" i="2"/>
  <c r="Y45" i="2"/>
  <c r="Y53" i="2"/>
  <c r="Y15" i="2"/>
  <c r="Y23" i="2"/>
  <c r="AA23" i="2"/>
  <c r="AA20" i="2"/>
  <c r="AA52" i="2"/>
  <c r="Y42" i="2"/>
  <c r="AA42" i="2"/>
  <c r="Y16" i="2"/>
  <c r="AA16" i="2"/>
  <c r="AA40" i="2"/>
  <c r="Y41" i="2"/>
  <c r="AA41" i="2"/>
  <c r="AA55" i="2"/>
  <c r="AA17" i="2"/>
  <c r="Y22" i="2"/>
  <c r="AA22" i="2"/>
  <c r="Y30" i="2"/>
  <c r="AA30" i="2"/>
  <c r="AA29" i="2"/>
  <c r="AA56" i="2"/>
  <c r="Y27" i="2"/>
  <c r="AA27" i="2"/>
  <c r="AA58" i="2"/>
  <c r="Y26" i="2"/>
  <c r="AA26" i="2"/>
  <c r="Y43" i="2"/>
  <c r="AA43" i="2"/>
  <c r="Y31" i="2"/>
  <c r="AA31" i="2"/>
  <c r="AA21" i="2"/>
  <c r="AA60" i="2"/>
  <c r="AA59" i="2"/>
  <c r="Y46" i="2"/>
  <c r="AA46" i="2"/>
  <c r="Y54" i="2"/>
  <c r="AA54" i="2"/>
  <c r="Y57" i="2"/>
  <c r="AA57" i="2"/>
  <c r="AA28" i="2"/>
  <c r="AA44" i="2"/>
  <c r="Y48" i="2"/>
  <c r="AA12" i="2"/>
  <c r="AA8" i="2"/>
  <c r="Y11" i="2"/>
  <c r="Y6" i="2"/>
  <c r="Y7" i="2"/>
  <c r="AA10" i="2"/>
  <c r="Y39" i="2"/>
  <c r="Y51" i="2"/>
  <c r="Y59" i="2"/>
  <c r="Y40" i="2"/>
  <c r="Y47" i="2"/>
  <c r="Y55" i="2"/>
  <c r="Y52" i="2"/>
  <c r="Y50" i="2"/>
  <c r="Y56" i="2"/>
  <c r="Y58" i="2"/>
  <c r="Y60" i="2"/>
  <c r="Y44" i="2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</calcChain>
</file>

<file path=xl/sharedStrings.xml><?xml version="1.0" encoding="utf-8"?>
<sst xmlns="http://schemas.openxmlformats.org/spreadsheetml/2006/main" count="713" uniqueCount="280">
  <si>
    <t>VALOR</t>
  </si>
  <si>
    <t>VACAC. PROP.</t>
  </si>
  <si>
    <t>ITF</t>
  </si>
  <si>
    <t>TOTAL</t>
  </si>
  <si>
    <t>Nº</t>
  </si>
  <si>
    <t>CODIGO</t>
  </si>
  <si>
    <t>RUT</t>
  </si>
  <si>
    <t>NOMBRES</t>
  </si>
  <si>
    <t>CARGO</t>
  </si>
  <si>
    <t>F. INGRESO</t>
  </si>
  <si>
    <t>F. EGRESO</t>
  </si>
  <si>
    <t>MO</t>
  </si>
  <si>
    <t>SUBASE</t>
  </si>
  <si>
    <t xml:space="preserve">LIQPAC </t>
  </si>
  <si>
    <t xml:space="preserve">C. TERMINO </t>
  </si>
  <si>
    <t>DIAS</t>
  </si>
  <si>
    <t>DIAS/MES</t>
  </si>
  <si>
    <t>Ftvos.</t>
  </si>
  <si>
    <t>FERIADOS</t>
  </si>
  <si>
    <t xml:space="preserve">DIAS </t>
  </si>
  <si>
    <t>HABERES VAC</t>
  </si>
  <si>
    <t>DIA VAC</t>
  </si>
  <si>
    <t xml:space="preserve">ITF </t>
  </si>
  <si>
    <t>ASISTENTE ADMINISTRATIVO</t>
  </si>
  <si>
    <t>159 N° 5</t>
  </si>
  <si>
    <t>CHOFER DE SERVICIOS</t>
  </si>
  <si>
    <t>MAESTRO MAYOR MECANICO</t>
  </si>
  <si>
    <t>MAESTRO PRIMERA MECANICO</t>
  </si>
  <si>
    <t>PREVENCIONISTA DE RIESGOS</t>
  </si>
  <si>
    <t>TOPOGRAFO</t>
  </si>
  <si>
    <t>ALARIFE</t>
  </si>
  <si>
    <t>MAESTRO MAYOR CAÑERIA</t>
  </si>
  <si>
    <t>PLANILLA DE FINIQUITOS</t>
  </si>
  <si>
    <t>90 UF</t>
  </si>
  <si>
    <t>ASIST Y RESP</t>
  </si>
  <si>
    <t xml:space="preserve">DESCRIPCION OBRA  </t>
  </si>
  <si>
    <t>CUM METAS</t>
  </si>
  <si>
    <t xml:space="preserve">Nº CENTRO COSTO  </t>
  </si>
  <si>
    <t>MINIMO 3O DIAS</t>
  </si>
  <si>
    <t>BONO</t>
  </si>
  <si>
    <t>ASISTENCIA Y RESPONSAB CUAT CODELCO</t>
  </si>
  <si>
    <t>CUMPLIMIENTO DE METAS CODELCO</t>
  </si>
  <si>
    <t>VACACIONES 1</t>
  </si>
  <si>
    <t>VACACIONES 2</t>
  </si>
  <si>
    <t>MOI</t>
  </si>
  <si>
    <t>MOD</t>
  </si>
  <si>
    <t>14059701-5</t>
  </si>
  <si>
    <t>RUBIO  GALLEGOS HAROLDO ANDRES</t>
  </si>
  <si>
    <t>18855427-K</t>
  </si>
  <si>
    <t>FREDES HIDALGO GISSELA ANDREA</t>
  </si>
  <si>
    <t>11782803-4</t>
  </si>
  <si>
    <t>NAVARRETE ALVAREZ OSCAR ROBERTO</t>
  </si>
  <si>
    <t>20111874-3</t>
  </si>
  <si>
    <t>DEL VALLE QUEZADA MARIO ALEJANDRO</t>
  </si>
  <si>
    <t>19725999-K</t>
  </si>
  <si>
    <t>SEPULVEDA MONSALVE JUAN GUILLERMO</t>
  </si>
  <si>
    <t>18574070-6</t>
  </si>
  <si>
    <t>TORRES GUTIERREZ LEONARDO NICOLAS</t>
  </si>
  <si>
    <t>17322502-4</t>
  </si>
  <si>
    <t>VILLALOBOS ESPINOSA FABIAN EDUARDO</t>
  </si>
  <si>
    <t>16829810-2</t>
  </si>
  <si>
    <t>RIOS JARAMILLO VALERIA PAULETTE</t>
  </si>
  <si>
    <t>8557608-9</t>
  </si>
  <si>
    <t>CHAVEZ  PINCHEIRA  SEGUNDO OSVALDO</t>
  </si>
  <si>
    <t>18941392-0</t>
  </si>
  <si>
    <t xml:space="preserve">JULIO  FARIAS  PABLO ALEXANDER </t>
  </si>
  <si>
    <t>10767293-1</t>
  </si>
  <si>
    <t xml:space="preserve">SAGREDO  HERNANDEZ  TRANCITO TEODOMIRO </t>
  </si>
  <si>
    <t>15205099-2</t>
  </si>
  <si>
    <t xml:space="preserve">BARRA  PADILLA  RUBEN ORLANDO </t>
  </si>
  <si>
    <t>17421117-5</t>
  </si>
  <si>
    <t>TAPIA BECERRA ANGEL DARIO</t>
  </si>
  <si>
    <t>15449967-9</t>
  </si>
  <si>
    <t>URRA  FUENTEALBA  RENE ANDRES</t>
  </si>
  <si>
    <t>12696922-8</t>
  </si>
  <si>
    <t xml:space="preserve">CASTRO  PAREDES FRANCISCO JAVIER </t>
  </si>
  <si>
    <t>19373524-K</t>
  </si>
  <si>
    <t xml:space="preserve">ROMERO  VILLANUEVA  GERALDINE VICTORIA </t>
  </si>
  <si>
    <t>10518521-9</t>
  </si>
  <si>
    <t xml:space="preserve">VEGA  MORAGA MARCO ANDRES </t>
  </si>
  <si>
    <t>19530956-6</t>
  </si>
  <si>
    <t xml:space="preserve">SEMLER  REYES  GERALD MATIAS </t>
  </si>
  <si>
    <t>10254106-5</t>
  </si>
  <si>
    <t xml:space="preserve">PEREZ CEA  LAZARO JULIAN </t>
  </si>
  <si>
    <t>17862965-4</t>
  </si>
  <si>
    <t xml:space="preserve">ARELLANO  NOVA VICTOR NICOLAS </t>
  </si>
  <si>
    <t>12701671-2</t>
  </si>
  <si>
    <t xml:space="preserve">RAMIREZ  GONZALEZ  RODRIGO ALEJANDRO </t>
  </si>
  <si>
    <t>15196124-K</t>
  </si>
  <si>
    <t xml:space="preserve">SEPULVEDA PACHECO  NELSON ESTEBAN </t>
  </si>
  <si>
    <t>16284284-6</t>
  </si>
  <si>
    <t xml:space="preserve">NEIRA  IGLESIAS  DANIEL ALEJANDRO </t>
  </si>
  <si>
    <t>17207406-5</t>
  </si>
  <si>
    <t xml:space="preserve">QUIROZ  ARELLANO  PABLO RAINIERO </t>
  </si>
  <si>
    <t>10483229-6</t>
  </si>
  <si>
    <t xml:space="preserve">GARRIDO  HEREDSIA JUAN CARLOS </t>
  </si>
  <si>
    <t>10615332-9</t>
  </si>
  <si>
    <t xml:space="preserve">CONTRERAS  DASSE ROSA EVELINA </t>
  </si>
  <si>
    <t>11458086-4</t>
  </si>
  <si>
    <t>VASQUEZ  SALAMANCA MARIO ENRIQUE</t>
  </si>
  <si>
    <t>18815787-4</t>
  </si>
  <si>
    <t xml:space="preserve">BRIONES  BRIONES FRACISCO IGNACIO </t>
  </si>
  <si>
    <t>20911193-4</t>
  </si>
  <si>
    <t xml:space="preserve">URRA  LABRAÑA  MARTIN NICOLAS </t>
  </si>
  <si>
    <t>12703288-2</t>
  </si>
  <si>
    <t xml:space="preserve">BURGOS  HORMAZABAL MOISES  ALEJANDRO </t>
  </si>
  <si>
    <t>14355909-2</t>
  </si>
  <si>
    <t>CASTILLO  TORO  LUIS ANDRES</t>
  </si>
  <si>
    <t>18142265-3</t>
  </si>
  <si>
    <t>RODRIGUEZ  OSSES JOAQUIN GABRIEL</t>
  </si>
  <si>
    <t>24075951-9</t>
  </si>
  <si>
    <t>SCHMIDT  MICHAEL</t>
  </si>
  <si>
    <t>18854834-2</t>
  </si>
  <si>
    <t>GARCES  HENRIQUEZ JOSE ISAAC</t>
  </si>
  <si>
    <t>12925051-8</t>
  </si>
  <si>
    <t xml:space="preserve">CHAPARRO  SANTOS  GERMAN </t>
  </si>
  <si>
    <t>7393057-K</t>
  </si>
  <si>
    <t xml:space="preserve">ROMERO  GONZALEZ  ALFONSO LISANDRO </t>
  </si>
  <si>
    <t>18653351-8</t>
  </si>
  <si>
    <t xml:space="preserve">PEREA  MARTINEZ  GABRIEL IGNACIO </t>
  </si>
  <si>
    <t>17091871-1</t>
  </si>
  <si>
    <t xml:space="preserve">PALMA  RIQUELME  NATHALY ANDREA </t>
  </si>
  <si>
    <t>16156882-1</t>
  </si>
  <si>
    <t xml:space="preserve">CHAPARRO  SANTOS  JUAN CARLOS </t>
  </si>
  <si>
    <t>13377699-0</t>
  </si>
  <si>
    <t xml:space="preserve">SUAZO  GALLEGOS  JOSE JAVIER </t>
  </si>
  <si>
    <t>11790139-4</t>
  </si>
  <si>
    <t xml:space="preserve">RODRIGUEZ  PARDO  MAURICIO HERNAN </t>
  </si>
  <si>
    <t>12320635-5</t>
  </si>
  <si>
    <t xml:space="preserve">BELLO  SANHUEZA  RODRIGO ANDRES </t>
  </si>
  <si>
    <t>9828378-1</t>
  </si>
  <si>
    <t xml:space="preserve">MEDEL  SILVA  HECTOR ANTONIO </t>
  </si>
  <si>
    <t>BODEGERA</t>
  </si>
  <si>
    <t>PAÑOLERO</t>
  </si>
  <si>
    <t>ELECTRICO MANTENCION</t>
  </si>
  <si>
    <t xml:space="preserve">CAPATAZ OBRAS CIVILES </t>
  </si>
  <si>
    <t xml:space="preserve">MAESTRO MAYOR OBRAS CIVILES </t>
  </si>
  <si>
    <t xml:space="preserve">MAESTRO PRIMERA OBRAS CIVILES </t>
  </si>
  <si>
    <t>ASISTENTE OFICINA TECNICA</t>
  </si>
  <si>
    <t xml:space="preserve">SUPERVISOR MECANICO </t>
  </si>
  <si>
    <t xml:space="preserve">CAPATAZ MECANICO </t>
  </si>
  <si>
    <t xml:space="preserve">MAESTRO MAYOR MECANICO </t>
  </si>
  <si>
    <t xml:space="preserve">PREVENCIONISTA DE RIESGOS </t>
  </si>
  <si>
    <t xml:space="preserve">AUXILIAR DE ASEO </t>
  </si>
  <si>
    <t>OPERADOR GRÚA ALTO TONELAJE</t>
  </si>
  <si>
    <t xml:space="preserve">MAESTRO PRIMERA ANDAMIOS </t>
  </si>
  <si>
    <t>OPERADOR MAQUINA MANUAL</t>
  </si>
  <si>
    <t xml:space="preserve">RIGGER DE ALTA </t>
  </si>
  <si>
    <t xml:space="preserve">CAPATAZ ESTRUCTURA </t>
  </si>
  <si>
    <t xml:space="preserve">MAESTRO MAYOR ANDAMIOS </t>
  </si>
  <si>
    <t xml:space="preserve">MAESTRO PRIMERA  MECANICO </t>
  </si>
  <si>
    <t xml:space="preserve">OPERADOR  CAMION PLUMA </t>
  </si>
  <si>
    <t>17043475-7</t>
  </si>
  <si>
    <t>PARRA RIFFO NICOLAS IGNACIO</t>
  </si>
  <si>
    <t>15165207-7</t>
  </si>
  <si>
    <t>PADILLA  GOMEZ  STEPHANS PATRICIO</t>
  </si>
  <si>
    <t>18721067-4</t>
  </si>
  <si>
    <t xml:space="preserve">FERNANDEZ  SAEZ SEBASTIAN ALEJANDRO </t>
  </si>
  <si>
    <t>12301799-4</t>
  </si>
  <si>
    <t>SANTANDER  GARRIDO PATRICIO EDUARDO</t>
  </si>
  <si>
    <t>15213723-0</t>
  </si>
  <si>
    <t xml:space="preserve">HERNANDEZ CONTRERAS  HECTOR ALEXIS </t>
  </si>
  <si>
    <t>16854232-1</t>
  </si>
  <si>
    <t>DIAZ GOMEZ  PABLO ANDRES</t>
  </si>
  <si>
    <t>20936268-6</t>
  </si>
  <si>
    <t>PINO  MONTECINO DIEGO ENRIQUE</t>
  </si>
  <si>
    <t>16530909-K</t>
  </si>
  <si>
    <t xml:space="preserve">AEDO  GUTIERREZ  MANUEL FELIZARIO </t>
  </si>
  <si>
    <t>15928270-8</t>
  </si>
  <si>
    <t>VERTIOLA  PINELA  RICHARD FERNANDO</t>
  </si>
  <si>
    <t>17933561-1</t>
  </si>
  <si>
    <t xml:space="preserve">DIAZ  ARANEDA  ERIK RODRIGO </t>
  </si>
  <si>
    <t>14625236-2</t>
  </si>
  <si>
    <t xml:space="preserve">MUÑOZ  ESPINOZA  CRISTIAN  RODRIGO </t>
  </si>
  <si>
    <t>INSPECTOR CALIDAD</t>
  </si>
  <si>
    <t xml:space="preserve">SOLDADOR PLANCHA </t>
  </si>
  <si>
    <t xml:space="preserve">RIGGER DE BAJA </t>
  </si>
  <si>
    <t>SUPERVISOR SOLDADURA</t>
  </si>
  <si>
    <t>CAPATAZ ANDAMIOS</t>
  </si>
  <si>
    <t xml:space="preserve">MAESTRO MAYOR  ANDAMIOS </t>
  </si>
  <si>
    <t>SOLDADOR MIG</t>
  </si>
  <si>
    <t xml:space="preserve">Enero </t>
  </si>
  <si>
    <t>Febrero</t>
  </si>
  <si>
    <t>Marzo</t>
  </si>
  <si>
    <t>16601679-7</t>
  </si>
  <si>
    <t>SALAZAR  VILLAGRA  CRISTIAN  MANUEL</t>
  </si>
  <si>
    <t>CAPATAZ BODEGA INTERNACIONAL</t>
  </si>
  <si>
    <t>12302759-0</t>
  </si>
  <si>
    <t xml:space="preserve">GAJARDO  LEIVA  OLIVER GUILLERMO </t>
  </si>
  <si>
    <t>21863787-6</t>
  </si>
  <si>
    <t xml:space="preserve">BELLO  SANHUEZA  NICOLAS ANDRES </t>
  </si>
  <si>
    <t>16230053-9</t>
  </si>
  <si>
    <t xml:space="preserve">JIMENEZ  GUTIERREZ  FRANCISCO ANDRES </t>
  </si>
  <si>
    <t>12303589-5</t>
  </si>
  <si>
    <t xml:space="preserve">VALENZUELA  BORQUEZ  BORIZ </t>
  </si>
  <si>
    <t>13312902-2</t>
  </si>
  <si>
    <t xml:space="preserve">VASQUEZ  ARAVENA  JUAN CARLOS </t>
  </si>
  <si>
    <t>13797415-0</t>
  </si>
  <si>
    <t xml:space="preserve">ALARCON  ULLOA  ALEXIS ARMANDO </t>
  </si>
  <si>
    <t>19000526-7</t>
  </si>
  <si>
    <t xml:space="preserve">PINCHEIRA  GONZALEZ  CARLOS ALFREDO </t>
  </si>
  <si>
    <t>16328185-6</t>
  </si>
  <si>
    <t>LIZANA  PEÑA  JUAN ALBERTO</t>
  </si>
  <si>
    <t>14391767-3</t>
  </si>
  <si>
    <t xml:space="preserve">FLORES  HIDALGO  JAIME ENRIQUE </t>
  </si>
  <si>
    <t>16156867-8</t>
  </si>
  <si>
    <t xml:space="preserve">SALGADO  FLORES  JUAN ANDRES </t>
  </si>
  <si>
    <t>16395754-k</t>
  </si>
  <si>
    <t>PACHECO  PACHECO  ALEXIS ANDRES</t>
  </si>
  <si>
    <t>16144812-5</t>
  </si>
  <si>
    <t xml:space="preserve">JIMENEZ  VALERIO  FRANCISCO </t>
  </si>
  <si>
    <t>14016538-7</t>
  </si>
  <si>
    <t xml:space="preserve">CIFUENTES  CAAMAÑO GERARDO PATRICIO </t>
  </si>
  <si>
    <t>17885993-5</t>
  </si>
  <si>
    <t xml:space="preserve">CONTRERAS POBLETE  RODOLFO MATIAS </t>
  </si>
  <si>
    <t>CAPATAZ ESTRUCTURA</t>
  </si>
  <si>
    <t>SUPERVISOR ESTRUCTURA</t>
  </si>
  <si>
    <t>MAESTRO PRIMERA ESTRUCTURA</t>
  </si>
  <si>
    <t xml:space="preserve">SOLDADOR MIG </t>
  </si>
  <si>
    <t>OPERADOR GRUA LTM 1230</t>
  </si>
  <si>
    <t>CONTROL PROYECTO</t>
  </si>
  <si>
    <t>11182598-k</t>
  </si>
  <si>
    <t xml:space="preserve">ROBLES  AVILA  LUCAS LEONARDO </t>
  </si>
  <si>
    <t>18644855-3</t>
  </si>
  <si>
    <t>FERNANDEZ VERGARA  RUBEN HERNAN</t>
  </si>
  <si>
    <t>13151475-1</t>
  </si>
  <si>
    <t>MANRIQUEZ MONSALVEZ ANTONIO ISOLINO</t>
  </si>
  <si>
    <t>20527477-4</t>
  </si>
  <si>
    <t>GALAZ  CONEJEROS  NELSON STIVENSSON</t>
  </si>
  <si>
    <t>19410978-4</t>
  </si>
  <si>
    <t xml:space="preserve">PARADA  LAFERTE  CLAUDIO ALEJANDRO </t>
  </si>
  <si>
    <t>14273336-6</t>
  </si>
  <si>
    <t xml:space="preserve">GONZALEZ ARANEDA  MARIO EDUARDO </t>
  </si>
  <si>
    <t>16512863-K</t>
  </si>
  <si>
    <t xml:space="preserve">ARANEDA  MARTINEZ ALEXIS ALFONSO 
</t>
  </si>
  <si>
    <t>22180513-5</t>
  </si>
  <si>
    <t>SANTANDER NUÑEZ DIEGO PATRICIO</t>
  </si>
  <si>
    <t>MAESTRO SEGUNDA SOLDADURA</t>
  </si>
  <si>
    <t>15648359-1</t>
  </si>
  <si>
    <t xml:space="preserve">NOVOA  SAEZ SEGUNDO ZENEN </t>
  </si>
  <si>
    <t>10176563-6</t>
  </si>
  <si>
    <t>CASTRO MEDINA  JOSE ALBERTO</t>
  </si>
  <si>
    <t>12304832-6</t>
  </si>
  <si>
    <t xml:space="preserve">SEGUEL  RAMIREZ JUAN CARLOS </t>
  </si>
  <si>
    <t>8427846-7</t>
  </si>
  <si>
    <t xml:space="preserve">MOREIRA  HENRIQUEZ  MIGUEL EDUARDO </t>
  </si>
  <si>
    <t>10190661-2</t>
  </si>
  <si>
    <t xml:space="preserve">GONZALEZ  CARDENAS  IVAN GABRIEL </t>
  </si>
  <si>
    <t>17787697-6</t>
  </si>
  <si>
    <t>GONZALEZ  JARA  CARLOS ALFREDO</t>
  </si>
  <si>
    <t>20527725-0</t>
  </si>
  <si>
    <t xml:space="preserve">SAN MARTIN  MANRIQUEZ  OSCAR MANUEL </t>
  </si>
  <si>
    <t xml:space="preserve">MAESTRO PRIMERA MECANICO </t>
  </si>
  <si>
    <t xml:space="preserve">RESCATISTA </t>
  </si>
  <si>
    <t>20014034-6</t>
  </si>
  <si>
    <t xml:space="preserve">ROA  QUINTREL  ESTEBAN TOMAS </t>
  </si>
  <si>
    <t>12083468-1</t>
  </si>
  <si>
    <t>CERDA LEIVA MARCO ANTONIO</t>
  </si>
  <si>
    <t>19719330-1</t>
  </si>
  <si>
    <t xml:space="preserve">ROA  ROA  RUDOLF FELIPE </t>
  </si>
  <si>
    <t>13506494-7</t>
  </si>
  <si>
    <t xml:space="preserve">MUÑOZ VILLEGAS  GERARDO ANDRES </t>
  </si>
  <si>
    <t>MAESTRO SEGUNDA MECANICO</t>
  </si>
  <si>
    <t>MAESTRO PRIMERA OOCC</t>
  </si>
  <si>
    <t xml:space="preserve">OPERADOR EXCAVADORA </t>
  </si>
  <si>
    <t>NO CORRESPONDE PAGO</t>
  </si>
  <si>
    <t>19380313-k</t>
  </si>
  <si>
    <t>VERGARA  MUÑOZ  MATIAS IGNACIO</t>
  </si>
  <si>
    <t>15223881-9</t>
  </si>
  <si>
    <t>CAMPOS  CANDIA  CARLOS ALBERTO</t>
  </si>
  <si>
    <t>13510965-7</t>
  </si>
  <si>
    <t xml:space="preserve">ALBARRAN  MORALES  MARCELO ALEJANDRO </t>
  </si>
  <si>
    <t xml:space="preserve">TOTAL ITF </t>
  </si>
  <si>
    <t>TOTAL FINAL</t>
  </si>
  <si>
    <t>DIAS P1</t>
  </si>
  <si>
    <t>HABERES VAC P1</t>
  </si>
  <si>
    <t>DIAS P2</t>
  </si>
  <si>
    <t>HABERES VAC P2</t>
  </si>
  <si>
    <t>DIAS P3</t>
  </si>
  <si>
    <t>HABERES VAC 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</si>
</sst>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.00_-;\-* #,##0.00_-;_-* &quot;-&quot;??_-;_-@_-"/>
    <numFmt numFmtId="165" formatCode="dd\-mm\-yy;@"/>
    <numFmt numFmtId="166" formatCode="_-* #,##0_-;\-* #,##0_-;_-* &quot;-&quot;??_-;_-@_-"/>
    <numFmt numFmtId="167" formatCode="_(* #,##0_);_(* \(#,##0\);_(* &quot;-&quot;_);_(@_)"/>
    <numFmt numFmtId="168" formatCode="&quot;$&quot;#,##0;\-&quot;$&quot;#,##0"/>
    <numFmt numFmtId="169" formatCode="_ &quot;$&quot;\ * #,##0.00_ ;_ &quot;$&quot;\ * \-#,##0.00_ ;_ &quot;$&quot;\ * &quot;-&quot;??_ ;_ @_ "/>
    <numFmt numFmtId="170" formatCode="_-&quot;$&quot;\ * #,##0.00_-;\-&quot;$&quot;\ * #,##0.00_-;_-&quot;$&quot;\ * &quot;-&quot;??_-;_-@_-"/>
    <numFmt numFmtId="171" formatCode="_-* #,##0.00\ _€_-;\-* #,##0.00\ _€_-;_-* &quot;-&quot;??\ _€_-;_-@_-"/>
    <numFmt numFmtId="172" formatCode="_-[$€-2]\ * #,##0.00_-;\-[$€-2]\ * #,##0.00_-;_-[$€-2]\ * &quot;-&quot;??_-"/>
    <numFmt numFmtId="173" formatCode="_ &quot;$&quot;\ * #,##0_ ;_ &quot;$&quot;\ * \-#,##0_ ;_ &quot;$&quot;\ * &quot;-&quot;_ ;_ @_ 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8"/>
      <name val="Aptos Narrow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1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C00000"/>
      <name val="Arial"/>
      <family val="2"/>
    </font>
    <font>
      <b/>
      <sz val="10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u/>
      <sz val="7"/>
      <color indexed="12"/>
      <name val="Arial"/>
      <family val="2"/>
    </font>
    <font>
      <sz val="10"/>
      <name val="Arial"/>
      <family val="2"/>
      <charset val="1"/>
    </font>
    <font>
      <u/>
      <sz val="11"/>
      <color theme="10"/>
      <name val="Aptos Narrow"/>
      <family val="2"/>
      <scheme val="minor"/>
    </font>
    <font>
      <sz val="11"/>
      <color indexed="8"/>
      <name val="Calibri"/>
      <family val="2"/>
    </font>
    <font>
      <sz val="10"/>
      <name val="MS Sans"/>
    </font>
    <font>
      <sz val="10"/>
      <name val="Verdana"/>
      <family val="2"/>
    </font>
    <font>
      <u/>
      <sz val="10"/>
      <color indexed="12"/>
      <name val="Arial"/>
      <family val="2"/>
    </font>
    <font>
      <u/>
      <sz val="7.7"/>
      <color theme="1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122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8" fillId="0" borderId="25" applyNumberFormat="0" applyFill="0" applyAlignment="0" applyProtection="0"/>
    <xf numFmtId="0" fontId="19" fillId="0" borderId="26" applyNumberFormat="0" applyFill="0" applyAlignment="0" applyProtection="0"/>
    <xf numFmtId="0" fontId="20" fillId="0" borderId="27" applyNumberFormat="0" applyFill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4" fillId="12" borderId="28" applyNumberFormat="0" applyAlignment="0" applyProtection="0"/>
    <xf numFmtId="0" fontId="25" fillId="13" borderId="29" applyNumberFormat="0" applyAlignment="0" applyProtection="0"/>
    <xf numFmtId="0" fontId="26" fillId="13" borderId="28" applyNumberFormat="0" applyAlignment="0" applyProtection="0"/>
    <xf numFmtId="0" fontId="27" fillId="0" borderId="30" applyNumberFormat="0" applyFill="0" applyAlignment="0" applyProtection="0"/>
    <xf numFmtId="0" fontId="28" fillId="14" borderId="3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33" applyNumberFormat="0" applyFill="0" applyAlignment="0" applyProtection="0"/>
    <xf numFmtId="0" fontId="3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2" fontId="2" fillId="0" borderId="0" applyFont="0" applyFill="0" applyBorder="0" applyAlignment="0" applyProtection="0"/>
    <xf numFmtId="0" fontId="1" fillId="0" borderId="0"/>
    <xf numFmtId="0" fontId="1" fillId="0" borderId="0"/>
    <xf numFmtId="0" fontId="35" fillId="0" borderId="0">
      <protection locked="0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7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9" fontId="2" fillId="0" borderId="0" applyFont="0" applyFill="0" applyBorder="0" applyAlignment="0" applyProtection="0"/>
    <xf numFmtId="171" fontId="3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" fillId="19" borderId="0" applyNumberFormat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" fillId="39" borderId="0" applyNumberFormat="0" applyBorder="0" applyAlignment="0" applyProtection="0"/>
    <xf numFmtId="0" fontId="1" fillId="35" borderId="0" applyNumberFormat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23" borderId="0" applyNumberFormat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3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8" fillId="0" borderId="0"/>
    <xf numFmtId="0" fontId="1" fillId="15" borderId="32" applyNumberFormat="0" applyFont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43" fillId="0" borderId="0"/>
    <xf numFmtId="171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41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41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32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42" fontId="2" fillId="0" borderId="0" applyFont="0" applyFill="0" applyBorder="0" applyAlignment="0" applyProtection="0"/>
    <xf numFmtId="0" fontId="1" fillId="0" borderId="0"/>
    <xf numFmtId="0" fontId="1" fillId="0" borderId="0"/>
    <xf numFmtId="0" fontId="36" fillId="0" borderId="0" applyNumberFormat="0" applyFill="0" applyBorder="0" applyAlignment="0" applyProtection="0"/>
  </cellStyleXfs>
  <cellXfs count="116">
    <xf numFmtId="0" fontId="0" fillId="0" borderId="0" xfId="0"/>
    <xf numFmtId="0" fontId="4" fillId="0" borderId="2" xfId="1" applyFont="1" applyBorder="1" applyAlignment="1">
      <alignment horizontal="center" vertical="center"/>
    </xf>
    <xf numFmtId="0" fontId="4" fillId="0" borderId="3" xfId="2" applyFont="1" applyBorder="1" applyAlignment="1" applyProtection="1">
      <alignment horizontal="right" vertical="center"/>
      <protection locked="0"/>
    </xf>
    <xf numFmtId="3" fontId="4" fillId="0" borderId="4" xfId="1" applyNumberFormat="1" applyFont="1" applyBorder="1" applyAlignment="1">
      <alignment vertical="center"/>
    </xf>
    <xf numFmtId="2" fontId="4" fillId="3" borderId="5" xfId="1" applyNumberFormat="1" applyFont="1" applyFill="1" applyBorder="1" applyAlignment="1">
      <alignment vertical="center"/>
    </xf>
    <xf numFmtId="3" fontId="5" fillId="0" borderId="4" xfId="1" applyNumberFormat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3" fontId="4" fillId="0" borderId="6" xfId="1" applyNumberFormat="1" applyFont="1" applyBorder="1" applyAlignment="1">
      <alignment vertical="center"/>
    </xf>
    <xf numFmtId="166" fontId="4" fillId="0" borderId="7" xfId="5" applyNumberFormat="1" applyFont="1" applyBorder="1" applyAlignment="1">
      <alignment vertical="center"/>
    </xf>
    <xf numFmtId="166" fontId="4" fillId="2" borderId="7" xfId="5" applyNumberFormat="1" applyFont="1" applyFill="1" applyBorder="1" applyAlignment="1">
      <alignment vertical="center"/>
    </xf>
    <xf numFmtId="166" fontId="4" fillId="0" borderId="7" xfId="5" applyNumberFormat="1" applyFont="1" applyFill="1" applyBorder="1" applyAlignment="1">
      <alignment vertical="center"/>
    </xf>
    <xf numFmtId="0" fontId="6" fillId="0" borderId="4" xfId="0" applyFont="1" applyBorder="1" applyAlignment="1">
      <alignment horizontal="left"/>
    </xf>
    <xf numFmtId="14" fontId="6" fillId="0" borderId="4" xfId="0" applyNumberFormat="1" applyFont="1" applyBorder="1" applyAlignment="1">
      <alignment horizontal="right" vertical="center"/>
    </xf>
    <xf numFmtId="3" fontId="7" fillId="0" borderId="4" xfId="0" applyNumberFormat="1" applyFont="1" applyBorder="1" applyAlignment="1">
      <alignment horizontal="right"/>
    </xf>
    <xf numFmtId="3" fontId="7" fillId="0" borderId="4" xfId="0" applyNumberFormat="1" applyFont="1" applyBorder="1"/>
    <xf numFmtId="0" fontId="7" fillId="0" borderId="4" xfId="0" applyFont="1" applyBorder="1" applyAlignment="1">
      <alignment horizontal="left"/>
    </xf>
    <xf numFmtId="14" fontId="7" fillId="0" borderId="4" xfId="0" applyNumberFormat="1" applyFont="1" applyBorder="1" applyAlignment="1">
      <alignment horizontal="right" vertical="center"/>
    </xf>
    <xf numFmtId="0" fontId="4" fillId="0" borderId="8" xfId="1" applyFont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8" fillId="0" borderId="0" xfId="1" applyFont="1" applyAlignment="1">
      <alignment vertical="center"/>
    </xf>
    <xf numFmtId="0" fontId="8" fillId="4" borderId="0" xfId="1" applyFont="1" applyFill="1" applyAlignment="1">
      <alignment vertical="center"/>
    </xf>
    <xf numFmtId="0" fontId="4" fillId="4" borderId="0" xfId="1" applyFont="1" applyFill="1" applyAlignment="1">
      <alignment horizontal="center" vertical="center"/>
    </xf>
    <xf numFmtId="166" fontId="9" fillId="0" borderId="0" xfId="7" applyNumberFormat="1" applyFont="1" applyAlignment="1">
      <alignment horizontal="left" vertical="center"/>
    </xf>
    <xf numFmtId="166" fontId="5" fillId="0" borderId="0" xfId="7" applyNumberFormat="1" applyFont="1" applyAlignment="1">
      <alignment horizontal="justify" vertical="center"/>
    </xf>
    <xf numFmtId="166" fontId="5" fillId="0" borderId="0" xfId="7" applyNumberFormat="1" applyFont="1" applyAlignment="1">
      <alignment vertical="center"/>
    </xf>
    <xf numFmtId="166" fontId="4" fillId="0" borderId="0" xfId="7" applyNumberFormat="1" applyFont="1" applyAlignment="1">
      <alignment vertical="center"/>
    </xf>
    <xf numFmtId="0" fontId="8" fillId="5" borderId="0" xfId="1" applyFont="1" applyFill="1" applyAlignment="1">
      <alignment vertical="center"/>
    </xf>
    <xf numFmtId="4" fontId="8" fillId="5" borderId="0" xfId="1" applyNumberFormat="1" applyFont="1" applyFill="1" applyAlignment="1">
      <alignment vertical="center"/>
    </xf>
    <xf numFmtId="0" fontId="10" fillId="0" borderId="0" xfId="1" applyFont="1" applyAlignment="1">
      <alignment horizontal="right" vertical="center"/>
    </xf>
    <xf numFmtId="41" fontId="8" fillId="0" borderId="0" xfId="6" applyFont="1" applyAlignment="1">
      <alignment vertical="center"/>
    </xf>
    <xf numFmtId="166" fontId="8" fillId="0" borderId="0" xfId="1" applyNumberFormat="1" applyFont="1" applyAlignment="1">
      <alignment vertical="center"/>
    </xf>
    <xf numFmtId="41" fontId="8" fillId="5" borderId="0" xfId="6" applyFont="1" applyFill="1" applyAlignment="1">
      <alignment vertical="center"/>
    </xf>
    <xf numFmtId="0" fontId="3" fillId="0" borderId="0" xfId="1" applyFont="1" applyAlignment="1">
      <alignment horizontal="center" vertical="center"/>
    </xf>
    <xf numFmtId="167" fontId="8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49" fontId="4" fillId="0" borderId="0" xfId="7" applyNumberFormat="1" applyFont="1" applyAlignment="1">
      <alignment horizontal="center" vertical="center"/>
    </xf>
    <xf numFmtId="49" fontId="4" fillId="0" borderId="0" xfId="7" applyNumberFormat="1" applyFont="1" applyAlignment="1">
      <alignment horizontal="justify" vertical="center"/>
    </xf>
    <xf numFmtId="0" fontId="4" fillId="7" borderId="8" xfId="1" applyFont="1" applyFill="1" applyBorder="1" applyAlignment="1">
      <alignment vertical="center"/>
    </xf>
    <xf numFmtId="0" fontId="12" fillId="0" borderId="10" xfId="2" applyFont="1" applyBorder="1" applyAlignment="1">
      <alignment vertical="center"/>
    </xf>
    <xf numFmtId="0" fontId="3" fillId="0" borderId="0" xfId="1" applyFont="1" applyAlignment="1">
      <alignment horizontal="left" vertical="top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10" fontId="3" fillId="0" borderId="18" xfId="1" applyNumberFormat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7" borderId="20" xfId="1" applyFont="1" applyFill="1" applyBorder="1" applyAlignment="1">
      <alignment vertical="center" wrapText="1"/>
    </xf>
    <xf numFmtId="0" fontId="13" fillId="0" borderId="21" xfId="2" applyFont="1" applyBorder="1" applyAlignment="1">
      <alignment vertical="center" wrapText="1"/>
    </xf>
    <xf numFmtId="3" fontId="4" fillId="0" borderId="4" xfId="1" applyNumberFormat="1" applyFont="1" applyBorder="1" applyAlignment="1">
      <alignment horizontal="right" vertical="center"/>
    </xf>
    <xf numFmtId="165" fontId="4" fillId="0" borderId="4" xfId="3" applyNumberFormat="1" applyFont="1" applyBorder="1" applyAlignment="1">
      <alignment horizontal="center" vertical="center"/>
    </xf>
    <xf numFmtId="1" fontId="4" fillId="0" borderId="3" xfId="1" applyNumberFormat="1" applyFont="1" applyBorder="1" applyAlignment="1">
      <alignment vertical="center"/>
    </xf>
    <xf numFmtId="166" fontId="4" fillId="7" borderId="22" xfId="8" applyNumberFormat="1" applyFont="1" applyFill="1" applyBorder="1" applyAlignment="1">
      <alignment vertical="center"/>
    </xf>
    <xf numFmtId="166" fontId="4" fillId="7" borderId="22" xfId="8" applyNumberFormat="1" applyFont="1" applyFill="1" applyBorder="1" applyAlignment="1">
      <alignment horizontal="center" vertical="center"/>
    </xf>
    <xf numFmtId="166" fontId="4" fillId="7" borderId="23" xfId="8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justify" vertical="center"/>
    </xf>
    <xf numFmtId="14" fontId="7" fillId="0" borderId="4" xfId="0" applyNumberFormat="1" applyFont="1" applyBorder="1" applyAlignment="1">
      <alignment horizontal="center"/>
    </xf>
    <xf numFmtId="0" fontId="6" fillId="0" borderId="4" xfId="0" applyFont="1" applyBorder="1"/>
    <xf numFmtId="0" fontId="7" fillId="0" borderId="4" xfId="0" applyFont="1" applyBorder="1"/>
    <xf numFmtId="0" fontId="14" fillId="3" borderId="2" xfId="1" applyFont="1" applyFill="1" applyBorder="1" applyAlignment="1">
      <alignment vertical="center"/>
    </xf>
    <xf numFmtId="2" fontId="14" fillId="3" borderId="2" xfId="1" applyNumberFormat="1" applyFont="1" applyFill="1" applyBorder="1" applyAlignment="1">
      <alignment vertical="center"/>
    </xf>
    <xf numFmtId="2" fontId="15" fillId="3" borderId="3" xfId="1" applyNumberFormat="1" applyFont="1" applyFill="1" applyBorder="1" applyAlignment="1">
      <alignment vertical="center"/>
    </xf>
    <xf numFmtId="0" fontId="16" fillId="8" borderId="4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4" xfId="1" applyFont="1" applyFill="1" applyBorder="1" applyAlignment="1">
      <alignment horizontal="center" vertical="center" wrapText="1"/>
    </xf>
    <xf numFmtId="10" fontId="3" fillId="5" borderId="4" xfId="1" applyNumberFormat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3" fillId="5" borderId="15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1" fillId="5" borderId="24" xfId="0" applyFont="1" applyFill="1" applyBorder="1" applyAlignment="1">
      <alignment horizontal="center" vertical="center"/>
    </xf>
    <xf numFmtId="0" fontId="4" fillId="0" borderId="3" xfId="2" applyFont="1" applyBorder="1" applyAlignment="1" applyProtection="1">
      <alignment horizontal="center" vertical="center"/>
      <protection locked="0"/>
    </xf>
    <xf numFmtId="0" fontId="6" fillId="0" borderId="4" xfId="42" applyFont="1" applyBorder="1" applyAlignment="1">
      <alignment horizontal="center"/>
    </xf>
    <xf numFmtId="0" fontId="7" fillId="0" borderId="4" xfId="42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4" fontId="6" fillId="0" borderId="4" xfId="42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/>
    </xf>
    <xf numFmtId="3" fontId="7" fillId="0" borderId="4" xfId="42" applyNumberFormat="1" applyFont="1" applyBorder="1" applyAlignment="1">
      <alignment horizontal="center"/>
    </xf>
    <xf numFmtId="3" fontId="4" fillId="0" borderId="4" xfId="1" applyNumberFormat="1" applyFont="1" applyBorder="1" applyAlignment="1">
      <alignment horizontal="center" vertical="center"/>
    </xf>
    <xf numFmtId="0" fontId="14" fillId="3" borderId="2" xfId="1" applyFont="1" applyFill="1" applyBorder="1" applyAlignment="1">
      <alignment horizontal="center" vertical="center"/>
    </xf>
    <xf numFmtId="2" fontId="14" fillId="3" borderId="2" xfId="1" applyNumberFormat="1" applyFont="1" applyFill="1" applyBorder="1" applyAlignment="1">
      <alignment horizontal="center" vertical="center"/>
    </xf>
    <xf numFmtId="2" fontId="15" fillId="3" borderId="3" xfId="1" applyNumberFormat="1" applyFont="1" applyFill="1" applyBorder="1" applyAlignment="1">
      <alignment horizontal="center" vertical="center"/>
    </xf>
    <xf numFmtId="2" fontId="4" fillId="3" borderId="5" xfId="1" applyNumberFormat="1" applyFont="1" applyFill="1" applyBorder="1" applyAlignment="1">
      <alignment horizontal="center" vertical="center"/>
    </xf>
    <xf numFmtId="3" fontId="4" fillId="0" borderId="6" xfId="1" applyNumberFormat="1" applyFont="1" applyBorder="1" applyAlignment="1">
      <alignment horizontal="center" vertical="center"/>
    </xf>
    <xf numFmtId="166" fontId="4" fillId="0" borderId="7" xfId="5" applyNumberFormat="1" applyFont="1" applyBorder="1" applyAlignment="1">
      <alignment horizontal="center" vertical="center"/>
    </xf>
    <xf numFmtId="166" fontId="4" fillId="2" borderId="7" xfId="5" applyNumberFormat="1" applyFont="1" applyFill="1" applyBorder="1" applyAlignment="1">
      <alignment horizontal="center" vertical="center"/>
    </xf>
    <xf numFmtId="166" fontId="4" fillId="0" borderId="7" xfId="5" applyNumberFormat="1" applyFont="1" applyFill="1" applyBorder="1" applyAlignment="1">
      <alignment horizontal="center" vertical="center"/>
    </xf>
    <xf numFmtId="166" fontId="3" fillId="5" borderId="7" xfId="5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7" fillId="0" borderId="4" xfId="42" applyNumberFormat="1" applyFont="1" applyBorder="1" applyAlignment="1">
      <alignment horizontal="center"/>
    </xf>
    <xf numFmtId="3" fontId="4" fillId="0" borderId="3" xfId="1" applyNumberFormat="1" applyFont="1" applyBorder="1" applyAlignment="1">
      <alignment horizontal="center" vertical="center"/>
    </xf>
    <xf numFmtId="3" fontId="4" fillId="0" borderId="3" xfId="2" applyNumberFormat="1" applyFont="1" applyBorder="1" applyAlignment="1" applyProtection="1">
      <alignment horizontal="center" vertical="center"/>
      <protection locked="0"/>
    </xf>
    <xf numFmtId="0" fontId="6" fillId="4" borderId="4" xfId="42" applyFont="1" applyFill="1" applyBorder="1" applyAlignment="1">
      <alignment horizontal="center"/>
    </xf>
    <xf numFmtId="17" fontId="4" fillId="0" borderId="14" xfId="1" applyNumberFormat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17" fontId="4" fillId="5" borderId="14" xfId="1" applyNumberFormat="1" applyFont="1" applyFill="1" applyBorder="1" applyAlignment="1">
      <alignment horizontal="center" vertical="center"/>
    </xf>
    <xf numFmtId="0" fontId="4" fillId="5" borderId="16" xfId="1" applyFont="1" applyFill="1" applyBorder="1" applyAlignment="1">
      <alignment horizontal="center" vertical="center"/>
    </xf>
    <xf numFmtId="17" fontId="4" fillId="6" borderId="14" xfId="1" applyNumberFormat="1" applyFont="1" applyFill="1" applyBorder="1" applyAlignment="1">
      <alignment horizontal="center" vertical="center"/>
    </xf>
    <xf numFmtId="0" fontId="4" fillId="6" borderId="16" xfId="1" applyFont="1" applyFill="1" applyBorder="1" applyAlignment="1">
      <alignment horizontal="center" vertical="center"/>
    </xf>
    <xf numFmtId="0" fontId="3" fillId="7" borderId="20" xfId="1" applyFont="1" applyFill="1" applyBorder="1" applyAlignment="1">
      <alignment horizontal="center" vertical="center" wrapText="1"/>
    </xf>
    <xf numFmtId="0" fontId="13" fillId="0" borderId="21" xfId="2" applyFont="1" applyBorder="1" applyAlignment="1">
      <alignment horizontal="center" vertical="center" wrapText="1"/>
    </xf>
    <xf numFmtId="166" fontId="4" fillId="0" borderId="8" xfId="7" applyNumberFormat="1" applyFont="1" applyBorder="1" applyAlignment="1">
      <alignment horizontal="left" vertical="center"/>
    </xf>
    <xf numFmtId="166" fontId="4" fillId="0" borderId="9" xfId="7" applyNumberFormat="1" applyFont="1" applyBorder="1" applyAlignment="1">
      <alignment horizontal="left" vertical="center"/>
    </xf>
    <xf numFmtId="166" fontId="4" fillId="0" borderId="10" xfId="7" applyNumberFormat="1" applyFont="1" applyBorder="1" applyAlignment="1">
      <alignment horizontal="left" vertical="center"/>
    </xf>
    <xf numFmtId="49" fontId="11" fillId="0" borderId="11" xfId="7" applyNumberFormat="1" applyFont="1" applyBorder="1" applyAlignment="1">
      <alignment horizontal="center" vertical="center"/>
    </xf>
    <xf numFmtId="49" fontId="11" fillId="0" borderId="12" xfId="7" applyNumberFormat="1" applyFont="1" applyBorder="1" applyAlignment="1">
      <alignment horizontal="center" vertical="center"/>
    </xf>
    <xf numFmtId="49" fontId="11" fillId="0" borderId="13" xfId="7" applyNumberFormat="1" applyFont="1" applyBorder="1" applyAlignment="1">
      <alignment horizontal="center" vertical="center"/>
    </xf>
    <xf numFmtId="0" fontId="4" fillId="7" borderId="8" xfId="1" applyFont="1" applyFill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</cellXfs>
  <cellStyles count="12122">
    <cellStyle name="20% - Énfasis1" xfId="25" builtinId="30" customBuiltin="1"/>
    <cellStyle name="20% - Énfasis1 2" xfId="1788" xr:uid="{ACFCAC0F-A355-46D9-A308-D0E8BAB3317D}"/>
    <cellStyle name="20% - Énfasis1 2 2" xfId="5433" xr:uid="{D1F51273-0E67-4F8A-B81C-E72430A059D7}"/>
    <cellStyle name="20% - Énfasis1 2 2 2" xfId="10285" xr:uid="{EA8FF9EB-3948-4868-811D-78B6685D2A63}"/>
    <cellStyle name="20% - Énfasis1 2 3" xfId="6649" xr:uid="{00B98627-AEDF-4795-BFD3-510958FF7E31}"/>
    <cellStyle name="20% - Énfasis1 2 3 2" xfId="11497" xr:uid="{71E5E352-1FE5-4B9A-8BC1-2D440B18889B}"/>
    <cellStyle name="20% - Énfasis1 2 4" xfId="4223" xr:uid="{03C1F58C-D87F-41A4-B35C-E3CE8C499DEA}"/>
    <cellStyle name="20% - Énfasis1 2 4 2" xfId="9077" xr:uid="{02CA4544-6BE9-4AE7-9FFF-D322D2C2F9B2}"/>
    <cellStyle name="20% - Énfasis1 2 5" xfId="3010" xr:uid="{3E0547CA-45B4-4E45-B016-184D8090C13F}"/>
    <cellStyle name="20% - Énfasis1 2 6" xfId="7866" xr:uid="{FD33231D-C135-421E-9D5B-03E182EEF467}"/>
    <cellStyle name="20% - Énfasis1 3" xfId="4830" xr:uid="{4E63DEEB-C633-4E24-B992-35320701DFFD}"/>
    <cellStyle name="20% - Énfasis1 3 2" xfId="9682" xr:uid="{5355D8A5-F6A4-44DD-BE9D-2B264B3841DF}"/>
    <cellStyle name="20% - Énfasis1 4" xfId="6043" xr:uid="{DC0C9127-6002-4A84-9E01-19DE5C146B42}"/>
    <cellStyle name="20% - Énfasis1 4 2" xfId="10893" xr:uid="{3E3A7F9A-AD5C-4A9B-A817-E1435E972091}"/>
    <cellStyle name="20% - Énfasis1 5" xfId="3618" xr:uid="{238A66C5-810E-4D12-A3C5-75055EE9F020}"/>
    <cellStyle name="20% - Énfasis1 5 2" xfId="8472" xr:uid="{B6BB4C1F-08D4-4BBB-A11E-BAE05A55636C}"/>
    <cellStyle name="20% - Énfasis1 6" xfId="2407" xr:uid="{FFD43166-CD42-429A-A809-A28C1A5155ED}"/>
    <cellStyle name="20% - Énfasis1 7" xfId="7263" xr:uid="{EF48A7A2-33AD-4442-AB08-A08878ED0829}"/>
    <cellStyle name="20% - Énfasis2" xfId="28" builtinId="34" customBuiltin="1"/>
    <cellStyle name="20% - Énfasis2 2" xfId="1789" xr:uid="{D58DA319-E876-4886-BF8C-6ED6012F2EF4}"/>
    <cellStyle name="20% - Énfasis2 2 2" xfId="5434" xr:uid="{8449FCE1-E097-43BB-8566-86CE1D485963}"/>
    <cellStyle name="20% - Énfasis2 2 2 2" xfId="10286" xr:uid="{BA636FBF-7137-4DC2-B94C-3DF253AA956C}"/>
    <cellStyle name="20% - Énfasis2 2 3" xfId="6650" xr:uid="{C6F37B24-8C49-4E29-A90B-7BA0E27D26B9}"/>
    <cellStyle name="20% - Énfasis2 2 3 2" xfId="11498" xr:uid="{F466ACA2-F9F2-4662-B8B6-5FEC47131D4A}"/>
    <cellStyle name="20% - Énfasis2 2 4" xfId="4224" xr:uid="{2C92A3F0-0D35-4781-B8C5-1573A307FB84}"/>
    <cellStyle name="20% - Énfasis2 2 4 2" xfId="9078" xr:uid="{005BD1DF-A97D-48CF-BBE3-03F8B93E8439}"/>
    <cellStyle name="20% - Énfasis2 2 5" xfId="3011" xr:uid="{F15DB52B-4022-4EC6-9D33-4DF6878784B8}"/>
    <cellStyle name="20% - Énfasis2 2 6" xfId="7867" xr:uid="{4CFC96FC-9EC4-4ECF-9D8C-846E3AAFA105}"/>
    <cellStyle name="20% - Énfasis2 3" xfId="4832" xr:uid="{DBE47E12-BB9B-4B86-9DB2-673D1D780D5C}"/>
    <cellStyle name="20% - Énfasis2 3 2" xfId="9684" xr:uid="{EE40098F-5CC7-419B-A9FD-E417C52B2377}"/>
    <cellStyle name="20% - Énfasis2 4" xfId="6045" xr:uid="{A4205BE2-75FD-450C-BE7C-E712F78283BC}"/>
    <cellStyle name="20% - Énfasis2 4 2" xfId="10895" xr:uid="{A0CB2A59-FEBC-468A-9880-067467D4135C}"/>
    <cellStyle name="20% - Énfasis2 5" xfId="3620" xr:uid="{CAC1CC5C-60D3-40C8-B651-73C9EF309220}"/>
    <cellStyle name="20% - Énfasis2 5 2" xfId="8474" xr:uid="{585E4043-93A4-4FF8-9E6A-427CD4F8CCCB}"/>
    <cellStyle name="20% - Énfasis2 6" xfId="2409" xr:uid="{02333F13-F692-4535-9A0B-C2B7D365C5F0}"/>
    <cellStyle name="20% - Énfasis2 7" xfId="7265" xr:uid="{8F752D6B-CB61-4A41-A630-E29210B2ADAA}"/>
    <cellStyle name="20% - Énfasis3" xfId="31" builtinId="38" customBuiltin="1"/>
    <cellStyle name="20% - Énfasis3 2" xfId="1790" xr:uid="{DA21CC8D-C3F9-42BF-8E66-2A956AFBA2F8}"/>
    <cellStyle name="20% - Énfasis3 2 2" xfId="5435" xr:uid="{2631CEEA-5389-49F7-97F4-584761D2A434}"/>
    <cellStyle name="20% - Énfasis3 2 2 2" xfId="10287" xr:uid="{2EC062E9-1972-48D5-8FDD-80499E49A6AE}"/>
    <cellStyle name="20% - Énfasis3 2 3" xfId="6651" xr:uid="{606A88A8-7146-4399-8BB0-9BAD657A9544}"/>
    <cellStyle name="20% - Énfasis3 2 3 2" xfId="11499" xr:uid="{29F66A6C-4190-4800-A8D3-B5955BA71B7D}"/>
    <cellStyle name="20% - Énfasis3 2 4" xfId="4225" xr:uid="{6665F3CB-0D02-4D66-93C7-21BD04C3D746}"/>
    <cellStyle name="20% - Énfasis3 2 4 2" xfId="9079" xr:uid="{7C4102EF-5585-4953-B037-80EE1B7B43C7}"/>
    <cellStyle name="20% - Énfasis3 2 5" xfId="3012" xr:uid="{F96DECF4-7512-460F-928A-01ACBC607BE3}"/>
    <cellStyle name="20% - Énfasis3 2 6" xfId="7868" xr:uid="{E4034817-005D-438C-A959-B4FC53C6CCB0}"/>
    <cellStyle name="20% - Énfasis3 3" xfId="4834" xr:uid="{6E6F3E4E-2C68-4C84-A59A-CDE53171E827}"/>
    <cellStyle name="20% - Énfasis3 3 2" xfId="9686" xr:uid="{74361DAB-22F6-47C0-BBC9-1C777BF16AA0}"/>
    <cellStyle name="20% - Énfasis3 4" xfId="6047" xr:uid="{0C3D44E0-9CD9-448E-BE59-2634DE3642B8}"/>
    <cellStyle name="20% - Énfasis3 4 2" xfId="10897" xr:uid="{09E76DED-9821-465C-9492-9D8D98C757E7}"/>
    <cellStyle name="20% - Énfasis3 5" xfId="3622" xr:uid="{58EFD33C-8B31-4137-ACAB-9D1C2E935FB6}"/>
    <cellStyle name="20% - Énfasis3 5 2" xfId="8476" xr:uid="{9036A6AB-8106-4484-AC7C-E0158842C05D}"/>
    <cellStyle name="20% - Énfasis3 6" xfId="2411" xr:uid="{D1AF64B9-A9B6-4644-914E-EA4F731B8C44}"/>
    <cellStyle name="20% - Énfasis3 7" xfId="7267" xr:uid="{0A0EBEF6-F1CF-472B-B80B-3AC8EBE7860D}"/>
    <cellStyle name="20% - Énfasis4" xfId="34" builtinId="42" customBuiltin="1"/>
    <cellStyle name="20% - Énfasis4 2" xfId="1791" xr:uid="{A3C2C7BC-6EC1-4EA7-AAFF-BF277B82C254}"/>
    <cellStyle name="20% - Énfasis4 2 2" xfId="5436" xr:uid="{4BC642B5-CA15-415B-871D-83FE76214F1F}"/>
    <cellStyle name="20% - Énfasis4 2 2 2" xfId="10288" xr:uid="{79E388E6-104E-42F8-A795-B470B758BD26}"/>
    <cellStyle name="20% - Énfasis4 2 3" xfId="6652" xr:uid="{FE413057-ACBB-4058-87A8-2B8C8CCA3A90}"/>
    <cellStyle name="20% - Énfasis4 2 3 2" xfId="11500" xr:uid="{CACEB1A1-4A72-4327-AFA5-940E8CB23BCF}"/>
    <cellStyle name="20% - Énfasis4 2 4" xfId="4226" xr:uid="{6E439E3C-3FCE-42E3-A3C0-6F022F13EDBE}"/>
    <cellStyle name="20% - Énfasis4 2 4 2" xfId="9080" xr:uid="{7A59D671-5034-4397-971E-03103A0BE4F3}"/>
    <cellStyle name="20% - Énfasis4 2 5" xfId="3013" xr:uid="{1715EE34-E969-4C1D-A08E-7407BA5ABF75}"/>
    <cellStyle name="20% - Énfasis4 2 6" xfId="7869" xr:uid="{7FA21375-7222-41B6-BE46-93DA676920B8}"/>
    <cellStyle name="20% - Énfasis4 3" xfId="4836" xr:uid="{60DE6C6A-F87A-4C00-92EE-B9006618C6A6}"/>
    <cellStyle name="20% - Énfasis4 3 2" xfId="9688" xr:uid="{26FE2D5B-F0F2-4C19-8E0E-0167814ECD67}"/>
    <cellStyle name="20% - Énfasis4 4" xfId="6049" xr:uid="{0301CB6A-1828-4A8B-8228-1C87951F1C92}"/>
    <cellStyle name="20% - Énfasis4 4 2" xfId="10899" xr:uid="{7DB8D38F-FB9B-4218-831B-E5D58788615C}"/>
    <cellStyle name="20% - Énfasis4 5" xfId="3624" xr:uid="{A9358DC9-C060-4580-9FB0-E48195C4FF2E}"/>
    <cellStyle name="20% - Énfasis4 5 2" xfId="8478" xr:uid="{542C11EB-7C34-4B48-BDC9-A9E16FFE3509}"/>
    <cellStyle name="20% - Énfasis4 6" xfId="2413" xr:uid="{A9FC51D4-ECE0-44F6-AB97-31B25C667502}"/>
    <cellStyle name="20% - Énfasis4 7" xfId="7269" xr:uid="{7E16130B-5338-4AF9-B9A7-CF1483F9BF18}"/>
    <cellStyle name="20% - Énfasis5" xfId="37" builtinId="46" customBuiltin="1"/>
    <cellStyle name="20% - Énfasis5 2" xfId="1792" xr:uid="{7D50D00C-B1E7-4286-94B2-F37FAE9602A3}"/>
    <cellStyle name="20% - Énfasis5 2 2" xfId="5437" xr:uid="{0EBEA88F-FCB7-4DA7-B68E-A01FD0ADF1BB}"/>
    <cellStyle name="20% - Énfasis5 2 2 2" xfId="10289" xr:uid="{CB975F77-1839-4AC4-B6F8-8C685050FB60}"/>
    <cellStyle name="20% - Énfasis5 2 3" xfId="6653" xr:uid="{0BF2945B-2344-4246-8411-0B09040A3F76}"/>
    <cellStyle name="20% - Énfasis5 2 3 2" xfId="11501" xr:uid="{B563CEC8-C6C7-463D-AFAB-CB9ECC908830}"/>
    <cellStyle name="20% - Énfasis5 2 4" xfId="4227" xr:uid="{4D0CE47A-C98F-4357-86FC-18888D75393D}"/>
    <cellStyle name="20% - Énfasis5 2 4 2" xfId="9081" xr:uid="{6688E044-D6B9-4C87-9CB4-416BE3380B50}"/>
    <cellStyle name="20% - Énfasis5 2 5" xfId="3014" xr:uid="{F5B69095-A5CC-4FF7-84F4-509B89E007AC}"/>
    <cellStyle name="20% - Énfasis5 2 6" xfId="7870" xr:uid="{FDD3F9DB-7627-428C-A0D8-3B8994CAC2A3}"/>
    <cellStyle name="20% - Énfasis5 3" xfId="4838" xr:uid="{FA9007B1-F531-41CF-8602-C259060328EE}"/>
    <cellStyle name="20% - Énfasis5 3 2" xfId="9690" xr:uid="{5A73B185-757C-4724-9DC8-56A57422B1DE}"/>
    <cellStyle name="20% - Énfasis5 4" xfId="6051" xr:uid="{E2AD3575-9A75-4B6D-B4C2-E76FB10C89D5}"/>
    <cellStyle name="20% - Énfasis5 4 2" xfId="10901" xr:uid="{A9C0DD59-0650-461E-9F10-13D1A0D4AD0E}"/>
    <cellStyle name="20% - Énfasis5 5" xfId="3626" xr:uid="{E689F2B9-5715-4766-AA16-9948D66F8C11}"/>
    <cellStyle name="20% - Énfasis5 5 2" xfId="8480" xr:uid="{3357AB85-03C6-4EC5-BF81-658C875F1BAC}"/>
    <cellStyle name="20% - Énfasis5 6" xfId="2415" xr:uid="{C0A47F02-9AD8-4DBE-9F39-7F0257E7DE22}"/>
    <cellStyle name="20% - Énfasis5 7" xfId="7271" xr:uid="{87B73A43-2287-427E-9D6B-BF211E16300D}"/>
    <cellStyle name="20% - Énfasis6" xfId="40" builtinId="50" customBuiltin="1"/>
    <cellStyle name="20% - Énfasis6 2" xfId="1793" xr:uid="{EB65E6F3-E88A-4369-A505-BF6C3B54F45B}"/>
    <cellStyle name="20% - Énfasis6 2 2" xfId="5438" xr:uid="{042013F3-0A94-436B-8BA0-76D3B54D5BD7}"/>
    <cellStyle name="20% - Énfasis6 2 2 2" xfId="10290" xr:uid="{E7D5BBF8-D8B8-4642-85EF-D39694919C4C}"/>
    <cellStyle name="20% - Énfasis6 2 3" xfId="6654" xr:uid="{CE9DFCA1-CD82-42AB-A22E-2B20CE18D52D}"/>
    <cellStyle name="20% - Énfasis6 2 3 2" xfId="11502" xr:uid="{8FC1B8D7-EAD4-4C2C-AB14-04329D51F925}"/>
    <cellStyle name="20% - Énfasis6 2 4" xfId="4228" xr:uid="{96786DBB-E7F3-40F2-8E09-7CA37E5B4015}"/>
    <cellStyle name="20% - Énfasis6 2 4 2" xfId="9082" xr:uid="{CABE9D84-3B08-419B-91FA-78E3AE73E72D}"/>
    <cellStyle name="20% - Énfasis6 2 5" xfId="3015" xr:uid="{B5513FCC-33EF-4CB1-9CD2-493332E69F23}"/>
    <cellStyle name="20% - Énfasis6 2 6" xfId="7871" xr:uid="{61849FD3-AAF8-49AE-9613-FE8B0A820A2F}"/>
    <cellStyle name="20% - Énfasis6 3" xfId="4840" xr:uid="{53EC143E-DF2A-4489-821B-1CB1C5852214}"/>
    <cellStyle name="20% - Énfasis6 3 2" xfId="9692" xr:uid="{708BC4F1-25EF-492B-AB6A-4A9660B4223F}"/>
    <cellStyle name="20% - Énfasis6 4" xfId="6053" xr:uid="{4DB07F60-ACA2-413F-8DEC-D043950727EB}"/>
    <cellStyle name="20% - Énfasis6 4 2" xfId="10903" xr:uid="{EF6FF0FC-C253-4B98-B8EC-7FEC217C38D3}"/>
    <cellStyle name="20% - Énfasis6 5" xfId="3628" xr:uid="{634A654E-11A5-4459-B545-71B33D761A06}"/>
    <cellStyle name="20% - Énfasis6 5 2" xfId="8482" xr:uid="{4BD63E55-023F-41C4-A076-F7B0C026CB75}"/>
    <cellStyle name="20% - Énfasis6 6" xfId="2417" xr:uid="{04F57716-A9EE-43E8-B445-19AA86B5B1DB}"/>
    <cellStyle name="20% - Énfasis6 7" xfId="7273" xr:uid="{70B7A54B-56C6-4C0F-8FCA-E8040FD833A0}"/>
    <cellStyle name="40% - Énfasis1" xfId="26" builtinId="31" customBuiltin="1"/>
    <cellStyle name="40% - Énfasis1 2" xfId="1794" xr:uid="{CBF15203-DD10-4ACB-9504-DE799F3A10B7}"/>
    <cellStyle name="40% - Énfasis1 2 2" xfId="5439" xr:uid="{FF8DB43F-DD86-49A7-915A-A974F8C882FC}"/>
    <cellStyle name="40% - Énfasis1 2 2 2" xfId="10291" xr:uid="{7067DB08-E995-445D-85B3-B6A6585A5C9D}"/>
    <cellStyle name="40% - Énfasis1 2 3" xfId="6655" xr:uid="{2ED50663-C30D-4375-BC73-217B4C2B6FB8}"/>
    <cellStyle name="40% - Énfasis1 2 3 2" xfId="11503" xr:uid="{8D1929D4-1949-4D64-A582-5BF16969DBBE}"/>
    <cellStyle name="40% - Énfasis1 2 4" xfId="4229" xr:uid="{0BE1A89F-7654-4FCF-B89D-516C54295DDB}"/>
    <cellStyle name="40% - Énfasis1 2 4 2" xfId="9083" xr:uid="{F02919DA-00FC-48F7-8A73-3899A5A0FBA4}"/>
    <cellStyle name="40% - Énfasis1 2 5" xfId="3016" xr:uid="{973033DE-C69F-4F20-A4DB-7591B7917591}"/>
    <cellStyle name="40% - Énfasis1 2 6" xfId="7872" xr:uid="{F5C29B24-0453-4232-B367-FB363C7ADAB6}"/>
    <cellStyle name="40% - Énfasis1 3" xfId="4831" xr:uid="{5F1C6877-FD81-4F33-84BD-7E57F465C40D}"/>
    <cellStyle name="40% - Énfasis1 3 2" xfId="9683" xr:uid="{2007C119-63CC-478A-9F95-7A4A18A955A7}"/>
    <cellStyle name="40% - Énfasis1 4" xfId="6044" xr:uid="{AF142616-0460-4FE3-BB91-5574C36DD52B}"/>
    <cellStyle name="40% - Énfasis1 4 2" xfId="10894" xr:uid="{610CFCFA-D442-417B-8340-F7FBA18F2986}"/>
    <cellStyle name="40% - Énfasis1 5" xfId="3619" xr:uid="{9D45C7E9-5D71-465E-8E77-9DC3BCE47333}"/>
    <cellStyle name="40% - Énfasis1 5 2" xfId="8473" xr:uid="{D476FAB7-63E6-483D-AFA4-3CEE121FF28B}"/>
    <cellStyle name="40% - Énfasis1 6" xfId="2408" xr:uid="{1D31666B-CB22-4D6A-9CB8-E7E262B1CBF1}"/>
    <cellStyle name="40% - Énfasis1 7" xfId="7264" xr:uid="{64F9C739-445D-4E19-AB19-A81BAAF83ACF}"/>
    <cellStyle name="40% - Énfasis2" xfId="29" builtinId="35" customBuiltin="1"/>
    <cellStyle name="40% - Énfasis2 2" xfId="1795" xr:uid="{FE00A9E4-6F44-492E-9E2B-D53B9125115B}"/>
    <cellStyle name="40% - Énfasis2 2 2" xfId="5440" xr:uid="{496616FB-183B-4B74-AE65-291397029E69}"/>
    <cellStyle name="40% - Énfasis2 2 2 2" xfId="10292" xr:uid="{5CC504B2-462E-4CA5-9398-61B5DF667641}"/>
    <cellStyle name="40% - Énfasis2 2 3" xfId="6656" xr:uid="{5BDD287B-00A2-4CA1-A93B-C19E06B1CB6A}"/>
    <cellStyle name="40% - Énfasis2 2 3 2" xfId="11504" xr:uid="{986A3B50-9231-4B4D-8855-7AA05B08B4D4}"/>
    <cellStyle name="40% - Énfasis2 2 4" xfId="4230" xr:uid="{8DADA296-3D0A-42AA-8E81-38109C171F16}"/>
    <cellStyle name="40% - Énfasis2 2 4 2" xfId="9084" xr:uid="{5D291409-9C02-4995-B84A-B8BC94554E64}"/>
    <cellStyle name="40% - Énfasis2 2 5" xfId="3017" xr:uid="{500958B8-54E5-4229-8FC5-7F5BBA53E9F1}"/>
    <cellStyle name="40% - Énfasis2 2 6" xfId="7873" xr:uid="{9AC5C7A9-455C-44FF-8130-2D69CB18B290}"/>
    <cellStyle name="40% - Énfasis2 3" xfId="4833" xr:uid="{FC2A8142-03E0-401A-94A5-EDD10EA61720}"/>
    <cellStyle name="40% - Énfasis2 3 2" xfId="9685" xr:uid="{7CBBAEDF-0D65-4D44-910E-045E00A395CE}"/>
    <cellStyle name="40% - Énfasis2 4" xfId="6046" xr:uid="{3CCAA83C-B7C1-4068-9D91-434AB69656BA}"/>
    <cellStyle name="40% - Énfasis2 4 2" xfId="10896" xr:uid="{E010CC4C-C082-486F-B4A9-13EB495F2984}"/>
    <cellStyle name="40% - Énfasis2 5" xfId="3621" xr:uid="{DEDF95CC-EEBC-4164-98F5-9496A9441E26}"/>
    <cellStyle name="40% - Énfasis2 5 2" xfId="8475" xr:uid="{A59BF9B8-7667-421A-B571-8D158C94EF3B}"/>
    <cellStyle name="40% - Énfasis2 6" xfId="2410" xr:uid="{2BE3F56F-0C0A-489A-A745-5B6B732C6093}"/>
    <cellStyle name="40% - Énfasis2 7" xfId="7266" xr:uid="{5208710A-56F8-4A5D-B724-95388728CC51}"/>
    <cellStyle name="40% - Énfasis3" xfId="32" builtinId="39" customBuiltin="1"/>
    <cellStyle name="40% - Énfasis3 2" xfId="1796" xr:uid="{83D15A0E-0E8C-490F-938F-2068778BC8AA}"/>
    <cellStyle name="40% - Énfasis3 2 2" xfId="5441" xr:uid="{FC026CD3-4FFC-427E-B5FD-0FA87143BECD}"/>
    <cellStyle name="40% - Énfasis3 2 2 2" xfId="10293" xr:uid="{D689F60C-E929-4F9F-AEAA-2EE887500022}"/>
    <cellStyle name="40% - Énfasis3 2 3" xfId="6657" xr:uid="{29B76B7F-41F8-4173-BBBD-D58C1327C512}"/>
    <cellStyle name="40% - Énfasis3 2 3 2" xfId="11505" xr:uid="{C6A08B9B-DEBB-4051-924D-D4696BA3E800}"/>
    <cellStyle name="40% - Énfasis3 2 4" xfId="4231" xr:uid="{FE999629-B5A2-40D0-B1E6-F2E2AC0A93D7}"/>
    <cellStyle name="40% - Énfasis3 2 4 2" xfId="9085" xr:uid="{232DFF52-9C39-4FC2-9611-B4E82FD0306F}"/>
    <cellStyle name="40% - Énfasis3 2 5" xfId="3018" xr:uid="{452B9E90-800F-48F0-8CB7-D08357562DF4}"/>
    <cellStyle name="40% - Énfasis3 2 6" xfId="7874" xr:uid="{799B1619-3979-4BDB-B682-CA7A3A7E564F}"/>
    <cellStyle name="40% - Énfasis3 3" xfId="4835" xr:uid="{C4FA0A4D-CD9E-4D32-B6B3-88016FD934CA}"/>
    <cellStyle name="40% - Énfasis3 3 2" xfId="9687" xr:uid="{554CA05A-1404-4B22-8AAD-72F0C8C1BFBD}"/>
    <cellStyle name="40% - Énfasis3 4" xfId="6048" xr:uid="{7C6846BA-1EB4-4799-8B20-A8B1D0B17651}"/>
    <cellStyle name="40% - Énfasis3 4 2" xfId="10898" xr:uid="{D2460265-F6F5-4089-BA40-11A6A59C2208}"/>
    <cellStyle name="40% - Énfasis3 5" xfId="3623" xr:uid="{54876139-08F1-40A1-B93F-4D93C5E942DE}"/>
    <cellStyle name="40% - Énfasis3 5 2" xfId="8477" xr:uid="{1547F5C6-840F-4D56-8225-7405E086D5F1}"/>
    <cellStyle name="40% - Énfasis3 6" xfId="2412" xr:uid="{F4F7B147-7642-4E79-9792-879FDF428AF5}"/>
    <cellStyle name="40% - Énfasis3 7" xfId="7268" xr:uid="{E006CA4F-4504-49DA-8F7C-B076809591FD}"/>
    <cellStyle name="40% - Énfasis4" xfId="35" builtinId="43" customBuiltin="1"/>
    <cellStyle name="40% - Énfasis4 2" xfId="1797" xr:uid="{0B1A1FAD-46B0-4B64-8657-0DC05FA6EBA6}"/>
    <cellStyle name="40% - Énfasis4 2 2" xfId="5442" xr:uid="{95294B36-4BF4-48F4-B7B5-E7AEF3BBD597}"/>
    <cellStyle name="40% - Énfasis4 2 2 2" xfId="10294" xr:uid="{D5E242C3-CD67-410D-A02A-93F78ACA4670}"/>
    <cellStyle name="40% - Énfasis4 2 3" xfId="6658" xr:uid="{63D23F46-99D6-4CEE-8143-E703322D27AE}"/>
    <cellStyle name="40% - Énfasis4 2 3 2" xfId="11506" xr:uid="{F5D7BC39-863D-4892-A7E2-4EFAB440B21F}"/>
    <cellStyle name="40% - Énfasis4 2 4" xfId="4232" xr:uid="{BEE56134-71F6-4311-8FA4-3DE9F541E417}"/>
    <cellStyle name="40% - Énfasis4 2 4 2" xfId="9086" xr:uid="{873D7276-3526-44C1-803A-AE7B8D68CE1F}"/>
    <cellStyle name="40% - Énfasis4 2 5" xfId="3019" xr:uid="{3CFC6D71-2979-4D80-95F3-AC3BE2186ECC}"/>
    <cellStyle name="40% - Énfasis4 2 6" xfId="7875" xr:uid="{40D45416-129B-4CA2-BDE6-762779D2D04C}"/>
    <cellStyle name="40% - Énfasis4 3" xfId="4837" xr:uid="{86852C23-550C-4AE1-9DE5-C0585624E79B}"/>
    <cellStyle name="40% - Énfasis4 3 2" xfId="9689" xr:uid="{A68A9C5A-F003-4FDA-9A08-E54BE682A2C4}"/>
    <cellStyle name="40% - Énfasis4 4" xfId="6050" xr:uid="{EEA989CC-00FF-4DBE-9FED-B8FB507E6BEE}"/>
    <cellStyle name="40% - Énfasis4 4 2" xfId="10900" xr:uid="{5C5DF473-F698-4F80-8C63-DE7DC5F4F182}"/>
    <cellStyle name="40% - Énfasis4 5" xfId="3625" xr:uid="{9205F5E0-9F37-4072-8267-DEF18A349B8A}"/>
    <cellStyle name="40% - Énfasis4 5 2" xfId="8479" xr:uid="{4C95F14D-C099-4BCD-9088-3FB7CE9037BB}"/>
    <cellStyle name="40% - Énfasis4 6" xfId="2414" xr:uid="{63ACE2D8-4D4F-4908-879A-1410EE0147CD}"/>
    <cellStyle name="40% - Énfasis4 7" xfId="7270" xr:uid="{09CEFA25-B2D6-4206-A9C8-62DE9D21AEF8}"/>
    <cellStyle name="40% - Énfasis5" xfId="38" builtinId="47" customBuiltin="1"/>
    <cellStyle name="40% - Énfasis5 2" xfId="1798" xr:uid="{41A47254-3DE9-498E-AACE-62FF0E803A33}"/>
    <cellStyle name="40% - Énfasis5 2 2" xfId="5443" xr:uid="{E37A6D8C-07D9-4661-9D5D-5120D2138F88}"/>
    <cellStyle name="40% - Énfasis5 2 2 2" xfId="10295" xr:uid="{E414C6E0-A566-4F66-B063-00FD4F5B0CDB}"/>
    <cellStyle name="40% - Énfasis5 2 3" xfId="6659" xr:uid="{CA401D74-7C4C-4119-A5A3-AF3C44267460}"/>
    <cellStyle name="40% - Énfasis5 2 3 2" xfId="11507" xr:uid="{AAB9968E-A3EF-4A39-8AAF-C635594A2522}"/>
    <cellStyle name="40% - Énfasis5 2 4" xfId="4233" xr:uid="{0BB03A8E-4630-48F7-A492-A8D431EC3135}"/>
    <cellStyle name="40% - Énfasis5 2 4 2" xfId="9087" xr:uid="{77057D8F-4B46-4FC1-A858-79FF734364C4}"/>
    <cellStyle name="40% - Énfasis5 2 5" xfId="3020" xr:uid="{70B48380-055B-47EE-8C69-D97E32DCDC46}"/>
    <cellStyle name="40% - Énfasis5 2 6" xfId="7876" xr:uid="{CF3ACA2D-86D6-4CE0-B2CD-274048F5BA94}"/>
    <cellStyle name="40% - Énfasis5 3" xfId="4839" xr:uid="{C8692DBC-CB23-475B-9C56-E7EDD2BDCAFB}"/>
    <cellStyle name="40% - Énfasis5 3 2" xfId="9691" xr:uid="{413E4BE0-9FA4-4D99-9DF3-ADBF3DCF71BB}"/>
    <cellStyle name="40% - Énfasis5 4" xfId="6052" xr:uid="{15D82FF2-0CF2-4C0D-B1AA-E32C25AEA55E}"/>
    <cellStyle name="40% - Énfasis5 4 2" xfId="10902" xr:uid="{BD9A3DB5-18F8-4DA6-9A51-50681A4847F1}"/>
    <cellStyle name="40% - Énfasis5 5" xfId="3627" xr:uid="{5C0328C9-D827-453B-8207-0885126B1BD8}"/>
    <cellStyle name="40% - Énfasis5 5 2" xfId="8481" xr:uid="{4A02CDD2-3AF6-491C-8283-7603FBB93FA7}"/>
    <cellStyle name="40% - Énfasis5 6" xfId="2416" xr:uid="{7751DC15-7244-4F26-A2CF-5F6D0527EE46}"/>
    <cellStyle name="40% - Énfasis5 7" xfId="7272" xr:uid="{F3598E14-37B3-48D0-948E-9B6FC42ED6B5}"/>
    <cellStyle name="40% - Énfasis6" xfId="41" builtinId="51" customBuiltin="1"/>
    <cellStyle name="40% - Énfasis6 2" xfId="1799" xr:uid="{C84BB5F3-9D06-40DB-98B5-C8F277B757CA}"/>
    <cellStyle name="40% - Énfasis6 2 2" xfId="5444" xr:uid="{3FF02888-5004-45E7-9FB8-D8C406385CE7}"/>
    <cellStyle name="40% - Énfasis6 2 2 2" xfId="10296" xr:uid="{8347B9FA-F674-4D00-B9C4-D1F52E84B5F9}"/>
    <cellStyle name="40% - Énfasis6 2 3" xfId="6660" xr:uid="{0FAC6132-F7EB-4468-9CB3-2F17724AA174}"/>
    <cellStyle name="40% - Énfasis6 2 3 2" xfId="11508" xr:uid="{EC6D2C5F-FAE8-4C01-8C68-C90A674A1859}"/>
    <cellStyle name="40% - Énfasis6 2 4" xfId="4234" xr:uid="{79502389-03E3-48DD-8776-35F8EFD7C6A4}"/>
    <cellStyle name="40% - Énfasis6 2 4 2" xfId="9088" xr:uid="{1E9DB8A2-992C-4E76-948A-6FF08324CB8D}"/>
    <cellStyle name="40% - Énfasis6 2 5" xfId="3021" xr:uid="{296FE6FC-6E65-42A8-B4AE-88DED74D55A5}"/>
    <cellStyle name="40% - Énfasis6 2 6" xfId="7877" xr:uid="{2DA4DB41-1A46-4EE5-8A2C-3C0E03B11A1B}"/>
    <cellStyle name="40% - Énfasis6 3" xfId="4841" xr:uid="{CF4DB87D-343C-4927-B892-9E59FE8BA5AE}"/>
    <cellStyle name="40% - Énfasis6 3 2" xfId="9693" xr:uid="{4F0F3447-F63B-4F4C-8D57-676307ED39AD}"/>
    <cellStyle name="40% - Énfasis6 4" xfId="6054" xr:uid="{3A116715-9D53-4A4D-AE8A-6309F71758DA}"/>
    <cellStyle name="40% - Énfasis6 4 2" xfId="10904" xr:uid="{849F5F75-B47A-4B4E-9265-9CBEEC855265}"/>
    <cellStyle name="40% - Énfasis6 5" xfId="3629" xr:uid="{B371708A-C152-4493-8970-2C5526DAEDC5}"/>
    <cellStyle name="40% - Énfasis6 5 2" xfId="8483" xr:uid="{062D9931-769C-41E4-974D-EE715B2E754B}"/>
    <cellStyle name="40% - Énfasis6 6" xfId="2418" xr:uid="{0A21B2E1-DEC0-4441-AB4F-6DBD4C22696D}"/>
    <cellStyle name="40% - Énfasis6 7" xfId="7274" xr:uid="{69FA1B58-3AB5-480B-8705-95AAA634F52C}"/>
    <cellStyle name="60% - Énfasis1 2" xfId="137" xr:uid="{2677EDFD-34B4-4134-B263-DA52FD0B113B}"/>
    <cellStyle name="60% - Énfasis1 2 2" xfId="1800" xr:uid="{AAE2DF20-89FF-4DEA-9706-920F78EAA4E0}"/>
    <cellStyle name="60% - Énfasis1 2 2 2" xfId="5445" xr:uid="{3F840451-2BA4-432D-8B86-DCAC2D5ABA5A}"/>
    <cellStyle name="60% - Énfasis1 2 2 2 2" xfId="10297" xr:uid="{DE5363B9-FEEF-4BE7-9C16-973DD6B86448}"/>
    <cellStyle name="60% - Énfasis1 2 2 3" xfId="6661" xr:uid="{D1DA6007-83E9-46C1-8532-B22F14E272AC}"/>
    <cellStyle name="60% - Énfasis1 2 2 3 2" xfId="11509" xr:uid="{DBED4639-F646-4B90-809E-E7A853A8D401}"/>
    <cellStyle name="60% - Énfasis1 2 2 4" xfId="4235" xr:uid="{6E95D762-0981-43F1-9A6E-C2391C5EB059}"/>
    <cellStyle name="60% - Énfasis1 2 2 4 2" xfId="9089" xr:uid="{BF51F2C9-8BB0-4BB5-B079-3FE908F3E489}"/>
    <cellStyle name="60% - Énfasis1 2 2 5" xfId="3022" xr:uid="{D9883848-7112-44E7-8452-36080C3CDDA1}"/>
    <cellStyle name="60% - Énfasis1 2 2 6" xfId="7878" xr:uid="{BA78B4FD-B34C-4641-B98C-FB4539A16003}"/>
    <cellStyle name="60% - Énfasis1 2 3" xfId="4842" xr:uid="{26D9FBC1-94F5-46C1-94C1-3F6DAA478F72}"/>
    <cellStyle name="60% - Énfasis1 2 3 2" xfId="9694" xr:uid="{7D099F01-1F0A-4ED9-8297-3744FB6F1D8E}"/>
    <cellStyle name="60% - Énfasis1 2 4" xfId="6055" xr:uid="{FDF969AA-3829-4A3F-A9B2-417B2A973EDF}"/>
    <cellStyle name="60% - Énfasis1 2 4 2" xfId="10905" xr:uid="{C2A16C64-6171-4302-A691-50930F2672D3}"/>
    <cellStyle name="60% - Énfasis1 2 5" xfId="3632" xr:uid="{67D05F2D-CD59-45DD-8476-13ED2A1CC9A5}"/>
    <cellStyle name="60% - Énfasis1 2 5 2" xfId="8486" xr:uid="{20623636-5548-40B4-A55B-86A1C33C8E74}"/>
    <cellStyle name="60% - Énfasis1 2 6" xfId="2419" xr:uid="{915ABE0C-3D3C-49D7-AB4C-6B237FC2F71E}"/>
    <cellStyle name="60% - Énfasis1 2 7" xfId="7275" xr:uid="{0F88263B-823C-4513-829C-FC5D1487383C}"/>
    <cellStyle name="60% - Énfasis2 2" xfId="147" xr:uid="{415CF2FB-CBFC-46D7-BD58-BAC5AB9C1527}"/>
    <cellStyle name="60% - Énfasis2 2 2" xfId="1801" xr:uid="{5C7DC410-E65A-4E21-87F2-4C57F6499183}"/>
    <cellStyle name="60% - Énfasis2 2 2 2" xfId="5446" xr:uid="{C62ADD7C-85C9-412F-A153-D13562B76AC5}"/>
    <cellStyle name="60% - Énfasis2 2 2 2 2" xfId="10298" xr:uid="{E321FB37-75A7-4B4F-8C9B-EB46E6726468}"/>
    <cellStyle name="60% - Énfasis2 2 2 3" xfId="6662" xr:uid="{111FF800-37F1-4AC7-8105-F03A6035551E}"/>
    <cellStyle name="60% - Énfasis2 2 2 3 2" xfId="11510" xr:uid="{327DD018-B301-4BE0-96BF-542C1E81BAD5}"/>
    <cellStyle name="60% - Énfasis2 2 2 4" xfId="4236" xr:uid="{F7020646-410B-4F5B-BCEA-BF51DC1981A9}"/>
    <cellStyle name="60% - Énfasis2 2 2 4 2" xfId="9090" xr:uid="{202B6F06-6876-4E3E-A908-5312D85AA05E}"/>
    <cellStyle name="60% - Énfasis2 2 2 5" xfId="3023" xr:uid="{BB1712B6-3E24-4C2A-8C03-24F5BA2D0CBC}"/>
    <cellStyle name="60% - Énfasis2 2 2 6" xfId="7879" xr:uid="{FFA20600-A2BD-4AFE-888A-6D5A8978C9B4}"/>
    <cellStyle name="60% - Énfasis2 2 3" xfId="4843" xr:uid="{23326193-132F-4A28-B16E-E8E08B8B8B84}"/>
    <cellStyle name="60% - Énfasis2 2 3 2" xfId="9695" xr:uid="{93184212-79F5-4E7A-A800-7C7A52806B33}"/>
    <cellStyle name="60% - Énfasis2 2 4" xfId="6056" xr:uid="{04018991-C9D5-4086-A7AE-1AD8D884DCDA}"/>
    <cellStyle name="60% - Énfasis2 2 4 2" xfId="10906" xr:uid="{0DBB9919-2C61-4EA8-9923-1A59B84325A4}"/>
    <cellStyle name="60% - Énfasis2 2 5" xfId="3633" xr:uid="{C39CCBEC-4FC8-43BB-B9E8-A6C04A1EA93A}"/>
    <cellStyle name="60% - Énfasis2 2 5 2" xfId="8487" xr:uid="{3B75E8A0-251D-41C5-85ED-E3A2186C0205}"/>
    <cellStyle name="60% - Énfasis2 2 6" xfId="2420" xr:uid="{F698213A-B1AB-4DC0-85CD-B622C0366A74}"/>
    <cellStyle name="60% - Énfasis2 2 7" xfId="7276" xr:uid="{C7E18DD8-7EFF-4203-A171-AAF772EEB7BE}"/>
    <cellStyle name="60% - Énfasis3 2" xfId="131" xr:uid="{F3BF81CC-8B1E-40BD-99C9-9BC8CE1C32B2}"/>
    <cellStyle name="60% - Énfasis3 2 2" xfId="1802" xr:uid="{4609DFD3-C147-4C95-B259-C55F36B83FC4}"/>
    <cellStyle name="60% - Énfasis3 2 2 2" xfId="5447" xr:uid="{18F583CF-9757-4194-A652-D012E226589C}"/>
    <cellStyle name="60% - Énfasis3 2 2 2 2" xfId="10299" xr:uid="{4202A831-1309-4B92-8648-800BE40CE4F3}"/>
    <cellStyle name="60% - Énfasis3 2 2 3" xfId="6663" xr:uid="{219C8526-84E1-417F-A099-C1DD72C79830}"/>
    <cellStyle name="60% - Énfasis3 2 2 3 2" xfId="11511" xr:uid="{784F06CD-1E43-46A0-973B-EB7BE8486250}"/>
    <cellStyle name="60% - Énfasis3 2 2 4" xfId="4237" xr:uid="{DA0DBF60-B82D-4CFD-A36C-A5B3F1EB8332}"/>
    <cellStyle name="60% - Énfasis3 2 2 4 2" xfId="9091" xr:uid="{349F6B06-8C50-4AB9-9E3F-5A478C6987ED}"/>
    <cellStyle name="60% - Énfasis3 2 2 5" xfId="3024" xr:uid="{6B2BE17A-1516-4538-A5D8-F856CFDCC325}"/>
    <cellStyle name="60% - Énfasis3 2 2 6" xfId="7880" xr:uid="{24FE37D0-064F-4958-B2EA-60B8E5AB9CDA}"/>
    <cellStyle name="60% - Énfasis3 2 3" xfId="4844" xr:uid="{C1709EC8-9721-4E60-9707-B508D31159A3}"/>
    <cellStyle name="60% - Énfasis3 2 3 2" xfId="9696" xr:uid="{5D84DF20-3032-4F80-BFCA-F539786E20F0}"/>
    <cellStyle name="60% - Énfasis3 2 4" xfId="6057" xr:uid="{0996138C-8C15-4082-93B6-445BFB70ECF8}"/>
    <cellStyle name="60% - Énfasis3 2 4 2" xfId="10907" xr:uid="{191C5879-5215-4F28-A72B-F5EEED93315D}"/>
    <cellStyle name="60% - Énfasis3 2 5" xfId="3634" xr:uid="{BF93001D-958D-4F59-89FD-159F7D4A02F6}"/>
    <cellStyle name="60% - Énfasis3 2 5 2" xfId="8488" xr:uid="{587B5EFF-90A0-4FBD-8478-97A0114D507E}"/>
    <cellStyle name="60% - Énfasis3 2 6" xfId="2421" xr:uid="{45FB6BAA-01BD-4442-8585-3783E9C90423}"/>
    <cellStyle name="60% - Énfasis3 2 7" xfId="7277" xr:uid="{EFBD82A2-333A-492D-98CF-05295FA493DA}"/>
    <cellStyle name="60% - Énfasis4 2" xfId="130" xr:uid="{11007E71-D2EA-463E-8D53-F89ABB256D4D}"/>
    <cellStyle name="60% - Énfasis4 2 2" xfId="1803" xr:uid="{15ECA41D-FED2-4E9B-A822-A20FA4252AE7}"/>
    <cellStyle name="60% - Énfasis4 2 2 2" xfId="5448" xr:uid="{5C80D9A3-1138-4535-97AA-CBCA4A714AA7}"/>
    <cellStyle name="60% - Énfasis4 2 2 2 2" xfId="10300" xr:uid="{BDB42736-E08D-4C3F-99F4-913E3B169078}"/>
    <cellStyle name="60% - Énfasis4 2 2 3" xfId="6664" xr:uid="{F730EF97-5D21-49D4-B0FD-E7F0D8D733B5}"/>
    <cellStyle name="60% - Énfasis4 2 2 3 2" xfId="11512" xr:uid="{E5383063-F141-4B48-B5A0-DF228FDDC9EF}"/>
    <cellStyle name="60% - Énfasis4 2 2 4" xfId="4238" xr:uid="{90670577-8811-4368-936E-741BCA075E7A}"/>
    <cellStyle name="60% - Énfasis4 2 2 4 2" xfId="9092" xr:uid="{B612C05A-F6C2-48EF-BB79-9C9839A0E9BD}"/>
    <cellStyle name="60% - Énfasis4 2 2 5" xfId="3025" xr:uid="{1232E0ED-8FF9-4676-9F96-6B4B63CC4CCD}"/>
    <cellStyle name="60% - Énfasis4 2 2 6" xfId="7881" xr:uid="{5D97096F-474C-465C-ABAB-26904AF5C440}"/>
    <cellStyle name="60% - Énfasis4 2 3" xfId="4845" xr:uid="{0A4CC3BF-A486-4DD5-B595-58C7FC77C8E1}"/>
    <cellStyle name="60% - Énfasis4 2 3 2" xfId="9697" xr:uid="{426407CE-D2FD-4C57-9726-04D9C0A02A31}"/>
    <cellStyle name="60% - Énfasis4 2 4" xfId="6058" xr:uid="{F507CB71-B589-40E6-B544-2CA82A13F51C}"/>
    <cellStyle name="60% - Énfasis4 2 4 2" xfId="10908" xr:uid="{75AD3516-EAF5-4DAA-A17D-5B4189B82AAD}"/>
    <cellStyle name="60% - Énfasis4 2 5" xfId="3635" xr:uid="{1E6FA8A2-CB61-4BBE-8032-1E53667801A2}"/>
    <cellStyle name="60% - Énfasis4 2 5 2" xfId="8489" xr:uid="{9A589CE1-6B90-46C5-ACF6-3FCE63C2DA2E}"/>
    <cellStyle name="60% - Énfasis4 2 6" xfId="2422" xr:uid="{A49E8787-DA56-4295-8F43-D745F5D0F376}"/>
    <cellStyle name="60% - Énfasis4 2 7" xfId="7278" xr:uid="{28933FA0-D6E6-460D-844F-3166D86A44FE}"/>
    <cellStyle name="60% - Énfasis5 2" xfId="142" xr:uid="{DE4B40B6-E6B0-431E-B446-36C8CB7ECD4F}"/>
    <cellStyle name="60% - Énfasis5 2 2" xfId="1804" xr:uid="{13357B48-BD10-41BC-929B-05023D82F7C6}"/>
    <cellStyle name="60% - Énfasis5 2 2 2" xfId="5449" xr:uid="{600936EF-61DA-4A3F-8DB1-B40556DC2855}"/>
    <cellStyle name="60% - Énfasis5 2 2 2 2" xfId="10301" xr:uid="{C9FB487C-EA3F-4334-B7EC-0DE9294839E4}"/>
    <cellStyle name="60% - Énfasis5 2 2 3" xfId="6665" xr:uid="{2E839BA2-1129-40A3-8C5A-A88CD4B83CCE}"/>
    <cellStyle name="60% - Énfasis5 2 2 3 2" xfId="11513" xr:uid="{EEBC0A46-2A28-4DCA-8B2E-40186743C3C1}"/>
    <cellStyle name="60% - Énfasis5 2 2 4" xfId="4239" xr:uid="{775B31FE-990A-4E71-B7F1-025DEFB048C3}"/>
    <cellStyle name="60% - Énfasis5 2 2 4 2" xfId="9093" xr:uid="{31EE869C-4BEC-48C5-80EC-F52E3D22B230}"/>
    <cellStyle name="60% - Énfasis5 2 2 5" xfId="3026" xr:uid="{E7A7F898-1996-4F83-9DF2-1783B565A924}"/>
    <cellStyle name="60% - Énfasis5 2 2 6" xfId="7882" xr:uid="{6139C684-CB89-4033-8420-ABAC08A81762}"/>
    <cellStyle name="60% - Énfasis5 2 3" xfId="4846" xr:uid="{569A18C4-D08C-448F-812D-12B3B52AF09F}"/>
    <cellStyle name="60% - Énfasis5 2 3 2" xfId="9698" xr:uid="{A1271F7D-2F7E-48EF-B766-0606446BA527}"/>
    <cellStyle name="60% - Énfasis5 2 4" xfId="6059" xr:uid="{AEC2E624-28CD-4DC1-8C9D-AEB313887218}"/>
    <cellStyle name="60% - Énfasis5 2 4 2" xfId="10909" xr:uid="{45FA8BDC-1783-40DE-8B73-9506A30824E4}"/>
    <cellStyle name="60% - Énfasis5 2 5" xfId="3636" xr:uid="{B0E2D876-E60A-445D-8EF6-7B0CEA74D3B4}"/>
    <cellStyle name="60% - Énfasis5 2 5 2" xfId="8490" xr:uid="{5097FFB6-33F7-4DA5-839F-53BF4E9D049C}"/>
    <cellStyle name="60% - Énfasis5 2 6" xfId="2423" xr:uid="{A3C9CE14-3E99-4B3C-88EF-F114878D7912}"/>
    <cellStyle name="60% - Énfasis5 2 7" xfId="7279" xr:uid="{A0D02B65-F5EE-4AAE-9A72-D7E8B531BA26}"/>
    <cellStyle name="60% - Énfasis6 2" xfId="141" xr:uid="{D39F5E3B-4EF9-4336-9FBB-8388D2DC9887}"/>
    <cellStyle name="60% - Énfasis6 2 2" xfId="1805" xr:uid="{F61355D8-62D6-4F01-9E4E-F9AD048F49F3}"/>
    <cellStyle name="60% - Énfasis6 2 2 2" xfId="5450" xr:uid="{15BB056D-8A92-4C1C-BBE7-0A6DD33312A2}"/>
    <cellStyle name="60% - Énfasis6 2 2 2 2" xfId="10302" xr:uid="{2F27099A-BEA3-41FC-9D5E-9E2A4A9B7CF2}"/>
    <cellStyle name="60% - Énfasis6 2 2 3" xfId="6666" xr:uid="{D2C25D80-8208-4492-B3CF-76705C3F4B02}"/>
    <cellStyle name="60% - Énfasis6 2 2 3 2" xfId="11514" xr:uid="{DD964EDD-CA4C-4BED-A30C-05E0A8241DAF}"/>
    <cellStyle name="60% - Énfasis6 2 2 4" xfId="4240" xr:uid="{9ED366C5-F226-43B2-B358-DD29EF9D0D5F}"/>
    <cellStyle name="60% - Énfasis6 2 2 4 2" xfId="9094" xr:uid="{5FD90DE8-B4FA-4DD5-BA58-62D5FDEC987E}"/>
    <cellStyle name="60% - Énfasis6 2 2 5" xfId="3027" xr:uid="{B13232A2-E38A-4A92-94EC-FB028E8AC23E}"/>
    <cellStyle name="60% - Énfasis6 2 2 6" xfId="7883" xr:uid="{ED379D11-6EC2-4A17-9967-7BE06CEB0198}"/>
    <cellStyle name="60% - Énfasis6 2 3" xfId="4847" xr:uid="{7EBF202B-3D45-4D2D-A783-1E2724CCEC3F}"/>
    <cellStyle name="60% - Énfasis6 2 3 2" xfId="9699" xr:uid="{D6DAF00A-BB19-45E3-9405-6B5AFACCEBDA}"/>
    <cellStyle name="60% - Énfasis6 2 4" xfId="6060" xr:uid="{D1495873-2F16-4446-8908-7F509D0176FD}"/>
    <cellStyle name="60% - Énfasis6 2 4 2" xfId="10910" xr:uid="{376333CA-9852-4452-B25A-56DD64F590B5}"/>
    <cellStyle name="60% - Énfasis6 2 5" xfId="3637" xr:uid="{D4C68591-E96C-4802-B76B-96E5273D3B3B}"/>
    <cellStyle name="60% - Énfasis6 2 5 2" xfId="8491" xr:uid="{07E2024F-FC41-4031-AEA8-8A4F2EEB9ED5}"/>
    <cellStyle name="60% - Énfasis6 2 6" xfId="2424" xr:uid="{7F3299EE-22CC-46AC-A394-72D8A8F33CE6}"/>
    <cellStyle name="60% - Énfasis6 2 7" xfId="7280" xr:uid="{F2141E34-408D-4E69-8DA8-A1DD8B88C422}"/>
    <cellStyle name="Bueno" xfId="14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10" builtinId="16" customBuiltin="1"/>
    <cellStyle name="Encabezado 4" xfId="13" builtinId="19" customBuiltin="1"/>
    <cellStyle name="Énfasis1" xfId="24" builtinId="29" customBuiltin="1"/>
    <cellStyle name="Énfasis2" xfId="27" builtinId="33" customBuiltin="1"/>
    <cellStyle name="Énfasis3" xfId="30" builtinId="37" customBuiltin="1"/>
    <cellStyle name="Énfasis4" xfId="33" builtinId="41" customBuiltin="1"/>
    <cellStyle name="Énfasis5" xfId="36" builtinId="45" customBuiltin="1"/>
    <cellStyle name="Énfasis6" xfId="39" builtinId="49" customBuiltin="1"/>
    <cellStyle name="Entrada" xfId="16" builtinId="20" customBuiltin="1"/>
    <cellStyle name="Euro" xfId="116" xr:uid="{6CEEF65B-14DA-41E0-AB44-1BC39BCB2262}"/>
    <cellStyle name="Hipervínculo 2" xfId="111" xr:uid="{7C6A26F0-9467-47C5-ABCA-0E42587FBBDB}"/>
    <cellStyle name="Hipervínculo 2 2" xfId="12121" xr:uid="{8AB37FF5-54C4-46C9-B76B-CA3D6C34D365}"/>
    <cellStyle name="Hipervínculo 2 3" xfId="129" xr:uid="{76F0FFA5-1DF3-4C69-A689-8AD3DDCACC7B}"/>
    <cellStyle name="Hipervínculo 3" xfId="117" xr:uid="{680D4F29-F4F4-44BF-AF27-B067933C58A4}"/>
    <cellStyle name="Hipervínculo 4" xfId="128" xr:uid="{CB26E7E4-D545-4604-9CEB-29E7E35AF307}"/>
    <cellStyle name="Hipervínculo 5" xfId="127" xr:uid="{FE51F92E-26A5-41CF-8835-11DC9664A1B8}"/>
    <cellStyle name="Hyperlink" xfId="112" xr:uid="{7DC923FF-514A-4D07-BAAF-26829862ED61}"/>
    <cellStyle name="Incorrecto" xfId="15" builtinId="27" customBuiltin="1"/>
    <cellStyle name="Millares [0]" xfId="6" builtinId="6"/>
    <cellStyle name="Millares [0] 10" xfId="4828" xr:uid="{30E365FC-6D97-45FD-9669-26412717CC32}"/>
    <cellStyle name="Millares [0] 10 2" xfId="9681" xr:uid="{EDF474C1-A277-4E60-A27B-FA341DB91750}"/>
    <cellStyle name="Millares [0] 11" xfId="6041" xr:uid="{0B0A5791-063B-41C1-BBFE-2FFA854B61E3}"/>
    <cellStyle name="Millares [0] 11 2" xfId="10892" xr:uid="{E3EC107F-39A1-499D-AA84-18C94A9A07D9}"/>
    <cellStyle name="Millares [0] 12" xfId="2405" xr:uid="{9A2A256F-90DC-4A28-92A9-9F85FE407FAC}"/>
    <cellStyle name="Millares [0] 13" xfId="7261" xr:uid="{A28B2358-2E8E-4199-B3B5-9F8CCAAD2FED}"/>
    <cellStyle name="Millares [0] 14" xfId="12110" xr:uid="{3C8AF5F7-6F65-4B39-9659-864AFA8FBE4A}"/>
    <cellStyle name="Millares [0] 2" xfId="145" xr:uid="{D435C709-6FB5-4C67-8972-D28786354E29}"/>
    <cellStyle name="Millares [0] 2 10" xfId="2427" xr:uid="{E6684D4D-4D97-4E00-8D9C-E93AE8DEEDF3}"/>
    <cellStyle name="Millares [0] 2 11" xfId="7283" xr:uid="{99C09605-FCF6-49AE-9868-8373F53422E8}"/>
    <cellStyle name="Millares [0] 2 2" xfId="126" xr:uid="{8EEC9E64-7201-4C3F-91B7-B12BE29E71BB}"/>
    <cellStyle name="Millares [0] 2 2 2" xfId="114" xr:uid="{632F3D25-85D5-46C2-B99E-99C09AF3B485}"/>
    <cellStyle name="Millares [0] 2 2 2 2" xfId="125" xr:uid="{7CFD1BE7-B957-4C1E-BF59-A3FDEA2B4678}"/>
    <cellStyle name="Millares [0] 2 2 2 2 2" xfId="1811" xr:uid="{377F871F-5A85-46AF-9170-356C0F7F3527}"/>
    <cellStyle name="Millares [0] 2 2 2 2 2 2" xfId="5456" xr:uid="{2A796752-CC5A-423A-A445-11199A8A9375}"/>
    <cellStyle name="Millares [0] 2 2 2 2 2 2 2" xfId="10308" xr:uid="{8C4CDE84-6C72-4171-845E-E5F4ADD419C8}"/>
    <cellStyle name="Millares [0] 2 2 2 2 2 3" xfId="6672" xr:uid="{C2C2A9FB-5333-4457-BEDE-6D5CA93EE8B2}"/>
    <cellStyle name="Millares [0] 2 2 2 2 2 3 2" xfId="11520" xr:uid="{F2A64781-6B1A-4E8C-8AA5-52BD7CD44E4C}"/>
    <cellStyle name="Millares [0] 2 2 2 2 2 4" xfId="4246" xr:uid="{EF63C006-2EC2-4523-9A35-5A84E6629A27}"/>
    <cellStyle name="Millares [0] 2 2 2 2 2 4 2" xfId="9100" xr:uid="{1C48B0FB-25A7-4609-848B-0CAF6A8284D0}"/>
    <cellStyle name="Millares [0] 2 2 2 2 2 5" xfId="3033" xr:uid="{8593707C-5471-47B9-B4B0-BA0EB6AB9CD2}"/>
    <cellStyle name="Millares [0] 2 2 2 2 2 6" xfId="7889" xr:uid="{E0B3E354-27C0-4AF3-B177-4CB76E981BC0}"/>
    <cellStyle name="Millares [0] 2 2 2 2 3" xfId="4853" xr:uid="{C8661814-9625-4B67-8F64-D42D81250D29}"/>
    <cellStyle name="Millares [0] 2 2 2 2 3 2" xfId="9705" xr:uid="{206AE74A-D74F-41A2-BAF6-43B5A242F75D}"/>
    <cellStyle name="Millares [0] 2 2 2 2 4" xfId="6066" xr:uid="{F2022C87-F2F3-48F3-9BA1-B5E40FB55401}"/>
    <cellStyle name="Millares [0] 2 2 2 2 4 2" xfId="10916" xr:uid="{72F380E4-25D5-4201-BDC5-D88989FC1811}"/>
    <cellStyle name="Millares [0] 2 2 2 2 5" xfId="3643" xr:uid="{93DFAA08-A1C9-4CAB-904F-E153309A6F02}"/>
    <cellStyle name="Millares [0] 2 2 2 2 5 2" xfId="8497" xr:uid="{22D2C742-9C53-46C5-8E32-447AABA2E3CC}"/>
    <cellStyle name="Millares [0] 2 2 2 2 6" xfId="2430" xr:uid="{A7229C6B-18A7-47D7-B038-4A537728F404}"/>
    <cellStyle name="Millares [0] 2 2 2 2 7" xfId="7286" xr:uid="{3E6323B6-6032-4E2F-B491-56CA90FF95E9}"/>
    <cellStyle name="Millares [0] 2 2 2 3" xfId="1810" xr:uid="{0DFDDF37-3265-426B-8650-42FFB5CDE9FC}"/>
    <cellStyle name="Millares [0] 2 2 2 3 2" xfId="5455" xr:uid="{83D9BD41-E7D4-4113-868C-F17028FFBBDF}"/>
    <cellStyle name="Millares [0] 2 2 2 3 2 2" xfId="10307" xr:uid="{A5C925D1-2F13-4F39-BB13-93B8E294F244}"/>
    <cellStyle name="Millares [0] 2 2 2 3 3" xfId="6671" xr:uid="{5087A583-3C38-48C0-A7AC-4FA438443308}"/>
    <cellStyle name="Millares [0] 2 2 2 3 3 2" xfId="11519" xr:uid="{DA2C8CCC-C37B-4282-919A-8DE660E9CACB}"/>
    <cellStyle name="Millares [0] 2 2 2 3 4" xfId="4245" xr:uid="{705AF404-29BD-4CF2-9338-F985BA696DE1}"/>
    <cellStyle name="Millares [0] 2 2 2 3 4 2" xfId="9099" xr:uid="{E898EAF8-8270-4144-B3A9-97394300F17B}"/>
    <cellStyle name="Millares [0] 2 2 2 3 5" xfId="3032" xr:uid="{0EE50D69-605D-4605-B19C-90551CA61985}"/>
    <cellStyle name="Millares [0] 2 2 2 3 6" xfId="7888" xr:uid="{24D7B3C2-5860-4042-82EA-1F0FB6883E83}"/>
    <cellStyle name="Millares [0] 2 2 2 4" xfId="4852" xr:uid="{A7582CA3-57D2-4CE4-94EB-EBE3B772BEDE}"/>
    <cellStyle name="Millares [0] 2 2 2 4 2" xfId="9704" xr:uid="{6BE639E0-049E-4142-939A-A21934178F5D}"/>
    <cellStyle name="Millares [0] 2 2 2 5" xfId="6065" xr:uid="{467F3C27-CA60-4428-85A4-7641C77EE91D}"/>
    <cellStyle name="Millares [0] 2 2 2 5 2" xfId="10915" xr:uid="{86930CCA-1E60-4318-95D8-1DC14A676B59}"/>
    <cellStyle name="Millares [0] 2 2 2 6" xfId="3642" xr:uid="{561AC860-13AB-4854-B192-4CC0E4662D9E}"/>
    <cellStyle name="Millares [0] 2 2 2 6 2" xfId="8496" xr:uid="{E70C7B56-CA14-44E6-A590-22146D1BC776}"/>
    <cellStyle name="Millares [0] 2 2 2 7" xfId="2429" xr:uid="{BBB8F677-14BC-4BA8-854D-A1D978B3600F}"/>
    <cellStyle name="Millares [0] 2 2 2 8" xfId="7285" xr:uid="{122A0A18-BDFC-4E9F-AF16-C50B87C7EAFF}"/>
    <cellStyle name="Millares [0] 2 2 3" xfId="124" xr:uid="{1D1C1D6D-C7BB-4B6C-8657-09A212C85C37}"/>
    <cellStyle name="Millares [0] 2 2 3 2" xfId="1812" xr:uid="{30EBA480-0661-4E6F-914C-B0839620C7B6}"/>
    <cellStyle name="Millares [0] 2 2 3 2 2" xfId="5457" xr:uid="{B7BE615C-1F1F-4B15-8442-A8C2C9E6BC35}"/>
    <cellStyle name="Millares [0] 2 2 3 2 2 2" xfId="10309" xr:uid="{FBC479FA-B173-4D90-B58C-1E681364F6C7}"/>
    <cellStyle name="Millares [0] 2 2 3 2 3" xfId="6673" xr:uid="{A1ECE016-CAEA-4F67-B571-BB46F494BCC6}"/>
    <cellStyle name="Millares [0] 2 2 3 2 3 2" xfId="11521" xr:uid="{6939BE97-5C63-44E8-8B6C-1E3E4D73AB53}"/>
    <cellStyle name="Millares [0] 2 2 3 2 4" xfId="4247" xr:uid="{ACEAACAA-34A1-44EE-BD66-2DF9FF41A858}"/>
    <cellStyle name="Millares [0] 2 2 3 2 4 2" xfId="9101" xr:uid="{6D7E1021-46F2-455D-93BF-8DB0F677BC47}"/>
    <cellStyle name="Millares [0] 2 2 3 2 5" xfId="3034" xr:uid="{2036C4B6-1DB8-4EE0-ADB2-B32E8BF41670}"/>
    <cellStyle name="Millares [0] 2 2 3 2 6" xfId="7890" xr:uid="{76259FAD-C735-4B67-810E-4DB7003CAF26}"/>
    <cellStyle name="Millares [0] 2 2 3 3" xfId="4854" xr:uid="{45DEF871-56FA-4F04-9D1F-3A85018E8052}"/>
    <cellStyle name="Millares [0] 2 2 3 3 2" xfId="9706" xr:uid="{F3E8773F-1618-43E5-9652-AFAA6138D30A}"/>
    <cellStyle name="Millares [0] 2 2 3 4" xfId="6067" xr:uid="{D6C782AF-5A91-4BC7-849C-D3CF3F28D13F}"/>
    <cellStyle name="Millares [0] 2 2 3 4 2" xfId="10917" xr:uid="{05F08014-8E5D-4002-ADFD-92657F8567B5}"/>
    <cellStyle name="Millares [0] 2 2 3 5" xfId="3644" xr:uid="{DF8C2670-E044-44B3-9595-C34E650B9CFD}"/>
    <cellStyle name="Millares [0] 2 2 3 5 2" xfId="8498" xr:uid="{3BAD5F2E-16B6-4FA1-B8F7-3B60F6EFB0F4}"/>
    <cellStyle name="Millares [0] 2 2 3 6" xfId="2431" xr:uid="{E7E971B0-D010-456E-9218-C668E9DD550B}"/>
    <cellStyle name="Millares [0] 2 2 3 7" xfId="7287" xr:uid="{B68D6194-6E22-4566-974F-F92EF8EB0042}"/>
    <cellStyle name="Millares [0] 2 2 4" xfId="1809" xr:uid="{99C6CE57-CF73-4FE6-B45E-18FC0AD0FCD0}"/>
    <cellStyle name="Millares [0] 2 2 4 2" xfId="5454" xr:uid="{EFF2C9A7-7E77-4DE6-A646-3C723A03F324}"/>
    <cellStyle name="Millares [0] 2 2 4 2 2" xfId="10306" xr:uid="{81C4526E-BE7B-4852-A005-C72F57E9D81B}"/>
    <cellStyle name="Millares [0] 2 2 4 3" xfId="6670" xr:uid="{2A8C6603-88F1-43EB-B49E-538F2185AF88}"/>
    <cellStyle name="Millares [0] 2 2 4 3 2" xfId="11518" xr:uid="{9DBEDBA1-1C27-40CB-AB6A-72367707DB7B}"/>
    <cellStyle name="Millares [0] 2 2 4 4" xfId="4244" xr:uid="{F1DC3AF2-C919-430F-A724-89642CF7B405}"/>
    <cellStyle name="Millares [0] 2 2 4 4 2" xfId="9098" xr:uid="{C3AFEBC3-A4D0-416B-B5CF-D226C081C145}"/>
    <cellStyle name="Millares [0] 2 2 4 5" xfId="3031" xr:uid="{4F62DF2C-73DD-4441-A435-785ED26B0FDC}"/>
    <cellStyle name="Millares [0] 2 2 4 6" xfId="7887" xr:uid="{0783BC32-4B73-41E7-87E6-F0D1C8EA67EE}"/>
    <cellStyle name="Millares [0] 2 2 5" xfId="4851" xr:uid="{A59001C2-A37F-4DA2-986F-2B0373B11411}"/>
    <cellStyle name="Millares [0] 2 2 5 2" xfId="9703" xr:uid="{C70C8136-4D01-4A38-A03E-CBB451CA9987}"/>
    <cellStyle name="Millares [0] 2 2 6" xfId="6064" xr:uid="{29312EBC-A734-4FA4-BD79-844E10C42045}"/>
    <cellStyle name="Millares [0] 2 2 6 2" xfId="10914" xr:uid="{176F8504-1A54-4753-B90D-85DED289FB77}"/>
    <cellStyle name="Millares [0] 2 2 7" xfId="3641" xr:uid="{4B78A168-4EFC-4984-B0C7-8EC2C4CC8EE3}"/>
    <cellStyle name="Millares [0] 2 2 7 2" xfId="8495" xr:uid="{FEB2AE75-D198-4A07-9528-787CEF30BA08}"/>
    <cellStyle name="Millares [0] 2 2 8" xfId="2428" xr:uid="{5CAFE430-9AD9-45E6-80D2-374CF059261F}"/>
    <cellStyle name="Millares [0] 2 2 9" xfId="7284" xr:uid="{137A748B-4BB3-40F8-9EF6-66E787D128DD}"/>
    <cellStyle name="Millares [0] 2 3" xfId="123" xr:uid="{B28AF8CF-4236-43AA-B7FE-C1E4B43D5A75}"/>
    <cellStyle name="Millares [0] 2 3 2" xfId="140" xr:uid="{A690BBE0-1C64-46B9-BA76-01E904861FF2}"/>
    <cellStyle name="Millares [0] 2 3 2 2" xfId="122" xr:uid="{ED6B7DD7-2D36-4BDA-A0A4-88251082678D}"/>
    <cellStyle name="Millares [0] 2 3 2 2 2" xfId="1815" xr:uid="{EB878912-FCF2-4C3C-8D7F-D660FC4A25AB}"/>
    <cellStyle name="Millares [0] 2 3 2 2 2 2" xfId="5460" xr:uid="{5507E4D7-9D02-47DE-9A07-63761879B657}"/>
    <cellStyle name="Millares [0] 2 3 2 2 2 2 2" xfId="10312" xr:uid="{574D816F-16C6-45D9-A50F-3417048709A9}"/>
    <cellStyle name="Millares [0] 2 3 2 2 2 3" xfId="6676" xr:uid="{4FFEEBF9-6C59-4F4B-8FEF-7D18B1D6E146}"/>
    <cellStyle name="Millares [0] 2 3 2 2 2 3 2" xfId="11524" xr:uid="{BA19E5FD-E707-4BF1-9174-127EE2B815F8}"/>
    <cellStyle name="Millares [0] 2 3 2 2 2 4" xfId="4250" xr:uid="{4FBE5C70-5D30-416C-B6E3-5205CEB03BE2}"/>
    <cellStyle name="Millares [0] 2 3 2 2 2 4 2" xfId="9104" xr:uid="{41CEC170-8B6D-4C4B-98F2-25FD233D6B20}"/>
    <cellStyle name="Millares [0] 2 3 2 2 2 5" xfId="3037" xr:uid="{30376E77-CB4C-48B9-A0F4-B86B8F9653F6}"/>
    <cellStyle name="Millares [0] 2 3 2 2 2 6" xfId="7893" xr:uid="{595851ED-0C06-4F70-BD55-D3D86D2C5367}"/>
    <cellStyle name="Millares [0] 2 3 2 2 3" xfId="4857" xr:uid="{A2A8DDC1-1987-48E2-9C69-5217505DEDBC}"/>
    <cellStyle name="Millares [0] 2 3 2 2 3 2" xfId="9709" xr:uid="{A4DE6C36-5037-42E9-BDDF-46BA4AB0FDB3}"/>
    <cellStyle name="Millares [0] 2 3 2 2 4" xfId="6070" xr:uid="{DD2FD551-AD25-49AD-892B-B334ACC569A2}"/>
    <cellStyle name="Millares [0] 2 3 2 2 4 2" xfId="10920" xr:uid="{FEF4CB7B-AA0A-41E9-9248-3E045680BEBE}"/>
    <cellStyle name="Millares [0] 2 3 2 2 5" xfId="3647" xr:uid="{B09D7218-D97E-4BA0-A323-C5611537BFD7}"/>
    <cellStyle name="Millares [0] 2 3 2 2 5 2" xfId="8501" xr:uid="{B5569A03-9DC5-48D4-9941-B488B5304E9A}"/>
    <cellStyle name="Millares [0] 2 3 2 2 6" xfId="2434" xr:uid="{ACD36FA8-2ADD-46C2-8EFD-2599A0CDCD2F}"/>
    <cellStyle name="Millares [0] 2 3 2 2 7" xfId="7290" xr:uid="{353157E2-FBB9-4307-82F4-3BFD32BC9ABA}"/>
    <cellStyle name="Millares [0] 2 3 2 3" xfId="1814" xr:uid="{7CE3FE98-BB83-4F4C-ABE1-36D4574E4119}"/>
    <cellStyle name="Millares [0] 2 3 2 3 2" xfId="5459" xr:uid="{D833D0A3-8552-43F6-8E69-6EEF1E462D99}"/>
    <cellStyle name="Millares [0] 2 3 2 3 2 2" xfId="10311" xr:uid="{EDCF77A6-74B1-4446-A275-09FFB7D22D66}"/>
    <cellStyle name="Millares [0] 2 3 2 3 3" xfId="6675" xr:uid="{DA15A77E-C95D-4140-9985-95FABEAF6E6D}"/>
    <cellStyle name="Millares [0] 2 3 2 3 3 2" xfId="11523" xr:uid="{F9D02D30-6D77-4682-8DAE-04B1D61228ED}"/>
    <cellStyle name="Millares [0] 2 3 2 3 4" xfId="4249" xr:uid="{1306D751-F0B4-4C19-90C7-6D09308FC8C4}"/>
    <cellStyle name="Millares [0] 2 3 2 3 4 2" xfId="9103" xr:uid="{615AA587-4392-46F1-8E97-9D5CE97F82B1}"/>
    <cellStyle name="Millares [0] 2 3 2 3 5" xfId="3036" xr:uid="{B0ABB297-9BB6-49FB-8C34-8B6D2C38CBC2}"/>
    <cellStyle name="Millares [0] 2 3 2 3 6" xfId="7892" xr:uid="{EF254373-3983-400B-811E-644844DF9181}"/>
    <cellStyle name="Millares [0] 2 3 2 4" xfId="4856" xr:uid="{2611EF0C-3727-4A47-97E9-4253FAD057C0}"/>
    <cellStyle name="Millares [0] 2 3 2 4 2" xfId="9708" xr:uid="{E9923552-A8CC-4168-AB6F-3056D7090DF9}"/>
    <cellStyle name="Millares [0] 2 3 2 5" xfId="6069" xr:uid="{F4E57DE4-11E4-4FAF-B49A-EC9558909D96}"/>
    <cellStyle name="Millares [0] 2 3 2 5 2" xfId="10919" xr:uid="{7D6ABFB7-17A6-4CB6-804E-67C052A847DF}"/>
    <cellStyle name="Millares [0] 2 3 2 6" xfId="3646" xr:uid="{FCA98853-EB77-41EA-8596-B997C70F8EAB}"/>
    <cellStyle name="Millares [0] 2 3 2 6 2" xfId="8500" xr:uid="{71C7DDF3-CA6C-440A-A38F-E92E322F0025}"/>
    <cellStyle name="Millares [0] 2 3 2 7" xfId="2433" xr:uid="{41D45109-AD2C-4BAB-8E5B-F6F43CD20919}"/>
    <cellStyle name="Millares [0] 2 3 2 8" xfId="7289" xr:uid="{72696B53-44F3-42F2-97C8-A7EF712E6D15}"/>
    <cellStyle name="Millares [0] 2 3 3" xfId="121" xr:uid="{DF63A8AE-0AD3-4F9F-AE93-C5A41A21090C}"/>
    <cellStyle name="Millares [0] 2 3 3 2" xfId="1816" xr:uid="{60BD7998-FF45-4147-95F4-7A3803197E7A}"/>
    <cellStyle name="Millares [0] 2 3 3 2 2" xfId="5461" xr:uid="{CBF382FE-3B75-4FBC-96B3-8CECE41BEF3A}"/>
    <cellStyle name="Millares [0] 2 3 3 2 2 2" xfId="10313" xr:uid="{6A642372-CC94-4CBD-81E7-EF45EED3FDE3}"/>
    <cellStyle name="Millares [0] 2 3 3 2 3" xfId="6677" xr:uid="{5A6D92AD-886B-46B2-AEEB-4B0A3CF6E8FD}"/>
    <cellStyle name="Millares [0] 2 3 3 2 3 2" xfId="11525" xr:uid="{C73233AE-92D8-4971-9EF2-4A326999AABE}"/>
    <cellStyle name="Millares [0] 2 3 3 2 4" xfId="4251" xr:uid="{E823EBEF-86C7-444C-995E-326537A9CBC3}"/>
    <cellStyle name="Millares [0] 2 3 3 2 4 2" xfId="9105" xr:uid="{E284D522-FF1C-46D9-BD98-91C652CD8FB6}"/>
    <cellStyle name="Millares [0] 2 3 3 2 5" xfId="3038" xr:uid="{4D9D244E-1E3F-4E34-A16C-6BD0081B3C06}"/>
    <cellStyle name="Millares [0] 2 3 3 2 6" xfId="7894" xr:uid="{730E84AC-B932-4495-B13B-1920B8C3F544}"/>
    <cellStyle name="Millares [0] 2 3 3 3" xfId="4858" xr:uid="{641F0982-E9EE-4DAF-B540-680D7D7789AB}"/>
    <cellStyle name="Millares [0] 2 3 3 3 2" xfId="9710" xr:uid="{81E5DE2A-C97B-4FCA-9E49-38955A052FC1}"/>
    <cellStyle name="Millares [0] 2 3 3 4" xfId="6071" xr:uid="{84EAD72A-8496-4C77-AEA6-779457105B94}"/>
    <cellStyle name="Millares [0] 2 3 3 4 2" xfId="10921" xr:uid="{4CA5198F-1CC7-46CF-B4AA-E3EB760B5585}"/>
    <cellStyle name="Millares [0] 2 3 3 5" xfId="3648" xr:uid="{AEFA2A80-A855-4FB2-BBD9-331146BBDC9D}"/>
    <cellStyle name="Millares [0] 2 3 3 5 2" xfId="8502" xr:uid="{030497E7-676A-48B5-ADD4-23ADCD0B7F0F}"/>
    <cellStyle name="Millares [0] 2 3 3 6" xfId="2435" xr:uid="{2C5FF918-7A8C-4720-A07E-417835337B40}"/>
    <cellStyle name="Millares [0] 2 3 3 7" xfId="7291" xr:uid="{1430C38A-5E68-42C3-B59B-1CA77E263B60}"/>
    <cellStyle name="Millares [0] 2 3 4" xfId="1813" xr:uid="{4AE13DF0-AA7A-4005-A2E0-6CF4A5BFD970}"/>
    <cellStyle name="Millares [0] 2 3 4 2" xfId="5458" xr:uid="{715CFCDB-D4DD-44ED-9922-4FB572A62852}"/>
    <cellStyle name="Millares [0] 2 3 4 2 2" xfId="10310" xr:uid="{28CA8F7D-906B-49F5-8CE5-9592A3BE95BE}"/>
    <cellStyle name="Millares [0] 2 3 4 3" xfId="6674" xr:uid="{68198838-43D9-4AE6-9291-46AA485A8932}"/>
    <cellStyle name="Millares [0] 2 3 4 3 2" xfId="11522" xr:uid="{177BAFB2-4444-4AF6-A949-B65D5B109EDD}"/>
    <cellStyle name="Millares [0] 2 3 4 4" xfId="4248" xr:uid="{AAB315AA-ECA6-4775-B469-9F95FDFD6511}"/>
    <cellStyle name="Millares [0] 2 3 4 4 2" xfId="9102" xr:uid="{B6C0F952-C0E5-4ADE-8C7F-FF48EB9361A7}"/>
    <cellStyle name="Millares [0] 2 3 4 5" xfId="3035" xr:uid="{92FF00FF-0066-4179-A5B2-725382645B9B}"/>
    <cellStyle name="Millares [0] 2 3 4 6" xfId="7891" xr:uid="{E6EC0329-57E5-4D47-8EA2-7F88F88EBC0A}"/>
    <cellStyle name="Millares [0] 2 3 5" xfId="4855" xr:uid="{B2317E5C-4CDC-4EF4-885F-BA5370A0188F}"/>
    <cellStyle name="Millares [0] 2 3 5 2" xfId="9707" xr:uid="{128C1570-C745-4B52-9559-6F83EF9A53FE}"/>
    <cellStyle name="Millares [0] 2 3 6" xfId="6068" xr:uid="{AC4E2C2A-596E-410F-AD38-3999011678BD}"/>
    <cellStyle name="Millares [0] 2 3 6 2" xfId="10918" xr:uid="{4A76ED8B-C1FF-4AFE-B5AE-43D034F3E8D7}"/>
    <cellStyle name="Millares [0] 2 3 7" xfId="3645" xr:uid="{BD9CCF5D-5483-4CCE-818A-00B35CCC2460}"/>
    <cellStyle name="Millares [0] 2 3 7 2" xfId="8499" xr:uid="{72E3ECE1-76B4-4DC8-BB5C-71AA951E11DD}"/>
    <cellStyle name="Millares [0] 2 3 8" xfId="2432" xr:uid="{9F2CC169-2534-47AF-AF04-D6D9CA7E28BA}"/>
    <cellStyle name="Millares [0] 2 3 9" xfId="7288" xr:uid="{36A78C72-4645-4972-ADB7-48518B2A8411}"/>
    <cellStyle name="Millares [0] 2 4" xfId="68" xr:uid="{770E627E-349E-4FF0-BCD1-5A107B665172}"/>
    <cellStyle name="Millares [0] 2 4 2" xfId="120" xr:uid="{84781945-B579-4ABF-932C-CA4BFD35EF46}"/>
    <cellStyle name="Millares [0] 2 4 2 2" xfId="1818" xr:uid="{31CC6921-725D-4BE1-9A3B-345EB55CF173}"/>
    <cellStyle name="Millares [0] 2 4 2 2 2" xfId="5463" xr:uid="{B8FF8887-54C8-4240-A7CA-898DFA026FDE}"/>
    <cellStyle name="Millares [0] 2 4 2 2 2 2" xfId="10315" xr:uid="{1E1C4BBE-E508-4005-9B16-849BF3E5BDAE}"/>
    <cellStyle name="Millares [0] 2 4 2 2 3" xfId="6679" xr:uid="{2BAF6F43-8EFC-48AD-8C56-9CBC8B6FB74C}"/>
    <cellStyle name="Millares [0] 2 4 2 2 3 2" xfId="11527" xr:uid="{86727B36-A86E-4499-8CF3-DD58E676A3C7}"/>
    <cellStyle name="Millares [0] 2 4 2 2 4" xfId="4253" xr:uid="{2B6639CB-4CC8-4D6D-BED3-809CA7C0F633}"/>
    <cellStyle name="Millares [0] 2 4 2 2 4 2" xfId="9107" xr:uid="{EE0647BA-F90E-4FFC-8F06-B54F916910AC}"/>
    <cellStyle name="Millares [0] 2 4 2 2 5" xfId="3040" xr:uid="{C881ED62-A2FF-484A-AE40-62DAFD94AA12}"/>
    <cellStyle name="Millares [0] 2 4 2 2 6" xfId="7896" xr:uid="{37BC30D6-010E-4E73-B752-6CDAFBDD5ED8}"/>
    <cellStyle name="Millares [0] 2 4 2 3" xfId="4860" xr:uid="{75E66734-5B25-4691-8CD0-DFE20CAE09A2}"/>
    <cellStyle name="Millares [0] 2 4 2 3 2" xfId="9712" xr:uid="{3120F785-09C0-47E6-8079-AE583A2D2045}"/>
    <cellStyle name="Millares [0] 2 4 2 4" xfId="6073" xr:uid="{3D4083D2-2520-4023-88E8-1E86E054BB83}"/>
    <cellStyle name="Millares [0] 2 4 2 4 2" xfId="10923" xr:uid="{1927FCD7-C714-4FCC-B480-4950500F4DBB}"/>
    <cellStyle name="Millares [0] 2 4 2 5" xfId="3650" xr:uid="{2BA04EA8-0F97-4D79-AADC-9262AE5A8B29}"/>
    <cellStyle name="Millares [0] 2 4 2 5 2" xfId="8504" xr:uid="{D07039A6-7FD4-4FB9-B8C6-C7FC44840B45}"/>
    <cellStyle name="Millares [0] 2 4 2 6" xfId="2437" xr:uid="{5C12C160-0519-427F-A846-3182D699D9A2}"/>
    <cellStyle name="Millares [0] 2 4 2 7" xfId="7293" xr:uid="{C157704F-B026-4D08-AF37-9973E08BF09C}"/>
    <cellStyle name="Millares [0] 2 4 3" xfId="1817" xr:uid="{70F2E1B8-C30D-4A55-B702-73C7C7517A27}"/>
    <cellStyle name="Millares [0] 2 4 3 2" xfId="5462" xr:uid="{49E782F3-2678-466D-BADD-D3B4537868FE}"/>
    <cellStyle name="Millares [0] 2 4 3 2 2" xfId="10314" xr:uid="{8453F6F8-B87D-482C-8C81-B647A76FA5B7}"/>
    <cellStyle name="Millares [0] 2 4 3 3" xfId="6678" xr:uid="{72B962AE-64E6-434B-BAD4-2C0D5D781846}"/>
    <cellStyle name="Millares [0] 2 4 3 3 2" xfId="11526" xr:uid="{FD0A5C4C-416A-4996-8E1A-7C27854FE953}"/>
    <cellStyle name="Millares [0] 2 4 3 4" xfId="4252" xr:uid="{E4EF9CB6-FF5D-4F80-9025-8B817A6DDA5E}"/>
    <cellStyle name="Millares [0] 2 4 3 4 2" xfId="9106" xr:uid="{97B35569-60CB-4A09-978D-56C0130A8DCC}"/>
    <cellStyle name="Millares [0] 2 4 3 5" xfId="3039" xr:uid="{970C723D-FC5E-4895-83FE-627E237E28AF}"/>
    <cellStyle name="Millares [0] 2 4 3 6" xfId="7895" xr:uid="{1B32BE75-DD35-45B5-A96C-C60285DDC025}"/>
    <cellStyle name="Millares [0] 2 4 4" xfId="4859" xr:uid="{426CDC8F-01EA-4434-93CA-A0A4C78C893C}"/>
    <cellStyle name="Millares [0] 2 4 4 2" xfId="9711" xr:uid="{E69346B0-E7A9-4AF8-915C-DCAD3461DBC4}"/>
    <cellStyle name="Millares [0] 2 4 5" xfId="6072" xr:uid="{D0C3FCE6-4C71-4C39-9C83-5B2B0AF41855}"/>
    <cellStyle name="Millares [0] 2 4 5 2" xfId="10922" xr:uid="{5B1C7408-BBF4-46E9-AD70-DA00F2B2CD23}"/>
    <cellStyle name="Millares [0] 2 4 6" xfId="3649" xr:uid="{492E4D49-E639-4B24-85F4-7B5B2E4F3EE1}"/>
    <cellStyle name="Millares [0] 2 4 6 2" xfId="8503" xr:uid="{A67DC833-55B6-4770-B3DA-7783163A4FB7}"/>
    <cellStyle name="Millares [0] 2 4 7" xfId="2436" xr:uid="{C1D2F476-5293-4F26-B7A1-40935DDDB48E}"/>
    <cellStyle name="Millares [0] 2 4 8" xfId="7292" xr:uid="{7AF88C42-A888-4E2E-B420-F990FC37FF3F}"/>
    <cellStyle name="Millares [0] 2 5" xfId="119" xr:uid="{BEA2C9AB-1EAC-4E2A-B32F-B464BAAEBD36}"/>
    <cellStyle name="Millares [0] 2 5 2" xfId="1819" xr:uid="{9F8D8376-0A42-4A5B-96FC-EC12B7D3D39B}"/>
    <cellStyle name="Millares [0] 2 5 2 2" xfId="5464" xr:uid="{79A505CB-5CB6-496F-A32C-D542084CD881}"/>
    <cellStyle name="Millares [0] 2 5 2 2 2" xfId="10316" xr:uid="{1A349B58-E13A-4221-9FB2-900A48932AC9}"/>
    <cellStyle name="Millares [0] 2 5 2 3" xfId="6680" xr:uid="{9F327BF0-3269-45A3-BF9E-40EA35E2F7E0}"/>
    <cellStyle name="Millares [0] 2 5 2 3 2" xfId="11528" xr:uid="{B1D4F935-C51F-4E2F-931E-BF92EE62BA53}"/>
    <cellStyle name="Millares [0] 2 5 2 4" xfId="4254" xr:uid="{56B5E9F5-E29F-42A1-8891-AA6840B33D16}"/>
    <cellStyle name="Millares [0] 2 5 2 4 2" xfId="9108" xr:uid="{A65D548B-6AE4-46DB-9BCF-D40DDAAD5CBA}"/>
    <cellStyle name="Millares [0] 2 5 2 5" xfId="3041" xr:uid="{9F99F040-84C1-4BB0-AD77-35689B423B08}"/>
    <cellStyle name="Millares [0] 2 5 2 6" xfId="7897" xr:uid="{70701B68-EDDF-4841-94A8-B715E38A2F6B}"/>
    <cellStyle name="Millares [0] 2 5 3" xfId="4861" xr:uid="{E8310917-B6B0-46BE-9EA9-FB3E0E6D41FE}"/>
    <cellStyle name="Millares [0] 2 5 3 2" xfId="9713" xr:uid="{810E4B71-7DCB-439D-BB1F-9DBCAF99D052}"/>
    <cellStyle name="Millares [0] 2 5 4" xfId="6074" xr:uid="{47F4F12A-5A62-412D-B2D2-CAD324685BC1}"/>
    <cellStyle name="Millares [0] 2 5 4 2" xfId="10924" xr:uid="{DBAABF78-4DE3-4B9D-83E5-089378161790}"/>
    <cellStyle name="Millares [0] 2 5 5" xfId="3651" xr:uid="{F620EF3F-76F8-4721-BFD3-1BC3FE717FE8}"/>
    <cellStyle name="Millares [0] 2 5 5 2" xfId="8505" xr:uid="{BAE3C43A-CF4C-40B6-812E-C636D399691C}"/>
    <cellStyle name="Millares [0] 2 5 6" xfId="2438" xr:uid="{25F0C0B4-6246-4897-87C0-B4218D919BFF}"/>
    <cellStyle name="Millares [0] 2 5 7" xfId="7294" xr:uid="{D6AB7D29-FC06-4420-9AD5-6499865D5369}"/>
    <cellStyle name="Millares [0] 2 6" xfId="1808" xr:uid="{577F10FE-2548-40D6-B986-5F33948B34E3}"/>
    <cellStyle name="Millares [0] 2 6 2" xfId="5453" xr:uid="{4F15D7C1-348A-43A4-ADA1-02D44F7517B1}"/>
    <cellStyle name="Millares [0] 2 6 2 2" xfId="10305" xr:uid="{B9BCB545-CA8D-475A-A5DF-5004BD5B529B}"/>
    <cellStyle name="Millares [0] 2 6 3" xfId="6669" xr:uid="{0283AB46-938D-424F-AD61-0FA76E4B8EBF}"/>
    <cellStyle name="Millares [0] 2 6 3 2" xfId="11517" xr:uid="{B9B060D1-848D-4C88-9234-36121C014795}"/>
    <cellStyle name="Millares [0] 2 6 4" xfId="4243" xr:uid="{BE0031AD-213D-4B9E-98CA-623EFC178ACB}"/>
    <cellStyle name="Millares [0] 2 6 4 2" xfId="9097" xr:uid="{CDB95198-AA65-4DA9-A029-7A8235CD07A9}"/>
    <cellStyle name="Millares [0] 2 6 5" xfId="3030" xr:uid="{106F3551-B005-4D7C-91E7-F7BC04A70BCF}"/>
    <cellStyle name="Millares [0] 2 6 6" xfId="7886" xr:uid="{1B4810A4-5BCE-4650-A125-5B9767E3D4FB}"/>
    <cellStyle name="Millares [0] 2 7" xfId="4850" xr:uid="{B52564A7-8B04-4445-A808-FB595E33CA20}"/>
    <cellStyle name="Millares [0] 2 7 2" xfId="9702" xr:uid="{2A24A21D-8F26-4166-86A0-EE1AA28499FF}"/>
    <cellStyle name="Millares [0] 2 8" xfId="6063" xr:uid="{6144105F-5670-40A4-9955-16BF0240AE02}"/>
    <cellStyle name="Millares [0] 2 8 2" xfId="10913" xr:uid="{66B3A8AF-9C2C-43FF-A41D-742DD7F8D5C7}"/>
    <cellStyle name="Millares [0] 2 9" xfId="3640" xr:uid="{66287075-6062-4497-9E55-DE8B40D022DC}"/>
    <cellStyle name="Millares [0] 2 9 2" xfId="8494" xr:uid="{8796D074-5895-42F5-A3A6-7A36F9F9BCA2}"/>
    <cellStyle name="Millares [0] 3" xfId="118" xr:uid="{FCFCAA5E-4469-4385-90AD-FE45262D0546}"/>
    <cellStyle name="Millares [0] 3 2" xfId="139" xr:uid="{F883D72C-CD57-46A3-AEA4-7554FF51EDCA}"/>
    <cellStyle name="Millares [0] 3 2 2" xfId="148" xr:uid="{DA432AA8-A78D-4731-A879-0C485B3CEF70}"/>
    <cellStyle name="Millares [0] 3 2 2 2" xfId="1822" xr:uid="{5E4642BE-F922-4DEF-893F-248E82AD911A}"/>
    <cellStyle name="Millares [0] 3 2 2 2 2" xfId="5467" xr:uid="{88BB4DB9-EF8C-453A-B7E9-25EFC2ED33C2}"/>
    <cellStyle name="Millares [0] 3 2 2 2 2 2" xfId="10319" xr:uid="{55F4813B-28F2-40F9-B59D-893AE692CF3F}"/>
    <cellStyle name="Millares [0] 3 2 2 2 3" xfId="6683" xr:uid="{8DA1B558-2CC3-436A-A2AC-3FE73A893775}"/>
    <cellStyle name="Millares [0] 3 2 2 2 3 2" xfId="11531" xr:uid="{37C67431-EFD2-4E2E-89DC-3DC2FFB2BC61}"/>
    <cellStyle name="Millares [0] 3 2 2 2 4" xfId="4257" xr:uid="{EEEEBAC0-D973-4FA5-AC23-F1EC29A85374}"/>
    <cellStyle name="Millares [0] 3 2 2 2 4 2" xfId="9111" xr:uid="{20B916B7-5085-4FDB-9006-C7FFAB46F7F3}"/>
    <cellStyle name="Millares [0] 3 2 2 2 5" xfId="3044" xr:uid="{DDBFE731-4E75-4ABD-ADA3-E026551C82EF}"/>
    <cellStyle name="Millares [0] 3 2 2 2 6" xfId="7900" xr:uid="{13B92A90-9199-4AAE-A18D-CF830CFE2416}"/>
    <cellStyle name="Millares [0] 3 2 2 3" xfId="4864" xr:uid="{8794E5FB-AD9C-4830-BF54-A0FE1B49DCA2}"/>
    <cellStyle name="Millares [0] 3 2 2 3 2" xfId="9716" xr:uid="{23115237-FC31-41C7-A6FD-D4C024476198}"/>
    <cellStyle name="Millares [0] 3 2 2 4" xfId="6077" xr:uid="{757DADC8-B8F3-4088-8F7C-DDD4A14F7B76}"/>
    <cellStyle name="Millares [0] 3 2 2 4 2" xfId="10927" xr:uid="{2ACAC3CA-5B76-482C-85BA-B48C65CE6102}"/>
    <cellStyle name="Millares [0] 3 2 2 5" xfId="3654" xr:uid="{9BDF26D4-1F5B-42C4-B338-F5435844A78F}"/>
    <cellStyle name="Millares [0] 3 2 2 5 2" xfId="8508" xr:uid="{3A1DD548-DA91-434D-82CF-B6787FF390E7}"/>
    <cellStyle name="Millares [0] 3 2 2 6" xfId="2441" xr:uid="{C40BD1E5-B5D0-4535-A5F3-3844472B2981}"/>
    <cellStyle name="Millares [0] 3 2 2 7" xfId="7297" xr:uid="{04185FA9-77A0-4F65-9070-6B750026D9ED}"/>
    <cellStyle name="Millares [0] 3 2 3" xfId="1821" xr:uid="{35582865-342C-426D-B616-377D18CB38E7}"/>
    <cellStyle name="Millares [0] 3 2 3 2" xfId="5466" xr:uid="{C25375E5-BCFC-4BBB-B6EA-1BA4D64FE913}"/>
    <cellStyle name="Millares [0] 3 2 3 2 2" xfId="10318" xr:uid="{F709E139-A5BF-4CF3-BA54-776950D460C7}"/>
    <cellStyle name="Millares [0] 3 2 3 3" xfId="6682" xr:uid="{C8F7BC80-FA17-4066-9C71-AF672913A6B4}"/>
    <cellStyle name="Millares [0] 3 2 3 3 2" xfId="11530" xr:uid="{712D7689-B968-42B7-817B-A59F8DDA8FC7}"/>
    <cellStyle name="Millares [0] 3 2 3 4" xfId="4256" xr:uid="{0CD60F6A-8B75-4460-B08F-38CAC931F2F5}"/>
    <cellStyle name="Millares [0] 3 2 3 4 2" xfId="9110" xr:uid="{88A05F72-4E34-474F-8ACF-9BD513A3F612}"/>
    <cellStyle name="Millares [0] 3 2 3 5" xfId="3043" xr:uid="{13CB64B9-3D3D-45CE-884B-E3EC4BCC2D42}"/>
    <cellStyle name="Millares [0] 3 2 3 6" xfId="7899" xr:uid="{351782AB-EE78-437F-865E-BFBDEF5D7C6F}"/>
    <cellStyle name="Millares [0] 3 2 4" xfId="4863" xr:uid="{1A2A2173-B0F3-455D-B6D1-D123D112B36E}"/>
    <cellStyle name="Millares [0] 3 2 4 2" xfId="9715" xr:uid="{CB84E730-D587-458C-974C-16BCC1858CF1}"/>
    <cellStyle name="Millares [0] 3 2 5" xfId="6076" xr:uid="{60DE27F3-D29C-42F5-869F-C2F81A4D6B8A}"/>
    <cellStyle name="Millares [0] 3 2 5 2" xfId="10926" xr:uid="{A1E41ED7-53D9-4A9F-91B7-26925452EC44}"/>
    <cellStyle name="Millares [0] 3 2 6" xfId="3653" xr:uid="{27C7925B-7A61-406F-AE4C-9AD9BF4EFF37}"/>
    <cellStyle name="Millares [0] 3 2 6 2" xfId="8507" xr:uid="{9D73B484-E95F-45EB-9A49-877E13EFCD79}"/>
    <cellStyle name="Millares [0] 3 2 7" xfId="2440" xr:uid="{0254B2DE-21DD-42CA-8D1F-E862107D54F6}"/>
    <cellStyle name="Millares [0] 3 2 8" xfId="7296" xr:uid="{5D90499A-DA92-410E-8607-FC0EDD560E44}"/>
    <cellStyle name="Millares [0] 3 3" xfId="144" xr:uid="{7420E818-E904-43B4-81B0-57410C2D10DE}"/>
    <cellStyle name="Millares [0] 3 3 2" xfId="1823" xr:uid="{64A8ED9B-85BD-4DCE-AA6D-4B1B38D90212}"/>
    <cellStyle name="Millares [0] 3 3 2 2" xfId="5468" xr:uid="{EE8AF1DF-576D-4693-9387-1E424D54CAF6}"/>
    <cellStyle name="Millares [0] 3 3 2 2 2" xfId="10320" xr:uid="{E701FFDF-B3FD-41C7-92E9-5757AEE2D324}"/>
    <cellStyle name="Millares [0] 3 3 2 3" xfId="6684" xr:uid="{8D787EB8-D378-4B3C-AF45-8A2608795005}"/>
    <cellStyle name="Millares [0] 3 3 2 3 2" xfId="11532" xr:uid="{167E1591-8DE7-40F5-8CA3-F16CC0F774A0}"/>
    <cellStyle name="Millares [0] 3 3 2 4" xfId="4258" xr:uid="{0C90F2A9-56DA-4099-87E9-832C26A4D2D2}"/>
    <cellStyle name="Millares [0] 3 3 2 4 2" xfId="9112" xr:uid="{F78A859E-4748-48C7-9E26-FEAED50FA6D4}"/>
    <cellStyle name="Millares [0] 3 3 2 5" xfId="3045" xr:uid="{2A4DC5F6-3282-48B5-900C-C7CE98939B8B}"/>
    <cellStyle name="Millares [0] 3 3 2 6" xfId="7901" xr:uid="{EFAE7506-E9F6-4D56-867D-59C17DA0A665}"/>
    <cellStyle name="Millares [0] 3 3 3" xfId="4865" xr:uid="{CDD7F0D7-8609-4A8B-98AD-17362F7FC44A}"/>
    <cellStyle name="Millares [0] 3 3 3 2" xfId="9717" xr:uid="{D949CB85-DEA6-44CE-8BF7-353692588421}"/>
    <cellStyle name="Millares [0] 3 3 4" xfId="6078" xr:uid="{476E1684-9CBC-4B7E-B405-07B181DD4431}"/>
    <cellStyle name="Millares [0] 3 3 4 2" xfId="10928" xr:uid="{AC467C86-0D11-4FE7-B992-30C56F336012}"/>
    <cellStyle name="Millares [0] 3 3 5" xfId="3655" xr:uid="{CC10004B-63A3-44A3-8A47-861120E2E71E}"/>
    <cellStyle name="Millares [0] 3 3 5 2" xfId="8509" xr:uid="{EF69466A-4C84-4909-B935-3AEA36A5C061}"/>
    <cellStyle name="Millares [0] 3 3 6" xfId="2442" xr:uid="{5DA566CF-3ED7-4CC4-8DDD-95D2717CD1D3}"/>
    <cellStyle name="Millares [0] 3 3 7" xfId="7298" xr:uid="{CA12A900-8AC6-4D9E-BEAD-572D1BE88D73}"/>
    <cellStyle name="Millares [0] 3 4" xfId="1820" xr:uid="{F20EE251-EA0C-4C51-803A-52FC51CF8612}"/>
    <cellStyle name="Millares [0] 3 4 2" xfId="5465" xr:uid="{90993F9D-81C2-40BB-BA73-56FD7B64B3BE}"/>
    <cellStyle name="Millares [0] 3 4 2 2" xfId="10317" xr:uid="{721455D5-0946-4BFB-9168-2C56623DE93D}"/>
    <cellStyle name="Millares [0] 3 4 3" xfId="6681" xr:uid="{13B3DFFC-EB37-442A-AF67-485FC797C50E}"/>
    <cellStyle name="Millares [0] 3 4 3 2" xfId="11529" xr:uid="{C369DCFD-0625-42C1-AD80-7CF22B31ABA8}"/>
    <cellStyle name="Millares [0] 3 4 4" xfId="4255" xr:uid="{1C1D8AC4-259C-4B77-A2EC-35AB8286BEF9}"/>
    <cellStyle name="Millares [0] 3 4 4 2" xfId="9109" xr:uid="{72608D45-A17C-49A7-B0CC-E8699157B30C}"/>
    <cellStyle name="Millares [0] 3 4 5" xfId="3042" xr:uid="{0E2E0796-B852-4B5F-89DF-E53CB21F971B}"/>
    <cellStyle name="Millares [0] 3 4 6" xfId="7898" xr:uid="{0FC58ED1-A13F-4A27-A215-A8B88441FB0A}"/>
    <cellStyle name="Millares [0] 3 5" xfId="4862" xr:uid="{23D16788-E6FE-4427-99E7-2213D8865363}"/>
    <cellStyle name="Millares [0] 3 5 2" xfId="9714" xr:uid="{3470E947-9FF5-46BC-BA39-06C40232FFAF}"/>
    <cellStyle name="Millares [0] 3 6" xfId="6075" xr:uid="{56A22821-1992-4ECE-BF81-8C7D180FE451}"/>
    <cellStyle name="Millares [0] 3 6 2" xfId="10925" xr:uid="{DBEBC089-FE2B-4261-8B0E-8246AB7C51AC}"/>
    <cellStyle name="Millares [0] 3 7" xfId="3652" xr:uid="{1C046ABA-B2FF-4910-A04C-19878B085870}"/>
    <cellStyle name="Millares [0] 3 7 2" xfId="8506" xr:uid="{BC3C3676-8854-4B49-BA67-6C5341ECC2A9}"/>
    <cellStyle name="Millares [0] 3 8" xfId="2439" xr:uid="{3E213C79-FFE7-447E-8895-2BEA9878BDCC}"/>
    <cellStyle name="Millares [0] 3 9" xfId="7295" xr:uid="{27E104B3-24C3-4BEB-9FE4-E2DBC61ECB68}"/>
    <cellStyle name="Millares [0] 4" xfId="149" xr:uid="{7AF970CA-09F3-4BB3-A64B-003724C8608B}"/>
    <cellStyle name="Millares [0] 4 2" xfId="150" xr:uid="{D2FE52B6-9461-4AF6-92DB-628071EFBA5F}"/>
    <cellStyle name="Millares [0] 4 2 2" xfId="151" xr:uid="{77D64E5B-EFAF-4D29-BE40-DC7942A103C1}"/>
    <cellStyle name="Millares [0] 4 2 2 2" xfId="1826" xr:uid="{51B8CDF3-9372-4B1B-8289-C9613FCDBA66}"/>
    <cellStyle name="Millares [0] 4 2 2 2 2" xfId="5471" xr:uid="{5DA1F1A2-7907-4BEF-B4AB-1842561496E2}"/>
    <cellStyle name="Millares [0] 4 2 2 2 2 2" xfId="10323" xr:uid="{C8BE1001-975B-4845-BC0F-B23B9ED34A6A}"/>
    <cellStyle name="Millares [0] 4 2 2 2 3" xfId="6687" xr:uid="{B9C39CB4-CC34-4E0B-A1DF-91C0A74DD7DC}"/>
    <cellStyle name="Millares [0] 4 2 2 2 3 2" xfId="11535" xr:uid="{8F363E33-167A-44BC-9A19-EC6B02A624F1}"/>
    <cellStyle name="Millares [0] 4 2 2 2 4" xfId="4261" xr:uid="{989CE03E-AF76-4F7E-95B2-1C8A61708FE2}"/>
    <cellStyle name="Millares [0] 4 2 2 2 4 2" xfId="9115" xr:uid="{12B69CF9-47ED-471B-8B95-4E536AB61BBE}"/>
    <cellStyle name="Millares [0] 4 2 2 2 5" xfId="3048" xr:uid="{D03C806B-1FEF-49E6-BD84-C86F85ABD247}"/>
    <cellStyle name="Millares [0] 4 2 2 2 6" xfId="7904" xr:uid="{C09D1D66-0477-46FF-94A9-7DFD7695C52E}"/>
    <cellStyle name="Millares [0] 4 2 2 3" xfId="4868" xr:uid="{F099CB84-E12E-4B40-85BB-4A8988149C9D}"/>
    <cellStyle name="Millares [0] 4 2 2 3 2" xfId="9720" xr:uid="{0ACAADA5-0A42-4DB3-88B9-2A09DA91CB73}"/>
    <cellStyle name="Millares [0] 4 2 2 4" xfId="6081" xr:uid="{4F0C5F8D-BA7C-48BA-99B6-4C0A436CF789}"/>
    <cellStyle name="Millares [0] 4 2 2 4 2" xfId="10931" xr:uid="{7DE83EA5-71BA-4406-8158-3A0FAF3590D8}"/>
    <cellStyle name="Millares [0] 4 2 2 5" xfId="3658" xr:uid="{9228F07C-F4C5-49AE-B1CA-07C4BE129834}"/>
    <cellStyle name="Millares [0] 4 2 2 5 2" xfId="8512" xr:uid="{6EBA0049-9ECB-487C-B4E9-2CFD1F1345EA}"/>
    <cellStyle name="Millares [0] 4 2 2 6" xfId="2445" xr:uid="{8CFAE846-1159-4CF7-9A62-B9A3F981CFE1}"/>
    <cellStyle name="Millares [0] 4 2 2 7" xfId="7301" xr:uid="{252E4CFC-5739-49C6-9A9F-890ECF2A2CDE}"/>
    <cellStyle name="Millares [0] 4 2 3" xfId="1825" xr:uid="{10D78090-284C-409F-8753-8B9E518763A7}"/>
    <cellStyle name="Millares [0] 4 2 3 2" xfId="5470" xr:uid="{60A7E973-75A6-4F13-9513-8B333FEAF8F2}"/>
    <cellStyle name="Millares [0] 4 2 3 2 2" xfId="10322" xr:uid="{C642C7B8-DBBB-480A-A01C-BFF7EBA1F2F0}"/>
    <cellStyle name="Millares [0] 4 2 3 3" xfId="6686" xr:uid="{DF96874A-850D-4DEC-B796-53986C6502BC}"/>
    <cellStyle name="Millares [0] 4 2 3 3 2" xfId="11534" xr:uid="{E4E2D500-B842-4088-9962-7D2531B1A2A1}"/>
    <cellStyle name="Millares [0] 4 2 3 4" xfId="4260" xr:uid="{4F7BCEA7-19E4-4684-8297-A3D07D8A7220}"/>
    <cellStyle name="Millares [0] 4 2 3 4 2" xfId="9114" xr:uid="{0D0C54BC-E3D5-4963-9B22-CBF109F288D4}"/>
    <cellStyle name="Millares [0] 4 2 3 5" xfId="3047" xr:uid="{4D2C7A08-1D0E-4603-802C-2CA7D0559D78}"/>
    <cellStyle name="Millares [0] 4 2 3 6" xfId="7903" xr:uid="{4487C2B5-BC44-458F-8BAD-DC2EE80F11AC}"/>
    <cellStyle name="Millares [0] 4 2 4" xfId="4867" xr:uid="{C7487B4E-9CBA-4F23-BF17-ED7CDDB0050D}"/>
    <cellStyle name="Millares [0] 4 2 4 2" xfId="9719" xr:uid="{CB12AA88-906D-4E16-B45E-680673A59D16}"/>
    <cellStyle name="Millares [0] 4 2 5" xfId="6080" xr:uid="{0486A470-8304-421A-80E4-0C6F77E30C70}"/>
    <cellStyle name="Millares [0] 4 2 5 2" xfId="10930" xr:uid="{9F97E871-CBF5-4D2F-97E6-B8214E3F1A79}"/>
    <cellStyle name="Millares [0] 4 2 6" xfId="3657" xr:uid="{A5D20AD8-1CC6-4C7F-8417-B383D1BA53A7}"/>
    <cellStyle name="Millares [0] 4 2 6 2" xfId="8511" xr:uid="{83315FD1-AB9D-474A-AA00-BD47A5F5F308}"/>
    <cellStyle name="Millares [0] 4 2 7" xfId="2444" xr:uid="{1DC29AF4-F4A8-400F-8C3D-3D5357949408}"/>
    <cellStyle name="Millares [0] 4 2 8" xfId="7300" xr:uid="{39BA84A7-0A01-4C39-90CE-A8F716F31686}"/>
    <cellStyle name="Millares [0] 4 3" xfId="152" xr:uid="{89EF1E4B-2776-4C82-BF33-4E7318142F51}"/>
    <cellStyle name="Millares [0] 4 3 2" xfId="1827" xr:uid="{ADE1D339-B0B6-4E10-8961-79C7C7143F60}"/>
    <cellStyle name="Millares [0] 4 3 2 2" xfId="5472" xr:uid="{841712D9-B2CA-42C9-9F90-B72F7323CB8D}"/>
    <cellStyle name="Millares [0] 4 3 2 2 2" xfId="10324" xr:uid="{BD294AA3-D10F-4E16-9615-EAB5F543FBE2}"/>
    <cellStyle name="Millares [0] 4 3 2 3" xfId="6688" xr:uid="{C1488BE0-9293-4978-BE19-E133CDDC9783}"/>
    <cellStyle name="Millares [0] 4 3 2 3 2" xfId="11536" xr:uid="{6BAD4454-7442-4491-B056-DA52A4FACAAA}"/>
    <cellStyle name="Millares [0] 4 3 2 4" xfId="4262" xr:uid="{B63785D6-822C-4AC0-838C-8661DEDACD62}"/>
    <cellStyle name="Millares [0] 4 3 2 4 2" xfId="9116" xr:uid="{D60CA842-E2EE-4C4C-A185-AEAF5FF83ED9}"/>
    <cellStyle name="Millares [0] 4 3 2 5" xfId="3049" xr:uid="{F9F25193-624F-4D69-B56F-1BB443E768D6}"/>
    <cellStyle name="Millares [0] 4 3 2 6" xfId="7905" xr:uid="{2CA75180-1D9B-4CBA-963B-F052B42DC63E}"/>
    <cellStyle name="Millares [0] 4 3 3" xfId="4869" xr:uid="{8CD7621B-5ACB-4668-93F5-B7379FEE38DF}"/>
    <cellStyle name="Millares [0] 4 3 3 2" xfId="9721" xr:uid="{1F3A798F-E518-4547-9473-B788322E41A2}"/>
    <cellStyle name="Millares [0] 4 3 4" xfId="6082" xr:uid="{D7BD6D74-5C78-46B8-91CF-7F37BAC6C074}"/>
    <cellStyle name="Millares [0] 4 3 4 2" xfId="10932" xr:uid="{305F3D86-A813-4B05-98CC-067B0F1FF71E}"/>
    <cellStyle name="Millares [0] 4 3 5" xfId="3659" xr:uid="{1E423083-B228-4512-9755-60B66F50D0AA}"/>
    <cellStyle name="Millares [0] 4 3 5 2" xfId="8513" xr:uid="{BE00E3FD-5ED0-47FC-AAE5-9AA5541B2C63}"/>
    <cellStyle name="Millares [0] 4 3 6" xfId="2446" xr:uid="{57805887-C255-4675-A325-9861A281EF33}"/>
    <cellStyle name="Millares [0] 4 3 7" xfId="7302" xr:uid="{97384926-39FF-43D0-9E31-F22ED163E5DF}"/>
    <cellStyle name="Millares [0] 4 4" xfId="1824" xr:uid="{71E6B543-0187-43CC-A498-2B7EE9BE8D72}"/>
    <cellStyle name="Millares [0] 4 4 2" xfId="5469" xr:uid="{E1A5B729-730F-4A32-B432-8AF4BA240670}"/>
    <cellStyle name="Millares [0] 4 4 2 2" xfId="10321" xr:uid="{9E5F5A7A-290B-480B-B423-326F72306ACB}"/>
    <cellStyle name="Millares [0] 4 4 3" xfId="6685" xr:uid="{83161FAF-9B47-48CC-A8C8-192A49B4F9ED}"/>
    <cellStyle name="Millares [0] 4 4 3 2" xfId="11533" xr:uid="{751BCC04-A012-486A-AEE0-33819ED02CBF}"/>
    <cellStyle name="Millares [0] 4 4 4" xfId="4259" xr:uid="{F38F09D1-FC93-4D8B-9642-25ECB195D241}"/>
    <cellStyle name="Millares [0] 4 4 4 2" xfId="9113" xr:uid="{4DB80FE6-8AD5-4281-8D08-658A4235F670}"/>
    <cellStyle name="Millares [0] 4 4 5" xfId="3046" xr:uid="{ED597B78-0F1C-4AB1-95D0-049F764B4001}"/>
    <cellStyle name="Millares [0] 4 4 6" xfId="7902" xr:uid="{4CE55B41-48CF-4F3C-B78A-1C58EF41B187}"/>
    <cellStyle name="Millares [0] 4 5" xfId="4866" xr:uid="{7FAFA5B9-6F40-4861-8319-1E452098ECCE}"/>
    <cellStyle name="Millares [0] 4 5 2" xfId="9718" xr:uid="{401AD0EA-7B10-4D3B-B8BC-E7794CB35606}"/>
    <cellStyle name="Millares [0] 4 6" xfId="6079" xr:uid="{B11A46DA-BD70-49BE-8A0E-B8F68108B34F}"/>
    <cellStyle name="Millares [0] 4 6 2" xfId="10929" xr:uid="{EFA9E826-08CF-4BE1-804E-F8F97A6A7203}"/>
    <cellStyle name="Millares [0] 4 7" xfId="3656" xr:uid="{7EA874E1-5F97-43F7-B6CF-210CE3799662}"/>
    <cellStyle name="Millares [0] 4 7 2" xfId="8510" xr:uid="{F0BB2F03-68AC-4570-B565-9BC29147A796}"/>
    <cellStyle name="Millares [0] 4 8" xfId="2443" xr:uid="{5490EBC1-D07E-4C80-A317-A38FCD2CB82E}"/>
    <cellStyle name="Millares [0] 4 9" xfId="7299" xr:uid="{DBF9467E-5438-4160-BAC8-9DC0B7F9C52E}"/>
    <cellStyle name="Millares [0] 5" xfId="153" xr:uid="{D169C098-BBE3-42D9-AFDB-245464A3D57E}"/>
    <cellStyle name="Millares [0] 5 2" xfId="154" xr:uid="{F80F6C4D-EB73-4BB1-8373-9D35DF92230C}"/>
    <cellStyle name="Millares [0] 5 2 2" xfId="1829" xr:uid="{EC8BCF71-8044-4957-8C30-E34E4E7D55BC}"/>
    <cellStyle name="Millares [0] 5 2 2 2" xfId="5474" xr:uid="{BE28E11B-1D48-4415-A4F4-D71CF1496AFA}"/>
    <cellStyle name="Millares [0] 5 2 2 2 2" xfId="10326" xr:uid="{3B439DFB-B4C5-47FA-AC1E-C9A7FA11F757}"/>
    <cellStyle name="Millares [0] 5 2 2 3" xfId="6690" xr:uid="{24F56321-7CAC-4DBD-9939-E9486DEA4460}"/>
    <cellStyle name="Millares [0] 5 2 2 3 2" xfId="11538" xr:uid="{CE760655-CAB7-4211-B239-20AB6BDFAF83}"/>
    <cellStyle name="Millares [0] 5 2 2 4" xfId="4264" xr:uid="{4263B701-C6DD-4C7C-9AFD-36CE2F63A667}"/>
    <cellStyle name="Millares [0] 5 2 2 4 2" xfId="9118" xr:uid="{C59B8522-4D0E-4721-B12F-F60AC472E39B}"/>
    <cellStyle name="Millares [0] 5 2 2 5" xfId="3051" xr:uid="{62BB54E8-4AB2-45C7-A43F-2996E7CC882E}"/>
    <cellStyle name="Millares [0] 5 2 2 6" xfId="7907" xr:uid="{5F157EF1-0BC9-41BC-A509-A62D072386D0}"/>
    <cellStyle name="Millares [0] 5 2 3" xfId="4871" xr:uid="{08D10087-D545-4AC3-82F5-B842C1572E6F}"/>
    <cellStyle name="Millares [0] 5 2 3 2" xfId="9723" xr:uid="{982692C1-0BF0-46CA-98BD-E5254FEC4E03}"/>
    <cellStyle name="Millares [0] 5 2 4" xfId="6084" xr:uid="{0C6F0B02-FAD6-4F29-BB4D-C43A78DB5E82}"/>
    <cellStyle name="Millares [0] 5 2 4 2" xfId="10934" xr:uid="{CB45B5EF-9D76-4D5F-A40D-F99D832EAB1C}"/>
    <cellStyle name="Millares [0] 5 2 5" xfId="3661" xr:uid="{C7813084-19A6-4ABE-880D-651BED3B803E}"/>
    <cellStyle name="Millares [0] 5 2 5 2" xfId="8515" xr:uid="{1212E1FB-13DE-4D57-B269-8C0B77C07C4C}"/>
    <cellStyle name="Millares [0] 5 2 6" xfId="2448" xr:uid="{FE4330FC-6B08-4557-BF6D-6F7998A3B937}"/>
    <cellStyle name="Millares [0] 5 2 7" xfId="7304" xr:uid="{33B92C27-BF4A-4A64-95D7-C0FA8CB67300}"/>
    <cellStyle name="Millares [0] 5 3" xfId="1828" xr:uid="{1C10F464-6E7F-4165-843A-2EC746D5C331}"/>
    <cellStyle name="Millares [0] 5 3 2" xfId="5473" xr:uid="{5616170B-19C5-4588-990F-0C766859D1AC}"/>
    <cellStyle name="Millares [0] 5 3 2 2" xfId="10325" xr:uid="{0FAE2C4E-D335-4D95-9450-B2261A374361}"/>
    <cellStyle name="Millares [0] 5 3 3" xfId="6689" xr:uid="{10C12099-723D-43F4-B309-51E3DAF82871}"/>
    <cellStyle name="Millares [0] 5 3 3 2" xfId="11537" xr:uid="{F0D46497-22C2-44F4-8671-88F4E6ECD297}"/>
    <cellStyle name="Millares [0] 5 3 4" xfId="4263" xr:uid="{65432B61-1FDC-4CBB-909C-598FE5570F52}"/>
    <cellStyle name="Millares [0] 5 3 4 2" xfId="9117" xr:uid="{A91A92A3-DF30-4832-9964-DE9ED29565F6}"/>
    <cellStyle name="Millares [0] 5 3 5" xfId="3050" xr:uid="{9632885E-4D77-41EE-B98B-BF617B9260C6}"/>
    <cellStyle name="Millares [0] 5 3 6" xfId="7906" xr:uid="{2088D0B2-B419-4A7F-88AD-DFCF181559B8}"/>
    <cellStyle name="Millares [0] 5 4" xfId="4870" xr:uid="{8502220C-6A7A-46D2-B60C-C27304F416F6}"/>
    <cellStyle name="Millares [0] 5 4 2" xfId="9722" xr:uid="{CF47E7E9-C355-43CD-B3BC-439F2A9DABCE}"/>
    <cellStyle name="Millares [0] 5 5" xfId="6083" xr:uid="{F9FCB31F-EE3F-4B8B-A71E-23491A84D175}"/>
    <cellStyle name="Millares [0] 5 5 2" xfId="10933" xr:uid="{9FF46009-5A70-4EB3-9F64-6401BE3CCDB2}"/>
    <cellStyle name="Millares [0] 5 6" xfId="3660" xr:uid="{AC2DB547-7A6A-4418-8A9B-199B64241678}"/>
    <cellStyle name="Millares [0] 5 6 2" xfId="8514" xr:uid="{1469882A-1265-44AA-98E5-1940D992E8A6}"/>
    <cellStyle name="Millares [0] 5 7" xfId="2447" xr:uid="{012F1816-2889-4B86-8955-BA184C932D60}"/>
    <cellStyle name="Millares [0] 5 8" xfId="7303" xr:uid="{B549D735-E463-4C9D-8829-04786F513DDE}"/>
    <cellStyle name="Millares [0] 6" xfId="155" xr:uid="{243E7A10-63FF-4F4F-AD5F-8BA916393E87}"/>
    <cellStyle name="Millares [0] 6 2" xfId="156" xr:uid="{04B42137-5859-47C3-A845-4937F0BB50F7}"/>
    <cellStyle name="Millares [0] 6 2 2" xfId="1831" xr:uid="{AF448CB6-9775-4384-A2BA-163702E70D97}"/>
    <cellStyle name="Millares [0] 6 2 2 2" xfId="5476" xr:uid="{26633126-6041-403F-B542-625F1D8E27E0}"/>
    <cellStyle name="Millares [0] 6 2 2 2 2" xfId="10328" xr:uid="{04DA803C-503B-4D2D-A80D-8E7DC88898EC}"/>
    <cellStyle name="Millares [0] 6 2 2 3" xfId="6692" xr:uid="{124E8D9D-2302-449F-8BFA-3FA50FDF6590}"/>
    <cellStyle name="Millares [0] 6 2 2 3 2" xfId="11540" xr:uid="{79E3CC37-8CC4-4332-AEC6-286CFA548B1D}"/>
    <cellStyle name="Millares [0] 6 2 2 4" xfId="4266" xr:uid="{56E7E74A-58BD-4B7D-84EA-49928D787A0E}"/>
    <cellStyle name="Millares [0] 6 2 2 4 2" xfId="9120" xr:uid="{E8AFC5E9-337E-40C9-8B4B-5A4BE260887F}"/>
    <cellStyle name="Millares [0] 6 2 2 5" xfId="3053" xr:uid="{A2196883-221A-42C1-A29E-4D1180E191EA}"/>
    <cellStyle name="Millares [0] 6 2 2 6" xfId="7909" xr:uid="{4A5A2339-D9F3-4AE7-981A-A64BE7484277}"/>
    <cellStyle name="Millares [0] 6 2 3" xfId="4873" xr:uid="{B65B8715-4F14-4842-9ADB-D5D9572204F4}"/>
    <cellStyle name="Millares [0] 6 2 3 2" xfId="9725" xr:uid="{439ADC1F-4F70-4DFB-89B9-21457B10B492}"/>
    <cellStyle name="Millares [0] 6 2 4" xfId="6086" xr:uid="{06246122-32AD-4B80-9C11-2C640A58DA8C}"/>
    <cellStyle name="Millares [0] 6 2 4 2" xfId="10936" xr:uid="{DE32FB4A-FC52-4E27-B561-3DBD953F5A99}"/>
    <cellStyle name="Millares [0] 6 2 5" xfId="3663" xr:uid="{0A6E2DC1-AA2B-4E18-B7C2-F226BB65D8AC}"/>
    <cellStyle name="Millares [0] 6 2 5 2" xfId="8517" xr:uid="{BFADC1C6-5ABF-4F04-859F-D4E2A3AC0AB4}"/>
    <cellStyle name="Millares [0] 6 2 6" xfId="2450" xr:uid="{7CCFB91F-0D4F-4500-A8CD-6AD7D62E274E}"/>
    <cellStyle name="Millares [0] 6 2 7" xfId="7306" xr:uid="{A783006A-5BD0-4D9B-9C16-9F28A72EEA17}"/>
    <cellStyle name="Millares [0] 6 3" xfId="1830" xr:uid="{FBD8DB27-A7AD-4640-A36B-0B0A3ED4FBE0}"/>
    <cellStyle name="Millares [0] 6 3 2" xfId="5475" xr:uid="{8E0DB85D-AE83-4822-87ED-DC00B2501E46}"/>
    <cellStyle name="Millares [0] 6 3 2 2" xfId="10327" xr:uid="{0390BC06-24A8-4031-972C-B99A8663C9B1}"/>
    <cellStyle name="Millares [0] 6 3 3" xfId="6691" xr:uid="{E23123D4-C8F3-4DA4-B6EA-A4A5393470D1}"/>
    <cellStyle name="Millares [0] 6 3 3 2" xfId="11539" xr:uid="{E8343BE9-26D9-409E-AFEA-10C7DACCA867}"/>
    <cellStyle name="Millares [0] 6 3 4" xfId="4265" xr:uid="{E3968D69-C8E9-45BB-A4D7-BFDFEB512EF9}"/>
    <cellStyle name="Millares [0] 6 3 4 2" xfId="9119" xr:uid="{1BE8C574-1375-4C3A-A68C-B8281962E3C4}"/>
    <cellStyle name="Millares [0] 6 3 5" xfId="3052" xr:uid="{90867739-E865-45E5-86A4-23EA3E7F0229}"/>
    <cellStyle name="Millares [0] 6 3 6" xfId="7908" xr:uid="{BE521BFD-65F1-4123-A5DC-C4720D2FD0FF}"/>
    <cellStyle name="Millares [0] 6 4" xfId="4872" xr:uid="{E9292019-20DF-4464-B43A-187E894DAB58}"/>
    <cellStyle name="Millares [0] 6 4 2" xfId="9724" xr:uid="{588B649C-4199-4A9C-B2AD-D5B1BFDC3B23}"/>
    <cellStyle name="Millares [0] 6 5" xfId="6085" xr:uid="{207B73E0-4EF3-4435-BBE4-4F2337ABD45B}"/>
    <cellStyle name="Millares [0] 6 5 2" xfId="10935" xr:uid="{01609DD2-E540-43D8-8EAF-6B2A3AC86BEE}"/>
    <cellStyle name="Millares [0] 6 6" xfId="3662" xr:uid="{ACA42006-53FD-45E8-B5D8-E349E2E240CB}"/>
    <cellStyle name="Millares [0] 6 6 2" xfId="8516" xr:uid="{B3F6FF04-30E9-4122-BAC6-090A8994F5B2}"/>
    <cellStyle name="Millares [0] 6 7" xfId="2449" xr:uid="{45745682-8EA7-4464-81F8-1F527862B875}"/>
    <cellStyle name="Millares [0] 6 8" xfId="7305" xr:uid="{1D0DE625-A478-467D-A905-DA7437AA51CB}"/>
    <cellStyle name="Millares [0] 7" xfId="136" xr:uid="{CA872391-4AC7-4BB8-BA5F-FC8DF5424FD1}"/>
    <cellStyle name="Millares [0] 7 2" xfId="1832" xr:uid="{55C58A0D-7DFE-429A-A7E5-A2BBC5A9FEA9}"/>
    <cellStyle name="Millares [0] 7 2 2" xfId="5477" xr:uid="{75E17178-8734-4338-BE65-592638292A99}"/>
    <cellStyle name="Millares [0] 7 2 2 2" xfId="10329" xr:uid="{C37C95C7-BB5C-4544-8805-A853E5B73F1E}"/>
    <cellStyle name="Millares [0] 7 2 3" xfId="6693" xr:uid="{319FD0FF-F463-4A16-8072-F5423860698B}"/>
    <cellStyle name="Millares [0] 7 2 3 2" xfId="11541" xr:uid="{90DFD365-62E4-4F56-9316-810777D77645}"/>
    <cellStyle name="Millares [0] 7 2 4" xfId="4267" xr:uid="{F7F57BA1-2C0D-44B3-8EB5-597C71A63951}"/>
    <cellStyle name="Millares [0] 7 2 4 2" xfId="9121" xr:uid="{5B8BD763-8486-440F-A5C9-D5ECE24861C0}"/>
    <cellStyle name="Millares [0] 7 2 5" xfId="3054" xr:uid="{582DA417-E667-4726-8CC6-3606E5172037}"/>
    <cellStyle name="Millares [0] 7 2 6" xfId="7910" xr:uid="{5949CFAA-659B-4180-8DBE-72F1BDC66626}"/>
    <cellStyle name="Millares [0] 7 3" xfId="4849" xr:uid="{036B6270-3DC3-4F42-A07D-9128CBE15781}"/>
    <cellStyle name="Millares [0] 7 3 2" xfId="9701" xr:uid="{68177B09-072B-49BF-8A3E-7C16854927B3}"/>
    <cellStyle name="Millares [0] 7 4" xfId="6062" xr:uid="{45295FA5-FC31-4714-B74F-4D95185FC5CE}"/>
    <cellStyle name="Millares [0] 7 4 2" xfId="10912" xr:uid="{633C8FD2-FFCA-43CF-B5C3-5C3DE0A14B51}"/>
    <cellStyle name="Millares [0] 7 5" xfId="3639" xr:uid="{36ACB805-FCA1-4353-B8D4-D180BDD3A56B}"/>
    <cellStyle name="Millares [0] 7 5 2" xfId="8493" xr:uid="{B6AF4EB7-241D-468F-8774-592B3F72A3A9}"/>
    <cellStyle name="Millares [0] 7 6" xfId="2426" xr:uid="{757875FB-630F-48B5-9EA3-63ECCED65B38}"/>
    <cellStyle name="Millares [0] 7 7" xfId="7282" xr:uid="{BE40440A-4447-4E04-8704-2BCCA8310259}"/>
    <cellStyle name="Millares [0] 8" xfId="1807" xr:uid="{5E1AB069-96B1-4AD9-B807-8731076EBFE6}"/>
    <cellStyle name="Millares [0] 8 2" xfId="5452" xr:uid="{20B10C01-9F00-49EC-AB8C-4A85CC75108B}"/>
    <cellStyle name="Millares [0] 8 2 2" xfId="10304" xr:uid="{987554C1-5C8C-4CB7-97E7-15795FE5A858}"/>
    <cellStyle name="Millares [0] 8 3" xfId="6668" xr:uid="{9504A60E-E827-44D5-8E9E-171DCAE3E222}"/>
    <cellStyle name="Millares [0] 8 3 2" xfId="11516" xr:uid="{7580597D-8124-4464-8271-4B7933998709}"/>
    <cellStyle name="Millares [0] 8 4" xfId="4242" xr:uid="{70E2767B-52CB-4704-8A9A-73401E89584A}"/>
    <cellStyle name="Millares [0] 8 4 2" xfId="9096" xr:uid="{ABAF0498-B8CF-44E3-A80A-21F5D1C5CC88}"/>
    <cellStyle name="Millares [0] 8 5" xfId="3029" xr:uid="{ED2707D9-D5B5-44AB-8BA2-782E47C8609C}"/>
    <cellStyle name="Millares [0] 8 6" xfId="7885" xr:uid="{E0C357B9-5F05-48BC-9F79-F0E05754F394}"/>
    <cellStyle name="Millares [0] 9" xfId="143" xr:uid="{32876DE2-4B28-4980-A9DA-719B67FBFA7E}"/>
    <cellStyle name="Millares [0] 9 2" xfId="6033" xr:uid="{7D50B62F-1777-4BBC-971A-7C6DEFE4935C}"/>
    <cellStyle name="Millares [0] 9 2 2" xfId="10885" xr:uid="{BF4B110E-2306-419F-9583-0A07E8D573E0}"/>
    <cellStyle name="Millares [0] 9 3" xfId="7249" xr:uid="{3089F2DE-C49F-4C3B-9FAC-319706840C8B}"/>
    <cellStyle name="Millares [0] 9 3 2" xfId="12097" xr:uid="{2935F0EA-0277-49E8-965F-BE93B4C97EAB}"/>
    <cellStyle name="Millares [0] 9 4" xfId="3631" xr:uid="{FD0EF2E7-4A18-43BA-A413-D67FA0941826}"/>
    <cellStyle name="Millares [0] 9 4 2" xfId="8485" xr:uid="{42868DBE-E186-41C3-942C-F7C5A025498B}"/>
    <cellStyle name="Millares [0] 9 5" xfId="3610" xr:uid="{8D4047BA-EEC7-4EC1-A3EC-C638FD86B0C2}"/>
    <cellStyle name="Millares [0] 9 6" xfId="8466" xr:uid="{FFEC5E7D-3DD7-49EB-8CEB-D9B234BC0345}"/>
    <cellStyle name="Millares 10" xfId="157" xr:uid="{65F4DFC4-D709-4597-BFE5-B87597052805}"/>
    <cellStyle name="Millares 10 10" xfId="6087" xr:uid="{030147A7-D2F1-4B3E-A83A-29AC501A15AC}"/>
    <cellStyle name="Millares 10 10 2" xfId="10937" xr:uid="{2357B7F6-2019-49AC-8037-99EF3E0C9DB6}"/>
    <cellStyle name="Millares 10 11" xfId="3664" xr:uid="{0E1CB289-1C2E-43D0-918C-ED2ABEE8F0D1}"/>
    <cellStyle name="Millares 10 11 2" xfId="8518" xr:uid="{91A91E24-C12A-4119-9C00-A357A66C24A5}"/>
    <cellStyle name="Millares 10 12" xfId="2451" xr:uid="{5414D102-261B-4B12-8844-59BEA4618977}"/>
    <cellStyle name="Millares 10 13" xfId="7307" xr:uid="{28DBEF6E-2172-4C5A-8017-EFDFC301C8FF}"/>
    <cellStyle name="Millares 10 2" xfId="158" xr:uid="{EAE88BFF-1D6B-41C7-BA7F-35455DBCA3F6}"/>
    <cellStyle name="Millares 10 2 10" xfId="3665" xr:uid="{4A9DD136-2195-4BCE-842E-8A3106B977BF}"/>
    <cellStyle name="Millares 10 2 10 2" xfId="8519" xr:uid="{7767E2B1-452A-4584-999F-678D8863E962}"/>
    <cellStyle name="Millares 10 2 11" xfId="2452" xr:uid="{9F3DBC13-3461-4080-A095-F3206AD140E3}"/>
    <cellStyle name="Millares 10 2 12" xfId="7308" xr:uid="{2A4DB7DF-1A3E-4059-A74F-FD50F693FC28}"/>
    <cellStyle name="Millares 10 2 2" xfId="159" xr:uid="{6AF95B83-5C39-416F-856A-6304A4A7B8F8}"/>
    <cellStyle name="Millares 10 2 2 10" xfId="7309" xr:uid="{B692FD1C-833A-450A-9C6A-1033DE830F13}"/>
    <cellStyle name="Millares 10 2 2 2" xfId="160" xr:uid="{91B55535-8378-46CB-A36C-6E934681E3F4}"/>
    <cellStyle name="Millares 10 2 2 2 2" xfId="161" xr:uid="{04D76D03-D144-4C4A-AC9A-C8BD988C1D2C}"/>
    <cellStyle name="Millares 10 2 2 2 2 2" xfId="1837" xr:uid="{1AEE2C09-EA0F-4105-BD79-277BF0FBA78F}"/>
    <cellStyle name="Millares 10 2 2 2 2 2 2" xfId="5482" xr:uid="{2906A1BC-8329-4863-BBC2-6641A01B1601}"/>
    <cellStyle name="Millares 10 2 2 2 2 2 2 2" xfId="10334" xr:uid="{EF6CDC3D-9A69-4285-8318-F0BDCF216F59}"/>
    <cellStyle name="Millares 10 2 2 2 2 2 3" xfId="6698" xr:uid="{5AD82887-2964-40D7-A9D3-CBBF52DA2BB0}"/>
    <cellStyle name="Millares 10 2 2 2 2 2 3 2" xfId="11546" xr:uid="{BF4F49DC-7B54-49DF-A65C-D92C221A9365}"/>
    <cellStyle name="Millares 10 2 2 2 2 2 4" xfId="4272" xr:uid="{0E3D0992-538A-43CE-8416-BE546471385B}"/>
    <cellStyle name="Millares 10 2 2 2 2 2 4 2" xfId="9126" xr:uid="{7F5DAAC7-7722-48B2-887C-AB33C9DECE7B}"/>
    <cellStyle name="Millares 10 2 2 2 2 2 5" xfId="3059" xr:uid="{81F75CB3-F57A-442F-917B-ACE892321F4C}"/>
    <cellStyle name="Millares 10 2 2 2 2 2 6" xfId="7915" xr:uid="{DD58FF04-D38B-424A-88DC-C0C2CCF6BE8D}"/>
    <cellStyle name="Millares 10 2 2 2 2 3" xfId="4878" xr:uid="{F87346DD-C612-4C46-9A27-8B964320A9BA}"/>
    <cellStyle name="Millares 10 2 2 2 2 3 2" xfId="9730" xr:uid="{D39E882E-8959-46A2-A4F6-9CC6DB1A7D37}"/>
    <cellStyle name="Millares 10 2 2 2 2 4" xfId="6091" xr:uid="{924AC6B4-6B4D-4ABE-B478-1E7CE91FA561}"/>
    <cellStyle name="Millares 10 2 2 2 2 4 2" xfId="10941" xr:uid="{E568A75F-F056-4D64-8F3D-89532D6A519D}"/>
    <cellStyle name="Millares 10 2 2 2 2 5" xfId="3668" xr:uid="{90BBE398-7F3A-4CA8-87CA-6161E6FBFA25}"/>
    <cellStyle name="Millares 10 2 2 2 2 5 2" xfId="8522" xr:uid="{5F236A06-D10A-41FC-B93E-A5F4FDDBBD4E}"/>
    <cellStyle name="Millares 10 2 2 2 2 6" xfId="2455" xr:uid="{D4768B6B-5486-41FA-AD18-2656E25A3358}"/>
    <cellStyle name="Millares 10 2 2 2 2 7" xfId="7311" xr:uid="{F0B72066-A5B4-440A-A009-97D4600345F2}"/>
    <cellStyle name="Millares 10 2 2 2 3" xfId="1836" xr:uid="{21177C92-073D-4510-AA93-7D2D1F5A9490}"/>
    <cellStyle name="Millares 10 2 2 2 3 2" xfId="5481" xr:uid="{1FBFAEFC-A617-4A30-9ADF-A360498F9077}"/>
    <cellStyle name="Millares 10 2 2 2 3 2 2" xfId="10333" xr:uid="{60B4E703-995F-433F-8B2E-3665310975F8}"/>
    <cellStyle name="Millares 10 2 2 2 3 3" xfId="6697" xr:uid="{A8098468-E93F-425C-908A-C2248863A032}"/>
    <cellStyle name="Millares 10 2 2 2 3 3 2" xfId="11545" xr:uid="{B46412B0-ABF7-434C-88BA-4F0F5CC96AC7}"/>
    <cellStyle name="Millares 10 2 2 2 3 4" xfId="4271" xr:uid="{AB800935-2B46-4042-B60C-BFBC5820E549}"/>
    <cellStyle name="Millares 10 2 2 2 3 4 2" xfId="9125" xr:uid="{3858B871-A3F3-4702-996E-8F55ED4E5F7C}"/>
    <cellStyle name="Millares 10 2 2 2 3 5" xfId="3058" xr:uid="{F2448601-13AB-4FDE-A90E-8921F173AEB3}"/>
    <cellStyle name="Millares 10 2 2 2 3 6" xfId="7914" xr:uid="{5C50AAE6-7CDB-411A-9274-B656D90FE141}"/>
    <cellStyle name="Millares 10 2 2 2 4" xfId="4877" xr:uid="{25C4BB2D-A41B-47AE-8EB5-26CE1AB8DEF0}"/>
    <cellStyle name="Millares 10 2 2 2 4 2" xfId="9729" xr:uid="{EABC951A-D407-4282-986B-5C364BD9590E}"/>
    <cellStyle name="Millares 10 2 2 2 5" xfId="6090" xr:uid="{C5770417-BAD4-4170-B335-66ED6879A581}"/>
    <cellStyle name="Millares 10 2 2 2 5 2" xfId="10940" xr:uid="{2F151C89-63B2-4A3B-A6DB-D33F00E8491F}"/>
    <cellStyle name="Millares 10 2 2 2 6" xfId="3667" xr:uid="{D688400B-5F69-4E24-A42F-A06D095A8B49}"/>
    <cellStyle name="Millares 10 2 2 2 6 2" xfId="8521" xr:uid="{6739CC93-1CE8-42D9-B2E8-9C7BDE27C9FE}"/>
    <cellStyle name="Millares 10 2 2 2 7" xfId="2454" xr:uid="{5704AF98-A7F8-4213-A883-4266734ECF7C}"/>
    <cellStyle name="Millares 10 2 2 2 8" xfId="7310" xr:uid="{ED46C607-D824-4ABE-AD70-65223AE9D7D2}"/>
    <cellStyle name="Millares 10 2 2 3" xfId="162" xr:uid="{60270726-8C7B-4638-B4B5-80A6C3EBDB41}"/>
    <cellStyle name="Millares 10 2 2 3 2" xfId="1838" xr:uid="{357CDCFF-C63B-4734-B89A-7719914927FF}"/>
    <cellStyle name="Millares 10 2 2 3 2 2" xfId="5483" xr:uid="{93F434C5-1A00-4F9D-8FE2-ECB0ED675AAC}"/>
    <cellStyle name="Millares 10 2 2 3 2 2 2" xfId="10335" xr:uid="{AE8F6627-A328-4174-AE9D-D7E0FDDA4943}"/>
    <cellStyle name="Millares 10 2 2 3 2 3" xfId="6699" xr:uid="{85025FBB-0FF5-4B52-8F13-B797349A702E}"/>
    <cellStyle name="Millares 10 2 2 3 2 3 2" xfId="11547" xr:uid="{5271EF22-0899-4E24-83CF-51F0603C0462}"/>
    <cellStyle name="Millares 10 2 2 3 2 4" xfId="4273" xr:uid="{3D28AD6E-DE2B-40E0-8810-6D201F1436ED}"/>
    <cellStyle name="Millares 10 2 2 3 2 4 2" xfId="9127" xr:uid="{01D76C1E-D78B-4050-A120-A56969BB70E0}"/>
    <cellStyle name="Millares 10 2 2 3 2 5" xfId="3060" xr:uid="{83005763-2BC5-4DE8-B0C4-F4643BBBCCC3}"/>
    <cellStyle name="Millares 10 2 2 3 2 6" xfId="7916" xr:uid="{6F26CBC1-19C7-4B8E-A64D-810AFEE2A7CE}"/>
    <cellStyle name="Millares 10 2 2 3 3" xfId="4879" xr:uid="{4661B2A9-EC9F-41D1-B6E4-3CA7851FE3FE}"/>
    <cellStyle name="Millares 10 2 2 3 3 2" xfId="9731" xr:uid="{8CD913B0-A3BC-43E1-9A64-769E04628DFE}"/>
    <cellStyle name="Millares 10 2 2 3 4" xfId="6092" xr:uid="{7997D7C8-0D2A-498D-A199-ED2DF7AD0312}"/>
    <cellStyle name="Millares 10 2 2 3 4 2" xfId="10942" xr:uid="{FCC4AF35-CEA2-4F99-850C-D3B5CB0DDD7C}"/>
    <cellStyle name="Millares 10 2 2 3 5" xfId="3669" xr:uid="{A1F2E854-28D5-4513-B29D-67EE1BFE49B4}"/>
    <cellStyle name="Millares 10 2 2 3 5 2" xfId="8523" xr:uid="{9DAA8C21-E125-44A5-8638-DA2DA60375FA}"/>
    <cellStyle name="Millares 10 2 2 3 6" xfId="2456" xr:uid="{821D8535-EF0F-4DB1-A0E6-F80FC1105201}"/>
    <cellStyle name="Millares 10 2 2 3 7" xfId="7312" xr:uid="{C2D64BE6-8863-483E-A557-1AE89AF12793}"/>
    <cellStyle name="Millares 10 2 2 4" xfId="163" xr:uid="{C5C3B113-EEEF-4D80-B4F3-B808CD6F07C9}"/>
    <cellStyle name="Millares 10 2 2 4 2" xfId="1839" xr:uid="{0FAFDF49-4557-4D9D-984B-DBC78532C30D}"/>
    <cellStyle name="Millares 10 2 2 4 2 2" xfId="5484" xr:uid="{F1740961-E75D-4728-AC8E-4BA63F86E20E}"/>
    <cellStyle name="Millares 10 2 2 4 2 2 2" xfId="10336" xr:uid="{683864FE-08F4-4052-BEAB-3B807C3318F1}"/>
    <cellStyle name="Millares 10 2 2 4 2 3" xfId="6700" xr:uid="{1B01BF4C-04F6-4FDD-AD60-7725095B926F}"/>
    <cellStyle name="Millares 10 2 2 4 2 3 2" xfId="11548" xr:uid="{C8FB4B2A-B615-4004-B713-F593EDC6C05D}"/>
    <cellStyle name="Millares 10 2 2 4 2 4" xfId="4274" xr:uid="{4CF6AA4A-4710-4B21-90B7-FAE469314B05}"/>
    <cellStyle name="Millares 10 2 2 4 2 4 2" xfId="9128" xr:uid="{F8218BAA-3351-4DD9-87AB-666EBBCC8D1A}"/>
    <cellStyle name="Millares 10 2 2 4 2 5" xfId="3061" xr:uid="{660C7D7C-6E81-42A6-B543-B6C1386ABDDC}"/>
    <cellStyle name="Millares 10 2 2 4 2 6" xfId="7917" xr:uid="{41600935-6C1C-46B8-B6C2-258C8BD45893}"/>
    <cellStyle name="Millares 10 2 2 4 3" xfId="4880" xr:uid="{29D4F4F4-9435-4789-AB6F-A607D6A98363}"/>
    <cellStyle name="Millares 10 2 2 4 3 2" xfId="9732" xr:uid="{98852916-ACFD-4585-AE70-B8FB7DE54339}"/>
    <cellStyle name="Millares 10 2 2 4 4" xfId="6093" xr:uid="{3B904B49-357E-47BA-8952-EE87CFBE387E}"/>
    <cellStyle name="Millares 10 2 2 4 4 2" xfId="10943" xr:uid="{AC5DD8D3-CF63-4866-BD3C-CF1A5465102A}"/>
    <cellStyle name="Millares 10 2 2 4 5" xfId="3670" xr:uid="{473BB72D-928E-48C0-A243-0776E5B4B925}"/>
    <cellStyle name="Millares 10 2 2 4 5 2" xfId="8524" xr:uid="{E721B4BF-F99A-426F-8DB4-F9087E26E239}"/>
    <cellStyle name="Millares 10 2 2 4 6" xfId="2457" xr:uid="{0515054F-01C8-433C-85E9-441E6D01338C}"/>
    <cellStyle name="Millares 10 2 2 4 7" xfId="7313" xr:uid="{69C35832-7229-4CC8-A94A-B12456B79315}"/>
    <cellStyle name="Millares 10 2 2 5" xfId="1835" xr:uid="{8211D860-6711-46F5-B526-5C8A9D91B570}"/>
    <cellStyle name="Millares 10 2 2 5 2" xfId="5480" xr:uid="{0011884A-29AD-4929-99F4-95374B373DAE}"/>
    <cellStyle name="Millares 10 2 2 5 2 2" xfId="10332" xr:uid="{367DAA23-FEF2-4D75-A52A-5735629FC3FE}"/>
    <cellStyle name="Millares 10 2 2 5 3" xfId="6696" xr:uid="{0C67B50B-326D-48DE-982E-3AE110C938EF}"/>
    <cellStyle name="Millares 10 2 2 5 3 2" xfId="11544" xr:uid="{1779600B-F4A3-4260-9E39-40D7F76F6707}"/>
    <cellStyle name="Millares 10 2 2 5 4" xfId="4270" xr:uid="{6D1DFFFA-09A0-445A-9B5A-0BDEC5A71E49}"/>
    <cellStyle name="Millares 10 2 2 5 4 2" xfId="9124" xr:uid="{9A53B54D-99A3-4169-A320-967C5F497EB7}"/>
    <cellStyle name="Millares 10 2 2 5 5" xfId="3057" xr:uid="{6A8443DF-0AAE-405A-8BED-0E874D946101}"/>
    <cellStyle name="Millares 10 2 2 5 6" xfId="7913" xr:uid="{67C1C0D5-2B34-402F-94E0-AB6AC25494EB}"/>
    <cellStyle name="Millares 10 2 2 6" xfId="4876" xr:uid="{951FFCEB-D6D7-40FB-9FD9-9A8B88E7C6A2}"/>
    <cellStyle name="Millares 10 2 2 6 2" xfId="9728" xr:uid="{385AC46F-F985-4D51-A106-7C777923B0F7}"/>
    <cellStyle name="Millares 10 2 2 7" xfId="6089" xr:uid="{43FCAE84-4C39-4FF3-9791-B3D4F5749649}"/>
    <cellStyle name="Millares 10 2 2 7 2" xfId="10939" xr:uid="{98BE184B-C180-4157-ABA3-89DB6E3C8D77}"/>
    <cellStyle name="Millares 10 2 2 8" xfId="3666" xr:uid="{0417B45C-9B0C-4D30-A603-516B56F76C56}"/>
    <cellStyle name="Millares 10 2 2 8 2" xfId="8520" xr:uid="{4765B117-F805-40A8-9A21-A93B23BE8173}"/>
    <cellStyle name="Millares 10 2 2 9" xfId="2453" xr:uid="{6A139294-93B7-4CC0-B3CE-3800DFDCFE98}"/>
    <cellStyle name="Millares 10 2 3" xfId="164" xr:uid="{0C132A2B-5864-49EA-AD92-0406C505E4FB}"/>
    <cellStyle name="Millares 10 2 3 2" xfId="165" xr:uid="{94008FBB-3CED-4843-AA72-3F1C687E3883}"/>
    <cellStyle name="Millares 10 2 3 2 2" xfId="166" xr:uid="{7BE1E3A0-374B-4134-B6B9-F31CF6FA046A}"/>
    <cellStyle name="Millares 10 2 3 2 2 2" xfId="1842" xr:uid="{4091C96E-99FB-4881-B23B-BE9639BC5F2F}"/>
    <cellStyle name="Millares 10 2 3 2 2 2 2" xfId="5487" xr:uid="{4BE2AC1F-AE36-498B-858D-520213E786F0}"/>
    <cellStyle name="Millares 10 2 3 2 2 2 2 2" xfId="10339" xr:uid="{82C29CB5-14F7-4D66-906E-AFBD97421EB7}"/>
    <cellStyle name="Millares 10 2 3 2 2 2 3" xfId="6703" xr:uid="{7638FB5E-9645-4F38-8E92-33DAA264757F}"/>
    <cellStyle name="Millares 10 2 3 2 2 2 3 2" xfId="11551" xr:uid="{3F5BF6B9-9795-4BBA-9EAB-23D6AF586948}"/>
    <cellStyle name="Millares 10 2 3 2 2 2 4" xfId="4277" xr:uid="{47A81930-3537-45E6-A4B9-078E912A8404}"/>
    <cellStyle name="Millares 10 2 3 2 2 2 4 2" xfId="9131" xr:uid="{F1F4DFB0-E950-448B-B70A-80A405CA1720}"/>
    <cellStyle name="Millares 10 2 3 2 2 2 5" xfId="3064" xr:uid="{82F34BFF-4314-4368-A50D-67E709DCB324}"/>
    <cellStyle name="Millares 10 2 3 2 2 2 6" xfId="7920" xr:uid="{07EF535D-E4B8-4234-A29A-019C58991952}"/>
    <cellStyle name="Millares 10 2 3 2 2 3" xfId="4883" xr:uid="{0539F150-B63B-4B60-AED3-061BD8C20DE1}"/>
    <cellStyle name="Millares 10 2 3 2 2 3 2" xfId="9735" xr:uid="{9CCCCE1C-5553-45D0-9C2B-54083BF1605A}"/>
    <cellStyle name="Millares 10 2 3 2 2 4" xfId="6096" xr:uid="{7AE29989-FD79-4D48-B336-787A54143ECB}"/>
    <cellStyle name="Millares 10 2 3 2 2 4 2" xfId="10946" xr:uid="{C0D932F9-CA77-470A-9A62-4DFD7FC9B4B4}"/>
    <cellStyle name="Millares 10 2 3 2 2 5" xfId="3673" xr:uid="{12756C2B-3E69-4A42-B8C0-92DE91FF7D00}"/>
    <cellStyle name="Millares 10 2 3 2 2 5 2" xfId="8527" xr:uid="{054A4F27-00FE-40FE-BF92-F695561DAEB5}"/>
    <cellStyle name="Millares 10 2 3 2 2 6" xfId="2460" xr:uid="{53E099A3-4177-43DF-8E4B-0DDA93A73BAD}"/>
    <cellStyle name="Millares 10 2 3 2 2 7" xfId="7316" xr:uid="{E96FC98F-CC90-4861-9ACD-D3799E4A4166}"/>
    <cellStyle name="Millares 10 2 3 2 3" xfId="1841" xr:uid="{A57E67CC-6E0F-4FFD-971A-CDF682118F64}"/>
    <cellStyle name="Millares 10 2 3 2 3 2" xfId="5486" xr:uid="{513E88E2-7E40-48CD-8183-384556F53107}"/>
    <cellStyle name="Millares 10 2 3 2 3 2 2" xfId="10338" xr:uid="{0A0A5F06-3736-4512-8B4E-DC5BF382D4EC}"/>
    <cellStyle name="Millares 10 2 3 2 3 3" xfId="6702" xr:uid="{62DFD599-629B-4E5F-87E0-B919A77700F9}"/>
    <cellStyle name="Millares 10 2 3 2 3 3 2" xfId="11550" xr:uid="{1CE689BF-B94A-43E0-BE5A-049761E37729}"/>
    <cellStyle name="Millares 10 2 3 2 3 4" xfId="4276" xr:uid="{F1B8A789-5AF1-4FA2-8CC5-C6662092B06A}"/>
    <cellStyle name="Millares 10 2 3 2 3 4 2" xfId="9130" xr:uid="{DFEB4FB0-A01B-4A7D-BC6C-83D8B0F9DBF5}"/>
    <cellStyle name="Millares 10 2 3 2 3 5" xfId="3063" xr:uid="{1E68CE9A-F89C-426D-8DFA-A7B02167AE8A}"/>
    <cellStyle name="Millares 10 2 3 2 3 6" xfId="7919" xr:uid="{91B77426-783D-455A-A4AD-002A52232D7A}"/>
    <cellStyle name="Millares 10 2 3 2 4" xfId="4882" xr:uid="{E2400FA4-8770-44A2-B3F7-0D46A1A0B2CB}"/>
    <cellStyle name="Millares 10 2 3 2 4 2" xfId="9734" xr:uid="{2175E94B-192D-49C2-8E7E-D246297AB4BF}"/>
    <cellStyle name="Millares 10 2 3 2 5" xfId="6095" xr:uid="{4B02853E-E4C7-40D4-AE6A-F063364E9EEB}"/>
    <cellStyle name="Millares 10 2 3 2 5 2" xfId="10945" xr:uid="{D854CB5F-10A1-4558-BF98-3C413823EE26}"/>
    <cellStyle name="Millares 10 2 3 2 6" xfId="3672" xr:uid="{85DECFAB-A653-4199-B3C6-5AC124C95C21}"/>
    <cellStyle name="Millares 10 2 3 2 6 2" xfId="8526" xr:uid="{76358BF1-5C17-43A8-9CF6-38273F2920DD}"/>
    <cellStyle name="Millares 10 2 3 2 7" xfId="2459" xr:uid="{CBA392A8-8AE4-4D3C-88E9-AD9FA85C621B}"/>
    <cellStyle name="Millares 10 2 3 2 8" xfId="7315" xr:uid="{3071C7B8-E0C3-463A-8462-45724AD90ECF}"/>
    <cellStyle name="Millares 10 2 3 3" xfId="167" xr:uid="{E8C6FCAD-41E4-457B-8244-5521DB15088A}"/>
    <cellStyle name="Millares 10 2 3 3 2" xfId="1843" xr:uid="{1D4AD957-D2D2-45DF-8AC9-20B66DE340D3}"/>
    <cellStyle name="Millares 10 2 3 3 2 2" xfId="5488" xr:uid="{137AE4A9-EB37-4790-BCEA-E300C3486965}"/>
    <cellStyle name="Millares 10 2 3 3 2 2 2" xfId="10340" xr:uid="{2EC19673-AB0A-49CF-9337-FDF78937E98B}"/>
    <cellStyle name="Millares 10 2 3 3 2 3" xfId="6704" xr:uid="{DE2E5564-A5F5-40F9-A547-ADBA53525CCD}"/>
    <cellStyle name="Millares 10 2 3 3 2 3 2" xfId="11552" xr:uid="{3F243F4B-D95C-418D-9D5A-689519E9AA90}"/>
    <cellStyle name="Millares 10 2 3 3 2 4" xfId="4278" xr:uid="{1267A3EB-3071-4A59-A10C-F21824D97D51}"/>
    <cellStyle name="Millares 10 2 3 3 2 4 2" xfId="9132" xr:uid="{DDFF85AD-D2B7-4A13-8BFF-972256AF2047}"/>
    <cellStyle name="Millares 10 2 3 3 2 5" xfId="3065" xr:uid="{A8CF39BB-08A5-4AAA-9EB4-D73DD85768C8}"/>
    <cellStyle name="Millares 10 2 3 3 2 6" xfId="7921" xr:uid="{85E6B1A0-ED6C-4C68-A5DD-21859ADBB86D}"/>
    <cellStyle name="Millares 10 2 3 3 3" xfId="4884" xr:uid="{A04E4EB8-B76E-4D01-A1A7-EED45E7F3045}"/>
    <cellStyle name="Millares 10 2 3 3 3 2" xfId="9736" xr:uid="{4FAF8F6D-9F1D-4DEF-BEE8-0029D08A06A7}"/>
    <cellStyle name="Millares 10 2 3 3 4" xfId="6097" xr:uid="{4F6CBA0A-AD5C-48C8-8188-73DE36A76674}"/>
    <cellStyle name="Millares 10 2 3 3 4 2" xfId="10947" xr:uid="{8703963C-EBE6-4239-AA8F-5675425BCE45}"/>
    <cellStyle name="Millares 10 2 3 3 5" xfId="3674" xr:uid="{FDF4C5A5-0034-4845-A721-36988BEA4DB3}"/>
    <cellStyle name="Millares 10 2 3 3 5 2" xfId="8528" xr:uid="{F44E5903-3FE4-47FB-9F0E-B960F356F6BF}"/>
    <cellStyle name="Millares 10 2 3 3 6" xfId="2461" xr:uid="{1869DEB0-5882-4FAD-A8AE-71E31AC7938B}"/>
    <cellStyle name="Millares 10 2 3 3 7" xfId="7317" xr:uid="{9CCE1F8D-30BB-4CBE-A825-47C48E57BCAE}"/>
    <cellStyle name="Millares 10 2 3 4" xfId="1840" xr:uid="{93AEC2D1-890E-4550-805C-8F770FBE89B3}"/>
    <cellStyle name="Millares 10 2 3 4 2" xfId="5485" xr:uid="{E5D942E3-EEA3-47A7-A791-FB3743C81637}"/>
    <cellStyle name="Millares 10 2 3 4 2 2" xfId="10337" xr:uid="{28AF0117-7A7D-4EC0-9118-7291A33AFC4D}"/>
    <cellStyle name="Millares 10 2 3 4 3" xfId="6701" xr:uid="{3568D59B-63A1-4687-996C-6CF42721C04C}"/>
    <cellStyle name="Millares 10 2 3 4 3 2" xfId="11549" xr:uid="{C494DC60-0C6C-4496-8AD8-DF3C25500867}"/>
    <cellStyle name="Millares 10 2 3 4 4" xfId="4275" xr:uid="{51A7F1DF-CA5F-4EAE-8C59-B41F3AB9C668}"/>
    <cellStyle name="Millares 10 2 3 4 4 2" xfId="9129" xr:uid="{22010DCD-29E0-46A3-9F69-E64C7FECA3D6}"/>
    <cellStyle name="Millares 10 2 3 4 5" xfId="3062" xr:uid="{9096F812-90F5-4896-81A4-C9624705883C}"/>
    <cellStyle name="Millares 10 2 3 4 6" xfId="7918" xr:uid="{3F32EB51-2571-4182-B193-C3BA3CC5B637}"/>
    <cellStyle name="Millares 10 2 3 5" xfId="4881" xr:uid="{B6B9E7F0-76D4-4064-A545-B7C7B935933B}"/>
    <cellStyle name="Millares 10 2 3 5 2" xfId="9733" xr:uid="{A595A233-6920-4A96-A589-17DC5E3AA047}"/>
    <cellStyle name="Millares 10 2 3 6" xfId="6094" xr:uid="{44D810D3-7AAA-4E3C-AC7B-9F17E6BF8834}"/>
    <cellStyle name="Millares 10 2 3 6 2" xfId="10944" xr:uid="{7309D0E9-2186-4AD5-85B4-1A2998CCCE76}"/>
    <cellStyle name="Millares 10 2 3 7" xfId="3671" xr:uid="{01A7853A-287D-4F9C-BA8A-A7E07CFC4C83}"/>
    <cellStyle name="Millares 10 2 3 7 2" xfId="8525" xr:uid="{BF1E4850-732E-49F3-894F-4DF18C97446E}"/>
    <cellStyle name="Millares 10 2 3 8" xfId="2458" xr:uid="{3A205825-E521-4175-BB72-7E42842CA211}"/>
    <cellStyle name="Millares 10 2 3 9" xfId="7314" xr:uid="{44209541-77FD-448A-93FD-A1E304443AAC}"/>
    <cellStyle name="Millares 10 2 4" xfId="168" xr:uid="{FBBDAC26-63D9-4139-90C2-47EC5E9C4776}"/>
    <cellStyle name="Millares 10 2 4 2" xfId="169" xr:uid="{54409AB6-9D04-4BC8-AFF1-D97D679D8F91}"/>
    <cellStyle name="Millares 10 2 4 2 2" xfId="1845" xr:uid="{71725086-21C1-4F79-BD28-5BAF538F5675}"/>
    <cellStyle name="Millares 10 2 4 2 2 2" xfId="5490" xr:uid="{712EC434-C025-48E0-AD83-D72D446ADFF9}"/>
    <cellStyle name="Millares 10 2 4 2 2 2 2" xfId="10342" xr:uid="{073EA59E-C03D-48D7-835D-0D4A8CD2A4D1}"/>
    <cellStyle name="Millares 10 2 4 2 2 3" xfId="6706" xr:uid="{A8876A0E-371C-485D-94A7-9E980BB8ADC9}"/>
    <cellStyle name="Millares 10 2 4 2 2 3 2" xfId="11554" xr:uid="{28D7A37F-4833-498A-A7BA-A28950485B33}"/>
    <cellStyle name="Millares 10 2 4 2 2 4" xfId="4280" xr:uid="{0E0B164D-F6C4-4904-B8C8-5B717AF7E78F}"/>
    <cellStyle name="Millares 10 2 4 2 2 4 2" xfId="9134" xr:uid="{143A26B7-7093-425F-91D2-0CF63664B256}"/>
    <cellStyle name="Millares 10 2 4 2 2 5" xfId="3067" xr:uid="{548798B2-30AA-4442-92D6-F4EEFA46A229}"/>
    <cellStyle name="Millares 10 2 4 2 2 6" xfId="7923" xr:uid="{1AC17A40-AFDB-4C07-9B50-D2D0CCD4593F}"/>
    <cellStyle name="Millares 10 2 4 2 3" xfId="4886" xr:uid="{A9B83548-22A5-41B7-BE55-3F8BCA3E3031}"/>
    <cellStyle name="Millares 10 2 4 2 3 2" xfId="9738" xr:uid="{D70C6C3A-ECDB-4BDF-9220-1FE7BBFEB228}"/>
    <cellStyle name="Millares 10 2 4 2 4" xfId="6099" xr:uid="{FD545B8F-F70D-4102-BA55-C0A2C7C0647C}"/>
    <cellStyle name="Millares 10 2 4 2 4 2" xfId="10949" xr:uid="{1FEC8914-C887-4D0C-A13E-1A29BE63BD10}"/>
    <cellStyle name="Millares 10 2 4 2 5" xfId="3676" xr:uid="{4CEB3D05-46A4-445C-BBBD-AD39D04BFE3E}"/>
    <cellStyle name="Millares 10 2 4 2 5 2" xfId="8530" xr:uid="{8850926C-87D3-4268-8B61-2AEE1DD8B403}"/>
    <cellStyle name="Millares 10 2 4 2 6" xfId="2463" xr:uid="{5375136A-B416-4073-A937-766D466A042B}"/>
    <cellStyle name="Millares 10 2 4 2 7" xfId="7319" xr:uid="{9BD55BCF-DDF9-4B9F-882A-F6CF9C39EE3F}"/>
    <cellStyle name="Millares 10 2 4 3" xfId="1844" xr:uid="{E376FA2B-72AE-4AA4-8F8D-8A46DDEB0120}"/>
    <cellStyle name="Millares 10 2 4 3 2" xfId="5489" xr:uid="{3DBBDB30-AF7D-40F3-B0B3-72AA85D03183}"/>
    <cellStyle name="Millares 10 2 4 3 2 2" xfId="10341" xr:uid="{08825F22-7567-4288-A684-ECF0D0A34B41}"/>
    <cellStyle name="Millares 10 2 4 3 3" xfId="6705" xr:uid="{C9A9DC3C-2266-4441-B2C5-BF3F6580798B}"/>
    <cellStyle name="Millares 10 2 4 3 3 2" xfId="11553" xr:uid="{5AD43585-8381-48FC-95BD-0B5E668D4B03}"/>
    <cellStyle name="Millares 10 2 4 3 4" xfId="4279" xr:uid="{36E40936-DBD2-4558-B032-9A493437EE4D}"/>
    <cellStyle name="Millares 10 2 4 3 4 2" xfId="9133" xr:uid="{8947CF4E-98B6-4731-BCC7-29A3BEF6F533}"/>
    <cellStyle name="Millares 10 2 4 3 5" xfId="3066" xr:uid="{72B866EF-554F-4085-BFF4-5A299B2435F6}"/>
    <cellStyle name="Millares 10 2 4 3 6" xfId="7922" xr:uid="{C42257B6-D722-4A8B-B817-693C023C4F8B}"/>
    <cellStyle name="Millares 10 2 4 4" xfId="4885" xr:uid="{4B3BFC0B-D82F-4F56-8C0E-B30143DE17BC}"/>
    <cellStyle name="Millares 10 2 4 4 2" xfId="9737" xr:uid="{5CD9C01E-34FB-4328-9F0F-064DD25E201C}"/>
    <cellStyle name="Millares 10 2 4 5" xfId="6098" xr:uid="{1454509D-786F-4957-A496-3E09ADDDC91D}"/>
    <cellStyle name="Millares 10 2 4 5 2" xfId="10948" xr:uid="{95E73AAC-E41C-4D79-83CB-50CB4F06619A}"/>
    <cellStyle name="Millares 10 2 4 6" xfId="3675" xr:uid="{CDDBAEC8-B1C7-45D9-A983-944DB9A21656}"/>
    <cellStyle name="Millares 10 2 4 6 2" xfId="8529" xr:uid="{FB55C1FE-D88E-4395-B3B5-FB074D34E626}"/>
    <cellStyle name="Millares 10 2 4 7" xfId="2462" xr:uid="{10027CDF-FEB3-4E0F-8F24-B7CFC50F3F47}"/>
    <cellStyle name="Millares 10 2 4 8" xfId="7318" xr:uid="{0AB970D4-737B-4F8A-803F-478A31FA2E27}"/>
    <cellStyle name="Millares 10 2 5" xfId="170" xr:uid="{57EA4FE3-142B-4147-9903-BACE6A4B4A95}"/>
    <cellStyle name="Millares 10 2 5 2" xfId="1846" xr:uid="{97D2D16D-9C4B-468A-9969-EBD99AEC35FA}"/>
    <cellStyle name="Millares 10 2 5 2 2" xfId="5491" xr:uid="{4EC32271-BA6F-4104-B68B-A82E432F2931}"/>
    <cellStyle name="Millares 10 2 5 2 2 2" xfId="10343" xr:uid="{03E0FCEB-F82B-4C14-BC4F-4F505F245818}"/>
    <cellStyle name="Millares 10 2 5 2 3" xfId="6707" xr:uid="{1B9FAB6E-64F4-4A94-93A5-6E696FEA473E}"/>
    <cellStyle name="Millares 10 2 5 2 3 2" xfId="11555" xr:uid="{484B7F6E-24D6-49E2-8860-3C3F3004525B}"/>
    <cellStyle name="Millares 10 2 5 2 4" xfId="4281" xr:uid="{AB0C39B5-4D0B-4B76-9F72-99060CB194C4}"/>
    <cellStyle name="Millares 10 2 5 2 4 2" xfId="9135" xr:uid="{8C67C9F8-B121-4F29-8B6A-8D390CEB522E}"/>
    <cellStyle name="Millares 10 2 5 2 5" xfId="3068" xr:uid="{9570FEFC-6197-476B-943B-3ABA9C238868}"/>
    <cellStyle name="Millares 10 2 5 2 6" xfId="7924" xr:uid="{F3F66275-751A-4187-8FB5-F45E566432EE}"/>
    <cellStyle name="Millares 10 2 5 3" xfId="4887" xr:uid="{8A36400B-BD53-4B36-BBA4-497E94C022E4}"/>
    <cellStyle name="Millares 10 2 5 3 2" xfId="9739" xr:uid="{3ED3A028-3821-4005-AE1D-60E0D49D297F}"/>
    <cellStyle name="Millares 10 2 5 4" xfId="6100" xr:uid="{34062D70-613B-46F3-98EE-3079F856AE93}"/>
    <cellStyle name="Millares 10 2 5 4 2" xfId="10950" xr:uid="{3CCB4F76-DAEF-4944-9720-33E50EA3B175}"/>
    <cellStyle name="Millares 10 2 5 5" xfId="3677" xr:uid="{63A7F09B-19BA-40AF-A3FE-3BBCF033D92A}"/>
    <cellStyle name="Millares 10 2 5 5 2" xfId="8531" xr:uid="{8CB58846-3FF1-4384-9F0C-0CA1E08409AC}"/>
    <cellStyle name="Millares 10 2 5 6" xfId="2464" xr:uid="{B5B5978A-B69E-4221-AD32-C864A9E4CF79}"/>
    <cellStyle name="Millares 10 2 5 7" xfId="7320" xr:uid="{12868BBD-7C06-4C97-933E-C307FA15ADCC}"/>
    <cellStyle name="Millares 10 2 6" xfId="171" xr:uid="{600B1DC7-82DE-41D4-B65B-6D44132C2EAB}"/>
    <cellStyle name="Millares 10 2 6 2" xfId="1847" xr:uid="{5CD36CB4-1986-4B40-8B8C-0C3E98725527}"/>
    <cellStyle name="Millares 10 2 6 2 2" xfId="5492" xr:uid="{28B03D66-2946-47C8-929A-1A770C728B18}"/>
    <cellStyle name="Millares 10 2 6 2 2 2" xfId="10344" xr:uid="{76F56A9A-7705-4050-8D6A-33AC686E4532}"/>
    <cellStyle name="Millares 10 2 6 2 3" xfId="6708" xr:uid="{EAEBCB89-4C90-4474-9A5D-D2C954D5EB5D}"/>
    <cellStyle name="Millares 10 2 6 2 3 2" xfId="11556" xr:uid="{75A8D4BC-282E-4C5F-A183-3F93F1F04D36}"/>
    <cellStyle name="Millares 10 2 6 2 4" xfId="4282" xr:uid="{C4B47847-C9DF-4CE7-9EC8-FD2C4D3905A3}"/>
    <cellStyle name="Millares 10 2 6 2 4 2" xfId="9136" xr:uid="{77E2B338-D755-47CF-BB57-519DED161253}"/>
    <cellStyle name="Millares 10 2 6 2 5" xfId="3069" xr:uid="{0C342C3A-B7CC-466C-AB7D-7B4A58B816A9}"/>
    <cellStyle name="Millares 10 2 6 2 6" xfId="7925" xr:uid="{36348011-985A-4249-A5C7-A6CF4F088486}"/>
    <cellStyle name="Millares 10 2 6 3" xfId="4888" xr:uid="{701A6775-B59E-4C8A-891F-38ED16C4E036}"/>
    <cellStyle name="Millares 10 2 6 3 2" xfId="9740" xr:uid="{B5B3DE1F-7C58-4178-A48F-D2198BF35497}"/>
    <cellStyle name="Millares 10 2 6 4" xfId="6101" xr:uid="{660F2EAE-9561-4054-B010-19D74AD4F6EB}"/>
    <cellStyle name="Millares 10 2 6 4 2" xfId="10951" xr:uid="{BBD87D48-8E62-4662-BED2-3E79FB34664E}"/>
    <cellStyle name="Millares 10 2 6 5" xfId="3678" xr:uid="{4D9CC3D8-0E01-4EC0-8C25-1D2DBE9DA1F0}"/>
    <cellStyle name="Millares 10 2 6 5 2" xfId="8532" xr:uid="{78839E09-050B-4580-A0B2-D152DA806AB1}"/>
    <cellStyle name="Millares 10 2 6 6" xfId="2465" xr:uid="{FF9FE3CE-744E-4547-A9D8-B96DD67A692B}"/>
    <cellStyle name="Millares 10 2 6 7" xfId="7321" xr:uid="{BB06C535-15F0-4484-9EB4-73E1CAE43BE1}"/>
    <cellStyle name="Millares 10 2 7" xfId="1834" xr:uid="{710CB8F7-0D80-4879-8B69-E04379471D11}"/>
    <cellStyle name="Millares 10 2 7 2" xfId="5479" xr:uid="{5560B598-D155-444E-94E6-EA84BC3BFE4B}"/>
    <cellStyle name="Millares 10 2 7 2 2" xfId="10331" xr:uid="{5DDE0610-4704-43E3-8529-2A8D046F9FEA}"/>
    <cellStyle name="Millares 10 2 7 3" xfId="6695" xr:uid="{BFE7C2CF-D797-4846-8408-ED363A35A509}"/>
    <cellStyle name="Millares 10 2 7 3 2" xfId="11543" xr:uid="{BE1791E7-A565-493F-9EC1-85E8A3F45CC1}"/>
    <cellStyle name="Millares 10 2 7 4" xfId="4269" xr:uid="{F98FB07F-BB35-46D3-9E96-541596C52EFC}"/>
    <cellStyle name="Millares 10 2 7 4 2" xfId="9123" xr:uid="{E53820E5-D91C-4F18-BAE8-9D8CADE84F2F}"/>
    <cellStyle name="Millares 10 2 7 5" xfId="3056" xr:uid="{C1AB59E4-7926-45FA-907D-787698419661}"/>
    <cellStyle name="Millares 10 2 7 6" xfId="7912" xr:uid="{2FD7CBBB-D7EA-4371-B3C3-DDC07A312290}"/>
    <cellStyle name="Millares 10 2 8" xfId="4875" xr:uid="{76C2FED0-B91F-466E-B76E-4C601A4CAC91}"/>
    <cellStyle name="Millares 10 2 8 2" xfId="9727" xr:uid="{4939B811-6FB8-4BE6-ABE0-B06F57AA43F7}"/>
    <cellStyle name="Millares 10 2 9" xfId="6088" xr:uid="{22501468-9FED-48AA-97F5-FF322CE91326}"/>
    <cellStyle name="Millares 10 2 9 2" xfId="10938" xr:uid="{EDD33061-9602-4C0E-854B-631EE9E180B9}"/>
    <cellStyle name="Millares 10 3" xfId="172" xr:uid="{0B89972A-F528-4F8C-9509-81E84D2B8E24}"/>
    <cellStyle name="Millares 10 3 10" xfId="7322" xr:uid="{6C5C9009-65CE-441C-BD10-1619C0D1E039}"/>
    <cellStyle name="Millares 10 3 2" xfId="173" xr:uid="{EBC3782C-D0E5-4688-880C-72DFDC6604F3}"/>
    <cellStyle name="Millares 10 3 2 2" xfId="174" xr:uid="{1A5B700D-AE04-46B6-A77E-923A1FB004B0}"/>
    <cellStyle name="Millares 10 3 2 2 2" xfId="1850" xr:uid="{7F8F9877-C4E1-40FD-88BE-96DC821213F0}"/>
    <cellStyle name="Millares 10 3 2 2 2 2" xfId="5495" xr:uid="{013A3808-F74D-4CB6-9252-1EE4BE89505F}"/>
    <cellStyle name="Millares 10 3 2 2 2 2 2" xfId="10347" xr:uid="{65745CBA-AB8B-439E-9E5E-374471878FE7}"/>
    <cellStyle name="Millares 10 3 2 2 2 3" xfId="6711" xr:uid="{ADBAAB14-6B55-4B7C-8988-F1DB60680815}"/>
    <cellStyle name="Millares 10 3 2 2 2 3 2" xfId="11559" xr:uid="{3285B9D4-0C25-457C-AFAC-D3E5ADB4E62D}"/>
    <cellStyle name="Millares 10 3 2 2 2 4" xfId="4285" xr:uid="{6A3F9F86-0127-464F-AE73-8B1FDF780E15}"/>
    <cellStyle name="Millares 10 3 2 2 2 4 2" xfId="9139" xr:uid="{80DBB480-355A-4DD8-8263-DFB5B2CEB653}"/>
    <cellStyle name="Millares 10 3 2 2 2 5" xfId="3072" xr:uid="{EFDEE369-D285-46B7-AD1E-2A47ACB398D5}"/>
    <cellStyle name="Millares 10 3 2 2 2 6" xfId="7928" xr:uid="{B7FD6B28-F697-43A2-B0DC-85B91A556E77}"/>
    <cellStyle name="Millares 10 3 2 2 3" xfId="4891" xr:uid="{986FEAC7-AD96-445C-973C-2FEBE257EF4D}"/>
    <cellStyle name="Millares 10 3 2 2 3 2" xfId="9743" xr:uid="{583C7D25-C66A-4814-AE23-AF42ED0FBBE5}"/>
    <cellStyle name="Millares 10 3 2 2 4" xfId="6104" xr:uid="{29565080-3381-4C56-8F37-1BE6185CF926}"/>
    <cellStyle name="Millares 10 3 2 2 4 2" xfId="10954" xr:uid="{515F7D83-EF0E-4C99-8BA6-A7713595EBB9}"/>
    <cellStyle name="Millares 10 3 2 2 5" xfId="3681" xr:uid="{D4F93CDE-C050-4B33-9530-59089A3AA58A}"/>
    <cellStyle name="Millares 10 3 2 2 5 2" xfId="8535" xr:uid="{7FDD717C-965E-4A1E-84CF-05E3A0DE5DC7}"/>
    <cellStyle name="Millares 10 3 2 2 6" xfId="2468" xr:uid="{82EE2988-8623-47BF-9301-1D348E013038}"/>
    <cellStyle name="Millares 10 3 2 2 7" xfId="7324" xr:uid="{301981B1-CD7F-4697-9346-DEB33331F440}"/>
    <cellStyle name="Millares 10 3 2 3" xfId="1849" xr:uid="{16EDD8FE-4178-40A8-AC08-AFC77E6F5540}"/>
    <cellStyle name="Millares 10 3 2 3 2" xfId="5494" xr:uid="{28275962-5392-466C-A007-396BA8F126A6}"/>
    <cellStyle name="Millares 10 3 2 3 2 2" xfId="10346" xr:uid="{C68FC590-003B-4DD5-8B1F-0CF4875CA9E5}"/>
    <cellStyle name="Millares 10 3 2 3 3" xfId="6710" xr:uid="{5030886D-44A5-47C1-8586-72548FD032A6}"/>
    <cellStyle name="Millares 10 3 2 3 3 2" xfId="11558" xr:uid="{58FEEE8F-E59D-4B21-96E8-229E0EB95DEB}"/>
    <cellStyle name="Millares 10 3 2 3 4" xfId="4284" xr:uid="{BE775743-F727-42BA-9483-4CE74AB5B110}"/>
    <cellStyle name="Millares 10 3 2 3 4 2" xfId="9138" xr:uid="{4B658E66-D56B-4C4D-9861-D4091E3D6CD3}"/>
    <cellStyle name="Millares 10 3 2 3 5" xfId="3071" xr:uid="{EDF7E2B7-071F-4C14-9874-461E4F9DB969}"/>
    <cellStyle name="Millares 10 3 2 3 6" xfId="7927" xr:uid="{3B70C49C-B8FC-4E47-99D0-C8FBEDB928E2}"/>
    <cellStyle name="Millares 10 3 2 4" xfId="4890" xr:uid="{EBA1B6AB-F323-4832-9ED7-4E048D35E439}"/>
    <cellStyle name="Millares 10 3 2 4 2" xfId="9742" xr:uid="{4B295784-B972-4466-92C6-0EAA519676B6}"/>
    <cellStyle name="Millares 10 3 2 5" xfId="6103" xr:uid="{00DF3EEA-42C2-4F50-AA02-3B6638625035}"/>
    <cellStyle name="Millares 10 3 2 5 2" xfId="10953" xr:uid="{9A68ECF9-220D-45E6-A19C-CB1692A9E400}"/>
    <cellStyle name="Millares 10 3 2 6" xfId="3680" xr:uid="{3748064D-C77D-41CD-B6CB-3F2EE78F70CD}"/>
    <cellStyle name="Millares 10 3 2 6 2" xfId="8534" xr:uid="{18B87D9E-AD57-4C57-9824-DAF843FB4E9E}"/>
    <cellStyle name="Millares 10 3 2 7" xfId="2467" xr:uid="{1DFEEC7B-1562-450F-83AD-A4FC97DF7858}"/>
    <cellStyle name="Millares 10 3 2 8" xfId="7323" xr:uid="{D6FA740E-C664-424F-9341-804D50FC123F}"/>
    <cellStyle name="Millares 10 3 3" xfId="175" xr:uid="{24FA01C4-4B98-47BF-8EEE-AAC5427C2DCF}"/>
    <cellStyle name="Millares 10 3 3 2" xfId="1851" xr:uid="{19D704B4-B30D-4BDA-9FE5-AC815CDC244E}"/>
    <cellStyle name="Millares 10 3 3 2 2" xfId="5496" xr:uid="{02564344-4593-4446-9466-6A7A6C8FC4F1}"/>
    <cellStyle name="Millares 10 3 3 2 2 2" xfId="10348" xr:uid="{542E7B1B-6B2A-4712-AEA0-EABB47066497}"/>
    <cellStyle name="Millares 10 3 3 2 3" xfId="6712" xr:uid="{06FDABDF-EFD6-451D-8D82-6C9E0B20F343}"/>
    <cellStyle name="Millares 10 3 3 2 3 2" xfId="11560" xr:uid="{A10099A9-7AA6-4747-B879-BED5BE1C8524}"/>
    <cellStyle name="Millares 10 3 3 2 4" xfId="4286" xr:uid="{0F7EE887-2F91-4669-9D7F-5AC6F6B555E0}"/>
    <cellStyle name="Millares 10 3 3 2 4 2" xfId="9140" xr:uid="{F6E49634-4A1E-4586-B2D0-B0BAC14A904B}"/>
    <cellStyle name="Millares 10 3 3 2 5" xfId="3073" xr:uid="{BF3F96F5-E037-43CF-A7FC-14DA58B7E84C}"/>
    <cellStyle name="Millares 10 3 3 2 6" xfId="7929" xr:uid="{03B84EFE-B8FA-4793-924B-0C9DF5201017}"/>
    <cellStyle name="Millares 10 3 3 3" xfId="4892" xr:uid="{B54ECA63-A1A9-4D12-AF16-AFF2798795B3}"/>
    <cellStyle name="Millares 10 3 3 3 2" xfId="9744" xr:uid="{D79454FA-E562-4D0C-AD13-550918B37BDF}"/>
    <cellStyle name="Millares 10 3 3 4" xfId="6105" xr:uid="{96A85D35-B6DB-49CE-BC28-861403AFC924}"/>
    <cellStyle name="Millares 10 3 3 4 2" xfId="10955" xr:uid="{1D6CD689-62FA-4044-9CF7-BBC42BBFC3F8}"/>
    <cellStyle name="Millares 10 3 3 5" xfId="3682" xr:uid="{A8F906CD-3BE6-4C46-A24F-694A83517D4A}"/>
    <cellStyle name="Millares 10 3 3 5 2" xfId="8536" xr:uid="{1CADA56D-6316-4F43-B91C-DB4F398151EE}"/>
    <cellStyle name="Millares 10 3 3 6" xfId="2469" xr:uid="{98EF6505-7926-4E35-B73F-750544C79E9E}"/>
    <cellStyle name="Millares 10 3 3 7" xfId="7325" xr:uid="{8E36EFF5-4DFF-41E0-B7E9-8F40AE0625D1}"/>
    <cellStyle name="Millares 10 3 4" xfId="176" xr:uid="{26254865-A10E-4B71-A552-FBA7F805DFE0}"/>
    <cellStyle name="Millares 10 3 4 2" xfId="1852" xr:uid="{F66703BB-40BD-4A5D-BEFD-9BC4EAF65A50}"/>
    <cellStyle name="Millares 10 3 4 2 2" xfId="5497" xr:uid="{AC02EE2D-9CEB-4F22-BC13-2B004CFCDA33}"/>
    <cellStyle name="Millares 10 3 4 2 2 2" xfId="10349" xr:uid="{4D128433-1310-4567-B60F-051C7780F163}"/>
    <cellStyle name="Millares 10 3 4 2 3" xfId="6713" xr:uid="{10A22F8E-2D53-4EA3-BA6D-41DFED0522F2}"/>
    <cellStyle name="Millares 10 3 4 2 3 2" xfId="11561" xr:uid="{0620C3B5-0A1F-4C12-B641-4CB44FE95833}"/>
    <cellStyle name="Millares 10 3 4 2 4" xfId="4287" xr:uid="{9418D53B-D3D2-4957-8336-63B694D86E50}"/>
    <cellStyle name="Millares 10 3 4 2 4 2" xfId="9141" xr:uid="{323C125C-EE03-46B5-8ACA-6E9A3CE72D90}"/>
    <cellStyle name="Millares 10 3 4 2 5" xfId="3074" xr:uid="{AF9E9773-B3FC-4BF8-8118-5CDDDD238F20}"/>
    <cellStyle name="Millares 10 3 4 2 6" xfId="7930" xr:uid="{E01ED26B-2DA3-4757-859F-EE046B63F1BB}"/>
    <cellStyle name="Millares 10 3 4 3" xfId="4893" xr:uid="{1EAADE28-A93B-4329-BE0C-C7A710B6B33A}"/>
    <cellStyle name="Millares 10 3 4 3 2" xfId="9745" xr:uid="{520631BE-D011-43DF-8726-CF4F1155722E}"/>
    <cellStyle name="Millares 10 3 4 4" xfId="6106" xr:uid="{C1EEE9AE-3E0B-4D4A-85DD-3D8350999EB6}"/>
    <cellStyle name="Millares 10 3 4 4 2" xfId="10956" xr:uid="{AA3B9E0D-3486-465E-BBD5-FC2C8F9C475E}"/>
    <cellStyle name="Millares 10 3 4 5" xfId="3683" xr:uid="{5232AAB5-F6CE-46CF-9C0E-2DAB6DEDC57A}"/>
    <cellStyle name="Millares 10 3 4 5 2" xfId="8537" xr:uid="{CA6346B4-FD1E-42CE-886A-F954978DBCFF}"/>
    <cellStyle name="Millares 10 3 4 6" xfId="2470" xr:uid="{73B19C38-DABF-4777-BEF4-947A6EC333C6}"/>
    <cellStyle name="Millares 10 3 4 7" xfId="7326" xr:uid="{D65709D7-1196-44D7-9D86-5914567A358D}"/>
    <cellStyle name="Millares 10 3 5" xfId="1848" xr:uid="{96F61E5C-5909-4152-BFEE-88503BAF3669}"/>
    <cellStyle name="Millares 10 3 5 2" xfId="5493" xr:uid="{A39AEFEF-D5F1-4F08-A00D-0A34F026FDB3}"/>
    <cellStyle name="Millares 10 3 5 2 2" xfId="10345" xr:uid="{56A03B8C-EEBA-4F16-85BB-7F32E1F3A0D5}"/>
    <cellStyle name="Millares 10 3 5 3" xfId="6709" xr:uid="{43943F30-5F5B-4ED7-A097-B8619A94E2EF}"/>
    <cellStyle name="Millares 10 3 5 3 2" xfId="11557" xr:uid="{66C79BA7-FCA7-416B-B0E7-48ACF179A10C}"/>
    <cellStyle name="Millares 10 3 5 4" xfId="4283" xr:uid="{B6C53B93-9BDE-49A6-8CE3-EA1BA9E4318C}"/>
    <cellStyle name="Millares 10 3 5 4 2" xfId="9137" xr:uid="{BA9B7CEB-BDA1-494D-A01F-EC082BC893A8}"/>
    <cellStyle name="Millares 10 3 5 5" xfId="3070" xr:uid="{17CE8350-1DDA-455E-9C3B-153B66C5CD3F}"/>
    <cellStyle name="Millares 10 3 5 6" xfId="7926" xr:uid="{2202D197-4403-41B8-88E3-1127F77A37A5}"/>
    <cellStyle name="Millares 10 3 6" xfId="4889" xr:uid="{4BB0533B-83BD-4B7D-A4E9-EBE66978A6E8}"/>
    <cellStyle name="Millares 10 3 6 2" xfId="9741" xr:uid="{786DEA28-16D8-4B4A-94C9-0E7791C437F8}"/>
    <cellStyle name="Millares 10 3 7" xfId="6102" xr:uid="{52489598-0C94-4127-96BD-20275814358D}"/>
    <cellStyle name="Millares 10 3 7 2" xfId="10952" xr:uid="{CFFAFCCC-76FF-4E23-93D2-52B81FACB76B}"/>
    <cellStyle name="Millares 10 3 8" xfId="3679" xr:uid="{58C36B29-AC3E-4924-A389-8ABDC2195F67}"/>
    <cellStyle name="Millares 10 3 8 2" xfId="8533" xr:uid="{B12AE391-B232-4B5C-B14D-EEAC3BFA95DF}"/>
    <cellStyle name="Millares 10 3 9" xfId="2466" xr:uid="{079947C8-2735-46BA-9D9C-060E012BAF7B}"/>
    <cellStyle name="Millares 10 4" xfId="177" xr:uid="{B8CCB351-EC7A-4EEF-9ECC-2EEF67CA1628}"/>
    <cellStyle name="Millares 10 4 2" xfId="178" xr:uid="{250BE752-7017-45AE-BE20-FD1842B0A816}"/>
    <cellStyle name="Millares 10 4 2 2" xfId="179" xr:uid="{3A4620CE-2E60-483A-8B78-EC55171D0FD0}"/>
    <cellStyle name="Millares 10 4 2 2 2" xfId="1855" xr:uid="{E98AC319-5368-4D1A-9DE3-F9F0DBEE547C}"/>
    <cellStyle name="Millares 10 4 2 2 2 2" xfId="5500" xr:uid="{28AA8257-AC40-4EC1-B278-4A9125A56B22}"/>
    <cellStyle name="Millares 10 4 2 2 2 2 2" xfId="10352" xr:uid="{C93C445B-E24F-4857-A0EE-D50402744F1A}"/>
    <cellStyle name="Millares 10 4 2 2 2 3" xfId="6716" xr:uid="{BA88B0D1-8BDF-479F-8E72-C39BE6A01F50}"/>
    <cellStyle name="Millares 10 4 2 2 2 3 2" xfId="11564" xr:uid="{A8F347CC-37EF-4A86-8A1A-47304BAFF5F0}"/>
    <cellStyle name="Millares 10 4 2 2 2 4" xfId="4290" xr:uid="{9ED99B96-9F75-462C-82FF-552741F00200}"/>
    <cellStyle name="Millares 10 4 2 2 2 4 2" xfId="9144" xr:uid="{AB79D3AB-F4BB-4905-9052-551DDB597D73}"/>
    <cellStyle name="Millares 10 4 2 2 2 5" xfId="3077" xr:uid="{CAD9CA23-90BC-46DE-BB37-5DF6D39D24E0}"/>
    <cellStyle name="Millares 10 4 2 2 2 6" xfId="7933" xr:uid="{B715A5D7-B8B8-4A12-BF0A-42AA710D9760}"/>
    <cellStyle name="Millares 10 4 2 2 3" xfId="4896" xr:uid="{7C2EBDE7-F410-4DAF-8A59-6E674C097991}"/>
    <cellStyle name="Millares 10 4 2 2 3 2" xfId="9748" xr:uid="{69A090CC-7925-4E50-B2BF-425A6BD67B14}"/>
    <cellStyle name="Millares 10 4 2 2 4" xfId="6109" xr:uid="{D2AB858B-3A2F-4861-9919-DCD0212CA79B}"/>
    <cellStyle name="Millares 10 4 2 2 4 2" xfId="10959" xr:uid="{167F20F9-2831-4C46-B59B-94763D3B0C1F}"/>
    <cellStyle name="Millares 10 4 2 2 5" xfId="3686" xr:uid="{EB10FE83-F816-43B8-AF72-AE3838E2CB39}"/>
    <cellStyle name="Millares 10 4 2 2 5 2" xfId="8540" xr:uid="{DA850FCF-7F51-4796-B98E-46CE68C7051E}"/>
    <cellStyle name="Millares 10 4 2 2 6" xfId="2473" xr:uid="{F2C679AF-43CE-44AE-9673-36A262D4F4A1}"/>
    <cellStyle name="Millares 10 4 2 2 7" xfId="7329" xr:uid="{34A50A05-F585-4083-8A5E-C35BE3BBC788}"/>
    <cellStyle name="Millares 10 4 2 3" xfId="1854" xr:uid="{840986B5-96E4-4158-BF73-511F71FC853B}"/>
    <cellStyle name="Millares 10 4 2 3 2" xfId="5499" xr:uid="{18205FA0-22ED-42D0-9442-C6A6701A9B9D}"/>
    <cellStyle name="Millares 10 4 2 3 2 2" xfId="10351" xr:uid="{65BDABC6-C819-4D25-8E2D-A5513ADC4DFB}"/>
    <cellStyle name="Millares 10 4 2 3 3" xfId="6715" xr:uid="{8597CA71-634C-45D5-A11D-FE6B27AF2EBA}"/>
    <cellStyle name="Millares 10 4 2 3 3 2" xfId="11563" xr:uid="{9E1F8479-C873-40B2-8F7D-BA632DC00782}"/>
    <cellStyle name="Millares 10 4 2 3 4" xfId="4289" xr:uid="{8DEEFF4F-174F-4678-9FED-23887E3A017D}"/>
    <cellStyle name="Millares 10 4 2 3 4 2" xfId="9143" xr:uid="{BFE0BE75-3AE1-40E3-B691-5B27EEBA99FC}"/>
    <cellStyle name="Millares 10 4 2 3 5" xfId="3076" xr:uid="{237F255E-7704-49A6-B3E4-4F5EFDE6D3EE}"/>
    <cellStyle name="Millares 10 4 2 3 6" xfId="7932" xr:uid="{FAE1241A-AB2C-4D7F-8067-497E30F6C043}"/>
    <cellStyle name="Millares 10 4 2 4" xfId="4895" xr:uid="{E07C2433-6E61-4D35-8CDB-09C22B6B7ACD}"/>
    <cellStyle name="Millares 10 4 2 4 2" xfId="9747" xr:uid="{FF9958E1-452F-4F53-86E9-436C73EA5247}"/>
    <cellStyle name="Millares 10 4 2 5" xfId="6108" xr:uid="{E8088EBC-4FB2-4AEE-AC2D-D3BC78597510}"/>
    <cellStyle name="Millares 10 4 2 5 2" xfId="10958" xr:uid="{6EA240DE-DBDB-4044-83DB-D226BADC0CD2}"/>
    <cellStyle name="Millares 10 4 2 6" xfId="3685" xr:uid="{27BF4FE1-EFBB-4966-8FFE-609DC4696EA5}"/>
    <cellStyle name="Millares 10 4 2 6 2" xfId="8539" xr:uid="{3D01B836-A94A-4AF0-97E6-22F21A9E2F97}"/>
    <cellStyle name="Millares 10 4 2 7" xfId="2472" xr:uid="{17D4CBFC-8D29-4FCF-AE02-2857520F0A59}"/>
    <cellStyle name="Millares 10 4 2 8" xfId="7328" xr:uid="{84DC86C9-D9E3-4F7A-A124-F415A4F71C53}"/>
    <cellStyle name="Millares 10 4 3" xfId="180" xr:uid="{C1B3212D-5711-4D10-B5C9-64AA6AA4B256}"/>
    <cellStyle name="Millares 10 4 3 2" xfId="1856" xr:uid="{1668D582-B1DB-4695-8BDE-CE15DF33907E}"/>
    <cellStyle name="Millares 10 4 3 2 2" xfId="5501" xr:uid="{4B1A6C89-B43D-4D6D-B891-FC6B5DADB911}"/>
    <cellStyle name="Millares 10 4 3 2 2 2" xfId="10353" xr:uid="{DD554D6F-F950-418E-AF51-1346EA2CAB3B}"/>
    <cellStyle name="Millares 10 4 3 2 3" xfId="6717" xr:uid="{C291CF00-5438-494F-9243-592E2C662CED}"/>
    <cellStyle name="Millares 10 4 3 2 3 2" xfId="11565" xr:uid="{BC0EE717-AAE5-48BA-AE00-624DB36BC13C}"/>
    <cellStyle name="Millares 10 4 3 2 4" xfId="4291" xr:uid="{6E0A93A3-422D-4D0B-9156-5CA44146CD75}"/>
    <cellStyle name="Millares 10 4 3 2 4 2" xfId="9145" xr:uid="{C7F0AF74-40D4-4C23-8D7D-CD8DC6D22FD0}"/>
    <cellStyle name="Millares 10 4 3 2 5" xfId="3078" xr:uid="{4C9DD74F-AADE-41C0-9C5B-ADAD3E650F53}"/>
    <cellStyle name="Millares 10 4 3 2 6" xfId="7934" xr:uid="{FB229302-2F65-4866-B36B-70B7B6CE595A}"/>
    <cellStyle name="Millares 10 4 3 3" xfId="4897" xr:uid="{A1524EE8-CC97-46EC-B9BF-2EB51CB0349B}"/>
    <cellStyle name="Millares 10 4 3 3 2" xfId="9749" xr:uid="{B1D31D29-6338-40EA-B84A-B1CE970875C9}"/>
    <cellStyle name="Millares 10 4 3 4" xfId="6110" xr:uid="{3BAF2D3E-D926-4345-AD69-F45DAABEBF75}"/>
    <cellStyle name="Millares 10 4 3 4 2" xfId="10960" xr:uid="{096E175D-493B-4992-AF7F-2CB18CF614FC}"/>
    <cellStyle name="Millares 10 4 3 5" xfId="3687" xr:uid="{1A89F592-C670-40FF-9F5C-6902DA2650A0}"/>
    <cellStyle name="Millares 10 4 3 5 2" xfId="8541" xr:uid="{CDBBF324-6CDE-4555-873B-BAF52E1F4C20}"/>
    <cellStyle name="Millares 10 4 3 6" xfId="2474" xr:uid="{E449F1B1-0E16-47CE-831A-4FC6F1EEAEE8}"/>
    <cellStyle name="Millares 10 4 3 7" xfId="7330" xr:uid="{A44646EC-3654-4FCE-93DF-859622955D57}"/>
    <cellStyle name="Millares 10 4 4" xfId="1853" xr:uid="{3BC3113E-26BE-4358-B519-1B55C8114CBE}"/>
    <cellStyle name="Millares 10 4 4 2" xfId="5498" xr:uid="{F40A1091-ACB4-4EBB-BA4B-7D6E60A58170}"/>
    <cellStyle name="Millares 10 4 4 2 2" xfId="10350" xr:uid="{8D302F01-4723-4B3C-A962-1AE8913D3939}"/>
    <cellStyle name="Millares 10 4 4 3" xfId="6714" xr:uid="{8F08B125-1867-4C8A-B261-5D67570008DC}"/>
    <cellStyle name="Millares 10 4 4 3 2" xfId="11562" xr:uid="{4040FA0C-C82D-40CB-909B-65303700749F}"/>
    <cellStyle name="Millares 10 4 4 4" xfId="4288" xr:uid="{6BAFEEA9-FF2E-4786-AFA5-B05A082378FA}"/>
    <cellStyle name="Millares 10 4 4 4 2" xfId="9142" xr:uid="{C82436C1-69B9-40CE-9408-2ADE26CCAACB}"/>
    <cellStyle name="Millares 10 4 4 5" xfId="3075" xr:uid="{EAEFF4E1-0192-445B-8FD8-5BAFF8E45054}"/>
    <cellStyle name="Millares 10 4 4 6" xfId="7931" xr:uid="{E4852876-5964-4426-A658-9DA83AF1D6AC}"/>
    <cellStyle name="Millares 10 4 5" xfId="4894" xr:uid="{F706055E-5A7F-4FBF-B85C-E64C88237C9E}"/>
    <cellStyle name="Millares 10 4 5 2" xfId="9746" xr:uid="{756C683A-4653-465E-BBCF-02C1C6BC5A04}"/>
    <cellStyle name="Millares 10 4 6" xfId="6107" xr:uid="{EA845A39-24DA-48A1-B4A4-73EF33840E76}"/>
    <cellStyle name="Millares 10 4 6 2" xfId="10957" xr:uid="{CF0973E8-8162-45A8-BF83-D0B774156DB3}"/>
    <cellStyle name="Millares 10 4 7" xfId="3684" xr:uid="{22CDB4BF-D106-4974-A047-D1575B866281}"/>
    <cellStyle name="Millares 10 4 7 2" xfId="8538" xr:uid="{1C0FEBBB-5733-4CBA-B824-D0C63865CD7F}"/>
    <cellStyle name="Millares 10 4 8" xfId="2471" xr:uid="{CAF243C0-44D3-4464-83B5-F01CD290197E}"/>
    <cellStyle name="Millares 10 4 9" xfId="7327" xr:uid="{966645EC-9C68-457E-A90C-FB2E61646D21}"/>
    <cellStyle name="Millares 10 5" xfId="181" xr:uid="{9DDD000B-160B-4C11-B6C1-1C6ED0E3C3F9}"/>
    <cellStyle name="Millares 10 5 2" xfId="182" xr:uid="{5627B23D-514F-4464-B0D1-84E5BA4747BE}"/>
    <cellStyle name="Millares 10 5 2 2" xfId="1858" xr:uid="{8BF9E2A6-6053-43F3-AE7D-4354D45071EB}"/>
    <cellStyle name="Millares 10 5 2 2 2" xfId="5503" xr:uid="{F982F100-972C-44E0-B287-189BEAB36A86}"/>
    <cellStyle name="Millares 10 5 2 2 2 2" xfId="10355" xr:uid="{9E3A3DB7-50B8-4BEB-A87C-CE9478667C44}"/>
    <cellStyle name="Millares 10 5 2 2 3" xfId="6719" xr:uid="{6591FDA4-9901-4CE1-90A1-CD1D1C018D00}"/>
    <cellStyle name="Millares 10 5 2 2 3 2" xfId="11567" xr:uid="{D2CEC1CD-32A2-46AF-B0BA-BD568ED700EB}"/>
    <cellStyle name="Millares 10 5 2 2 4" xfId="4293" xr:uid="{1DA842E9-7CA1-4C73-895E-83A2BF59CD38}"/>
    <cellStyle name="Millares 10 5 2 2 4 2" xfId="9147" xr:uid="{20FF9D0A-027D-40CA-A4ED-6B379BBA6B09}"/>
    <cellStyle name="Millares 10 5 2 2 5" xfId="3080" xr:uid="{E7D5ABAC-42C9-4ADC-9E8F-521FF50B0782}"/>
    <cellStyle name="Millares 10 5 2 2 6" xfId="7936" xr:uid="{F0AEA010-45CD-4E40-844B-41B8DC1CB675}"/>
    <cellStyle name="Millares 10 5 2 3" xfId="4899" xr:uid="{0B548ED1-9E51-457C-9C64-6407AC788407}"/>
    <cellStyle name="Millares 10 5 2 3 2" xfId="9751" xr:uid="{01982977-D50F-408A-B212-0BBAE3D0E2B7}"/>
    <cellStyle name="Millares 10 5 2 4" xfId="6112" xr:uid="{BDC3E454-D96E-4334-8B98-5A904397F3ED}"/>
    <cellStyle name="Millares 10 5 2 4 2" xfId="10962" xr:uid="{70A60B03-36B8-4FEE-A9C7-9BEF1E351CA2}"/>
    <cellStyle name="Millares 10 5 2 5" xfId="3689" xr:uid="{E578E4FB-DCFC-4EF0-9EF0-1413C2C49426}"/>
    <cellStyle name="Millares 10 5 2 5 2" xfId="8543" xr:uid="{BA90E1C8-816D-4944-AFC6-6348E7F86402}"/>
    <cellStyle name="Millares 10 5 2 6" xfId="2476" xr:uid="{35E955E0-0FAF-4398-B9BF-F7AA6467B2AC}"/>
    <cellStyle name="Millares 10 5 2 7" xfId="7332" xr:uid="{66BA584F-3CE7-4422-B89B-9F28DCC56C58}"/>
    <cellStyle name="Millares 10 5 3" xfId="1857" xr:uid="{8C9A841E-825E-47BC-B07D-6CB32FA2A3A9}"/>
    <cellStyle name="Millares 10 5 3 2" xfId="5502" xr:uid="{ABB3A98F-B5C3-4317-8FDE-9C539DA92C19}"/>
    <cellStyle name="Millares 10 5 3 2 2" xfId="10354" xr:uid="{F45CA31A-23AD-4F83-AE2E-93A67AA1578A}"/>
    <cellStyle name="Millares 10 5 3 3" xfId="6718" xr:uid="{72A619B3-A479-4BB7-BC9A-07B886CD311A}"/>
    <cellStyle name="Millares 10 5 3 3 2" xfId="11566" xr:uid="{8B0C7BE3-DB8B-41FB-928E-6A639974EE56}"/>
    <cellStyle name="Millares 10 5 3 4" xfId="4292" xr:uid="{35F35140-5894-4EA8-A940-476C7D777749}"/>
    <cellStyle name="Millares 10 5 3 4 2" xfId="9146" xr:uid="{A935152C-74CC-422C-98D4-B082EF73CCEF}"/>
    <cellStyle name="Millares 10 5 3 5" xfId="3079" xr:uid="{6AD3CA73-6A6C-4707-AEDA-575D80F46BB3}"/>
    <cellStyle name="Millares 10 5 3 6" xfId="7935" xr:uid="{946B18CF-38EC-4924-ACED-53DDFB351047}"/>
    <cellStyle name="Millares 10 5 4" xfId="4898" xr:uid="{46B8E89C-FBBF-46F4-9BFF-5CAA94BD55CE}"/>
    <cellStyle name="Millares 10 5 4 2" xfId="9750" xr:uid="{E15F4F5C-1E84-4B7F-955D-78DF22AC0971}"/>
    <cellStyle name="Millares 10 5 5" xfId="6111" xr:uid="{25AEA07F-410A-4198-A490-236575273C99}"/>
    <cellStyle name="Millares 10 5 5 2" xfId="10961" xr:uid="{2CBEF008-379B-4272-AE06-9E45B2F61121}"/>
    <cellStyle name="Millares 10 5 6" xfId="3688" xr:uid="{96AB6528-A6AC-43E4-ADE6-BF00723A1ECD}"/>
    <cellStyle name="Millares 10 5 6 2" xfId="8542" xr:uid="{D9B3C159-8375-452B-8C7C-1E23B76242C9}"/>
    <cellStyle name="Millares 10 5 7" xfId="2475" xr:uid="{E8690A4C-276F-4B4E-8A94-34F3B9EE8617}"/>
    <cellStyle name="Millares 10 5 8" xfId="7331" xr:uid="{923D5C5C-76DA-424A-B2E3-5B9B4BEA5579}"/>
    <cellStyle name="Millares 10 6" xfId="183" xr:uid="{2FC9F8A6-4BAD-4F3E-A9BD-5D56B6E64F14}"/>
    <cellStyle name="Millares 10 6 2" xfId="1859" xr:uid="{36918629-FA77-4DF9-8524-AB28447DC161}"/>
    <cellStyle name="Millares 10 6 2 2" xfId="5504" xr:uid="{66DDE2B3-F1A3-4B38-83C2-50CC4D4FAEEC}"/>
    <cellStyle name="Millares 10 6 2 2 2" xfId="10356" xr:uid="{250C7ED4-B324-4AAA-93C2-8CECB82CFADC}"/>
    <cellStyle name="Millares 10 6 2 3" xfId="6720" xr:uid="{36D1FDD6-F4DB-4CFC-BD3D-50349C067819}"/>
    <cellStyle name="Millares 10 6 2 3 2" xfId="11568" xr:uid="{52877FCF-7CBB-478F-8CB4-B9BDED833AE0}"/>
    <cellStyle name="Millares 10 6 2 4" xfId="4294" xr:uid="{1DB75380-C4DB-4CBA-B893-BAD5A7D06E2D}"/>
    <cellStyle name="Millares 10 6 2 4 2" xfId="9148" xr:uid="{1B34B8E2-D050-4063-89C7-999D24DDFFB3}"/>
    <cellStyle name="Millares 10 6 2 5" xfId="3081" xr:uid="{4C7B9522-4BCC-4469-A3E2-CA0836FD920B}"/>
    <cellStyle name="Millares 10 6 2 6" xfId="7937" xr:uid="{5A8B9C86-5ED8-4AE0-9B66-312D7EC17902}"/>
    <cellStyle name="Millares 10 6 3" xfId="4900" xr:uid="{0506C696-AFBB-4DF4-B937-7B29E991DEA2}"/>
    <cellStyle name="Millares 10 6 3 2" xfId="9752" xr:uid="{1146A7C4-E110-4DAF-9128-239176BA6383}"/>
    <cellStyle name="Millares 10 6 4" xfId="6113" xr:uid="{E0823FC4-D994-446B-A19F-FBF231D864B8}"/>
    <cellStyle name="Millares 10 6 4 2" xfId="10963" xr:uid="{1EB39D10-EC9A-43B9-B5D6-BAC02EB61DB9}"/>
    <cellStyle name="Millares 10 6 5" xfId="3690" xr:uid="{E1C2BBCD-6221-4CFF-A062-733A9D3163A8}"/>
    <cellStyle name="Millares 10 6 5 2" xfId="8544" xr:uid="{788EF3F8-FD49-499B-933D-3956BEB38B4F}"/>
    <cellStyle name="Millares 10 6 6" xfId="2477" xr:uid="{3FC79732-413B-41EB-86BB-916E59162A30}"/>
    <cellStyle name="Millares 10 6 7" xfId="7333" xr:uid="{FD8EF5AF-19C1-42FC-A52A-8AD9B8C85528}"/>
    <cellStyle name="Millares 10 7" xfId="184" xr:uid="{13F9FA61-2D07-48E8-9F09-544EA3CF51B2}"/>
    <cellStyle name="Millares 10 7 2" xfId="1860" xr:uid="{7D1EE99A-4878-422D-B675-0199D985CD1E}"/>
    <cellStyle name="Millares 10 7 2 2" xfId="5505" xr:uid="{47674D67-8E1F-4750-9465-76DB38B6D785}"/>
    <cellStyle name="Millares 10 7 2 2 2" xfId="10357" xr:uid="{65B5212F-811A-4322-8C86-D4CC3E9A3497}"/>
    <cellStyle name="Millares 10 7 2 3" xfId="6721" xr:uid="{C5FE45FE-3A52-4008-A54E-286B2B587847}"/>
    <cellStyle name="Millares 10 7 2 3 2" xfId="11569" xr:uid="{3B4025BB-EE20-47CE-B8A0-A9985C6356B8}"/>
    <cellStyle name="Millares 10 7 2 4" xfId="4295" xr:uid="{FF216A31-31B8-477E-9D97-DD17F8B34E53}"/>
    <cellStyle name="Millares 10 7 2 4 2" xfId="9149" xr:uid="{CA1BFCB5-9802-483F-B1C9-77FAB9DDA592}"/>
    <cellStyle name="Millares 10 7 2 5" xfId="3082" xr:uid="{8FFC72F9-733B-4D2A-84B5-85C3511DEE23}"/>
    <cellStyle name="Millares 10 7 2 6" xfId="7938" xr:uid="{55064A70-73F0-4DEB-B505-00D4714A99C6}"/>
    <cellStyle name="Millares 10 7 3" xfId="4901" xr:uid="{62936963-2BD4-4F75-B1D2-A63E60F0EFD9}"/>
    <cellStyle name="Millares 10 7 3 2" xfId="9753" xr:uid="{67F0A1C9-37F6-4B2A-835F-6F065C8A35A9}"/>
    <cellStyle name="Millares 10 7 4" xfId="6114" xr:uid="{F0104FBD-6082-48E3-833E-0B74B6DEE521}"/>
    <cellStyle name="Millares 10 7 4 2" xfId="10964" xr:uid="{0AD47FCB-028D-44E6-AC78-06651E2FBE97}"/>
    <cellStyle name="Millares 10 7 5" xfId="3691" xr:uid="{B5F26651-4AEB-4CA4-B61A-5E42B95446D7}"/>
    <cellStyle name="Millares 10 7 5 2" xfId="8545" xr:uid="{34D52802-5348-4444-9B2D-8E587A3F767F}"/>
    <cellStyle name="Millares 10 7 6" xfId="2478" xr:uid="{A548859E-4190-4376-A313-C9D97DDDED71}"/>
    <cellStyle name="Millares 10 7 7" xfId="7334" xr:uid="{1C87917C-693C-4751-AD0C-5A829C94D48D}"/>
    <cellStyle name="Millares 10 8" xfId="1833" xr:uid="{6F080756-BC53-4F03-9A12-D5D876EDFD2D}"/>
    <cellStyle name="Millares 10 8 2" xfId="5478" xr:uid="{52288008-2CF7-4156-B59D-C043A14B727F}"/>
    <cellStyle name="Millares 10 8 2 2" xfId="10330" xr:uid="{79109FC2-E0EE-494E-9800-951FE3DEBAF1}"/>
    <cellStyle name="Millares 10 8 3" xfId="6694" xr:uid="{CA26CC9D-47D4-4575-9598-80E107417C30}"/>
    <cellStyle name="Millares 10 8 3 2" xfId="11542" xr:uid="{1ED6E446-860D-40F7-91B7-CB0D3DB48D3F}"/>
    <cellStyle name="Millares 10 8 4" xfId="4268" xr:uid="{7FC00960-49A9-4AAE-8F16-FA43D2FF8BFE}"/>
    <cellStyle name="Millares 10 8 4 2" xfId="9122" xr:uid="{8B696A84-9837-4CD0-A405-C0186E8AC127}"/>
    <cellStyle name="Millares 10 8 5" xfId="3055" xr:uid="{2906B040-6000-4FE5-8042-97672D8FDA2E}"/>
    <cellStyle name="Millares 10 8 6" xfId="7911" xr:uid="{CEAD1191-5BBC-44F4-A1D6-B0C1DE60877B}"/>
    <cellStyle name="Millares 10 9" xfId="4874" xr:uid="{4D01A911-34DF-485E-882A-88FB98B3E431}"/>
    <cellStyle name="Millares 10 9 2" xfId="9726" xr:uid="{2902A788-2859-4424-B049-2164FBB8AFF9}"/>
    <cellStyle name="Millares 11" xfId="185" xr:uid="{71E3E10E-D0D4-4A70-81C7-49101C32800D}"/>
    <cellStyle name="Millares 11 10" xfId="2479" xr:uid="{C913AE17-D422-4093-93AB-D4CE401FDBAB}"/>
    <cellStyle name="Millares 11 11" xfId="7335" xr:uid="{4B7BEF4C-6DA9-491E-9E2D-DEEC614241E9}"/>
    <cellStyle name="Millares 11 2" xfId="186" xr:uid="{44DA4064-B749-434A-83F5-96FAA6B6AB81}"/>
    <cellStyle name="Millares 11 2 2" xfId="187" xr:uid="{015051C7-24C3-46EB-9726-8977C7485BAE}"/>
    <cellStyle name="Millares 11 2 2 2" xfId="188" xr:uid="{375B0F02-C382-4FD2-AFBE-83093F50A3B7}"/>
    <cellStyle name="Millares 11 2 2 2 2" xfId="1864" xr:uid="{17F3C498-2873-4FF9-98B3-1274AED5954A}"/>
    <cellStyle name="Millares 11 2 2 2 2 2" xfId="5509" xr:uid="{0AD721CF-6DB9-4583-8F31-8A662BEA2DC4}"/>
    <cellStyle name="Millares 11 2 2 2 2 2 2" xfId="10361" xr:uid="{EAD6296A-FE62-4E49-ACC9-FCA733EDBC3F}"/>
    <cellStyle name="Millares 11 2 2 2 2 3" xfId="6725" xr:uid="{CC7A064C-78BE-45A6-B634-1162305AA737}"/>
    <cellStyle name="Millares 11 2 2 2 2 3 2" xfId="11573" xr:uid="{181589BC-E831-4E57-812B-FF69B600C3B9}"/>
    <cellStyle name="Millares 11 2 2 2 2 4" xfId="4299" xr:uid="{C9E0F6EB-8537-4E80-85D5-FA39E3CF67C4}"/>
    <cellStyle name="Millares 11 2 2 2 2 4 2" xfId="9153" xr:uid="{FC0ACE5F-2483-46DD-ABD3-D03161AB3D0B}"/>
    <cellStyle name="Millares 11 2 2 2 2 5" xfId="3086" xr:uid="{446D93C2-2A09-491E-9FF8-85406E941D87}"/>
    <cellStyle name="Millares 11 2 2 2 2 6" xfId="7942" xr:uid="{A2FCAD87-6553-4273-9C9F-9567730D6A60}"/>
    <cellStyle name="Millares 11 2 2 2 3" xfId="4905" xr:uid="{5153D727-2673-4E21-816D-A39DB121D745}"/>
    <cellStyle name="Millares 11 2 2 2 3 2" xfId="9757" xr:uid="{E6C27660-DCA2-4C3D-BC7E-70317A91DB72}"/>
    <cellStyle name="Millares 11 2 2 2 4" xfId="6118" xr:uid="{96EBA017-C246-43B0-88E3-B71F1E60F274}"/>
    <cellStyle name="Millares 11 2 2 2 4 2" xfId="10968" xr:uid="{60009DD4-B771-4CC3-A9BB-FB186B6E6B3F}"/>
    <cellStyle name="Millares 11 2 2 2 5" xfId="3695" xr:uid="{E9098D1C-A324-4EC9-8B29-956F481F0D67}"/>
    <cellStyle name="Millares 11 2 2 2 5 2" xfId="8549" xr:uid="{D9DF8A85-8FAD-4376-9D60-5D1E407B23D4}"/>
    <cellStyle name="Millares 11 2 2 2 6" xfId="2482" xr:uid="{C1893DA5-E25D-473B-81C0-D60FCA7D1A14}"/>
    <cellStyle name="Millares 11 2 2 2 7" xfId="7338" xr:uid="{B222A017-C24F-4796-B0F9-A8CED5FB422E}"/>
    <cellStyle name="Millares 11 2 2 3" xfId="1863" xr:uid="{77557E12-EC63-4664-8BCD-1E0AD8F12197}"/>
    <cellStyle name="Millares 11 2 2 3 2" xfId="5508" xr:uid="{A7521109-5B94-47EA-94B4-ED5D872626FF}"/>
    <cellStyle name="Millares 11 2 2 3 2 2" xfId="10360" xr:uid="{0348B06A-79C4-4168-9278-BB81E7E899E2}"/>
    <cellStyle name="Millares 11 2 2 3 3" xfId="6724" xr:uid="{306C3AF3-6302-48F7-ACB4-E7DEEBA18C4E}"/>
    <cellStyle name="Millares 11 2 2 3 3 2" xfId="11572" xr:uid="{07081B9A-FB13-480A-B747-B85353FEC86E}"/>
    <cellStyle name="Millares 11 2 2 3 4" xfId="4298" xr:uid="{0ADBDA6A-2E29-435D-A908-48988C462F7E}"/>
    <cellStyle name="Millares 11 2 2 3 4 2" xfId="9152" xr:uid="{3F97469C-BACC-4940-9C4B-1181DC45C066}"/>
    <cellStyle name="Millares 11 2 2 3 5" xfId="3085" xr:uid="{54BF3003-2AFB-4C15-B127-8E30C36CD53F}"/>
    <cellStyle name="Millares 11 2 2 3 6" xfId="7941" xr:uid="{33A781BB-ABA0-4F86-A480-E54A3148FF20}"/>
    <cellStyle name="Millares 11 2 2 4" xfId="4904" xr:uid="{ECC2C444-EFD4-4E19-BBEA-C81146A151F6}"/>
    <cellStyle name="Millares 11 2 2 4 2" xfId="9756" xr:uid="{0DB03FC7-3318-4846-AC08-41C8F5582E1F}"/>
    <cellStyle name="Millares 11 2 2 5" xfId="6117" xr:uid="{10D5A8D4-DE1F-4635-9AA9-51B94A939033}"/>
    <cellStyle name="Millares 11 2 2 5 2" xfId="10967" xr:uid="{6CC58081-9BFB-4074-9173-6C8692970D44}"/>
    <cellStyle name="Millares 11 2 2 6" xfId="3694" xr:uid="{A569DA5F-772B-40A3-BA5C-567191F0AE27}"/>
    <cellStyle name="Millares 11 2 2 6 2" xfId="8548" xr:uid="{1489D97A-BD73-4873-A0C9-11EC34470E99}"/>
    <cellStyle name="Millares 11 2 2 7" xfId="2481" xr:uid="{59F53DD2-A2AE-4CD6-A31F-FDDDA1D80C33}"/>
    <cellStyle name="Millares 11 2 2 8" xfId="7337" xr:uid="{9181A68E-6F62-4955-9DCF-FDFCA808BD3A}"/>
    <cellStyle name="Millares 11 2 3" xfId="189" xr:uid="{8ABBB6F0-45AA-4935-8437-E91EECDE94DA}"/>
    <cellStyle name="Millares 11 2 3 2" xfId="1865" xr:uid="{43AA7EBC-FF1E-4458-9B8E-590E0CDA30B7}"/>
    <cellStyle name="Millares 11 2 3 2 2" xfId="5510" xr:uid="{06FEA1B2-1C01-4C01-8C68-F82F91FC3A21}"/>
    <cellStyle name="Millares 11 2 3 2 2 2" xfId="10362" xr:uid="{F41028C0-5BCA-4E1C-AC3D-A29CD2A3510D}"/>
    <cellStyle name="Millares 11 2 3 2 3" xfId="6726" xr:uid="{CDFE5340-C70B-4F1C-A2DA-C8F22FD2A9BE}"/>
    <cellStyle name="Millares 11 2 3 2 3 2" xfId="11574" xr:uid="{135D8C34-8A1D-47F4-A402-6A014D4841B7}"/>
    <cellStyle name="Millares 11 2 3 2 4" xfId="4300" xr:uid="{B55FC12B-9E0D-4C33-9046-7305281D5814}"/>
    <cellStyle name="Millares 11 2 3 2 4 2" xfId="9154" xr:uid="{689F7AC7-39FE-4B83-BFB3-AFE33768D6C3}"/>
    <cellStyle name="Millares 11 2 3 2 5" xfId="3087" xr:uid="{EE77057A-93F2-4F31-A8A8-1ACF52FB82C8}"/>
    <cellStyle name="Millares 11 2 3 2 6" xfId="7943" xr:uid="{19A1276E-1625-41B7-94AF-F09E7FA0C9B3}"/>
    <cellStyle name="Millares 11 2 3 3" xfId="4906" xr:uid="{7DFEF1C3-6B10-4B99-99FA-7B694D308464}"/>
    <cellStyle name="Millares 11 2 3 3 2" xfId="9758" xr:uid="{AD9FA181-E339-41C9-B708-F6700A5D7448}"/>
    <cellStyle name="Millares 11 2 3 4" xfId="6119" xr:uid="{53A9FC52-16E0-4248-A7FA-5DAEA145B419}"/>
    <cellStyle name="Millares 11 2 3 4 2" xfId="10969" xr:uid="{7DFA153D-8DC2-4805-9D29-2439EF663D99}"/>
    <cellStyle name="Millares 11 2 3 5" xfId="3696" xr:uid="{383F659E-0326-4059-8FCE-F05B0F77582B}"/>
    <cellStyle name="Millares 11 2 3 5 2" xfId="8550" xr:uid="{89800094-D6A2-4E3D-B5D5-4546E107E44E}"/>
    <cellStyle name="Millares 11 2 3 6" xfId="2483" xr:uid="{E9406AB2-CB8C-4463-A295-F3C04EA06BE2}"/>
    <cellStyle name="Millares 11 2 3 7" xfId="7339" xr:uid="{4E3CB102-EA50-48A9-B66B-0ADD337545B1}"/>
    <cellStyle name="Millares 11 2 4" xfId="1862" xr:uid="{FA6B808B-7710-4D63-9FD2-AE3A4733181C}"/>
    <cellStyle name="Millares 11 2 4 2" xfId="5507" xr:uid="{BAC4030F-411C-4596-AF89-7ABE83DDF377}"/>
    <cellStyle name="Millares 11 2 4 2 2" xfId="10359" xr:uid="{D6D1F38D-896F-43E1-8228-7B13852C0F48}"/>
    <cellStyle name="Millares 11 2 4 3" xfId="6723" xr:uid="{3559D72D-2B26-4009-A584-1C1D6A6C5B8D}"/>
    <cellStyle name="Millares 11 2 4 3 2" xfId="11571" xr:uid="{307656C5-9012-457D-AF66-8EABD068BA6D}"/>
    <cellStyle name="Millares 11 2 4 4" xfId="4297" xr:uid="{8E241BB6-61C6-4B15-993F-3F4AE75F7852}"/>
    <cellStyle name="Millares 11 2 4 4 2" xfId="9151" xr:uid="{73181F08-6DB6-4C94-8B00-02D61C7694FE}"/>
    <cellStyle name="Millares 11 2 4 5" xfId="3084" xr:uid="{52933770-4DDE-4ABA-BE20-1E14B42E2BA9}"/>
    <cellStyle name="Millares 11 2 4 6" xfId="7940" xr:uid="{91FF6637-29B3-4392-8D82-770D20E5CF30}"/>
    <cellStyle name="Millares 11 2 5" xfId="4903" xr:uid="{FC280245-60B9-45DC-9D64-7EF6CC84046C}"/>
    <cellStyle name="Millares 11 2 5 2" xfId="9755" xr:uid="{0587C722-0893-4261-82CA-BC5286771C9E}"/>
    <cellStyle name="Millares 11 2 6" xfId="6116" xr:uid="{0EE97DA3-EF19-436C-BC0B-1C86BB92BA78}"/>
    <cellStyle name="Millares 11 2 6 2" xfId="10966" xr:uid="{66DCF321-2F51-43CE-B24D-BC7BA04CD7D4}"/>
    <cellStyle name="Millares 11 2 7" xfId="3693" xr:uid="{A8C6CCA0-0FEF-4267-BEA7-C2378BBB8099}"/>
    <cellStyle name="Millares 11 2 7 2" xfId="8547" xr:uid="{ECB3628D-EEC3-4E53-95CA-0AE036A72535}"/>
    <cellStyle name="Millares 11 2 8" xfId="2480" xr:uid="{E147D49A-77B6-4B73-816D-DB4E8107CA3F}"/>
    <cellStyle name="Millares 11 2 9" xfId="7336" xr:uid="{200725ED-526F-4810-A5B4-A7C157A5EAE4}"/>
    <cellStyle name="Millares 11 3" xfId="190" xr:uid="{153AAB1F-8D5B-4F3C-9670-B3E72E4D9E8D}"/>
    <cellStyle name="Millares 11 3 2" xfId="191" xr:uid="{D3D52101-1C09-4580-B056-B2CC097E58A5}"/>
    <cellStyle name="Millares 11 3 2 2" xfId="192" xr:uid="{814963A9-3895-4B1D-8C00-996D928F68D8}"/>
    <cellStyle name="Millares 11 3 2 2 2" xfId="1868" xr:uid="{D863B6FF-395A-4C37-8B0B-62835D18D34C}"/>
    <cellStyle name="Millares 11 3 2 2 2 2" xfId="5513" xr:uid="{C68AADA5-A776-4E06-A8CC-37763CCBB2B0}"/>
    <cellStyle name="Millares 11 3 2 2 2 2 2" xfId="10365" xr:uid="{6922D739-14D3-4FA5-A9DD-74059B711174}"/>
    <cellStyle name="Millares 11 3 2 2 2 3" xfId="6729" xr:uid="{3CA6A540-C2DA-405A-B05D-1976878CE9D0}"/>
    <cellStyle name="Millares 11 3 2 2 2 3 2" xfId="11577" xr:uid="{3C98AC6D-D075-4174-BA9E-14184901F50A}"/>
    <cellStyle name="Millares 11 3 2 2 2 4" xfId="4303" xr:uid="{D3A1258C-2EA0-4DB7-B3E6-5679B96F49EB}"/>
    <cellStyle name="Millares 11 3 2 2 2 4 2" xfId="9157" xr:uid="{9A3D9D1D-33B3-4A06-8FB5-F309B22C3C5D}"/>
    <cellStyle name="Millares 11 3 2 2 2 5" xfId="3090" xr:uid="{F900FD5C-A2EA-405E-AE7F-C715B6E57B7E}"/>
    <cellStyle name="Millares 11 3 2 2 2 6" xfId="7946" xr:uid="{2352CC13-FF7B-4AD3-B9AC-56B25141CB97}"/>
    <cellStyle name="Millares 11 3 2 2 3" xfId="4909" xr:uid="{C96378EF-158D-4193-93B8-42F132BCD87F}"/>
    <cellStyle name="Millares 11 3 2 2 3 2" xfId="9761" xr:uid="{5CCA86EC-E170-4350-AF74-7622E9F0E21A}"/>
    <cellStyle name="Millares 11 3 2 2 4" xfId="6122" xr:uid="{DBDA197D-3796-47D8-853D-3B08A959FA9C}"/>
    <cellStyle name="Millares 11 3 2 2 4 2" xfId="10972" xr:uid="{EF1AD333-164C-4A5D-9693-E85DE5822958}"/>
    <cellStyle name="Millares 11 3 2 2 5" xfId="3699" xr:uid="{D76F03BF-261D-46D5-B595-37F3FADD4074}"/>
    <cellStyle name="Millares 11 3 2 2 5 2" xfId="8553" xr:uid="{256B9435-266F-4221-A8CD-DCBAEB205349}"/>
    <cellStyle name="Millares 11 3 2 2 6" xfId="2486" xr:uid="{9DA26054-BB41-4DD2-895A-F61659A8D803}"/>
    <cellStyle name="Millares 11 3 2 2 7" xfId="7342" xr:uid="{291B5ECC-009E-428C-8F11-D4C81F4F0C21}"/>
    <cellStyle name="Millares 11 3 2 3" xfId="1867" xr:uid="{5A647962-A694-4658-AE9C-8DDABA0B39BB}"/>
    <cellStyle name="Millares 11 3 2 3 2" xfId="5512" xr:uid="{444BDC22-6A26-4656-8B61-C6449627D5AF}"/>
    <cellStyle name="Millares 11 3 2 3 2 2" xfId="10364" xr:uid="{A6B03CB9-C17D-4AC1-9E39-5B76E146C6EB}"/>
    <cellStyle name="Millares 11 3 2 3 3" xfId="6728" xr:uid="{E7872851-1BE0-472B-A40F-BCE0A8C59891}"/>
    <cellStyle name="Millares 11 3 2 3 3 2" xfId="11576" xr:uid="{028206B3-FC90-4380-BFC2-F4B72FF148AE}"/>
    <cellStyle name="Millares 11 3 2 3 4" xfId="4302" xr:uid="{9ECB05D3-5D86-4ABF-BF3B-F960610A3C4B}"/>
    <cellStyle name="Millares 11 3 2 3 4 2" xfId="9156" xr:uid="{44220428-9C36-4DF7-BCBE-A72D673D7D3F}"/>
    <cellStyle name="Millares 11 3 2 3 5" xfId="3089" xr:uid="{ABEF2910-14E3-4B21-8624-811ED16C4D77}"/>
    <cellStyle name="Millares 11 3 2 3 6" xfId="7945" xr:uid="{3727D60A-5CB4-4624-BEE7-42FAB7A38C2B}"/>
    <cellStyle name="Millares 11 3 2 4" xfId="4908" xr:uid="{E0AB3F7E-EAFF-47E5-97A1-4D179758A3D8}"/>
    <cellStyle name="Millares 11 3 2 4 2" xfId="9760" xr:uid="{C5132BE2-54FC-4420-BAB7-A94EFEC45D73}"/>
    <cellStyle name="Millares 11 3 2 5" xfId="6121" xr:uid="{29ED62F3-2D96-4581-8E7A-28F2FA11DA7F}"/>
    <cellStyle name="Millares 11 3 2 5 2" xfId="10971" xr:uid="{D4CA399F-6833-439C-9D67-C83D793729A0}"/>
    <cellStyle name="Millares 11 3 2 6" xfId="3698" xr:uid="{AFB6030C-B992-4112-9552-5704F61E036A}"/>
    <cellStyle name="Millares 11 3 2 6 2" xfId="8552" xr:uid="{E35F85AB-F027-42B9-BB81-1B4B8771C319}"/>
    <cellStyle name="Millares 11 3 2 7" xfId="2485" xr:uid="{C360007C-C71E-4A2B-A3EA-DE2CB14F9293}"/>
    <cellStyle name="Millares 11 3 2 8" xfId="7341" xr:uid="{95810926-E612-4B31-AE88-123D447FA9D9}"/>
    <cellStyle name="Millares 11 3 3" xfId="193" xr:uid="{10BB77FC-F23C-45FC-AFF0-BD87B8B20022}"/>
    <cellStyle name="Millares 11 3 3 2" xfId="1869" xr:uid="{36BA4C19-B8F5-4445-8561-023D2FB785F5}"/>
    <cellStyle name="Millares 11 3 3 2 2" xfId="5514" xr:uid="{FD3234E5-F1F0-4589-9795-182957C0675D}"/>
    <cellStyle name="Millares 11 3 3 2 2 2" xfId="10366" xr:uid="{82B2C884-A555-460A-A655-F93EEAD4C0B0}"/>
    <cellStyle name="Millares 11 3 3 2 3" xfId="6730" xr:uid="{A14CA134-1A00-4A6E-87C7-ABF20580EFCC}"/>
    <cellStyle name="Millares 11 3 3 2 3 2" xfId="11578" xr:uid="{3999AA85-4212-4C81-B12E-6BE70DAE5890}"/>
    <cellStyle name="Millares 11 3 3 2 4" xfId="4304" xr:uid="{36A21266-9541-4D73-9AD7-11363B471326}"/>
    <cellStyle name="Millares 11 3 3 2 4 2" xfId="9158" xr:uid="{DBF19647-FACA-4839-8A1F-D2DC45D6E7C9}"/>
    <cellStyle name="Millares 11 3 3 2 5" xfId="3091" xr:uid="{88239740-F55B-418D-8A3A-69BF30A9357D}"/>
    <cellStyle name="Millares 11 3 3 2 6" xfId="7947" xr:uid="{317AFB39-EF2D-486E-8D23-F15D74813B5B}"/>
    <cellStyle name="Millares 11 3 3 3" xfId="4910" xr:uid="{72445563-0C4B-4430-924B-B1DA22D63231}"/>
    <cellStyle name="Millares 11 3 3 3 2" xfId="9762" xr:uid="{2C78D7B6-569A-49E2-8981-4C9E771E19BE}"/>
    <cellStyle name="Millares 11 3 3 4" xfId="6123" xr:uid="{C8B71F96-FC1E-4287-AA7B-CD473D2F319D}"/>
    <cellStyle name="Millares 11 3 3 4 2" xfId="10973" xr:uid="{D86BA99D-994E-4C21-A82F-D2FB16D4D957}"/>
    <cellStyle name="Millares 11 3 3 5" xfId="3700" xr:uid="{73B965EA-F2AB-42EE-84DE-182325DA9125}"/>
    <cellStyle name="Millares 11 3 3 5 2" xfId="8554" xr:uid="{9E7A847C-51B1-4761-807E-D542432E6383}"/>
    <cellStyle name="Millares 11 3 3 6" xfId="2487" xr:uid="{6DAAA93A-9B88-42B7-B1C3-89BE2228FC66}"/>
    <cellStyle name="Millares 11 3 3 7" xfId="7343" xr:uid="{62664FAD-4867-41BE-B1A3-CC4100C6B842}"/>
    <cellStyle name="Millares 11 3 4" xfId="1866" xr:uid="{EB5391CD-5CCB-4EBC-BBFD-B51489E86800}"/>
    <cellStyle name="Millares 11 3 4 2" xfId="5511" xr:uid="{827E03E2-A647-4751-99E0-DAE12881640A}"/>
    <cellStyle name="Millares 11 3 4 2 2" xfId="10363" xr:uid="{80A9673F-E830-4CA3-9285-6E8ADBB09172}"/>
    <cellStyle name="Millares 11 3 4 3" xfId="6727" xr:uid="{7C8DBA74-DF60-4EDB-9FC8-68455A1321E6}"/>
    <cellStyle name="Millares 11 3 4 3 2" xfId="11575" xr:uid="{C9768259-D250-43DB-B986-B6715208A6F1}"/>
    <cellStyle name="Millares 11 3 4 4" xfId="4301" xr:uid="{E0A84F44-0DDD-4AF4-A776-592933D4D31A}"/>
    <cellStyle name="Millares 11 3 4 4 2" xfId="9155" xr:uid="{B9908F03-9AB7-41EE-9DB1-819A5150A924}"/>
    <cellStyle name="Millares 11 3 4 5" xfId="3088" xr:uid="{74167BDD-FC3F-43BD-8EEB-DCA696146169}"/>
    <cellStyle name="Millares 11 3 4 6" xfId="7944" xr:uid="{3A4F197B-9E99-45E4-A5A2-A38FA9FE871F}"/>
    <cellStyle name="Millares 11 3 5" xfId="4907" xr:uid="{5F97629F-3EC5-4D96-9DB0-A510DEBEBD70}"/>
    <cellStyle name="Millares 11 3 5 2" xfId="9759" xr:uid="{F748D0DB-41E8-451D-8AD7-8EEBF5171DED}"/>
    <cellStyle name="Millares 11 3 6" xfId="6120" xr:uid="{80406EA7-F470-4BFF-8117-7FF53BF051F0}"/>
    <cellStyle name="Millares 11 3 6 2" xfId="10970" xr:uid="{A61A4D5C-19BC-4965-A647-497E006AEDD3}"/>
    <cellStyle name="Millares 11 3 7" xfId="3697" xr:uid="{F3F11923-711F-49C0-8FC1-2AE12DDF951E}"/>
    <cellStyle name="Millares 11 3 7 2" xfId="8551" xr:uid="{073A1652-0AA1-4889-95B9-CD4858A57001}"/>
    <cellStyle name="Millares 11 3 8" xfId="2484" xr:uid="{F0C34A70-3B9E-4904-A440-E16F4F318A97}"/>
    <cellStyle name="Millares 11 3 9" xfId="7340" xr:uid="{B3E67A6E-E73C-48E6-9A1D-3F6666B79CF8}"/>
    <cellStyle name="Millares 11 4" xfId="194" xr:uid="{25F999EC-A9D4-4FA0-B2D1-368B01E14DD2}"/>
    <cellStyle name="Millares 11 4 2" xfId="195" xr:uid="{1519C9B2-B6E9-45C3-AFD2-2D3DBCB96868}"/>
    <cellStyle name="Millares 11 4 2 2" xfId="1871" xr:uid="{F30822E2-4539-4F78-A847-F545681DCF62}"/>
    <cellStyle name="Millares 11 4 2 2 2" xfId="5516" xr:uid="{F6494D8D-9151-48FF-BD09-4AFFBADA048C}"/>
    <cellStyle name="Millares 11 4 2 2 2 2" xfId="10368" xr:uid="{30B75CAD-48C9-4D11-9EA0-33D94BA9171D}"/>
    <cellStyle name="Millares 11 4 2 2 3" xfId="6732" xr:uid="{A26C9729-6A51-4234-88F3-1E43F7B7FE4C}"/>
    <cellStyle name="Millares 11 4 2 2 3 2" xfId="11580" xr:uid="{850743E9-AD0A-45A0-8309-BD52F2270CE6}"/>
    <cellStyle name="Millares 11 4 2 2 4" xfId="4306" xr:uid="{74E9C2AA-4C1F-43A9-8C9F-DCAF4DE5164C}"/>
    <cellStyle name="Millares 11 4 2 2 4 2" xfId="9160" xr:uid="{17B6F18E-550A-4408-A888-0B3D130CC36F}"/>
    <cellStyle name="Millares 11 4 2 2 5" xfId="3093" xr:uid="{1AD8DE44-8A86-4E25-8D2C-E837D1F5F904}"/>
    <cellStyle name="Millares 11 4 2 2 6" xfId="7949" xr:uid="{AC6B95BE-B5BB-43B4-988F-DB6E4C237FB0}"/>
    <cellStyle name="Millares 11 4 2 3" xfId="4912" xr:uid="{0680E176-098E-4711-BCB6-916A69DF25BF}"/>
    <cellStyle name="Millares 11 4 2 3 2" xfId="9764" xr:uid="{3828FB39-32C8-4831-B175-9F23FE05E12D}"/>
    <cellStyle name="Millares 11 4 2 4" xfId="6125" xr:uid="{6EE3BF30-B65B-49E3-A252-01CA2EEFE46A}"/>
    <cellStyle name="Millares 11 4 2 4 2" xfId="10975" xr:uid="{586CD3F1-96FF-4388-88EB-E48FA30062F0}"/>
    <cellStyle name="Millares 11 4 2 5" xfId="3702" xr:uid="{CB3D6DBF-CE68-4769-8272-FB7209C59FC9}"/>
    <cellStyle name="Millares 11 4 2 5 2" xfId="8556" xr:uid="{EAC28D1A-D531-4FB1-9C18-4257730F7520}"/>
    <cellStyle name="Millares 11 4 2 6" xfId="2489" xr:uid="{EF0CD1E8-226E-4F2E-9FC4-0BE15962BEB8}"/>
    <cellStyle name="Millares 11 4 2 7" xfId="7345" xr:uid="{026D9F77-F356-413B-B62F-76AEF9147680}"/>
    <cellStyle name="Millares 11 4 3" xfId="1870" xr:uid="{BFA92C4E-AAC5-41A7-A123-8BCF4485A680}"/>
    <cellStyle name="Millares 11 4 3 2" xfId="5515" xr:uid="{76CCAC73-1D22-4C25-AD0F-0D4299316B03}"/>
    <cellStyle name="Millares 11 4 3 2 2" xfId="10367" xr:uid="{6FE6932C-12E1-4777-80B2-93AE8BAA8A77}"/>
    <cellStyle name="Millares 11 4 3 3" xfId="6731" xr:uid="{EF3EDC32-D898-4AC6-B7BE-F581543C19B9}"/>
    <cellStyle name="Millares 11 4 3 3 2" xfId="11579" xr:uid="{C9E53225-5008-42FF-9949-A682135DE141}"/>
    <cellStyle name="Millares 11 4 3 4" xfId="4305" xr:uid="{E6AFECC6-DFBF-422B-9764-08C56047EF46}"/>
    <cellStyle name="Millares 11 4 3 4 2" xfId="9159" xr:uid="{A56E2920-0886-4E83-8E1C-00D946F4CA1C}"/>
    <cellStyle name="Millares 11 4 3 5" xfId="3092" xr:uid="{17E8937B-F414-4682-A863-9484CD00BCB0}"/>
    <cellStyle name="Millares 11 4 3 6" xfId="7948" xr:uid="{B8FA104C-BC41-4019-9FE2-62D31DDE5E46}"/>
    <cellStyle name="Millares 11 4 4" xfId="4911" xr:uid="{F8013E11-B6EB-4C54-BAB0-836199DB4B59}"/>
    <cellStyle name="Millares 11 4 4 2" xfId="9763" xr:uid="{40F99FAD-15DE-49B8-9C8C-FF4CCEF0D20B}"/>
    <cellStyle name="Millares 11 4 5" xfId="6124" xr:uid="{22678DE8-C021-48DE-89F0-D9C8D0CCAD8C}"/>
    <cellStyle name="Millares 11 4 5 2" xfId="10974" xr:uid="{AC6899C3-900D-46AD-AC99-649EC204E902}"/>
    <cellStyle name="Millares 11 4 6" xfId="3701" xr:uid="{8298296F-B0D5-469B-9C9A-54B579BFAE6D}"/>
    <cellStyle name="Millares 11 4 6 2" xfId="8555" xr:uid="{0F28BDE1-8BFB-4F79-9448-EC7B11AD37F1}"/>
    <cellStyle name="Millares 11 4 7" xfId="2488" xr:uid="{9A22E2F3-E236-4103-AA7C-1DDCE907D368}"/>
    <cellStyle name="Millares 11 4 8" xfId="7344" xr:uid="{EE45A050-1B73-4F5A-8208-D149A14D96F2}"/>
    <cellStyle name="Millares 11 5" xfId="196" xr:uid="{225AD9FE-F6DB-41F5-8C40-81289470EB28}"/>
    <cellStyle name="Millares 11 5 2" xfId="1872" xr:uid="{1FBBD9E1-57B5-4ED3-9376-3B039BE1BFDE}"/>
    <cellStyle name="Millares 11 5 2 2" xfId="5517" xr:uid="{6A4F368D-F0B3-4F44-836C-787712BB235A}"/>
    <cellStyle name="Millares 11 5 2 2 2" xfId="10369" xr:uid="{FEB32EA4-4EC2-4E31-A96D-C187A6D14930}"/>
    <cellStyle name="Millares 11 5 2 3" xfId="6733" xr:uid="{0B7EAF8A-7F71-4E4B-816C-5341267984E3}"/>
    <cellStyle name="Millares 11 5 2 3 2" xfId="11581" xr:uid="{55068FD0-D2FA-434D-B68D-253D61BABD9B}"/>
    <cellStyle name="Millares 11 5 2 4" xfId="4307" xr:uid="{88D2CDAA-A39F-4D45-807B-CCD3818AB2EC}"/>
    <cellStyle name="Millares 11 5 2 4 2" xfId="9161" xr:uid="{99162C04-9F3F-4502-82DB-900A4F8CCEC3}"/>
    <cellStyle name="Millares 11 5 2 5" xfId="3094" xr:uid="{7F92D983-342A-4EF9-825F-F2917D1AEA7A}"/>
    <cellStyle name="Millares 11 5 2 6" xfId="7950" xr:uid="{B135CA43-9229-4A54-B036-D3D33835B89B}"/>
    <cellStyle name="Millares 11 5 3" xfId="4913" xr:uid="{01F572E9-77FA-4DC5-B13D-DE4E258AAA73}"/>
    <cellStyle name="Millares 11 5 3 2" xfId="9765" xr:uid="{53BDAF4A-A82E-44BB-9B04-D1295544B28F}"/>
    <cellStyle name="Millares 11 5 4" xfId="6126" xr:uid="{70595429-63F6-4CC4-A4B8-9F8893F41DFE}"/>
    <cellStyle name="Millares 11 5 4 2" xfId="10976" xr:uid="{A24DE584-A70E-4196-BF4F-BE270663FD6C}"/>
    <cellStyle name="Millares 11 5 5" xfId="3703" xr:uid="{66B596E6-5A45-47B3-B34A-8710B9FA3860}"/>
    <cellStyle name="Millares 11 5 5 2" xfId="8557" xr:uid="{7586B3A2-8260-40FE-A98B-F479C32EC87F}"/>
    <cellStyle name="Millares 11 5 6" xfId="2490" xr:uid="{018E7629-391B-400F-8524-5BAD4C3E6BE9}"/>
    <cellStyle name="Millares 11 5 7" xfId="7346" xr:uid="{F2379819-6F22-4CDC-A8C1-840A932F4818}"/>
    <cellStyle name="Millares 11 6" xfId="1861" xr:uid="{55071DFD-F506-4532-AAA5-CC45A371D81D}"/>
    <cellStyle name="Millares 11 6 2" xfId="5506" xr:uid="{745BC7AB-61EF-4143-B1E1-CF01203AF552}"/>
    <cellStyle name="Millares 11 6 2 2" xfId="10358" xr:uid="{D0CCAEB9-4048-4634-89FF-858A318E2359}"/>
    <cellStyle name="Millares 11 6 3" xfId="6722" xr:uid="{187699AE-C4A1-4EDA-BF6F-F6DFAA0ABF77}"/>
    <cellStyle name="Millares 11 6 3 2" xfId="11570" xr:uid="{7D31F828-C58C-4C8A-A97E-73E6CADA9AC7}"/>
    <cellStyle name="Millares 11 6 4" xfId="4296" xr:uid="{A3ED2217-526C-4712-A0F0-4D9EC176752A}"/>
    <cellStyle name="Millares 11 6 4 2" xfId="9150" xr:uid="{2A3AABEF-EB10-4D79-AB2F-F8624DF35F19}"/>
    <cellStyle name="Millares 11 6 5" xfId="3083" xr:uid="{5153E304-427F-4479-9A7B-556F13918935}"/>
    <cellStyle name="Millares 11 6 6" xfId="7939" xr:uid="{E91C4066-BB64-49BA-91A5-B17802B79201}"/>
    <cellStyle name="Millares 11 7" xfId="4902" xr:uid="{F2905D19-3134-4565-88D9-349471E9956F}"/>
    <cellStyle name="Millares 11 7 2" xfId="9754" xr:uid="{C5D0E104-0587-4B68-B67A-8B9B00AE1D3C}"/>
    <cellStyle name="Millares 11 8" xfId="6115" xr:uid="{EE7AF2A9-6D96-4957-A6D6-7D19EA71B925}"/>
    <cellStyle name="Millares 11 8 2" xfId="10965" xr:uid="{A40C3858-B03E-4B7B-AE85-3F4CFB00355D}"/>
    <cellStyle name="Millares 11 9" xfId="3692" xr:uid="{ADE890BB-45A0-40CD-B385-FF9CC7CEC92C}"/>
    <cellStyle name="Millares 11 9 2" xfId="8546" xr:uid="{67FD5117-BF21-480D-8F7A-A04016437169}"/>
    <cellStyle name="Millares 12" xfId="5" xr:uid="{F1C26ECB-94E7-44CE-9931-730D0834EDF0}"/>
    <cellStyle name="Millares 12 10" xfId="2491" xr:uid="{2FB27FBE-A854-4839-BA83-EAD9FF5A3D1D}"/>
    <cellStyle name="Millares 12 11" xfId="7347" xr:uid="{439580C7-56D1-4767-9948-D8E7476E9C70}"/>
    <cellStyle name="Millares 12 12" xfId="12109" xr:uid="{3BC08676-F127-440C-986C-726FE151DC95}"/>
    <cellStyle name="Millares 12 13" xfId="197" xr:uid="{13BF6C40-D857-424F-8E48-1C549CC77A40}"/>
    <cellStyle name="Millares 12 2" xfId="198" xr:uid="{4EE06658-EA68-455F-9CB8-53A334EA2BB6}"/>
    <cellStyle name="Millares 12 2 2" xfId="199" xr:uid="{D1888177-87CB-4DE9-AAFC-DFDB329DF26A}"/>
    <cellStyle name="Millares 12 2 2 2" xfId="200" xr:uid="{7F4D2D12-FA60-4B52-BE53-0A8283AAB074}"/>
    <cellStyle name="Millares 12 2 2 2 2" xfId="1876" xr:uid="{875C8ECB-74EA-4B42-9F17-249245D14A76}"/>
    <cellStyle name="Millares 12 2 2 2 2 2" xfId="5521" xr:uid="{B3DBA616-0BCD-4D0F-A897-3DCEB2A56DD1}"/>
    <cellStyle name="Millares 12 2 2 2 2 2 2" xfId="10373" xr:uid="{9AFBD90C-5E82-42B7-B456-203018614DA5}"/>
    <cellStyle name="Millares 12 2 2 2 2 3" xfId="6737" xr:uid="{CC328BEE-5B49-4925-B2DE-871FB93EE402}"/>
    <cellStyle name="Millares 12 2 2 2 2 3 2" xfId="11585" xr:uid="{CA9FB91C-E45B-4BBE-A521-0B4EB7D129D2}"/>
    <cellStyle name="Millares 12 2 2 2 2 4" xfId="4311" xr:uid="{B3DC0B91-FBD1-4009-9D96-FFF1C927F182}"/>
    <cellStyle name="Millares 12 2 2 2 2 4 2" xfId="9165" xr:uid="{C1D57234-9D56-49B2-AFE3-7427422CA89E}"/>
    <cellStyle name="Millares 12 2 2 2 2 5" xfId="3098" xr:uid="{F8AA1E9E-C592-49FB-A5F8-D6760DAD186A}"/>
    <cellStyle name="Millares 12 2 2 2 2 6" xfId="7954" xr:uid="{9F6E02A9-FC69-42D7-B1F5-47ADD7A1C847}"/>
    <cellStyle name="Millares 12 2 2 2 3" xfId="4917" xr:uid="{AF51E214-563E-4928-97D1-0DD3615BB5CA}"/>
    <cellStyle name="Millares 12 2 2 2 3 2" xfId="9769" xr:uid="{7879331C-67CF-47F7-B8E9-59EFF743D417}"/>
    <cellStyle name="Millares 12 2 2 2 4" xfId="6130" xr:uid="{641EBDDA-4640-4144-83A4-52115814D8E7}"/>
    <cellStyle name="Millares 12 2 2 2 4 2" xfId="10980" xr:uid="{34B8A92D-DD12-4299-B0A1-D44877188E22}"/>
    <cellStyle name="Millares 12 2 2 2 5" xfId="3707" xr:uid="{1E9D064C-B64C-4174-B1B0-B131A6A1314F}"/>
    <cellStyle name="Millares 12 2 2 2 5 2" xfId="8561" xr:uid="{2F6BF859-CD49-45EE-81D1-D3739BAC8CC9}"/>
    <cellStyle name="Millares 12 2 2 2 6" xfId="2494" xr:uid="{34A2BA70-22F4-46FA-B536-04D4684A4B78}"/>
    <cellStyle name="Millares 12 2 2 2 7" xfId="7350" xr:uid="{94FFB5A9-F70D-4D87-A51E-CFADF6F0EE1F}"/>
    <cellStyle name="Millares 12 2 2 3" xfId="1875" xr:uid="{8B6345C2-6345-4980-BD1B-8562A69D53D9}"/>
    <cellStyle name="Millares 12 2 2 3 2" xfId="5520" xr:uid="{4AEA8869-0AAF-427B-95E3-5067A8A9A96E}"/>
    <cellStyle name="Millares 12 2 2 3 2 2" xfId="10372" xr:uid="{D5E69E83-E622-4475-8B27-BFA1A96AE857}"/>
    <cellStyle name="Millares 12 2 2 3 3" xfId="6736" xr:uid="{1766D3F5-A1B6-4B0B-8E52-069D59012D4F}"/>
    <cellStyle name="Millares 12 2 2 3 3 2" xfId="11584" xr:uid="{D8826DA1-7BFA-4DF6-A201-35B6E63D0B9C}"/>
    <cellStyle name="Millares 12 2 2 3 4" xfId="4310" xr:uid="{228F6537-52E4-4B71-BD64-BFBC8AD15AA0}"/>
    <cellStyle name="Millares 12 2 2 3 4 2" xfId="9164" xr:uid="{CF073108-8F00-4B52-B26B-FBA6CBAABB9E}"/>
    <cellStyle name="Millares 12 2 2 3 5" xfId="3097" xr:uid="{41A8552E-B537-442A-8609-06849881DC96}"/>
    <cellStyle name="Millares 12 2 2 3 6" xfId="7953" xr:uid="{2C8E69BD-42E1-4F74-BBBA-F452A15BEFE1}"/>
    <cellStyle name="Millares 12 2 2 4" xfId="4916" xr:uid="{456FEB13-C129-458A-A22B-2092C38F9181}"/>
    <cellStyle name="Millares 12 2 2 4 2" xfId="9768" xr:uid="{0C0A1CA2-2262-4BA1-8CFD-CF906DA7E411}"/>
    <cellStyle name="Millares 12 2 2 5" xfId="6129" xr:uid="{EF62EC74-B1EC-45C6-9781-39C6E59FA7EE}"/>
    <cellStyle name="Millares 12 2 2 5 2" xfId="10979" xr:uid="{1ECB1EA5-9780-4E13-8697-C53087D1B781}"/>
    <cellStyle name="Millares 12 2 2 6" xfId="3706" xr:uid="{6A1FB9E3-632C-46F0-B5FB-B535DBEFD5C6}"/>
    <cellStyle name="Millares 12 2 2 6 2" xfId="8560" xr:uid="{074FC673-BC93-49DF-98AA-BD9BFAE3D7EB}"/>
    <cellStyle name="Millares 12 2 2 7" xfId="2493" xr:uid="{F6B8B22F-C6F9-4416-ABBC-187D509F701D}"/>
    <cellStyle name="Millares 12 2 2 8" xfId="7349" xr:uid="{B503B2F0-D927-4C40-84FF-DF49FF42DE8F}"/>
    <cellStyle name="Millares 12 2 3" xfId="201" xr:uid="{4ED21AB2-7E39-4ACA-BDBE-E77EED21555D}"/>
    <cellStyle name="Millares 12 2 3 2" xfId="1877" xr:uid="{60F59230-80BC-4067-856C-34DCB75BB1C0}"/>
    <cellStyle name="Millares 12 2 3 2 2" xfId="5522" xr:uid="{4EFC7FBE-11D1-461A-80CC-A0014643C90D}"/>
    <cellStyle name="Millares 12 2 3 2 2 2" xfId="10374" xr:uid="{DBA5DCB7-9658-4F5B-81B0-4DC21654C1E3}"/>
    <cellStyle name="Millares 12 2 3 2 3" xfId="6738" xr:uid="{0A414F3F-1B13-465A-81CA-BB1B5261706F}"/>
    <cellStyle name="Millares 12 2 3 2 3 2" xfId="11586" xr:uid="{8DFC2F74-D0EA-4B93-9A9F-4601133B4BA2}"/>
    <cellStyle name="Millares 12 2 3 2 4" xfId="4312" xr:uid="{899DACD4-344C-4FA7-A138-09139D5D7044}"/>
    <cellStyle name="Millares 12 2 3 2 4 2" xfId="9166" xr:uid="{2B552F51-9825-4F06-B06A-D2DD8E625B10}"/>
    <cellStyle name="Millares 12 2 3 2 5" xfId="3099" xr:uid="{CC885655-F06B-48A7-810E-72DA84074057}"/>
    <cellStyle name="Millares 12 2 3 2 6" xfId="7955" xr:uid="{12D9392F-C55A-4C9A-912C-629620976886}"/>
    <cellStyle name="Millares 12 2 3 3" xfId="4918" xr:uid="{2AA4C92C-C8D2-4004-85CD-63D0609A1440}"/>
    <cellStyle name="Millares 12 2 3 3 2" xfId="9770" xr:uid="{0882073E-F7EB-4FD5-982F-9BEB75EF949E}"/>
    <cellStyle name="Millares 12 2 3 4" xfId="6131" xr:uid="{DBF25C65-79E4-403D-A0E9-2229D825EF12}"/>
    <cellStyle name="Millares 12 2 3 4 2" xfId="10981" xr:uid="{E295177C-2F01-4EDC-B807-24623C08EB1E}"/>
    <cellStyle name="Millares 12 2 3 5" xfId="3708" xr:uid="{2C4EBB36-C1E0-4DB5-B56F-933EE7B76AD4}"/>
    <cellStyle name="Millares 12 2 3 5 2" xfId="8562" xr:uid="{79BD2E15-5A63-43CD-A376-F75A490B7361}"/>
    <cellStyle name="Millares 12 2 3 6" xfId="2495" xr:uid="{80A31797-8BB7-487C-94C4-9CD37AE7E4E3}"/>
    <cellStyle name="Millares 12 2 3 7" xfId="7351" xr:uid="{ECA8E7CF-9672-43FD-AB73-0CAB66135509}"/>
    <cellStyle name="Millares 12 2 4" xfId="1874" xr:uid="{EA0B359E-86E2-4ECC-9391-DA66B4B1F259}"/>
    <cellStyle name="Millares 12 2 4 2" xfId="5519" xr:uid="{0B2E24E9-ED9D-422D-B4C0-73CD46717598}"/>
    <cellStyle name="Millares 12 2 4 2 2" xfId="10371" xr:uid="{38C40187-A0A0-4134-99AF-8CCEDBFFDBB2}"/>
    <cellStyle name="Millares 12 2 4 3" xfId="6735" xr:uid="{3003EF49-79EE-4ADA-8BF0-28B550FAEE80}"/>
    <cellStyle name="Millares 12 2 4 3 2" xfId="11583" xr:uid="{2A562737-8D5A-444A-8E42-865F77AB4403}"/>
    <cellStyle name="Millares 12 2 4 4" xfId="4309" xr:uid="{1457680C-62B8-4001-B4D2-26CFC96681D9}"/>
    <cellStyle name="Millares 12 2 4 4 2" xfId="9163" xr:uid="{4CFE0CBB-6456-44AF-8A9D-36C20D96623A}"/>
    <cellStyle name="Millares 12 2 4 5" xfId="3096" xr:uid="{45757B7F-5A53-4E37-80A1-53FBBE07DD11}"/>
    <cellStyle name="Millares 12 2 4 6" xfId="7952" xr:uid="{48BBA72E-CF14-48D3-8CF9-B314AC6BFE85}"/>
    <cellStyle name="Millares 12 2 5" xfId="4915" xr:uid="{B17184B6-057B-4945-AEB6-C8F6B9112D12}"/>
    <cellStyle name="Millares 12 2 5 2" xfId="9767" xr:uid="{C508CA33-1682-49D8-9670-DDACD345832F}"/>
    <cellStyle name="Millares 12 2 6" xfId="6128" xr:uid="{4BA78558-1792-4FFE-ADB9-518878434FCA}"/>
    <cellStyle name="Millares 12 2 6 2" xfId="10978" xr:uid="{448D13EB-BCCD-474C-A76E-82CE531E404E}"/>
    <cellStyle name="Millares 12 2 7" xfId="3705" xr:uid="{BA9B46C2-9C56-45A8-A80A-624879F5674C}"/>
    <cellStyle name="Millares 12 2 7 2" xfId="8559" xr:uid="{9EF9F758-4E27-41D8-B02C-2D32ECC1224E}"/>
    <cellStyle name="Millares 12 2 8" xfId="2492" xr:uid="{39D607B5-F83D-4FDE-A412-0963E9FE5E3D}"/>
    <cellStyle name="Millares 12 2 9" xfId="7348" xr:uid="{BD9EC959-AFEF-417B-9743-7B22AF16B439}"/>
    <cellStyle name="Millares 12 3" xfId="202" xr:uid="{D119CD1A-3562-4892-9B83-E3C17F068014}"/>
    <cellStyle name="Millares 12 3 2" xfId="203" xr:uid="{71ED8C29-3728-447C-8F5F-AA55DBD58099}"/>
    <cellStyle name="Millares 12 3 2 2" xfId="204" xr:uid="{21A0726E-C443-44EE-8910-BD3DA6489D0B}"/>
    <cellStyle name="Millares 12 3 2 2 2" xfId="1880" xr:uid="{747FA77D-2C97-4E03-9244-588CE8065826}"/>
    <cellStyle name="Millares 12 3 2 2 2 2" xfId="5525" xr:uid="{1102A1A1-EF57-422F-8AB2-98F71616496F}"/>
    <cellStyle name="Millares 12 3 2 2 2 2 2" xfId="10377" xr:uid="{0B9C231E-4725-47DD-B6F4-F1E852A879C2}"/>
    <cellStyle name="Millares 12 3 2 2 2 3" xfId="6741" xr:uid="{7FAFA2D1-B73B-4F1E-AA8B-CA42608379B1}"/>
    <cellStyle name="Millares 12 3 2 2 2 3 2" xfId="11589" xr:uid="{9F0B6DF3-D362-4876-872E-C495A91A14C8}"/>
    <cellStyle name="Millares 12 3 2 2 2 4" xfId="4315" xr:uid="{E7894677-F051-453A-A7DC-15E23D63248A}"/>
    <cellStyle name="Millares 12 3 2 2 2 4 2" xfId="9169" xr:uid="{C69A055E-61B0-4499-A0A8-FC5F32D9C745}"/>
    <cellStyle name="Millares 12 3 2 2 2 5" xfId="3102" xr:uid="{5FF1717E-E431-4717-A91F-B6992A01461D}"/>
    <cellStyle name="Millares 12 3 2 2 2 6" xfId="7958" xr:uid="{0E54B889-CE46-4222-88A5-DBC37E01DC5D}"/>
    <cellStyle name="Millares 12 3 2 2 3" xfId="4921" xr:uid="{43BCFF40-5685-4E55-B40C-8F7FDD518092}"/>
    <cellStyle name="Millares 12 3 2 2 3 2" xfId="9773" xr:uid="{B4E7D849-63D8-488E-B2A6-5DB0CC073D04}"/>
    <cellStyle name="Millares 12 3 2 2 4" xfId="6134" xr:uid="{FC99E104-E554-4848-9024-3F82D0FE2C7C}"/>
    <cellStyle name="Millares 12 3 2 2 4 2" xfId="10984" xr:uid="{1BA1E395-8650-4D87-9AA1-4C556F8C7A84}"/>
    <cellStyle name="Millares 12 3 2 2 5" xfId="3711" xr:uid="{DBD21D4B-0D2D-4B9F-9C17-501D870BBA24}"/>
    <cellStyle name="Millares 12 3 2 2 5 2" xfId="8565" xr:uid="{D74F5C98-D8E3-4C4E-80A8-2EA0783DBDB9}"/>
    <cellStyle name="Millares 12 3 2 2 6" xfId="2498" xr:uid="{D8B22878-6B76-489E-92C6-65C7854EB029}"/>
    <cellStyle name="Millares 12 3 2 2 7" xfId="7354" xr:uid="{9E92D075-3496-4CC3-8564-1799D8246ABB}"/>
    <cellStyle name="Millares 12 3 2 3" xfId="1879" xr:uid="{6625A91C-5015-4E1F-84DB-78D7A59FBDC1}"/>
    <cellStyle name="Millares 12 3 2 3 2" xfId="5524" xr:uid="{6C5FA9F1-11E0-4FBF-B9F3-51CE99A423A9}"/>
    <cellStyle name="Millares 12 3 2 3 2 2" xfId="10376" xr:uid="{EAA3784A-9BBD-43EC-9049-AA2465105DCD}"/>
    <cellStyle name="Millares 12 3 2 3 3" xfId="6740" xr:uid="{9207B569-515F-4580-A77C-4151A5DE7659}"/>
    <cellStyle name="Millares 12 3 2 3 3 2" xfId="11588" xr:uid="{44C7200E-AA34-49DF-950E-E5B588FFC048}"/>
    <cellStyle name="Millares 12 3 2 3 4" xfId="4314" xr:uid="{056A5183-0790-4DCA-B2AD-F48C2781D811}"/>
    <cellStyle name="Millares 12 3 2 3 4 2" xfId="9168" xr:uid="{0728A5AA-181A-4EBA-9088-97951295B1B4}"/>
    <cellStyle name="Millares 12 3 2 3 5" xfId="3101" xr:uid="{9B80C267-8B98-4D49-BA96-45A467B5D409}"/>
    <cellStyle name="Millares 12 3 2 3 6" xfId="7957" xr:uid="{810F8576-2421-422E-B013-4DF585AFA096}"/>
    <cellStyle name="Millares 12 3 2 4" xfId="4920" xr:uid="{0A1F1FDD-CC08-4454-A616-85E8DA42E248}"/>
    <cellStyle name="Millares 12 3 2 4 2" xfId="9772" xr:uid="{0D974AB4-2CE2-4117-B8AE-EAB770985440}"/>
    <cellStyle name="Millares 12 3 2 5" xfId="6133" xr:uid="{4BC275B6-F73B-4330-8F81-83AE9D69768C}"/>
    <cellStyle name="Millares 12 3 2 5 2" xfId="10983" xr:uid="{A8E6EA7B-ADDF-497A-BA9B-8E2D85E8376D}"/>
    <cellStyle name="Millares 12 3 2 6" xfId="3710" xr:uid="{47AAA41E-F3CC-42E3-92DC-183466CF8246}"/>
    <cellStyle name="Millares 12 3 2 6 2" xfId="8564" xr:uid="{12F4AF15-98BC-48EC-825C-D8F66EC9E532}"/>
    <cellStyle name="Millares 12 3 2 7" xfId="2497" xr:uid="{6C439F0B-D73F-4657-B829-7B0CE4C2F5A8}"/>
    <cellStyle name="Millares 12 3 2 8" xfId="7353" xr:uid="{458636ED-4E4D-4C2A-9A35-C037D1C50884}"/>
    <cellStyle name="Millares 12 3 3" xfId="205" xr:uid="{BD95F179-242F-4AD7-9FDF-B54D631B7D4F}"/>
    <cellStyle name="Millares 12 3 3 2" xfId="1881" xr:uid="{F0CFC3C1-F2F1-4A02-B640-0BB1E5F168A4}"/>
    <cellStyle name="Millares 12 3 3 2 2" xfId="5526" xr:uid="{D916BD18-3B92-44B8-A88F-6327BDEE6489}"/>
    <cellStyle name="Millares 12 3 3 2 2 2" xfId="10378" xr:uid="{DA5A3585-68DD-41AB-88CE-CB4B5AD78DA4}"/>
    <cellStyle name="Millares 12 3 3 2 3" xfId="6742" xr:uid="{7ED092E3-386D-4B06-8420-A199BB2CA43A}"/>
    <cellStyle name="Millares 12 3 3 2 3 2" xfId="11590" xr:uid="{D29BC1D5-7A91-48D3-A94C-D4F29E323D12}"/>
    <cellStyle name="Millares 12 3 3 2 4" xfId="4316" xr:uid="{32134523-62B3-4839-B14C-970C376E808B}"/>
    <cellStyle name="Millares 12 3 3 2 4 2" xfId="9170" xr:uid="{EF5A41C7-C351-4A9D-B5BA-E64831F99B59}"/>
    <cellStyle name="Millares 12 3 3 2 5" xfId="3103" xr:uid="{3E3169FB-2DC4-4CF0-A4F0-077C2CFB7D8A}"/>
    <cellStyle name="Millares 12 3 3 2 6" xfId="7959" xr:uid="{2BFA7DE0-622A-42A1-825D-17CF7B2CBCD2}"/>
    <cellStyle name="Millares 12 3 3 3" xfId="4922" xr:uid="{3B311C90-842F-419F-B4F2-D581C51B6525}"/>
    <cellStyle name="Millares 12 3 3 3 2" xfId="9774" xr:uid="{9BFB40D0-9CE8-4284-980B-88C1694CF4FF}"/>
    <cellStyle name="Millares 12 3 3 4" xfId="6135" xr:uid="{56FDA30C-1F0A-47F2-8AC3-6D65946C371E}"/>
    <cellStyle name="Millares 12 3 3 4 2" xfId="10985" xr:uid="{12190A9C-44D2-4BC3-B4B4-15BD1607DD19}"/>
    <cellStyle name="Millares 12 3 3 5" xfId="3712" xr:uid="{1ADD36FC-EE0D-436D-AC53-CB7A40E1BE5F}"/>
    <cellStyle name="Millares 12 3 3 5 2" xfId="8566" xr:uid="{544E178C-E545-4AD3-80CA-DAF56B0E8F52}"/>
    <cellStyle name="Millares 12 3 3 6" xfId="2499" xr:uid="{26E84581-44D5-4EFD-8D04-B2801794EAD2}"/>
    <cellStyle name="Millares 12 3 3 7" xfId="7355" xr:uid="{F1AC0F93-CF1D-4101-AA38-F5ACCE0A6601}"/>
    <cellStyle name="Millares 12 3 4" xfId="1878" xr:uid="{724F82FE-D1F3-40B0-BFB8-31EF04EC1148}"/>
    <cellStyle name="Millares 12 3 4 2" xfId="5523" xr:uid="{4CBE6118-30ED-4236-AE5A-C5229E52EDC1}"/>
    <cellStyle name="Millares 12 3 4 2 2" xfId="10375" xr:uid="{101E61C0-B6D4-4CE6-BFE7-2E8D9CB43571}"/>
    <cellStyle name="Millares 12 3 4 3" xfId="6739" xr:uid="{3C9623E3-8A01-434A-9C41-F9713F7273C4}"/>
    <cellStyle name="Millares 12 3 4 3 2" xfId="11587" xr:uid="{841094EA-8A83-434C-826D-5E0FFE8B1098}"/>
    <cellStyle name="Millares 12 3 4 4" xfId="4313" xr:uid="{D682D832-3449-4A5A-9A0C-3DE700518F86}"/>
    <cellStyle name="Millares 12 3 4 4 2" xfId="9167" xr:uid="{626687A3-43F3-4438-90C5-F601F770C4E6}"/>
    <cellStyle name="Millares 12 3 4 5" xfId="3100" xr:uid="{7DCE551B-5BDE-406D-B5A0-416F2A08B3FF}"/>
    <cellStyle name="Millares 12 3 4 6" xfId="7956" xr:uid="{1876F9F7-22CE-4A40-9A1D-EA582A6AF485}"/>
    <cellStyle name="Millares 12 3 5" xfId="4919" xr:uid="{3343448B-28C8-497A-A80C-7BD0462E2871}"/>
    <cellStyle name="Millares 12 3 5 2" xfId="9771" xr:uid="{87D075E1-BC60-485E-A309-2DDB2E292F09}"/>
    <cellStyle name="Millares 12 3 6" xfId="6132" xr:uid="{07A42102-5322-4B89-80A7-07CF2287B8B7}"/>
    <cellStyle name="Millares 12 3 6 2" xfId="10982" xr:uid="{E253FA52-8BB6-426E-98F4-D5C11E871070}"/>
    <cellStyle name="Millares 12 3 7" xfId="3709" xr:uid="{65652B6A-BB94-45E3-8974-AD73155FA393}"/>
    <cellStyle name="Millares 12 3 7 2" xfId="8563" xr:uid="{9BE1BEF7-238A-418B-811A-DC32582FC270}"/>
    <cellStyle name="Millares 12 3 8" xfId="2496" xr:uid="{4295AFB3-5D5C-4714-89BC-C0A1BF5A4146}"/>
    <cellStyle name="Millares 12 3 9" xfId="7352" xr:uid="{BE206F03-9D45-49BD-8077-258F79141B07}"/>
    <cellStyle name="Millares 12 4" xfId="206" xr:uid="{7C89B6BC-5B46-4D2D-8D85-5B43E449866D}"/>
    <cellStyle name="Millares 12 4 2" xfId="207" xr:uid="{6D51CC26-90DF-495D-8991-04642FC8AEE4}"/>
    <cellStyle name="Millares 12 4 2 2" xfId="1883" xr:uid="{492975E4-E027-4DAD-AB01-2E75FEBF73B2}"/>
    <cellStyle name="Millares 12 4 2 2 2" xfId="5528" xr:uid="{C89A6BE2-7C05-463B-8334-E9B5BEC939DF}"/>
    <cellStyle name="Millares 12 4 2 2 2 2" xfId="10380" xr:uid="{0BDAAA10-7614-47E5-80F8-164217A870BD}"/>
    <cellStyle name="Millares 12 4 2 2 3" xfId="6744" xr:uid="{34559A78-393C-4558-9ABD-FB7AF9386C6D}"/>
    <cellStyle name="Millares 12 4 2 2 3 2" xfId="11592" xr:uid="{A87E4986-D203-442D-B8A1-4C8E11D77A5B}"/>
    <cellStyle name="Millares 12 4 2 2 4" xfId="4318" xr:uid="{7DC1D85C-436C-477E-A293-C8583EAA694E}"/>
    <cellStyle name="Millares 12 4 2 2 4 2" xfId="9172" xr:uid="{1B33C0AE-AD69-44D6-A396-BCF798A4C749}"/>
    <cellStyle name="Millares 12 4 2 2 5" xfId="3105" xr:uid="{13C1D8BD-5E80-4EF5-B4EF-B3DA8230FB7B}"/>
    <cellStyle name="Millares 12 4 2 2 6" xfId="7961" xr:uid="{9908F85B-B699-4D38-8C21-FC3596F7F99B}"/>
    <cellStyle name="Millares 12 4 2 3" xfId="4924" xr:uid="{4BD751FC-E32C-4066-A97A-4D2B655F54BE}"/>
    <cellStyle name="Millares 12 4 2 3 2" xfId="9776" xr:uid="{E1F05393-2C9F-452A-AB86-A6C13B7672FB}"/>
    <cellStyle name="Millares 12 4 2 4" xfId="6137" xr:uid="{1E888AEF-EC8D-4653-B884-4BEF189B1A64}"/>
    <cellStyle name="Millares 12 4 2 4 2" xfId="10987" xr:uid="{E27D0D7C-23A7-41D1-A565-0DAFA6E01CEB}"/>
    <cellStyle name="Millares 12 4 2 5" xfId="3714" xr:uid="{386DD427-1F2C-4865-BD6A-CBFD6720A64F}"/>
    <cellStyle name="Millares 12 4 2 5 2" xfId="8568" xr:uid="{7F70C511-C5FC-4B85-B016-8B048E5C7CDC}"/>
    <cellStyle name="Millares 12 4 2 6" xfId="2501" xr:uid="{5993109F-C5EA-41F5-B23C-39CB99CFF3F6}"/>
    <cellStyle name="Millares 12 4 2 7" xfId="7357" xr:uid="{895C7104-5EEC-4273-B6C4-57CA9BDC79EA}"/>
    <cellStyle name="Millares 12 4 3" xfId="1882" xr:uid="{14E403BF-8537-4DE8-96D2-F1F2825C9C1A}"/>
    <cellStyle name="Millares 12 4 3 2" xfId="5527" xr:uid="{C8B5061F-0EC3-4A5D-8218-DA7F4BE2747B}"/>
    <cellStyle name="Millares 12 4 3 2 2" xfId="10379" xr:uid="{D8630CF4-F738-4067-BDBE-79C011684245}"/>
    <cellStyle name="Millares 12 4 3 3" xfId="6743" xr:uid="{3B42F035-AC85-49AC-B056-CE510430AB8E}"/>
    <cellStyle name="Millares 12 4 3 3 2" xfId="11591" xr:uid="{599E4EB2-49E2-45DE-BE6B-847EFB42F9D9}"/>
    <cellStyle name="Millares 12 4 3 4" xfId="4317" xr:uid="{0A544925-BFE0-431F-B2D2-8C34422D490B}"/>
    <cellStyle name="Millares 12 4 3 4 2" xfId="9171" xr:uid="{A6F544A1-E281-4C13-9F2B-BECCAD0A8265}"/>
    <cellStyle name="Millares 12 4 3 5" xfId="3104" xr:uid="{E6AE0831-27AD-4A78-865F-106E698FEA4E}"/>
    <cellStyle name="Millares 12 4 3 6" xfId="7960" xr:uid="{54E2B152-2E3E-4AE7-A984-1D2685762744}"/>
    <cellStyle name="Millares 12 4 4" xfId="4923" xr:uid="{659C7000-EAA3-4E89-A8DE-21D674AC8EDD}"/>
    <cellStyle name="Millares 12 4 4 2" xfId="9775" xr:uid="{579410FF-6CD5-42F2-B560-73C695DCF239}"/>
    <cellStyle name="Millares 12 4 5" xfId="6136" xr:uid="{917E5E06-E398-4980-8DCF-66068AD54A9F}"/>
    <cellStyle name="Millares 12 4 5 2" xfId="10986" xr:uid="{323F8C93-7103-47F7-B83A-C340B361CFDD}"/>
    <cellStyle name="Millares 12 4 6" xfId="3713" xr:uid="{1481EF49-75AA-4F43-9EE0-AAA354651EFD}"/>
    <cellStyle name="Millares 12 4 6 2" xfId="8567" xr:uid="{1D40E980-FDD4-4ADE-805F-C79683412522}"/>
    <cellStyle name="Millares 12 4 7" xfId="2500" xr:uid="{84C30C66-A77A-4263-ABC4-9D6D64F3A8A1}"/>
    <cellStyle name="Millares 12 4 8" xfId="7356" xr:uid="{4642304C-4D87-49F7-8F57-997797DC1614}"/>
    <cellStyle name="Millares 12 5" xfId="208" xr:uid="{BD4E24D9-0169-48E9-AD60-15949A2F0CA6}"/>
    <cellStyle name="Millares 12 5 2" xfId="1884" xr:uid="{981699C9-6CD6-4DDE-9B4D-D1BBBA7C858C}"/>
    <cellStyle name="Millares 12 5 2 2" xfId="5529" xr:uid="{545AAE8B-BA7A-486B-8A44-26CBFABBE6F2}"/>
    <cellStyle name="Millares 12 5 2 2 2" xfId="10381" xr:uid="{4ACEFE40-202D-45AA-9A11-78C47F8A425E}"/>
    <cellStyle name="Millares 12 5 2 3" xfId="6745" xr:uid="{D197BC75-604D-419B-BCFE-CD859557BC9D}"/>
    <cellStyle name="Millares 12 5 2 3 2" xfId="11593" xr:uid="{2EF3C2BE-6697-4D79-B029-17E309A8A523}"/>
    <cellStyle name="Millares 12 5 2 4" xfId="4319" xr:uid="{005326D8-D161-4AEC-BBD8-0CC04B434348}"/>
    <cellStyle name="Millares 12 5 2 4 2" xfId="9173" xr:uid="{872F3195-799B-431D-AAA4-8D111D8199F1}"/>
    <cellStyle name="Millares 12 5 2 5" xfId="3106" xr:uid="{E576071F-5768-4DE9-869D-889855AB8D92}"/>
    <cellStyle name="Millares 12 5 2 6" xfId="7962" xr:uid="{DFA0CE28-8B74-4CEB-B3F5-620A94E02EE7}"/>
    <cellStyle name="Millares 12 5 3" xfId="4925" xr:uid="{9D5CD3C5-1455-436A-9BA7-03365BDC8DD1}"/>
    <cellStyle name="Millares 12 5 3 2" xfId="9777" xr:uid="{426378D8-5B78-4951-907A-706579BD4654}"/>
    <cellStyle name="Millares 12 5 4" xfId="6138" xr:uid="{91498970-7838-4856-9943-E0625B747386}"/>
    <cellStyle name="Millares 12 5 4 2" xfId="10988" xr:uid="{7D3DB6A3-E909-4303-89FC-A649D738A68C}"/>
    <cellStyle name="Millares 12 5 5" xfId="3715" xr:uid="{5337A919-3B21-4D06-B659-3297BA44DFD8}"/>
    <cellStyle name="Millares 12 5 5 2" xfId="8569" xr:uid="{1692BC87-E9EB-40A1-831A-350DB6C75A49}"/>
    <cellStyle name="Millares 12 5 6" xfId="2502" xr:uid="{79E638A7-40D9-4EE0-804A-702FB6527266}"/>
    <cellStyle name="Millares 12 5 7" xfId="7358" xr:uid="{923C04AA-82A5-474E-B950-108848E3FBDD}"/>
    <cellStyle name="Millares 12 6" xfId="1873" xr:uid="{22275219-912B-4485-AD53-8887008B25DD}"/>
    <cellStyle name="Millares 12 6 2" xfId="5518" xr:uid="{788316EE-B875-42EE-9003-667E0A95B922}"/>
    <cellStyle name="Millares 12 6 2 2" xfId="10370" xr:uid="{E3660575-3538-40E3-B9AB-42CE446AE657}"/>
    <cellStyle name="Millares 12 6 3" xfId="6734" xr:uid="{D8B1B755-4ECB-4FAD-AA57-502780DE4936}"/>
    <cellStyle name="Millares 12 6 3 2" xfId="11582" xr:uid="{68B84427-678A-4C61-98E2-8ED79EA4F42A}"/>
    <cellStyle name="Millares 12 6 4" xfId="4308" xr:uid="{65521259-7422-4B3E-8E8E-9219E073B927}"/>
    <cellStyle name="Millares 12 6 4 2" xfId="9162" xr:uid="{78B9DC1D-ADCC-4B4B-8D13-690B9250328A}"/>
    <cellStyle name="Millares 12 6 5" xfId="3095" xr:uid="{D82EEA01-5801-45A6-B268-F66EB39D4B14}"/>
    <cellStyle name="Millares 12 6 6" xfId="7951" xr:uid="{EBEE63F2-6216-491F-983F-71D8FAD966BF}"/>
    <cellStyle name="Millares 12 7" xfId="4914" xr:uid="{5E5D24EF-0FC1-4C58-A2B3-A2BE4FE618B6}"/>
    <cellStyle name="Millares 12 7 2" xfId="9766" xr:uid="{42D7B2B7-7C72-4F95-8143-4848A6369B2C}"/>
    <cellStyle name="Millares 12 8" xfId="6127" xr:uid="{E882BC87-3618-4AC2-A3CB-05456BCD75D6}"/>
    <cellStyle name="Millares 12 8 2" xfId="10977" xr:uid="{C7090143-AD62-42F9-AF26-BFCBC401F898}"/>
    <cellStyle name="Millares 12 9" xfId="3704" xr:uid="{AAE85E3B-27B6-4768-9D49-0280C99C7E7D}"/>
    <cellStyle name="Millares 12 9 2" xfId="8558" xr:uid="{60686DF4-4974-4D7F-A3C2-2D2ABEE960E3}"/>
    <cellStyle name="Millares 13" xfId="209" xr:uid="{23C70AB5-77A2-435B-986E-8CC7CE472D29}"/>
    <cellStyle name="Millares 13 10" xfId="2503" xr:uid="{11C561BB-F948-48D7-86ED-B0DEC7705E1E}"/>
    <cellStyle name="Millares 13 11" xfId="7359" xr:uid="{2BF04750-0B06-42E7-8C86-AA8925DABB99}"/>
    <cellStyle name="Millares 13 2" xfId="210" xr:uid="{029FC42C-7678-440E-8FE7-03B242239850}"/>
    <cellStyle name="Millares 13 2 2" xfId="211" xr:uid="{1C8D71D1-722F-4419-A137-264D5214A542}"/>
    <cellStyle name="Millares 13 2 2 2" xfId="212" xr:uid="{F49DC444-0D45-4E10-AF4F-762821181EF6}"/>
    <cellStyle name="Millares 13 2 2 2 2" xfId="1888" xr:uid="{050C7C74-83C1-4A6D-9D98-21A470F32D21}"/>
    <cellStyle name="Millares 13 2 2 2 2 2" xfId="5533" xr:uid="{390CB1F0-EDFF-4CC4-842C-97C2CEDA4A84}"/>
    <cellStyle name="Millares 13 2 2 2 2 2 2" xfId="10385" xr:uid="{863B7EA7-0DE3-458D-A7CD-4C5214B4F9B9}"/>
    <cellStyle name="Millares 13 2 2 2 2 3" xfId="6749" xr:uid="{A005019D-F53F-4F74-8A8C-F091E5C1DD4F}"/>
    <cellStyle name="Millares 13 2 2 2 2 3 2" xfId="11597" xr:uid="{3C78408F-6FEF-49D6-8D2D-F5A10AA95EDC}"/>
    <cellStyle name="Millares 13 2 2 2 2 4" xfId="4323" xr:uid="{06FAF6BA-9ACF-47F2-8A7E-C1D57E02231C}"/>
    <cellStyle name="Millares 13 2 2 2 2 4 2" xfId="9177" xr:uid="{00FB7FE3-00AA-4434-A52F-60FCCAAABC2C}"/>
    <cellStyle name="Millares 13 2 2 2 2 5" xfId="3110" xr:uid="{294A68DA-6A15-47DA-822E-CA819630734C}"/>
    <cellStyle name="Millares 13 2 2 2 2 6" xfId="7966" xr:uid="{F9FB53BC-6ED7-4418-BA49-871CB1445F50}"/>
    <cellStyle name="Millares 13 2 2 2 3" xfId="4929" xr:uid="{B2F2AAB3-7099-4BE1-8D65-F3542AA054A2}"/>
    <cellStyle name="Millares 13 2 2 2 3 2" xfId="9781" xr:uid="{CBEA09C8-727E-4193-8467-2E928914AEFF}"/>
    <cellStyle name="Millares 13 2 2 2 4" xfId="6142" xr:uid="{507D66D1-E80C-43C8-8B3E-5CBA905A95BA}"/>
    <cellStyle name="Millares 13 2 2 2 4 2" xfId="10992" xr:uid="{F0954164-C3F8-42FD-9582-65DAD608805F}"/>
    <cellStyle name="Millares 13 2 2 2 5" xfId="3719" xr:uid="{C0AC4ABB-82FE-4B68-8DE9-E59DA26DE6C9}"/>
    <cellStyle name="Millares 13 2 2 2 5 2" xfId="8573" xr:uid="{4B0C5E3C-6108-4C10-A846-18F12ADF3EC6}"/>
    <cellStyle name="Millares 13 2 2 2 6" xfId="2506" xr:uid="{4A7FD669-9D66-488F-8662-B6B29AEF0B38}"/>
    <cellStyle name="Millares 13 2 2 2 7" xfId="7362" xr:uid="{5B6791F2-CA72-486C-B582-31DF5A53AFB0}"/>
    <cellStyle name="Millares 13 2 2 3" xfId="1887" xr:uid="{E07EA6EF-2F0D-4865-8D36-7A46DE35ABE3}"/>
    <cellStyle name="Millares 13 2 2 3 2" xfId="5532" xr:uid="{9BD8C7BD-1B24-4D07-B020-46F2C4B4DCE1}"/>
    <cellStyle name="Millares 13 2 2 3 2 2" xfId="10384" xr:uid="{FAE7DF0A-3A53-4C8A-A552-C5CBB8D975CB}"/>
    <cellStyle name="Millares 13 2 2 3 3" xfId="6748" xr:uid="{E25A4711-175E-4630-8642-4C534EA23D9A}"/>
    <cellStyle name="Millares 13 2 2 3 3 2" xfId="11596" xr:uid="{C3D7AD6B-67E8-4FEA-A081-6BD606B87DF2}"/>
    <cellStyle name="Millares 13 2 2 3 4" xfId="4322" xr:uid="{1B35D62D-BC45-4516-8B89-8C1C81120796}"/>
    <cellStyle name="Millares 13 2 2 3 4 2" xfId="9176" xr:uid="{5E1B796F-EB22-4E93-A275-83EF674BFA15}"/>
    <cellStyle name="Millares 13 2 2 3 5" xfId="3109" xr:uid="{F87E197E-335F-4289-816E-C0D162BA91EA}"/>
    <cellStyle name="Millares 13 2 2 3 6" xfId="7965" xr:uid="{A44664EF-38B0-48F4-AE34-5993EC95AAF7}"/>
    <cellStyle name="Millares 13 2 2 4" xfId="4928" xr:uid="{6FC8E3E5-CEBB-4D76-8E50-214251203A80}"/>
    <cellStyle name="Millares 13 2 2 4 2" xfId="9780" xr:uid="{0BDAECD1-9059-47A2-B6F8-9E2995ABEF9D}"/>
    <cellStyle name="Millares 13 2 2 5" xfId="6141" xr:uid="{8E3D146B-2CBB-41D9-914A-0F2CB66162FB}"/>
    <cellStyle name="Millares 13 2 2 5 2" xfId="10991" xr:uid="{272CA775-FF76-4E4F-BFE4-76EE7D3F4EBB}"/>
    <cellStyle name="Millares 13 2 2 6" xfId="3718" xr:uid="{830CEB22-77AA-4D90-9900-DE02679A03B5}"/>
    <cellStyle name="Millares 13 2 2 6 2" xfId="8572" xr:uid="{85AB6484-57E2-4080-B2C1-F04577AD4126}"/>
    <cellStyle name="Millares 13 2 2 7" xfId="2505" xr:uid="{62B49891-BC40-4227-9E38-905B235FD210}"/>
    <cellStyle name="Millares 13 2 2 8" xfId="7361" xr:uid="{3BA0AC7C-5C3C-43B9-9CB9-418EAB70B939}"/>
    <cellStyle name="Millares 13 2 3" xfId="213" xr:uid="{52A47CE3-18AB-486F-B03F-2161472BC106}"/>
    <cellStyle name="Millares 13 2 3 2" xfId="1889" xr:uid="{F8D5C430-1C98-4556-BBB5-1BC02691D35E}"/>
    <cellStyle name="Millares 13 2 3 2 2" xfId="5534" xr:uid="{E27CCE28-8B06-4ED7-ABA7-4925125C0CF0}"/>
    <cellStyle name="Millares 13 2 3 2 2 2" xfId="10386" xr:uid="{28530D63-E460-441A-B7AD-3F0696641ACC}"/>
    <cellStyle name="Millares 13 2 3 2 3" xfId="6750" xr:uid="{E26BDB76-69ED-49F6-A50A-8AD6B3B3E843}"/>
    <cellStyle name="Millares 13 2 3 2 3 2" xfId="11598" xr:uid="{FD0DF116-B6E0-43CB-8FB7-BC42A19E2C2B}"/>
    <cellStyle name="Millares 13 2 3 2 4" xfId="4324" xr:uid="{E4587A2D-EBF5-4BD1-8F1D-4D222307FEEE}"/>
    <cellStyle name="Millares 13 2 3 2 4 2" xfId="9178" xr:uid="{F34DBE88-F1DD-4E8C-9BE9-C0264FAE81FF}"/>
    <cellStyle name="Millares 13 2 3 2 5" xfId="3111" xr:uid="{3D14EF3A-016F-4E74-8B73-3B569589A064}"/>
    <cellStyle name="Millares 13 2 3 2 6" xfId="7967" xr:uid="{64BFE739-93E0-4ECC-B92E-31B91AD02E9A}"/>
    <cellStyle name="Millares 13 2 3 3" xfId="4930" xr:uid="{E90C4D8F-068A-4303-8250-C0F2D70C6B43}"/>
    <cellStyle name="Millares 13 2 3 3 2" xfId="9782" xr:uid="{CD1EDB33-A581-4D01-B946-493751EC7FCE}"/>
    <cellStyle name="Millares 13 2 3 4" xfId="6143" xr:uid="{70E353C5-3844-4621-BF34-934B790DEEA3}"/>
    <cellStyle name="Millares 13 2 3 4 2" xfId="10993" xr:uid="{D06927F3-69F6-410E-9AC8-A023BB50AFB6}"/>
    <cellStyle name="Millares 13 2 3 5" xfId="3720" xr:uid="{75B5D863-8FFD-4482-8171-98C2C526E9B2}"/>
    <cellStyle name="Millares 13 2 3 5 2" xfId="8574" xr:uid="{B7C3E143-F7F5-44DC-8C8F-65DF410DB024}"/>
    <cellStyle name="Millares 13 2 3 6" xfId="2507" xr:uid="{512A35A2-E37D-4C41-92BB-0AA1B398DE51}"/>
    <cellStyle name="Millares 13 2 3 7" xfId="7363" xr:uid="{CB665F61-7C49-4FFC-8C09-2ECAE7E7924F}"/>
    <cellStyle name="Millares 13 2 4" xfId="1886" xr:uid="{0E1FE9CC-5FA6-4D16-B5A1-CA2023240EB5}"/>
    <cellStyle name="Millares 13 2 4 2" xfId="5531" xr:uid="{A7B23126-4F46-4C5F-9B00-5796FF24E124}"/>
    <cellStyle name="Millares 13 2 4 2 2" xfId="10383" xr:uid="{9CB8B3C7-102F-4220-9CC2-0820C2DD84BA}"/>
    <cellStyle name="Millares 13 2 4 3" xfId="6747" xr:uid="{11BAE38E-C317-4A8D-9A8C-78148D83DC92}"/>
    <cellStyle name="Millares 13 2 4 3 2" xfId="11595" xr:uid="{F353FF88-D374-41C0-AEF0-6C5A2A0414DA}"/>
    <cellStyle name="Millares 13 2 4 4" xfId="4321" xr:uid="{7923155D-3702-4629-8ECB-C09A7EC79031}"/>
    <cellStyle name="Millares 13 2 4 4 2" xfId="9175" xr:uid="{5B33332A-BAED-4F46-9C93-F2D0EF44375A}"/>
    <cellStyle name="Millares 13 2 4 5" xfId="3108" xr:uid="{D8B7B75B-8644-4198-A6A7-C305C2D340C5}"/>
    <cellStyle name="Millares 13 2 4 6" xfId="7964" xr:uid="{C27A3A2A-ABC6-46E7-B151-18A32019D731}"/>
    <cellStyle name="Millares 13 2 5" xfId="4927" xr:uid="{E86FB700-98EE-4DB2-AD2D-B57BB72B5D90}"/>
    <cellStyle name="Millares 13 2 5 2" xfId="9779" xr:uid="{C2DA553D-08EF-4211-AD62-B51C00C3B8E5}"/>
    <cellStyle name="Millares 13 2 6" xfId="6140" xr:uid="{07B0AA54-AC56-4B97-890F-9CE58495874C}"/>
    <cellStyle name="Millares 13 2 6 2" xfId="10990" xr:uid="{84192662-8133-4F4E-913B-37C4ABB5C895}"/>
    <cellStyle name="Millares 13 2 7" xfId="3717" xr:uid="{69C1A2B1-ADB9-4557-865C-E01EEF111405}"/>
    <cellStyle name="Millares 13 2 7 2" xfId="8571" xr:uid="{A2E04772-589B-4E31-A930-FC0C76DC2790}"/>
    <cellStyle name="Millares 13 2 8" xfId="2504" xr:uid="{9A4666E3-8035-4086-9363-A86FF7BE2E4A}"/>
    <cellStyle name="Millares 13 2 9" xfId="7360" xr:uid="{1D2CFF68-A236-470D-B27A-E4B68D2F0D9C}"/>
    <cellStyle name="Millares 13 3" xfId="214" xr:uid="{78B89305-8AE1-44F0-AB7F-D2E9FF33E8DA}"/>
    <cellStyle name="Millares 13 3 2" xfId="215" xr:uid="{5554AF03-CC9F-410E-954C-81123C24B0FF}"/>
    <cellStyle name="Millares 13 3 2 2" xfId="216" xr:uid="{9185ECBB-8EA0-40E6-8DCC-64EB7640BD77}"/>
    <cellStyle name="Millares 13 3 2 2 2" xfId="1892" xr:uid="{A3F47BDD-8DE7-4AC7-B433-6465A2138A15}"/>
    <cellStyle name="Millares 13 3 2 2 2 2" xfId="5537" xr:uid="{43F6602D-BA6C-4E6C-8C9A-A01DDB13A866}"/>
    <cellStyle name="Millares 13 3 2 2 2 2 2" xfId="10389" xr:uid="{02858E20-68BC-48F9-9944-FC111ED4E85D}"/>
    <cellStyle name="Millares 13 3 2 2 2 3" xfId="6753" xr:uid="{17EA5896-BD2C-493F-8666-C721FD862465}"/>
    <cellStyle name="Millares 13 3 2 2 2 3 2" xfId="11601" xr:uid="{9C59C029-BDEE-406D-AE4E-72A9C811DC6C}"/>
    <cellStyle name="Millares 13 3 2 2 2 4" xfId="4327" xr:uid="{0B1CBCFD-776A-4B38-8A66-59AFC5E47F4C}"/>
    <cellStyle name="Millares 13 3 2 2 2 4 2" xfId="9181" xr:uid="{346C098C-7F9B-4ED2-9949-38EA76AD4125}"/>
    <cellStyle name="Millares 13 3 2 2 2 5" xfId="3114" xr:uid="{32B6F135-E508-4CD0-BE3E-84D29645FB7A}"/>
    <cellStyle name="Millares 13 3 2 2 2 6" xfId="7970" xr:uid="{45638EEA-2A0A-4CA9-8AA8-D8315108B4A5}"/>
    <cellStyle name="Millares 13 3 2 2 3" xfId="4933" xr:uid="{8A8EFBD9-2594-42A6-843E-30FB939DD551}"/>
    <cellStyle name="Millares 13 3 2 2 3 2" xfId="9785" xr:uid="{261B4BB8-D3B1-4070-9997-58B15022CF55}"/>
    <cellStyle name="Millares 13 3 2 2 4" xfId="6146" xr:uid="{7446F473-E7AD-4AA9-A361-014866AC5F26}"/>
    <cellStyle name="Millares 13 3 2 2 4 2" xfId="10996" xr:uid="{5948DF4B-F51A-48AD-B1D3-4C76E8789E22}"/>
    <cellStyle name="Millares 13 3 2 2 5" xfId="3723" xr:uid="{103A7074-7A69-4BE2-A420-96C755E5315D}"/>
    <cellStyle name="Millares 13 3 2 2 5 2" xfId="8577" xr:uid="{BD9FC95A-2BED-4BFE-A673-E971C60D5F6B}"/>
    <cellStyle name="Millares 13 3 2 2 6" xfId="2510" xr:uid="{2FCE6D2E-64D9-4219-9475-8C622905B1D7}"/>
    <cellStyle name="Millares 13 3 2 2 7" xfId="7366" xr:uid="{0EEDADA0-9F98-45AE-84A4-3F95E733EB80}"/>
    <cellStyle name="Millares 13 3 2 3" xfId="1891" xr:uid="{95B53E7A-CB81-4F0D-ACFB-5C5691A9E8F9}"/>
    <cellStyle name="Millares 13 3 2 3 2" xfId="5536" xr:uid="{6C004E57-D04B-4331-8415-36657B45C382}"/>
    <cellStyle name="Millares 13 3 2 3 2 2" xfId="10388" xr:uid="{75AC5E37-FE79-4027-B53A-37C8C1A914A8}"/>
    <cellStyle name="Millares 13 3 2 3 3" xfId="6752" xr:uid="{6B911516-0C39-47BB-9716-6751F7C7535D}"/>
    <cellStyle name="Millares 13 3 2 3 3 2" xfId="11600" xr:uid="{5BDE9691-5119-438C-BAFE-A8DA3FCB5B0A}"/>
    <cellStyle name="Millares 13 3 2 3 4" xfId="4326" xr:uid="{B1FCF31E-F159-4DBC-996A-5A037B516521}"/>
    <cellStyle name="Millares 13 3 2 3 4 2" xfId="9180" xr:uid="{B9D82E85-9A52-4611-80C5-55EBA4570A89}"/>
    <cellStyle name="Millares 13 3 2 3 5" xfId="3113" xr:uid="{269471F7-9E58-4868-AF2F-030A5074AAF1}"/>
    <cellStyle name="Millares 13 3 2 3 6" xfId="7969" xr:uid="{00E0EA92-7448-4FF3-B7A7-A59BFFD0F338}"/>
    <cellStyle name="Millares 13 3 2 4" xfId="4932" xr:uid="{F3EBFBA7-F331-47BF-9FD5-CC9059B6A226}"/>
    <cellStyle name="Millares 13 3 2 4 2" xfId="9784" xr:uid="{A5E80389-0D7E-4748-934A-0AA2ED536780}"/>
    <cellStyle name="Millares 13 3 2 5" xfId="6145" xr:uid="{124630E7-8724-4165-8EEB-22E1EF71D33D}"/>
    <cellStyle name="Millares 13 3 2 5 2" xfId="10995" xr:uid="{9F1CC785-2CE9-4E78-B385-53DC4E459CAD}"/>
    <cellStyle name="Millares 13 3 2 6" xfId="3722" xr:uid="{41AFD5FF-E326-4E62-BD94-91FAFD97CF3D}"/>
    <cellStyle name="Millares 13 3 2 6 2" xfId="8576" xr:uid="{1BE986EA-B64F-499E-A07D-E0D502D10A49}"/>
    <cellStyle name="Millares 13 3 2 7" xfId="2509" xr:uid="{1A3AF0F4-75BC-4342-9925-5E3A97704E95}"/>
    <cellStyle name="Millares 13 3 2 8" xfId="7365" xr:uid="{C77F0DD6-62C3-40BF-8F9F-AC665E6C8F4A}"/>
    <cellStyle name="Millares 13 3 3" xfId="217" xr:uid="{EC41E0D7-4E9F-422C-BAA5-CBCB0B77BBBB}"/>
    <cellStyle name="Millares 13 3 3 2" xfId="1893" xr:uid="{746C5E41-22AF-4FB4-83DA-0AAB9C6205ED}"/>
    <cellStyle name="Millares 13 3 3 2 2" xfId="5538" xr:uid="{461D72C7-9780-4493-B934-187C71089E44}"/>
    <cellStyle name="Millares 13 3 3 2 2 2" xfId="10390" xr:uid="{62EC619D-5993-474A-9C61-FB6DFBF36CF6}"/>
    <cellStyle name="Millares 13 3 3 2 3" xfId="6754" xr:uid="{8E73A9B6-89CA-4B36-9AAA-5801C2FE1EAC}"/>
    <cellStyle name="Millares 13 3 3 2 3 2" xfId="11602" xr:uid="{D4D86E68-F1B4-4048-A253-B9D6D4AEA33B}"/>
    <cellStyle name="Millares 13 3 3 2 4" xfId="4328" xr:uid="{55CCEF79-E74C-43A1-BAAD-D325BFB19D67}"/>
    <cellStyle name="Millares 13 3 3 2 4 2" xfId="9182" xr:uid="{FCCE95C5-05DE-47F0-9C97-A19179CCB85D}"/>
    <cellStyle name="Millares 13 3 3 2 5" xfId="3115" xr:uid="{6D11E886-50BD-4B6B-97AF-DA84510E5763}"/>
    <cellStyle name="Millares 13 3 3 2 6" xfId="7971" xr:uid="{30A4FD0C-423C-4C3B-B2BC-0F26225C285D}"/>
    <cellStyle name="Millares 13 3 3 3" xfId="4934" xr:uid="{A4A9B6D3-B58D-4320-95CB-8006132B3934}"/>
    <cellStyle name="Millares 13 3 3 3 2" xfId="9786" xr:uid="{A6F3A5B3-03A1-4361-9071-EFBBAC3A1EED}"/>
    <cellStyle name="Millares 13 3 3 4" xfId="6147" xr:uid="{29E0FD76-D88B-4EB7-991F-BA4132A3AB48}"/>
    <cellStyle name="Millares 13 3 3 4 2" xfId="10997" xr:uid="{641C4485-B136-47D0-A34F-BC9105E8D05B}"/>
    <cellStyle name="Millares 13 3 3 5" xfId="3724" xr:uid="{E68F94AE-CEBD-421E-BF40-CA1C89138497}"/>
    <cellStyle name="Millares 13 3 3 5 2" xfId="8578" xr:uid="{08D95C35-B3C8-472E-9779-07D9221AEADC}"/>
    <cellStyle name="Millares 13 3 3 6" xfId="2511" xr:uid="{BD471A81-F9A1-4A78-9180-12EF8683926D}"/>
    <cellStyle name="Millares 13 3 3 7" xfId="7367" xr:uid="{8AEDC499-6C6C-42F7-8711-38DB5A68C51D}"/>
    <cellStyle name="Millares 13 3 4" xfId="1890" xr:uid="{6BDD1391-547E-4741-98A3-6B8AE3C33802}"/>
    <cellStyle name="Millares 13 3 4 2" xfId="5535" xr:uid="{82E45DFE-35BE-4E2E-B7E8-A5D8AC517F8D}"/>
    <cellStyle name="Millares 13 3 4 2 2" xfId="10387" xr:uid="{84D2E53D-F515-43E7-8AC2-2D7739A499EF}"/>
    <cellStyle name="Millares 13 3 4 3" xfId="6751" xr:uid="{AA9980B3-AB0E-411F-A236-BFD20A3C55CE}"/>
    <cellStyle name="Millares 13 3 4 3 2" xfId="11599" xr:uid="{C325184D-BABB-4FD4-872F-6EC142FBC58E}"/>
    <cellStyle name="Millares 13 3 4 4" xfId="4325" xr:uid="{5117B6EE-A7F7-4ED9-B64A-72A44FA1CB7C}"/>
    <cellStyle name="Millares 13 3 4 4 2" xfId="9179" xr:uid="{F55169AC-63A6-41EE-AA07-AC121C6373F6}"/>
    <cellStyle name="Millares 13 3 4 5" xfId="3112" xr:uid="{B062AB52-D22D-4CFA-BCA5-B22FE6C4CE6A}"/>
    <cellStyle name="Millares 13 3 4 6" xfId="7968" xr:uid="{43C0BA52-E4BF-4ED1-B9B0-C2D86B88997E}"/>
    <cellStyle name="Millares 13 3 5" xfId="4931" xr:uid="{5F0470E2-13AF-43AC-B92C-83F0F4E66E52}"/>
    <cellStyle name="Millares 13 3 5 2" xfId="9783" xr:uid="{49028F06-3FF6-4231-BD88-E11B4FB28A1E}"/>
    <cellStyle name="Millares 13 3 6" xfId="6144" xr:uid="{66654EF3-3482-496A-A2CF-2B826800080F}"/>
    <cellStyle name="Millares 13 3 6 2" xfId="10994" xr:uid="{6AACB933-7691-429E-8F9E-BDE3F7780FC4}"/>
    <cellStyle name="Millares 13 3 7" xfId="3721" xr:uid="{E7BE40DE-B8CA-4765-B897-5D84037C8F75}"/>
    <cellStyle name="Millares 13 3 7 2" xfId="8575" xr:uid="{566F10C0-1372-4A31-A2DD-D22D40A6C9D0}"/>
    <cellStyle name="Millares 13 3 8" xfId="2508" xr:uid="{15F08E67-01E6-48A0-964B-D3BC212C3AF5}"/>
    <cellStyle name="Millares 13 3 9" xfId="7364" xr:uid="{98CD133C-CD0D-42F8-936B-F8928FD56A3C}"/>
    <cellStyle name="Millares 13 4" xfId="218" xr:uid="{7BA7D471-18EF-44E2-95B5-EC822D7F100E}"/>
    <cellStyle name="Millares 13 4 2" xfId="219" xr:uid="{937A805A-5DC7-4430-A02B-276E83E5A956}"/>
    <cellStyle name="Millares 13 4 2 2" xfId="1895" xr:uid="{DD37CE1E-3B5A-4B88-9A32-B16F16583B40}"/>
    <cellStyle name="Millares 13 4 2 2 2" xfId="5540" xr:uid="{7DB2AEFF-26C8-42B4-A780-89F08D042774}"/>
    <cellStyle name="Millares 13 4 2 2 2 2" xfId="10392" xr:uid="{EB3F95C8-651C-43B8-B713-FCAE98E484A0}"/>
    <cellStyle name="Millares 13 4 2 2 3" xfId="6756" xr:uid="{B534389C-3E22-4010-90FB-2E74F3B966B2}"/>
    <cellStyle name="Millares 13 4 2 2 3 2" xfId="11604" xr:uid="{0BA8FC78-08F6-4E37-B9C2-CFB29DCEB314}"/>
    <cellStyle name="Millares 13 4 2 2 4" xfId="4330" xr:uid="{D8C3DB29-223C-47A2-BBAB-45B6AD787F7A}"/>
    <cellStyle name="Millares 13 4 2 2 4 2" xfId="9184" xr:uid="{DC728739-FF5A-465B-8057-41C6FB725CDF}"/>
    <cellStyle name="Millares 13 4 2 2 5" xfId="3117" xr:uid="{CA3BB21B-B89A-4F9F-9D06-FC4F5A21CED0}"/>
    <cellStyle name="Millares 13 4 2 2 6" xfId="7973" xr:uid="{AA689D24-7A6F-421F-9677-406F62CF4989}"/>
    <cellStyle name="Millares 13 4 2 3" xfId="4936" xr:uid="{0516D25B-96D9-4623-8CFB-3871412D2863}"/>
    <cellStyle name="Millares 13 4 2 3 2" xfId="9788" xr:uid="{397013C2-E9E7-4053-A2F6-1D37178C3EA9}"/>
    <cellStyle name="Millares 13 4 2 4" xfId="6149" xr:uid="{237E7BEE-2664-4B3E-B754-9B41BBC60FA9}"/>
    <cellStyle name="Millares 13 4 2 4 2" xfId="10999" xr:uid="{39FC5701-93A5-4709-838F-ED91EC729A0F}"/>
    <cellStyle name="Millares 13 4 2 5" xfId="3726" xr:uid="{9B61B148-C279-4F7A-96B2-2B3FFA81947E}"/>
    <cellStyle name="Millares 13 4 2 5 2" xfId="8580" xr:uid="{499020CE-F91E-45AE-B83D-FE51F4E1BA16}"/>
    <cellStyle name="Millares 13 4 2 6" xfId="2513" xr:uid="{FF215049-A7EC-49E8-A25E-D0ABF5393153}"/>
    <cellStyle name="Millares 13 4 2 7" xfId="7369" xr:uid="{997300D9-B0C3-4ADD-8306-AF20F7A6DB59}"/>
    <cellStyle name="Millares 13 4 3" xfId="1894" xr:uid="{82764F0F-01B6-46C0-AAE0-D48E8A03A3F8}"/>
    <cellStyle name="Millares 13 4 3 2" xfId="5539" xr:uid="{313A3284-CA43-408D-A3D6-24F494EBD68D}"/>
    <cellStyle name="Millares 13 4 3 2 2" xfId="10391" xr:uid="{A6039DA1-488B-4ED5-ADF5-249CC5A91452}"/>
    <cellStyle name="Millares 13 4 3 3" xfId="6755" xr:uid="{C6831E6C-E236-4C49-9F32-095539780AC8}"/>
    <cellStyle name="Millares 13 4 3 3 2" xfId="11603" xr:uid="{E214F65A-0F3A-49AC-BFA8-4E5A9AA67D73}"/>
    <cellStyle name="Millares 13 4 3 4" xfId="4329" xr:uid="{4C7C7C76-3F70-4E0C-8FE2-CB719BF2968B}"/>
    <cellStyle name="Millares 13 4 3 4 2" xfId="9183" xr:uid="{88BF1906-D184-463E-B386-4B0C8E914F56}"/>
    <cellStyle name="Millares 13 4 3 5" xfId="3116" xr:uid="{454DFCA0-1C21-4365-8C2D-4504646EF314}"/>
    <cellStyle name="Millares 13 4 3 6" xfId="7972" xr:uid="{8F98AD00-7E13-493D-A198-477A3955B3AB}"/>
    <cellStyle name="Millares 13 4 4" xfId="4935" xr:uid="{BE4D42A0-9ED5-44B1-A036-465160DC8766}"/>
    <cellStyle name="Millares 13 4 4 2" xfId="9787" xr:uid="{2450D0C0-CB5F-4E06-A45C-194C1D67F725}"/>
    <cellStyle name="Millares 13 4 5" xfId="6148" xr:uid="{E499DC21-8A4E-4C97-8DCA-E882BB8646B9}"/>
    <cellStyle name="Millares 13 4 5 2" xfId="10998" xr:uid="{DFD5F1F9-5179-4C78-B8EC-F152B136C9FB}"/>
    <cellStyle name="Millares 13 4 6" xfId="3725" xr:uid="{6C18E8C4-9764-4C45-9411-B61BC235CDFF}"/>
    <cellStyle name="Millares 13 4 6 2" xfId="8579" xr:uid="{7ACE1033-BF84-4DED-AD5D-BF44834D5EDC}"/>
    <cellStyle name="Millares 13 4 7" xfId="2512" xr:uid="{872038F1-A5EC-49C9-B085-B225B69CDF92}"/>
    <cellStyle name="Millares 13 4 8" xfId="7368" xr:uid="{2AD89966-5E6B-4414-A2FC-090504749DAA}"/>
    <cellStyle name="Millares 13 5" xfId="220" xr:uid="{92318998-C882-4063-AB0C-69397CD9DDFC}"/>
    <cellStyle name="Millares 13 5 2" xfId="1896" xr:uid="{4BAF68A4-999C-4374-ADDE-BB9433CB55D5}"/>
    <cellStyle name="Millares 13 5 2 2" xfId="5541" xr:uid="{26420FBB-A71A-4782-9235-F809B6B8EB8E}"/>
    <cellStyle name="Millares 13 5 2 2 2" xfId="10393" xr:uid="{38F3994C-4E74-4E69-94DA-A09C1BEE6A74}"/>
    <cellStyle name="Millares 13 5 2 3" xfId="6757" xr:uid="{DC0BCBE5-57F8-4EFC-89EC-298B0B46E82F}"/>
    <cellStyle name="Millares 13 5 2 3 2" xfId="11605" xr:uid="{1D6DD109-EC68-4A2B-B2CA-E90D9BDFF283}"/>
    <cellStyle name="Millares 13 5 2 4" xfId="4331" xr:uid="{CBB236B2-470A-417F-BADA-8F44B09D11D6}"/>
    <cellStyle name="Millares 13 5 2 4 2" xfId="9185" xr:uid="{CFC4BC69-CA98-4270-AAC6-CB95F7CA92EC}"/>
    <cellStyle name="Millares 13 5 2 5" xfId="3118" xr:uid="{3BFADC98-7AA0-4DB3-96FF-C073B12505A6}"/>
    <cellStyle name="Millares 13 5 2 6" xfId="7974" xr:uid="{1AE90989-7469-4325-8FD5-2473EB7CB82C}"/>
    <cellStyle name="Millares 13 5 3" xfId="4937" xr:uid="{BBDEEC54-3ACA-4A1A-9471-356E4FFD02A0}"/>
    <cellStyle name="Millares 13 5 3 2" xfId="9789" xr:uid="{D9F6A807-F562-489B-87F7-B2A71FD304AF}"/>
    <cellStyle name="Millares 13 5 4" xfId="6150" xr:uid="{ED9F3218-CC6C-4B0B-991B-5B8EE1E6FCA2}"/>
    <cellStyle name="Millares 13 5 4 2" xfId="11000" xr:uid="{4D01FBE6-177A-4AEF-99D8-2C537E57F741}"/>
    <cellStyle name="Millares 13 5 5" xfId="3727" xr:uid="{5D22848A-A97E-4D60-96A9-5830DFBCD6B6}"/>
    <cellStyle name="Millares 13 5 5 2" xfId="8581" xr:uid="{4B5908D6-8A35-4914-B400-B65BC18DAF97}"/>
    <cellStyle name="Millares 13 5 6" xfId="2514" xr:uid="{BABBEF3C-2501-4301-B9FB-CC8E978E4AFA}"/>
    <cellStyle name="Millares 13 5 7" xfId="7370" xr:uid="{ABBC1BC7-C9FC-4A19-986D-0035E8EA148F}"/>
    <cellStyle name="Millares 13 6" xfId="1885" xr:uid="{865E33E8-BB16-4168-A868-AC9E19199C93}"/>
    <cellStyle name="Millares 13 6 2" xfId="5530" xr:uid="{A50EB453-7502-48D7-8F37-49335A897F3D}"/>
    <cellStyle name="Millares 13 6 2 2" xfId="10382" xr:uid="{8D5D402C-BD17-4BA5-8133-61B5775C642E}"/>
    <cellStyle name="Millares 13 6 3" xfId="6746" xr:uid="{745AD796-BE71-4829-8F07-91CCDD31EB9C}"/>
    <cellStyle name="Millares 13 6 3 2" xfId="11594" xr:uid="{FDBE0942-7C0E-4C2A-9B4B-E0C0A8049505}"/>
    <cellStyle name="Millares 13 6 4" xfId="4320" xr:uid="{0F7F90E1-E16C-49FF-906B-260888B83C00}"/>
    <cellStyle name="Millares 13 6 4 2" xfId="9174" xr:uid="{405D91C4-E683-4646-9C41-E6AACA97B919}"/>
    <cellStyle name="Millares 13 6 5" xfId="3107" xr:uid="{0AEF3234-323D-4542-8B1B-E80F44700D1C}"/>
    <cellStyle name="Millares 13 6 6" xfId="7963" xr:uid="{30838C34-66B0-4302-8766-082893B07FB3}"/>
    <cellStyle name="Millares 13 7" xfId="4926" xr:uid="{4339A873-3A14-48E4-B629-BFFCB62DAC24}"/>
    <cellStyle name="Millares 13 7 2" xfId="9778" xr:uid="{84539201-1244-4896-BEE5-1E70D7B3B395}"/>
    <cellStyle name="Millares 13 8" xfId="6139" xr:uid="{29BBFB71-A413-477F-B4F6-30DF7454E13E}"/>
    <cellStyle name="Millares 13 8 2" xfId="10989" xr:uid="{F9877593-AC31-43CC-A4B1-82110CA1774C}"/>
    <cellStyle name="Millares 13 9" xfId="3716" xr:uid="{F0EE3121-F753-4BFC-A9CA-E020E3A9444C}"/>
    <cellStyle name="Millares 13 9 2" xfId="8570" xr:uid="{3A48ACDB-5671-4202-9869-C0463ECBBB64}"/>
    <cellStyle name="Millares 14" xfId="221" xr:uid="{81401591-E6FA-4E10-99DC-594DB0497003}"/>
    <cellStyle name="Millares 14 2" xfId="222" xr:uid="{23BC5413-501E-4F90-A647-55478BB0A508}"/>
    <cellStyle name="Millares 14 2 2" xfId="223" xr:uid="{8C3ECA86-AB02-4EB8-8093-60EC3E958BDA}"/>
    <cellStyle name="Millares 14 2 2 2" xfId="1899" xr:uid="{C9F72C8F-F53A-4519-B5ED-5833CE9EFE8D}"/>
    <cellStyle name="Millares 14 2 2 2 2" xfId="5544" xr:uid="{19B0F674-E12E-4C7D-9297-7B225487F005}"/>
    <cellStyle name="Millares 14 2 2 2 2 2" xfId="10396" xr:uid="{F55B3C4F-F6B7-4EF5-A15B-BCB5571DA69C}"/>
    <cellStyle name="Millares 14 2 2 2 3" xfId="6760" xr:uid="{EB32E13D-3266-4FA2-81D7-86DB27A7EED8}"/>
    <cellStyle name="Millares 14 2 2 2 3 2" xfId="11608" xr:uid="{CACAEC95-E08F-459E-9F1C-05A68FFD349F}"/>
    <cellStyle name="Millares 14 2 2 2 4" xfId="4334" xr:uid="{84DC4CFE-C674-445F-9DF8-79B28B598D45}"/>
    <cellStyle name="Millares 14 2 2 2 4 2" xfId="9188" xr:uid="{2BD23520-A6A8-4CAD-8FDD-B9D385082256}"/>
    <cellStyle name="Millares 14 2 2 2 5" xfId="3121" xr:uid="{7A16B48F-36BD-4F63-AA97-FC4C7FEA9449}"/>
    <cellStyle name="Millares 14 2 2 2 6" xfId="7977" xr:uid="{615E364B-C5A9-43F5-8DA0-E052F42C8213}"/>
    <cellStyle name="Millares 14 2 2 3" xfId="4940" xr:uid="{CD765BBB-D4AF-4961-9681-8D418514E573}"/>
    <cellStyle name="Millares 14 2 2 3 2" xfId="9792" xr:uid="{EE6178DC-676B-470A-93E7-98D55B4F34B5}"/>
    <cellStyle name="Millares 14 2 2 4" xfId="6153" xr:uid="{2515BDF4-FDCF-46F3-A493-B648AD7AF3ED}"/>
    <cellStyle name="Millares 14 2 2 4 2" xfId="11003" xr:uid="{536110CC-5438-472B-9838-FE81259DB43C}"/>
    <cellStyle name="Millares 14 2 2 5" xfId="3730" xr:uid="{28EE07A0-8E04-46A7-892E-94FEBB214469}"/>
    <cellStyle name="Millares 14 2 2 5 2" xfId="8584" xr:uid="{6B95AC02-C249-421C-A110-978745A56C51}"/>
    <cellStyle name="Millares 14 2 2 6" xfId="2517" xr:uid="{273AF1E3-A0E9-4817-9EFF-F341D5B4200B}"/>
    <cellStyle name="Millares 14 2 2 7" xfId="7373" xr:uid="{3DB96279-0BAD-453D-A810-DF2DF5A2797B}"/>
    <cellStyle name="Millares 14 2 3" xfId="1898" xr:uid="{E7003123-F847-4384-8C0E-9493B4871C35}"/>
    <cellStyle name="Millares 14 2 3 2" xfId="5543" xr:uid="{EFB11183-D807-4075-A12F-9C60AE7C96E2}"/>
    <cellStyle name="Millares 14 2 3 2 2" xfId="10395" xr:uid="{DA5DBB56-71C2-4519-871A-2317C260D10D}"/>
    <cellStyle name="Millares 14 2 3 3" xfId="6759" xr:uid="{2FB6B509-3868-4677-99FB-2E53FDB14796}"/>
    <cellStyle name="Millares 14 2 3 3 2" xfId="11607" xr:uid="{6BA54DB2-13E6-44EB-9009-1CCD56A62506}"/>
    <cellStyle name="Millares 14 2 3 4" xfId="4333" xr:uid="{ED5B3374-354C-48F3-949A-27B8679F6764}"/>
    <cellStyle name="Millares 14 2 3 4 2" xfId="9187" xr:uid="{ACAEE084-8975-4199-BDEC-3A13FA5EDCE3}"/>
    <cellStyle name="Millares 14 2 3 5" xfId="3120" xr:uid="{76BD4440-260D-4469-AA1B-86DFD0AA5682}"/>
    <cellStyle name="Millares 14 2 3 6" xfId="7976" xr:uid="{E316195F-3B0F-4E7A-84DE-AAD074495D95}"/>
    <cellStyle name="Millares 14 2 4" xfId="4939" xr:uid="{88C35CF7-75F4-47B1-8F57-288F33593E3B}"/>
    <cellStyle name="Millares 14 2 4 2" xfId="9791" xr:uid="{54AF9B5B-887B-4A2B-AB61-F5BF7B241724}"/>
    <cellStyle name="Millares 14 2 5" xfId="6152" xr:uid="{87D3B7EF-2140-4173-80E5-C372785ABC40}"/>
    <cellStyle name="Millares 14 2 5 2" xfId="11002" xr:uid="{1AA85F5B-FDDF-403C-900A-01EDB0E634A8}"/>
    <cellStyle name="Millares 14 2 6" xfId="3729" xr:uid="{9E993732-7CB8-4866-8F25-58C50F24BDA1}"/>
    <cellStyle name="Millares 14 2 6 2" xfId="8583" xr:uid="{DBE4F84F-7DDC-4A15-A046-F1533A3B5C62}"/>
    <cellStyle name="Millares 14 2 7" xfId="2516" xr:uid="{C3141813-6BA1-42BE-8026-B8D593395823}"/>
    <cellStyle name="Millares 14 2 8" xfId="7372" xr:uid="{24146D33-F954-416A-94DB-A3141DCF1314}"/>
    <cellStyle name="Millares 14 3" xfId="224" xr:uid="{31679137-8D3D-4800-8D9D-6707A0895EB2}"/>
    <cellStyle name="Millares 14 3 2" xfId="1900" xr:uid="{6683EB92-BB02-4A8A-AFDC-1C24D79C7353}"/>
    <cellStyle name="Millares 14 3 2 2" xfId="5545" xr:uid="{7E0FDE54-0427-4D41-B855-993342A58D5C}"/>
    <cellStyle name="Millares 14 3 2 2 2" xfId="10397" xr:uid="{C7D3D989-362C-4235-9782-054B3E78A754}"/>
    <cellStyle name="Millares 14 3 2 3" xfId="6761" xr:uid="{48225546-F2DC-4BFA-8264-1743A1B910D2}"/>
    <cellStyle name="Millares 14 3 2 3 2" xfId="11609" xr:uid="{54A3D09A-E23E-4CC8-B350-FCDB6E671C66}"/>
    <cellStyle name="Millares 14 3 2 4" xfId="4335" xr:uid="{3B617EB1-D710-44D3-9792-13896324DAEF}"/>
    <cellStyle name="Millares 14 3 2 4 2" xfId="9189" xr:uid="{B9F3F50D-D709-4C48-88D8-0133691C0CCC}"/>
    <cellStyle name="Millares 14 3 2 5" xfId="3122" xr:uid="{08BCAEC2-71AD-4B08-832A-41A64CBFF34C}"/>
    <cellStyle name="Millares 14 3 2 6" xfId="7978" xr:uid="{7CE04CE8-4B2C-43D0-8438-4F8C7DBF89EC}"/>
    <cellStyle name="Millares 14 3 3" xfId="4941" xr:uid="{A21B6340-F8E9-458A-90FA-E06C9F67BEEE}"/>
    <cellStyle name="Millares 14 3 3 2" xfId="9793" xr:uid="{B4671BC0-F0BE-49CF-AFD5-B158EE588323}"/>
    <cellStyle name="Millares 14 3 4" xfId="6154" xr:uid="{D0F2BFF6-10B0-49EC-B25D-E808C1D74C94}"/>
    <cellStyle name="Millares 14 3 4 2" xfId="11004" xr:uid="{19A21BF3-3841-4C72-8EFD-6F53F5C07901}"/>
    <cellStyle name="Millares 14 3 5" xfId="3731" xr:uid="{6DFC97CE-FFCE-4238-9375-9AA8C21FF284}"/>
    <cellStyle name="Millares 14 3 5 2" xfId="8585" xr:uid="{71409F88-2573-4C37-8D67-DBA6B02D67DA}"/>
    <cellStyle name="Millares 14 3 6" xfId="2518" xr:uid="{B85E9D68-4AE5-4006-B029-1A6442FA64B1}"/>
    <cellStyle name="Millares 14 3 7" xfId="7374" xr:uid="{9040A7A3-BCC7-4747-834B-7E96D92C6306}"/>
    <cellStyle name="Millares 14 4" xfId="1897" xr:uid="{E4BF70FD-B08F-48AA-AF79-B7E9CE9D83C6}"/>
    <cellStyle name="Millares 14 4 2" xfId="5542" xr:uid="{C2778C2B-2C64-4900-82FF-C3F867E1C83F}"/>
    <cellStyle name="Millares 14 4 2 2" xfId="10394" xr:uid="{042E08FE-7AE5-47CB-967F-600263835A16}"/>
    <cellStyle name="Millares 14 4 3" xfId="6758" xr:uid="{F63C54AB-25F6-4453-ACC2-52CF7C21EEDE}"/>
    <cellStyle name="Millares 14 4 3 2" xfId="11606" xr:uid="{F800A938-6366-49F3-9E4D-284661B45254}"/>
    <cellStyle name="Millares 14 4 4" xfId="4332" xr:uid="{085AA3D1-EE19-4F62-9B94-2EF0A8332F45}"/>
    <cellStyle name="Millares 14 4 4 2" xfId="9186" xr:uid="{C81B6099-1D41-4C43-B62A-C8638F6D959A}"/>
    <cellStyle name="Millares 14 4 5" xfId="3119" xr:uid="{9D75A48A-25AF-4EF2-B22C-3F5F9AAE58F2}"/>
    <cellStyle name="Millares 14 4 6" xfId="7975" xr:uid="{BDDD774D-281E-4932-8F08-D109A10AEDAA}"/>
    <cellStyle name="Millares 14 5" xfId="4938" xr:uid="{4C009562-C105-4F90-B08F-0AD712A0D4B5}"/>
    <cellStyle name="Millares 14 5 2" xfId="9790" xr:uid="{C31B9AE1-A4F7-49A7-96F8-F1DB994CF910}"/>
    <cellStyle name="Millares 14 6" xfId="6151" xr:uid="{A359A17D-798B-4311-8474-CE123759673B}"/>
    <cellStyle name="Millares 14 6 2" xfId="11001" xr:uid="{45F55EC3-E6DE-4227-A629-3E0CFD2ECA7F}"/>
    <cellStyle name="Millares 14 7" xfId="3728" xr:uid="{29D75AA5-6E16-46FB-A86B-AACBAB7270A6}"/>
    <cellStyle name="Millares 14 7 2" xfId="8582" xr:uid="{9BD0F5E2-9455-4F91-9288-362FD0F05C8A}"/>
    <cellStyle name="Millares 14 8" xfId="2515" xr:uid="{48C885E6-0D7B-44D7-90FC-8449675330CE}"/>
    <cellStyle name="Millares 14 9" xfId="7371" xr:uid="{195EDBCF-6C6E-40AD-B975-09DCDF60E85F}"/>
    <cellStyle name="Millares 15" xfId="225" xr:uid="{B31CA64C-9384-447B-B7FB-2A5C536FE850}"/>
    <cellStyle name="Millares 15 2" xfId="226" xr:uid="{EA977E93-E6DF-441A-B374-ED7BC023DAB3}"/>
    <cellStyle name="Millares 15 2 2" xfId="227" xr:uid="{964D1153-1686-4318-BF59-5862B06B5BE7}"/>
    <cellStyle name="Millares 15 2 2 2" xfId="1903" xr:uid="{996A7CBA-496A-4771-82DD-191C4ADE00C4}"/>
    <cellStyle name="Millares 15 2 2 2 2" xfId="5548" xr:uid="{7490AD4C-F6EC-40FA-874B-978E776E3D44}"/>
    <cellStyle name="Millares 15 2 2 2 2 2" xfId="10400" xr:uid="{4140EED4-5483-471E-80C9-AB4487E4638A}"/>
    <cellStyle name="Millares 15 2 2 2 3" xfId="6764" xr:uid="{A8DE194A-6390-43CA-8D5A-87CB3A3B4EAA}"/>
    <cellStyle name="Millares 15 2 2 2 3 2" xfId="11612" xr:uid="{8D01442A-824C-405F-879C-B5EB837CD5FC}"/>
    <cellStyle name="Millares 15 2 2 2 4" xfId="4338" xr:uid="{14071F0B-7158-4392-92BA-ABAD4082ECCE}"/>
    <cellStyle name="Millares 15 2 2 2 4 2" xfId="9192" xr:uid="{6B0D98EC-A5D2-4A3D-8352-C95DF857B517}"/>
    <cellStyle name="Millares 15 2 2 2 5" xfId="3125" xr:uid="{775FFD54-ED73-436C-900D-DDFB06C86ED3}"/>
    <cellStyle name="Millares 15 2 2 2 6" xfId="7981" xr:uid="{9A3F60C9-6F80-4FED-B7BC-B5DDFC11898A}"/>
    <cellStyle name="Millares 15 2 2 3" xfId="4944" xr:uid="{F2F9438C-225E-4D1B-A608-AE97C45478F3}"/>
    <cellStyle name="Millares 15 2 2 3 2" xfId="9796" xr:uid="{5D9A4C8B-B00D-407E-94B5-4210E234DA06}"/>
    <cellStyle name="Millares 15 2 2 4" xfId="6157" xr:uid="{C1B228B2-EB9D-437D-B4DA-A9A1DD820DCF}"/>
    <cellStyle name="Millares 15 2 2 4 2" xfId="11007" xr:uid="{4183CA62-5A57-4441-8210-68CBABED076F}"/>
    <cellStyle name="Millares 15 2 2 5" xfId="3734" xr:uid="{EA6F3E97-7041-4A73-A54A-324CC2F4878C}"/>
    <cellStyle name="Millares 15 2 2 5 2" xfId="8588" xr:uid="{10C0C94E-0F90-4C0D-8F64-C96F89AAD69A}"/>
    <cellStyle name="Millares 15 2 2 6" xfId="2521" xr:uid="{17E909E8-9A44-4981-95F3-ADACD7599304}"/>
    <cellStyle name="Millares 15 2 2 7" xfId="7377" xr:uid="{FDAEB396-0487-4886-B4F4-AD6951373830}"/>
    <cellStyle name="Millares 15 2 3" xfId="1902" xr:uid="{237661FF-2980-42DF-957F-57F3A57FE317}"/>
    <cellStyle name="Millares 15 2 3 2" xfId="5547" xr:uid="{BD8FDFA5-A457-430A-AF56-44E59D4EFC3A}"/>
    <cellStyle name="Millares 15 2 3 2 2" xfId="10399" xr:uid="{C1ACBC24-0F9E-48BC-8FA7-D2BA3301BAB6}"/>
    <cellStyle name="Millares 15 2 3 3" xfId="6763" xr:uid="{830CD955-D6C5-4834-852F-183614099D35}"/>
    <cellStyle name="Millares 15 2 3 3 2" xfId="11611" xr:uid="{4D764CB4-B832-4D55-93E9-016A7C777E4F}"/>
    <cellStyle name="Millares 15 2 3 4" xfId="4337" xr:uid="{11107E36-629D-4AD5-B73B-68B70D424762}"/>
    <cellStyle name="Millares 15 2 3 4 2" xfId="9191" xr:uid="{84DBC46C-CF33-4962-880D-C3E7C88E3802}"/>
    <cellStyle name="Millares 15 2 3 5" xfId="3124" xr:uid="{A2A97574-8325-498E-A810-836DCFDD7BB4}"/>
    <cellStyle name="Millares 15 2 3 6" xfId="7980" xr:uid="{AC6051C8-FA2E-426B-8792-9F3FEF1E5D4A}"/>
    <cellStyle name="Millares 15 2 4" xfId="4943" xr:uid="{2DE916CF-8C0A-478E-88E0-8045C2F8A931}"/>
    <cellStyle name="Millares 15 2 4 2" xfId="9795" xr:uid="{EF2BBFA2-0E87-4CE4-A9E7-47ACAAD8B42C}"/>
    <cellStyle name="Millares 15 2 5" xfId="6156" xr:uid="{76166740-D6BC-4601-A44E-06C3073FDEC0}"/>
    <cellStyle name="Millares 15 2 5 2" xfId="11006" xr:uid="{7AB976F7-6CA9-4187-B17A-85B2CBD35F69}"/>
    <cellStyle name="Millares 15 2 6" xfId="3733" xr:uid="{FBBBBC4B-7345-4903-9090-A9BE345D8A23}"/>
    <cellStyle name="Millares 15 2 6 2" xfId="8587" xr:uid="{8901DCDD-8DCD-49B4-9921-D4AD24A9281D}"/>
    <cellStyle name="Millares 15 2 7" xfId="2520" xr:uid="{AEAB661E-AD93-4E3E-A380-C3CD1E6A9512}"/>
    <cellStyle name="Millares 15 2 8" xfId="7376" xr:uid="{1FC025FD-57D5-42A7-8322-F70D1AC58CBE}"/>
    <cellStyle name="Millares 15 3" xfId="228" xr:uid="{DEA70766-0044-4183-941A-82A09D39DDF8}"/>
    <cellStyle name="Millares 15 3 2" xfId="1904" xr:uid="{FBB7F073-F688-44BC-ADCF-71F0FFA7A6A3}"/>
    <cellStyle name="Millares 15 3 2 2" xfId="5549" xr:uid="{E312E5F9-50AC-49B6-BD8B-E741F122176F}"/>
    <cellStyle name="Millares 15 3 2 2 2" xfId="10401" xr:uid="{CB3A36DD-2435-447F-822C-29F4879DFA0A}"/>
    <cellStyle name="Millares 15 3 2 3" xfId="6765" xr:uid="{AC39F6AE-4866-4260-B314-D5F0450ABD44}"/>
    <cellStyle name="Millares 15 3 2 3 2" xfId="11613" xr:uid="{51A7268B-22B7-41F4-9968-95266D93C0E7}"/>
    <cellStyle name="Millares 15 3 2 4" xfId="4339" xr:uid="{665F0F8A-3764-4BBA-86B7-4C57CC8B34B6}"/>
    <cellStyle name="Millares 15 3 2 4 2" xfId="9193" xr:uid="{8DD3ECED-0C76-4AD9-80BF-F91E6CC4467F}"/>
    <cellStyle name="Millares 15 3 2 5" xfId="3126" xr:uid="{6270BCCA-8EBC-42AB-926D-54813F8C4F7F}"/>
    <cellStyle name="Millares 15 3 2 6" xfId="7982" xr:uid="{AA9F1DA6-E533-484A-908F-88B99C761BE0}"/>
    <cellStyle name="Millares 15 3 3" xfId="4945" xr:uid="{43CD329D-563A-4FD9-AC54-151BA44DB3AB}"/>
    <cellStyle name="Millares 15 3 3 2" xfId="9797" xr:uid="{4F01CC75-299C-49B2-B8E1-A17A6085D31A}"/>
    <cellStyle name="Millares 15 3 4" xfId="6158" xr:uid="{1B51F331-A6B2-4268-9F2B-8B6F5F82FDDF}"/>
    <cellStyle name="Millares 15 3 4 2" xfId="11008" xr:uid="{D4640394-DBDE-4468-9464-66BBEFB4BA6F}"/>
    <cellStyle name="Millares 15 3 5" xfId="3735" xr:uid="{C0694580-C351-4567-8A8A-4EB88B62E1C4}"/>
    <cellStyle name="Millares 15 3 5 2" xfId="8589" xr:uid="{0058BE53-057F-49B4-9B29-C9BEEAA9D4AA}"/>
    <cellStyle name="Millares 15 3 6" xfId="2522" xr:uid="{530D148E-FEF3-4A10-9BAB-BD75A08F91DE}"/>
    <cellStyle name="Millares 15 3 7" xfId="7378" xr:uid="{4471F34C-1C3F-40F2-81E9-15AFAB0605D9}"/>
    <cellStyle name="Millares 15 4" xfId="1901" xr:uid="{C6126F14-9032-4B18-8033-D43840AE1F7C}"/>
    <cellStyle name="Millares 15 4 2" xfId="5546" xr:uid="{EC621FF9-8345-4D12-86E7-E6BEACFFE22F}"/>
    <cellStyle name="Millares 15 4 2 2" xfId="10398" xr:uid="{F5483B84-6B25-4997-AC33-8DB22C9B8E9E}"/>
    <cellStyle name="Millares 15 4 3" xfId="6762" xr:uid="{B850866B-81F4-40C9-816B-64F6986A249F}"/>
    <cellStyle name="Millares 15 4 3 2" xfId="11610" xr:uid="{09763841-A62A-4273-BF66-3C19C034A090}"/>
    <cellStyle name="Millares 15 4 4" xfId="4336" xr:uid="{30892C9D-62F1-4A19-9F9E-29C9D723C0BE}"/>
    <cellStyle name="Millares 15 4 4 2" xfId="9190" xr:uid="{3BB69C65-BC51-43C2-9709-305C249BDCCD}"/>
    <cellStyle name="Millares 15 4 5" xfId="3123" xr:uid="{612B32B7-2878-4697-BCF7-FE62EC374E99}"/>
    <cellStyle name="Millares 15 4 6" xfId="7979" xr:uid="{6F72F7FF-4730-4F53-A764-749EC70F2990}"/>
    <cellStyle name="Millares 15 5" xfId="4942" xr:uid="{FBAE2056-B145-4A1B-90D9-1835C0A70CEB}"/>
    <cellStyle name="Millares 15 5 2" xfId="9794" xr:uid="{CF25C082-04A6-4ACE-9742-38F860963964}"/>
    <cellStyle name="Millares 15 6" xfId="6155" xr:uid="{3847A413-32FA-483F-AB1F-9BAD14FDAD5A}"/>
    <cellStyle name="Millares 15 6 2" xfId="11005" xr:uid="{F226A7EB-3B10-44D6-B511-52D3118C3107}"/>
    <cellStyle name="Millares 15 7" xfId="3732" xr:uid="{BA16606C-CDE4-4FE2-B42E-F0572C9E4A4E}"/>
    <cellStyle name="Millares 15 7 2" xfId="8586" xr:uid="{CAC81351-EB9E-49F6-B9AC-7167C7A5FD00}"/>
    <cellStyle name="Millares 15 8" xfId="2519" xr:uid="{7C6FF78D-4C6A-4CAF-8355-D740A5C72D60}"/>
    <cellStyle name="Millares 15 9" xfId="7375" xr:uid="{29083447-9BB1-4127-AFEB-49BCEA16F5EE}"/>
    <cellStyle name="Millares 16" xfId="229" xr:uid="{AB08FA27-4315-4843-8A32-5BCEEAB52BF2}"/>
    <cellStyle name="Millares 16 2" xfId="230" xr:uid="{60E3A6ED-FFA3-485F-ABE2-8AA1413024C6}"/>
    <cellStyle name="Millares 16 2 2" xfId="1906" xr:uid="{73C93582-4F79-4DD0-B032-88CE779A5A84}"/>
    <cellStyle name="Millares 16 2 2 2" xfId="5551" xr:uid="{ABC15A91-0278-47F0-9950-8DBE03CB22C1}"/>
    <cellStyle name="Millares 16 2 2 2 2" xfId="10403" xr:uid="{EB2D4534-B68E-491D-A99D-779ED893C973}"/>
    <cellStyle name="Millares 16 2 2 3" xfId="6767" xr:uid="{D39FB901-FE50-46A4-8BEF-8F1EC5DA846B}"/>
    <cellStyle name="Millares 16 2 2 3 2" xfId="11615" xr:uid="{5DFBB74B-7F56-42B2-B5A6-C213C55217CB}"/>
    <cellStyle name="Millares 16 2 2 4" xfId="4341" xr:uid="{1643F671-9054-48C0-B7C4-DCF91F0FFEE4}"/>
    <cellStyle name="Millares 16 2 2 4 2" xfId="9195" xr:uid="{15ECB715-9838-404A-AEF0-EA577CF99624}"/>
    <cellStyle name="Millares 16 2 2 5" xfId="3128" xr:uid="{60562B52-0D24-42A3-BFBD-FCA62024B9C9}"/>
    <cellStyle name="Millares 16 2 2 6" xfId="7984" xr:uid="{62C1403C-9D60-440E-9C9A-17464989C375}"/>
    <cellStyle name="Millares 16 2 3" xfId="4947" xr:uid="{0301B9B3-8544-4789-BFBE-952256385917}"/>
    <cellStyle name="Millares 16 2 3 2" xfId="9799" xr:uid="{600D69B2-D43E-4812-8D96-42ADFA849817}"/>
    <cellStyle name="Millares 16 2 4" xfId="6160" xr:uid="{109E0D52-AB3C-4B32-B04C-63EE80F4B213}"/>
    <cellStyle name="Millares 16 2 4 2" xfId="11010" xr:uid="{0225D523-3980-4899-80AA-053D1086508C}"/>
    <cellStyle name="Millares 16 2 5" xfId="3737" xr:uid="{3B6A14DE-9BBB-4614-85B8-F09DA5C4B2F8}"/>
    <cellStyle name="Millares 16 2 5 2" xfId="8591" xr:uid="{0AE20350-1B39-426D-9525-5C6AE12B8C09}"/>
    <cellStyle name="Millares 16 2 6" xfId="2524" xr:uid="{F14A9C44-B44C-479B-8AEE-6E2D8196F1D9}"/>
    <cellStyle name="Millares 16 2 7" xfId="7380" xr:uid="{758BAF51-36A7-4278-96F4-BA0AD9E3D9C0}"/>
    <cellStyle name="Millares 16 3" xfId="1905" xr:uid="{8DE1C5A7-666E-488F-BD08-1A43C9B9CDE2}"/>
    <cellStyle name="Millares 16 3 2" xfId="5550" xr:uid="{CA9183C0-1210-4346-9036-A36ECB0C5443}"/>
    <cellStyle name="Millares 16 3 2 2" xfId="10402" xr:uid="{A1A63B80-DB05-4A08-BD04-55F7F0016467}"/>
    <cellStyle name="Millares 16 3 3" xfId="6766" xr:uid="{565971A0-D671-4E08-9540-C83E445E9ABD}"/>
    <cellStyle name="Millares 16 3 3 2" xfId="11614" xr:uid="{A12B5702-D0F0-48A9-AFF2-D221D43154B5}"/>
    <cellStyle name="Millares 16 3 4" xfId="4340" xr:uid="{A52ADE52-6959-4387-B7C6-91E180EFA9FD}"/>
    <cellStyle name="Millares 16 3 4 2" xfId="9194" xr:uid="{80F918CD-C7B1-4A0E-B6F4-5D116CF44789}"/>
    <cellStyle name="Millares 16 3 5" xfId="3127" xr:uid="{AD8971D9-D103-4847-BF4B-1DD80C05CD33}"/>
    <cellStyle name="Millares 16 3 6" xfId="7983" xr:uid="{BDFF3C05-D504-41A6-90B7-274B3D1641B8}"/>
    <cellStyle name="Millares 16 4" xfId="4946" xr:uid="{D33F4A30-0C3F-458B-B93F-275CD2AF040E}"/>
    <cellStyle name="Millares 16 4 2" xfId="9798" xr:uid="{1692134E-7E13-4238-BC6F-49D5142A62FE}"/>
    <cellStyle name="Millares 16 5" xfId="6159" xr:uid="{799AE172-32AB-4FAC-8E60-7CD61DDAFF92}"/>
    <cellStyle name="Millares 16 5 2" xfId="11009" xr:uid="{DA7EB974-3BCB-4B29-8864-224F3A2B7677}"/>
    <cellStyle name="Millares 16 6" xfId="3736" xr:uid="{AFFC4949-1862-46FB-BB4C-0C1838156919}"/>
    <cellStyle name="Millares 16 6 2" xfId="8590" xr:uid="{C62EEC49-BCEE-454A-BD05-9FB9FF694FAF}"/>
    <cellStyle name="Millares 16 7" xfId="2523" xr:uid="{AB51544E-7AC1-43E3-A736-719C7038858C}"/>
    <cellStyle name="Millares 16 8" xfId="7379" xr:uid="{E480B5B1-0141-4F1A-BADB-A70DE6AFC6FE}"/>
    <cellStyle name="Millares 17" xfId="231" xr:uid="{4FD40BFB-C6E2-45F4-AF8F-1FD6558E27D5}"/>
    <cellStyle name="Millares 17 2" xfId="232" xr:uid="{8CD4A632-DF10-4A31-9652-E0DC9552802C}"/>
    <cellStyle name="Millares 17 2 2" xfId="1908" xr:uid="{49A3DAD3-955A-4067-A0A4-E7A05D7202F5}"/>
    <cellStyle name="Millares 17 2 2 2" xfId="5553" xr:uid="{E1ADFD0A-BFCF-4E2F-8821-27851E228B90}"/>
    <cellStyle name="Millares 17 2 2 2 2" xfId="10405" xr:uid="{6FE0ABB2-84FC-4E09-9DCC-C0FCCE132F82}"/>
    <cellStyle name="Millares 17 2 2 3" xfId="6769" xr:uid="{6183EE86-8B2E-4EE1-8391-B5B96BDA4660}"/>
    <cellStyle name="Millares 17 2 2 3 2" xfId="11617" xr:uid="{68758819-C9E7-457E-9F53-266C59F8250B}"/>
    <cellStyle name="Millares 17 2 2 4" xfId="4343" xr:uid="{9FB906FA-ABB8-4C11-A0D5-0B9FE7065161}"/>
    <cellStyle name="Millares 17 2 2 4 2" xfId="9197" xr:uid="{D269812D-1AE5-46BE-B061-41CDDA858FD1}"/>
    <cellStyle name="Millares 17 2 2 5" xfId="3130" xr:uid="{B156149F-6889-4D1D-B03F-0D4828E2F0DD}"/>
    <cellStyle name="Millares 17 2 2 6" xfId="7986" xr:uid="{626BBD47-9482-449F-A03B-172507B22DD5}"/>
    <cellStyle name="Millares 17 2 3" xfId="4949" xr:uid="{F5F28D27-8433-4896-8F17-B125FADCE58A}"/>
    <cellStyle name="Millares 17 2 3 2" xfId="9801" xr:uid="{23C00F41-F5E2-4FFA-A1A4-5542B3DB0434}"/>
    <cellStyle name="Millares 17 2 4" xfId="6162" xr:uid="{6019903D-E48C-4EDB-A14E-068D28D8FA50}"/>
    <cellStyle name="Millares 17 2 4 2" xfId="11012" xr:uid="{B450DF2C-7677-4754-99E6-424820EB271F}"/>
    <cellStyle name="Millares 17 2 5" xfId="3739" xr:uid="{168A0E84-9799-4AFF-8251-96CB28BA5F55}"/>
    <cellStyle name="Millares 17 2 5 2" xfId="8593" xr:uid="{F28970D0-2A75-4BFC-9C12-98261EBBCA7D}"/>
    <cellStyle name="Millares 17 2 6" xfId="2526" xr:uid="{AF59E539-BE89-48FB-A790-455C6DD7EFBF}"/>
    <cellStyle name="Millares 17 2 7" xfId="7382" xr:uid="{D3508CDB-15A6-4553-89BF-E5F91B9252F6}"/>
    <cellStyle name="Millares 17 3" xfId="1907" xr:uid="{86F13A98-78ED-4EB0-94B5-863E0F96D481}"/>
    <cellStyle name="Millares 17 3 2" xfId="5552" xr:uid="{78F80689-1F96-4FEA-9C38-464A9366904B}"/>
    <cellStyle name="Millares 17 3 2 2" xfId="10404" xr:uid="{0F31CDB1-3186-409E-82CC-29A6387C9FBD}"/>
    <cellStyle name="Millares 17 3 3" xfId="6768" xr:uid="{303A0FFF-0824-4CBA-BC31-1E8F7EE987A8}"/>
    <cellStyle name="Millares 17 3 3 2" xfId="11616" xr:uid="{39437D1E-B3B3-47F1-B80A-8A1DBB8B7F5F}"/>
    <cellStyle name="Millares 17 3 4" xfId="4342" xr:uid="{21EB9BC8-20FE-4734-BE23-8B7B52C7F273}"/>
    <cellStyle name="Millares 17 3 4 2" xfId="9196" xr:uid="{BA9A970C-2A01-470A-B577-86085968409A}"/>
    <cellStyle name="Millares 17 3 5" xfId="3129" xr:uid="{5F953E13-9197-41AF-991C-6835B5D14BF9}"/>
    <cellStyle name="Millares 17 3 6" xfId="7985" xr:uid="{B89C441A-72F1-4801-BE6A-12CCC5BD9E19}"/>
    <cellStyle name="Millares 17 4" xfId="4948" xr:uid="{83F8BBA2-4836-47B4-BEB6-32E3DE9A4E14}"/>
    <cellStyle name="Millares 17 4 2" xfId="9800" xr:uid="{54DA1AEA-44D7-4BB6-B794-7DF39228F3EF}"/>
    <cellStyle name="Millares 17 5" xfId="6161" xr:uid="{D935ACD2-704E-44AC-89F3-E453A15EBFBF}"/>
    <cellStyle name="Millares 17 5 2" xfId="11011" xr:uid="{6CFB93AD-2C35-4310-9573-3B7A0F505629}"/>
    <cellStyle name="Millares 17 6" xfId="3738" xr:uid="{76EEB343-3C4F-4B68-A83E-0A271D485575}"/>
    <cellStyle name="Millares 17 6 2" xfId="8592" xr:uid="{90AE70BC-A66B-4349-8F0D-EDBF29BDCBB1}"/>
    <cellStyle name="Millares 17 7" xfId="2525" xr:uid="{4F740722-7E57-4A07-B8AC-36DC9A865EAB}"/>
    <cellStyle name="Millares 17 8" xfId="7381" xr:uid="{F8E9F14E-820D-43AD-87FD-71D520A27C79}"/>
    <cellStyle name="Millares 18" xfId="233" xr:uid="{3CDD0199-F00F-4E32-811B-28831024ACA7}"/>
    <cellStyle name="Millares 18 2" xfId="1909" xr:uid="{FAE6AD5A-4EB1-4CB6-A28E-BD1A23B4603C}"/>
    <cellStyle name="Millares 18 2 2" xfId="5554" xr:uid="{4BF50C53-E978-485D-9902-FE41EB0F0ABF}"/>
    <cellStyle name="Millares 18 2 2 2" xfId="10406" xr:uid="{A9BE416D-44AE-4094-826E-4604D3B8EC5C}"/>
    <cellStyle name="Millares 18 2 3" xfId="6770" xr:uid="{F4DB9F0E-8DE0-4052-9088-191B6C60998E}"/>
    <cellStyle name="Millares 18 2 3 2" xfId="11618" xr:uid="{5BCE7653-5A1C-4A74-9A11-A9B8269F8E6F}"/>
    <cellStyle name="Millares 18 2 4" xfId="4344" xr:uid="{77FBA613-E7CE-4118-B633-08C72F8E0D77}"/>
    <cellStyle name="Millares 18 2 4 2" xfId="9198" xr:uid="{6249C0E6-03E7-4177-96DC-5B0D826D0570}"/>
    <cellStyle name="Millares 18 2 5" xfId="3131" xr:uid="{276300D9-78BA-4693-BF28-912A64456029}"/>
    <cellStyle name="Millares 18 2 6" xfId="7987" xr:uid="{3D929EF8-2E40-4A64-8E7E-8C1CAC6A86EB}"/>
    <cellStyle name="Millares 18 3" xfId="4950" xr:uid="{5B074837-77D0-41B6-9C8A-21892604D432}"/>
    <cellStyle name="Millares 18 3 2" xfId="9802" xr:uid="{97374050-8A70-41F7-9635-84AA49936AA5}"/>
    <cellStyle name="Millares 18 4" xfId="6163" xr:uid="{B88D9E97-E997-461C-891E-A6497E8930AE}"/>
    <cellStyle name="Millares 18 4 2" xfId="11013" xr:uid="{0702CA70-DB91-4480-8878-D846D1E997AD}"/>
    <cellStyle name="Millares 18 5" xfId="3740" xr:uid="{55F57C82-2ACB-4893-95E9-CBE60E890F7E}"/>
    <cellStyle name="Millares 18 5 2" xfId="8594" xr:uid="{53990399-D4BB-4212-8E24-1D169A537E95}"/>
    <cellStyle name="Millares 18 6" xfId="2527" xr:uid="{2F5D59B4-7B75-493E-84B5-DFFAEE8BA7BE}"/>
    <cellStyle name="Millares 18 7" xfId="7383" xr:uid="{A05EF461-9531-45E0-9E18-817C7FE63224}"/>
    <cellStyle name="Millares 19" xfId="1806" xr:uid="{ACF3C84D-741D-4411-A895-8C530E05DCD1}"/>
    <cellStyle name="Millares 19 2" xfId="5451" xr:uid="{E6A84013-C6B8-4607-873D-6385701D4D0E}"/>
    <cellStyle name="Millares 19 2 2" xfId="10303" xr:uid="{5A0886F3-385B-4F41-BA28-8336E01E10AE}"/>
    <cellStyle name="Millares 19 3" xfId="6667" xr:uid="{98479FB4-1B28-4438-B03F-C4A2B458F6BC}"/>
    <cellStyle name="Millares 19 3 2" xfId="11515" xr:uid="{C54AA61D-47AC-405C-ADBB-33EF4DDCBF02}"/>
    <cellStyle name="Millares 19 4" xfId="4241" xr:uid="{BD5CC82A-05DD-46A0-9D05-7A391DA4C085}"/>
    <cellStyle name="Millares 19 4 2" xfId="9095" xr:uid="{26E58FCC-DAB3-4C6E-AA0C-B1B5775FBFC3}"/>
    <cellStyle name="Millares 19 5" xfId="3028" xr:uid="{880B3225-61DD-41EA-819B-942564BDD6BF}"/>
    <cellStyle name="Millares 19 6" xfId="7884" xr:uid="{F0CCFB2E-6780-4423-8431-210F9373B1AA}"/>
    <cellStyle name="Millares 2" xfId="135" xr:uid="{3B7ECB32-A345-4C37-B298-85915B49CE03}"/>
    <cellStyle name="Millares 2 2" xfId="134" xr:uid="{9AE303B8-BA98-4277-9F2D-FF6C9A41B6F2}"/>
    <cellStyle name="Millares 2 2 10" xfId="4951" xr:uid="{DAFF2E19-605B-47D9-B20D-E60F83D1C1B0}"/>
    <cellStyle name="Millares 2 2 10 2" xfId="9803" xr:uid="{0342AC59-7BB8-4F30-BED7-DC99860BE8E1}"/>
    <cellStyle name="Millares 2 2 11" xfId="6164" xr:uid="{AC85A885-0AA0-4AE1-999E-4F0FE1EA43A0}"/>
    <cellStyle name="Millares 2 2 11 2" xfId="11014" xr:uid="{CBB45A2D-54BE-4548-985D-B2356AB25729}"/>
    <cellStyle name="Millares 2 2 12" xfId="2528" xr:uid="{EC02A18E-EA04-4C58-818D-1A1F730B5E57}"/>
    <cellStyle name="Millares 2 2 13" xfId="7384" xr:uid="{43FE1B16-1191-43C2-B0FB-F0DF342E4738}"/>
    <cellStyle name="Millares 2 2 2" xfId="235" xr:uid="{03297EA4-8884-4A33-9BF0-C89FAAA888B2}"/>
    <cellStyle name="Millares 2 2 2 10" xfId="2529" xr:uid="{D4DDAAF3-06D8-4BE9-A84B-4B8B66F64013}"/>
    <cellStyle name="Millares 2 2 2 11" xfId="7385" xr:uid="{6B9086D3-F688-49D1-B3CD-457A4BFCE453}"/>
    <cellStyle name="Millares 2 2 2 2" xfId="236" xr:uid="{38FC46BA-06A7-4DD2-8C41-208AE0D1AAD5}"/>
    <cellStyle name="Millares 2 2 2 2 2" xfId="237" xr:uid="{A7EC5AC7-4AAE-4021-8DF5-6A9A6DF4EA7B}"/>
    <cellStyle name="Millares 2 2 2 2 2 2" xfId="238" xr:uid="{42B407E9-8C26-498F-8597-D9E2A4D8D2A5}"/>
    <cellStyle name="Millares 2 2 2 2 2 2 2" xfId="1914" xr:uid="{2B0FE520-5263-43EB-8407-FB8AFD10DD64}"/>
    <cellStyle name="Millares 2 2 2 2 2 2 2 2" xfId="5559" xr:uid="{09695600-B10A-4443-A1AE-86E118D87C01}"/>
    <cellStyle name="Millares 2 2 2 2 2 2 2 2 2" xfId="10411" xr:uid="{192AF8CC-BBB2-49C7-ABBE-C1DC98002EDA}"/>
    <cellStyle name="Millares 2 2 2 2 2 2 2 3" xfId="6775" xr:uid="{9CD49D32-5BA3-48DC-87F5-DD52B6D6818C}"/>
    <cellStyle name="Millares 2 2 2 2 2 2 2 3 2" xfId="11623" xr:uid="{C7F21B8C-F45C-49A7-9E2C-902E2CBC774F}"/>
    <cellStyle name="Millares 2 2 2 2 2 2 2 4" xfId="4349" xr:uid="{3EF88A91-B86D-4306-B2DA-4E3C953556C8}"/>
    <cellStyle name="Millares 2 2 2 2 2 2 2 4 2" xfId="9203" xr:uid="{A48AE37A-68C2-4722-A0A8-4A5D2093A1E2}"/>
    <cellStyle name="Millares 2 2 2 2 2 2 2 5" xfId="3136" xr:uid="{B71249A0-391C-453F-A553-F3901E8737BC}"/>
    <cellStyle name="Millares 2 2 2 2 2 2 2 6" xfId="7992" xr:uid="{E80E0A16-DA3D-4BFD-A315-FEA273DAAB5D}"/>
    <cellStyle name="Millares 2 2 2 2 2 2 3" xfId="4955" xr:uid="{9915B340-0C9D-4C3A-B07C-D9AAD0D4ADCC}"/>
    <cellStyle name="Millares 2 2 2 2 2 2 3 2" xfId="9807" xr:uid="{2E9275F0-CEF2-4959-8060-E282F79E8855}"/>
    <cellStyle name="Millares 2 2 2 2 2 2 4" xfId="6168" xr:uid="{86292065-0934-4420-8760-9AAA9E46EC23}"/>
    <cellStyle name="Millares 2 2 2 2 2 2 4 2" xfId="11018" xr:uid="{83ABEAD1-B9E6-447D-A4D8-0C51BF6DD0AB}"/>
    <cellStyle name="Millares 2 2 2 2 2 2 5" xfId="3745" xr:uid="{D16F2C37-3DFA-465B-92FA-12695D840E1B}"/>
    <cellStyle name="Millares 2 2 2 2 2 2 5 2" xfId="8599" xr:uid="{C99AB3A7-1C5B-4C4F-9748-BEDE6A9C6713}"/>
    <cellStyle name="Millares 2 2 2 2 2 2 6" xfId="2532" xr:uid="{7B9B3D07-E510-4403-B36E-AA1DC5A73F51}"/>
    <cellStyle name="Millares 2 2 2 2 2 2 7" xfId="7388" xr:uid="{B7487425-88DD-4CBF-A4F5-6BBD09CE95A6}"/>
    <cellStyle name="Millares 2 2 2 2 2 3" xfId="1913" xr:uid="{00CB27DF-4445-40F2-95B7-8210BBCFCA5A}"/>
    <cellStyle name="Millares 2 2 2 2 2 3 2" xfId="5558" xr:uid="{DAE7FE8E-4A3E-4DF9-84CD-436271AFFFF8}"/>
    <cellStyle name="Millares 2 2 2 2 2 3 2 2" xfId="10410" xr:uid="{11D4F881-2749-4768-B9A0-5617C199DB06}"/>
    <cellStyle name="Millares 2 2 2 2 2 3 3" xfId="6774" xr:uid="{3B180281-97F3-4795-AF33-BED458912AC7}"/>
    <cellStyle name="Millares 2 2 2 2 2 3 3 2" xfId="11622" xr:uid="{A2907D9C-EABF-43A3-95CA-8786C107F893}"/>
    <cellStyle name="Millares 2 2 2 2 2 3 4" xfId="4348" xr:uid="{F90B9D72-C3E4-4B51-BB31-528BF2861074}"/>
    <cellStyle name="Millares 2 2 2 2 2 3 4 2" xfId="9202" xr:uid="{36495AB2-50F6-4498-A11A-19B4580BB1A1}"/>
    <cellStyle name="Millares 2 2 2 2 2 3 5" xfId="3135" xr:uid="{BF1BD4B7-D469-41CB-9255-234E733C7189}"/>
    <cellStyle name="Millares 2 2 2 2 2 3 6" xfId="7991" xr:uid="{9A04CC72-C40C-477F-BAE5-B9EE380F6789}"/>
    <cellStyle name="Millares 2 2 2 2 2 4" xfId="4954" xr:uid="{8252C382-D0EB-46D2-85E7-C28F46034F71}"/>
    <cellStyle name="Millares 2 2 2 2 2 4 2" xfId="9806" xr:uid="{DFA57A22-0DEE-49C7-AEC4-4413BE279E79}"/>
    <cellStyle name="Millares 2 2 2 2 2 5" xfId="6167" xr:uid="{7E12C5C3-1D8F-4AA2-9CEA-5FFF25D88991}"/>
    <cellStyle name="Millares 2 2 2 2 2 5 2" xfId="11017" xr:uid="{5508DA61-7B94-46F1-8133-2E51807EB49C}"/>
    <cellStyle name="Millares 2 2 2 2 2 6" xfId="3744" xr:uid="{7EFF0CBF-ACDE-47E2-88DF-ED9EAFAE36E4}"/>
    <cellStyle name="Millares 2 2 2 2 2 6 2" xfId="8598" xr:uid="{B3BD231B-0429-45A7-9902-24995191F83B}"/>
    <cellStyle name="Millares 2 2 2 2 2 7" xfId="2531" xr:uid="{97B6580A-05A8-478A-8882-A1E2CF3C4648}"/>
    <cellStyle name="Millares 2 2 2 2 2 8" xfId="7387" xr:uid="{2326C0C1-B55A-4E15-AE5D-0D2BFA413373}"/>
    <cellStyle name="Millares 2 2 2 2 3" xfId="239" xr:uid="{407FEEA6-A76D-41D1-8576-BD1B445F6A9E}"/>
    <cellStyle name="Millares 2 2 2 2 3 2" xfId="1915" xr:uid="{51DE2C2E-EC29-4D2F-AFD5-9B31D484B01A}"/>
    <cellStyle name="Millares 2 2 2 2 3 2 2" xfId="5560" xr:uid="{1AF64A81-8B96-426D-AB01-3E3A92042A5D}"/>
    <cellStyle name="Millares 2 2 2 2 3 2 2 2" xfId="10412" xr:uid="{B9914416-A990-40A4-8733-739920685828}"/>
    <cellStyle name="Millares 2 2 2 2 3 2 3" xfId="6776" xr:uid="{07061AC2-BE58-4A0B-B62A-CF6E95601F9A}"/>
    <cellStyle name="Millares 2 2 2 2 3 2 3 2" xfId="11624" xr:uid="{4F4B4CE8-96DE-4A18-91EC-F5AA74CD1568}"/>
    <cellStyle name="Millares 2 2 2 2 3 2 4" xfId="4350" xr:uid="{08628244-751F-4F44-B1B7-5C06D615E974}"/>
    <cellStyle name="Millares 2 2 2 2 3 2 4 2" xfId="9204" xr:uid="{0C0185F9-8FE0-446E-B4E6-F3F15C5E490A}"/>
    <cellStyle name="Millares 2 2 2 2 3 2 5" xfId="3137" xr:uid="{1F3767C1-A575-45F3-B0B5-E2273964BCCF}"/>
    <cellStyle name="Millares 2 2 2 2 3 2 6" xfId="7993" xr:uid="{363EBA1D-753B-4013-9F2F-B3AE32326A1A}"/>
    <cellStyle name="Millares 2 2 2 2 3 3" xfId="4956" xr:uid="{5911C740-66E4-403F-9107-49310F7BDB8B}"/>
    <cellStyle name="Millares 2 2 2 2 3 3 2" xfId="9808" xr:uid="{611374DC-C53E-4650-8A87-037DBD582A83}"/>
    <cellStyle name="Millares 2 2 2 2 3 4" xfId="6169" xr:uid="{24B8D0C7-1874-44C8-9AF1-C4B61C2859A6}"/>
    <cellStyle name="Millares 2 2 2 2 3 4 2" xfId="11019" xr:uid="{86738993-777C-4B95-99E5-02E561B9117E}"/>
    <cellStyle name="Millares 2 2 2 2 3 5" xfId="3746" xr:uid="{778117E3-FDA4-4976-9EA7-450E01F2536C}"/>
    <cellStyle name="Millares 2 2 2 2 3 5 2" xfId="8600" xr:uid="{1C598A3A-23BD-4EE2-A74D-4F20AF44B4E5}"/>
    <cellStyle name="Millares 2 2 2 2 3 6" xfId="2533" xr:uid="{C13E51B6-8167-49E2-93B5-9F3E384B8122}"/>
    <cellStyle name="Millares 2 2 2 2 3 7" xfId="7389" xr:uid="{DA0517A8-37A4-414B-816F-97C24E6EA38C}"/>
    <cellStyle name="Millares 2 2 2 2 4" xfId="1912" xr:uid="{286178EC-CC3E-4DAA-AF54-DCF7A0270838}"/>
    <cellStyle name="Millares 2 2 2 2 4 2" xfId="5557" xr:uid="{8B9FABF0-8830-48F8-A8E1-82DF6726B4A9}"/>
    <cellStyle name="Millares 2 2 2 2 4 2 2" xfId="10409" xr:uid="{89E0FBC2-2892-4A87-BEA8-1A441F1C306F}"/>
    <cellStyle name="Millares 2 2 2 2 4 3" xfId="6773" xr:uid="{8F74DCB2-7CBA-48BA-9771-4473C809E61C}"/>
    <cellStyle name="Millares 2 2 2 2 4 3 2" xfId="11621" xr:uid="{A97A1E80-8A9D-48A5-BC2E-214E5C8E5CC5}"/>
    <cellStyle name="Millares 2 2 2 2 4 4" xfId="4347" xr:uid="{231E7ACE-6CDD-4819-B779-02946F1BCAB6}"/>
    <cellStyle name="Millares 2 2 2 2 4 4 2" xfId="9201" xr:uid="{CF3DE804-1471-4333-B145-C1EDD9FD888C}"/>
    <cellStyle name="Millares 2 2 2 2 4 5" xfId="3134" xr:uid="{21983E10-186D-4F33-AE94-8F1E6FE17B98}"/>
    <cellStyle name="Millares 2 2 2 2 4 6" xfId="7990" xr:uid="{2C8F8543-69C6-444B-8D89-BE0A51ABAF61}"/>
    <cellStyle name="Millares 2 2 2 2 5" xfId="4953" xr:uid="{30A45A29-6C7B-4203-94AD-6F8C789DA511}"/>
    <cellStyle name="Millares 2 2 2 2 5 2" xfId="9805" xr:uid="{0A800B3C-219D-4A51-B6A3-474A7C6BC7CF}"/>
    <cellStyle name="Millares 2 2 2 2 6" xfId="6166" xr:uid="{FCBCCD10-6649-4A76-AE9B-171A6B1644CE}"/>
    <cellStyle name="Millares 2 2 2 2 6 2" xfId="11016" xr:uid="{7B2140E8-1D80-471B-B7A7-6CD79D5BDD55}"/>
    <cellStyle name="Millares 2 2 2 2 7" xfId="3743" xr:uid="{399ADB46-83C5-4C22-A0BA-42EB0B425D21}"/>
    <cellStyle name="Millares 2 2 2 2 7 2" xfId="8597" xr:uid="{088DB433-BD28-40C7-8944-7FD77498C4CB}"/>
    <cellStyle name="Millares 2 2 2 2 8" xfId="2530" xr:uid="{D113310E-9389-472E-9F6A-722747884E25}"/>
    <cellStyle name="Millares 2 2 2 2 9" xfId="7386" xr:uid="{0476BB4A-8415-4648-B223-2B5027EE5FC0}"/>
    <cellStyle name="Millares 2 2 2 3" xfId="240" xr:uid="{AE8140C0-AF72-43EF-A705-F53A8A0A0027}"/>
    <cellStyle name="Millares 2 2 2 3 2" xfId="241" xr:uid="{2B143F2B-7267-4102-9E67-3F7AEB952DFB}"/>
    <cellStyle name="Millares 2 2 2 3 2 2" xfId="242" xr:uid="{FECFB008-A6A2-462A-9F06-F86ECFCF6AB6}"/>
    <cellStyle name="Millares 2 2 2 3 2 2 2" xfId="1918" xr:uid="{892D6B61-5494-4077-BDB7-969D1A264DC9}"/>
    <cellStyle name="Millares 2 2 2 3 2 2 2 2" xfId="5563" xr:uid="{0171205E-CF7E-4587-A186-9E055AD650A2}"/>
    <cellStyle name="Millares 2 2 2 3 2 2 2 2 2" xfId="10415" xr:uid="{E0A6D985-1F57-4539-80F3-B2B1D269D8DE}"/>
    <cellStyle name="Millares 2 2 2 3 2 2 2 3" xfId="6779" xr:uid="{08DBCBD6-A9FB-4457-B0B1-3A4D279DB740}"/>
    <cellStyle name="Millares 2 2 2 3 2 2 2 3 2" xfId="11627" xr:uid="{734D002A-42BD-4597-8F0B-8755C07AC9E8}"/>
    <cellStyle name="Millares 2 2 2 3 2 2 2 4" xfId="4353" xr:uid="{C9310191-FD3B-49E1-9E06-98755A621175}"/>
    <cellStyle name="Millares 2 2 2 3 2 2 2 4 2" xfId="9207" xr:uid="{D1524114-66C5-439F-AB49-AEE07545F284}"/>
    <cellStyle name="Millares 2 2 2 3 2 2 2 5" xfId="3140" xr:uid="{60AEE972-D229-4743-99E0-C1C19C9AB58B}"/>
    <cellStyle name="Millares 2 2 2 3 2 2 2 6" xfId="7996" xr:uid="{95E4A493-6607-493B-9ACC-68DB93BD46BD}"/>
    <cellStyle name="Millares 2 2 2 3 2 2 3" xfId="4959" xr:uid="{B45617BE-6013-43A2-9A59-A93B5CAC7BC2}"/>
    <cellStyle name="Millares 2 2 2 3 2 2 3 2" xfId="9811" xr:uid="{58230B21-09D3-4C10-95A4-3A870B78BB8A}"/>
    <cellStyle name="Millares 2 2 2 3 2 2 4" xfId="6172" xr:uid="{30066D8D-A3CE-4E06-A7B5-7EB03C76F4FE}"/>
    <cellStyle name="Millares 2 2 2 3 2 2 4 2" xfId="11022" xr:uid="{8DBF4332-BE39-436E-8A63-5AB7878210CA}"/>
    <cellStyle name="Millares 2 2 2 3 2 2 5" xfId="3749" xr:uid="{F3D9FA12-E3C5-41BD-B77C-C7F66DF9BBA0}"/>
    <cellStyle name="Millares 2 2 2 3 2 2 5 2" xfId="8603" xr:uid="{570B4F26-12D1-4559-98F6-B522EFFA20A7}"/>
    <cellStyle name="Millares 2 2 2 3 2 2 6" xfId="2536" xr:uid="{355A208E-8FD0-490F-A0E1-DAC42EBC73BC}"/>
    <cellStyle name="Millares 2 2 2 3 2 2 7" xfId="7392" xr:uid="{AFAFBDBE-86AF-483E-A1E7-41B0124F5DE2}"/>
    <cellStyle name="Millares 2 2 2 3 2 3" xfId="1917" xr:uid="{ABC049CA-4FD6-4B28-B240-6C0901532CC0}"/>
    <cellStyle name="Millares 2 2 2 3 2 3 2" xfId="5562" xr:uid="{3DC430AD-25A9-4829-B40E-65E0E98FFD7F}"/>
    <cellStyle name="Millares 2 2 2 3 2 3 2 2" xfId="10414" xr:uid="{C2E294BD-5000-4896-83BC-AF4B05B9E64D}"/>
    <cellStyle name="Millares 2 2 2 3 2 3 3" xfId="6778" xr:uid="{F5241E7A-1DF0-4D3F-8604-48C2911D3C34}"/>
    <cellStyle name="Millares 2 2 2 3 2 3 3 2" xfId="11626" xr:uid="{7FA3C4ED-947B-4127-97D7-30049E5E5922}"/>
    <cellStyle name="Millares 2 2 2 3 2 3 4" xfId="4352" xr:uid="{88C1C999-D796-480A-A0BE-A6D2077AE4A1}"/>
    <cellStyle name="Millares 2 2 2 3 2 3 4 2" xfId="9206" xr:uid="{9FD78E2A-65D2-46FD-9F0E-9DADBDFDA1BD}"/>
    <cellStyle name="Millares 2 2 2 3 2 3 5" xfId="3139" xr:uid="{6087483A-6CBD-4185-825E-680FBEFE5274}"/>
    <cellStyle name="Millares 2 2 2 3 2 3 6" xfId="7995" xr:uid="{BD8780C7-95C1-4252-91A7-E41FC509D97E}"/>
    <cellStyle name="Millares 2 2 2 3 2 4" xfId="4958" xr:uid="{3FD7E6C0-1E5E-44C7-A026-2F7EF90B1E7F}"/>
    <cellStyle name="Millares 2 2 2 3 2 4 2" xfId="9810" xr:uid="{DA192F8C-3E69-4A67-B25D-DE0B49041385}"/>
    <cellStyle name="Millares 2 2 2 3 2 5" xfId="6171" xr:uid="{A966DBF7-2DF7-4BEF-8F8F-401EDA9721E9}"/>
    <cellStyle name="Millares 2 2 2 3 2 5 2" xfId="11021" xr:uid="{204AE47F-BEBE-4138-ADBB-149D2521A211}"/>
    <cellStyle name="Millares 2 2 2 3 2 6" xfId="3748" xr:uid="{8C4E58FB-77B0-4A59-AF10-D581964C7E21}"/>
    <cellStyle name="Millares 2 2 2 3 2 6 2" xfId="8602" xr:uid="{256E1733-C01A-4874-92EB-04C3C7FB53E9}"/>
    <cellStyle name="Millares 2 2 2 3 2 7" xfId="2535" xr:uid="{9E5E184F-785D-48DA-A4ED-1F90A51B3BE8}"/>
    <cellStyle name="Millares 2 2 2 3 2 8" xfId="7391" xr:uid="{34844252-CDBB-46E7-9FA8-D143284F9F72}"/>
    <cellStyle name="Millares 2 2 2 3 3" xfId="243" xr:uid="{5F2816C6-F2D5-4F14-8FBF-3DB0162807ED}"/>
    <cellStyle name="Millares 2 2 2 3 3 2" xfId="1919" xr:uid="{8BAF9521-E8BE-449E-9B3A-987A5CA51482}"/>
    <cellStyle name="Millares 2 2 2 3 3 2 2" xfId="5564" xr:uid="{E880B88E-540E-48D1-9F0A-71DFC4228C29}"/>
    <cellStyle name="Millares 2 2 2 3 3 2 2 2" xfId="10416" xr:uid="{AA52834A-012F-4411-A111-1CAE71183324}"/>
    <cellStyle name="Millares 2 2 2 3 3 2 3" xfId="6780" xr:uid="{55B12C2E-6153-4EDD-BC8C-179C7CBD9F48}"/>
    <cellStyle name="Millares 2 2 2 3 3 2 3 2" xfId="11628" xr:uid="{DD5C004A-510D-4DAD-B267-4B6532151EFA}"/>
    <cellStyle name="Millares 2 2 2 3 3 2 4" xfId="4354" xr:uid="{19135085-2157-4DB4-AB1C-2DBFDE49077A}"/>
    <cellStyle name="Millares 2 2 2 3 3 2 4 2" xfId="9208" xr:uid="{2FF59960-269D-4C94-AB09-79FAEFE47110}"/>
    <cellStyle name="Millares 2 2 2 3 3 2 5" xfId="3141" xr:uid="{978E52AD-1693-4C5A-AAEB-716D43F36A62}"/>
    <cellStyle name="Millares 2 2 2 3 3 2 6" xfId="7997" xr:uid="{0B0EBF1A-6A54-4EA0-B386-F094D54108FD}"/>
    <cellStyle name="Millares 2 2 2 3 3 3" xfId="4960" xr:uid="{466400F3-2686-4AC9-A3A1-E30B6137C327}"/>
    <cellStyle name="Millares 2 2 2 3 3 3 2" xfId="9812" xr:uid="{7C930D1A-05E0-4BBF-BCAA-B68680B452CE}"/>
    <cellStyle name="Millares 2 2 2 3 3 4" xfId="6173" xr:uid="{3D4FCBF2-BC95-437A-84A5-C294899DC7F8}"/>
    <cellStyle name="Millares 2 2 2 3 3 4 2" xfId="11023" xr:uid="{762B9135-0A3B-4B2C-96D8-0782A278D60B}"/>
    <cellStyle name="Millares 2 2 2 3 3 5" xfId="3750" xr:uid="{0C12CBB2-1567-4C8F-9580-95F61C44149E}"/>
    <cellStyle name="Millares 2 2 2 3 3 5 2" xfId="8604" xr:uid="{74E6350D-9345-4027-A7F0-5FD07D5BC0EC}"/>
    <cellStyle name="Millares 2 2 2 3 3 6" xfId="2537" xr:uid="{F2466A14-0383-44FE-9472-71DC316AAAB7}"/>
    <cellStyle name="Millares 2 2 2 3 3 7" xfId="7393" xr:uid="{E396A21A-FDD0-4670-B7E0-92D7E6611816}"/>
    <cellStyle name="Millares 2 2 2 3 4" xfId="1916" xr:uid="{77ACD215-C2A1-4872-B0A1-18D3860111E0}"/>
    <cellStyle name="Millares 2 2 2 3 4 2" xfId="5561" xr:uid="{881A17B2-8106-452D-8565-ABFD183E425E}"/>
    <cellStyle name="Millares 2 2 2 3 4 2 2" xfId="10413" xr:uid="{A2892978-A05A-4CA5-B23E-5847D349CC42}"/>
    <cellStyle name="Millares 2 2 2 3 4 3" xfId="6777" xr:uid="{59AB1904-9315-4386-AB56-7B4CBE1BE093}"/>
    <cellStyle name="Millares 2 2 2 3 4 3 2" xfId="11625" xr:uid="{293817DD-40AD-472A-B232-E2F82E703887}"/>
    <cellStyle name="Millares 2 2 2 3 4 4" xfId="4351" xr:uid="{9614EE6E-CFB0-445B-B258-A3B2AC928D26}"/>
    <cellStyle name="Millares 2 2 2 3 4 4 2" xfId="9205" xr:uid="{5344586C-A691-44E0-AFFC-0C3C940EC7F7}"/>
    <cellStyle name="Millares 2 2 2 3 4 5" xfId="3138" xr:uid="{C8EE336E-CB72-4FB2-89A1-0575CE1206FB}"/>
    <cellStyle name="Millares 2 2 2 3 4 6" xfId="7994" xr:uid="{BBFDBD7E-85DE-4A72-8917-5AC1C0A42F25}"/>
    <cellStyle name="Millares 2 2 2 3 5" xfId="4957" xr:uid="{3723876F-9245-4891-A014-941429D54499}"/>
    <cellStyle name="Millares 2 2 2 3 5 2" xfId="9809" xr:uid="{3ED0B3D7-B81C-4664-919D-09CB7167D986}"/>
    <cellStyle name="Millares 2 2 2 3 6" xfId="6170" xr:uid="{773C5BA7-9FE5-44F8-9914-729316FCCEDC}"/>
    <cellStyle name="Millares 2 2 2 3 6 2" xfId="11020" xr:uid="{387C7D5F-98AD-444A-A9B3-A51275AF870F}"/>
    <cellStyle name="Millares 2 2 2 3 7" xfId="3747" xr:uid="{1167A54F-C7F1-4DDE-B656-640762F9A6B5}"/>
    <cellStyle name="Millares 2 2 2 3 7 2" xfId="8601" xr:uid="{481DD6DE-1E10-452B-958B-5B49073328B3}"/>
    <cellStyle name="Millares 2 2 2 3 8" xfId="2534" xr:uid="{11508C1A-6A07-4312-9893-EBAC9665EE3A}"/>
    <cellStyle name="Millares 2 2 2 3 9" xfId="7390" xr:uid="{4010DCC0-96C3-4B11-82F3-2D98E4AFF020}"/>
    <cellStyle name="Millares 2 2 2 4" xfId="244" xr:uid="{F4C249AF-0BCC-42C6-8457-28DC96071573}"/>
    <cellStyle name="Millares 2 2 2 4 2" xfId="245" xr:uid="{4A4EDC62-AD9E-49A8-A99D-43C363D6F77B}"/>
    <cellStyle name="Millares 2 2 2 4 2 2" xfId="1921" xr:uid="{6DD4F041-54B5-4B76-8314-44E850DA917A}"/>
    <cellStyle name="Millares 2 2 2 4 2 2 2" xfId="5566" xr:uid="{06AFD6FB-B73F-4243-AF69-51CE3E456F08}"/>
    <cellStyle name="Millares 2 2 2 4 2 2 2 2" xfId="10418" xr:uid="{A16EEA51-B982-49EB-A978-3FBBBC9232B1}"/>
    <cellStyle name="Millares 2 2 2 4 2 2 3" xfId="6782" xr:uid="{C72EE2AE-1AB6-4626-B128-DE1EEC0F818A}"/>
    <cellStyle name="Millares 2 2 2 4 2 2 3 2" xfId="11630" xr:uid="{DEB3C175-F718-4728-BAD4-90E595D9EA6D}"/>
    <cellStyle name="Millares 2 2 2 4 2 2 4" xfId="4356" xr:uid="{DA9E0FD7-6F29-42D0-954A-742AD1526760}"/>
    <cellStyle name="Millares 2 2 2 4 2 2 4 2" xfId="9210" xr:uid="{8DE5F02F-1078-48A0-AC58-A3B2F7403375}"/>
    <cellStyle name="Millares 2 2 2 4 2 2 5" xfId="3143" xr:uid="{6809CD8B-69D4-4F54-8317-FAF54BB78F0E}"/>
    <cellStyle name="Millares 2 2 2 4 2 2 6" xfId="7999" xr:uid="{71916D14-35EE-4FEE-A558-939670769C84}"/>
    <cellStyle name="Millares 2 2 2 4 2 3" xfId="4962" xr:uid="{B0D8852B-17CB-4F93-9010-83D68A42159B}"/>
    <cellStyle name="Millares 2 2 2 4 2 3 2" xfId="9814" xr:uid="{27F7B2B3-008A-4BAC-92D7-2B8CF55F6555}"/>
    <cellStyle name="Millares 2 2 2 4 2 4" xfId="6175" xr:uid="{5EF91E55-8E54-42FF-9643-3FD7A6D54539}"/>
    <cellStyle name="Millares 2 2 2 4 2 4 2" xfId="11025" xr:uid="{4222A5C9-A130-44A2-B268-2C45485DB467}"/>
    <cellStyle name="Millares 2 2 2 4 2 5" xfId="3752" xr:uid="{D5F09AB2-6416-4EF4-97F4-97F086069C21}"/>
    <cellStyle name="Millares 2 2 2 4 2 5 2" xfId="8606" xr:uid="{4B7E26D1-F02B-41E6-A1B3-90379A496591}"/>
    <cellStyle name="Millares 2 2 2 4 2 6" xfId="2539" xr:uid="{ECDF7706-108B-42E9-B30D-18B8400BBB1A}"/>
    <cellStyle name="Millares 2 2 2 4 2 7" xfId="7395" xr:uid="{B7381FB3-52F0-4293-8875-7AFC53D3C81C}"/>
    <cellStyle name="Millares 2 2 2 4 3" xfId="1920" xr:uid="{A9C584D2-51FB-44C9-80BD-A101C8090F03}"/>
    <cellStyle name="Millares 2 2 2 4 3 2" xfId="5565" xr:uid="{A1F6B36D-64B0-4E8D-A4C3-825125E87912}"/>
    <cellStyle name="Millares 2 2 2 4 3 2 2" xfId="10417" xr:uid="{D6419C37-1575-43FD-A0FE-2294119AE219}"/>
    <cellStyle name="Millares 2 2 2 4 3 3" xfId="6781" xr:uid="{79946B4D-24CF-4827-B78F-033543C00AAB}"/>
    <cellStyle name="Millares 2 2 2 4 3 3 2" xfId="11629" xr:uid="{D7870AEB-1BD2-426F-A72E-0DC33ECF86E8}"/>
    <cellStyle name="Millares 2 2 2 4 3 4" xfId="4355" xr:uid="{4E4CA25C-D7C8-4E19-8AC4-2B4E0457294F}"/>
    <cellStyle name="Millares 2 2 2 4 3 4 2" xfId="9209" xr:uid="{DCAA13C2-2CDB-4233-A2C1-5E61CFC77597}"/>
    <cellStyle name="Millares 2 2 2 4 3 5" xfId="3142" xr:uid="{5E23145A-D8A4-49FF-A836-41F896BCE70F}"/>
    <cellStyle name="Millares 2 2 2 4 3 6" xfId="7998" xr:uid="{CB08C149-4636-43BD-9C7D-E39DDE71E6CF}"/>
    <cellStyle name="Millares 2 2 2 4 4" xfId="4961" xr:uid="{B9345D85-6A4A-4DC9-950C-E9121B44CEB7}"/>
    <cellStyle name="Millares 2 2 2 4 4 2" xfId="9813" xr:uid="{C1D241C1-9750-4DAE-ACE4-1EA82B63933F}"/>
    <cellStyle name="Millares 2 2 2 4 5" xfId="6174" xr:uid="{4FA6202B-CB76-463B-8FF1-7346F521A8D0}"/>
    <cellStyle name="Millares 2 2 2 4 5 2" xfId="11024" xr:uid="{161A93E2-2ED4-41E0-B2F0-D538106C29E0}"/>
    <cellStyle name="Millares 2 2 2 4 6" xfId="3751" xr:uid="{96108820-8F88-4611-9EA6-20C4E44F85B4}"/>
    <cellStyle name="Millares 2 2 2 4 6 2" xfId="8605" xr:uid="{2C456A54-FF3D-454C-99CC-6F1CA72B2D05}"/>
    <cellStyle name="Millares 2 2 2 4 7" xfId="2538" xr:uid="{C1298515-51B6-401E-8822-6CE86E0C6A84}"/>
    <cellStyle name="Millares 2 2 2 4 8" xfId="7394" xr:uid="{CF791A4E-A79B-41C5-AAF9-9AE4EC294631}"/>
    <cellStyle name="Millares 2 2 2 5" xfId="246" xr:uid="{37E8614D-0D07-4038-A105-FA14DF610072}"/>
    <cellStyle name="Millares 2 2 2 5 2" xfId="1922" xr:uid="{0362E1AB-A391-48AE-AE71-FA7C2D6B9902}"/>
    <cellStyle name="Millares 2 2 2 5 2 2" xfId="5567" xr:uid="{031268CE-DF38-4771-8462-3E8AF548B4E1}"/>
    <cellStyle name="Millares 2 2 2 5 2 2 2" xfId="10419" xr:uid="{1DE8AA86-3F4B-41CC-8B2B-86102579CC30}"/>
    <cellStyle name="Millares 2 2 2 5 2 3" xfId="6783" xr:uid="{47A91AED-5C3E-4B9C-BEAE-E91691D3ADEF}"/>
    <cellStyle name="Millares 2 2 2 5 2 3 2" xfId="11631" xr:uid="{614CE7C2-9187-4B51-A181-F37021358DAC}"/>
    <cellStyle name="Millares 2 2 2 5 2 4" xfId="4357" xr:uid="{E1F4E2D2-D4B5-495A-95E8-9AB1D70AE1AF}"/>
    <cellStyle name="Millares 2 2 2 5 2 4 2" xfId="9211" xr:uid="{3810B98E-E228-4653-8A7C-5BD9DA9A1F56}"/>
    <cellStyle name="Millares 2 2 2 5 2 5" xfId="3144" xr:uid="{39FFCF79-5FA0-4753-A971-6FBC943ED402}"/>
    <cellStyle name="Millares 2 2 2 5 2 6" xfId="8000" xr:uid="{3A56DCC5-DB2A-48F2-A994-8F919FE5A3C1}"/>
    <cellStyle name="Millares 2 2 2 5 3" xfId="4963" xr:uid="{D2A6B3C4-7977-468C-971E-AA2427FEA557}"/>
    <cellStyle name="Millares 2 2 2 5 3 2" xfId="9815" xr:uid="{69271687-FD57-47EC-9170-BA4D880905D1}"/>
    <cellStyle name="Millares 2 2 2 5 4" xfId="6176" xr:uid="{27446D09-D5A6-4064-9A99-1B2B27E3D140}"/>
    <cellStyle name="Millares 2 2 2 5 4 2" xfId="11026" xr:uid="{A423E5AF-5018-4F6E-96A6-EF280C592E92}"/>
    <cellStyle name="Millares 2 2 2 5 5" xfId="3753" xr:uid="{6CA4A481-7A23-4AF0-99CF-C0EA16461348}"/>
    <cellStyle name="Millares 2 2 2 5 5 2" xfId="8607" xr:uid="{21898D23-93FF-4298-B1F3-F580911498D4}"/>
    <cellStyle name="Millares 2 2 2 5 6" xfId="2540" xr:uid="{27F2EEDB-3DB2-48D6-A07B-F98BF42651D7}"/>
    <cellStyle name="Millares 2 2 2 5 7" xfId="7396" xr:uid="{069351A7-378E-47A9-8CD7-608DF8C1A509}"/>
    <cellStyle name="Millares 2 2 2 6" xfId="1911" xr:uid="{265AEB8A-2F93-478B-822F-BD0369FD9DA2}"/>
    <cellStyle name="Millares 2 2 2 6 2" xfId="5556" xr:uid="{08B97428-2107-4937-BF77-9C672AC98C58}"/>
    <cellStyle name="Millares 2 2 2 6 2 2" xfId="10408" xr:uid="{48AF5B2E-F345-4FDF-9A6F-CBF90120C4F4}"/>
    <cellStyle name="Millares 2 2 2 6 3" xfId="6772" xr:uid="{A5759F18-D9BF-4916-9E61-F9F3CE750BE6}"/>
    <cellStyle name="Millares 2 2 2 6 3 2" xfId="11620" xr:uid="{56D82C29-457D-4031-A7D2-A8E1D708EFC8}"/>
    <cellStyle name="Millares 2 2 2 6 4" xfId="4346" xr:uid="{807F5ADF-4F25-41B3-AE45-F378168784DE}"/>
    <cellStyle name="Millares 2 2 2 6 4 2" xfId="9200" xr:uid="{B1366174-1DBD-46F5-A0DB-B9A4CC679507}"/>
    <cellStyle name="Millares 2 2 2 6 5" xfId="3133" xr:uid="{B65FF440-DCC0-4D4B-AB7C-222E6DEE379A}"/>
    <cellStyle name="Millares 2 2 2 6 6" xfId="7989" xr:uid="{6A6E5F36-D5BA-4E44-AB3A-A6C2D027C62E}"/>
    <cellStyle name="Millares 2 2 2 7" xfId="4952" xr:uid="{5FA6D2D4-131A-4989-80C0-DAEC5C9160C6}"/>
    <cellStyle name="Millares 2 2 2 7 2" xfId="9804" xr:uid="{592CEBC3-BC88-4EFC-8682-6FDC2DB9E2BA}"/>
    <cellStyle name="Millares 2 2 2 8" xfId="6165" xr:uid="{262E7B1F-2A5A-4480-BF20-57473A683804}"/>
    <cellStyle name="Millares 2 2 2 8 2" xfId="11015" xr:uid="{CE2612BB-0291-44C7-B214-51F31A0CFADF}"/>
    <cellStyle name="Millares 2 2 2 9" xfId="3742" xr:uid="{2BBD80DA-2F4C-4965-AE8A-A5FB8DC4A4E0}"/>
    <cellStyle name="Millares 2 2 2 9 2" xfId="8596" xr:uid="{3513556F-8F50-405A-91D3-D6D141DF360D}"/>
    <cellStyle name="Millares 2 2 3" xfId="247" xr:uid="{4EA2389E-9911-4D7D-9F6F-860C9158E4C6}"/>
    <cellStyle name="Millares 2 2 3 2" xfId="248" xr:uid="{48680DB7-B8A9-483E-AF1D-E2857C741F7A}"/>
    <cellStyle name="Millares 2 2 3 2 2" xfId="249" xr:uid="{9981583E-647E-4C57-9729-9FD56C21675D}"/>
    <cellStyle name="Millares 2 2 3 2 2 2" xfId="1925" xr:uid="{84CC3436-AB25-462D-8603-32776FF94465}"/>
    <cellStyle name="Millares 2 2 3 2 2 2 2" xfId="5570" xr:uid="{CBDF7417-536A-45AB-B05A-FB631BB826CD}"/>
    <cellStyle name="Millares 2 2 3 2 2 2 2 2" xfId="10422" xr:uid="{0A0DF8CB-43FC-4CA4-8844-66351C1EE4E2}"/>
    <cellStyle name="Millares 2 2 3 2 2 2 3" xfId="6786" xr:uid="{19799098-A6CD-4006-98DB-E093F06C6CE8}"/>
    <cellStyle name="Millares 2 2 3 2 2 2 3 2" xfId="11634" xr:uid="{7EE43959-F97B-4472-97A5-9365C260658D}"/>
    <cellStyle name="Millares 2 2 3 2 2 2 4" xfId="4360" xr:uid="{2AA55796-3675-45B9-92D1-649FFD717F21}"/>
    <cellStyle name="Millares 2 2 3 2 2 2 4 2" xfId="9214" xr:uid="{90033A69-F21B-4C49-B67E-F675B6E7CDF7}"/>
    <cellStyle name="Millares 2 2 3 2 2 2 5" xfId="3147" xr:uid="{632DC6D0-889F-40F3-B503-2BCC8A497368}"/>
    <cellStyle name="Millares 2 2 3 2 2 2 6" xfId="8003" xr:uid="{4C8204A3-8117-4D12-A49D-6DC612AC5E0B}"/>
    <cellStyle name="Millares 2 2 3 2 2 3" xfId="4966" xr:uid="{DD0B2EAE-3A3F-4FA9-ACA9-818287D4B366}"/>
    <cellStyle name="Millares 2 2 3 2 2 3 2" xfId="9818" xr:uid="{BC416EFE-1C46-4FAF-90C1-374A7439511E}"/>
    <cellStyle name="Millares 2 2 3 2 2 4" xfId="6179" xr:uid="{1AACC245-C664-4228-89C6-9B48833F845C}"/>
    <cellStyle name="Millares 2 2 3 2 2 4 2" xfId="11029" xr:uid="{C69EA36C-E300-4C23-8F6F-06DF5318A976}"/>
    <cellStyle name="Millares 2 2 3 2 2 5" xfId="3756" xr:uid="{359504F1-2701-41F3-9558-19398E32BFDB}"/>
    <cellStyle name="Millares 2 2 3 2 2 5 2" xfId="8610" xr:uid="{D4FA2758-08EA-4388-9268-59F0760BE37D}"/>
    <cellStyle name="Millares 2 2 3 2 2 6" xfId="2543" xr:uid="{3E887A00-0632-48B1-A806-47F20C07A799}"/>
    <cellStyle name="Millares 2 2 3 2 2 7" xfId="7399" xr:uid="{3558BC39-CB7E-46E4-9DE2-E310455D2750}"/>
    <cellStyle name="Millares 2 2 3 2 3" xfId="1924" xr:uid="{3C4C8845-F31E-4ECD-A4BD-A12045E7C236}"/>
    <cellStyle name="Millares 2 2 3 2 3 2" xfId="5569" xr:uid="{8561DD55-CC3F-4FE4-9C28-C6B759857FFD}"/>
    <cellStyle name="Millares 2 2 3 2 3 2 2" xfId="10421" xr:uid="{E210A24C-4D4A-4EDC-8DE8-5BCB1BE701F3}"/>
    <cellStyle name="Millares 2 2 3 2 3 3" xfId="6785" xr:uid="{FC17227F-EAF5-43AF-B2CF-1770B53712F1}"/>
    <cellStyle name="Millares 2 2 3 2 3 3 2" xfId="11633" xr:uid="{A35F39E2-D9BA-4353-B09E-E90948998590}"/>
    <cellStyle name="Millares 2 2 3 2 3 4" xfId="4359" xr:uid="{328A8A8F-1208-4DC0-82D4-9362FC185F3D}"/>
    <cellStyle name="Millares 2 2 3 2 3 4 2" xfId="9213" xr:uid="{0C09CEE9-DAF4-4054-89F2-C691A7DBAF49}"/>
    <cellStyle name="Millares 2 2 3 2 3 5" xfId="3146" xr:uid="{D9D1DD52-B67C-4BE9-974C-7752B20A116E}"/>
    <cellStyle name="Millares 2 2 3 2 3 6" xfId="8002" xr:uid="{C55FD7A2-268E-4727-9DFE-BE758FAC9AE9}"/>
    <cellStyle name="Millares 2 2 3 2 4" xfId="4965" xr:uid="{57CA3655-611C-4CEB-8511-789F92964516}"/>
    <cellStyle name="Millares 2 2 3 2 4 2" xfId="9817" xr:uid="{4A56EE22-19A0-46C0-A910-02DF8F239B3D}"/>
    <cellStyle name="Millares 2 2 3 2 5" xfId="6178" xr:uid="{C8932353-B835-4248-8895-C65DCF7366A8}"/>
    <cellStyle name="Millares 2 2 3 2 5 2" xfId="11028" xr:uid="{CBFEBEF8-7D2F-45F3-81D0-E86BE1676585}"/>
    <cellStyle name="Millares 2 2 3 2 6" xfId="3755" xr:uid="{A1C8602E-430F-4E1A-8041-7CC0F3B81214}"/>
    <cellStyle name="Millares 2 2 3 2 6 2" xfId="8609" xr:uid="{AEC590FC-1544-4827-BAB5-763065555FCC}"/>
    <cellStyle name="Millares 2 2 3 2 7" xfId="2542" xr:uid="{B70CB38D-FAD1-4993-95A9-3099DD3610C7}"/>
    <cellStyle name="Millares 2 2 3 2 8" xfId="7398" xr:uid="{603DA192-6101-46C5-9273-EE36402A607D}"/>
    <cellStyle name="Millares 2 2 3 3" xfId="250" xr:uid="{1E79E850-52D3-425E-B5F2-F2FC693F301E}"/>
    <cellStyle name="Millares 2 2 3 3 2" xfId="1926" xr:uid="{BF495B0C-EAFF-482E-8C0D-C5B7C78BCEB1}"/>
    <cellStyle name="Millares 2 2 3 3 2 2" xfId="5571" xr:uid="{2FB8E52F-05D3-43C2-AC02-54001E5D17FE}"/>
    <cellStyle name="Millares 2 2 3 3 2 2 2" xfId="10423" xr:uid="{040B3E92-5BE9-452E-A3B5-318D94E69526}"/>
    <cellStyle name="Millares 2 2 3 3 2 3" xfId="6787" xr:uid="{3C64D3E6-FECF-4FFA-A96E-D05F66426FE4}"/>
    <cellStyle name="Millares 2 2 3 3 2 3 2" xfId="11635" xr:uid="{C9D70101-BA0E-4CEB-8DEB-246E7130A3EB}"/>
    <cellStyle name="Millares 2 2 3 3 2 4" xfId="4361" xr:uid="{499407B1-3FB2-45F8-879F-0EC3CDA1A34A}"/>
    <cellStyle name="Millares 2 2 3 3 2 4 2" xfId="9215" xr:uid="{46BDB4C4-E41E-42F3-8766-5A2D1807CF5B}"/>
    <cellStyle name="Millares 2 2 3 3 2 5" xfId="3148" xr:uid="{C1B0A05F-B01F-46EF-9C7B-89AD2B788953}"/>
    <cellStyle name="Millares 2 2 3 3 2 6" xfId="8004" xr:uid="{4E31B286-6127-49A6-8B1A-56EF0EDF39E1}"/>
    <cellStyle name="Millares 2 2 3 3 3" xfId="4967" xr:uid="{8A3069C3-033F-4D5B-AD29-1FB37B80B12E}"/>
    <cellStyle name="Millares 2 2 3 3 3 2" xfId="9819" xr:uid="{0A7B5065-6C8F-46B7-9F82-75776F099458}"/>
    <cellStyle name="Millares 2 2 3 3 4" xfId="6180" xr:uid="{D6CEDE71-0C2B-44D5-B077-AEBD53070E25}"/>
    <cellStyle name="Millares 2 2 3 3 4 2" xfId="11030" xr:uid="{E4ABC8A3-4005-4C4A-931C-13A4B00999E3}"/>
    <cellStyle name="Millares 2 2 3 3 5" xfId="3757" xr:uid="{3B1F8A3A-13FE-4634-AC58-47D8FBE8E036}"/>
    <cellStyle name="Millares 2 2 3 3 5 2" xfId="8611" xr:uid="{3EF7F0B3-CA6E-4122-8EB4-92FC02906A90}"/>
    <cellStyle name="Millares 2 2 3 3 6" xfId="2544" xr:uid="{28668143-9EC9-4657-BD23-4939CA3FCA98}"/>
    <cellStyle name="Millares 2 2 3 3 7" xfId="7400" xr:uid="{3125CA68-8888-4FEF-AEAF-1865C23F97AE}"/>
    <cellStyle name="Millares 2 2 3 4" xfId="1923" xr:uid="{5577DEFA-01BC-4B7E-8D8D-31108DD430BC}"/>
    <cellStyle name="Millares 2 2 3 4 2" xfId="5568" xr:uid="{FB909523-FFB1-41FF-82B1-869D88FC3CE4}"/>
    <cellStyle name="Millares 2 2 3 4 2 2" xfId="10420" xr:uid="{FC5C779E-F646-4009-87D2-EFEDA46863BD}"/>
    <cellStyle name="Millares 2 2 3 4 3" xfId="6784" xr:uid="{A482344B-BFF5-41F0-9D31-A969236F076B}"/>
    <cellStyle name="Millares 2 2 3 4 3 2" xfId="11632" xr:uid="{9C771011-60C0-40BB-8D81-C775304BA33A}"/>
    <cellStyle name="Millares 2 2 3 4 4" xfId="4358" xr:uid="{A0B956E9-097B-430D-91E9-519DCF3914E3}"/>
    <cellStyle name="Millares 2 2 3 4 4 2" xfId="9212" xr:uid="{6514D4C4-263B-4C61-97A4-DF771C07BD7C}"/>
    <cellStyle name="Millares 2 2 3 4 5" xfId="3145" xr:uid="{702DEE2B-79AF-4BD3-A39E-5ED5D1CDD2C0}"/>
    <cellStyle name="Millares 2 2 3 4 6" xfId="8001" xr:uid="{204C5DEB-CE75-4507-932A-7F0B6E2EB750}"/>
    <cellStyle name="Millares 2 2 3 5" xfId="4964" xr:uid="{D02C24A0-E005-460A-B706-F7AF87212880}"/>
    <cellStyle name="Millares 2 2 3 5 2" xfId="9816" xr:uid="{683345F2-29E6-4640-B918-418DA93044A8}"/>
    <cellStyle name="Millares 2 2 3 6" xfId="6177" xr:uid="{15C251A3-CD08-469B-9557-9D48823785B8}"/>
    <cellStyle name="Millares 2 2 3 6 2" xfId="11027" xr:uid="{D2DF963F-89FF-4BC3-B6AA-CE3822DFF0B7}"/>
    <cellStyle name="Millares 2 2 3 7" xfId="3754" xr:uid="{56CEC2D5-8B4D-4FA0-B464-1BFB97C0083D}"/>
    <cellStyle name="Millares 2 2 3 7 2" xfId="8608" xr:uid="{6478010F-862E-49CB-9673-ACAD95139B2A}"/>
    <cellStyle name="Millares 2 2 3 8" xfId="2541" xr:uid="{4B818B7A-6DFA-4FA6-B09B-D9D1DD9B62E5}"/>
    <cellStyle name="Millares 2 2 3 9" xfId="7397" xr:uid="{3A825AE5-1114-45E2-9E2C-F8E840BCC2D8}"/>
    <cellStyle name="Millares 2 2 4" xfId="251" xr:uid="{B1272CA9-2341-4FB4-9342-75D7934644DC}"/>
    <cellStyle name="Millares 2 2 4 2" xfId="252" xr:uid="{C9CFED03-C994-4EBB-895F-755D4AE00155}"/>
    <cellStyle name="Millares 2 2 4 2 2" xfId="253" xr:uid="{47FA4A5F-CC19-4D7B-8725-6D787C093729}"/>
    <cellStyle name="Millares 2 2 4 2 2 2" xfId="1929" xr:uid="{713190FB-997A-4C34-B835-6DEC0C8E1296}"/>
    <cellStyle name="Millares 2 2 4 2 2 2 2" xfId="5574" xr:uid="{A86272EB-9C96-45BE-83C0-121182550593}"/>
    <cellStyle name="Millares 2 2 4 2 2 2 2 2" xfId="10426" xr:uid="{C59DF897-2D06-4661-B8FA-65279ED04AB3}"/>
    <cellStyle name="Millares 2 2 4 2 2 2 3" xfId="6790" xr:uid="{08461763-D99D-4D50-A614-8EBC0EF754DB}"/>
    <cellStyle name="Millares 2 2 4 2 2 2 3 2" xfId="11638" xr:uid="{986A3ED3-1193-412E-8CF8-41FBC89B1C52}"/>
    <cellStyle name="Millares 2 2 4 2 2 2 4" xfId="4364" xr:uid="{C87C3986-D5F9-48F4-831D-C75C3D0F6760}"/>
    <cellStyle name="Millares 2 2 4 2 2 2 4 2" xfId="9218" xr:uid="{8BF8C8E7-CF93-4C25-9C91-3971109055F9}"/>
    <cellStyle name="Millares 2 2 4 2 2 2 5" xfId="3151" xr:uid="{733B86F8-5371-42BC-A96D-3991984DC76F}"/>
    <cellStyle name="Millares 2 2 4 2 2 2 6" xfId="8007" xr:uid="{A5C01F64-1991-4D4C-9D62-2B827DE723EE}"/>
    <cellStyle name="Millares 2 2 4 2 2 3" xfId="4970" xr:uid="{F58F9610-595F-4AA9-AE96-59AB88EA4CD1}"/>
    <cellStyle name="Millares 2 2 4 2 2 3 2" xfId="9822" xr:uid="{A59D2659-C1CC-4EF9-9AA1-B02B4C518A50}"/>
    <cellStyle name="Millares 2 2 4 2 2 4" xfId="6183" xr:uid="{7C1EC90D-4686-4A91-9FCB-6C95F54BB1F9}"/>
    <cellStyle name="Millares 2 2 4 2 2 4 2" xfId="11033" xr:uid="{ABF4B8A8-D046-4A94-9C64-BEB01BB7684E}"/>
    <cellStyle name="Millares 2 2 4 2 2 5" xfId="3760" xr:uid="{A5462311-D4C8-4FF5-B049-579DF96C2F43}"/>
    <cellStyle name="Millares 2 2 4 2 2 5 2" xfId="8614" xr:uid="{15FA7569-818B-4962-B46E-D9321E1E3018}"/>
    <cellStyle name="Millares 2 2 4 2 2 6" xfId="2547" xr:uid="{B61E0180-2F28-4C4A-BD8D-5F20C1399505}"/>
    <cellStyle name="Millares 2 2 4 2 2 7" xfId="7403" xr:uid="{4EB81DED-81E6-40A6-B053-7AC9D0E1DEEA}"/>
    <cellStyle name="Millares 2 2 4 2 3" xfId="1928" xr:uid="{C4FC93A7-7621-4C3C-BB24-02BC36F26782}"/>
    <cellStyle name="Millares 2 2 4 2 3 2" xfId="5573" xr:uid="{3C128123-BD3B-426B-A947-C75275AE349A}"/>
    <cellStyle name="Millares 2 2 4 2 3 2 2" xfId="10425" xr:uid="{4123DB75-30E7-4533-97DF-53B86DF9F894}"/>
    <cellStyle name="Millares 2 2 4 2 3 3" xfId="6789" xr:uid="{2E880AAD-3245-41FF-9925-811A6E41F951}"/>
    <cellStyle name="Millares 2 2 4 2 3 3 2" xfId="11637" xr:uid="{D4D7FE5E-183B-4195-8F07-FE0D4BA4432F}"/>
    <cellStyle name="Millares 2 2 4 2 3 4" xfId="4363" xr:uid="{A0B77086-735C-47F9-AEB4-9A61E9F6C2D3}"/>
    <cellStyle name="Millares 2 2 4 2 3 4 2" xfId="9217" xr:uid="{CF342D67-CE79-413F-A0C7-54D273EC5BF6}"/>
    <cellStyle name="Millares 2 2 4 2 3 5" xfId="3150" xr:uid="{5B2DD84E-D982-4CD0-AF61-60D755DC20E8}"/>
    <cellStyle name="Millares 2 2 4 2 3 6" xfId="8006" xr:uid="{F31346AF-895D-470C-8049-51AD962E7F3C}"/>
    <cellStyle name="Millares 2 2 4 2 4" xfId="4969" xr:uid="{265746DD-F384-451C-8ACE-505709D676C6}"/>
    <cellStyle name="Millares 2 2 4 2 4 2" xfId="9821" xr:uid="{FF407E1B-AC99-4521-A3ED-FD15FAE3C512}"/>
    <cellStyle name="Millares 2 2 4 2 5" xfId="6182" xr:uid="{8764A0C0-29B8-4985-8560-0C9C0C0B2537}"/>
    <cellStyle name="Millares 2 2 4 2 5 2" xfId="11032" xr:uid="{227A89BB-859C-4C83-87D7-6D01501C73E1}"/>
    <cellStyle name="Millares 2 2 4 2 6" xfId="3759" xr:uid="{4B902944-13C2-4C3C-BE34-1C37B5F3E66A}"/>
    <cellStyle name="Millares 2 2 4 2 6 2" xfId="8613" xr:uid="{E9C79A43-D832-46F3-966B-A957DDAA240B}"/>
    <cellStyle name="Millares 2 2 4 2 7" xfId="2546" xr:uid="{EC6A7B04-ED3D-4ADB-AC1D-E06DACC748B5}"/>
    <cellStyle name="Millares 2 2 4 2 8" xfId="7402" xr:uid="{70EBD90B-5D33-4C53-9406-25D0D2FC7894}"/>
    <cellStyle name="Millares 2 2 4 3" xfId="254" xr:uid="{1DE2B64B-EAA5-4786-B598-51BE329DC732}"/>
    <cellStyle name="Millares 2 2 4 3 2" xfId="1930" xr:uid="{110AAE2A-B090-4C69-BABB-4C7FB0DE3B5E}"/>
    <cellStyle name="Millares 2 2 4 3 2 2" xfId="5575" xr:uid="{DB5558EA-CE20-4797-B2F3-8EFC988B9FDF}"/>
    <cellStyle name="Millares 2 2 4 3 2 2 2" xfId="10427" xr:uid="{968C7CAB-9079-4395-8DFC-F2BBC414CA6F}"/>
    <cellStyle name="Millares 2 2 4 3 2 3" xfId="6791" xr:uid="{ACCF0703-B4BD-4B88-95C7-B765C6B6F0CA}"/>
    <cellStyle name="Millares 2 2 4 3 2 3 2" xfId="11639" xr:uid="{83964CD8-392C-49F8-8A50-D410C8349D6F}"/>
    <cellStyle name="Millares 2 2 4 3 2 4" xfId="4365" xr:uid="{909ED07F-A92A-4702-ACB6-A69015516B5B}"/>
    <cellStyle name="Millares 2 2 4 3 2 4 2" xfId="9219" xr:uid="{51EE2C1C-12E5-4778-BB56-BDC1CB7569ED}"/>
    <cellStyle name="Millares 2 2 4 3 2 5" xfId="3152" xr:uid="{780433AC-9D78-442B-8E5C-A99C8358E681}"/>
    <cellStyle name="Millares 2 2 4 3 2 6" xfId="8008" xr:uid="{6E1E4DE0-26D4-4D52-8399-AA4009716274}"/>
    <cellStyle name="Millares 2 2 4 3 3" xfId="4971" xr:uid="{3A5D7672-E12E-4119-ABA9-8DA5770DA061}"/>
    <cellStyle name="Millares 2 2 4 3 3 2" xfId="9823" xr:uid="{0669B242-B89D-45F3-87D6-DE70C7C268B2}"/>
    <cellStyle name="Millares 2 2 4 3 4" xfId="6184" xr:uid="{FDBFFCC9-1D6E-4102-B6D9-A2BFFD56FA07}"/>
    <cellStyle name="Millares 2 2 4 3 4 2" xfId="11034" xr:uid="{2C31E638-420C-4001-ADEB-1296225A2F6F}"/>
    <cellStyle name="Millares 2 2 4 3 5" xfId="3761" xr:uid="{62CC2AC1-A4A7-4FD5-AF63-4E015D5226C5}"/>
    <cellStyle name="Millares 2 2 4 3 5 2" xfId="8615" xr:uid="{A1A0FB41-12AE-4C09-BF5C-B0F319B28515}"/>
    <cellStyle name="Millares 2 2 4 3 6" xfId="2548" xr:uid="{F9493E3C-007F-4E76-828F-54F462D03CF3}"/>
    <cellStyle name="Millares 2 2 4 3 7" xfId="7404" xr:uid="{625B5B7E-CEB7-4352-A97C-A68A873450C9}"/>
    <cellStyle name="Millares 2 2 4 4" xfId="1927" xr:uid="{5BDD97AD-6F7F-4CD8-AD7B-9FC6F91126F0}"/>
    <cellStyle name="Millares 2 2 4 4 2" xfId="5572" xr:uid="{21596DDA-0D12-49AB-A59A-DBC1FDDDF6F9}"/>
    <cellStyle name="Millares 2 2 4 4 2 2" xfId="10424" xr:uid="{5FCD5E3A-B461-4C2A-9C1C-5E2393C819C7}"/>
    <cellStyle name="Millares 2 2 4 4 3" xfId="6788" xr:uid="{340BC5AB-7C71-435E-AB59-27F618743C28}"/>
    <cellStyle name="Millares 2 2 4 4 3 2" xfId="11636" xr:uid="{AC723155-5724-4D01-BD2E-277FF87492F0}"/>
    <cellStyle name="Millares 2 2 4 4 4" xfId="4362" xr:uid="{966FB008-EB66-40B8-BDCC-A419DA376361}"/>
    <cellStyle name="Millares 2 2 4 4 4 2" xfId="9216" xr:uid="{EE850491-20AA-41BB-996C-F10211439411}"/>
    <cellStyle name="Millares 2 2 4 4 5" xfId="3149" xr:uid="{C214D716-FC42-4324-BB6B-DF93DEA2E534}"/>
    <cellStyle name="Millares 2 2 4 4 6" xfId="8005" xr:uid="{A50AB825-B10B-4371-ADBE-A7A08C298D60}"/>
    <cellStyle name="Millares 2 2 4 5" xfId="4968" xr:uid="{C137BC5E-9747-4F29-81EF-EFC3A81FCBA9}"/>
    <cellStyle name="Millares 2 2 4 5 2" xfId="9820" xr:uid="{06608CE2-8612-425F-AA57-5010B4B85511}"/>
    <cellStyle name="Millares 2 2 4 6" xfId="6181" xr:uid="{203D1222-7DF8-4517-A5EC-72F0CAF1F46C}"/>
    <cellStyle name="Millares 2 2 4 6 2" xfId="11031" xr:uid="{9357386C-D7F9-42E2-B79D-FA49F738D512}"/>
    <cellStyle name="Millares 2 2 4 7" xfId="3758" xr:uid="{5F1D2D63-6A9F-43B4-B34E-930731564725}"/>
    <cellStyle name="Millares 2 2 4 7 2" xfId="8612" xr:uid="{0F6C31F8-1309-467D-AE6E-C17B5679044E}"/>
    <cellStyle name="Millares 2 2 4 8" xfId="2545" xr:uid="{C56487A7-3CBC-41FF-A708-72CF95BB7BDD}"/>
    <cellStyle name="Millares 2 2 4 9" xfId="7401" xr:uid="{2879C992-1645-47B2-A002-D0FEFFD97D5B}"/>
    <cellStyle name="Millares 2 2 5" xfId="255" xr:uid="{47BC505E-49A4-481E-8656-ECF55BF382D7}"/>
    <cellStyle name="Millares 2 2 5 2" xfId="256" xr:uid="{894F188A-4DC8-4807-8AEC-29CE86407663}"/>
    <cellStyle name="Millares 2 2 5 2 2" xfId="1932" xr:uid="{12E84BBA-616F-4DE2-BF8C-33FAD5E4CAAC}"/>
    <cellStyle name="Millares 2 2 5 2 2 2" xfId="5577" xr:uid="{12DB86BE-9136-4703-81A7-05E7776ACDCF}"/>
    <cellStyle name="Millares 2 2 5 2 2 2 2" xfId="10429" xr:uid="{A3F91ED1-8300-4951-BB51-E7E70B3432ED}"/>
    <cellStyle name="Millares 2 2 5 2 2 3" xfId="6793" xr:uid="{3FA5B82D-30C2-4C6B-AAD0-2714B2CC810F}"/>
    <cellStyle name="Millares 2 2 5 2 2 3 2" xfId="11641" xr:uid="{E60B5639-35B6-4125-92E2-03EC08436E1F}"/>
    <cellStyle name="Millares 2 2 5 2 2 4" xfId="4367" xr:uid="{C0CC3708-C23D-49B9-8007-5168FCF488BF}"/>
    <cellStyle name="Millares 2 2 5 2 2 4 2" xfId="9221" xr:uid="{627FC93B-63DF-400F-90D7-9A3A1FE8C642}"/>
    <cellStyle name="Millares 2 2 5 2 2 5" xfId="3154" xr:uid="{C7D56449-9193-4E65-880B-4A5BC35728BE}"/>
    <cellStyle name="Millares 2 2 5 2 2 6" xfId="8010" xr:uid="{2B29FDF5-3EC3-43ED-BF2D-5464BB891662}"/>
    <cellStyle name="Millares 2 2 5 2 3" xfId="4973" xr:uid="{8F3EFFCE-6C16-4E91-89C3-9C4DD5308840}"/>
    <cellStyle name="Millares 2 2 5 2 3 2" xfId="9825" xr:uid="{AF70B008-DF6D-4BFC-8E30-4BD3C3A6F182}"/>
    <cellStyle name="Millares 2 2 5 2 4" xfId="6186" xr:uid="{3A974274-5DC8-4C94-B17E-58F9DCF7B9A7}"/>
    <cellStyle name="Millares 2 2 5 2 4 2" xfId="11036" xr:uid="{9AF017AA-1E22-4A2E-A3C4-EFF80F150E23}"/>
    <cellStyle name="Millares 2 2 5 2 5" xfId="3763" xr:uid="{93C89557-40E9-47C7-B0DD-8023F65B4E72}"/>
    <cellStyle name="Millares 2 2 5 2 5 2" xfId="8617" xr:uid="{543510AF-727E-42FC-9AA3-1C1EF4CBBF17}"/>
    <cellStyle name="Millares 2 2 5 2 6" xfId="2550" xr:uid="{557BC295-8838-4543-A3CD-E99DA02ACDD6}"/>
    <cellStyle name="Millares 2 2 5 2 7" xfId="7406" xr:uid="{A9CC4AA2-2C66-43E3-B059-C6432D839AEB}"/>
    <cellStyle name="Millares 2 2 5 3" xfId="1931" xr:uid="{D3F33D5D-A94F-4685-807A-8E7FE5058237}"/>
    <cellStyle name="Millares 2 2 5 3 2" xfId="5576" xr:uid="{D86CDFCE-E95A-4999-84E3-C93BC2E60587}"/>
    <cellStyle name="Millares 2 2 5 3 2 2" xfId="10428" xr:uid="{9B085BB2-3707-4CFE-9E81-2224C84E6580}"/>
    <cellStyle name="Millares 2 2 5 3 3" xfId="6792" xr:uid="{DA826676-A627-4214-8C22-A1303327505E}"/>
    <cellStyle name="Millares 2 2 5 3 3 2" xfId="11640" xr:uid="{811E0835-9A63-4392-A064-FDC37AEB77A7}"/>
    <cellStyle name="Millares 2 2 5 3 4" xfId="4366" xr:uid="{DBE89B30-EFAF-4B49-BEA9-462637627D34}"/>
    <cellStyle name="Millares 2 2 5 3 4 2" xfId="9220" xr:uid="{5A8528AF-5EA7-48D9-95B1-C11F0E5B6812}"/>
    <cellStyle name="Millares 2 2 5 3 5" xfId="3153" xr:uid="{B624F7C3-7D1B-4F91-9C99-522AFB2C886D}"/>
    <cellStyle name="Millares 2 2 5 3 6" xfId="8009" xr:uid="{EE59D7B1-0452-44C2-BA3D-F09890D9597C}"/>
    <cellStyle name="Millares 2 2 5 4" xfId="4972" xr:uid="{CFF24F30-E57A-40B0-B1FB-86A9CCE5958E}"/>
    <cellStyle name="Millares 2 2 5 4 2" xfId="9824" xr:uid="{FBF00C5D-917C-4778-9736-4B46220E1F78}"/>
    <cellStyle name="Millares 2 2 5 5" xfId="6185" xr:uid="{4003AB6D-4991-4B28-9170-991C03BBB884}"/>
    <cellStyle name="Millares 2 2 5 5 2" xfId="11035" xr:uid="{503A4466-B19E-42A6-A7D0-762FBCCBD3DD}"/>
    <cellStyle name="Millares 2 2 5 6" xfId="3762" xr:uid="{DBEDB7E1-E5CD-41B0-86DC-4D13319B6936}"/>
    <cellStyle name="Millares 2 2 5 6 2" xfId="8616" xr:uid="{E0FF961A-DFB4-4494-A6E3-6EBE4AECC10F}"/>
    <cellStyle name="Millares 2 2 5 7" xfId="2549" xr:uid="{6D35C056-F3D1-4572-81E1-A5BAB5981FA0}"/>
    <cellStyle name="Millares 2 2 5 8" xfId="7405" xr:uid="{078BD712-6167-440D-B6E6-315BE054905D}"/>
    <cellStyle name="Millares 2 2 6" xfId="257" xr:uid="{60405F64-6BB9-44B3-BB59-7071D5C27C15}"/>
    <cellStyle name="Millares 2 2 6 2" xfId="1933" xr:uid="{275A0413-48D8-4ADE-9C2D-DBC378F07BCC}"/>
    <cellStyle name="Millares 2 2 6 2 2" xfId="5578" xr:uid="{3290C4A8-DC2C-4A80-A9D1-B47D2C6666EA}"/>
    <cellStyle name="Millares 2 2 6 2 2 2" xfId="10430" xr:uid="{656BD229-5493-4483-89F2-B4E5CECCED5A}"/>
    <cellStyle name="Millares 2 2 6 2 3" xfId="6794" xr:uid="{6319EF12-204F-40EA-91BC-927A3806055E}"/>
    <cellStyle name="Millares 2 2 6 2 3 2" xfId="11642" xr:uid="{9E67EB95-8B9D-428E-AD6E-BFEC26B66D43}"/>
    <cellStyle name="Millares 2 2 6 2 4" xfId="4368" xr:uid="{815AE731-B331-4A4E-AEA6-F69CB49ECCFD}"/>
    <cellStyle name="Millares 2 2 6 2 4 2" xfId="9222" xr:uid="{FA03E86B-6416-4365-8EFE-E97F656011C9}"/>
    <cellStyle name="Millares 2 2 6 2 5" xfId="3155" xr:uid="{F15E5E42-18F9-4AC1-8C98-2013F3C00DF2}"/>
    <cellStyle name="Millares 2 2 6 2 6" xfId="8011" xr:uid="{01CF9444-A420-4466-8F9B-10E000364A15}"/>
    <cellStyle name="Millares 2 2 6 3" xfId="4974" xr:uid="{D235D435-8FFF-493D-A2F0-69D333AB5A0D}"/>
    <cellStyle name="Millares 2 2 6 3 2" xfId="9826" xr:uid="{EB603DD7-1564-46AB-A293-E3DBAC75582B}"/>
    <cellStyle name="Millares 2 2 6 4" xfId="6187" xr:uid="{64145819-A257-4E2E-97BE-6F97CDE93ECA}"/>
    <cellStyle name="Millares 2 2 6 4 2" xfId="11037" xr:uid="{90EC2A60-8C39-4B4E-A3C0-45B352FEF983}"/>
    <cellStyle name="Millares 2 2 6 5" xfId="3764" xr:uid="{F7A74EFC-8332-470D-B67F-F60872CB7685}"/>
    <cellStyle name="Millares 2 2 6 5 2" xfId="8618" xr:uid="{D03782BA-6184-4A1A-BDE1-B5F360C228F5}"/>
    <cellStyle name="Millares 2 2 6 6" xfId="2551" xr:uid="{4D98A36F-82F7-4B33-89E1-AC96DD1AD7F4}"/>
    <cellStyle name="Millares 2 2 6 7" xfId="7407" xr:uid="{69369E11-1F1B-4C01-BC62-4F0B4B4B269F}"/>
    <cellStyle name="Millares 2 2 7" xfId="1910" xr:uid="{84FA6F1A-08B3-49C7-A235-7F0980238558}"/>
    <cellStyle name="Millares 2 2 7 2" xfId="5555" xr:uid="{B8301724-54EC-4B43-92D0-68FC95F7EFCB}"/>
    <cellStyle name="Millares 2 2 7 2 2" xfId="10407" xr:uid="{262994A7-1B57-4688-9B41-A49A9DE3DFAB}"/>
    <cellStyle name="Millares 2 2 7 3" xfId="6771" xr:uid="{5AF43050-968D-4A5B-984A-54FCA132F61E}"/>
    <cellStyle name="Millares 2 2 7 3 2" xfId="11619" xr:uid="{20C71371-364D-429B-B819-DE5FFCDC9CBD}"/>
    <cellStyle name="Millares 2 2 7 4" xfId="4345" xr:uid="{661C2A71-7388-4D44-84C1-FCDDC0F19E2B}"/>
    <cellStyle name="Millares 2 2 7 4 2" xfId="9199" xr:uid="{76B997A5-303D-4F95-B22C-EEE99746FB3C}"/>
    <cellStyle name="Millares 2 2 7 5" xfId="3132" xr:uid="{62044D99-7C7D-408F-8AAD-43C1CB1F7B80}"/>
    <cellStyle name="Millares 2 2 7 6" xfId="7988" xr:uid="{88816DCA-27FC-4D2A-8E47-CE02325130E3}"/>
    <cellStyle name="Millares 2 2 8" xfId="234" xr:uid="{90724F95-8F35-4663-97AE-6B659F457605}"/>
    <cellStyle name="Millares 2 2 8 2" xfId="5833" xr:uid="{D7F0F110-932D-492E-AA55-22C9D194F356}"/>
    <cellStyle name="Millares 2 2 8 2 2" xfId="10685" xr:uid="{C32F0E04-3DC8-450C-BDD4-664242931881}"/>
    <cellStyle name="Millares 2 2 8 3" xfId="7049" xr:uid="{1511BCB1-50A9-41C6-84D4-782BFC1CB95C}"/>
    <cellStyle name="Millares 2 2 8 3 2" xfId="11897" xr:uid="{F6850489-8E2D-4F88-97DB-E5862033F6E7}"/>
    <cellStyle name="Millares 2 2 8 4" xfId="3741" xr:uid="{667B2EE9-C1CE-45C2-B445-4DDBE6E380E1}"/>
    <cellStyle name="Millares 2 2 8 4 2" xfId="8595" xr:uid="{149E41C9-1A34-40F7-ABCF-C4A9105A92BB}"/>
    <cellStyle name="Millares 2 2 8 5" xfId="3410" xr:uid="{2707B684-195E-44A4-92D6-FFD48EFB2D40}"/>
    <cellStyle name="Millares 2 2 8 6" xfId="8266" xr:uid="{C12E5029-2F80-4DA8-AA23-4DC8E9BE8748}"/>
    <cellStyle name="Millares 2 2 9" xfId="2399" xr:uid="{ABDEF035-E301-43ED-8260-F41E2DAF36C5}"/>
    <cellStyle name="Millares 2 3" xfId="258" xr:uid="{8A32FA1A-A20C-4E90-A7E1-10268C288F7E}"/>
    <cellStyle name="Millares 2 3 10" xfId="3765" xr:uid="{F910D817-AEC5-425D-AA65-5F7462005EB4}"/>
    <cellStyle name="Millares 2 3 10 2" xfId="8619" xr:uid="{C34CB6ED-B33D-46C1-98BC-F45F21DEBA59}"/>
    <cellStyle name="Millares 2 3 11" xfId="2552" xr:uid="{0A1951A2-A3E0-4C76-ABDA-6858377C75A1}"/>
    <cellStyle name="Millares 2 3 12" xfId="7408" xr:uid="{E495ED5B-81B3-4B68-AA75-D434BB31C8A9}"/>
    <cellStyle name="Millares 2 3 2" xfId="259" xr:uid="{A3ED0FAD-F7DA-4A2B-95DC-86792518212A}"/>
    <cellStyle name="Millares 2 3 2 10" xfId="2553" xr:uid="{912E0A6F-0B0F-499C-8F74-26655581EB04}"/>
    <cellStyle name="Millares 2 3 2 11" xfId="7409" xr:uid="{2BCBD57A-FBD3-410C-9312-61A6505159CF}"/>
    <cellStyle name="Millares 2 3 2 2" xfId="260" xr:uid="{74E79A59-2394-420B-A033-164B115C6AFA}"/>
    <cellStyle name="Millares 2 3 2 2 2" xfId="261" xr:uid="{D2B25E78-3622-4153-A807-4FCD5B136AB7}"/>
    <cellStyle name="Millares 2 3 2 2 2 2" xfId="262" xr:uid="{F889332B-7FAA-4A8D-BC36-38F619A3C2A4}"/>
    <cellStyle name="Millares 2 3 2 2 2 2 2" xfId="1938" xr:uid="{FEA8B104-7A95-4AC6-B74B-68DFC42A74FF}"/>
    <cellStyle name="Millares 2 3 2 2 2 2 2 2" xfId="5583" xr:uid="{C7FD798C-EFBD-49E8-99E8-F77B6E740F0E}"/>
    <cellStyle name="Millares 2 3 2 2 2 2 2 2 2" xfId="10435" xr:uid="{148DC319-3651-4430-B87F-8FD5CA9AFA9F}"/>
    <cellStyle name="Millares 2 3 2 2 2 2 2 3" xfId="6799" xr:uid="{4914EDEE-A709-4077-8503-ADA083FAA3C9}"/>
    <cellStyle name="Millares 2 3 2 2 2 2 2 3 2" xfId="11647" xr:uid="{672FE38C-6DC4-4775-8337-18131D26A4C3}"/>
    <cellStyle name="Millares 2 3 2 2 2 2 2 4" xfId="4373" xr:uid="{FA5C10F6-6B72-4562-86EE-E3B2F813ED71}"/>
    <cellStyle name="Millares 2 3 2 2 2 2 2 4 2" xfId="9227" xr:uid="{9FF5E2C8-96FD-4700-9958-FE42A93113EC}"/>
    <cellStyle name="Millares 2 3 2 2 2 2 2 5" xfId="3160" xr:uid="{7FAD9A85-B260-43EC-B2A9-2F9374AF1FE4}"/>
    <cellStyle name="Millares 2 3 2 2 2 2 2 6" xfId="8016" xr:uid="{1D0915C0-5C1D-4C8F-AD0F-ADAAD150F5CA}"/>
    <cellStyle name="Millares 2 3 2 2 2 2 3" xfId="4979" xr:uid="{D5777429-2396-4435-BEF6-DE705C0F2959}"/>
    <cellStyle name="Millares 2 3 2 2 2 2 3 2" xfId="9831" xr:uid="{71B29D75-7F30-40FC-A4D9-BB77B3207C8E}"/>
    <cellStyle name="Millares 2 3 2 2 2 2 4" xfId="6192" xr:uid="{526971FE-AE56-4936-BD94-CB9BEF08B6E1}"/>
    <cellStyle name="Millares 2 3 2 2 2 2 4 2" xfId="11042" xr:uid="{E3953B1A-AB80-4B66-A169-1103E4272847}"/>
    <cellStyle name="Millares 2 3 2 2 2 2 5" xfId="3769" xr:uid="{D8E2E821-E449-44F9-A3D1-BA702CE939F2}"/>
    <cellStyle name="Millares 2 3 2 2 2 2 5 2" xfId="8623" xr:uid="{31598CD7-FA38-4CC6-8C81-78578CCFB624}"/>
    <cellStyle name="Millares 2 3 2 2 2 2 6" xfId="2556" xr:uid="{96EF3C97-0B40-4446-865D-E38D05200834}"/>
    <cellStyle name="Millares 2 3 2 2 2 2 7" xfId="7412" xr:uid="{EF784B4D-01C3-42BC-8B5E-C7DEA8AA3A62}"/>
    <cellStyle name="Millares 2 3 2 2 2 3" xfId="1937" xr:uid="{7ABFEFFE-5DDC-42BF-BE8B-1F4315558801}"/>
    <cellStyle name="Millares 2 3 2 2 2 3 2" xfId="5582" xr:uid="{93C0E19F-391E-4D3F-A630-A2A3299C5455}"/>
    <cellStyle name="Millares 2 3 2 2 2 3 2 2" xfId="10434" xr:uid="{2CFF025B-0717-48FB-BC64-3D770ECAF187}"/>
    <cellStyle name="Millares 2 3 2 2 2 3 3" xfId="6798" xr:uid="{585C736F-8284-451E-BF4E-8AAA3663F167}"/>
    <cellStyle name="Millares 2 3 2 2 2 3 3 2" xfId="11646" xr:uid="{CE1DD8E0-794B-4B7E-B28C-1ED311763403}"/>
    <cellStyle name="Millares 2 3 2 2 2 3 4" xfId="4372" xr:uid="{6E9BDE99-B6E6-4E06-8373-5090D2CB9199}"/>
    <cellStyle name="Millares 2 3 2 2 2 3 4 2" xfId="9226" xr:uid="{305F2E2F-961C-40BD-A0D7-5C5423B8068F}"/>
    <cellStyle name="Millares 2 3 2 2 2 3 5" xfId="3159" xr:uid="{B0B6745A-D913-4898-A0FE-8ACBD05BD4EC}"/>
    <cellStyle name="Millares 2 3 2 2 2 3 6" xfId="8015" xr:uid="{50898296-52D0-4D55-8886-C31E3E7B9178}"/>
    <cellStyle name="Millares 2 3 2 2 2 4" xfId="4978" xr:uid="{9626F7D6-8A0B-415B-B7FA-FA7F1DF4BA19}"/>
    <cellStyle name="Millares 2 3 2 2 2 4 2" xfId="9830" xr:uid="{CA671C2D-1988-4702-9191-EE50E9376A38}"/>
    <cellStyle name="Millares 2 3 2 2 2 5" xfId="6191" xr:uid="{6A25499D-335D-4C44-A2E0-F10C12A4D2E5}"/>
    <cellStyle name="Millares 2 3 2 2 2 5 2" xfId="11041" xr:uid="{39863D00-89B1-4502-9A3B-1091CD48A18F}"/>
    <cellStyle name="Millares 2 3 2 2 2 6" xfId="3768" xr:uid="{65C0B27A-8410-409D-B81B-C558B51F8F2E}"/>
    <cellStyle name="Millares 2 3 2 2 2 6 2" xfId="8622" xr:uid="{4F6CCE43-8178-4EB8-8AE2-A9178734FAA3}"/>
    <cellStyle name="Millares 2 3 2 2 2 7" xfId="2555" xr:uid="{E68E955B-55A7-44A3-B8E2-52AE99729F54}"/>
    <cellStyle name="Millares 2 3 2 2 2 8" xfId="7411" xr:uid="{CCD524C2-D643-43BB-82C0-98BFE7778043}"/>
    <cellStyle name="Millares 2 3 2 2 3" xfId="263" xr:uid="{5670C2B4-731C-44F2-B752-9813AE299429}"/>
    <cellStyle name="Millares 2 3 2 2 3 2" xfId="1939" xr:uid="{9DFF50FA-14DE-40EE-916C-EF7AE01D3F66}"/>
    <cellStyle name="Millares 2 3 2 2 3 2 2" xfId="5584" xr:uid="{17C0B37F-E158-4480-961A-554CB0483CA4}"/>
    <cellStyle name="Millares 2 3 2 2 3 2 2 2" xfId="10436" xr:uid="{0B32E51A-D1DF-47ED-B27B-43B912783230}"/>
    <cellStyle name="Millares 2 3 2 2 3 2 3" xfId="6800" xr:uid="{A9C91734-5CE7-4666-9EDC-23F00EFBBF6D}"/>
    <cellStyle name="Millares 2 3 2 2 3 2 3 2" xfId="11648" xr:uid="{89CF95B0-F0DC-4E5D-9B44-D5F0C4D2A05D}"/>
    <cellStyle name="Millares 2 3 2 2 3 2 4" xfId="4374" xr:uid="{B331AFD7-27FD-4CB1-8122-1E0253D0ACF0}"/>
    <cellStyle name="Millares 2 3 2 2 3 2 4 2" xfId="9228" xr:uid="{97F92CD9-F663-4BBC-B534-771E36C29842}"/>
    <cellStyle name="Millares 2 3 2 2 3 2 5" xfId="3161" xr:uid="{65CE01F5-53F4-48FE-B63B-86EFDC3E6BB9}"/>
    <cellStyle name="Millares 2 3 2 2 3 2 6" xfId="8017" xr:uid="{6861D409-F00E-4265-B798-4E80F7D2D73F}"/>
    <cellStyle name="Millares 2 3 2 2 3 3" xfId="4980" xr:uid="{93C6D76F-62B8-439A-9FA8-D4413C09CC99}"/>
    <cellStyle name="Millares 2 3 2 2 3 3 2" xfId="9832" xr:uid="{C9F60C17-D02A-447B-877B-5972C641C0BF}"/>
    <cellStyle name="Millares 2 3 2 2 3 4" xfId="6193" xr:uid="{F8BE3E4C-30FE-4EA9-8529-C46E170B6447}"/>
    <cellStyle name="Millares 2 3 2 2 3 4 2" xfId="11043" xr:uid="{922B1784-723E-499E-A6C8-3831D909E176}"/>
    <cellStyle name="Millares 2 3 2 2 3 5" xfId="3770" xr:uid="{1DE4DAD5-81B6-4F64-80B5-384F4786A6E1}"/>
    <cellStyle name="Millares 2 3 2 2 3 5 2" xfId="8624" xr:uid="{DF05AABF-7A00-476F-97E4-2BC243A42B23}"/>
    <cellStyle name="Millares 2 3 2 2 3 6" xfId="2557" xr:uid="{A857A1EC-1C67-4E18-AF13-4C353E257AA7}"/>
    <cellStyle name="Millares 2 3 2 2 3 7" xfId="7413" xr:uid="{28B41DB4-66B9-43FD-9A2C-6EA128495E26}"/>
    <cellStyle name="Millares 2 3 2 2 4" xfId="1936" xr:uid="{1D2F1648-C575-44A6-866A-B5B1883A8D7B}"/>
    <cellStyle name="Millares 2 3 2 2 4 2" xfId="5581" xr:uid="{C9BDD171-A32B-463C-8B59-E1CDE33E66A2}"/>
    <cellStyle name="Millares 2 3 2 2 4 2 2" xfId="10433" xr:uid="{614B67D3-BDBF-4C45-A085-5C755BF230FC}"/>
    <cellStyle name="Millares 2 3 2 2 4 3" xfId="6797" xr:uid="{25A39A89-FE13-456F-98FD-F39BFF9217E5}"/>
    <cellStyle name="Millares 2 3 2 2 4 3 2" xfId="11645" xr:uid="{0F7215CF-400A-4C21-96D2-7F4CAB32E043}"/>
    <cellStyle name="Millares 2 3 2 2 4 4" xfId="4371" xr:uid="{B8BD5802-6F5D-4970-9DA1-93BA47B64732}"/>
    <cellStyle name="Millares 2 3 2 2 4 4 2" xfId="9225" xr:uid="{5F3440E8-64AB-4055-A531-C34037216C7E}"/>
    <cellStyle name="Millares 2 3 2 2 4 5" xfId="3158" xr:uid="{E8543596-7E37-4271-A1EA-B1CC491AAB73}"/>
    <cellStyle name="Millares 2 3 2 2 4 6" xfId="8014" xr:uid="{4B1B1E34-658C-41A1-915A-D521F0408F0D}"/>
    <cellStyle name="Millares 2 3 2 2 5" xfId="4977" xr:uid="{47936C1A-22F0-4D35-A77E-F1403652ACE3}"/>
    <cellStyle name="Millares 2 3 2 2 5 2" xfId="9829" xr:uid="{A8842E3F-6F02-447C-A5AC-1D908155D8AE}"/>
    <cellStyle name="Millares 2 3 2 2 6" xfId="6190" xr:uid="{5B1E2B8F-D596-4DCF-8B93-F9AB7E3C05A0}"/>
    <cellStyle name="Millares 2 3 2 2 6 2" xfId="11040" xr:uid="{FC889A1C-F98B-45DA-95C2-06A3F9C0452C}"/>
    <cellStyle name="Millares 2 3 2 2 7" xfId="3767" xr:uid="{60697879-EC89-4ED9-8100-DB8BD91FB9DF}"/>
    <cellStyle name="Millares 2 3 2 2 7 2" xfId="8621" xr:uid="{4D6FD7DE-7E20-41A9-9F4F-31DA51180C38}"/>
    <cellStyle name="Millares 2 3 2 2 8" xfId="2554" xr:uid="{486BBA28-A2AF-4725-8F5A-73E836AD36E9}"/>
    <cellStyle name="Millares 2 3 2 2 9" xfId="7410" xr:uid="{230340AB-AB91-417F-B04C-4768C238BEE4}"/>
    <cellStyle name="Millares 2 3 2 3" xfId="264" xr:uid="{B5C2563A-ED9C-40D9-BFD4-BB542DE9E97A}"/>
    <cellStyle name="Millares 2 3 2 3 2" xfId="265" xr:uid="{EEF4D4F4-D803-412C-A7B0-166EFF21B609}"/>
    <cellStyle name="Millares 2 3 2 3 2 2" xfId="266" xr:uid="{C1DBBD7F-98C9-49DE-89B8-65BFFB68E166}"/>
    <cellStyle name="Millares 2 3 2 3 2 2 2" xfId="1942" xr:uid="{015BB3CE-DA51-453D-96D5-E8AA645E8887}"/>
    <cellStyle name="Millares 2 3 2 3 2 2 2 2" xfId="5587" xr:uid="{3CE09778-70BF-4C1B-939C-C36CCAA96B3F}"/>
    <cellStyle name="Millares 2 3 2 3 2 2 2 2 2" xfId="10439" xr:uid="{B8C23D8F-5961-4BDB-BB94-6413FAD94F1A}"/>
    <cellStyle name="Millares 2 3 2 3 2 2 2 3" xfId="6803" xr:uid="{FD63292E-2B65-4BA4-A869-DCACCA8D61B4}"/>
    <cellStyle name="Millares 2 3 2 3 2 2 2 3 2" xfId="11651" xr:uid="{F82465D4-B409-45C3-B867-06B9554BD614}"/>
    <cellStyle name="Millares 2 3 2 3 2 2 2 4" xfId="4377" xr:uid="{487811E4-8924-4D11-8D6D-0059A1E5CE75}"/>
    <cellStyle name="Millares 2 3 2 3 2 2 2 4 2" xfId="9231" xr:uid="{89AEF6EA-135A-4A13-A3FC-DB100D958E2D}"/>
    <cellStyle name="Millares 2 3 2 3 2 2 2 5" xfId="3164" xr:uid="{EE8D314E-44D0-4A47-A3ED-C5DEF6A30FC6}"/>
    <cellStyle name="Millares 2 3 2 3 2 2 2 6" xfId="8020" xr:uid="{30BA979C-CCE8-4F63-BD46-C258AABF43C8}"/>
    <cellStyle name="Millares 2 3 2 3 2 2 3" xfId="4983" xr:uid="{352BB752-3D2C-478C-BE90-655B3BFE2A34}"/>
    <cellStyle name="Millares 2 3 2 3 2 2 3 2" xfId="9835" xr:uid="{2A2FD703-A508-47E1-AE60-8A1F493FD83B}"/>
    <cellStyle name="Millares 2 3 2 3 2 2 4" xfId="6196" xr:uid="{15C7CD23-5187-40C0-8D4A-DCE359E45972}"/>
    <cellStyle name="Millares 2 3 2 3 2 2 4 2" xfId="11046" xr:uid="{3B577F70-5B1C-496A-947F-57441B3A095D}"/>
    <cellStyle name="Millares 2 3 2 3 2 2 5" xfId="3773" xr:uid="{73B034D7-674E-4B30-9247-0566D309D434}"/>
    <cellStyle name="Millares 2 3 2 3 2 2 5 2" xfId="8627" xr:uid="{64C5C564-F026-4BA6-8474-631DBEA59BE1}"/>
    <cellStyle name="Millares 2 3 2 3 2 2 6" xfId="2560" xr:uid="{52652479-2419-4C7E-9D56-68704DA0D0B5}"/>
    <cellStyle name="Millares 2 3 2 3 2 2 7" xfId="7416" xr:uid="{6D3663F3-23D7-4CED-9B64-1659E057D5A8}"/>
    <cellStyle name="Millares 2 3 2 3 2 3" xfId="1941" xr:uid="{EF82D6B3-EEA5-45C9-B195-08B4D566C45E}"/>
    <cellStyle name="Millares 2 3 2 3 2 3 2" xfId="5586" xr:uid="{06B48785-41E6-4068-AB76-594217A5498E}"/>
    <cellStyle name="Millares 2 3 2 3 2 3 2 2" xfId="10438" xr:uid="{3D990D38-8363-4812-AEF3-013371946C17}"/>
    <cellStyle name="Millares 2 3 2 3 2 3 3" xfId="6802" xr:uid="{AA550FB2-A542-482B-91F3-4010E1B98EEC}"/>
    <cellStyle name="Millares 2 3 2 3 2 3 3 2" xfId="11650" xr:uid="{57D7EFC9-64A5-49E4-A101-AD42E8987B82}"/>
    <cellStyle name="Millares 2 3 2 3 2 3 4" xfId="4376" xr:uid="{5638C1DE-58DB-40E4-AA95-DD4B3B55FA27}"/>
    <cellStyle name="Millares 2 3 2 3 2 3 4 2" xfId="9230" xr:uid="{BF6CDB41-95D8-4086-B756-86B1D71C5289}"/>
    <cellStyle name="Millares 2 3 2 3 2 3 5" xfId="3163" xr:uid="{9C555126-7CF6-4C61-AF3B-A5DA9522D4EA}"/>
    <cellStyle name="Millares 2 3 2 3 2 3 6" xfId="8019" xr:uid="{D7FEBE5E-5A77-4176-81C2-A8EEEE7B897A}"/>
    <cellStyle name="Millares 2 3 2 3 2 4" xfId="4982" xr:uid="{B97AF23D-43E4-407C-A520-3EC12D4DD1BB}"/>
    <cellStyle name="Millares 2 3 2 3 2 4 2" xfId="9834" xr:uid="{730AE526-25B5-4873-A309-4892BF42D51D}"/>
    <cellStyle name="Millares 2 3 2 3 2 5" xfId="6195" xr:uid="{62F8F33A-42C9-42FB-9C68-8D3A207E7B61}"/>
    <cellStyle name="Millares 2 3 2 3 2 5 2" xfId="11045" xr:uid="{70D72014-A6BA-4292-A7ED-790FA5E8FE42}"/>
    <cellStyle name="Millares 2 3 2 3 2 6" xfId="3772" xr:uid="{F6A5B0B8-F71F-4713-8B09-5C16E0AA9A78}"/>
    <cellStyle name="Millares 2 3 2 3 2 6 2" xfId="8626" xr:uid="{E56DC9E1-17A2-427C-B37B-F521D6774B5E}"/>
    <cellStyle name="Millares 2 3 2 3 2 7" xfId="2559" xr:uid="{963212ED-9CE4-455A-928B-A0D24BAA86DE}"/>
    <cellStyle name="Millares 2 3 2 3 2 8" xfId="7415" xr:uid="{79320764-C316-4AFA-AE4C-4B8E1508DECE}"/>
    <cellStyle name="Millares 2 3 2 3 3" xfId="267" xr:uid="{4DAF3426-C246-4E25-B113-35318D16E730}"/>
    <cellStyle name="Millares 2 3 2 3 3 2" xfId="1943" xr:uid="{9DA019CA-89F8-41DC-938A-606F3E400EE6}"/>
    <cellStyle name="Millares 2 3 2 3 3 2 2" xfId="5588" xr:uid="{BB911F95-DA0B-47D8-95F3-40C9F6D95A6B}"/>
    <cellStyle name="Millares 2 3 2 3 3 2 2 2" xfId="10440" xr:uid="{9581268E-CE9C-479C-84EB-BFC6035C0223}"/>
    <cellStyle name="Millares 2 3 2 3 3 2 3" xfId="6804" xr:uid="{3AD1EF56-4B8A-4C7C-B040-51450A063756}"/>
    <cellStyle name="Millares 2 3 2 3 3 2 3 2" xfId="11652" xr:uid="{BDB77005-3250-4373-88EB-2710EBD037F7}"/>
    <cellStyle name="Millares 2 3 2 3 3 2 4" xfId="4378" xr:uid="{B69D0498-0C3D-4C26-84B4-0CD9036C8FFF}"/>
    <cellStyle name="Millares 2 3 2 3 3 2 4 2" xfId="9232" xr:uid="{CBBB520B-2E55-4EB7-8933-D28E7418AF65}"/>
    <cellStyle name="Millares 2 3 2 3 3 2 5" xfId="3165" xr:uid="{9289CCFA-E42B-4DC4-BBF1-8C5C3BB171CB}"/>
    <cellStyle name="Millares 2 3 2 3 3 2 6" xfId="8021" xr:uid="{D6BF3265-6926-434A-88C4-C9FDE0C4E032}"/>
    <cellStyle name="Millares 2 3 2 3 3 3" xfId="4984" xr:uid="{4ABC1DA6-04BA-466D-B926-F2D31E5BC7BC}"/>
    <cellStyle name="Millares 2 3 2 3 3 3 2" xfId="9836" xr:uid="{778451FF-C059-484C-827F-2D71FD433C64}"/>
    <cellStyle name="Millares 2 3 2 3 3 4" xfId="6197" xr:uid="{B0A8E152-C45F-4688-9D73-F56C370FD2F1}"/>
    <cellStyle name="Millares 2 3 2 3 3 4 2" xfId="11047" xr:uid="{6F1616F6-EDE2-4630-9CD5-1908338A118F}"/>
    <cellStyle name="Millares 2 3 2 3 3 5" xfId="3774" xr:uid="{14AC071D-4915-4709-BA1F-9530375946CB}"/>
    <cellStyle name="Millares 2 3 2 3 3 5 2" xfId="8628" xr:uid="{973F0CFB-00A7-4545-AB06-C568746C2168}"/>
    <cellStyle name="Millares 2 3 2 3 3 6" xfId="2561" xr:uid="{31E53FEE-E156-44EE-ABBC-59A8EF8F1429}"/>
    <cellStyle name="Millares 2 3 2 3 3 7" xfId="7417" xr:uid="{EB98D1F4-1DDA-49CE-BA26-E341729D7815}"/>
    <cellStyle name="Millares 2 3 2 3 4" xfId="1940" xr:uid="{59CCDE8E-A6F6-4B20-B8FE-306105BD9BF9}"/>
    <cellStyle name="Millares 2 3 2 3 4 2" xfId="5585" xr:uid="{7C7A37ED-F0C3-4BFB-8222-2B5E17BDACB9}"/>
    <cellStyle name="Millares 2 3 2 3 4 2 2" xfId="10437" xr:uid="{A1FC1C24-B620-4D93-9DD2-ED5447682EA8}"/>
    <cellStyle name="Millares 2 3 2 3 4 3" xfId="6801" xr:uid="{9DBA52C0-DF74-4E91-B13D-4CD3476E3D9B}"/>
    <cellStyle name="Millares 2 3 2 3 4 3 2" xfId="11649" xr:uid="{603E37B2-3FD0-4A0D-B4F6-FEE165E5F5B8}"/>
    <cellStyle name="Millares 2 3 2 3 4 4" xfId="4375" xr:uid="{E31E5B6F-2DC1-4B36-8200-AA5ED6D6E030}"/>
    <cellStyle name="Millares 2 3 2 3 4 4 2" xfId="9229" xr:uid="{FE8B6B71-D9EF-4D75-8086-A1D0F9E75446}"/>
    <cellStyle name="Millares 2 3 2 3 4 5" xfId="3162" xr:uid="{045224D9-8016-458F-886B-0ABB9B1D914C}"/>
    <cellStyle name="Millares 2 3 2 3 4 6" xfId="8018" xr:uid="{AE45491E-2A18-4614-A12D-8CA25D5EA5E7}"/>
    <cellStyle name="Millares 2 3 2 3 5" xfId="4981" xr:uid="{402E435A-4800-44A2-B37C-85430A0D1053}"/>
    <cellStyle name="Millares 2 3 2 3 5 2" xfId="9833" xr:uid="{608754B3-3C7F-416B-AE81-87A574B5903A}"/>
    <cellStyle name="Millares 2 3 2 3 6" xfId="6194" xr:uid="{44365BD9-8F9B-415D-B133-BED095016391}"/>
    <cellStyle name="Millares 2 3 2 3 6 2" xfId="11044" xr:uid="{B98E2CE8-B642-48EB-BCEA-AEC69095C964}"/>
    <cellStyle name="Millares 2 3 2 3 7" xfId="3771" xr:uid="{D99390D1-1C00-4C71-B04B-E9FA542DDF8A}"/>
    <cellStyle name="Millares 2 3 2 3 7 2" xfId="8625" xr:uid="{033C4346-094B-40DF-8B9F-44971AE27A7C}"/>
    <cellStyle name="Millares 2 3 2 3 8" xfId="2558" xr:uid="{488DF221-A052-45D6-B4DD-A06F96123053}"/>
    <cellStyle name="Millares 2 3 2 3 9" xfId="7414" xr:uid="{B5D19BB3-ACE6-47DB-B04E-C3D80703B730}"/>
    <cellStyle name="Millares 2 3 2 4" xfId="268" xr:uid="{1B8CA661-0909-42B5-9238-E8E886063E95}"/>
    <cellStyle name="Millares 2 3 2 4 2" xfId="269" xr:uid="{B5AD73C9-82E4-45A7-9291-2B13589EDA12}"/>
    <cellStyle name="Millares 2 3 2 4 2 2" xfId="1945" xr:uid="{6DB5E3F9-6F23-44AB-B331-34526D2D385C}"/>
    <cellStyle name="Millares 2 3 2 4 2 2 2" xfId="5590" xr:uid="{12818E68-E539-4152-825C-CF6D4246162E}"/>
    <cellStyle name="Millares 2 3 2 4 2 2 2 2" xfId="10442" xr:uid="{9CA2141A-F26D-439D-A670-21EFFB2B2D7A}"/>
    <cellStyle name="Millares 2 3 2 4 2 2 3" xfId="6806" xr:uid="{1C4E2198-7106-48F5-BA07-C5C48067D46B}"/>
    <cellStyle name="Millares 2 3 2 4 2 2 3 2" xfId="11654" xr:uid="{090B80DE-78C5-4134-84B3-F8AC2A157AA0}"/>
    <cellStyle name="Millares 2 3 2 4 2 2 4" xfId="4380" xr:uid="{48D49F66-A7D9-4295-ACBE-61F880A172C7}"/>
    <cellStyle name="Millares 2 3 2 4 2 2 4 2" xfId="9234" xr:uid="{568ACFB4-7588-4A73-82BE-39FC0001258B}"/>
    <cellStyle name="Millares 2 3 2 4 2 2 5" xfId="3167" xr:uid="{6142D354-86EB-4FD5-BE80-BF96DF09C2A9}"/>
    <cellStyle name="Millares 2 3 2 4 2 2 6" xfId="8023" xr:uid="{19D7DBD2-540A-4A1F-BCA3-F69059DC42D3}"/>
    <cellStyle name="Millares 2 3 2 4 2 3" xfId="4986" xr:uid="{6E115487-21C5-43F4-BA67-2CEF218532FD}"/>
    <cellStyle name="Millares 2 3 2 4 2 3 2" xfId="9838" xr:uid="{4FD2FF81-9100-49D7-9B45-FDE2F14034E5}"/>
    <cellStyle name="Millares 2 3 2 4 2 4" xfId="6199" xr:uid="{6F2A0AB6-5767-410E-BB5B-370278F8AC5F}"/>
    <cellStyle name="Millares 2 3 2 4 2 4 2" xfId="11049" xr:uid="{B57DAF5D-58E2-41D4-8D34-98234CB5713C}"/>
    <cellStyle name="Millares 2 3 2 4 2 5" xfId="3776" xr:uid="{4DFE3A01-53CE-4DB1-894B-F21F252F80B4}"/>
    <cellStyle name="Millares 2 3 2 4 2 5 2" xfId="8630" xr:uid="{7E66DB44-521B-43CA-B444-7DE2E1C80A3D}"/>
    <cellStyle name="Millares 2 3 2 4 2 6" xfId="2563" xr:uid="{94DF92AA-A8DD-4F7B-BD7A-04D40A01EA7A}"/>
    <cellStyle name="Millares 2 3 2 4 2 7" xfId="7419" xr:uid="{26212C9C-CF94-4181-9387-263EAA26874D}"/>
    <cellStyle name="Millares 2 3 2 4 3" xfId="1944" xr:uid="{B96EAEF8-32AD-4E86-96CC-8355EFEA8108}"/>
    <cellStyle name="Millares 2 3 2 4 3 2" xfId="5589" xr:uid="{E9E8F7BB-CE94-4334-BD73-286A45B1596E}"/>
    <cellStyle name="Millares 2 3 2 4 3 2 2" xfId="10441" xr:uid="{A764DA86-CE24-404A-9C33-9000DA56A224}"/>
    <cellStyle name="Millares 2 3 2 4 3 3" xfId="6805" xr:uid="{E8A5FA6A-AFC0-4C5B-889C-280CA5A4D22C}"/>
    <cellStyle name="Millares 2 3 2 4 3 3 2" xfId="11653" xr:uid="{FEFE88D5-99D7-49A4-A89C-BAEC986518EB}"/>
    <cellStyle name="Millares 2 3 2 4 3 4" xfId="4379" xr:uid="{B05F1680-A7AA-4A22-9C85-405ECB8A4ACA}"/>
    <cellStyle name="Millares 2 3 2 4 3 4 2" xfId="9233" xr:uid="{C14926CA-7F5A-44DF-BE73-422F2A657005}"/>
    <cellStyle name="Millares 2 3 2 4 3 5" xfId="3166" xr:uid="{A5B1E7C8-1E52-4136-B79B-66AA16AE8245}"/>
    <cellStyle name="Millares 2 3 2 4 3 6" xfId="8022" xr:uid="{5846373F-F432-4872-A490-7B8F74D2C73D}"/>
    <cellStyle name="Millares 2 3 2 4 4" xfId="4985" xr:uid="{7041A24E-18AC-4750-B38B-BB62873E7C79}"/>
    <cellStyle name="Millares 2 3 2 4 4 2" xfId="9837" xr:uid="{93960784-6A67-4180-ABF8-1C7B816D4C95}"/>
    <cellStyle name="Millares 2 3 2 4 5" xfId="6198" xr:uid="{4E5C886B-FDD6-435F-B676-CB3B27CE05BB}"/>
    <cellStyle name="Millares 2 3 2 4 5 2" xfId="11048" xr:uid="{2F91D878-A3C3-41DD-88F4-18CE46DC1EE2}"/>
    <cellStyle name="Millares 2 3 2 4 6" xfId="3775" xr:uid="{CCEBB6CD-5ACE-4533-8668-98A1EDFD4F7C}"/>
    <cellStyle name="Millares 2 3 2 4 6 2" xfId="8629" xr:uid="{507710B8-B5AF-47D2-92FB-80A94B2F6C7A}"/>
    <cellStyle name="Millares 2 3 2 4 7" xfId="2562" xr:uid="{3B407134-0CCC-4313-85DF-C47C8FD18637}"/>
    <cellStyle name="Millares 2 3 2 4 8" xfId="7418" xr:uid="{FEF9AFE4-8518-4CF4-BA6C-18D5566ABA8A}"/>
    <cellStyle name="Millares 2 3 2 5" xfId="270" xr:uid="{FF7EF7B5-6599-40C8-A9FE-F4C95751394C}"/>
    <cellStyle name="Millares 2 3 2 5 2" xfId="1946" xr:uid="{B7253E52-44C9-4873-94D4-2E721E6FA8FD}"/>
    <cellStyle name="Millares 2 3 2 5 2 2" xfId="5591" xr:uid="{8ECD840B-E445-4F09-B571-929A79064C56}"/>
    <cellStyle name="Millares 2 3 2 5 2 2 2" xfId="10443" xr:uid="{C3496E6A-CD89-40EE-A16D-D17554062F02}"/>
    <cellStyle name="Millares 2 3 2 5 2 3" xfId="6807" xr:uid="{14FE8970-1782-4EFD-A709-820CE1163ECB}"/>
    <cellStyle name="Millares 2 3 2 5 2 3 2" xfId="11655" xr:uid="{12C76BAD-8D99-4C24-B6FF-F4AE98434601}"/>
    <cellStyle name="Millares 2 3 2 5 2 4" xfId="4381" xr:uid="{74D3343D-5A06-4233-A7C4-D273382EBB3D}"/>
    <cellStyle name="Millares 2 3 2 5 2 4 2" xfId="9235" xr:uid="{7AFDB963-82CA-4C92-AA91-09D916C0713E}"/>
    <cellStyle name="Millares 2 3 2 5 2 5" xfId="3168" xr:uid="{1A193A73-3828-4DA8-9649-145D40187A56}"/>
    <cellStyle name="Millares 2 3 2 5 2 6" xfId="8024" xr:uid="{416CEAA9-F524-4A86-BBED-99D86F1D00A3}"/>
    <cellStyle name="Millares 2 3 2 5 3" xfId="4987" xr:uid="{88C42282-AFA9-41F8-84AE-17668EBBF0B2}"/>
    <cellStyle name="Millares 2 3 2 5 3 2" xfId="9839" xr:uid="{E187541E-5CF0-4055-BBDC-FC1349316E12}"/>
    <cellStyle name="Millares 2 3 2 5 4" xfId="6200" xr:uid="{097C19FD-A83B-4DB8-B965-0FDCA1517E14}"/>
    <cellStyle name="Millares 2 3 2 5 4 2" xfId="11050" xr:uid="{9D9786BF-FDF6-49D7-A413-30E0ABFAF410}"/>
    <cellStyle name="Millares 2 3 2 5 5" xfId="3777" xr:uid="{DA4EC77B-C895-4D91-93C8-A1B4258A6BE2}"/>
    <cellStyle name="Millares 2 3 2 5 5 2" xfId="8631" xr:uid="{E44AAC32-C21A-40E1-8DE4-17B4B3B92939}"/>
    <cellStyle name="Millares 2 3 2 5 6" xfId="2564" xr:uid="{C890CFCB-8171-4C29-A17B-E8B3EDE516F8}"/>
    <cellStyle name="Millares 2 3 2 5 7" xfId="7420" xr:uid="{6E8D445C-FB04-4F95-9EC3-8CFA67A86C07}"/>
    <cellStyle name="Millares 2 3 2 6" xfId="1935" xr:uid="{DDFBA900-36E0-4C14-A22E-06412E2E541D}"/>
    <cellStyle name="Millares 2 3 2 6 2" xfId="5580" xr:uid="{EBB491FD-EB69-4DB4-B2C9-BC3890E4953D}"/>
    <cellStyle name="Millares 2 3 2 6 2 2" xfId="10432" xr:uid="{982425AB-82A6-438F-B955-3A6DD4F3C133}"/>
    <cellStyle name="Millares 2 3 2 6 3" xfId="6796" xr:uid="{1832E44B-AD79-4F8C-8518-45CC9C0518F1}"/>
    <cellStyle name="Millares 2 3 2 6 3 2" xfId="11644" xr:uid="{2027B2BE-CED7-4A0A-B4D6-1534379FEBF6}"/>
    <cellStyle name="Millares 2 3 2 6 4" xfId="4370" xr:uid="{EBB7E75A-113B-4BE3-8D9C-0118E1DFF6B9}"/>
    <cellStyle name="Millares 2 3 2 6 4 2" xfId="9224" xr:uid="{AA6B0358-0BC8-4419-A651-FA6FEF40816E}"/>
    <cellStyle name="Millares 2 3 2 6 5" xfId="3157" xr:uid="{1ACEA699-882B-40D3-83F0-8B272CD7BDC8}"/>
    <cellStyle name="Millares 2 3 2 6 6" xfId="8013" xr:uid="{0E31C096-56EB-4EEE-852F-31172F135D9B}"/>
    <cellStyle name="Millares 2 3 2 7" xfId="4976" xr:uid="{9285A5E5-ACCC-4D7B-9ABC-8357F86D1B65}"/>
    <cellStyle name="Millares 2 3 2 7 2" xfId="9828" xr:uid="{B83D2B97-7B9E-4491-82EE-C515C5EA6EC5}"/>
    <cellStyle name="Millares 2 3 2 8" xfId="6189" xr:uid="{CB514FEB-377D-491B-B45F-4E6F0708C53E}"/>
    <cellStyle name="Millares 2 3 2 8 2" xfId="11039" xr:uid="{EB10C1EB-ABB0-4C6F-88CD-FBF345646287}"/>
    <cellStyle name="Millares 2 3 2 9" xfId="3766" xr:uid="{9D72ECE3-6B53-4C57-B712-7705EE15978D}"/>
    <cellStyle name="Millares 2 3 2 9 2" xfId="8620" xr:uid="{48CE54D9-32BD-4711-AA86-964422205359}"/>
    <cellStyle name="Millares 2 3 3" xfId="271" xr:uid="{94B7F16B-0B2F-452A-B084-841DB1636806}"/>
    <cellStyle name="Millares 2 3 3 2" xfId="272" xr:uid="{5BDF05CE-C20D-4E01-8E23-6D87E4DE1503}"/>
    <cellStyle name="Millares 2 3 3 2 2" xfId="273" xr:uid="{D3C1D920-8795-4C31-B336-08C24327F934}"/>
    <cellStyle name="Millares 2 3 3 2 2 2" xfId="1949" xr:uid="{FECC20C0-12F8-4A55-B1C0-73E121FAD254}"/>
    <cellStyle name="Millares 2 3 3 2 2 2 2" xfId="5594" xr:uid="{D68F302F-2A89-4C1E-91E9-C3D69B8B449C}"/>
    <cellStyle name="Millares 2 3 3 2 2 2 2 2" xfId="10446" xr:uid="{A565DBE3-5AA3-435F-A575-708B73186271}"/>
    <cellStyle name="Millares 2 3 3 2 2 2 3" xfId="6810" xr:uid="{886E27F0-76EB-4349-B77C-2BDCEFA467F5}"/>
    <cellStyle name="Millares 2 3 3 2 2 2 3 2" xfId="11658" xr:uid="{0DD53653-8D64-4D8F-B36F-7C607461F638}"/>
    <cellStyle name="Millares 2 3 3 2 2 2 4" xfId="4384" xr:uid="{866EBDD7-A85A-4556-BDFD-CAB25EE59556}"/>
    <cellStyle name="Millares 2 3 3 2 2 2 4 2" xfId="9238" xr:uid="{8251771F-CD47-4F53-A875-8A821C90E6E3}"/>
    <cellStyle name="Millares 2 3 3 2 2 2 5" xfId="3171" xr:uid="{F70DFBD1-6AE1-478E-BF4B-9F2DC4DEB422}"/>
    <cellStyle name="Millares 2 3 3 2 2 2 6" xfId="8027" xr:uid="{C0BCA755-80AC-46A0-AF82-76C7BA253A21}"/>
    <cellStyle name="Millares 2 3 3 2 2 3" xfId="4990" xr:uid="{9B1C0BC7-4AB1-4C04-85E0-53153288B36C}"/>
    <cellStyle name="Millares 2 3 3 2 2 3 2" xfId="9842" xr:uid="{1E0B69D2-49A6-4155-BE62-34ACC30A4CBF}"/>
    <cellStyle name="Millares 2 3 3 2 2 4" xfId="6203" xr:uid="{B7CCD7A7-5F5A-4CA9-8855-71A394B432B2}"/>
    <cellStyle name="Millares 2 3 3 2 2 4 2" xfId="11053" xr:uid="{6ED169AD-6353-49F6-A200-AAB53A445507}"/>
    <cellStyle name="Millares 2 3 3 2 2 5" xfId="3780" xr:uid="{848D2D62-8887-4E03-B6B6-3A8DF2B19FA8}"/>
    <cellStyle name="Millares 2 3 3 2 2 5 2" xfId="8634" xr:uid="{01EEB25B-5DE9-4D72-BBCA-9E021A4C78B5}"/>
    <cellStyle name="Millares 2 3 3 2 2 6" xfId="2567" xr:uid="{7DBC31DA-2C7D-4835-A40D-BD8C1F7FB684}"/>
    <cellStyle name="Millares 2 3 3 2 2 7" xfId="7423" xr:uid="{B5521456-B66F-499F-A8AD-51DD86E33A96}"/>
    <cellStyle name="Millares 2 3 3 2 3" xfId="1948" xr:uid="{5FDDCC91-1BDA-4503-9CFA-AA4D48749401}"/>
    <cellStyle name="Millares 2 3 3 2 3 2" xfId="5593" xr:uid="{8B0C12B8-335F-4599-A59D-69F63F6A7697}"/>
    <cellStyle name="Millares 2 3 3 2 3 2 2" xfId="10445" xr:uid="{60BB9652-888A-4280-A7D8-C7372BD0F79B}"/>
    <cellStyle name="Millares 2 3 3 2 3 3" xfId="6809" xr:uid="{D06A541E-1FBC-44BD-8AEA-FF62D589B882}"/>
    <cellStyle name="Millares 2 3 3 2 3 3 2" xfId="11657" xr:uid="{173FDFAF-9984-44C8-AE49-25F5282F71ED}"/>
    <cellStyle name="Millares 2 3 3 2 3 4" xfId="4383" xr:uid="{C11D184F-45C1-4B2D-B165-5B203CAACAB7}"/>
    <cellStyle name="Millares 2 3 3 2 3 4 2" xfId="9237" xr:uid="{84E46D81-7178-4AF1-A28F-D896C2DAB1F4}"/>
    <cellStyle name="Millares 2 3 3 2 3 5" xfId="3170" xr:uid="{81E16BA1-81D1-477B-9AB3-16EC26BBCD3A}"/>
    <cellStyle name="Millares 2 3 3 2 3 6" xfId="8026" xr:uid="{398509E7-B820-49D5-B5DA-B2F437E04120}"/>
    <cellStyle name="Millares 2 3 3 2 4" xfId="4989" xr:uid="{62472C54-94C1-4AEF-88DF-3B5F8405C598}"/>
    <cellStyle name="Millares 2 3 3 2 4 2" xfId="9841" xr:uid="{D5EC13CB-9EB5-4E4B-8435-19C070A81D4F}"/>
    <cellStyle name="Millares 2 3 3 2 5" xfId="6202" xr:uid="{0F0A6620-94FF-404F-8336-14D669C7A158}"/>
    <cellStyle name="Millares 2 3 3 2 5 2" xfId="11052" xr:uid="{641BB1E9-15DE-49F5-B9D5-222B734BDF33}"/>
    <cellStyle name="Millares 2 3 3 2 6" xfId="3779" xr:uid="{F079D883-63CA-4E72-AE9B-F2D90A9847E6}"/>
    <cellStyle name="Millares 2 3 3 2 6 2" xfId="8633" xr:uid="{27471E65-9219-43A2-B7F2-4D647BFB65A4}"/>
    <cellStyle name="Millares 2 3 3 2 7" xfId="2566" xr:uid="{6AB2994F-24DF-4FA7-9976-5C821DFBDE5E}"/>
    <cellStyle name="Millares 2 3 3 2 8" xfId="7422" xr:uid="{FAA0298A-7B6D-4C2A-B278-D8F10010A406}"/>
    <cellStyle name="Millares 2 3 3 3" xfId="274" xr:uid="{CAEE7F50-321B-4EC0-AA95-1EC4460755DD}"/>
    <cellStyle name="Millares 2 3 3 3 2" xfId="1950" xr:uid="{071EFA7F-78D2-4E27-8B28-1F3808D9FE1D}"/>
    <cellStyle name="Millares 2 3 3 3 2 2" xfId="5595" xr:uid="{35352E3D-1EBD-4C95-AFB1-41239F090777}"/>
    <cellStyle name="Millares 2 3 3 3 2 2 2" xfId="10447" xr:uid="{6EFC9FB3-23D8-4BA5-AE6F-9E9D7907F84F}"/>
    <cellStyle name="Millares 2 3 3 3 2 3" xfId="6811" xr:uid="{FFEB8F94-A8DE-471B-9A99-C674501C1994}"/>
    <cellStyle name="Millares 2 3 3 3 2 3 2" xfId="11659" xr:uid="{A2660137-31EE-452C-BA03-662BAF863787}"/>
    <cellStyle name="Millares 2 3 3 3 2 4" xfId="4385" xr:uid="{33942CCF-F65F-47D8-B01B-A081227F65BA}"/>
    <cellStyle name="Millares 2 3 3 3 2 4 2" xfId="9239" xr:uid="{0F0D786F-C49A-48F4-9641-2682170EC3CD}"/>
    <cellStyle name="Millares 2 3 3 3 2 5" xfId="3172" xr:uid="{61220F79-616E-42E5-B66B-836C4325D88E}"/>
    <cellStyle name="Millares 2 3 3 3 2 6" xfId="8028" xr:uid="{CF47DC29-30EC-444D-B8C2-175D4D3D8783}"/>
    <cellStyle name="Millares 2 3 3 3 3" xfId="4991" xr:uid="{4AFCC8AF-074B-4354-9F51-68C57DD7FB71}"/>
    <cellStyle name="Millares 2 3 3 3 3 2" xfId="9843" xr:uid="{3A250701-6178-421E-978E-0D2193BDB92E}"/>
    <cellStyle name="Millares 2 3 3 3 4" xfId="6204" xr:uid="{7A899C26-7FB8-412E-B765-668F87DB3BBB}"/>
    <cellStyle name="Millares 2 3 3 3 4 2" xfId="11054" xr:uid="{5C8EF7E4-6124-4B73-AFC9-2F62D8057D17}"/>
    <cellStyle name="Millares 2 3 3 3 5" xfId="3781" xr:uid="{3A45BF85-9820-47FF-B7BF-0AAFD29A9BB9}"/>
    <cellStyle name="Millares 2 3 3 3 5 2" xfId="8635" xr:uid="{BD3E61D2-C185-4418-8DF7-D9B47FC4EA0E}"/>
    <cellStyle name="Millares 2 3 3 3 6" xfId="2568" xr:uid="{379DF116-9564-439C-9BB1-F26DBA112B98}"/>
    <cellStyle name="Millares 2 3 3 3 7" xfId="7424" xr:uid="{F282C16C-5A65-41EA-A353-3F56B59109D4}"/>
    <cellStyle name="Millares 2 3 3 4" xfId="1947" xr:uid="{1083E44A-38D5-4F8E-8501-BC4FB4FDD3AC}"/>
    <cellStyle name="Millares 2 3 3 4 2" xfId="5592" xr:uid="{7B706576-EF7D-4B8B-B656-F157CEB79254}"/>
    <cellStyle name="Millares 2 3 3 4 2 2" xfId="10444" xr:uid="{D7AE057B-EE7C-4AE6-8654-BFDAC18CD1AD}"/>
    <cellStyle name="Millares 2 3 3 4 3" xfId="6808" xr:uid="{43AC5C05-FBB4-47E1-AB11-E0BC88950F97}"/>
    <cellStyle name="Millares 2 3 3 4 3 2" xfId="11656" xr:uid="{910DDDB7-4D34-41F7-86D7-CABA2F985FEE}"/>
    <cellStyle name="Millares 2 3 3 4 4" xfId="4382" xr:uid="{EB7AC668-144E-4618-93FA-BB5F7C8BEEB7}"/>
    <cellStyle name="Millares 2 3 3 4 4 2" xfId="9236" xr:uid="{A7C6127C-4A9F-4E3B-999F-22D1D22BB2CE}"/>
    <cellStyle name="Millares 2 3 3 4 5" xfId="3169" xr:uid="{DEDA80BF-E295-4EE1-A66B-CE78D98EA64F}"/>
    <cellStyle name="Millares 2 3 3 4 6" xfId="8025" xr:uid="{0298471A-FAB0-47E8-8E06-BA6D9A267270}"/>
    <cellStyle name="Millares 2 3 3 5" xfId="4988" xr:uid="{2210DC32-819F-479C-8367-B241CF3DE92A}"/>
    <cellStyle name="Millares 2 3 3 5 2" xfId="9840" xr:uid="{0A8056CE-0B4F-451C-85DB-330695BE5221}"/>
    <cellStyle name="Millares 2 3 3 6" xfId="6201" xr:uid="{B9CE47A9-E7C6-4A0E-B271-5CA339F09D4E}"/>
    <cellStyle name="Millares 2 3 3 6 2" xfId="11051" xr:uid="{207BDAE8-E428-4408-8425-A126995D9CE1}"/>
    <cellStyle name="Millares 2 3 3 7" xfId="3778" xr:uid="{21DC1CEB-56E7-44BC-ADD2-5B39338AF652}"/>
    <cellStyle name="Millares 2 3 3 7 2" xfId="8632" xr:uid="{2BD727B8-8D5F-4C49-9FF7-7CEAD6204F20}"/>
    <cellStyle name="Millares 2 3 3 8" xfId="2565" xr:uid="{0A3D5836-0A6C-4FCA-833E-6EFEA92F6E13}"/>
    <cellStyle name="Millares 2 3 3 9" xfId="7421" xr:uid="{1E2FFD81-B81F-4839-9128-FBE0CA8D3398}"/>
    <cellStyle name="Millares 2 3 4" xfId="275" xr:uid="{15C50BFA-024B-4C11-962A-7AE6AA396AD9}"/>
    <cellStyle name="Millares 2 3 4 2" xfId="276" xr:uid="{F40FD60F-559D-483C-96BA-A7EE9E1B25D6}"/>
    <cellStyle name="Millares 2 3 4 2 2" xfId="277" xr:uid="{D5F5CE00-512A-49FA-BFD1-2FD47C33B3E5}"/>
    <cellStyle name="Millares 2 3 4 2 2 2" xfId="1953" xr:uid="{CEA2D478-882C-4B98-B17B-CF5D6961F40E}"/>
    <cellStyle name="Millares 2 3 4 2 2 2 2" xfId="5598" xr:uid="{617E594E-46D5-4E0E-89A3-CFEB4FAFE6AA}"/>
    <cellStyle name="Millares 2 3 4 2 2 2 2 2" xfId="10450" xr:uid="{2A5A66A1-FA60-46B2-9CBC-51344E2BA754}"/>
    <cellStyle name="Millares 2 3 4 2 2 2 3" xfId="6814" xr:uid="{24EC5CF7-D59E-4EE0-AF8B-D5EE48C4AE4B}"/>
    <cellStyle name="Millares 2 3 4 2 2 2 3 2" xfId="11662" xr:uid="{1E2AFB76-1756-4E2E-A280-F9826B44643B}"/>
    <cellStyle name="Millares 2 3 4 2 2 2 4" xfId="4388" xr:uid="{81D161D0-AB0C-4723-BD8F-78565168D21A}"/>
    <cellStyle name="Millares 2 3 4 2 2 2 4 2" xfId="9242" xr:uid="{8E40400E-C0D1-41A3-8B7B-20F532D1B0AA}"/>
    <cellStyle name="Millares 2 3 4 2 2 2 5" xfId="3175" xr:uid="{5FBD5ACF-EDF0-4FBD-A4EA-54AFEFCBAFE3}"/>
    <cellStyle name="Millares 2 3 4 2 2 2 6" xfId="8031" xr:uid="{A1AE0F18-EFD8-4AA3-8D58-9C826A3189A5}"/>
    <cellStyle name="Millares 2 3 4 2 2 3" xfId="4994" xr:uid="{16FA683E-AF7F-4993-83EF-7B051F091DB9}"/>
    <cellStyle name="Millares 2 3 4 2 2 3 2" xfId="9846" xr:uid="{CC1C08DE-CE2E-4241-A7E6-4858EC048DE3}"/>
    <cellStyle name="Millares 2 3 4 2 2 4" xfId="6207" xr:uid="{E98D3818-2A28-49A5-ADF9-1D135796BB5F}"/>
    <cellStyle name="Millares 2 3 4 2 2 4 2" xfId="11057" xr:uid="{40570DEC-6418-4EB3-A02D-02E28A6FF886}"/>
    <cellStyle name="Millares 2 3 4 2 2 5" xfId="3784" xr:uid="{D269FC1C-487D-401B-918D-CF931F78039E}"/>
    <cellStyle name="Millares 2 3 4 2 2 5 2" xfId="8638" xr:uid="{7FCE54D1-D0F2-4187-AC01-6EA5A8CBF019}"/>
    <cellStyle name="Millares 2 3 4 2 2 6" xfId="2571" xr:uid="{D015444A-578B-431B-8A28-C129E7920AA0}"/>
    <cellStyle name="Millares 2 3 4 2 2 7" xfId="7427" xr:uid="{33A23E7B-ADCC-4C4E-BC77-E9DFDCCDD1A9}"/>
    <cellStyle name="Millares 2 3 4 2 3" xfId="1952" xr:uid="{96BB7070-CBAD-4787-A126-66ECCEB07A5C}"/>
    <cellStyle name="Millares 2 3 4 2 3 2" xfId="5597" xr:uid="{1A363832-EE40-4613-8D88-4B61D1E4AD8C}"/>
    <cellStyle name="Millares 2 3 4 2 3 2 2" xfId="10449" xr:uid="{11982747-9EDF-448A-B0F9-DD0C85347D57}"/>
    <cellStyle name="Millares 2 3 4 2 3 3" xfId="6813" xr:uid="{14999A13-028B-420C-9A6D-A166A5D5C400}"/>
    <cellStyle name="Millares 2 3 4 2 3 3 2" xfId="11661" xr:uid="{6E288367-618A-4336-8ECA-57AD7C21AC4A}"/>
    <cellStyle name="Millares 2 3 4 2 3 4" xfId="4387" xr:uid="{3E465730-0074-46A2-AA58-028E4F88BA2B}"/>
    <cellStyle name="Millares 2 3 4 2 3 4 2" xfId="9241" xr:uid="{11503CB7-8A72-4B34-8B3C-EA74149996D5}"/>
    <cellStyle name="Millares 2 3 4 2 3 5" xfId="3174" xr:uid="{4ABAACD0-EDBC-4C26-B153-21DD38566EAA}"/>
    <cellStyle name="Millares 2 3 4 2 3 6" xfId="8030" xr:uid="{C1917C6B-273C-4987-AFCF-F0D13E1AB450}"/>
    <cellStyle name="Millares 2 3 4 2 4" xfId="4993" xr:uid="{42A984EF-AC92-4C95-88E4-80EEC37BD17A}"/>
    <cellStyle name="Millares 2 3 4 2 4 2" xfId="9845" xr:uid="{6A800C3F-2890-4BD2-8B45-67C605A7715D}"/>
    <cellStyle name="Millares 2 3 4 2 5" xfId="6206" xr:uid="{4D5A27D6-A291-42C6-AE35-0003883136C8}"/>
    <cellStyle name="Millares 2 3 4 2 5 2" xfId="11056" xr:uid="{DC407EEC-632D-4E49-8757-87ACBE044ACB}"/>
    <cellStyle name="Millares 2 3 4 2 6" xfId="3783" xr:uid="{FFE387DD-E2BE-42CF-9EA2-1397C3D3CBFB}"/>
    <cellStyle name="Millares 2 3 4 2 6 2" xfId="8637" xr:uid="{318C7A4E-E3AE-43BF-BA59-139BEC29AB21}"/>
    <cellStyle name="Millares 2 3 4 2 7" xfId="2570" xr:uid="{64A3EA0D-4F57-42C8-A211-D83D13B37AAA}"/>
    <cellStyle name="Millares 2 3 4 2 8" xfId="7426" xr:uid="{220118AA-10BF-4F37-8255-32472877F15D}"/>
    <cellStyle name="Millares 2 3 4 3" xfId="278" xr:uid="{9B6616EE-2973-4355-BB84-7B507B033735}"/>
    <cellStyle name="Millares 2 3 4 3 2" xfId="1954" xr:uid="{8567C35A-7576-4B0D-B8DE-BE43EAA306DE}"/>
    <cellStyle name="Millares 2 3 4 3 2 2" xfId="5599" xr:uid="{F4113F11-75EB-42C0-9876-530AF33FDB4D}"/>
    <cellStyle name="Millares 2 3 4 3 2 2 2" xfId="10451" xr:uid="{82FB3066-4862-423F-8657-1771239B25C0}"/>
    <cellStyle name="Millares 2 3 4 3 2 3" xfId="6815" xr:uid="{0EACE838-F47D-4FC0-B147-A9D4A35F1FFD}"/>
    <cellStyle name="Millares 2 3 4 3 2 3 2" xfId="11663" xr:uid="{3DCD6969-437B-44AB-A893-D8A73151309C}"/>
    <cellStyle name="Millares 2 3 4 3 2 4" xfId="4389" xr:uid="{4C26BDC8-808C-4C0F-BB87-FC41E0BA2F66}"/>
    <cellStyle name="Millares 2 3 4 3 2 4 2" xfId="9243" xr:uid="{2B51F04F-0745-4CD7-8961-001AF1436C2C}"/>
    <cellStyle name="Millares 2 3 4 3 2 5" xfId="3176" xr:uid="{0B038993-6CCC-45AA-AB66-8E95B6B03671}"/>
    <cellStyle name="Millares 2 3 4 3 2 6" xfId="8032" xr:uid="{2CD9632B-A2AF-4EB7-A611-80CE7B02D8AF}"/>
    <cellStyle name="Millares 2 3 4 3 3" xfId="4995" xr:uid="{2A2145AF-A213-4742-8665-39D7BAA13AE4}"/>
    <cellStyle name="Millares 2 3 4 3 3 2" xfId="9847" xr:uid="{E3DD1550-F696-45E9-9C13-9BC703786F86}"/>
    <cellStyle name="Millares 2 3 4 3 4" xfId="6208" xr:uid="{3171D21D-4B75-4CB5-A1D3-C93D80F1CE51}"/>
    <cellStyle name="Millares 2 3 4 3 4 2" xfId="11058" xr:uid="{7EB20644-485E-4555-A48D-7633061E58EA}"/>
    <cellStyle name="Millares 2 3 4 3 5" xfId="3785" xr:uid="{F2669C24-BD3A-4785-897F-9D1511CA7A18}"/>
    <cellStyle name="Millares 2 3 4 3 5 2" xfId="8639" xr:uid="{9A1A82F1-EBED-4427-9F78-65DEE55DF707}"/>
    <cellStyle name="Millares 2 3 4 3 6" xfId="2572" xr:uid="{CF9758D3-EEED-4E24-A687-800C68E4A90D}"/>
    <cellStyle name="Millares 2 3 4 3 7" xfId="7428" xr:uid="{5254D061-D805-4628-8F29-29B1DEE383BF}"/>
    <cellStyle name="Millares 2 3 4 4" xfId="1951" xr:uid="{1410F2FE-227F-4B19-90C5-F294E543C49E}"/>
    <cellStyle name="Millares 2 3 4 4 2" xfId="5596" xr:uid="{6AFF492F-7634-462B-B0E0-881F0E4E42E2}"/>
    <cellStyle name="Millares 2 3 4 4 2 2" xfId="10448" xr:uid="{F79DFE40-BF7A-4ADF-AB7C-2C6A878E2F9B}"/>
    <cellStyle name="Millares 2 3 4 4 3" xfId="6812" xr:uid="{6BE6F3D6-4CAA-424D-8D77-2817E3305A6B}"/>
    <cellStyle name="Millares 2 3 4 4 3 2" xfId="11660" xr:uid="{B2F9A621-E6C7-4B0D-A46C-B741111C3C09}"/>
    <cellStyle name="Millares 2 3 4 4 4" xfId="4386" xr:uid="{54CF542D-E14B-4777-B624-1B837BB624C6}"/>
    <cellStyle name="Millares 2 3 4 4 4 2" xfId="9240" xr:uid="{60D0326F-95B6-4DCC-B186-6B585DCC347D}"/>
    <cellStyle name="Millares 2 3 4 4 5" xfId="3173" xr:uid="{304566F4-6F90-42C5-8952-9365433EA355}"/>
    <cellStyle name="Millares 2 3 4 4 6" xfId="8029" xr:uid="{152E75FE-E158-437A-9931-40305884DA14}"/>
    <cellStyle name="Millares 2 3 4 5" xfId="4992" xr:uid="{CB9F5307-54E2-40C9-AAB3-C78E56C9010D}"/>
    <cellStyle name="Millares 2 3 4 5 2" xfId="9844" xr:uid="{2D7A53C4-E4AB-4026-9E13-B6B59091AEE7}"/>
    <cellStyle name="Millares 2 3 4 6" xfId="6205" xr:uid="{E930D4A0-9A66-48D8-BFD1-153ADE377FCE}"/>
    <cellStyle name="Millares 2 3 4 6 2" xfId="11055" xr:uid="{44DAE507-6E04-4172-B7A9-8739F996EC3E}"/>
    <cellStyle name="Millares 2 3 4 7" xfId="3782" xr:uid="{FA5765F4-612D-4422-86E8-A13F1545CE6F}"/>
    <cellStyle name="Millares 2 3 4 7 2" xfId="8636" xr:uid="{D4E617BF-378A-4F59-81F0-B987EB1FC84B}"/>
    <cellStyle name="Millares 2 3 4 8" xfId="2569" xr:uid="{B8D5D293-7ED4-45EC-B456-7ACD09DB168F}"/>
    <cellStyle name="Millares 2 3 4 9" xfId="7425" xr:uid="{B3848AE6-B8C8-4D06-BC20-93D0A5ACAB85}"/>
    <cellStyle name="Millares 2 3 5" xfId="279" xr:uid="{5226C045-5F70-4775-AE9B-CB1A2DBBF586}"/>
    <cellStyle name="Millares 2 3 5 2" xfId="280" xr:uid="{DE1A6C2E-7817-42C7-B172-C954CA430021}"/>
    <cellStyle name="Millares 2 3 5 2 2" xfId="1956" xr:uid="{C8BD4543-1861-4D46-B8C7-411C1C218AC8}"/>
    <cellStyle name="Millares 2 3 5 2 2 2" xfId="5601" xr:uid="{279306DB-D7AC-4FBF-BA50-B944BC1B28BF}"/>
    <cellStyle name="Millares 2 3 5 2 2 2 2" xfId="10453" xr:uid="{3816163A-6507-4756-A84D-8CBD2C73226E}"/>
    <cellStyle name="Millares 2 3 5 2 2 3" xfId="6817" xr:uid="{79FE5A4F-63C1-4715-9BE9-D136733F0F18}"/>
    <cellStyle name="Millares 2 3 5 2 2 3 2" xfId="11665" xr:uid="{58FF82E8-658E-424E-8A06-DE0CC0C22DED}"/>
    <cellStyle name="Millares 2 3 5 2 2 4" xfId="4391" xr:uid="{ADFC8A2E-10AA-4699-9560-36D49D396FAE}"/>
    <cellStyle name="Millares 2 3 5 2 2 4 2" xfId="9245" xr:uid="{9002454C-95C9-499B-8325-A127E0CC4370}"/>
    <cellStyle name="Millares 2 3 5 2 2 5" xfId="3178" xr:uid="{E754D8D0-AD24-4F13-BF6D-4ACFCEE89510}"/>
    <cellStyle name="Millares 2 3 5 2 2 6" xfId="8034" xr:uid="{4898B1D9-6C28-4A41-8A03-EFADB8664286}"/>
    <cellStyle name="Millares 2 3 5 2 3" xfId="4997" xr:uid="{503D9FC5-7491-448D-9336-75FFEEB62C65}"/>
    <cellStyle name="Millares 2 3 5 2 3 2" xfId="9849" xr:uid="{F43EC580-2B1F-407B-B18F-906343A72F23}"/>
    <cellStyle name="Millares 2 3 5 2 4" xfId="6210" xr:uid="{27C447B8-11BD-4B86-943A-1EEEA8958655}"/>
    <cellStyle name="Millares 2 3 5 2 4 2" xfId="11060" xr:uid="{3638F52F-AB58-4701-B8AB-EA5EF2C69BA5}"/>
    <cellStyle name="Millares 2 3 5 2 5" xfId="3787" xr:uid="{B5EDEF75-CE7D-432E-86BE-1CF8688CC885}"/>
    <cellStyle name="Millares 2 3 5 2 5 2" xfId="8641" xr:uid="{6696CAE7-0D9B-4758-8113-4F642847DDB1}"/>
    <cellStyle name="Millares 2 3 5 2 6" xfId="2574" xr:uid="{8BA0D1D3-986F-4AB0-BD78-C765D15A92AF}"/>
    <cellStyle name="Millares 2 3 5 2 7" xfId="7430" xr:uid="{00F77F97-B581-42EC-ADB1-39B43E984D98}"/>
    <cellStyle name="Millares 2 3 5 3" xfId="1955" xr:uid="{7FFBDD25-A2DB-4F59-A661-8753D9FCF7CA}"/>
    <cellStyle name="Millares 2 3 5 3 2" xfId="5600" xr:uid="{5159C866-A3A7-4B88-AFC8-8D953E8799D3}"/>
    <cellStyle name="Millares 2 3 5 3 2 2" xfId="10452" xr:uid="{D9209074-AD17-4A4F-A01A-6A8D75C35DA4}"/>
    <cellStyle name="Millares 2 3 5 3 3" xfId="6816" xr:uid="{0B9A93F2-288E-4D94-AE56-B2D465EEB602}"/>
    <cellStyle name="Millares 2 3 5 3 3 2" xfId="11664" xr:uid="{FA963F7B-0A58-4972-9A24-ADE65FF0E803}"/>
    <cellStyle name="Millares 2 3 5 3 4" xfId="4390" xr:uid="{26810611-A87E-4103-B41B-1C61DF7FA1CD}"/>
    <cellStyle name="Millares 2 3 5 3 4 2" xfId="9244" xr:uid="{F01639AF-D7DE-48EB-8A07-36DFCC69D6EA}"/>
    <cellStyle name="Millares 2 3 5 3 5" xfId="3177" xr:uid="{986C2670-DB60-4859-BB41-2A463A186B8B}"/>
    <cellStyle name="Millares 2 3 5 3 6" xfId="8033" xr:uid="{D0C3B6D5-231A-4478-874C-1B3D95517550}"/>
    <cellStyle name="Millares 2 3 5 4" xfId="4996" xr:uid="{8E355D02-83B6-4EDA-A6F5-DE35A66F2B58}"/>
    <cellStyle name="Millares 2 3 5 4 2" xfId="9848" xr:uid="{7F7BD667-4641-4DA1-BF2E-196AFB0A0484}"/>
    <cellStyle name="Millares 2 3 5 5" xfId="6209" xr:uid="{70260F15-3DE2-40D6-9510-B1A297025796}"/>
    <cellStyle name="Millares 2 3 5 5 2" xfId="11059" xr:uid="{9A55E9A9-E892-4CBD-87EF-F93994B5EF3E}"/>
    <cellStyle name="Millares 2 3 5 6" xfId="3786" xr:uid="{CD014C03-3D63-4866-8FB6-1DBADC840E54}"/>
    <cellStyle name="Millares 2 3 5 6 2" xfId="8640" xr:uid="{4836F277-87ED-4507-816E-F29363CB450B}"/>
    <cellStyle name="Millares 2 3 5 7" xfId="2573" xr:uid="{62607D26-46A2-4639-9602-94CC186C228A}"/>
    <cellStyle name="Millares 2 3 5 8" xfId="7429" xr:uid="{E0B879DD-25E7-4E94-88F2-E717B274A943}"/>
    <cellStyle name="Millares 2 3 6" xfId="281" xr:uid="{618E91E6-7B68-4130-9559-B7A06010FC0C}"/>
    <cellStyle name="Millares 2 3 6 2" xfId="1957" xr:uid="{510C70B8-AF33-4DB3-A08E-071F448C1FED}"/>
    <cellStyle name="Millares 2 3 6 2 2" xfId="5602" xr:uid="{751E1C81-DEF9-408C-A67D-05ADA85ECD8D}"/>
    <cellStyle name="Millares 2 3 6 2 2 2" xfId="10454" xr:uid="{B1CF1468-1763-44D3-A0F8-25086532BB44}"/>
    <cellStyle name="Millares 2 3 6 2 3" xfId="6818" xr:uid="{24EA442E-ED8B-4FA8-A43B-D1BEC39FBEAA}"/>
    <cellStyle name="Millares 2 3 6 2 3 2" xfId="11666" xr:uid="{FFB1F4A8-424B-4A72-A3DF-809279388379}"/>
    <cellStyle name="Millares 2 3 6 2 4" xfId="4392" xr:uid="{FFDE5270-FB43-438E-B01F-2E98A1EE260B}"/>
    <cellStyle name="Millares 2 3 6 2 4 2" xfId="9246" xr:uid="{8DD56B53-51FB-43CF-94E3-1340B71AC46D}"/>
    <cellStyle name="Millares 2 3 6 2 5" xfId="3179" xr:uid="{436FE7CC-0CEB-4F90-9CC0-2143A58623BF}"/>
    <cellStyle name="Millares 2 3 6 2 6" xfId="8035" xr:uid="{A1D3CEDD-6BC5-4FAD-B594-4DBFC49FC368}"/>
    <cellStyle name="Millares 2 3 6 3" xfId="4998" xr:uid="{9D1AA4B9-92A9-4A20-B08D-9DBD4BF22019}"/>
    <cellStyle name="Millares 2 3 6 3 2" xfId="9850" xr:uid="{095F089F-0F9D-4DBE-AD99-2255A863589E}"/>
    <cellStyle name="Millares 2 3 6 4" xfId="6211" xr:uid="{0A88D123-6514-4C0D-8401-6BDA53B24ACD}"/>
    <cellStyle name="Millares 2 3 6 4 2" xfId="11061" xr:uid="{DBA449B3-DD54-430C-9FD5-4F171B3D19CA}"/>
    <cellStyle name="Millares 2 3 6 5" xfId="3788" xr:uid="{2999508B-393E-4316-93AC-C04540324533}"/>
    <cellStyle name="Millares 2 3 6 5 2" xfId="8642" xr:uid="{3AC05C3A-4BA7-4AB3-B974-A0074183C58A}"/>
    <cellStyle name="Millares 2 3 6 6" xfId="2575" xr:uid="{E4898AC3-22DD-4361-B67F-B5671644B55E}"/>
    <cellStyle name="Millares 2 3 6 7" xfId="7431" xr:uid="{9FEBF993-97D9-4888-8CBE-FB0BFDA3A39C}"/>
    <cellStyle name="Millares 2 3 7" xfId="1934" xr:uid="{05221833-3942-44E6-B957-B810EFE0153B}"/>
    <cellStyle name="Millares 2 3 7 2" xfId="5579" xr:uid="{161F4942-491A-42F0-B127-3636DAFFDD7F}"/>
    <cellStyle name="Millares 2 3 7 2 2" xfId="10431" xr:uid="{2F287512-71B4-48A2-838D-7D9D204EEE6A}"/>
    <cellStyle name="Millares 2 3 7 3" xfId="6795" xr:uid="{E4159460-AD11-47E3-9CB9-92F27F74A938}"/>
    <cellStyle name="Millares 2 3 7 3 2" xfId="11643" xr:uid="{47EE2749-2D0F-4F96-BD08-DA3A3983DA9C}"/>
    <cellStyle name="Millares 2 3 7 4" xfId="4369" xr:uid="{AE2F350E-E1EF-4625-BAD1-642B802C2EA0}"/>
    <cellStyle name="Millares 2 3 7 4 2" xfId="9223" xr:uid="{05310B08-AD35-4ECA-955F-E1713398D9AB}"/>
    <cellStyle name="Millares 2 3 7 5" xfId="3156" xr:uid="{BBFD5E0E-2179-4FD6-BC00-77E5A4624A25}"/>
    <cellStyle name="Millares 2 3 7 6" xfId="8012" xr:uid="{0C719EDE-30F0-4434-A9BB-21CFBD9B7CD0}"/>
    <cellStyle name="Millares 2 3 8" xfId="4975" xr:uid="{9C9C1852-AB8F-4718-A0E4-91828898A166}"/>
    <cellStyle name="Millares 2 3 8 2" xfId="9827" xr:uid="{775D954D-09DE-45CF-AE28-74287CF63438}"/>
    <cellStyle name="Millares 2 3 9" xfId="6188" xr:uid="{B1F80B0D-E96D-4336-B512-1EB8F2802AF5}"/>
    <cellStyle name="Millares 2 3 9 2" xfId="11038" xr:uid="{A2EE7D7C-23C8-4626-834C-0D651AF9ABFE}"/>
    <cellStyle name="Millares 2 4" xfId="282" xr:uid="{C156D25A-139B-417F-927A-FD7926E56508}"/>
    <cellStyle name="Millares 2 4 2" xfId="1958" xr:uid="{54CA1314-1DCF-4A9C-A8B8-7F1EC5A9B5F3}"/>
    <cellStyle name="Millares 2 4 2 2" xfId="5603" xr:uid="{1B31644D-DF8E-492C-B2BB-69E7B404012D}"/>
    <cellStyle name="Millares 2 4 2 2 2" xfId="10455" xr:uid="{2B0E998D-961C-4B8F-A441-753592CED2AA}"/>
    <cellStyle name="Millares 2 4 2 3" xfId="6819" xr:uid="{57AED8DA-7AFB-488E-8C11-7AE9A8B09AAF}"/>
    <cellStyle name="Millares 2 4 2 3 2" xfId="11667" xr:uid="{5656A640-853F-4877-B2F6-1D86DAEB9236}"/>
    <cellStyle name="Millares 2 4 2 4" xfId="4393" xr:uid="{0116DEF2-77A7-4B6F-855C-B0B4F35A0A80}"/>
    <cellStyle name="Millares 2 4 2 4 2" xfId="9247" xr:uid="{C9AA9553-78A4-480F-B1D1-10F8CE9AD83D}"/>
    <cellStyle name="Millares 2 4 2 5" xfId="3180" xr:uid="{6DC4AB75-9213-42D7-9B20-48B640B2C21D}"/>
    <cellStyle name="Millares 2 4 2 6" xfId="8036" xr:uid="{640B7FFD-293F-4F66-A839-461BE8609AB0}"/>
    <cellStyle name="Millares 2 4 3" xfId="4999" xr:uid="{3D9911F6-6A88-4268-BE3F-1B5A1096422F}"/>
    <cellStyle name="Millares 2 4 3 2" xfId="9851" xr:uid="{20B0B64D-0FD9-480B-A3DF-813BA19E086D}"/>
    <cellStyle name="Millares 2 4 4" xfId="6212" xr:uid="{197932BC-3AE8-4AE3-A22A-685C9C7673E7}"/>
    <cellStyle name="Millares 2 4 4 2" xfId="11062" xr:uid="{8727CF23-B13F-4236-9D72-938117A85077}"/>
    <cellStyle name="Millares 2 4 5" xfId="3789" xr:uid="{48847E18-71F8-49D9-BE70-2EDC63EB8478}"/>
    <cellStyle name="Millares 2 4 5 2" xfId="8643" xr:uid="{F57DA021-6DFF-48D4-B24C-733EDB27E3FB}"/>
    <cellStyle name="Millares 2 4 6" xfId="2576" xr:uid="{A6192553-8B2C-432F-928A-342C7D68D905}"/>
    <cellStyle name="Millares 2 4 7" xfId="7432" xr:uid="{3F4C2FCA-1245-4037-8585-D0E40650AD4A}"/>
    <cellStyle name="Millares 2 5" xfId="283" xr:uid="{2BFB16A5-00CE-4F0A-AD1A-7FA09F950860}"/>
    <cellStyle name="Millares 2 5 2" xfId="1959" xr:uid="{31E36606-A799-441A-AC51-B0AFF6070A50}"/>
    <cellStyle name="Millares 2 5 2 2" xfId="5604" xr:uid="{FC07D2A6-1E80-4161-960B-AE3BAA33A710}"/>
    <cellStyle name="Millares 2 5 2 2 2" xfId="10456" xr:uid="{306AD034-FAEA-4E9A-AC0C-9FEB4A2F4F34}"/>
    <cellStyle name="Millares 2 5 2 3" xfId="6820" xr:uid="{76377D57-FDA4-4391-9FA1-EA47AE3917B2}"/>
    <cellStyle name="Millares 2 5 2 3 2" xfId="11668" xr:uid="{B3D596C8-84E5-4C8A-B753-CD8E34A0C89A}"/>
    <cellStyle name="Millares 2 5 2 4" xfId="4394" xr:uid="{D3640A3A-8FC2-4638-A5AE-77CC418F1F90}"/>
    <cellStyle name="Millares 2 5 2 4 2" xfId="9248" xr:uid="{3BD3A3B7-CB4C-467A-BD61-90213158F0C2}"/>
    <cellStyle name="Millares 2 5 2 5" xfId="3181" xr:uid="{4D9C87D7-A6B9-405C-8CFA-4B72C78010EC}"/>
    <cellStyle name="Millares 2 5 2 6" xfId="8037" xr:uid="{BEA703C2-D70B-4446-868A-5E8066117807}"/>
    <cellStyle name="Millares 2 5 3" xfId="5000" xr:uid="{D47060E5-9F8E-44A7-B022-EC4AB538E20B}"/>
    <cellStyle name="Millares 2 5 3 2" xfId="9852" xr:uid="{CC1B2362-62E2-4674-84A4-467385A636AB}"/>
    <cellStyle name="Millares 2 5 4" xfId="6213" xr:uid="{E4943E27-32CF-4B23-BC69-3AD388EE31DE}"/>
    <cellStyle name="Millares 2 5 4 2" xfId="11063" xr:uid="{89756B04-A6B9-442C-B8C2-650EB7E3B1DD}"/>
    <cellStyle name="Millares 2 5 5" xfId="3790" xr:uid="{E352B4F5-5451-49E8-B2DB-120B62DF8283}"/>
    <cellStyle name="Millares 2 5 5 2" xfId="8644" xr:uid="{89EBFFC5-9574-4DD8-85F3-4EA3A125F2E8}"/>
    <cellStyle name="Millares 2 5 6" xfId="2577" xr:uid="{EAA2D4E5-C28E-4A8E-AE42-05883C636FDB}"/>
    <cellStyle name="Millares 2 5 7" xfId="7433" xr:uid="{294335DF-EB28-4773-9585-14EE870D68DB}"/>
    <cellStyle name="Millares 2 6" xfId="284" xr:uid="{7551FA41-A12A-4483-A34E-4A2C15A4F74D}"/>
    <cellStyle name="Millares 2 6 2" xfId="1960" xr:uid="{651EDE29-347C-4B5C-BB37-88B5FFD23B6A}"/>
    <cellStyle name="Millares 2 6 2 2" xfId="5605" xr:uid="{FEC4333D-56D8-4669-852C-30CBB1AEB6D5}"/>
    <cellStyle name="Millares 2 6 2 2 2" xfId="10457" xr:uid="{C3D4B102-CCCF-409F-BC59-A4654CF716BD}"/>
    <cellStyle name="Millares 2 6 2 3" xfId="6821" xr:uid="{252E9D42-515F-472D-8AB4-363EAD42334D}"/>
    <cellStyle name="Millares 2 6 2 3 2" xfId="11669" xr:uid="{EC469B4F-1BCF-437A-89B3-D4EC780A27F4}"/>
    <cellStyle name="Millares 2 6 2 4" xfId="4395" xr:uid="{28EB7EAD-701E-41C3-AB74-C258F4D76BA4}"/>
    <cellStyle name="Millares 2 6 2 4 2" xfId="9249" xr:uid="{FF431133-B504-479E-A62B-281D1B25CD80}"/>
    <cellStyle name="Millares 2 6 2 5" xfId="3182" xr:uid="{DFAAE6F6-91DD-4803-B52D-2F31A2A31EF0}"/>
    <cellStyle name="Millares 2 6 2 6" xfId="8038" xr:uid="{786CBFC3-C606-42C4-BA3A-5AE81B5ED28E}"/>
    <cellStyle name="Millares 2 6 3" xfId="5001" xr:uid="{A9989144-ADF5-40BF-8EF1-88BEB76F5D8C}"/>
    <cellStyle name="Millares 2 6 3 2" xfId="9853" xr:uid="{FBADF2E5-EBDB-44F2-BAB0-9A8883F20F93}"/>
    <cellStyle name="Millares 2 6 4" xfId="6214" xr:uid="{D6C24FBF-7258-44B4-BBBD-E2EC094202B0}"/>
    <cellStyle name="Millares 2 6 4 2" xfId="11064" xr:uid="{A1FCA454-0B22-4235-802A-4D0001C39FD2}"/>
    <cellStyle name="Millares 2 6 5" xfId="3791" xr:uid="{4FBEE643-1CC5-4215-9F88-2E9A2B494E6A}"/>
    <cellStyle name="Millares 2 6 5 2" xfId="8645" xr:uid="{72BC9E45-BFF2-4C2E-84D5-F90E60FA2F54}"/>
    <cellStyle name="Millares 2 6 6" xfId="2578" xr:uid="{BEB77E7C-CF5F-40D9-A0FF-F41EA7DDED7A}"/>
    <cellStyle name="Millares 2 6 7" xfId="7434" xr:uid="{C8AB5F8C-E265-4F05-BD65-5E221896CB28}"/>
    <cellStyle name="Millares 2 7" xfId="133" xr:uid="{3E6D5C03-26BB-4645-BB57-835C98CBA0D4}"/>
    <cellStyle name="Millares 2 8" xfId="2400" xr:uid="{9D40D678-243B-44BF-965B-A437596FFB33}"/>
    <cellStyle name="Millares 20" xfId="138" xr:uid="{926EEB83-29E2-411D-B8D9-7F4EF1B3EAED}"/>
    <cellStyle name="Millares 21" xfId="2401" xr:uid="{09D87F2F-20C4-4323-A957-BF9F5178E6B3}"/>
    <cellStyle name="Millares 22" xfId="2398" xr:uid="{F5398642-7E83-4D5F-AF61-86042E082976}"/>
    <cellStyle name="Millares 23" xfId="2402" xr:uid="{F39BB614-1827-4F98-AF42-A3232D9731C8}"/>
    <cellStyle name="Millares 24" xfId="2392" xr:uid="{E5D469BF-2078-4405-A40B-12E0606E318C}"/>
    <cellStyle name="Millares 25" xfId="115" xr:uid="{A603E6CE-0AEE-4298-97BB-EE1CB45EDEB7}"/>
    <cellStyle name="Millares 26" xfId="2395" xr:uid="{DACE0AF7-7A23-4074-9ED0-2192EE7674C8}"/>
    <cellStyle name="Millares 27" xfId="2394" xr:uid="{7AE706F8-E64C-47CD-948E-45EC85D34E42}"/>
    <cellStyle name="Millares 28" xfId="2397" xr:uid="{82235C74-41B7-4E16-98D9-29522E5DCC5B}"/>
    <cellStyle name="Millares 29" xfId="2396" xr:uid="{1599038C-D133-4CDD-9E07-3E5A9402D0FC}"/>
    <cellStyle name="Millares 3" xfId="146" xr:uid="{A61772F6-0CC9-4A4C-AA36-2805075A7B82}"/>
    <cellStyle name="Millares 3 10" xfId="7281" xr:uid="{C5CDA930-5D6A-41C0-9795-E988A7D1EFF4}"/>
    <cellStyle name="Millares 3 2" xfId="8" xr:uid="{BD1576AA-91E3-4D78-8854-5DC40210A0CB}"/>
    <cellStyle name="Millares 3 2 10" xfId="3792" xr:uid="{A4A65500-764F-4F11-BAC0-AA1BD7C5458D}"/>
    <cellStyle name="Millares 3 2 10 2" xfId="8646" xr:uid="{E96EC165-9E5B-44FE-B461-04A89492F321}"/>
    <cellStyle name="Millares 3 2 11" xfId="2579" xr:uid="{21FD4316-28DC-436D-858F-A548EC1823CA}"/>
    <cellStyle name="Millares 3 2 12" xfId="7435" xr:uid="{CD4E8CEF-A5CA-4E5E-9348-3180C0526BD9}"/>
    <cellStyle name="Millares 3 2 13" xfId="12111" xr:uid="{60CB519A-27C4-497D-8B56-C2BC92439CC1}"/>
    <cellStyle name="Millares 3 2 14" xfId="285" xr:uid="{789F5EAB-FB1A-4099-AF80-EB4E3D57170D}"/>
    <cellStyle name="Millares 3 2 2" xfId="286" xr:uid="{8FB5D893-0042-4CC7-BF08-4701C280044C}"/>
    <cellStyle name="Millares 3 2 2 10" xfId="2580" xr:uid="{13C3FC80-90CB-49D8-AEF5-B39FAF6E98EF}"/>
    <cellStyle name="Millares 3 2 2 11" xfId="7436" xr:uid="{DAE1A0DD-6CA0-49F7-A618-1C5D62A3A425}"/>
    <cellStyle name="Millares 3 2 2 2" xfId="287" xr:uid="{326F3B48-9E7C-43B0-BF47-579F2B1E0834}"/>
    <cellStyle name="Millares 3 2 2 2 2" xfId="288" xr:uid="{F80E1ECA-9F5F-44BC-8345-2D5C6BB9552F}"/>
    <cellStyle name="Millares 3 2 2 2 2 2" xfId="289" xr:uid="{A2502697-7770-41B6-8458-5320E7FF8912}"/>
    <cellStyle name="Millares 3 2 2 2 2 2 2" xfId="1965" xr:uid="{9FBDF00E-6355-4588-AAAC-6BA937DE8001}"/>
    <cellStyle name="Millares 3 2 2 2 2 2 2 2" xfId="5610" xr:uid="{B436ECD9-AC1F-4C1B-93FC-28DA691CB455}"/>
    <cellStyle name="Millares 3 2 2 2 2 2 2 2 2" xfId="10462" xr:uid="{074523C9-839E-4AEF-A2B0-B97EE05B0310}"/>
    <cellStyle name="Millares 3 2 2 2 2 2 2 3" xfId="6826" xr:uid="{587915DF-037E-4691-B17D-FF0470607759}"/>
    <cellStyle name="Millares 3 2 2 2 2 2 2 3 2" xfId="11674" xr:uid="{109E3BB7-8633-41CB-A6A4-B98F75F7177A}"/>
    <cellStyle name="Millares 3 2 2 2 2 2 2 4" xfId="4400" xr:uid="{D42126F4-9273-46E3-84E9-F9EDEA64D214}"/>
    <cellStyle name="Millares 3 2 2 2 2 2 2 4 2" xfId="9254" xr:uid="{492224CF-2D5C-431F-857F-694B7345C798}"/>
    <cellStyle name="Millares 3 2 2 2 2 2 2 5" xfId="3187" xr:uid="{55FFDC2C-3864-48C3-9CC8-E524929C1A71}"/>
    <cellStyle name="Millares 3 2 2 2 2 2 2 6" xfId="8043" xr:uid="{216BED65-A85B-4B2C-800F-D86CAEA15C33}"/>
    <cellStyle name="Millares 3 2 2 2 2 2 3" xfId="5006" xr:uid="{E8B065D7-CCC4-4E1F-BBCC-BB671E9A1736}"/>
    <cellStyle name="Millares 3 2 2 2 2 2 3 2" xfId="9858" xr:uid="{4F1D4096-2AC6-44FE-967C-CD02F48758C3}"/>
    <cellStyle name="Millares 3 2 2 2 2 2 4" xfId="6219" xr:uid="{82B04460-BA26-461B-842E-22AB38237A7B}"/>
    <cellStyle name="Millares 3 2 2 2 2 2 4 2" xfId="11069" xr:uid="{42A262C8-B3D7-41E6-9DC3-6D0660C020AB}"/>
    <cellStyle name="Millares 3 2 2 2 2 2 5" xfId="3796" xr:uid="{222B8ECF-AF70-4A04-A0DE-71128FE30E22}"/>
    <cellStyle name="Millares 3 2 2 2 2 2 5 2" xfId="8650" xr:uid="{ACD99FC2-D03F-4431-8F00-28D4174C8293}"/>
    <cellStyle name="Millares 3 2 2 2 2 2 6" xfId="2583" xr:uid="{B6AC097D-2F10-4BEB-9C2E-3794BD06E406}"/>
    <cellStyle name="Millares 3 2 2 2 2 2 7" xfId="7439" xr:uid="{AEF5E4A3-E76B-47E3-BC89-E3A171746276}"/>
    <cellStyle name="Millares 3 2 2 2 2 3" xfId="1964" xr:uid="{DD8A06C7-79F9-4D3A-8185-3FD039D9E59B}"/>
    <cellStyle name="Millares 3 2 2 2 2 3 2" xfId="5609" xr:uid="{C6E345C2-BCFC-4553-89B1-7EAF1AD106F7}"/>
    <cellStyle name="Millares 3 2 2 2 2 3 2 2" xfId="10461" xr:uid="{FBD411CD-FE3E-43F7-9202-ABB83DFD7F75}"/>
    <cellStyle name="Millares 3 2 2 2 2 3 3" xfId="6825" xr:uid="{3216524E-CFFB-4C13-B6AB-2100FC51A0EA}"/>
    <cellStyle name="Millares 3 2 2 2 2 3 3 2" xfId="11673" xr:uid="{8393BC73-65F0-48F2-B86C-642B88EB49A6}"/>
    <cellStyle name="Millares 3 2 2 2 2 3 4" xfId="4399" xr:uid="{C34DC8CF-D21E-4767-A8DE-93FFA611DE64}"/>
    <cellStyle name="Millares 3 2 2 2 2 3 4 2" xfId="9253" xr:uid="{CA2FFA5A-C214-4555-BC88-36D5479F7723}"/>
    <cellStyle name="Millares 3 2 2 2 2 3 5" xfId="3186" xr:uid="{FCB9F97D-468A-4D2B-B2EE-C55F35DF7008}"/>
    <cellStyle name="Millares 3 2 2 2 2 3 6" xfId="8042" xr:uid="{EA7D2D71-1149-4030-A89A-63FD7E5802A8}"/>
    <cellStyle name="Millares 3 2 2 2 2 4" xfId="5005" xr:uid="{B7B115AF-0DAB-4252-8484-28427B07BB52}"/>
    <cellStyle name="Millares 3 2 2 2 2 4 2" xfId="9857" xr:uid="{4567FD4F-6CAE-4C1D-9CE6-9E0EEE07A7F8}"/>
    <cellStyle name="Millares 3 2 2 2 2 5" xfId="6218" xr:uid="{F802C0C5-9375-4BB6-8610-5413847CB6E5}"/>
    <cellStyle name="Millares 3 2 2 2 2 5 2" xfId="11068" xr:uid="{A35A872E-CAC5-42D7-ACF2-890F1B4058AD}"/>
    <cellStyle name="Millares 3 2 2 2 2 6" xfId="3795" xr:uid="{A1911B9A-B9E8-4F81-AE9A-F9F0A13DFE76}"/>
    <cellStyle name="Millares 3 2 2 2 2 6 2" xfId="8649" xr:uid="{7DC656FE-70A8-42EF-A0D2-896B3090BA5C}"/>
    <cellStyle name="Millares 3 2 2 2 2 7" xfId="2582" xr:uid="{09B7D2C6-3C5B-4881-807E-E488EF0A827B}"/>
    <cellStyle name="Millares 3 2 2 2 2 8" xfId="7438" xr:uid="{AF257DAC-063D-4258-A7A9-1876C2B01742}"/>
    <cellStyle name="Millares 3 2 2 2 3" xfId="290" xr:uid="{9854AECA-3902-4740-B698-CA6694681890}"/>
    <cellStyle name="Millares 3 2 2 2 3 2" xfId="1966" xr:uid="{4BF3F018-1D99-4C03-80EA-B4375F80A66E}"/>
    <cellStyle name="Millares 3 2 2 2 3 2 2" xfId="5611" xr:uid="{1144DB70-7A13-42A7-B0A9-D00DBC43B880}"/>
    <cellStyle name="Millares 3 2 2 2 3 2 2 2" xfId="10463" xr:uid="{CDA941DB-C349-473A-9E67-5EA26FF66A10}"/>
    <cellStyle name="Millares 3 2 2 2 3 2 3" xfId="6827" xr:uid="{93087F88-7115-4700-A986-92A3D6551208}"/>
    <cellStyle name="Millares 3 2 2 2 3 2 3 2" xfId="11675" xr:uid="{365C844A-ABCF-4DE0-9D46-0A4246A28402}"/>
    <cellStyle name="Millares 3 2 2 2 3 2 4" xfId="4401" xr:uid="{9B877827-D2A4-4D44-98A3-613FE2F94164}"/>
    <cellStyle name="Millares 3 2 2 2 3 2 4 2" xfId="9255" xr:uid="{FD488DD9-B1A5-44D1-A7BD-C6BA47E4329D}"/>
    <cellStyle name="Millares 3 2 2 2 3 2 5" xfId="3188" xr:uid="{DD55A822-A546-4E27-A2F6-715F39B729EF}"/>
    <cellStyle name="Millares 3 2 2 2 3 2 6" xfId="8044" xr:uid="{ACC56FDC-EB81-4CD8-99AC-915D04A79AC7}"/>
    <cellStyle name="Millares 3 2 2 2 3 3" xfId="5007" xr:uid="{D44DDCD8-024F-464F-9B82-8810C2E978FB}"/>
    <cellStyle name="Millares 3 2 2 2 3 3 2" xfId="9859" xr:uid="{720149DF-E88B-4CFA-96AC-E9B9B11AA47B}"/>
    <cellStyle name="Millares 3 2 2 2 3 4" xfId="6220" xr:uid="{6254BD18-9C12-43D5-B8AE-E247A23DBFC8}"/>
    <cellStyle name="Millares 3 2 2 2 3 4 2" xfId="11070" xr:uid="{E1C44049-0554-4075-9E21-3D98C1B148DD}"/>
    <cellStyle name="Millares 3 2 2 2 3 5" xfId="3797" xr:uid="{AA19E3BF-3393-48CF-91F0-D3B1EA262ED0}"/>
    <cellStyle name="Millares 3 2 2 2 3 5 2" xfId="8651" xr:uid="{37C78092-C98D-4F45-801F-C2300079D9D5}"/>
    <cellStyle name="Millares 3 2 2 2 3 6" xfId="2584" xr:uid="{F971E5D1-11FC-4D41-9696-C660B243D4F2}"/>
    <cellStyle name="Millares 3 2 2 2 3 7" xfId="7440" xr:uid="{1050D574-2AB2-449C-A502-75FF9CC13989}"/>
    <cellStyle name="Millares 3 2 2 2 4" xfId="1963" xr:uid="{FCE5B6D1-18EB-494D-8ED0-2F02DE4AA17B}"/>
    <cellStyle name="Millares 3 2 2 2 4 2" xfId="5608" xr:uid="{53F5E2AA-1BDA-4168-A4A2-B2D9305EDCF7}"/>
    <cellStyle name="Millares 3 2 2 2 4 2 2" xfId="10460" xr:uid="{57D692FA-5C5D-4E76-8C76-D1092ECED14F}"/>
    <cellStyle name="Millares 3 2 2 2 4 3" xfId="6824" xr:uid="{937A68CD-0C4A-4149-B623-E26EEAD6AC59}"/>
    <cellStyle name="Millares 3 2 2 2 4 3 2" xfId="11672" xr:uid="{A3D7CA72-04CA-441A-A23C-90A92F3F0B6B}"/>
    <cellStyle name="Millares 3 2 2 2 4 4" xfId="4398" xr:uid="{1ABFAD76-76B0-43B0-A41E-3070CDC1826F}"/>
    <cellStyle name="Millares 3 2 2 2 4 4 2" xfId="9252" xr:uid="{04923493-5061-4934-8C79-37DD7E4D5458}"/>
    <cellStyle name="Millares 3 2 2 2 4 5" xfId="3185" xr:uid="{D573B554-709D-41BD-B3CA-8041C8ECC316}"/>
    <cellStyle name="Millares 3 2 2 2 4 6" xfId="8041" xr:uid="{2A471B74-EE26-4F4A-BF10-E305A6E7271E}"/>
    <cellStyle name="Millares 3 2 2 2 5" xfId="5004" xr:uid="{F5BA443D-7F39-4E91-B1AC-7EAE0D8E8120}"/>
    <cellStyle name="Millares 3 2 2 2 5 2" xfId="9856" xr:uid="{0B291DCB-EE2E-4C35-BEDD-24C7D8FF8B71}"/>
    <cellStyle name="Millares 3 2 2 2 6" xfId="6217" xr:uid="{6F0848AF-23B2-4E84-8465-C95155666DA1}"/>
    <cellStyle name="Millares 3 2 2 2 6 2" xfId="11067" xr:uid="{9CA18540-8652-47D8-AFF4-C46A84E925A7}"/>
    <cellStyle name="Millares 3 2 2 2 7" xfId="3794" xr:uid="{8E178A0D-662E-40F9-A649-19697C7A9368}"/>
    <cellStyle name="Millares 3 2 2 2 7 2" xfId="8648" xr:uid="{037A9AC2-442B-4081-9255-79EE2422A980}"/>
    <cellStyle name="Millares 3 2 2 2 8" xfId="2581" xr:uid="{589C154B-BEB3-4FC2-B222-B9DD31636B1C}"/>
    <cellStyle name="Millares 3 2 2 2 9" xfId="7437" xr:uid="{F3825D9D-4941-44C3-B613-B0AC846A6F90}"/>
    <cellStyle name="Millares 3 2 2 3" xfId="291" xr:uid="{AE160C93-2477-4C06-BA40-975EBFF86CEC}"/>
    <cellStyle name="Millares 3 2 2 3 2" xfId="292" xr:uid="{CB4C2E73-145F-4757-B59C-BD4DF601E1F4}"/>
    <cellStyle name="Millares 3 2 2 3 2 2" xfId="293" xr:uid="{17D1AF6B-4019-40FC-AD42-A2E602FB89BC}"/>
    <cellStyle name="Millares 3 2 2 3 2 2 2" xfId="1969" xr:uid="{F2F6B614-4E6A-49EF-9A2A-980F12F1ED7F}"/>
    <cellStyle name="Millares 3 2 2 3 2 2 2 2" xfId="5614" xr:uid="{A796FBE4-C06D-4059-BBD5-89A70A2FCBB2}"/>
    <cellStyle name="Millares 3 2 2 3 2 2 2 2 2" xfId="10466" xr:uid="{F0BC9073-D8C3-4C0F-9908-215653389131}"/>
    <cellStyle name="Millares 3 2 2 3 2 2 2 3" xfId="6830" xr:uid="{F8831223-086E-4F4B-8350-345F2E5EB4BA}"/>
    <cellStyle name="Millares 3 2 2 3 2 2 2 3 2" xfId="11678" xr:uid="{4B30AF8B-A995-4A0B-93AC-48E1FD3C685D}"/>
    <cellStyle name="Millares 3 2 2 3 2 2 2 4" xfId="4404" xr:uid="{BB37ABED-AABC-4676-A356-844439F7217D}"/>
    <cellStyle name="Millares 3 2 2 3 2 2 2 4 2" xfId="9258" xr:uid="{23FE1137-45B7-4A2B-A217-BE4A45582D0A}"/>
    <cellStyle name="Millares 3 2 2 3 2 2 2 5" xfId="3191" xr:uid="{B59AB414-3CA5-4AD4-A864-F53ACAF47BD3}"/>
    <cellStyle name="Millares 3 2 2 3 2 2 2 6" xfId="8047" xr:uid="{B338C80E-E8B1-4241-9F52-5C74F332C584}"/>
    <cellStyle name="Millares 3 2 2 3 2 2 3" xfId="5010" xr:uid="{735FC054-E52D-4E61-9107-70E682DD154B}"/>
    <cellStyle name="Millares 3 2 2 3 2 2 3 2" xfId="9862" xr:uid="{5427CA8D-E039-433D-9C11-97C919896D9D}"/>
    <cellStyle name="Millares 3 2 2 3 2 2 4" xfId="6223" xr:uid="{618BE36E-613F-4D19-890C-5ADF371B9BE8}"/>
    <cellStyle name="Millares 3 2 2 3 2 2 4 2" xfId="11073" xr:uid="{559EA299-E1A1-492E-8C35-BE57E67CFDA8}"/>
    <cellStyle name="Millares 3 2 2 3 2 2 5" xfId="3800" xr:uid="{51F72CEF-EDDF-4868-A7B9-942967F932C6}"/>
    <cellStyle name="Millares 3 2 2 3 2 2 5 2" xfId="8654" xr:uid="{FB60F7A9-BFCE-44AD-9044-FC7981442E80}"/>
    <cellStyle name="Millares 3 2 2 3 2 2 6" xfId="2587" xr:uid="{F79532FA-72D4-4204-9352-4B1DA1DF085A}"/>
    <cellStyle name="Millares 3 2 2 3 2 2 7" xfId="7443" xr:uid="{7FECC4F2-BD4F-487A-91D6-E53392F2F5F3}"/>
    <cellStyle name="Millares 3 2 2 3 2 3" xfId="1968" xr:uid="{D5F4E6FA-3E09-4062-A474-69B5B26E8F69}"/>
    <cellStyle name="Millares 3 2 2 3 2 3 2" xfId="5613" xr:uid="{A61C3199-AC3A-4E4F-9B9E-289B6E53B6F3}"/>
    <cellStyle name="Millares 3 2 2 3 2 3 2 2" xfId="10465" xr:uid="{9CF77ECA-0C7F-4010-9B73-6A3DC1A361A7}"/>
    <cellStyle name="Millares 3 2 2 3 2 3 3" xfId="6829" xr:uid="{D7DA4042-A3B6-4286-B0A2-25F13E6C1309}"/>
    <cellStyle name="Millares 3 2 2 3 2 3 3 2" xfId="11677" xr:uid="{268DC080-0118-4D84-BC31-F8B3C97E6109}"/>
    <cellStyle name="Millares 3 2 2 3 2 3 4" xfId="4403" xr:uid="{4BBBD14A-3251-4D59-914A-204E8480DD18}"/>
    <cellStyle name="Millares 3 2 2 3 2 3 4 2" xfId="9257" xr:uid="{A5CBA6E0-A3AB-4593-AF01-5807B4F13AF2}"/>
    <cellStyle name="Millares 3 2 2 3 2 3 5" xfId="3190" xr:uid="{3C80034E-6B4E-40BC-B023-98A153CEE870}"/>
    <cellStyle name="Millares 3 2 2 3 2 3 6" xfId="8046" xr:uid="{A1DCC54C-6321-4881-A1DE-5F42DD853035}"/>
    <cellStyle name="Millares 3 2 2 3 2 4" xfId="5009" xr:uid="{FC7CA19C-1A7B-430B-A802-9FF03CB068B9}"/>
    <cellStyle name="Millares 3 2 2 3 2 4 2" xfId="9861" xr:uid="{FB318FEF-BB2E-4D51-AB43-3543B9162DB6}"/>
    <cellStyle name="Millares 3 2 2 3 2 5" xfId="6222" xr:uid="{3BAE99C2-331F-41C3-AB55-72F2802735EA}"/>
    <cellStyle name="Millares 3 2 2 3 2 5 2" xfId="11072" xr:uid="{583EBCA0-F5CC-4679-BFD3-4AE16D16A67A}"/>
    <cellStyle name="Millares 3 2 2 3 2 6" xfId="3799" xr:uid="{68CDA9E5-3A81-4F38-9584-9CEE0ACFDE27}"/>
    <cellStyle name="Millares 3 2 2 3 2 6 2" xfId="8653" xr:uid="{28EBB87D-598F-40EC-B7C6-3E6F239723CD}"/>
    <cellStyle name="Millares 3 2 2 3 2 7" xfId="2586" xr:uid="{4E6249DA-F11E-4A36-981B-5D4385A93B64}"/>
    <cellStyle name="Millares 3 2 2 3 2 8" xfId="7442" xr:uid="{B66BF29B-D96F-4694-BDF8-D9210C0C56DF}"/>
    <cellStyle name="Millares 3 2 2 3 3" xfId="294" xr:uid="{F979FAA8-390B-41F7-8658-5DF928C70063}"/>
    <cellStyle name="Millares 3 2 2 3 3 2" xfId="1970" xr:uid="{6AEC667C-0E41-4B30-9199-CC7AACCBD22E}"/>
    <cellStyle name="Millares 3 2 2 3 3 2 2" xfId="5615" xr:uid="{AB6D85E0-B38C-4F21-A25C-7F54B15CF90B}"/>
    <cellStyle name="Millares 3 2 2 3 3 2 2 2" xfId="10467" xr:uid="{872A932F-9479-4933-B1C8-5E9BEF8B4601}"/>
    <cellStyle name="Millares 3 2 2 3 3 2 3" xfId="6831" xr:uid="{8FC94DA0-103E-406D-853B-628D1C3A4A19}"/>
    <cellStyle name="Millares 3 2 2 3 3 2 3 2" xfId="11679" xr:uid="{9F27FD3B-B179-4B02-8B47-AA3BD59378E8}"/>
    <cellStyle name="Millares 3 2 2 3 3 2 4" xfId="4405" xr:uid="{4073F8CA-3D32-4B3C-BACF-506B40492592}"/>
    <cellStyle name="Millares 3 2 2 3 3 2 4 2" xfId="9259" xr:uid="{69678417-39F1-44A8-AA30-AD109C2990CC}"/>
    <cellStyle name="Millares 3 2 2 3 3 2 5" xfId="3192" xr:uid="{161E5585-CE01-420C-8FF2-1A403FCCF7B1}"/>
    <cellStyle name="Millares 3 2 2 3 3 2 6" xfId="8048" xr:uid="{CEEAFAF8-8466-4CAB-AB9B-DB22794ABCD9}"/>
    <cellStyle name="Millares 3 2 2 3 3 3" xfId="5011" xr:uid="{422DC1B7-1778-420E-9003-70D0DCA8F8F6}"/>
    <cellStyle name="Millares 3 2 2 3 3 3 2" xfId="9863" xr:uid="{0A57B5B0-8A1C-47A8-968F-B21A877C2C0A}"/>
    <cellStyle name="Millares 3 2 2 3 3 4" xfId="6224" xr:uid="{D9A70B53-E87C-4A2B-A295-B8DE9BA3B893}"/>
    <cellStyle name="Millares 3 2 2 3 3 4 2" xfId="11074" xr:uid="{F84F600E-4505-4C19-944B-9892DE692665}"/>
    <cellStyle name="Millares 3 2 2 3 3 5" xfId="3801" xr:uid="{9F48A7E3-DFDE-4D12-9298-C333714DF5DB}"/>
    <cellStyle name="Millares 3 2 2 3 3 5 2" xfId="8655" xr:uid="{742B64F4-4AC5-4B28-9C73-37547F56DF5D}"/>
    <cellStyle name="Millares 3 2 2 3 3 6" xfId="2588" xr:uid="{09DC4865-9DB6-442D-B527-0B1C0DB7348F}"/>
    <cellStyle name="Millares 3 2 2 3 3 7" xfId="7444" xr:uid="{B7B08FB4-7FF3-482A-BA12-A869B78CAFF9}"/>
    <cellStyle name="Millares 3 2 2 3 4" xfId="1967" xr:uid="{17E331E7-9A49-4B80-8606-1C452E0E7853}"/>
    <cellStyle name="Millares 3 2 2 3 4 2" xfId="5612" xr:uid="{A2FFA9C9-FC83-46D9-B1D0-E8EACC87FACE}"/>
    <cellStyle name="Millares 3 2 2 3 4 2 2" xfId="10464" xr:uid="{5AC705CC-C8FE-4CDF-BF1E-502EA0AD54C4}"/>
    <cellStyle name="Millares 3 2 2 3 4 3" xfId="6828" xr:uid="{B05C9CAF-20C1-46D6-92F9-79FEF67BED51}"/>
    <cellStyle name="Millares 3 2 2 3 4 3 2" xfId="11676" xr:uid="{88B5BD07-EF85-40F5-B26F-F6B50F284E25}"/>
    <cellStyle name="Millares 3 2 2 3 4 4" xfId="4402" xr:uid="{1888ABCB-F747-4197-BF4E-DCCE9D44363D}"/>
    <cellStyle name="Millares 3 2 2 3 4 4 2" xfId="9256" xr:uid="{3683B0BB-C290-488B-9CBF-6529C5089436}"/>
    <cellStyle name="Millares 3 2 2 3 4 5" xfId="3189" xr:uid="{B2052926-3846-489A-8B31-6255816573A4}"/>
    <cellStyle name="Millares 3 2 2 3 4 6" xfId="8045" xr:uid="{5A1EBD74-5F04-4DEC-9A5A-D4FB80BF6BB7}"/>
    <cellStyle name="Millares 3 2 2 3 5" xfId="5008" xr:uid="{B5211C3C-BFC0-4DF2-B12A-0F8FA33E1580}"/>
    <cellStyle name="Millares 3 2 2 3 5 2" xfId="9860" xr:uid="{A97184A0-C9EB-48E7-863D-8A26CE942E4D}"/>
    <cellStyle name="Millares 3 2 2 3 6" xfId="6221" xr:uid="{2246DB5B-BAB7-4F3E-9859-AB69FA19F04B}"/>
    <cellStyle name="Millares 3 2 2 3 6 2" xfId="11071" xr:uid="{A7C7BD35-F56E-4764-83DF-0DA59F0B57DA}"/>
    <cellStyle name="Millares 3 2 2 3 7" xfId="3798" xr:uid="{B397C81F-31A4-4910-A68A-165A6C452948}"/>
    <cellStyle name="Millares 3 2 2 3 7 2" xfId="8652" xr:uid="{F3A6B3C0-41AA-4F85-ACE6-6A92893B4E04}"/>
    <cellStyle name="Millares 3 2 2 3 8" xfId="2585" xr:uid="{B2CF3319-5536-4F9C-8569-BD164E939354}"/>
    <cellStyle name="Millares 3 2 2 3 9" xfId="7441" xr:uid="{BBC95553-AEEC-4856-B187-02B5E4FC5B19}"/>
    <cellStyle name="Millares 3 2 2 4" xfId="295" xr:uid="{739AA826-04B6-4C8D-8B4D-6FDF4C8E470A}"/>
    <cellStyle name="Millares 3 2 2 4 2" xfId="296" xr:uid="{FF0FA145-6421-4E2F-8C35-340EE6381564}"/>
    <cellStyle name="Millares 3 2 2 4 2 2" xfId="1972" xr:uid="{D13B8A51-E1D0-42E5-951A-7B198855FD13}"/>
    <cellStyle name="Millares 3 2 2 4 2 2 2" xfId="5617" xr:uid="{7718904E-E2BC-4286-A714-7F7A9088C51D}"/>
    <cellStyle name="Millares 3 2 2 4 2 2 2 2" xfId="10469" xr:uid="{DB936062-CD4C-4E12-9EDB-6FBE88875668}"/>
    <cellStyle name="Millares 3 2 2 4 2 2 3" xfId="6833" xr:uid="{91173952-B0C1-4C1F-88FC-1CAE2FFB96D1}"/>
    <cellStyle name="Millares 3 2 2 4 2 2 3 2" xfId="11681" xr:uid="{CBB62F96-A294-4249-BCA6-9B42F8FB7ABE}"/>
    <cellStyle name="Millares 3 2 2 4 2 2 4" xfId="4407" xr:uid="{F5CDBFED-A07A-46C5-B954-334D8F5695AF}"/>
    <cellStyle name="Millares 3 2 2 4 2 2 4 2" xfId="9261" xr:uid="{AAAD1571-E0BE-4FCE-A78F-9B14AD629F99}"/>
    <cellStyle name="Millares 3 2 2 4 2 2 5" xfId="3194" xr:uid="{075C9F98-C9CF-4463-8C37-2437073925A1}"/>
    <cellStyle name="Millares 3 2 2 4 2 2 6" xfId="8050" xr:uid="{6B7BDECD-6D86-42BB-B019-C847E96DC8FC}"/>
    <cellStyle name="Millares 3 2 2 4 2 3" xfId="5013" xr:uid="{7662ACFF-957B-44BE-AF13-457A6D36E9BC}"/>
    <cellStyle name="Millares 3 2 2 4 2 3 2" xfId="9865" xr:uid="{3D8D4483-4E85-406A-B2F7-0166FE622833}"/>
    <cellStyle name="Millares 3 2 2 4 2 4" xfId="6226" xr:uid="{45FF1FE5-B2D0-4E1D-9A23-FFE38E7F742E}"/>
    <cellStyle name="Millares 3 2 2 4 2 4 2" xfId="11076" xr:uid="{7BCD6E6F-EE5E-41A1-B0AD-9CC69E93E741}"/>
    <cellStyle name="Millares 3 2 2 4 2 5" xfId="3803" xr:uid="{329678B3-2ED9-4C8A-9255-03C541ACC159}"/>
    <cellStyle name="Millares 3 2 2 4 2 5 2" xfId="8657" xr:uid="{6E995E23-E98C-4371-8922-ABC0539CD267}"/>
    <cellStyle name="Millares 3 2 2 4 2 6" xfId="2590" xr:uid="{F0338646-0629-4BAA-BD8C-701A2AA060A8}"/>
    <cellStyle name="Millares 3 2 2 4 2 7" xfId="7446" xr:uid="{4FDCEFAD-9CB3-425F-9E25-8232BE1763A1}"/>
    <cellStyle name="Millares 3 2 2 4 3" xfId="1971" xr:uid="{27FC4D3E-F7FC-4DDB-9162-BA38008598D9}"/>
    <cellStyle name="Millares 3 2 2 4 3 2" xfId="5616" xr:uid="{0C19383A-5DF4-452A-974D-753B6E50B773}"/>
    <cellStyle name="Millares 3 2 2 4 3 2 2" xfId="10468" xr:uid="{E8C00ED3-1A50-4BB8-8FBA-3494DBBE4880}"/>
    <cellStyle name="Millares 3 2 2 4 3 3" xfId="6832" xr:uid="{216552D0-7E91-4FC4-9D96-CCD029B4F3E6}"/>
    <cellStyle name="Millares 3 2 2 4 3 3 2" xfId="11680" xr:uid="{9755526E-E917-489E-B76C-E7DEBF4A2E79}"/>
    <cellStyle name="Millares 3 2 2 4 3 4" xfId="4406" xr:uid="{7E208F55-6712-4CF8-9BE4-CD50A9F244E3}"/>
    <cellStyle name="Millares 3 2 2 4 3 4 2" xfId="9260" xr:uid="{88D48D47-589F-4D12-BE15-EDBA811A3604}"/>
    <cellStyle name="Millares 3 2 2 4 3 5" xfId="3193" xr:uid="{32BC312D-E7E6-4A8B-80AF-BF0845A5E450}"/>
    <cellStyle name="Millares 3 2 2 4 3 6" xfId="8049" xr:uid="{115DE199-1F65-4160-99BF-0E7190201A0D}"/>
    <cellStyle name="Millares 3 2 2 4 4" xfId="5012" xr:uid="{3391F9C3-986E-4875-8739-9CF3A2DE6065}"/>
    <cellStyle name="Millares 3 2 2 4 4 2" xfId="9864" xr:uid="{8A1C4CBF-B3B5-4D02-B01B-76754461F24B}"/>
    <cellStyle name="Millares 3 2 2 4 5" xfId="6225" xr:uid="{D9EDB4CD-341E-46E7-97CC-7AF296243DCF}"/>
    <cellStyle name="Millares 3 2 2 4 5 2" xfId="11075" xr:uid="{B5CC4656-8CA5-4D87-A825-5F7ECED619B3}"/>
    <cellStyle name="Millares 3 2 2 4 6" xfId="3802" xr:uid="{48B8CE4D-E018-4C17-A562-E342E660A9EB}"/>
    <cellStyle name="Millares 3 2 2 4 6 2" xfId="8656" xr:uid="{61A28707-8859-4E1D-B0CC-1F13F78C553B}"/>
    <cellStyle name="Millares 3 2 2 4 7" xfId="2589" xr:uid="{A9D8A387-54EC-4EE4-93B1-63D871B198E6}"/>
    <cellStyle name="Millares 3 2 2 4 8" xfId="7445" xr:uid="{05007717-9DF8-4B0B-A072-430E5694FE08}"/>
    <cellStyle name="Millares 3 2 2 5" xfId="297" xr:uid="{8C089EEF-7B95-46DF-A81A-E75CF07C7E57}"/>
    <cellStyle name="Millares 3 2 2 5 2" xfId="1973" xr:uid="{C9E32393-B65C-4D5D-B9AE-DCF8B6228886}"/>
    <cellStyle name="Millares 3 2 2 5 2 2" xfId="5618" xr:uid="{3BD3C073-6E47-42D6-94F6-86F0641AC72F}"/>
    <cellStyle name="Millares 3 2 2 5 2 2 2" xfId="10470" xr:uid="{8CB4A055-1A1C-4F31-9FA8-6D00F2028970}"/>
    <cellStyle name="Millares 3 2 2 5 2 3" xfId="6834" xr:uid="{FDFA613E-D50A-4D7D-8E8B-D3632ABB53B2}"/>
    <cellStyle name="Millares 3 2 2 5 2 3 2" xfId="11682" xr:uid="{BD911CB9-02FC-4B3D-ABAB-D4AD08968A46}"/>
    <cellStyle name="Millares 3 2 2 5 2 4" xfId="4408" xr:uid="{969C8E88-F554-4A08-8316-128951AEAE6E}"/>
    <cellStyle name="Millares 3 2 2 5 2 4 2" xfId="9262" xr:uid="{67CEAE27-8795-477A-AB99-27D12B8140B4}"/>
    <cellStyle name="Millares 3 2 2 5 2 5" xfId="3195" xr:uid="{A0DB5B63-5763-49F3-8E34-1184A826B272}"/>
    <cellStyle name="Millares 3 2 2 5 2 6" xfId="8051" xr:uid="{052B8A67-62B8-40A0-BC6B-D2B266DB19D8}"/>
    <cellStyle name="Millares 3 2 2 5 3" xfId="5014" xr:uid="{A1A3F3A8-F772-441B-AFE1-9A10308E992E}"/>
    <cellStyle name="Millares 3 2 2 5 3 2" xfId="9866" xr:uid="{F6CB05D0-493F-415C-8D33-8DEE176160B0}"/>
    <cellStyle name="Millares 3 2 2 5 4" xfId="6227" xr:uid="{04950F4C-804E-4012-AD1B-2DD4671AD8B9}"/>
    <cellStyle name="Millares 3 2 2 5 4 2" xfId="11077" xr:uid="{863EA898-58D1-40D2-984D-67689BFAB1F4}"/>
    <cellStyle name="Millares 3 2 2 5 5" xfId="3804" xr:uid="{B7A7C71A-F717-45F3-B5C7-0F05BA7CD6E2}"/>
    <cellStyle name="Millares 3 2 2 5 5 2" xfId="8658" xr:uid="{79979134-362A-4D56-8371-A5DDDBFB5319}"/>
    <cellStyle name="Millares 3 2 2 5 6" xfId="2591" xr:uid="{72619789-20DF-4881-B095-6631BBC53EF6}"/>
    <cellStyle name="Millares 3 2 2 5 7" xfId="7447" xr:uid="{CEDDF57D-6A02-497A-93BE-F057FD06DA91}"/>
    <cellStyle name="Millares 3 2 2 6" xfId="1962" xr:uid="{BFAFC9C3-A95A-4627-9440-E24AEDD6DAA1}"/>
    <cellStyle name="Millares 3 2 2 6 2" xfId="5607" xr:uid="{B80F6493-F61A-425A-B344-DD9EF95DA5E9}"/>
    <cellStyle name="Millares 3 2 2 6 2 2" xfId="10459" xr:uid="{9939E3D9-014D-4AF5-8F73-479A15E84D27}"/>
    <cellStyle name="Millares 3 2 2 6 3" xfId="6823" xr:uid="{D75A270F-A5D5-48CB-884C-F31E42EF6C7D}"/>
    <cellStyle name="Millares 3 2 2 6 3 2" xfId="11671" xr:uid="{D78C6A17-0967-419F-A114-B6B7ACBD0A97}"/>
    <cellStyle name="Millares 3 2 2 6 4" xfId="4397" xr:uid="{59DB2454-9722-4AB2-8FD8-CC62B846D476}"/>
    <cellStyle name="Millares 3 2 2 6 4 2" xfId="9251" xr:uid="{72C247BC-AED7-4ACC-9B8F-041004DDC0B2}"/>
    <cellStyle name="Millares 3 2 2 6 5" xfId="3184" xr:uid="{E826DFCD-21D5-42EB-95ED-AE3909DE37DE}"/>
    <cellStyle name="Millares 3 2 2 6 6" xfId="8040" xr:uid="{067FBFE6-45B4-47A3-8A99-EC256CBC473A}"/>
    <cellStyle name="Millares 3 2 2 7" xfId="5003" xr:uid="{82A36303-BAD9-4613-870F-1E1B828A9AAF}"/>
    <cellStyle name="Millares 3 2 2 7 2" xfId="9855" xr:uid="{CCA2A1BA-8795-403F-A17A-C832239899FF}"/>
    <cellStyle name="Millares 3 2 2 8" xfId="6216" xr:uid="{0AABBF9B-D67B-4E08-B314-F267D5296C40}"/>
    <cellStyle name="Millares 3 2 2 8 2" xfId="11066" xr:uid="{C9EDEA04-EEF4-42EF-8521-135CCD7BB632}"/>
    <cellStyle name="Millares 3 2 2 9" xfId="3793" xr:uid="{ACCA279E-358E-486A-97B6-F6B122EDFEFD}"/>
    <cellStyle name="Millares 3 2 2 9 2" xfId="8647" xr:uid="{7878B693-B99A-43EE-9575-26694964864E}"/>
    <cellStyle name="Millares 3 2 3" xfId="298" xr:uid="{05647F40-A319-46E0-8176-286024B5F4A9}"/>
    <cellStyle name="Millares 3 2 3 2" xfId="299" xr:uid="{D9FAA8DF-65D8-42B9-A15F-01066F425D10}"/>
    <cellStyle name="Millares 3 2 3 2 2" xfId="300" xr:uid="{25496A87-492F-41A1-991F-DB4F5801D790}"/>
    <cellStyle name="Millares 3 2 3 2 2 2" xfId="1976" xr:uid="{6C3ECA26-E235-4E72-8CB3-B64797A26A9C}"/>
    <cellStyle name="Millares 3 2 3 2 2 2 2" xfId="5621" xr:uid="{91BD0444-7560-4407-B9EA-6C96221DB3C4}"/>
    <cellStyle name="Millares 3 2 3 2 2 2 2 2" xfId="10473" xr:uid="{A54BF033-272A-474C-A6F5-F44357E5BE8E}"/>
    <cellStyle name="Millares 3 2 3 2 2 2 3" xfId="6837" xr:uid="{9D3AFE1F-39B3-4EE3-81DE-AD01F21F4186}"/>
    <cellStyle name="Millares 3 2 3 2 2 2 3 2" xfId="11685" xr:uid="{3EB3EBE3-4472-4769-89C8-91C8B43AA22F}"/>
    <cellStyle name="Millares 3 2 3 2 2 2 4" xfId="4411" xr:uid="{E271E648-8F80-4EAA-93C7-0005AB4AFB75}"/>
    <cellStyle name="Millares 3 2 3 2 2 2 4 2" xfId="9265" xr:uid="{34FDFF48-9330-446B-BEDD-9C289813AC5A}"/>
    <cellStyle name="Millares 3 2 3 2 2 2 5" xfId="3198" xr:uid="{566A203B-6E1C-4CDD-84DA-EC3B33817846}"/>
    <cellStyle name="Millares 3 2 3 2 2 2 6" xfId="8054" xr:uid="{85E94EAB-6500-458D-86B1-C84A5A8EB8D9}"/>
    <cellStyle name="Millares 3 2 3 2 2 3" xfId="5017" xr:uid="{9CE7B934-368A-4108-9E81-63B136466E8E}"/>
    <cellStyle name="Millares 3 2 3 2 2 3 2" xfId="9869" xr:uid="{F45A5F80-762F-4D83-8559-BC4BA0FF9F66}"/>
    <cellStyle name="Millares 3 2 3 2 2 4" xfId="6230" xr:uid="{F335CDCF-4E20-415E-8A69-4EDDCA27D826}"/>
    <cellStyle name="Millares 3 2 3 2 2 4 2" xfId="11080" xr:uid="{D7E01925-5D2C-42C6-8C14-656B702A97A2}"/>
    <cellStyle name="Millares 3 2 3 2 2 5" xfId="3807" xr:uid="{6E5ED58A-36E0-4DD2-BAD2-59E652DEE74A}"/>
    <cellStyle name="Millares 3 2 3 2 2 5 2" xfId="8661" xr:uid="{281FA920-7C48-4D8D-B812-C63248340D71}"/>
    <cellStyle name="Millares 3 2 3 2 2 6" xfId="2594" xr:uid="{2225372E-C0DA-4077-B4A8-BE501FA85147}"/>
    <cellStyle name="Millares 3 2 3 2 2 7" xfId="7450" xr:uid="{323D01D3-03FA-4A71-BE82-6B0C1F0A9C85}"/>
    <cellStyle name="Millares 3 2 3 2 3" xfId="1975" xr:uid="{96CF7C15-A2B1-4F1B-BAB6-A88FFDE9668B}"/>
    <cellStyle name="Millares 3 2 3 2 3 2" xfId="5620" xr:uid="{E494F6AE-9B1D-41A9-8680-82268CF44372}"/>
    <cellStyle name="Millares 3 2 3 2 3 2 2" xfId="10472" xr:uid="{E196B3BC-9A53-40B6-8A2F-B8700E8265D2}"/>
    <cellStyle name="Millares 3 2 3 2 3 3" xfId="6836" xr:uid="{7BE39A59-5FF8-4E36-9E88-891BC38FE0E1}"/>
    <cellStyle name="Millares 3 2 3 2 3 3 2" xfId="11684" xr:uid="{F1549E12-75D6-4032-BD3F-B9618D42723C}"/>
    <cellStyle name="Millares 3 2 3 2 3 4" xfId="4410" xr:uid="{F9FC0B2E-7826-4FBD-81C9-00FF2EB7AED9}"/>
    <cellStyle name="Millares 3 2 3 2 3 4 2" xfId="9264" xr:uid="{3D44AF15-3824-4971-AFDE-FA5916A43C06}"/>
    <cellStyle name="Millares 3 2 3 2 3 5" xfId="3197" xr:uid="{C0B6D83C-6F54-4A64-B531-FB601D128EEA}"/>
    <cellStyle name="Millares 3 2 3 2 3 6" xfId="8053" xr:uid="{CA75772C-CD2B-4B81-B640-D1251DC34F26}"/>
    <cellStyle name="Millares 3 2 3 2 4" xfId="5016" xr:uid="{456D61B4-B590-4A08-8BD8-89D05A998BB8}"/>
    <cellStyle name="Millares 3 2 3 2 4 2" xfId="9868" xr:uid="{DA2F7744-9C10-498B-8335-431057D985D9}"/>
    <cellStyle name="Millares 3 2 3 2 5" xfId="6229" xr:uid="{3E6E1B7E-0B49-4590-B406-882561B3FA32}"/>
    <cellStyle name="Millares 3 2 3 2 5 2" xfId="11079" xr:uid="{59D8B0DB-AD58-4734-8123-B0F7D7CC14F7}"/>
    <cellStyle name="Millares 3 2 3 2 6" xfId="3806" xr:uid="{1118C311-FBF5-4E43-BD2E-209A7C31C309}"/>
    <cellStyle name="Millares 3 2 3 2 6 2" xfId="8660" xr:uid="{1867CE41-1294-43B6-B535-AA285995E50D}"/>
    <cellStyle name="Millares 3 2 3 2 7" xfId="2593" xr:uid="{C1569EAA-E1DA-45BD-96A0-BD855AEDF643}"/>
    <cellStyle name="Millares 3 2 3 2 8" xfId="7449" xr:uid="{42FB124A-8943-406F-8BFB-5F9EC6B2D8F4}"/>
    <cellStyle name="Millares 3 2 3 3" xfId="301" xr:uid="{E2954592-AD65-4526-9E13-F5E453F05402}"/>
    <cellStyle name="Millares 3 2 3 3 2" xfId="1977" xr:uid="{E7F0EE0B-70ED-4DB9-8191-7E22BECFB41B}"/>
    <cellStyle name="Millares 3 2 3 3 2 2" xfId="5622" xr:uid="{F7F5E762-3116-47A3-8938-AADD02696420}"/>
    <cellStyle name="Millares 3 2 3 3 2 2 2" xfId="10474" xr:uid="{6CABA99D-EE2B-492B-B8B4-D01B38FB0746}"/>
    <cellStyle name="Millares 3 2 3 3 2 3" xfId="6838" xr:uid="{F70EC90A-0662-4567-B317-BE5A7715F5DA}"/>
    <cellStyle name="Millares 3 2 3 3 2 3 2" xfId="11686" xr:uid="{422FC0D6-8FA1-4056-85ED-58BB5EC3E640}"/>
    <cellStyle name="Millares 3 2 3 3 2 4" xfId="4412" xr:uid="{1FE1066E-64B6-4549-A997-72131A52E999}"/>
    <cellStyle name="Millares 3 2 3 3 2 4 2" xfId="9266" xr:uid="{FBF6135C-FC1B-4CA8-86EF-F5E058BE0982}"/>
    <cellStyle name="Millares 3 2 3 3 2 5" xfId="3199" xr:uid="{3047E357-BA42-4AD5-A556-65FF7D15F776}"/>
    <cellStyle name="Millares 3 2 3 3 2 6" xfId="8055" xr:uid="{14060EF6-8FF8-453B-9785-25741DA4E3AD}"/>
    <cellStyle name="Millares 3 2 3 3 3" xfId="5018" xr:uid="{770798EE-6EAE-4339-A618-24D615F9A8AC}"/>
    <cellStyle name="Millares 3 2 3 3 3 2" xfId="9870" xr:uid="{BA28877E-671D-4BC3-8228-1E6EC41A3C67}"/>
    <cellStyle name="Millares 3 2 3 3 4" xfId="6231" xr:uid="{C05A9F72-CD0D-4CBE-90E0-AF9F3AE21810}"/>
    <cellStyle name="Millares 3 2 3 3 4 2" xfId="11081" xr:uid="{3633134F-D32F-482B-A4DB-979FA7ACA31A}"/>
    <cellStyle name="Millares 3 2 3 3 5" xfId="3808" xr:uid="{1EE20424-66E5-4428-8B53-1CC43197A6E9}"/>
    <cellStyle name="Millares 3 2 3 3 5 2" xfId="8662" xr:uid="{09EC8E8A-3CD6-436C-B7F3-78FE084834CC}"/>
    <cellStyle name="Millares 3 2 3 3 6" xfId="2595" xr:uid="{7A4EC746-A37F-457D-BED4-A2F40021767E}"/>
    <cellStyle name="Millares 3 2 3 3 7" xfId="7451" xr:uid="{F02E9FE3-26B8-45D1-BDCE-203B2F694522}"/>
    <cellStyle name="Millares 3 2 3 4" xfId="1974" xr:uid="{ADC1C0D3-559D-4F11-AC1B-32E6AA832CFB}"/>
    <cellStyle name="Millares 3 2 3 4 2" xfId="5619" xr:uid="{C2D7FD65-3AFC-40EF-8346-43B89B7BB4A4}"/>
    <cellStyle name="Millares 3 2 3 4 2 2" xfId="10471" xr:uid="{0C3183F7-31FA-44E3-8392-383540EBF04F}"/>
    <cellStyle name="Millares 3 2 3 4 3" xfId="6835" xr:uid="{4AB93790-AE55-4A85-9548-8407EDFD7921}"/>
    <cellStyle name="Millares 3 2 3 4 3 2" xfId="11683" xr:uid="{2AC9C01B-C8B9-45A1-8586-76CD7D47EF41}"/>
    <cellStyle name="Millares 3 2 3 4 4" xfId="4409" xr:uid="{389F18E8-DBE9-47CD-9782-378D65918912}"/>
    <cellStyle name="Millares 3 2 3 4 4 2" xfId="9263" xr:uid="{C51D7C91-6B7F-49DD-8B02-51EA25658A4D}"/>
    <cellStyle name="Millares 3 2 3 4 5" xfId="3196" xr:uid="{23E562CA-F5B9-42E0-B0E1-4C9FF41251FC}"/>
    <cellStyle name="Millares 3 2 3 4 6" xfId="8052" xr:uid="{EB8B27C6-9B65-4E55-80D7-2A41E5354AD9}"/>
    <cellStyle name="Millares 3 2 3 5" xfId="5015" xr:uid="{B32BDA1F-AAFE-4C47-9D8C-C5AEBCB532A7}"/>
    <cellStyle name="Millares 3 2 3 5 2" xfId="9867" xr:uid="{C3FDD822-ACCD-45D1-95BC-4CAAD0A67970}"/>
    <cellStyle name="Millares 3 2 3 6" xfId="6228" xr:uid="{ED0D4C16-4DB7-4155-962E-C12E08DAB7DE}"/>
    <cellStyle name="Millares 3 2 3 6 2" xfId="11078" xr:uid="{52B2D9F9-EA7C-476F-8FAD-337E9B6BE216}"/>
    <cellStyle name="Millares 3 2 3 7" xfId="3805" xr:uid="{69949C99-AA03-4E6C-A191-3D9A24F6E098}"/>
    <cellStyle name="Millares 3 2 3 7 2" xfId="8659" xr:uid="{44825418-50A0-4979-A891-4716AB540D35}"/>
    <cellStyle name="Millares 3 2 3 8" xfId="2592" xr:uid="{4EE86F1C-5C61-45BD-B427-09B0F980E318}"/>
    <cellStyle name="Millares 3 2 3 9" xfId="7448" xr:uid="{6C38F584-8670-4D18-897B-DC3EDDE0AF71}"/>
    <cellStyle name="Millares 3 2 4" xfId="302" xr:uid="{C44DF01C-BAD9-49F1-B4FD-9E8FC5EF28DA}"/>
    <cellStyle name="Millares 3 2 4 2" xfId="303" xr:uid="{93615EB2-3DF5-45A1-8503-F3D59B58F6F0}"/>
    <cellStyle name="Millares 3 2 4 2 2" xfId="304" xr:uid="{E1000AAB-F443-455B-ABAE-9AD1AB8898D8}"/>
    <cellStyle name="Millares 3 2 4 2 2 2" xfId="1980" xr:uid="{1AB51AE7-98AF-442F-984B-392EED06B3A9}"/>
    <cellStyle name="Millares 3 2 4 2 2 2 2" xfId="5625" xr:uid="{22260A07-970C-4309-8251-29AF720B1B48}"/>
    <cellStyle name="Millares 3 2 4 2 2 2 2 2" xfId="10477" xr:uid="{FD8AA3B6-754E-4510-9CBC-3747CA912FC4}"/>
    <cellStyle name="Millares 3 2 4 2 2 2 3" xfId="6841" xr:uid="{0E102966-8736-4AAC-9E3F-DEAFA8DCB483}"/>
    <cellStyle name="Millares 3 2 4 2 2 2 3 2" xfId="11689" xr:uid="{0E5C19E3-1D88-4BAD-876B-4F21653CD28E}"/>
    <cellStyle name="Millares 3 2 4 2 2 2 4" xfId="4415" xr:uid="{B87B10D4-4DC4-4052-83E0-DEC38C3960DE}"/>
    <cellStyle name="Millares 3 2 4 2 2 2 4 2" xfId="9269" xr:uid="{804D7DC8-6FD5-4950-957B-FF37E698908C}"/>
    <cellStyle name="Millares 3 2 4 2 2 2 5" xfId="3202" xr:uid="{80675E43-C8F1-474C-9C57-91A2B5FA6410}"/>
    <cellStyle name="Millares 3 2 4 2 2 2 6" xfId="8058" xr:uid="{0C5A5AAF-4871-41FE-A1E4-D505109F3038}"/>
    <cellStyle name="Millares 3 2 4 2 2 3" xfId="5021" xr:uid="{B4627C71-83AE-4D0F-B4D9-2D033F12B0D6}"/>
    <cellStyle name="Millares 3 2 4 2 2 3 2" xfId="9873" xr:uid="{F5563F78-A1F9-4968-B5D9-0CC49A901C96}"/>
    <cellStyle name="Millares 3 2 4 2 2 4" xfId="6234" xr:uid="{523EF137-489C-4894-8775-62E5A3C1E8E6}"/>
    <cellStyle name="Millares 3 2 4 2 2 4 2" xfId="11084" xr:uid="{8C03B541-FD62-474E-BB7B-3496DB96B3E7}"/>
    <cellStyle name="Millares 3 2 4 2 2 5" xfId="3811" xr:uid="{948F6497-BB57-419E-855A-DDCD2AC84D21}"/>
    <cellStyle name="Millares 3 2 4 2 2 5 2" xfId="8665" xr:uid="{911FD136-0567-48A9-A5E7-4BDEFDC8C8EA}"/>
    <cellStyle name="Millares 3 2 4 2 2 6" xfId="2598" xr:uid="{950979FC-2BA6-4D54-AB06-4B93DA80D47C}"/>
    <cellStyle name="Millares 3 2 4 2 2 7" xfId="7454" xr:uid="{74669406-5B3C-49C5-A2E9-E36EB19D2A9A}"/>
    <cellStyle name="Millares 3 2 4 2 3" xfId="1979" xr:uid="{9FB6C9C0-0489-441A-AD7C-F984597694AC}"/>
    <cellStyle name="Millares 3 2 4 2 3 2" xfId="5624" xr:uid="{EC29593A-1A02-4357-886B-AF956A448E53}"/>
    <cellStyle name="Millares 3 2 4 2 3 2 2" xfId="10476" xr:uid="{371AA4D7-FF50-47AF-A95D-CD69C1EB5329}"/>
    <cellStyle name="Millares 3 2 4 2 3 3" xfId="6840" xr:uid="{3FE9AEED-F477-4C3A-82AB-439025281864}"/>
    <cellStyle name="Millares 3 2 4 2 3 3 2" xfId="11688" xr:uid="{BF3A7E80-6893-448D-B3EB-42D48C5B05AE}"/>
    <cellStyle name="Millares 3 2 4 2 3 4" xfId="4414" xr:uid="{646151F9-3140-48B5-974F-D713D0CB1789}"/>
    <cellStyle name="Millares 3 2 4 2 3 4 2" xfId="9268" xr:uid="{40D1CCC0-63CB-4E1F-B26A-572A65566B63}"/>
    <cellStyle name="Millares 3 2 4 2 3 5" xfId="3201" xr:uid="{A34C9411-8B92-46AD-B9D1-ED8AB7F27B95}"/>
    <cellStyle name="Millares 3 2 4 2 3 6" xfId="8057" xr:uid="{DACDE4A9-5700-45D7-AFFD-15695CBEB746}"/>
    <cellStyle name="Millares 3 2 4 2 4" xfId="5020" xr:uid="{405EDE21-C187-4E17-AABE-93D787D72502}"/>
    <cellStyle name="Millares 3 2 4 2 4 2" xfId="9872" xr:uid="{ABC7427A-34D3-4559-AE99-AC91BC54636F}"/>
    <cellStyle name="Millares 3 2 4 2 5" xfId="6233" xr:uid="{B1F0B8E9-FF30-4B65-81B8-C36899A6AABC}"/>
    <cellStyle name="Millares 3 2 4 2 5 2" xfId="11083" xr:uid="{CB93F8D5-5378-4123-A976-A1FEF6CEBDC7}"/>
    <cellStyle name="Millares 3 2 4 2 6" xfId="3810" xr:uid="{C9EF8DB8-CD17-45B3-AFEF-004CCD845373}"/>
    <cellStyle name="Millares 3 2 4 2 6 2" xfId="8664" xr:uid="{91F6E981-8CFE-450D-9F9C-BF7DB6B908FC}"/>
    <cellStyle name="Millares 3 2 4 2 7" xfId="2597" xr:uid="{121F9449-FD9E-4895-9D6A-F67FAB047CD2}"/>
    <cellStyle name="Millares 3 2 4 2 8" xfId="7453" xr:uid="{088A9E25-4EB7-47CA-B05D-96CEFC0C4798}"/>
    <cellStyle name="Millares 3 2 4 3" xfId="305" xr:uid="{B22CC45E-5F19-4E75-B0F2-8472FF884B27}"/>
    <cellStyle name="Millares 3 2 4 3 2" xfId="1981" xr:uid="{893AC96F-8192-4B1C-9AD4-EE94FB76D8C6}"/>
    <cellStyle name="Millares 3 2 4 3 2 2" xfId="5626" xr:uid="{5F4DE676-9879-4882-9E2F-84F8E674F9CF}"/>
    <cellStyle name="Millares 3 2 4 3 2 2 2" xfId="10478" xr:uid="{FBB490CC-61C7-40B4-B907-CC358192D51B}"/>
    <cellStyle name="Millares 3 2 4 3 2 3" xfId="6842" xr:uid="{ABB4E50C-FEA0-4198-AD2E-D1BF16AF80E9}"/>
    <cellStyle name="Millares 3 2 4 3 2 3 2" xfId="11690" xr:uid="{1B32AD2A-68B1-47E2-89F5-F6CD5B4DD378}"/>
    <cellStyle name="Millares 3 2 4 3 2 4" xfId="4416" xr:uid="{09F315C9-9ADE-4745-A4C3-6E601E3B7572}"/>
    <cellStyle name="Millares 3 2 4 3 2 4 2" xfId="9270" xr:uid="{B3A66BF7-4F44-4A44-8D71-5EB575490FA3}"/>
    <cellStyle name="Millares 3 2 4 3 2 5" xfId="3203" xr:uid="{0CD306D6-5992-41E2-97BB-DE7B83DC9F49}"/>
    <cellStyle name="Millares 3 2 4 3 2 6" xfId="8059" xr:uid="{0446F428-C78D-4B94-9F2B-B3D5F9640A2B}"/>
    <cellStyle name="Millares 3 2 4 3 3" xfId="5022" xr:uid="{A70FE07A-7728-40EE-973A-C90E34E2AA5E}"/>
    <cellStyle name="Millares 3 2 4 3 3 2" xfId="9874" xr:uid="{1F575C7D-D1E6-4975-8543-6CC50F12DF4A}"/>
    <cellStyle name="Millares 3 2 4 3 4" xfId="6235" xr:uid="{8664200A-717C-4C34-8B7B-B49CE2691EAD}"/>
    <cellStyle name="Millares 3 2 4 3 4 2" xfId="11085" xr:uid="{E976D64D-93C7-4740-B6DF-1646FE0E3CF4}"/>
    <cellStyle name="Millares 3 2 4 3 5" xfId="3812" xr:uid="{4A15D000-6986-41EE-9203-2DA94460F78E}"/>
    <cellStyle name="Millares 3 2 4 3 5 2" xfId="8666" xr:uid="{D486B91C-D2D6-4737-B35A-945FCA7CE59C}"/>
    <cellStyle name="Millares 3 2 4 3 6" xfId="2599" xr:uid="{B4E77B8B-E7AB-4733-8CB7-16CCAC822037}"/>
    <cellStyle name="Millares 3 2 4 3 7" xfId="7455" xr:uid="{43F141C7-65C8-469B-A1AB-7AA8A8B6DB49}"/>
    <cellStyle name="Millares 3 2 4 4" xfId="1978" xr:uid="{CF22132D-2019-4B5A-8CAA-D87B6D6EF657}"/>
    <cellStyle name="Millares 3 2 4 4 2" xfId="5623" xr:uid="{364604C5-3675-4893-A3F4-66047032FA3F}"/>
    <cellStyle name="Millares 3 2 4 4 2 2" xfId="10475" xr:uid="{46E77006-5F98-4929-AA2C-07425F0DD3C8}"/>
    <cellStyle name="Millares 3 2 4 4 3" xfId="6839" xr:uid="{374AC339-4D9B-4950-AFB4-EF45A2BE7E65}"/>
    <cellStyle name="Millares 3 2 4 4 3 2" xfId="11687" xr:uid="{9B52AE19-ECA7-4929-8E37-7B3D442EFD42}"/>
    <cellStyle name="Millares 3 2 4 4 4" xfId="4413" xr:uid="{6636AE66-E2DD-484A-B31A-04DECE2B09F5}"/>
    <cellStyle name="Millares 3 2 4 4 4 2" xfId="9267" xr:uid="{E7052315-7456-479E-98D6-2A52C1F4E9F4}"/>
    <cellStyle name="Millares 3 2 4 4 5" xfId="3200" xr:uid="{55A4BAF5-43C8-4E21-8A28-BF83A7749AF3}"/>
    <cellStyle name="Millares 3 2 4 4 6" xfId="8056" xr:uid="{733F09B3-E626-461B-A8E9-FB88318CFBEA}"/>
    <cellStyle name="Millares 3 2 4 5" xfId="5019" xr:uid="{B9F4D2D6-2EFE-4743-94D1-E2619875AA24}"/>
    <cellStyle name="Millares 3 2 4 5 2" xfId="9871" xr:uid="{5A2D9670-665C-4295-8EA4-656CA62CC31A}"/>
    <cellStyle name="Millares 3 2 4 6" xfId="6232" xr:uid="{FC8F22EB-ED05-4F63-9E70-5401B8B93D81}"/>
    <cellStyle name="Millares 3 2 4 6 2" xfId="11082" xr:uid="{094788D0-C336-4D9F-9B2C-962923DBA63E}"/>
    <cellStyle name="Millares 3 2 4 7" xfId="3809" xr:uid="{A67802CA-8BFC-4487-B336-A049D7E19167}"/>
    <cellStyle name="Millares 3 2 4 7 2" xfId="8663" xr:uid="{C51F084F-90B7-47A7-B148-E84B1153F3B8}"/>
    <cellStyle name="Millares 3 2 4 8" xfId="2596" xr:uid="{503E40C5-5E36-4685-99E2-6F1B173FB7F5}"/>
    <cellStyle name="Millares 3 2 4 9" xfId="7452" xr:uid="{FB326603-8786-4E5C-AEF6-732ED63CBCFF}"/>
    <cellStyle name="Millares 3 2 5" xfId="306" xr:uid="{EF1F3058-793A-4225-B8C7-9CCE51C7949D}"/>
    <cellStyle name="Millares 3 2 5 2" xfId="307" xr:uid="{F4942610-B412-42DF-BD93-24274D612C86}"/>
    <cellStyle name="Millares 3 2 5 2 2" xfId="1983" xr:uid="{9A35F023-A1E4-446F-99DF-C2F9A7E4BFF4}"/>
    <cellStyle name="Millares 3 2 5 2 2 2" xfId="5628" xr:uid="{FAA73ECF-AB57-4FC3-BA1A-6E1E7415350B}"/>
    <cellStyle name="Millares 3 2 5 2 2 2 2" xfId="10480" xr:uid="{686B6641-D384-4B62-826A-22A26FB8849F}"/>
    <cellStyle name="Millares 3 2 5 2 2 3" xfId="6844" xr:uid="{E387C6BC-6478-4EA5-88DA-26D13005B4DB}"/>
    <cellStyle name="Millares 3 2 5 2 2 3 2" xfId="11692" xr:uid="{F3A832F4-5A00-48A9-8AE6-6B22A8698A98}"/>
    <cellStyle name="Millares 3 2 5 2 2 4" xfId="4418" xr:uid="{469C0BF3-13F4-46FF-9D0E-F8B9B0AD0C69}"/>
    <cellStyle name="Millares 3 2 5 2 2 4 2" xfId="9272" xr:uid="{BF7586B3-DDAE-4D93-B5F4-054146DDE5A6}"/>
    <cellStyle name="Millares 3 2 5 2 2 5" xfId="3205" xr:uid="{911A228D-27CD-4283-9C24-2D82F58A5C42}"/>
    <cellStyle name="Millares 3 2 5 2 2 6" xfId="8061" xr:uid="{99F4730F-5F0B-40E8-8693-81E69B067172}"/>
    <cellStyle name="Millares 3 2 5 2 3" xfId="5024" xr:uid="{9F49573D-59E7-4A76-9A94-3B9F8F2C330F}"/>
    <cellStyle name="Millares 3 2 5 2 3 2" xfId="9876" xr:uid="{B9219293-A832-442D-8FE6-78945A0F0DEC}"/>
    <cellStyle name="Millares 3 2 5 2 4" xfId="6237" xr:uid="{A35A31EC-BEE8-4267-AC4A-C9621BA8D761}"/>
    <cellStyle name="Millares 3 2 5 2 4 2" xfId="11087" xr:uid="{2209B4F5-5FE6-4EE5-B50B-4633612796CB}"/>
    <cellStyle name="Millares 3 2 5 2 5" xfId="3814" xr:uid="{9A192A34-7C59-4545-AB1E-5041625B8FC2}"/>
    <cellStyle name="Millares 3 2 5 2 5 2" xfId="8668" xr:uid="{309B4707-943E-44CD-8FFC-83EC57FAA621}"/>
    <cellStyle name="Millares 3 2 5 2 6" xfId="2601" xr:uid="{1816F911-39E5-4FAC-9722-9D8763768E75}"/>
    <cellStyle name="Millares 3 2 5 2 7" xfId="7457" xr:uid="{977E9EA9-1774-421F-A67A-04C38BAAD4C7}"/>
    <cellStyle name="Millares 3 2 5 3" xfId="1982" xr:uid="{0FC30E1B-0E17-47D9-A9E6-806480D0E87D}"/>
    <cellStyle name="Millares 3 2 5 3 2" xfId="5627" xr:uid="{C43D6E5E-06F0-4F9B-A58E-B22469866661}"/>
    <cellStyle name="Millares 3 2 5 3 2 2" xfId="10479" xr:uid="{80C1D6D3-B266-45A6-8676-35BECDAC3546}"/>
    <cellStyle name="Millares 3 2 5 3 3" xfId="6843" xr:uid="{1D517A48-E170-4C1C-B304-E373FB52FCC7}"/>
    <cellStyle name="Millares 3 2 5 3 3 2" xfId="11691" xr:uid="{23DC3E6B-F133-4BA1-8F15-36EC5EF92063}"/>
    <cellStyle name="Millares 3 2 5 3 4" xfId="4417" xr:uid="{A884FAB7-3DEB-47FD-9013-B93F2E15D103}"/>
    <cellStyle name="Millares 3 2 5 3 4 2" xfId="9271" xr:uid="{C8A65B0C-68DB-4EA3-AB44-5473A7A93AC1}"/>
    <cellStyle name="Millares 3 2 5 3 5" xfId="3204" xr:uid="{4F069766-D6AA-4DA8-A475-540A10878F3C}"/>
    <cellStyle name="Millares 3 2 5 3 6" xfId="8060" xr:uid="{08357FCA-E760-4007-AB7C-17802D48C1B6}"/>
    <cellStyle name="Millares 3 2 5 4" xfId="5023" xr:uid="{113E3EF8-02D0-4CE2-B796-BF5AB748AFF8}"/>
    <cellStyle name="Millares 3 2 5 4 2" xfId="9875" xr:uid="{ED6A7ED5-2641-49BC-B3E2-624FE837DCCF}"/>
    <cellStyle name="Millares 3 2 5 5" xfId="6236" xr:uid="{2B654136-7083-4BEC-935D-EEDC54392A31}"/>
    <cellStyle name="Millares 3 2 5 5 2" xfId="11086" xr:uid="{AF523C0A-8722-44B3-AC99-73DE2C2E3066}"/>
    <cellStyle name="Millares 3 2 5 6" xfId="3813" xr:uid="{C66F650E-6B2A-4A37-85C2-072CFDFEF531}"/>
    <cellStyle name="Millares 3 2 5 6 2" xfId="8667" xr:uid="{CBC67EB1-2EDD-4B60-9012-44C685C6D7CD}"/>
    <cellStyle name="Millares 3 2 5 7" xfId="2600" xr:uid="{222D5729-CF28-45F5-AA06-8EF0445C8B75}"/>
    <cellStyle name="Millares 3 2 5 8" xfId="7456" xr:uid="{338554C1-5957-45E1-85A4-3E18A0D26F14}"/>
    <cellStyle name="Millares 3 2 6" xfId="308" xr:uid="{6661B8D3-EED6-4E06-9B2B-6EC7A9C742E3}"/>
    <cellStyle name="Millares 3 2 6 2" xfId="1984" xr:uid="{DA901835-89D4-4BED-B1E4-AD31BFC3FB1F}"/>
    <cellStyle name="Millares 3 2 6 2 2" xfId="5629" xr:uid="{769553E5-80B9-43CA-8489-1C048F33ED87}"/>
    <cellStyle name="Millares 3 2 6 2 2 2" xfId="10481" xr:uid="{5FA4C078-ED60-4E6F-867C-C2AE4D763BA9}"/>
    <cellStyle name="Millares 3 2 6 2 3" xfId="6845" xr:uid="{8EF90338-5B1F-48BC-B030-ACBF63B8BFB1}"/>
    <cellStyle name="Millares 3 2 6 2 3 2" xfId="11693" xr:uid="{F5EC94EA-0907-442A-ACBB-77FFB73D35A0}"/>
    <cellStyle name="Millares 3 2 6 2 4" xfId="4419" xr:uid="{EA24AE5B-00F8-4DAF-A746-F0A5D5AF4030}"/>
    <cellStyle name="Millares 3 2 6 2 4 2" xfId="9273" xr:uid="{23036F7D-A2E4-46B9-A11E-915F87A7FA84}"/>
    <cellStyle name="Millares 3 2 6 2 5" xfId="3206" xr:uid="{8B2072CC-17EE-46AA-9618-32119D452FF6}"/>
    <cellStyle name="Millares 3 2 6 2 6" xfId="8062" xr:uid="{174D015A-27C3-4C8D-8B52-AC80174C022F}"/>
    <cellStyle name="Millares 3 2 6 3" xfId="5025" xr:uid="{F66A9A9E-5A0F-4842-838B-66037534C37D}"/>
    <cellStyle name="Millares 3 2 6 3 2" xfId="9877" xr:uid="{5FFE3CB2-D827-4155-A70D-990D2B0B8A26}"/>
    <cellStyle name="Millares 3 2 6 4" xfId="6238" xr:uid="{530CE677-9C00-4E08-A426-029E20269CA4}"/>
    <cellStyle name="Millares 3 2 6 4 2" xfId="11088" xr:uid="{A02BAD0E-5730-4A3D-9A09-0D057767BFBF}"/>
    <cellStyle name="Millares 3 2 6 5" xfId="3815" xr:uid="{F3039EE8-2CF2-402C-B660-EEDDBE43BFEC}"/>
    <cellStyle name="Millares 3 2 6 5 2" xfId="8669" xr:uid="{DD12FD9B-CD1F-4A9E-91F0-A3328E98F405}"/>
    <cellStyle name="Millares 3 2 6 6" xfId="2602" xr:uid="{AF26385D-61BA-49CB-B245-8A6A5ADDC56F}"/>
    <cellStyle name="Millares 3 2 6 7" xfId="7458" xr:uid="{1D059D35-993E-4506-B730-48F8A69E4D73}"/>
    <cellStyle name="Millares 3 2 7" xfId="1961" xr:uid="{EE3AD9A2-FDD2-4768-B5EC-854EC63C248E}"/>
    <cellStyle name="Millares 3 2 7 2" xfId="5606" xr:uid="{9D0799CF-47CF-4E42-9BFC-5B86F98DAB73}"/>
    <cellStyle name="Millares 3 2 7 2 2" xfId="10458" xr:uid="{50124E9F-202D-4325-B0DC-729120F34F76}"/>
    <cellStyle name="Millares 3 2 7 3" xfId="6822" xr:uid="{402530DA-A4F5-4E5B-BF0D-5B8CBDB9E2B3}"/>
    <cellStyle name="Millares 3 2 7 3 2" xfId="11670" xr:uid="{59A0688D-E64B-41E5-AF40-08E2FC9A4714}"/>
    <cellStyle name="Millares 3 2 7 4" xfId="4396" xr:uid="{A10DF1C6-2963-449D-A9EC-8C5C8DB56860}"/>
    <cellStyle name="Millares 3 2 7 4 2" xfId="9250" xr:uid="{A0A57094-4C76-4068-9E63-703D0279BB2D}"/>
    <cellStyle name="Millares 3 2 7 5" xfId="3183" xr:uid="{18724954-68D1-47DF-A990-D101D81FB118}"/>
    <cellStyle name="Millares 3 2 7 6" xfId="8039" xr:uid="{C031DE12-7CBB-419D-B90B-C86D8FA70D4D}"/>
    <cellStyle name="Millares 3 2 8" xfId="5002" xr:uid="{E884DA31-7542-44DF-B0D0-D356DDD3D688}"/>
    <cellStyle name="Millares 3 2 8 2" xfId="9854" xr:uid="{9ABA5DFA-A18E-48FF-B145-6F7A3008B6CE}"/>
    <cellStyle name="Millares 3 2 9" xfId="6215" xr:uid="{19F27893-AACE-4C10-BB9D-C5297C77E16D}"/>
    <cellStyle name="Millares 3 2 9 2" xfId="11065" xr:uid="{585DE95D-0DAF-499A-ACB3-534C66C82FC4}"/>
    <cellStyle name="Millares 3 3" xfId="309" xr:uid="{7070A4B5-DD18-41E4-98D1-A392352BE7D9}"/>
    <cellStyle name="Millares 3 3 2" xfId="1985" xr:uid="{98650945-4D81-4BF9-97E8-3FC25EF8EFBE}"/>
    <cellStyle name="Millares 3 3 2 2" xfId="5630" xr:uid="{A2968535-6E51-401B-AB04-A9203618F718}"/>
    <cellStyle name="Millares 3 3 2 2 2" xfId="10482" xr:uid="{8DE9DED4-1AB0-470A-9DC5-7183B38FF560}"/>
    <cellStyle name="Millares 3 3 2 3" xfId="6846" xr:uid="{2EC540D2-3AB7-4D66-93AB-8468B21F7883}"/>
    <cellStyle name="Millares 3 3 2 3 2" xfId="11694" xr:uid="{956F489F-AED4-403E-A0C7-720BBD9AFFD0}"/>
    <cellStyle name="Millares 3 3 2 4" xfId="4420" xr:uid="{D6ECBDA7-C9FD-4E31-9BC8-23FF73DC8885}"/>
    <cellStyle name="Millares 3 3 2 4 2" xfId="9274" xr:uid="{703BCD61-1536-4A2C-90BF-5630409A1508}"/>
    <cellStyle name="Millares 3 3 2 5" xfId="3207" xr:uid="{B9E33C8C-83CF-45E6-9EA2-89B8C572A660}"/>
    <cellStyle name="Millares 3 3 2 6" xfId="8063" xr:uid="{E1093B6E-3E53-4513-9DBA-2BEA03A9E736}"/>
    <cellStyle name="Millares 3 3 3" xfId="5026" xr:uid="{EB8031A2-876C-46ED-B64F-2A033C4099E9}"/>
    <cellStyle name="Millares 3 3 3 2" xfId="9878" xr:uid="{460AEBC0-93B2-4C8A-9B8E-7739377C64FA}"/>
    <cellStyle name="Millares 3 3 4" xfId="6239" xr:uid="{B8C43275-456B-47CF-8EA6-514897711D50}"/>
    <cellStyle name="Millares 3 3 4 2" xfId="11089" xr:uid="{59AA5737-0CD0-490B-AB74-AE7C3E38BB55}"/>
    <cellStyle name="Millares 3 3 5" xfId="3816" xr:uid="{E34A8DBA-D5FE-411A-8AFF-190CBF98FDAC}"/>
    <cellStyle name="Millares 3 3 5 2" xfId="8670" xr:uid="{3720B4D2-BAEC-46F9-9E8A-55F645388350}"/>
    <cellStyle name="Millares 3 3 6" xfId="2603" xr:uid="{97D013F3-82E0-4C7E-9F2D-99E2365ED804}"/>
    <cellStyle name="Millares 3 3 7" xfId="7459" xr:uid="{2DA1CDAA-0FC2-4124-9DF7-A195060FF06A}"/>
    <cellStyle name="Millares 3 4" xfId="310" xr:uid="{E3763568-D4E2-40A2-9910-0C4E7E82A5A3}"/>
    <cellStyle name="Millares 3 4 2" xfId="1986" xr:uid="{B4BCDD2B-97FE-4AAE-90B1-BA6DBF4C815A}"/>
    <cellStyle name="Millares 3 4 2 2" xfId="5631" xr:uid="{396404D7-D361-451C-A7AB-88492866D1A3}"/>
    <cellStyle name="Millares 3 4 2 2 2" xfId="10483" xr:uid="{0CB20CF6-1EEF-4399-9471-FC07D3C6A853}"/>
    <cellStyle name="Millares 3 4 2 3" xfId="6847" xr:uid="{42A92419-6A92-4BBE-A612-81A19C05CC29}"/>
    <cellStyle name="Millares 3 4 2 3 2" xfId="11695" xr:uid="{7604F5F5-6370-4F41-84E0-A30B22FBAB5B}"/>
    <cellStyle name="Millares 3 4 2 4" xfId="4421" xr:uid="{E09F7395-99CC-4F40-AC10-B391E14BC565}"/>
    <cellStyle name="Millares 3 4 2 4 2" xfId="9275" xr:uid="{2BC88CE9-4690-48C2-9243-492E46B89158}"/>
    <cellStyle name="Millares 3 4 2 5" xfId="3208" xr:uid="{D3614AF6-7F23-4A7E-AB9C-352BE214A79A}"/>
    <cellStyle name="Millares 3 4 2 6" xfId="8064" xr:uid="{DE281B42-6002-40E7-8D65-F6AF58196449}"/>
    <cellStyle name="Millares 3 4 3" xfId="5027" xr:uid="{330C697F-F268-4406-9293-6B7D7388DEE5}"/>
    <cellStyle name="Millares 3 4 3 2" xfId="9879" xr:uid="{4C53320F-E88C-469F-A2FA-359A8FD98BA0}"/>
    <cellStyle name="Millares 3 4 4" xfId="6240" xr:uid="{C02B85AD-D48E-4AFF-B9F4-4ADC043EA6CA}"/>
    <cellStyle name="Millares 3 4 4 2" xfId="11090" xr:uid="{25AFA1F2-B310-49BD-8883-2D8FE7F01FF8}"/>
    <cellStyle name="Millares 3 4 5" xfId="3817" xr:uid="{39CA94BC-D2F6-4AA9-8946-9D5C2CB4AA94}"/>
    <cellStyle name="Millares 3 4 5 2" xfId="8671" xr:uid="{8EDD8003-0326-4093-A54D-3007B53A78DC}"/>
    <cellStyle name="Millares 3 4 6" xfId="2604" xr:uid="{1B147918-CA95-4440-A2D6-2BF395378982}"/>
    <cellStyle name="Millares 3 4 7" xfId="7460" xr:uid="{405E2652-600D-4F31-A623-13638D451A38}"/>
    <cellStyle name="Millares 3 5" xfId="311" xr:uid="{E2B717F4-863B-4411-BE85-F293F72A7391}"/>
    <cellStyle name="Millares 3 5 2" xfId="1987" xr:uid="{402869CD-9663-4181-9BDF-91321FC8C666}"/>
    <cellStyle name="Millares 3 5 2 2" xfId="5632" xr:uid="{322ECF19-0590-4683-88C2-F2893B669FAD}"/>
    <cellStyle name="Millares 3 5 2 2 2" xfId="10484" xr:uid="{1267DA96-22F1-47E7-8F67-221114057A3C}"/>
    <cellStyle name="Millares 3 5 2 3" xfId="6848" xr:uid="{DFDF189D-AD2D-4B9D-9C45-BFF6FB18DD6D}"/>
    <cellStyle name="Millares 3 5 2 3 2" xfId="11696" xr:uid="{DF4A590C-F71C-4D87-8017-7842CE9422B4}"/>
    <cellStyle name="Millares 3 5 2 4" xfId="4422" xr:uid="{44D45C29-EB37-4361-8FEF-17260466F10F}"/>
    <cellStyle name="Millares 3 5 2 4 2" xfId="9276" xr:uid="{EF140431-1669-4907-BABD-245BC4ACC2AB}"/>
    <cellStyle name="Millares 3 5 2 5" xfId="3209" xr:uid="{69E69D34-1E80-4344-B954-43FB99267639}"/>
    <cellStyle name="Millares 3 5 2 6" xfId="8065" xr:uid="{2227105C-170C-4D88-9175-483601220C0E}"/>
    <cellStyle name="Millares 3 5 3" xfId="5028" xr:uid="{0FF4484B-BB26-4019-A45F-C45FC0DC3D9E}"/>
    <cellStyle name="Millares 3 5 3 2" xfId="9880" xr:uid="{FD88A59C-41FA-4C55-B2C5-0D2AFF516669}"/>
    <cellStyle name="Millares 3 5 4" xfId="6241" xr:uid="{03820580-9723-49E7-8468-16910E8363F2}"/>
    <cellStyle name="Millares 3 5 4 2" xfId="11091" xr:uid="{FCB67803-68F8-4209-BD3C-F0FFB4C8103E}"/>
    <cellStyle name="Millares 3 5 5" xfId="3818" xr:uid="{6D8B7A31-9CA3-4649-8922-330C40A49013}"/>
    <cellStyle name="Millares 3 5 5 2" xfId="8672" xr:uid="{E80E2FC6-00F7-4492-8A7C-8CF338401C9D}"/>
    <cellStyle name="Millares 3 5 6" xfId="2605" xr:uid="{FA7C9ACD-D8AD-41E1-9590-A5D28F4EDA88}"/>
    <cellStyle name="Millares 3 5 7" xfId="7461" xr:uid="{A26CE975-F5FB-4CF6-958A-0C36D626E737}"/>
    <cellStyle name="Millares 3 6" xfId="4848" xr:uid="{D748E997-92E0-49DD-A26A-CC0339D1CED8}"/>
    <cellStyle name="Millares 3 6 2" xfId="9700" xr:uid="{77FE0C88-58B3-4007-A535-0AF1B5E1E458}"/>
    <cellStyle name="Millares 3 7" xfId="6061" xr:uid="{EE5A2EAE-472F-4406-AA56-AD5B12429783}"/>
    <cellStyle name="Millares 3 7 2" xfId="10911" xr:uid="{9A61A78E-40C2-4767-ACD9-CEEFFDDBB7AB}"/>
    <cellStyle name="Millares 3 8" xfId="3638" xr:uid="{E1AD4448-3E52-4492-B3F1-5963ABDB2C2D}"/>
    <cellStyle name="Millares 3 8 2" xfId="8492" xr:uid="{DFB9B6AE-B057-4D19-9CE1-504B29D7FE83}"/>
    <cellStyle name="Millares 3 9" xfId="2425" xr:uid="{02028017-9072-4D99-8EF5-5C5CC8BCCA9B}"/>
    <cellStyle name="Millares 30" xfId="2393" xr:uid="{4B3D3DDF-DB91-4492-9032-32FA2D7FB13F}"/>
    <cellStyle name="Millares 31" xfId="4826" xr:uid="{35BEC1AF-6C31-45B9-80A6-BEDE25E2B322}"/>
    <cellStyle name="Millares 32" xfId="4829" xr:uid="{A3245DA4-F402-4C40-83E3-9C11A9947B53}"/>
    <cellStyle name="Millares 33" xfId="6039" xr:uid="{5A68DEE9-8513-4BF4-BC19-487D162610A3}"/>
    <cellStyle name="Millares 34" xfId="6042" xr:uid="{89BBAF5E-93BC-4E06-8245-6FCD7BE05C0E}"/>
    <cellStyle name="Millares 35" xfId="6646" xr:uid="{50F0EA69-BF03-4E47-9190-34725EC54586}"/>
    <cellStyle name="Millares 36" xfId="7255" xr:uid="{36E337A3-176E-42CB-8861-9484A40D9B80}"/>
    <cellStyle name="Millares 37" xfId="6442" xr:uid="{3FD24B6B-65B3-4AD3-B770-6D583D002E14}"/>
    <cellStyle name="Millares 38" xfId="6637" xr:uid="{597B029A-D37E-40BC-BDCF-720CB5B43FA2}"/>
    <cellStyle name="Millares 38 2" xfId="11486" xr:uid="{D3989841-D6E4-4EEF-98E9-3FA603A0F860}"/>
    <cellStyle name="Millares 39" xfId="3617" xr:uid="{4217E310-25F2-4B52-8619-824321C131F4}"/>
    <cellStyle name="Millares 4" xfId="1784" xr:uid="{460F822B-C96D-4447-8676-E010323F4D38}"/>
    <cellStyle name="Millares 4 10" xfId="3008" xr:uid="{E33174ED-5FEB-4B58-B1AA-230B1F8A5F2A}"/>
    <cellStyle name="Millares 4 11" xfId="7864" xr:uid="{7AD737E8-2B72-482F-A624-C88CE1D74100}"/>
    <cellStyle name="Millares 4 2" xfId="312" xr:uid="{E0B7F83B-8684-4AD6-9E65-B83A8525312A}"/>
    <cellStyle name="Millares 4 2 10" xfId="3819" xr:uid="{8A32E649-F754-4459-A0FC-73B960F84BF4}"/>
    <cellStyle name="Millares 4 2 10 2" xfId="8673" xr:uid="{5F71A1A3-B8CA-41EE-98C3-F507B62D6560}"/>
    <cellStyle name="Millares 4 2 11" xfId="2606" xr:uid="{9BC83AC5-D861-4F8D-AD08-31E969A9AC3A}"/>
    <cellStyle name="Millares 4 2 12" xfId="7462" xr:uid="{7673A7D6-EA18-4B67-993E-CF23A9D5D451}"/>
    <cellStyle name="Millares 4 2 2" xfId="313" xr:uid="{551E06A7-91A3-4DE7-B743-EA316F5D3F68}"/>
    <cellStyle name="Millares 4 2 2 10" xfId="2607" xr:uid="{1C599C1A-9921-4249-A518-6F907AD311A9}"/>
    <cellStyle name="Millares 4 2 2 11" xfId="7463" xr:uid="{DA7CC0EB-EE1D-453F-8CAE-0D24C0C4DF49}"/>
    <cellStyle name="Millares 4 2 2 2" xfId="314" xr:uid="{79BAE8B6-6BDA-42AC-9AD6-6076F99EE124}"/>
    <cellStyle name="Millares 4 2 2 2 2" xfId="315" xr:uid="{8719C098-C13F-4F9D-AC8C-0D02AC37FF4B}"/>
    <cellStyle name="Millares 4 2 2 2 2 2" xfId="316" xr:uid="{B4107267-7961-4DF8-9ECC-59D4C85EB8DF}"/>
    <cellStyle name="Millares 4 2 2 2 2 2 2" xfId="1992" xr:uid="{1F077FE8-9D78-4C68-87AC-2200C033E0AD}"/>
    <cellStyle name="Millares 4 2 2 2 2 2 2 2" xfId="5637" xr:uid="{EEC357A9-C4B2-4EA1-A47E-67B23F80954E}"/>
    <cellStyle name="Millares 4 2 2 2 2 2 2 2 2" xfId="10489" xr:uid="{BA396DF7-876A-4894-9043-28722734823D}"/>
    <cellStyle name="Millares 4 2 2 2 2 2 2 3" xfId="6853" xr:uid="{1FC3154D-EC9C-4581-871F-D24F504363F8}"/>
    <cellStyle name="Millares 4 2 2 2 2 2 2 3 2" xfId="11701" xr:uid="{C4FED08D-9E5B-4FD7-8C28-6F8EFD480D29}"/>
    <cellStyle name="Millares 4 2 2 2 2 2 2 4" xfId="4427" xr:uid="{67F242FA-6452-4EF7-9221-AF0FB008A790}"/>
    <cellStyle name="Millares 4 2 2 2 2 2 2 4 2" xfId="9281" xr:uid="{624371CB-C8A8-4BF2-A68E-E2FF552D9DD4}"/>
    <cellStyle name="Millares 4 2 2 2 2 2 2 5" xfId="3214" xr:uid="{F9EE2B41-991A-4F04-87C5-87C3C440FC29}"/>
    <cellStyle name="Millares 4 2 2 2 2 2 2 6" xfId="8070" xr:uid="{89A2ADF5-2141-4790-AF5C-4FD0B4C483F6}"/>
    <cellStyle name="Millares 4 2 2 2 2 2 3" xfId="5033" xr:uid="{2992B2E9-D501-4211-8570-791000E0C9D3}"/>
    <cellStyle name="Millares 4 2 2 2 2 2 3 2" xfId="9885" xr:uid="{AE3C110A-E388-4318-AB83-FAEC836603EA}"/>
    <cellStyle name="Millares 4 2 2 2 2 2 4" xfId="6246" xr:uid="{5A798E95-891F-4BAD-AD81-C4593428F423}"/>
    <cellStyle name="Millares 4 2 2 2 2 2 4 2" xfId="11096" xr:uid="{00C32C7B-5831-4C45-9E3B-5A3E5D24E2AA}"/>
    <cellStyle name="Millares 4 2 2 2 2 2 5" xfId="3823" xr:uid="{B9FDE1C6-A01E-4857-9E0C-3FFA7043B8E0}"/>
    <cellStyle name="Millares 4 2 2 2 2 2 5 2" xfId="8677" xr:uid="{9931F453-F3DD-456B-98D6-145B8ED6162F}"/>
    <cellStyle name="Millares 4 2 2 2 2 2 6" xfId="2610" xr:uid="{65AF22FC-FDC6-4B07-8284-042DC13F830D}"/>
    <cellStyle name="Millares 4 2 2 2 2 2 7" xfId="7466" xr:uid="{C8A27D01-BBA8-4425-98DC-375DBC196413}"/>
    <cellStyle name="Millares 4 2 2 2 2 3" xfId="1991" xr:uid="{CEBB53FA-0C0C-4E24-A517-37D0FE5751CA}"/>
    <cellStyle name="Millares 4 2 2 2 2 3 2" xfId="5636" xr:uid="{B243F27E-59E0-4982-A588-9754756A76BC}"/>
    <cellStyle name="Millares 4 2 2 2 2 3 2 2" xfId="10488" xr:uid="{B31D4251-1ADD-48AF-842B-38F46844CDFC}"/>
    <cellStyle name="Millares 4 2 2 2 2 3 3" xfId="6852" xr:uid="{AFC91D6B-AF1D-4125-8144-6CE9CD0A7B65}"/>
    <cellStyle name="Millares 4 2 2 2 2 3 3 2" xfId="11700" xr:uid="{5388BDBD-FD71-41B4-8407-E1A7D31DF283}"/>
    <cellStyle name="Millares 4 2 2 2 2 3 4" xfId="4426" xr:uid="{EF07E86D-1802-4D32-B5D0-ACBB7BCAEF47}"/>
    <cellStyle name="Millares 4 2 2 2 2 3 4 2" xfId="9280" xr:uid="{1FC33288-9FE5-4549-AEF7-98DFB773D7E0}"/>
    <cellStyle name="Millares 4 2 2 2 2 3 5" xfId="3213" xr:uid="{AB9DD4EF-B58C-454A-BFB7-F14870E2CF43}"/>
    <cellStyle name="Millares 4 2 2 2 2 3 6" xfId="8069" xr:uid="{33FE1766-2E1D-430C-A239-8A9D9D38DF65}"/>
    <cellStyle name="Millares 4 2 2 2 2 4" xfId="5032" xr:uid="{36932C1F-D7E1-44D7-AD5C-FFA0BF131904}"/>
    <cellStyle name="Millares 4 2 2 2 2 4 2" xfId="9884" xr:uid="{3A2F067B-B9AD-49E8-A295-554E0D97EBB3}"/>
    <cellStyle name="Millares 4 2 2 2 2 5" xfId="6245" xr:uid="{C55285B4-5F4B-46F6-8D66-7429277B947D}"/>
    <cellStyle name="Millares 4 2 2 2 2 5 2" xfId="11095" xr:uid="{980A4310-EB2E-4F85-9E59-1A69F46913B8}"/>
    <cellStyle name="Millares 4 2 2 2 2 6" xfId="3822" xr:uid="{A938EE10-55C2-4837-9896-D271F8002623}"/>
    <cellStyle name="Millares 4 2 2 2 2 6 2" xfId="8676" xr:uid="{D3975467-0C21-4434-ACAD-944BF8B53466}"/>
    <cellStyle name="Millares 4 2 2 2 2 7" xfId="2609" xr:uid="{4898AAAE-6078-492D-9182-FED13BBE3F57}"/>
    <cellStyle name="Millares 4 2 2 2 2 8" xfId="7465" xr:uid="{7EBF9038-49ED-4374-86B6-EF7B026EF799}"/>
    <cellStyle name="Millares 4 2 2 2 3" xfId="317" xr:uid="{C7DE4AA4-4775-43D4-814A-6ED1F18F4917}"/>
    <cellStyle name="Millares 4 2 2 2 3 2" xfId="1993" xr:uid="{8C5E5B2D-0AAF-4BBC-8F43-2A5A28137AF9}"/>
    <cellStyle name="Millares 4 2 2 2 3 2 2" xfId="5638" xr:uid="{D5A33F2C-C17F-4E60-A95A-BDC5ED3B6B2C}"/>
    <cellStyle name="Millares 4 2 2 2 3 2 2 2" xfId="10490" xr:uid="{322BF561-0E89-4FF9-B4AA-098D3A7C6B6B}"/>
    <cellStyle name="Millares 4 2 2 2 3 2 3" xfId="6854" xr:uid="{E91ACD3C-56CD-4140-9787-2355F0FCAB07}"/>
    <cellStyle name="Millares 4 2 2 2 3 2 3 2" xfId="11702" xr:uid="{DD0D94B9-E444-4B99-A557-055C9AED920A}"/>
    <cellStyle name="Millares 4 2 2 2 3 2 4" xfId="4428" xr:uid="{0703DA17-6FAA-41DF-9AC3-C9855BF5EECC}"/>
    <cellStyle name="Millares 4 2 2 2 3 2 4 2" xfId="9282" xr:uid="{CB9909F1-5680-424E-9B97-D84984FB9A78}"/>
    <cellStyle name="Millares 4 2 2 2 3 2 5" xfId="3215" xr:uid="{E29414FE-4DC6-40AA-A948-B6F0ABB15489}"/>
    <cellStyle name="Millares 4 2 2 2 3 2 6" xfId="8071" xr:uid="{7BC37533-6420-46B9-A870-460CE50E2C78}"/>
    <cellStyle name="Millares 4 2 2 2 3 3" xfId="5034" xr:uid="{150BBAD5-00A7-4131-9B48-35A3E66155A5}"/>
    <cellStyle name="Millares 4 2 2 2 3 3 2" xfId="9886" xr:uid="{4CFE4876-CA59-461B-8B1B-B088D230B566}"/>
    <cellStyle name="Millares 4 2 2 2 3 4" xfId="6247" xr:uid="{CE924FFE-04BF-417A-AEB9-A2FC8D8F922B}"/>
    <cellStyle name="Millares 4 2 2 2 3 4 2" xfId="11097" xr:uid="{050F55CC-7255-4955-BC3F-DBBA4BF63993}"/>
    <cellStyle name="Millares 4 2 2 2 3 5" xfId="3824" xr:uid="{EA550CAF-C282-46CF-A39E-AFBAAEF20486}"/>
    <cellStyle name="Millares 4 2 2 2 3 5 2" xfId="8678" xr:uid="{8E004739-429C-437D-A313-9B85F8C5E411}"/>
    <cellStyle name="Millares 4 2 2 2 3 6" xfId="2611" xr:uid="{F417A82E-8724-4AD8-BE06-3E6C8A13201B}"/>
    <cellStyle name="Millares 4 2 2 2 3 7" xfId="7467" xr:uid="{A1C3E4D9-DDDA-4231-9A3B-021E29473270}"/>
    <cellStyle name="Millares 4 2 2 2 4" xfId="1990" xr:uid="{B711E682-BD51-4538-90C8-1CBBE4485E52}"/>
    <cellStyle name="Millares 4 2 2 2 4 2" xfId="5635" xr:uid="{FD072A3E-6C78-4360-ADA2-4BA34B9560EE}"/>
    <cellStyle name="Millares 4 2 2 2 4 2 2" xfId="10487" xr:uid="{9277DBCA-7B23-4538-A929-D5C381DD6256}"/>
    <cellStyle name="Millares 4 2 2 2 4 3" xfId="6851" xr:uid="{C7E6C4AA-2E92-4CDC-B40D-554E43B5D4D3}"/>
    <cellStyle name="Millares 4 2 2 2 4 3 2" xfId="11699" xr:uid="{130A426B-EF36-4913-AA61-6E9F2FA3FB21}"/>
    <cellStyle name="Millares 4 2 2 2 4 4" xfId="4425" xr:uid="{08A5A35A-3A77-492E-BA48-49945F3D276B}"/>
    <cellStyle name="Millares 4 2 2 2 4 4 2" xfId="9279" xr:uid="{C6175ED1-389E-400C-A934-29D92378400C}"/>
    <cellStyle name="Millares 4 2 2 2 4 5" xfId="3212" xr:uid="{38F16A77-1F41-497C-9AB7-4B6FB928DA4E}"/>
    <cellStyle name="Millares 4 2 2 2 4 6" xfId="8068" xr:uid="{75BFC474-7EC6-412E-BF15-ADD70552C13B}"/>
    <cellStyle name="Millares 4 2 2 2 5" xfId="5031" xr:uid="{A6DB960C-EAB9-487E-9E14-92C0B75D0EAA}"/>
    <cellStyle name="Millares 4 2 2 2 5 2" xfId="9883" xr:uid="{05E34D01-768E-4CE8-A4D5-FBDDBC5FA5E3}"/>
    <cellStyle name="Millares 4 2 2 2 6" xfId="6244" xr:uid="{CEFBD4D4-FF7A-4A5B-94FC-E94C958707A2}"/>
    <cellStyle name="Millares 4 2 2 2 6 2" xfId="11094" xr:uid="{35A9573B-A576-4109-BBFC-C1EA761CBA88}"/>
    <cellStyle name="Millares 4 2 2 2 7" xfId="3821" xr:uid="{4AA9C15B-8E67-40BD-844C-D6028DEBADD8}"/>
    <cellStyle name="Millares 4 2 2 2 7 2" xfId="8675" xr:uid="{48E54BDC-227F-403E-A970-F5142F9AB713}"/>
    <cellStyle name="Millares 4 2 2 2 8" xfId="2608" xr:uid="{19485BC4-E4AE-457A-89A1-B47C96A44BD8}"/>
    <cellStyle name="Millares 4 2 2 2 9" xfId="7464" xr:uid="{3AB957FA-1CCE-4CCA-A149-960FE6D9A52D}"/>
    <cellStyle name="Millares 4 2 2 3" xfId="318" xr:uid="{34AEF26F-DA27-4341-96EC-8802C3CA9ECE}"/>
    <cellStyle name="Millares 4 2 2 3 2" xfId="319" xr:uid="{E1F2AA4F-EA1B-41C9-BE45-A381AACF7EAD}"/>
    <cellStyle name="Millares 4 2 2 3 2 2" xfId="320" xr:uid="{CB8B5968-CA03-45B0-BBA3-9A82256F7A84}"/>
    <cellStyle name="Millares 4 2 2 3 2 2 2" xfId="1996" xr:uid="{9CB5466C-D23D-4D40-A193-AC4CE03CD216}"/>
    <cellStyle name="Millares 4 2 2 3 2 2 2 2" xfId="5641" xr:uid="{1DC76870-C53B-4203-855C-3035900DB535}"/>
    <cellStyle name="Millares 4 2 2 3 2 2 2 2 2" xfId="10493" xr:uid="{2FD920F8-3E08-4BE6-9057-A2C26C383CFB}"/>
    <cellStyle name="Millares 4 2 2 3 2 2 2 3" xfId="6857" xr:uid="{5A4DBC13-BACC-41C5-A046-6BC280114726}"/>
    <cellStyle name="Millares 4 2 2 3 2 2 2 3 2" xfId="11705" xr:uid="{B7DD53C5-2DED-43DC-8242-6915FBAC2AC2}"/>
    <cellStyle name="Millares 4 2 2 3 2 2 2 4" xfId="4431" xr:uid="{5B7F8CC5-8A6C-4AD7-A0EA-6D5436C59D24}"/>
    <cellStyle name="Millares 4 2 2 3 2 2 2 4 2" xfId="9285" xr:uid="{52A0FC41-CFE9-46D0-B10D-1B16FE73FE66}"/>
    <cellStyle name="Millares 4 2 2 3 2 2 2 5" xfId="3218" xr:uid="{1DE2F3A6-CEDD-4BDC-9CA0-06226EB530B9}"/>
    <cellStyle name="Millares 4 2 2 3 2 2 2 6" xfId="8074" xr:uid="{F60AE418-9C2E-4714-B38C-2349FE60A771}"/>
    <cellStyle name="Millares 4 2 2 3 2 2 3" xfId="5037" xr:uid="{8E9D818C-1CAF-4ED3-9E35-BC5AED4C7647}"/>
    <cellStyle name="Millares 4 2 2 3 2 2 3 2" xfId="9889" xr:uid="{8E70F954-8145-442D-ABF9-C4738CD60BFF}"/>
    <cellStyle name="Millares 4 2 2 3 2 2 4" xfId="6250" xr:uid="{12B9C7BC-21D3-4CCE-8D3F-4DA58FBBEA80}"/>
    <cellStyle name="Millares 4 2 2 3 2 2 4 2" xfId="11100" xr:uid="{1C6BB65E-55FD-4D06-84DA-D9FF98E41A27}"/>
    <cellStyle name="Millares 4 2 2 3 2 2 5" xfId="3827" xr:uid="{90ADA30C-4A4B-4054-A3CA-911517A4D2C1}"/>
    <cellStyle name="Millares 4 2 2 3 2 2 5 2" xfId="8681" xr:uid="{F63C35CB-8514-40BA-A9D5-18BDE08B1627}"/>
    <cellStyle name="Millares 4 2 2 3 2 2 6" xfId="2614" xr:uid="{A61BF8D7-EA03-478D-91ED-DCC5AF2AF6C3}"/>
    <cellStyle name="Millares 4 2 2 3 2 2 7" xfId="7470" xr:uid="{2FEA0743-C57F-4E95-AFC6-93F572000016}"/>
    <cellStyle name="Millares 4 2 2 3 2 3" xfId="1995" xr:uid="{9F9AA02C-C27A-48F6-BF09-0C2E34243E9C}"/>
    <cellStyle name="Millares 4 2 2 3 2 3 2" xfId="5640" xr:uid="{74EEBF06-A687-44A1-B01A-1A088FC3DFFC}"/>
    <cellStyle name="Millares 4 2 2 3 2 3 2 2" xfId="10492" xr:uid="{BB52FA6F-46EC-43F9-8C99-511036ED3DBC}"/>
    <cellStyle name="Millares 4 2 2 3 2 3 3" xfId="6856" xr:uid="{01FF7C62-BFE0-4D2C-B939-5870E41F7B19}"/>
    <cellStyle name="Millares 4 2 2 3 2 3 3 2" xfId="11704" xr:uid="{B731CE3E-C61D-4CF3-A5B3-C78130E284DA}"/>
    <cellStyle name="Millares 4 2 2 3 2 3 4" xfId="4430" xr:uid="{261FA5D1-AD12-4D09-BFA4-D4BE3F8C946C}"/>
    <cellStyle name="Millares 4 2 2 3 2 3 4 2" xfId="9284" xr:uid="{B9BB2DE9-EC95-40AC-86A8-200C3F54E5CB}"/>
    <cellStyle name="Millares 4 2 2 3 2 3 5" xfId="3217" xr:uid="{564BB309-361F-4953-BE70-C4327F249D3E}"/>
    <cellStyle name="Millares 4 2 2 3 2 3 6" xfId="8073" xr:uid="{3C915A29-52D0-4820-AF0F-795EEB9CC289}"/>
    <cellStyle name="Millares 4 2 2 3 2 4" xfId="5036" xr:uid="{B7C8F708-3B83-46A5-8D6F-532D4A973532}"/>
    <cellStyle name="Millares 4 2 2 3 2 4 2" xfId="9888" xr:uid="{3467EDAD-377A-4212-8284-81E52A596FD9}"/>
    <cellStyle name="Millares 4 2 2 3 2 5" xfId="6249" xr:uid="{BFBDB4F7-DB6D-4A54-872F-947DCE45E0E6}"/>
    <cellStyle name="Millares 4 2 2 3 2 5 2" xfId="11099" xr:uid="{6A203099-EB68-41DD-92CF-D5E449CEFEE1}"/>
    <cellStyle name="Millares 4 2 2 3 2 6" xfId="3826" xr:uid="{400420BD-0A9E-48DC-9C65-FB049EA0261F}"/>
    <cellStyle name="Millares 4 2 2 3 2 6 2" xfId="8680" xr:uid="{F804A337-ADFA-4633-9EBB-76B979CDCB1A}"/>
    <cellStyle name="Millares 4 2 2 3 2 7" xfId="2613" xr:uid="{8A42EFDD-E4F4-45F3-9DB3-810E16C1E1E9}"/>
    <cellStyle name="Millares 4 2 2 3 2 8" xfId="7469" xr:uid="{EAEAECEB-8EFC-4C15-A766-F9398B4AB0AF}"/>
    <cellStyle name="Millares 4 2 2 3 3" xfId="321" xr:uid="{8EF47DA8-A523-480A-B7FA-B248FAA18619}"/>
    <cellStyle name="Millares 4 2 2 3 3 2" xfId="1997" xr:uid="{C88CF2E4-8A83-4873-B161-2354B4F2B85A}"/>
    <cellStyle name="Millares 4 2 2 3 3 2 2" xfId="5642" xr:uid="{D76D17F4-A3EF-4E7C-AC59-F140A203B268}"/>
    <cellStyle name="Millares 4 2 2 3 3 2 2 2" xfId="10494" xr:uid="{CF1DF306-F6C0-4586-A312-BB95667E3967}"/>
    <cellStyle name="Millares 4 2 2 3 3 2 3" xfId="6858" xr:uid="{760FDCF3-9000-414E-B41C-D1EF3011921A}"/>
    <cellStyle name="Millares 4 2 2 3 3 2 3 2" xfId="11706" xr:uid="{74AFD2F0-DF30-4C98-BD2E-3C27C0400000}"/>
    <cellStyle name="Millares 4 2 2 3 3 2 4" xfId="4432" xr:uid="{760A13EE-56D3-4B32-886D-0B69BE2F09E7}"/>
    <cellStyle name="Millares 4 2 2 3 3 2 4 2" xfId="9286" xr:uid="{E14E6740-7FB9-49FB-8878-36AEE6DBEF1D}"/>
    <cellStyle name="Millares 4 2 2 3 3 2 5" xfId="3219" xr:uid="{858E0286-AA8F-4EEA-8005-8E571D460880}"/>
    <cellStyle name="Millares 4 2 2 3 3 2 6" xfId="8075" xr:uid="{5A736E47-1736-4AC5-9937-FAC7EDCC4A96}"/>
    <cellStyle name="Millares 4 2 2 3 3 3" xfId="5038" xr:uid="{A356B959-75A4-4503-8C47-22D9891F64B0}"/>
    <cellStyle name="Millares 4 2 2 3 3 3 2" xfId="9890" xr:uid="{B3EEA575-D0AB-4EDC-A682-B3A1091B6402}"/>
    <cellStyle name="Millares 4 2 2 3 3 4" xfId="6251" xr:uid="{24FB22AE-3513-4559-A2F8-8886CF7132A4}"/>
    <cellStyle name="Millares 4 2 2 3 3 4 2" xfId="11101" xr:uid="{572CEF27-8D91-43E9-8F42-2464197F6C64}"/>
    <cellStyle name="Millares 4 2 2 3 3 5" xfId="3828" xr:uid="{B8C9AE9C-9707-4345-B557-D7CAB5C9FD85}"/>
    <cellStyle name="Millares 4 2 2 3 3 5 2" xfId="8682" xr:uid="{A2D00652-8339-46B3-9639-4E99F882E460}"/>
    <cellStyle name="Millares 4 2 2 3 3 6" xfId="2615" xr:uid="{4072A673-FBBD-4527-A28B-2C6AA83C0666}"/>
    <cellStyle name="Millares 4 2 2 3 3 7" xfId="7471" xr:uid="{6864C754-3069-4E59-A2D4-F9C5954D99A8}"/>
    <cellStyle name="Millares 4 2 2 3 4" xfId="1994" xr:uid="{D7DE5603-02F2-4D2C-9B77-7E5819254506}"/>
    <cellStyle name="Millares 4 2 2 3 4 2" xfId="5639" xr:uid="{48847588-9793-472F-80A6-CAB778D2BF8C}"/>
    <cellStyle name="Millares 4 2 2 3 4 2 2" xfId="10491" xr:uid="{4EAC7BDE-EC26-400C-9AC6-1EA91EAD7F44}"/>
    <cellStyle name="Millares 4 2 2 3 4 3" xfId="6855" xr:uid="{1C70378E-8C0D-4C62-8998-FC8BA21BCFC1}"/>
    <cellStyle name="Millares 4 2 2 3 4 3 2" xfId="11703" xr:uid="{096E5401-763B-477D-B549-83B293CDB326}"/>
    <cellStyle name="Millares 4 2 2 3 4 4" xfId="4429" xr:uid="{CD891B37-9B20-4DE1-AF32-9BA93A1CEC6E}"/>
    <cellStyle name="Millares 4 2 2 3 4 4 2" xfId="9283" xr:uid="{6A886309-5AF3-412A-8725-0450BB7C9C49}"/>
    <cellStyle name="Millares 4 2 2 3 4 5" xfId="3216" xr:uid="{5179A8AE-80C7-4637-B802-FCC65C9AD40E}"/>
    <cellStyle name="Millares 4 2 2 3 4 6" xfId="8072" xr:uid="{FDBFA6B6-DEBC-4B0E-9ECA-3A46B3876C12}"/>
    <cellStyle name="Millares 4 2 2 3 5" xfId="5035" xr:uid="{9EB44F7C-5E54-4F77-A904-871B66BE166A}"/>
    <cellStyle name="Millares 4 2 2 3 5 2" xfId="9887" xr:uid="{8447BAEA-257D-417E-8D83-29E8BDC0BC6A}"/>
    <cellStyle name="Millares 4 2 2 3 6" xfId="6248" xr:uid="{4916652B-2CD1-4205-BFC2-231E4688C010}"/>
    <cellStyle name="Millares 4 2 2 3 6 2" xfId="11098" xr:uid="{5BD56D0A-FBD8-43C0-912C-B055E3040265}"/>
    <cellStyle name="Millares 4 2 2 3 7" xfId="3825" xr:uid="{1177DBED-AEF3-4BC2-89A5-EF68825C13AA}"/>
    <cellStyle name="Millares 4 2 2 3 7 2" xfId="8679" xr:uid="{DEB02508-F637-4C88-BAE4-BC3B70937149}"/>
    <cellStyle name="Millares 4 2 2 3 8" xfId="2612" xr:uid="{8A365112-12C2-4FBC-A945-BA957DA544EB}"/>
    <cellStyle name="Millares 4 2 2 3 9" xfId="7468" xr:uid="{12C87BCC-0429-480F-AC7C-4057E8562DEB}"/>
    <cellStyle name="Millares 4 2 2 4" xfId="322" xr:uid="{4F841C5E-E2E2-461C-9D1E-DCF8738863A7}"/>
    <cellStyle name="Millares 4 2 2 4 2" xfId="323" xr:uid="{7428F3A0-3DA4-4AFC-8A29-9281E0CB4322}"/>
    <cellStyle name="Millares 4 2 2 4 2 2" xfId="1999" xr:uid="{ADB8CAEF-D621-44B9-9FF8-5D89284EBC3C}"/>
    <cellStyle name="Millares 4 2 2 4 2 2 2" xfId="5644" xr:uid="{26B538B5-8733-46F4-BE3C-3FB0204DD1A5}"/>
    <cellStyle name="Millares 4 2 2 4 2 2 2 2" xfId="10496" xr:uid="{2B02CAE3-3DDB-4AF7-8CEB-420ED13F504E}"/>
    <cellStyle name="Millares 4 2 2 4 2 2 3" xfId="6860" xr:uid="{5C077AFE-3ED2-4423-9EEC-37240F9A85AB}"/>
    <cellStyle name="Millares 4 2 2 4 2 2 3 2" xfId="11708" xr:uid="{FC972873-8A60-407D-9B23-C7DCA1EA44F2}"/>
    <cellStyle name="Millares 4 2 2 4 2 2 4" xfId="4434" xr:uid="{DA092316-244F-48CA-86C8-3655A80452AA}"/>
    <cellStyle name="Millares 4 2 2 4 2 2 4 2" xfId="9288" xr:uid="{47DC7272-287F-4C81-8364-5187926F43CB}"/>
    <cellStyle name="Millares 4 2 2 4 2 2 5" xfId="3221" xr:uid="{8E01DEB1-5FE6-4214-970B-C22B9D4D06EC}"/>
    <cellStyle name="Millares 4 2 2 4 2 2 6" xfId="8077" xr:uid="{298266CF-0A4F-4D3F-847E-12A4B8C0FC75}"/>
    <cellStyle name="Millares 4 2 2 4 2 3" xfId="5040" xr:uid="{62DA9DF8-CFBF-4A96-AF49-5180412FCEC7}"/>
    <cellStyle name="Millares 4 2 2 4 2 3 2" xfId="9892" xr:uid="{C9F5B3DF-9BDC-4E5A-A1B3-E889BCE312A3}"/>
    <cellStyle name="Millares 4 2 2 4 2 4" xfId="6253" xr:uid="{4213FA09-A72A-437A-B8EF-DDAD1C18C918}"/>
    <cellStyle name="Millares 4 2 2 4 2 4 2" xfId="11103" xr:uid="{FAB99840-38A0-4ED0-B587-CFC876998455}"/>
    <cellStyle name="Millares 4 2 2 4 2 5" xfId="3830" xr:uid="{4D7D3E61-4A8D-455A-8447-76977B9168A5}"/>
    <cellStyle name="Millares 4 2 2 4 2 5 2" xfId="8684" xr:uid="{39B9542C-2F7F-4BD5-BC7A-9965DD2572AB}"/>
    <cellStyle name="Millares 4 2 2 4 2 6" xfId="2617" xr:uid="{234C5273-424E-4D26-B569-D73F2BE5D058}"/>
    <cellStyle name="Millares 4 2 2 4 2 7" xfId="7473" xr:uid="{5C945354-E8AC-4751-BAF3-E1EF877CC31D}"/>
    <cellStyle name="Millares 4 2 2 4 3" xfId="1998" xr:uid="{48100B5D-94CB-45B5-AB9D-0FF6B331E0B2}"/>
    <cellStyle name="Millares 4 2 2 4 3 2" xfId="5643" xr:uid="{80513E5D-BCE2-45A5-94A0-47E7ACBC1BF5}"/>
    <cellStyle name="Millares 4 2 2 4 3 2 2" xfId="10495" xr:uid="{5C2C2F77-F1D8-46E9-92C7-41102F3A8E32}"/>
    <cellStyle name="Millares 4 2 2 4 3 3" xfId="6859" xr:uid="{48098728-04D2-40FD-A9B6-2E7606EC6AD9}"/>
    <cellStyle name="Millares 4 2 2 4 3 3 2" xfId="11707" xr:uid="{9A863B19-A313-4FE5-8EBE-2D3703AB5681}"/>
    <cellStyle name="Millares 4 2 2 4 3 4" xfId="4433" xr:uid="{26AA5CF3-527E-4C77-9CC7-011A02A565D7}"/>
    <cellStyle name="Millares 4 2 2 4 3 4 2" xfId="9287" xr:uid="{01685FF1-5D5B-45A9-90C6-07E61234A477}"/>
    <cellStyle name="Millares 4 2 2 4 3 5" xfId="3220" xr:uid="{3CF70E94-BC06-4DA0-8961-EBC7B3E874B7}"/>
    <cellStyle name="Millares 4 2 2 4 3 6" xfId="8076" xr:uid="{7AA4B3E6-A415-4F24-8257-57BB0681E759}"/>
    <cellStyle name="Millares 4 2 2 4 4" xfId="5039" xr:uid="{9AE5315F-E961-466D-9CD0-7B05DBA7E5FB}"/>
    <cellStyle name="Millares 4 2 2 4 4 2" xfId="9891" xr:uid="{DF6E631E-1440-4902-AFD3-9BFDA761C4E6}"/>
    <cellStyle name="Millares 4 2 2 4 5" xfId="6252" xr:uid="{01DA5206-9165-4359-9CF9-00EF3DD7BB5F}"/>
    <cellStyle name="Millares 4 2 2 4 5 2" xfId="11102" xr:uid="{3ED5D216-B25F-4A9A-889D-C83317CCB308}"/>
    <cellStyle name="Millares 4 2 2 4 6" xfId="3829" xr:uid="{EC6274D1-E0BA-46EE-B088-2F230C0CE089}"/>
    <cellStyle name="Millares 4 2 2 4 6 2" xfId="8683" xr:uid="{53A21833-F293-46F3-A50B-911F946E9029}"/>
    <cellStyle name="Millares 4 2 2 4 7" xfId="2616" xr:uid="{D302A2DC-05AC-4926-B1B1-EFFD719C8E57}"/>
    <cellStyle name="Millares 4 2 2 4 8" xfId="7472" xr:uid="{A2690CFD-2256-49B6-A745-C4D80D18132D}"/>
    <cellStyle name="Millares 4 2 2 5" xfId="324" xr:uid="{EBFB104A-5A57-4A03-ACF3-4D4D1F968524}"/>
    <cellStyle name="Millares 4 2 2 5 2" xfId="2000" xr:uid="{56D15E9A-DCF8-47B9-974E-BA473CA1A7CC}"/>
    <cellStyle name="Millares 4 2 2 5 2 2" xfId="5645" xr:uid="{56F64D08-333F-45F7-ABF8-4FD8A8A8B526}"/>
    <cellStyle name="Millares 4 2 2 5 2 2 2" xfId="10497" xr:uid="{B16B69E2-FB2B-4E66-81BE-45F1BE391D31}"/>
    <cellStyle name="Millares 4 2 2 5 2 3" xfId="6861" xr:uid="{6467A031-1A0B-40C5-999A-AC99599BD0B3}"/>
    <cellStyle name="Millares 4 2 2 5 2 3 2" xfId="11709" xr:uid="{D4E077E3-B215-4B3A-AC9D-F2F32902BB7C}"/>
    <cellStyle name="Millares 4 2 2 5 2 4" xfId="4435" xr:uid="{328A4C51-E631-4B3A-9F2D-29D18D169E3A}"/>
    <cellStyle name="Millares 4 2 2 5 2 4 2" xfId="9289" xr:uid="{0DCAC3DE-66CA-47A8-AC95-EF823E46CE76}"/>
    <cellStyle name="Millares 4 2 2 5 2 5" xfId="3222" xr:uid="{39CEA3B4-4EB8-4E16-A37B-9460783B2962}"/>
    <cellStyle name="Millares 4 2 2 5 2 6" xfId="8078" xr:uid="{CB662A8F-2710-4E68-9D3E-F886749F3F97}"/>
    <cellStyle name="Millares 4 2 2 5 3" xfId="5041" xr:uid="{061CC6D8-AC47-4EC9-95C6-575AC84E7AFA}"/>
    <cellStyle name="Millares 4 2 2 5 3 2" xfId="9893" xr:uid="{55C2D5B4-C6FB-41C7-8394-198266E5C590}"/>
    <cellStyle name="Millares 4 2 2 5 4" xfId="6254" xr:uid="{AE0A2F12-78AF-484A-B222-8DD26D40D72B}"/>
    <cellStyle name="Millares 4 2 2 5 4 2" xfId="11104" xr:uid="{870B3A97-BA72-459C-BDC6-B49E27F7670C}"/>
    <cellStyle name="Millares 4 2 2 5 5" xfId="3831" xr:uid="{6ACF452D-7D3D-4C4D-9407-8A25AB6E1B2F}"/>
    <cellStyle name="Millares 4 2 2 5 5 2" xfId="8685" xr:uid="{4EC242D2-9D13-4EF3-8A84-9512758DB487}"/>
    <cellStyle name="Millares 4 2 2 5 6" xfId="2618" xr:uid="{083BC624-E8E5-4409-9D5A-2D608C4A4C59}"/>
    <cellStyle name="Millares 4 2 2 5 7" xfId="7474" xr:uid="{1A72189F-7144-4681-9242-43C83051C394}"/>
    <cellStyle name="Millares 4 2 2 6" xfId="1989" xr:uid="{5405EE84-94A9-4DF7-AD88-599ECB04EC8B}"/>
    <cellStyle name="Millares 4 2 2 6 2" xfId="5634" xr:uid="{86DD2671-8D96-42C4-916C-55690CCBC015}"/>
    <cellStyle name="Millares 4 2 2 6 2 2" xfId="10486" xr:uid="{82F1A17E-6B65-443E-992F-2AF8CC06D57C}"/>
    <cellStyle name="Millares 4 2 2 6 3" xfId="6850" xr:uid="{2F7BF805-9432-4193-B3D6-493E164B4C47}"/>
    <cellStyle name="Millares 4 2 2 6 3 2" xfId="11698" xr:uid="{0EF4F90B-4484-467D-A1BF-817748C82D3D}"/>
    <cellStyle name="Millares 4 2 2 6 4" xfId="4424" xr:uid="{F068305D-63DE-4630-A35A-F46E270A440E}"/>
    <cellStyle name="Millares 4 2 2 6 4 2" xfId="9278" xr:uid="{E493265F-6126-4DD9-B4CE-B895245AB53F}"/>
    <cellStyle name="Millares 4 2 2 6 5" xfId="3211" xr:uid="{F1A9AC28-3741-4B14-9A68-C904DA566653}"/>
    <cellStyle name="Millares 4 2 2 6 6" xfId="8067" xr:uid="{5F55465F-CD22-432F-A26C-093135B895AF}"/>
    <cellStyle name="Millares 4 2 2 7" xfId="5030" xr:uid="{64DCB2DD-EF03-4699-911F-661DC444446D}"/>
    <cellStyle name="Millares 4 2 2 7 2" xfId="9882" xr:uid="{5F782DF2-E182-4129-9691-454E44BB1A2D}"/>
    <cellStyle name="Millares 4 2 2 8" xfId="6243" xr:uid="{2494A277-0A97-4798-B9CD-B8D463356602}"/>
    <cellStyle name="Millares 4 2 2 8 2" xfId="11093" xr:uid="{EAD52CEB-C88D-4F4E-8694-CBA448E7CAF8}"/>
    <cellStyle name="Millares 4 2 2 9" xfId="3820" xr:uid="{457E7CF9-B501-4677-9173-93F5FC1BD68B}"/>
    <cellStyle name="Millares 4 2 2 9 2" xfId="8674" xr:uid="{92CB1096-F366-44FF-898F-D14578340937}"/>
    <cellStyle name="Millares 4 2 3" xfId="325" xr:uid="{235895F4-1112-4372-8327-3F45F6B7B7E9}"/>
    <cellStyle name="Millares 4 2 3 2" xfId="326" xr:uid="{B6C7A7A3-6926-4AE5-AD4E-024E6B314096}"/>
    <cellStyle name="Millares 4 2 3 2 2" xfId="327" xr:uid="{B6A38936-F81A-43E2-8EE9-B8951148BE0C}"/>
    <cellStyle name="Millares 4 2 3 2 2 2" xfId="2003" xr:uid="{1A66D5CC-7BC4-4A45-AFDE-4B8D05E562E3}"/>
    <cellStyle name="Millares 4 2 3 2 2 2 2" xfId="5648" xr:uid="{0FF568E6-81F9-4CEC-9C7C-8933D2888245}"/>
    <cellStyle name="Millares 4 2 3 2 2 2 2 2" xfId="10500" xr:uid="{8A1EB106-4C44-4CA6-845A-2B7F73438187}"/>
    <cellStyle name="Millares 4 2 3 2 2 2 3" xfId="6864" xr:uid="{1E1B8E3F-0593-4503-B15F-E52C3B116A95}"/>
    <cellStyle name="Millares 4 2 3 2 2 2 3 2" xfId="11712" xr:uid="{77AF5422-46BF-48A4-AEAF-A2BD9136B9FD}"/>
    <cellStyle name="Millares 4 2 3 2 2 2 4" xfId="4438" xr:uid="{A943B639-4AC1-4778-B598-D674558950D9}"/>
    <cellStyle name="Millares 4 2 3 2 2 2 4 2" xfId="9292" xr:uid="{A5085A8E-602F-4A4C-A999-D4FE512EC62B}"/>
    <cellStyle name="Millares 4 2 3 2 2 2 5" xfId="3225" xr:uid="{8E7FF2D6-647F-4D02-A9E8-9396680B52A6}"/>
    <cellStyle name="Millares 4 2 3 2 2 2 6" xfId="8081" xr:uid="{5D227134-D9BE-48E5-9C68-E12A12F63B9C}"/>
    <cellStyle name="Millares 4 2 3 2 2 3" xfId="5044" xr:uid="{F2E91BE7-1E3E-4D71-B2A6-09F0CCE2975F}"/>
    <cellStyle name="Millares 4 2 3 2 2 3 2" xfId="9896" xr:uid="{D43CFECF-E22E-46AE-BF24-27236B34D425}"/>
    <cellStyle name="Millares 4 2 3 2 2 4" xfId="6257" xr:uid="{3A2A9D32-4DF8-45F7-A7EB-7BE239780BAC}"/>
    <cellStyle name="Millares 4 2 3 2 2 4 2" xfId="11107" xr:uid="{5B24885C-F994-422F-93CE-E97C5B175A94}"/>
    <cellStyle name="Millares 4 2 3 2 2 5" xfId="3834" xr:uid="{D79620DB-CF59-4F65-A9C4-9D2684A8D9B4}"/>
    <cellStyle name="Millares 4 2 3 2 2 5 2" xfId="8688" xr:uid="{458F7C51-8819-4581-972C-AA240A3AD06C}"/>
    <cellStyle name="Millares 4 2 3 2 2 6" xfId="2621" xr:uid="{E80BA9F8-1716-4689-9BD0-05498FD3FBAB}"/>
    <cellStyle name="Millares 4 2 3 2 2 7" xfId="7477" xr:uid="{15AD09A5-776C-4B65-8CC6-8663E9B2D806}"/>
    <cellStyle name="Millares 4 2 3 2 3" xfId="2002" xr:uid="{76CF1ECB-FC03-4DD2-862E-6DC83DDEC75A}"/>
    <cellStyle name="Millares 4 2 3 2 3 2" xfId="5647" xr:uid="{01E50775-F8A4-4577-A49B-1AE8BF09D422}"/>
    <cellStyle name="Millares 4 2 3 2 3 2 2" xfId="10499" xr:uid="{BDD26C23-E7F8-4B4D-9B47-65219B8C59F1}"/>
    <cellStyle name="Millares 4 2 3 2 3 3" xfId="6863" xr:uid="{25476A6C-EB73-4DD8-97ED-830E4AD32036}"/>
    <cellStyle name="Millares 4 2 3 2 3 3 2" xfId="11711" xr:uid="{DBE0A4B3-7E7D-4C31-973D-62D963BEDE3D}"/>
    <cellStyle name="Millares 4 2 3 2 3 4" xfId="4437" xr:uid="{D838A6D7-6A78-4A8C-BC47-15D1040B318B}"/>
    <cellStyle name="Millares 4 2 3 2 3 4 2" xfId="9291" xr:uid="{EA7F22E7-E71E-45E8-B5B1-C52F0E1094FD}"/>
    <cellStyle name="Millares 4 2 3 2 3 5" xfId="3224" xr:uid="{23C8EE2A-B914-477E-9C7F-B0134B031EC3}"/>
    <cellStyle name="Millares 4 2 3 2 3 6" xfId="8080" xr:uid="{5B78A5AF-6547-4412-BBC9-49ACDE6D198D}"/>
    <cellStyle name="Millares 4 2 3 2 4" xfId="5043" xr:uid="{C4135D7A-6696-4645-8E88-FA62E4BBAEFC}"/>
    <cellStyle name="Millares 4 2 3 2 4 2" xfId="9895" xr:uid="{05081A37-5523-46C7-A485-FA806E45D0B3}"/>
    <cellStyle name="Millares 4 2 3 2 5" xfId="6256" xr:uid="{8DB8D851-EABE-457F-954C-60C30B0775FE}"/>
    <cellStyle name="Millares 4 2 3 2 5 2" xfId="11106" xr:uid="{29BC42AB-F689-4AA7-ACCE-72A8854D83F4}"/>
    <cellStyle name="Millares 4 2 3 2 6" xfId="3833" xr:uid="{EB0189F5-09CB-4523-AEEA-4936A6325576}"/>
    <cellStyle name="Millares 4 2 3 2 6 2" xfId="8687" xr:uid="{473ADD34-423F-4E4D-97BA-496FC8631F23}"/>
    <cellStyle name="Millares 4 2 3 2 7" xfId="2620" xr:uid="{759A1C2B-48F9-4C5E-B7D8-E259370CA3D3}"/>
    <cellStyle name="Millares 4 2 3 2 8" xfId="7476" xr:uid="{36E7C390-C64B-49F9-978B-7A1B21C0B708}"/>
    <cellStyle name="Millares 4 2 3 3" xfId="328" xr:uid="{C6867179-393C-49D0-A6F8-39F443AE7C30}"/>
    <cellStyle name="Millares 4 2 3 3 2" xfId="2004" xr:uid="{AD50C708-3F31-43CD-BE38-19F599286F3F}"/>
    <cellStyle name="Millares 4 2 3 3 2 2" xfId="5649" xr:uid="{886FE530-5F9F-44A4-B202-491213D1FB55}"/>
    <cellStyle name="Millares 4 2 3 3 2 2 2" xfId="10501" xr:uid="{B95A68D1-4D9C-464C-8104-CFE55E870A43}"/>
    <cellStyle name="Millares 4 2 3 3 2 3" xfId="6865" xr:uid="{58CD88E7-4D7C-4332-8598-E9F68AB6CC1E}"/>
    <cellStyle name="Millares 4 2 3 3 2 3 2" xfId="11713" xr:uid="{1D304F64-8BD8-41BD-91B4-5F46B741F6D8}"/>
    <cellStyle name="Millares 4 2 3 3 2 4" xfId="4439" xr:uid="{7B66F187-C921-48CE-9711-483F163D4981}"/>
    <cellStyle name="Millares 4 2 3 3 2 4 2" xfId="9293" xr:uid="{76989827-C7ED-4C11-8D2F-4B58AF81A9EE}"/>
    <cellStyle name="Millares 4 2 3 3 2 5" xfId="3226" xr:uid="{D8B21105-2268-422B-BD19-08190CB5F6D8}"/>
    <cellStyle name="Millares 4 2 3 3 2 6" xfId="8082" xr:uid="{A7ABCFAD-B6FA-4854-B06E-23780CB7663D}"/>
    <cellStyle name="Millares 4 2 3 3 3" xfId="5045" xr:uid="{F0E3B0E6-5373-4CF9-8958-E39FF83FB594}"/>
    <cellStyle name="Millares 4 2 3 3 3 2" xfId="9897" xr:uid="{54FB463F-CE88-4BA3-85E6-16B20E433734}"/>
    <cellStyle name="Millares 4 2 3 3 4" xfId="6258" xr:uid="{CA538E19-A115-43D9-B2C5-0873E6B1E48A}"/>
    <cellStyle name="Millares 4 2 3 3 4 2" xfId="11108" xr:uid="{B62CB5C5-E1B3-40E2-8C4E-093DA5A61303}"/>
    <cellStyle name="Millares 4 2 3 3 5" xfId="3835" xr:uid="{85421C89-E432-4ED5-9F3F-A482D3173988}"/>
    <cellStyle name="Millares 4 2 3 3 5 2" xfId="8689" xr:uid="{0F13AD7F-7836-44D2-86C8-DC64D142E5F0}"/>
    <cellStyle name="Millares 4 2 3 3 6" xfId="2622" xr:uid="{A56F613B-5260-4E5E-BA57-28C7D2F7AE3C}"/>
    <cellStyle name="Millares 4 2 3 3 7" xfId="7478" xr:uid="{CAEB3BEC-67DA-4CC2-9595-B7F28E037787}"/>
    <cellStyle name="Millares 4 2 3 4" xfId="2001" xr:uid="{1B42DCCB-43B2-4574-82BE-F1F81EE9C970}"/>
    <cellStyle name="Millares 4 2 3 4 2" xfId="5646" xr:uid="{1E30CD1B-809C-4BAB-ABDB-DA46C462A341}"/>
    <cellStyle name="Millares 4 2 3 4 2 2" xfId="10498" xr:uid="{22689A86-9DBC-4173-AF45-1FB89463854E}"/>
    <cellStyle name="Millares 4 2 3 4 3" xfId="6862" xr:uid="{8F4444C7-E2F5-4BE0-B1D3-D6AE4A89F448}"/>
    <cellStyle name="Millares 4 2 3 4 3 2" xfId="11710" xr:uid="{8D320756-1F75-4821-B301-8589C61A3E5F}"/>
    <cellStyle name="Millares 4 2 3 4 4" xfId="4436" xr:uid="{4D15F791-5BAC-4129-B444-4EDC11AECF11}"/>
    <cellStyle name="Millares 4 2 3 4 4 2" xfId="9290" xr:uid="{4386FF65-BDBF-40A3-A467-F12B6D9B64C4}"/>
    <cellStyle name="Millares 4 2 3 4 5" xfId="3223" xr:uid="{86FD0756-0473-4346-86DC-6FE10255D3C1}"/>
    <cellStyle name="Millares 4 2 3 4 6" xfId="8079" xr:uid="{5BF7DAC3-4580-4888-AD67-C4BFF47B5F03}"/>
    <cellStyle name="Millares 4 2 3 5" xfId="5042" xr:uid="{9951E946-9A9C-4616-87FE-BC584FB2A3A6}"/>
    <cellStyle name="Millares 4 2 3 5 2" xfId="9894" xr:uid="{059CB2C4-325D-4DDE-B648-2666453410BB}"/>
    <cellStyle name="Millares 4 2 3 6" xfId="6255" xr:uid="{749A81B5-9FAE-487B-B915-4EE03980542C}"/>
    <cellStyle name="Millares 4 2 3 6 2" xfId="11105" xr:uid="{8ED1614B-F21A-4827-BDFF-B7156F336FAF}"/>
    <cellStyle name="Millares 4 2 3 7" xfId="3832" xr:uid="{5760DCFA-9808-4A54-AF5D-93EA8B275830}"/>
    <cellStyle name="Millares 4 2 3 7 2" xfId="8686" xr:uid="{2D6C3B15-C818-4745-9C77-E306B8F83E84}"/>
    <cellStyle name="Millares 4 2 3 8" xfId="2619" xr:uid="{80AB383D-DE3C-4B68-9494-623849E32F45}"/>
    <cellStyle name="Millares 4 2 3 9" xfId="7475" xr:uid="{5A7D99D1-71FD-4CE6-86C1-64D56CBA2AF0}"/>
    <cellStyle name="Millares 4 2 4" xfId="329" xr:uid="{EDF487F0-AA27-4765-A134-1C3F746D9670}"/>
    <cellStyle name="Millares 4 2 4 2" xfId="330" xr:uid="{39272098-3C4E-4AA7-9EB6-25C3BF4182BC}"/>
    <cellStyle name="Millares 4 2 4 2 2" xfId="331" xr:uid="{D930FDD4-0347-49CE-8D77-D5E12953129F}"/>
    <cellStyle name="Millares 4 2 4 2 2 2" xfId="2007" xr:uid="{28ACFF11-AAF2-404F-B5FC-B581C6F24449}"/>
    <cellStyle name="Millares 4 2 4 2 2 2 2" xfId="5652" xr:uid="{190AEE23-F1AD-483A-8B87-4FD9145D4FF3}"/>
    <cellStyle name="Millares 4 2 4 2 2 2 2 2" xfId="10504" xr:uid="{E9BF54BA-4756-4194-9B18-F4E056198D8F}"/>
    <cellStyle name="Millares 4 2 4 2 2 2 3" xfId="6868" xr:uid="{5756290C-DB0F-44E8-B967-357002C50941}"/>
    <cellStyle name="Millares 4 2 4 2 2 2 3 2" xfId="11716" xr:uid="{FCE16973-3C8A-4810-9013-411F2D6914A5}"/>
    <cellStyle name="Millares 4 2 4 2 2 2 4" xfId="4442" xr:uid="{1A569EC5-CEE7-48A2-AF14-5A6066998CE5}"/>
    <cellStyle name="Millares 4 2 4 2 2 2 4 2" xfId="9296" xr:uid="{8E496404-AB27-42D6-94C1-FC2159BF9501}"/>
    <cellStyle name="Millares 4 2 4 2 2 2 5" xfId="3229" xr:uid="{B30CED5C-E0D2-48C7-9ED6-565EC24157ED}"/>
    <cellStyle name="Millares 4 2 4 2 2 2 6" xfId="8085" xr:uid="{120A96A3-0E24-4271-BCE5-958B8B5E83AB}"/>
    <cellStyle name="Millares 4 2 4 2 2 3" xfId="5048" xr:uid="{54D5C37D-B665-47D4-BB2A-F8CC0A49BB84}"/>
    <cellStyle name="Millares 4 2 4 2 2 3 2" xfId="9900" xr:uid="{6678E1FB-3ED0-4DFC-A6A8-9A9818B3E6AA}"/>
    <cellStyle name="Millares 4 2 4 2 2 4" xfId="6261" xr:uid="{BAA839CF-456A-47A9-9D6F-B0E9A53451EF}"/>
    <cellStyle name="Millares 4 2 4 2 2 4 2" xfId="11111" xr:uid="{95E44E1D-AA44-40C7-8023-6BA63561D532}"/>
    <cellStyle name="Millares 4 2 4 2 2 5" xfId="3838" xr:uid="{B6EBD328-1529-4278-8B9E-9352F4355734}"/>
    <cellStyle name="Millares 4 2 4 2 2 5 2" xfId="8692" xr:uid="{DD0D71F4-54A6-4FE8-872E-9A09D1CC82C4}"/>
    <cellStyle name="Millares 4 2 4 2 2 6" xfId="2625" xr:uid="{C72076AE-F0FD-41BF-8FD4-77F29DEDB542}"/>
    <cellStyle name="Millares 4 2 4 2 2 7" xfId="7481" xr:uid="{7A380477-F62E-4871-A396-8B6B2B9680DB}"/>
    <cellStyle name="Millares 4 2 4 2 3" xfId="2006" xr:uid="{6FA6A943-D67D-439E-ACF5-962CDB82668B}"/>
    <cellStyle name="Millares 4 2 4 2 3 2" xfId="5651" xr:uid="{854AAD04-76C4-4864-A57F-62B9C5BDBACC}"/>
    <cellStyle name="Millares 4 2 4 2 3 2 2" xfId="10503" xr:uid="{BFEDC334-5D87-4460-94AA-7EB7996C8E0E}"/>
    <cellStyle name="Millares 4 2 4 2 3 3" xfId="6867" xr:uid="{D33B30C6-CA09-4E49-8E0C-C615B4B8C5CA}"/>
    <cellStyle name="Millares 4 2 4 2 3 3 2" xfId="11715" xr:uid="{7B7B8D1F-E0EB-464D-B6D0-CB1BD057D675}"/>
    <cellStyle name="Millares 4 2 4 2 3 4" xfId="4441" xr:uid="{8746DEC9-99FC-4F17-A329-7B9C79A95308}"/>
    <cellStyle name="Millares 4 2 4 2 3 4 2" xfId="9295" xr:uid="{2774D6F5-0BC7-46A7-8FA0-9036043CF731}"/>
    <cellStyle name="Millares 4 2 4 2 3 5" xfId="3228" xr:uid="{DB305DC6-279A-4741-BE69-C41195831A27}"/>
    <cellStyle name="Millares 4 2 4 2 3 6" xfId="8084" xr:uid="{1BE0C2D7-A5A9-4E64-9A30-262046B58E12}"/>
    <cellStyle name="Millares 4 2 4 2 4" xfId="5047" xr:uid="{222BAFF2-AE64-474D-BD4A-07EF99030B5A}"/>
    <cellStyle name="Millares 4 2 4 2 4 2" xfId="9899" xr:uid="{CAE29448-27C3-45AC-A6A2-A0A6BB5991C4}"/>
    <cellStyle name="Millares 4 2 4 2 5" xfId="6260" xr:uid="{B75A28D1-9554-4EB5-BA98-EEACF808763D}"/>
    <cellStyle name="Millares 4 2 4 2 5 2" xfId="11110" xr:uid="{02AB1A55-3528-41EF-B80C-E50B1BDAF2E9}"/>
    <cellStyle name="Millares 4 2 4 2 6" xfId="3837" xr:uid="{8816B0A3-4D79-4922-B208-D4BCD9250AAC}"/>
    <cellStyle name="Millares 4 2 4 2 6 2" xfId="8691" xr:uid="{10F57CE8-E5F0-46DE-95BF-3DC3595069ED}"/>
    <cellStyle name="Millares 4 2 4 2 7" xfId="2624" xr:uid="{BB8B31A7-61F4-43A2-91E1-AD451CDAE5A3}"/>
    <cellStyle name="Millares 4 2 4 2 8" xfId="7480" xr:uid="{37FF1974-EE98-4F5A-A2CE-86CB5921C0A9}"/>
    <cellStyle name="Millares 4 2 4 3" xfId="332" xr:uid="{1ABB3C57-D6AD-4706-933B-5AC63CAE3F09}"/>
    <cellStyle name="Millares 4 2 4 3 2" xfId="2008" xr:uid="{AC8F5C54-0D7A-434F-9C1C-0499F4DE7B26}"/>
    <cellStyle name="Millares 4 2 4 3 2 2" xfId="5653" xr:uid="{6D03DF3B-77EE-4FC9-82CC-CB05AE4EC7C0}"/>
    <cellStyle name="Millares 4 2 4 3 2 2 2" xfId="10505" xr:uid="{7B9FA758-1832-4C5B-96B7-5871523C9EF7}"/>
    <cellStyle name="Millares 4 2 4 3 2 3" xfId="6869" xr:uid="{A80466EC-6B7B-4E93-981C-1A7B8DB0E1FC}"/>
    <cellStyle name="Millares 4 2 4 3 2 3 2" xfId="11717" xr:uid="{E7302C5B-5180-493B-8A60-03B253DF8F15}"/>
    <cellStyle name="Millares 4 2 4 3 2 4" xfId="4443" xr:uid="{0D2F2CF4-6F49-4035-B74D-9B6FCE627F51}"/>
    <cellStyle name="Millares 4 2 4 3 2 4 2" xfId="9297" xr:uid="{EAC9C7CC-D844-42FD-8821-471CB6613880}"/>
    <cellStyle name="Millares 4 2 4 3 2 5" xfId="3230" xr:uid="{CD94DCB3-5328-4E36-8F08-828706BB7ECC}"/>
    <cellStyle name="Millares 4 2 4 3 2 6" xfId="8086" xr:uid="{A2E1DED5-C13A-491E-8EA5-AE2EAAFC7E04}"/>
    <cellStyle name="Millares 4 2 4 3 3" xfId="5049" xr:uid="{A3A54C15-1516-42E1-806B-6E169CCAB75A}"/>
    <cellStyle name="Millares 4 2 4 3 3 2" xfId="9901" xr:uid="{65C3E243-2EE4-485F-AAC7-F91664B8B456}"/>
    <cellStyle name="Millares 4 2 4 3 4" xfId="6262" xr:uid="{18647510-F985-4CE7-876D-B20D33522FDC}"/>
    <cellStyle name="Millares 4 2 4 3 4 2" xfId="11112" xr:uid="{9A71CAA1-4DD9-4204-B86E-A69BC1E05FD4}"/>
    <cellStyle name="Millares 4 2 4 3 5" xfId="3839" xr:uid="{61FD98C4-88F3-497A-B5DE-09C597228C55}"/>
    <cellStyle name="Millares 4 2 4 3 5 2" xfId="8693" xr:uid="{3C0E6C2E-29DA-4450-A43C-54E475F1A4A1}"/>
    <cellStyle name="Millares 4 2 4 3 6" xfId="2626" xr:uid="{A97A3E34-BAEA-4F0C-9878-F8B549BA096B}"/>
    <cellStyle name="Millares 4 2 4 3 7" xfId="7482" xr:uid="{E5730F38-3CE0-43B3-9330-6952A4CD68B2}"/>
    <cellStyle name="Millares 4 2 4 4" xfId="2005" xr:uid="{90557E21-C0B2-4AEC-B5BD-2F4AE978A6BD}"/>
    <cellStyle name="Millares 4 2 4 4 2" xfId="5650" xr:uid="{D99F4E8D-EA5B-4A26-93F3-B2F4D361ABB0}"/>
    <cellStyle name="Millares 4 2 4 4 2 2" xfId="10502" xr:uid="{70EA4291-CF1A-4AE4-A61C-6809C015483A}"/>
    <cellStyle name="Millares 4 2 4 4 3" xfId="6866" xr:uid="{00B1E429-A51C-4DF4-ADF7-A54997563A4C}"/>
    <cellStyle name="Millares 4 2 4 4 3 2" xfId="11714" xr:uid="{E7080E97-2894-4167-BD25-93021C104DD8}"/>
    <cellStyle name="Millares 4 2 4 4 4" xfId="4440" xr:uid="{70D8B804-7658-4077-9B7B-4AE8F7E34086}"/>
    <cellStyle name="Millares 4 2 4 4 4 2" xfId="9294" xr:uid="{D5F986B6-074A-41F1-8D02-9D968594E45D}"/>
    <cellStyle name="Millares 4 2 4 4 5" xfId="3227" xr:uid="{5D1AF90F-EAF8-4A60-8BCD-D2C2E0D9C7B6}"/>
    <cellStyle name="Millares 4 2 4 4 6" xfId="8083" xr:uid="{860F9929-D122-417B-924A-C5FE22379ACB}"/>
    <cellStyle name="Millares 4 2 4 5" xfId="5046" xr:uid="{E4DBF407-40B7-4DC8-970C-F6369EE77E49}"/>
    <cellStyle name="Millares 4 2 4 5 2" xfId="9898" xr:uid="{778C9280-7750-492A-8A6A-1AC4F598A666}"/>
    <cellStyle name="Millares 4 2 4 6" xfId="6259" xr:uid="{AF5D2919-95EF-445B-840D-699D1C1CFCB3}"/>
    <cellStyle name="Millares 4 2 4 6 2" xfId="11109" xr:uid="{1A77D377-ADED-4DEA-9C51-40834CB03BCF}"/>
    <cellStyle name="Millares 4 2 4 7" xfId="3836" xr:uid="{CD694735-B59B-43B4-BC9E-A399B9799693}"/>
    <cellStyle name="Millares 4 2 4 7 2" xfId="8690" xr:uid="{7C680EB6-C8DD-4BBA-BD1A-B27E7C7C29C0}"/>
    <cellStyle name="Millares 4 2 4 8" xfId="2623" xr:uid="{AF3A3BEE-E2B5-4F6F-8546-AAAD33183977}"/>
    <cellStyle name="Millares 4 2 4 9" xfId="7479" xr:uid="{5A6DB099-3A4A-4809-877A-5A8A1BA66110}"/>
    <cellStyle name="Millares 4 2 5" xfId="333" xr:uid="{43FBFB0A-7BAC-472F-8F8B-CBF75A77725A}"/>
    <cellStyle name="Millares 4 2 5 2" xfId="334" xr:uid="{D41CD17E-1C5B-4946-B723-0472A48DDD75}"/>
    <cellStyle name="Millares 4 2 5 2 2" xfId="2010" xr:uid="{C7C2B9D6-84F9-48AF-BAD7-6CFF5157DD78}"/>
    <cellStyle name="Millares 4 2 5 2 2 2" xfId="5655" xr:uid="{925F4EFD-2497-427A-9697-51052B7CCE1F}"/>
    <cellStyle name="Millares 4 2 5 2 2 2 2" xfId="10507" xr:uid="{E4CE0A81-A5B3-4014-8563-67F7A00390B1}"/>
    <cellStyle name="Millares 4 2 5 2 2 3" xfId="6871" xr:uid="{7082DA23-5E13-4C8B-A9DF-8847D0F9CC65}"/>
    <cellStyle name="Millares 4 2 5 2 2 3 2" xfId="11719" xr:uid="{D79A1FE7-4C47-4CE2-9BEF-BC423858CDBD}"/>
    <cellStyle name="Millares 4 2 5 2 2 4" xfId="4445" xr:uid="{313A8E02-CBD2-4CFC-B2A1-3504D89AC4D7}"/>
    <cellStyle name="Millares 4 2 5 2 2 4 2" xfId="9299" xr:uid="{64C80228-95DF-4CB6-92DC-48642D28E735}"/>
    <cellStyle name="Millares 4 2 5 2 2 5" xfId="3232" xr:uid="{B15FBF11-3EE8-4358-B7E8-09D182C85F64}"/>
    <cellStyle name="Millares 4 2 5 2 2 6" xfId="8088" xr:uid="{A049B648-B08D-4CC4-A44C-24925CB7B9EC}"/>
    <cellStyle name="Millares 4 2 5 2 3" xfId="5051" xr:uid="{56786676-55CC-45EB-A123-983EDE8BC89C}"/>
    <cellStyle name="Millares 4 2 5 2 3 2" xfId="9903" xr:uid="{EEA0D8BC-B081-46D5-AEE3-3241FC792612}"/>
    <cellStyle name="Millares 4 2 5 2 4" xfId="6264" xr:uid="{ADB23DF9-8496-412B-82ED-EF2E803D49B1}"/>
    <cellStyle name="Millares 4 2 5 2 4 2" xfId="11114" xr:uid="{DE20D1E2-8D88-48A0-BA4D-9285C6DE8EF5}"/>
    <cellStyle name="Millares 4 2 5 2 5" xfId="3841" xr:uid="{2E497E30-F4F6-4BC1-8733-FD16266FAAC6}"/>
    <cellStyle name="Millares 4 2 5 2 5 2" xfId="8695" xr:uid="{FE6CECEA-7998-4739-8A6A-C34FEFA9541B}"/>
    <cellStyle name="Millares 4 2 5 2 6" xfId="2628" xr:uid="{3A6FACEF-04B7-40C0-8962-F2B6E73A546F}"/>
    <cellStyle name="Millares 4 2 5 2 7" xfId="7484" xr:uid="{CEDBF37F-189A-4214-BE88-00F4CACECEF7}"/>
    <cellStyle name="Millares 4 2 5 3" xfId="2009" xr:uid="{3EA55FF0-9799-48F5-A05E-2AD5828F29A5}"/>
    <cellStyle name="Millares 4 2 5 3 2" xfId="5654" xr:uid="{4A477261-3A03-4559-A363-B3BE8F5B7F94}"/>
    <cellStyle name="Millares 4 2 5 3 2 2" xfId="10506" xr:uid="{3139EB00-E63F-42A8-9A8C-4F8A95B1A0F0}"/>
    <cellStyle name="Millares 4 2 5 3 3" xfId="6870" xr:uid="{CD1F6DE6-7586-41A2-8EBF-9DB8ACB47BD0}"/>
    <cellStyle name="Millares 4 2 5 3 3 2" xfId="11718" xr:uid="{57996183-0B51-4429-BB0E-D7A6AB856E83}"/>
    <cellStyle name="Millares 4 2 5 3 4" xfId="4444" xr:uid="{3F5AF37C-F342-40BB-AEB1-576FB82A86FD}"/>
    <cellStyle name="Millares 4 2 5 3 4 2" xfId="9298" xr:uid="{550258AE-2201-41D6-BA8C-D1E8EE5465E3}"/>
    <cellStyle name="Millares 4 2 5 3 5" xfId="3231" xr:uid="{AD1362C3-F4AA-4489-94C6-7438B9BAEB04}"/>
    <cellStyle name="Millares 4 2 5 3 6" xfId="8087" xr:uid="{AC043C95-E0E6-4020-B000-155D9B9CA421}"/>
    <cellStyle name="Millares 4 2 5 4" xfId="5050" xr:uid="{9FB1DB18-ABCF-45CD-8463-9A578B4E4F58}"/>
    <cellStyle name="Millares 4 2 5 4 2" xfId="9902" xr:uid="{C76B6132-E1C6-496D-A6B7-D00614F3C5E1}"/>
    <cellStyle name="Millares 4 2 5 5" xfId="6263" xr:uid="{32F5D32D-228F-4EE2-B1AA-7F362FBACB7D}"/>
    <cellStyle name="Millares 4 2 5 5 2" xfId="11113" xr:uid="{EEBD781B-B900-47C3-B530-466145491C56}"/>
    <cellStyle name="Millares 4 2 5 6" xfId="3840" xr:uid="{FCF94D84-7460-49EE-B8C6-BBB5D930008C}"/>
    <cellStyle name="Millares 4 2 5 6 2" xfId="8694" xr:uid="{80929682-288D-4721-BABC-C4575FB4B8F4}"/>
    <cellStyle name="Millares 4 2 5 7" xfId="2627" xr:uid="{D0A0A18E-7A80-462B-A6D1-FFD3359E474B}"/>
    <cellStyle name="Millares 4 2 5 8" xfId="7483" xr:uid="{C6792049-18D4-4A06-8C36-0812A267A0FD}"/>
    <cellStyle name="Millares 4 2 6" xfId="335" xr:uid="{15E91A13-1E96-462F-B083-6B9675BF0951}"/>
    <cellStyle name="Millares 4 2 6 2" xfId="2011" xr:uid="{8DB1D8B9-0901-435B-AFE4-080ED8D56911}"/>
    <cellStyle name="Millares 4 2 6 2 2" xfId="5656" xr:uid="{1EA744B0-8CED-4E44-ABA3-A57811602CA9}"/>
    <cellStyle name="Millares 4 2 6 2 2 2" xfId="10508" xr:uid="{1B1F1342-B677-4F87-B7C2-721E13D69923}"/>
    <cellStyle name="Millares 4 2 6 2 3" xfId="6872" xr:uid="{6DD4B696-7014-4487-8EF3-765BD947E8CF}"/>
    <cellStyle name="Millares 4 2 6 2 3 2" xfId="11720" xr:uid="{0E581292-D4B9-4A24-A429-CC2F95B1AF94}"/>
    <cellStyle name="Millares 4 2 6 2 4" xfId="4446" xr:uid="{C83F10D1-01A6-468C-8E22-ACCDBFDD638C}"/>
    <cellStyle name="Millares 4 2 6 2 4 2" xfId="9300" xr:uid="{DA1D79B3-7917-4790-8589-849972E997D4}"/>
    <cellStyle name="Millares 4 2 6 2 5" xfId="3233" xr:uid="{0047800E-7995-43F2-8DA2-1A39673EF60B}"/>
    <cellStyle name="Millares 4 2 6 2 6" xfId="8089" xr:uid="{EF6B1E7D-8C89-49FF-8F6E-C9A781B882C2}"/>
    <cellStyle name="Millares 4 2 6 3" xfId="5052" xr:uid="{458186F7-7C3B-4ABC-9B99-95C4D646E39A}"/>
    <cellStyle name="Millares 4 2 6 3 2" xfId="9904" xr:uid="{61801BBF-576D-4048-AA84-8969EC675810}"/>
    <cellStyle name="Millares 4 2 6 4" xfId="6265" xr:uid="{394673E5-5388-4035-9876-43AE94F05A92}"/>
    <cellStyle name="Millares 4 2 6 4 2" xfId="11115" xr:uid="{7269531C-F147-4E25-A78A-DA19D9FD0C97}"/>
    <cellStyle name="Millares 4 2 6 5" xfId="3842" xr:uid="{2D105383-9F92-4CAF-B60A-9DF018048294}"/>
    <cellStyle name="Millares 4 2 6 5 2" xfId="8696" xr:uid="{9239513A-3250-42CD-B2B6-E82805F3162D}"/>
    <cellStyle name="Millares 4 2 6 6" xfId="2629" xr:uid="{B9CC6A71-8E36-48A0-AA18-FC30808AABD8}"/>
    <cellStyle name="Millares 4 2 6 7" xfId="7485" xr:uid="{63B88AA3-B6E3-4DE1-80D8-DBE1386D03AD}"/>
    <cellStyle name="Millares 4 2 7" xfId="1988" xr:uid="{0C07FD6B-8D66-4811-B911-718BF2C13F68}"/>
    <cellStyle name="Millares 4 2 7 2" xfId="5633" xr:uid="{7D376B1E-7DEA-4BF3-BFE3-3D51C2134B1F}"/>
    <cellStyle name="Millares 4 2 7 2 2" xfId="10485" xr:uid="{17251F74-582F-4AF4-8B59-18639A3D91E6}"/>
    <cellStyle name="Millares 4 2 7 3" xfId="6849" xr:uid="{AA015F07-3FE2-4E33-A870-CD6025156479}"/>
    <cellStyle name="Millares 4 2 7 3 2" xfId="11697" xr:uid="{D2F791D1-989B-4D6E-822D-147DFC3EF483}"/>
    <cellStyle name="Millares 4 2 7 4" xfId="4423" xr:uid="{667D3BE0-8743-4465-A87A-9543182CB3F6}"/>
    <cellStyle name="Millares 4 2 7 4 2" xfId="9277" xr:uid="{793BA88A-1DEA-465D-A0CF-9CE4CEE9797E}"/>
    <cellStyle name="Millares 4 2 7 5" xfId="3210" xr:uid="{F4D91B70-2019-4DA0-A754-DFBA9E0CA07A}"/>
    <cellStyle name="Millares 4 2 7 6" xfId="8066" xr:uid="{9DDDD68B-7AC7-4974-AB0B-0E4129082059}"/>
    <cellStyle name="Millares 4 2 8" xfId="5029" xr:uid="{5BA9F2BC-799E-48E2-8D6C-F93B49F9DA74}"/>
    <cellStyle name="Millares 4 2 8 2" xfId="9881" xr:uid="{16E34227-EFE4-4C39-B0BA-B1C781CE20D9}"/>
    <cellStyle name="Millares 4 2 9" xfId="6242" xr:uid="{44518E6C-1B44-4858-8FF9-0616CD504D18}"/>
    <cellStyle name="Millares 4 2 9 2" xfId="11092" xr:uid="{E2844801-729D-47D7-8C91-072DB9923297}"/>
    <cellStyle name="Millares 4 3" xfId="336" xr:uid="{15D8C3A4-8362-44A1-86FC-AC1FD37966E8}"/>
    <cellStyle name="Millares 4 3 2" xfId="337" xr:uid="{41732833-DD40-4879-B20D-B95A6C5E746F}"/>
    <cellStyle name="Millares 4 3 2 2" xfId="2013" xr:uid="{2BEFEF6E-12F6-440D-9E5D-E70B971CD48D}"/>
    <cellStyle name="Millares 4 3 2 2 2" xfId="5658" xr:uid="{304791F4-055C-4B6A-8761-D655E220DFAA}"/>
    <cellStyle name="Millares 4 3 2 2 2 2" xfId="10510" xr:uid="{737D8204-D598-43F3-8031-F314E59B5244}"/>
    <cellStyle name="Millares 4 3 2 2 3" xfId="6874" xr:uid="{D3549974-A0D9-4095-99EF-F60D64F2740E}"/>
    <cellStyle name="Millares 4 3 2 2 3 2" xfId="11722" xr:uid="{4F4F914A-70EF-4D9B-9B35-04C0599B0604}"/>
    <cellStyle name="Millares 4 3 2 2 4" xfId="4448" xr:uid="{D0CEA74C-CA66-433F-92ED-299DD53D52B7}"/>
    <cellStyle name="Millares 4 3 2 2 4 2" xfId="9302" xr:uid="{05FDE8D5-6C91-4FBE-8AE7-B7A4876AA990}"/>
    <cellStyle name="Millares 4 3 2 2 5" xfId="3235" xr:uid="{B5D48F75-B010-4B55-8607-4CBA1001A582}"/>
    <cellStyle name="Millares 4 3 2 2 6" xfId="8091" xr:uid="{49DFB01C-612A-4BD7-99E6-AB51CB9D378C}"/>
    <cellStyle name="Millares 4 3 2 3" xfId="5054" xr:uid="{7050E0DD-A7F1-4379-AC6A-CC3984353264}"/>
    <cellStyle name="Millares 4 3 2 3 2" xfId="9906" xr:uid="{541131B0-274E-4861-A96D-89637E460F20}"/>
    <cellStyle name="Millares 4 3 2 4" xfId="6267" xr:uid="{9E60FE42-1D7F-4445-98D9-3FABE47A5857}"/>
    <cellStyle name="Millares 4 3 2 4 2" xfId="11117" xr:uid="{4E9E782B-EEDC-47BE-A5D8-47E741EA793B}"/>
    <cellStyle name="Millares 4 3 2 5" xfId="3844" xr:uid="{EE53D75C-C5F6-4FC9-847F-78BFFC0B2059}"/>
    <cellStyle name="Millares 4 3 2 5 2" xfId="8698" xr:uid="{1D222C5B-3A23-459C-A51B-DCF551CE5092}"/>
    <cellStyle name="Millares 4 3 2 6" xfId="2631" xr:uid="{CC863A70-0F08-4A2B-9161-A0E4A19CFC0C}"/>
    <cellStyle name="Millares 4 3 2 7" xfId="7487" xr:uid="{C88986CA-0E20-4D06-88F7-2F2320CCDC48}"/>
    <cellStyle name="Millares 4 3 3" xfId="2012" xr:uid="{CDBD0C68-D876-4DE9-A7AA-0698F63D6528}"/>
    <cellStyle name="Millares 4 3 3 2" xfId="5657" xr:uid="{55F60DC0-AC30-495B-97F0-A33CE23EABF4}"/>
    <cellStyle name="Millares 4 3 3 2 2" xfId="10509" xr:uid="{EB24D8A1-C5A9-469E-A7EA-6404FE552C67}"/>
    <cellStyle name="Millares 4 3 3 3" xfId="6873" xr:uid="{D5FCDB28-DD2D-41FF-A760-B2C89FB81B67}"/>
    <cellStyle name="Millares 4 3 3 3 2" xfId="11721" xr:uid="{AC54E54C-33BA-427A-9CBE-A0AF39865AC5}"/>
    <cellStyle name="Millares 4 3 3 4" xfId="4447" xr:uid="{209B8BAE-1F42-4D74-AF77-198E7BCC2BC1}"/>
    <cellStyle name="Millares 4 3 3 4 2" xfId="9301" xr:uid="{292AA910-A2ED-49F0-8744-7DA7F6A6572F}"/>
    <cellStyle name="Millares 4 3 3 5" xfId="3234" xr:uid="{C152C1D5-5EE5-4E1B-81EA-4551C2B8849C}"/>
    <cellStyle name="Millares 4 3 3 6" xfId="8090" xr:uid="{490EB687-D841-4E6D-8DE1-843539767545}"/>
    <cellStyle name="Millares 4 3 4" xfId="5053" xr:uid="{951251D6-7A78-474B-9AD9-D0A844F831DE}"/>
    <cellStyle name="Millares 4 3 4 2" xfId="9905" xr:uid="{98F9D384-CA65-4D6B-9378-EA560A8411A1}"/>
    <cellStyle name="Millares 4 3 5" xfId="6266" xr:uid="{40741AD9-AC3A-40D8-A829-CC5B147962D0}"/>
    <cellStyle name="Millares 4 3 5 2" xfId="11116" xr:uid="{C9FECCEA-C438-472C-98F2-61916E1152FA}"/>
    <cellStyle name="Millares 4 3 6" xfId="3843" xr:uid="{16233BBC-5BE3-4EB1-8FBD-A088B3FB4378}"/>
    <cellStyle name="Millares 4 3 6 2" xfId="8697" xr:uid="{1DEEB1C7-8E32-41DD-8B1A-66B2F9A32394}"/>
    <cellStyle name="Millares 4 3 7" xfId="2630" xr:uid="{130025C3-06FB-4319-B44A-31275891D47D}"/>
    <cellStyle name="Millares 4 3 8" xfId="7486" xr:uid="{87392E91-E1EC-4E35-A918-AB13C99C5792}"/>
    <cellStyle name="Millares 4 4" xfId="338" xr:uid="{BBCECA10-F134-4283-B815-9EFC6213EC0D}"/>
    <cellStyle name="Millares 4 4 2" xfId="339" xr:uid="{D08A81F3-3203-4C7F-B668-37A9997E57FA}"/>
    <cellStyle name="Millares 4 4 2 2" xfId="2015" xr:uid="{D3731632-7F13-449C-AF85-5A72C7E37DDB}"/>
    <cellStyle name="Millares 4 4 2 2 2" xfId="5660" xr:uid="{F567E2D5-44F4-4472-91EE-6CDDA56F789F}"/>
    <cellStyle name="Millares 4 4 2 2 2 2" xfId="10512" xr:uid="{71CF33E4-75BD-418A-8ABC-C43756049019}"/>
    <cellStyle name="Millares 4 4 2 2 3" xfId="6876" xr:uid="{DBA4009D-2BC0-4432-BD62-D5F2F8775F10}"/>
    <cellStyle name="Millares 4 4 2 2 3 2" xfId="11724" xr:uid="{5350EA70-F3C4-41BB-B081-948F1BF81AB4}"/>
    <cellStyle name="Millares 4 4 2 2 4" xfId="4450" xr:uid="{C9DF1450-F17D-49B9-8FEF-DF408EB99405}"/>
    <cellStyle name="Millares 4 4 2 2 4 2" xfId="9304" xr:uid="{92F0BC29-0CD8-41D7-93D1-613E989FA766}"/>
    <cellStyle name="Millares 4 4 2 2 5" xfId="3237" xr:uid="{6FA5801C-6AF5-4E26-89D5-7DA7C312A8AF}"/>
    <cellStyle name="Millares 4 4 2 2 6" xfId="8093" xr:uid="{02FC30E6-4E3A-410F-8B84-116A8AFF4A5A}"/>
    <cellStyle name="Millares 4 4 2 3" xfId="5056" xr:uid="{0CCC7C0D-32A9-4262-8526-06A6081ED2F5}"/>
    <cellStyle name="Millares 4 4 2 3 2" xfId="9908" xr:uid="{164D91CA-1A56-4DC1-B070-9BE0E35A9D40}"/>
    <cellStyle name="Millares 4 4 2 4" xfId="6269" xr:uid="{CAB04741-F978-411B-86C0-54D7F612F7B4}"/>
    <cellStyle name="Millares 4 4 2 4 2" xfId="11119" xr:uid="{F5815671-FE45-4FC0-A00C-A705122B319C}"/>
    <cellStyle name="Millares 4 4 2 5" xfId="3846" xr:uid="{A4786EF6-5A0A-48EC-865B-307665982A90}"/>
    <cellStyle name="Millares 4 4 2 5 2" xfId="8700" xr:uid="{366A39CC-ACA6-4F31-B6E4-07FA15167D55}"/>
    <cellStyle name="Millares 4 4 2 6" xfId="2633" xr:uid="{A4DE78D4-27D1-493C-A152-6DDFBB8CC3D6}"/>
    <cellStyle name="Millares 4 4 2 7" xfId="7489" xr:uid="{B00C3BB9-5FE8-49E2-9323-6202DA8DD2E3}"/>
    <cellStyle name="Millares 4 4 3" xfId="2014" xr:uid="{20064144-379E-44DD-8A4B-CB37351CF0AD}"/>
    <cellStyle name="Millares 4 4 3 2" xfId="5659" xr:uid="{202AA3EF-0E8B-4796-9AB8-11096425FFD8}"/>
    <cellStyle name="Millares 4 4 3 2 2" xfId="10511" xr:uid="{208F5E27-9C07-435F-A736-D7833CF9F63C}"/>
    <cellStyle name="Millares 4 4 3 3" xfId="6875" xr:uid="{B94D2196-F8F3-4984-AD5B-0897CBFE440F}"/>
    <cellStyle name="Millares 4 4 3 3 2" xfId="11723" xr:uid="{E70845A5-EEF3-40B5-A89C-1E82C3F583A3}"/>
    <cellStyle name="Millares 4 4 3 4" xfId="4449" xr:uid="{DA1C5D5C-8BAE-4741-BB82-3E56D774CF26}"/>
    <cellStyle name="Millares 4 4 3 4 2" xfId="9303" xr:uid="{CCB282DE-4CFD-4A19-99A0-079A7EB177F7}"/>
    <cellStyle name="Millares 4 4 3 5" xfId="3236" xr:uid="{7A2A3F25-3B9E-4AD6-B8CF-19D9C1EF1131}"/>
    <cellStyle name="Millares 4 4 3 6" xfId="8092" xr:uid="{2E69F678-D092-4D0A-893D-DC9665CF4005}"/>
    <cellStyle name="Millares 4 4 4" xfId="5055" xr:uid="{45E3039B-F66B-4D6D-B56F-901C3D2D8465}"/>
    <cellStyle name="Millares 4 4 4 2" xfId="9907" xr:uid="{99137756-979A-484B-9CEB-E5E236D75928}"/>
    <cellStyle name="Millares 4 4 5" xfId="6268" xr:uid="{966430F4-6558-4D80-A9E6-C27371055651}"/>
    <cellStyle name="Millares 4 4 5 2" xfId="11118" xr:uid="{E29027C9-D746-4366-945B-B501418ADFC3}"/>
    <cellStyle name="Millares 4 4 6" xfId="3845" xr:uid="{4BD8F540-25CE-4682-9DB4-72BBD15ACBD3}"/>
    <cellStyle name="Millares 4 4 6 2" xfId="8699" xr:uid="{EA32240E-714E-449C-8530-DEB135646536}"/>
    <cellStyle name="Millares 4 4 7" xfId="2632" xr:uid="{882B6C11-6399-42EA-A477-41752F7FF520}"/>
    <cellStyle name="Millares 4 4 8" xfId="7488" xr:uid="{3CD35B1E-EAFC-44BA-8BDA-7BE54AEB725D}"/>
    <cellStyle name="Millares 4 5" xfId="340" xr:uid="{DEBA733A-C160-47EF-9B8B-0777F8D34633}"/>
    <cellStyle name="Millares 4 5 2" xfId="341" xr:uid="{9A8CFFE5-57B5-47B0-8999-6D0076C16E6A}"/>
    <cellStyle name="Millares 4 5 2 2" xfId="2017" xr:uid="{C2CB9A6B-3C4E-47CD-ADF0-1A1622B7ECC9}"/>
    <cellStyle name="Millares 4 5 2 2 2" xfId="5662" xr:uid="{8EE6A8FC-04C1-4918-97D8-A8D70DD169B1}"/>
    <cellStyle name="Millares 4 5 2 2 2 2" xfId="10514" xr:uid="{9F6B5041-DBFC-484B-A66D-968DB51F3B10}"/>
    <cellStyle name="Millares 4 5 2 2 3" xfId="6878" xr:uid="{293E2213-1B07-49F8-B65B-79296B795D21}"/>
    <cellStyle name="Millares 4 5 2 2 3 2" xfId="11726" xr:uid="{A7CAB619-7DCE-40D0-8C31-A6AF56F4B6F6}"/>
    <cellStyle name="Millares 4 5 2 2 4" xfId="4452" xr:uid="{CC1099B4-F904-494F-9D6E-AD4E9103BB9D}"/>
    <cellStyle name="Millares 4 5 2 2 4 2" xfId="9306" xr:uid="{BF9D638F-91FF-4EC7-9923-0DB72831CCF2}"/>
    <cellStyle name="Millares 4 5 2 2 5" xfId="3239" xr:uid="{D75135A5-9CF0-4E5B-9695-A539C90B0DE0}"/>
    <cellStyle name="Millares 4 5 2 2 6" xfId="8095" xr:uid="{8D2DBA1F-D707-44D2-8C1E-51B5FD90F3A3}"/>
    <cellStyle name="Millares 4 5 2 3" xfId="5058" xr:uid="{A5551192-593B-4FAF-B9B0-A5CD44AF149A}"/>
    <cellStyle name="Millares 4 5 2 3 2" xfId="9910" xr:uid="{A492713E-9D05-469C-842A-97A1193CB3A7}"/>
    <cellStyle name="Millares 4 5 2 4" xfId="6271" xr:uid="{B7134ACB-2004-4FEF-920B-9542F3201AA4}"/>
    <cellStyle name="Millares 4 5 2 4 2" xfId="11121" xr:uid="{74C3F109-37F3-44E9-977A-DC7DDE47E1D1}"/>
    <cellStyle name="Millares 4 5 2 5" xfId="3848" xr:uid="{111ADC0A-8EBA-4772-B3F5-BE85FB017B6E}"/>
    <cellStyle name="Millares 4 5 2 5 2" xfId="8702" xr:uid="{7824B892-F748-48FF-A7AF-E9F1AF909BF3}"/>
    <cellStyle name="Millares 4 5 2 6" xfId="2635" xr:uid="{698F37CF-EFCF-478B-A46F-9109A298C654}"/>
    <cellStyle name="Millares 4 5 2 7" xfId="7491" xr:uid="{C8783CEB-74AD-4DBF-ACA1-555671E6C9CB}"/>
    <cellStyle name="Millares 4 5 3" xfId="2016" xr:uid="{DA80B98E-1C59-418F-A209-42BED01FF91A}"/>
    <cellStyle name="Millares 4 5 3 2" xfId="5661" xr:uid="{BD00A10D-61EC-4770-8EAC-AC967B6E1A3C}"/>
    <cellStyle name="Millares 4 5 3 2 2" xfId="10513" xr:uid="{E0DAEBF0-6E9E-4661-B012-B16C40098C08}"/>
    <cellStyle name="Millares 4 5 3 3" xfId="6877" xr:uid="{547FEC47-1C5D-40E1-8CC3-CD8641EF8733}"/>
    <cellStyle name="Millares 4 5 3 3 2" xfId="11725" xr:uid="{0BB00B74-9892-412B-B471-DA4790E969AC}"/>
    <cellStyle name="Millares 4 5 3 4" xfId="4451" xr:uid="{27A030F6-EE70-44C3-A224-A16566D0E0C5}"/>
    <cellStyle name="Millares 4 5 3 4 2" xfId="9305" xr:uid="{12E7C195-7968-4FE9-BADA-267F11C94B2B}"/>
    <cellStyle name="Millares 4 5 3 5" xfId="3238" xr:uid="{33EE6577-0194-4AC2-B6BA-D762720E3109}"/>
    <cellStyle name="Millares 4 5 3 6" xfId="8094" xr:uid="{6E7736E1-3E2D-41C2-8AC6-5892606456C5}"/>
    <cellStyle name="Millares 4 5 4" xfId="5057" xr:uid="{088C10D2-D31B-4105-B192-AC2E32FB8CEC}"/>
    <cellStyle name="Millares 4 5 4 2" xfId="9909" xr:uid="{E66ABEDE-46E6-4362-8CD3-40BD94AE1F29}"/>
    <cellStyle name="Millares 4 5 5" xfId="6270" xr:uid="{9A9CC9C2-1600-4FC2-AEEA-A2237EA99303}"/>
    <cellStyle name="Millares 4 5 5 2" xfId="11120" xr:uid="{7AF07485-7AEA-4DE2-9FB4-915F6A81AB26}"/>
    <cellStyle name="Millares 4 5 6" xfId="3847" xr:uid="{515F05DC-0E07-479E-BF81-3FBE8CE1D324}"/>
    <cellStyle name="Millares 4 5 6 2" xfId="8701" xr:uid="{3A3574EE-5ECE-44D9-A199-80C5113255FA}"/>
    <cellStyle name="Millares 4 5 7" xfId="2634" xr:uid="{0934E036-B71B-4F96-A2F4-96E0EFF85704}"/>
    <cellStyle name="Millares 4 5 8" xfId="7490" xr:uid="{FA443574-7CE1-4FD6-A05F-51C9B3518BB6}"/>
    <cellStyle name="Millares 4 6" xfId="342" xr:uid="{73130FE9-1768-4477-B707-A7293F3EF01D}"/>
    <cellStyle name="Millares 4 6 2" xfId="343" xr:uid="{56C72364-3EC0-4C3C-A8A9-46F70FBA7C96}"/>
    <cellStyle name="Millares 4 6 2 2" xfId="2019" xr:uid="{9691F8BF-0F12-495A-9090-8F8880DCDEE7}"/>
    <cellStyle name="Millares 4 6 2 2 2" xfId="5664" xr:uid="{5B312BAB-8D60-443B-A4E1-72CB2A1E5050}"/>
    <cellStyle name="Millares 4 6 2 2 2 2" xfId="10516" xr:uid="{318045BD-29AC-42A7-8A04-8B611A7C0F6C}"/>
    <cellStyle name="Millares 4 6 2 2 3" xfId="6880" xr:uid="{0D814319-73A0-4984-8591-80E782A8F0D1}"/>
    <cellStyle name="Millares 4 6 2 2 3 2" xfId="11728" xr:uid="{6D46A21B-4A3B-4787-BB50-A674E94D494D}"/>
    <cellStyle name="Millares 4 6 2 2 4" xfId="4454" xr:uid="{4DD81679-3F0C-4C38-A9E2-4ED090522211}"/>
    <cellStyle name="Millares 4 6 2 2 4 2" xfId="9308" xr:uid="{9C11938F-6674-4FD0-BAC6-590E37493EE4}"/>
    <cellStyle name="Millares 4 6 2 2 5" xfId="3241" xr:uid="{D677209E-3310-4C67-865A-3A245BB092D2}"/>
    <cellStyle name="Millares 4 6 2 2 6" xfId="8097" xr:uid="{1E7C457B-2E31-48E3-99F3-A6C38F5B1BC4}"/>
    <cellStyle name="Millares 4 6 2 3" xfId="5060" xr:uid="{73C4913A-C439-4B70-8727-3014777DD1FE}"/>
    <cellStyle name="Millares 4 6 2 3 2" xfId="9912" xr:uid="{83A3160F-6938-4A6A-9E8E-E492D5A933FE}"/>
    <cellStyle name="Millares 4 6 2 4" xfId="6273" xr:uid="{4EDD956F-8560-4EC4-B589-ADF11599DF4D}"/>
    <cellStyle name="Millares 4 6 2 4 2" xfId="11123" xr:uid="{FB8DD577-192C-4F6E-9F16-F8A84EC940CF}"/>
    <cellStyle name="Millares 4 6 2 5" xfId="3850" xr:uid="{D093B5D7-B7E2-42DA-9CC2-904C76F9F7C9}"/>
    <cellStyle name="Millares 4 6 2 5 2" xfId="8704" xr:uid="{238FC355-9C22-46EF-982D-88C352914FE4}"/>
    <cellStyle name="Millares 4 6 2 6" xfId="2637" xr:uid="{3F17D3A8-39A5-4C6E-B10A-0F33F9738299}"/>
    <cellStyle name="Millares 4 6 2 7" xfId="7493" xr:uid="{7519ABA5-6891-4F9C-9C68-18D29430327D}"/>
    <cellStyle name="Millares 4 6 3" xfId="2018" xr:uid="{7C9B7A50-4543-4C0E-882C-56550508A973}"/>
    <cellStyle name="Millares 4 6 3 2" xfId="5663" xr:uid="{4ED94020-130E-4EFC-9497-6010CF658CAE}"/>
    <cellStyle name="Millares 4 6 3 2 2" xfId="10515" xr:uid="{5C794182-4690-4276-A6A7-68AC5F2DA2F1}"/>
    <cellStyle name="Millares 4 6 3 3" xfId="6879" xr:uid="{9B50CF17-4FE2-422B-AD00-159C2BFBB275}"/>
    <cellStyle name="Millares 4 6 3 3 2" xfId="11727" xr:uid="{25CAEAD7-EBC0-443E-85BA-2E9059B254C2}"/>
    <cellStyle name="Millares 4 6 3 4" xfId="4453" xr:uid="{6DC8F72C-CB56-4A63-849C-7BEB6B3DBA4D}"/>
    <cellStyle name="Millares 4 6 3 4 2" xfId="9307" xr:uid="{7A3CC198-DE7A-482E-A80C-B11994AD118C}"/>
    <cellStyle name="Millares 4 6 3 5" xfId="3240" xr:uid="{8BF646EF-D352-42B9-93B1-80F2D2FE302E}"/>
    <cellStyle name="Millares 4 6 3 6" xfId="8096" xr:uid="{F6D4C9C2-7D83-4BF5-AD88-9F0E06CB7C62}"/>
    <cellStyle name="Millares 4 6 4" xfId="5059" xr:uid="{BA21755A-8488-4714-9AD1-9A5C99C016D7}"/>
    <cellStyle name="Millares 4 6 4 2" xfId="9911" xr:uid="{D9F77406-AF0C-41CF-9BB3-DEF0D41EE82C}"/>
    <cellStyle name="Millares 4 6 5" xfId="6272" xr:uid="{661C5CC2-7DBC-4496-AFE5-276D41706031}"/>
    <cellStyle name="Millares 4 6 5 2" xfId="11122" xr:uid="{B01004BC-5624-4BBC-BF34-43FB3C31A145}"/>
    <cellStyle name="Millares 4 6 6" xfId="3849" xr:uid="{70C2F262-D0F6-459E-BBE8-1C9BFA41F808}"/>
    <cellStyle name="Millares 4 6 6 2" xfId="8703" xr:uid="{13E6FA1E-78D9-439F-9C07-FAC1A144596C}"/>
    <cellStyle name="Millares 4 6 7" xfId="2636" xr:uid="{249B1EC4-214F-458D-9016-A661DF5B349F}"/>
    <cellStyle name="Millares 4 6 8" xfId="7492" xr:uid="{7ACEF4C0-0A61-4AF0-BFCC-EBF05866AA42}"/>
    <cellStyle name="Millares 4 7" xfId="5431" xr:uid="{95777660-7E91-4B0C-B314-B7836AF8D219}"/>
    <cellStyle name="Millares 4 7 2" xfId="10283" xr:uid="{DB3F98A0-A0B1-419D-99C1-9739F0D2EF6A}"/>
    <cellStyle name="Millares 4 8" xfId="6647" xr:uid="{FCC54125-EC93-474C-AA4E-DBC40BE26C6E}"/>
    <cellStyle name="Millares 4 8 2" xfId="11495" xr:uid="{4C38C0F5-CE8C-4692-9446-FE52C4D9707E}"/>
    <cellStyle name="Millares 4 9" xfId="4221" xr:uid="{EAE5159E-9EE9-4EEB-97BE-65FA6931B69A}"/>
    <cellStyle name="Millares 4 9 2" xfId="9075" xr:uid="{56F31CD1-2B56-4E9B-B178-138DF4FFD323}"/>
    <cellStyle name="Millares 40" xfId="7257" xr:uid="{2EEB4F4F-AC79-459C-AF2F-A38CEF694DC7}"/>
    <cellStyle name="Millares 40 2" xfId="12104" xr:uid="{C80EF08C-373E-4C55-A71B-13BD252F0721}"/>
    <cellStyle name="Millares 41" xfId="7258" xr:uid="{AAD0E76E-448F-4C31-AF16-88CFEB6044A9}"/>
    <cellStyle name="Millares 41 2" xfId="12105" xr:uid="{6CE2EFC6-E5F2-441F-AFD3-979536C43DF6}"/>
    <cellStyle name="Millares 42" xfId="2403" xr:uid="{FB798A5E-919E-4CBD-9E12-684E5B30C803}"/>
    <cellStyle name="Millares 43" xfId="2406" xr:uid="{71419E56-782D-43A0-88E2-19D047119537}"/>
    <cellStyle name="Millares 44" xfId="7259" xr:uid="{C7AD4EC8-7001-4F0A-9BBB-4E0F609603D4}"/>
    <cellStyle name="Millares 45" xfId="7262" xr:uid="{F53B4297-8451-44D1-9FB6-31BD7CB51491}"/>
    <cellStyle name="Millares 46" xfId="113" xr:uid="{1612EA36-DD71-4967-86ED-BFA7F8B8225B}"/>
    <cellStyle name="Millares 5" xfId="43" xr:uid="{96F5423F-B653-46BD-855E-AB2D40BB690D}"/>
    <cellStyle name="Millares 5 10" xfId="344" xr:uid="{70364A55-08D7-4B29-951D-C987268D7C1E}"/>
    <cellStyle name="Millares 5 10 2" xfId="345" xr:uid="{C64A4F87-08D8-49C3-A82F-E2E7E98E8CBC}"/>
    <cellStyle name="Millares 5 10 2 2" xfId="346" xr:uid="{5ED567C1-A3FD-42BD-B567-81B0A208B925}"/>
    <cellStyle name="Millares 5 10 3" xfId="347" xr:uid="{887541EF-CE1E-4867-A5AB-D134C9ED8FF6}"/>
    <cellStyle name="Millares 5 11" xfId="348" xr:uid="{7AA935E3-4F34-41A4-9060-5C1182E51B20}"/>
    <cellStyle name="Millares 5 11 2" xfId="349" xr:uid="{E830FDEE-8566-48A1-962B-5217F9A1DC02}"/>
    <cellStyle name="Millares 5 11 2 2" xfId="350" xr:uid="{AEF91306-1E61-4088-94E8-90D1FF4E09C6}"/>
    <cellStyle name="Millares 5 11 3" xfId="351" xr:uid="{01DF78D0-080F-4FE3-91D8-FEE76FDC2CA7}"/>
    <cellStyle name="Millares 5 12" xfId="352" xr:uid="{06366FE5-7213-4964-9E42-7656B8C56EC4}"/>
    <cellStyle name="Millares 5 12 2" xfId="353" xr:uid="{142CE8DF-29CD-4964-AD07-3FE2001BCD7E}"/>
    <cellStyle name="Millares 5 12 2 2" xfId="354" xr:uid="{B70233D9-2CD0-40FD-B165-8780A7E0BB70}"/>
    <cellStyle name="Millares 5 12 3" xfId="355" xr:uid="{6813C942-3E58-4547-8FDF-7FC488DC3F83}"/>
    <cellStyle name="Millares 5 13" xfId="356" xr:uid="{82726073-2D9D-4646-BBA7-8548A810FD36}"/>
    <cellStyle name="Millares 5 13 2" xfId="357" xr:uid="{98253955-9D33-4A2B-94CF-C1E9BB294214}"/>
    <cellStyle name="Millares 5 13 2 2" xfId="358" xr:uid="{647C23BB-C944-46BF-915D-9202FBBA7AE4}"/>
    <cellStyle name="Millares 5 13 3" xfId="359" xr:uid="{54400FFD-3A89-4267-AD21-0866597559BC}"/>
    <cellStyle name="Millares 5 14" xfId="360" xr:uid="{8518DFD6-D5FF-453D-9FC7-009A4CD9A41F}"/>
    <cellStyle name="Millares 5 14 2" xfId="361" xr:uid="{C1E55530-4251-4729-B210-AAA6B0C76BEE}"/>
    <cellStyle name="Millares 5 14 2 2" xfId="362" xr:uid="{50496A9C-8C82-46F7-A206-C57CF36748B8}"/>
    <cellStyle name="Millares 5 14 3" xfId="363" xr:uid="{9C278278-2DE2-4DE9-89FD-CF6D1961E9D7}"/>
    <cellStyle name="Millares 5 15" xfId="364" xr:uid="{E57555BB-AC51-48BC-B123-1A8233A768FF}"/>
    <cellStyle name="Millares 5 15 2" xfId="365" xr:uid="{AF5BA15F-2D4B-4292-A64A-02AD2905FADF}"/>
    <cellStyle name="Millares 5 16" xfId="366" xr:uid="{B7353523-94F6-42D6-AE5B-ED3EA15B4A46}"/>
    <cellStyle name="Millares 5 17" xfId="367" xr:uid="{C14FECF7-2332-4CAE-B2D4-953322E37B3C}"/>
    <cellStyle name="Millares 5 2" xfId="44" xr:uid="{035BE511-BF3A-4E66-9CAB-D64797033A67}"/>
    <cellStyle name="Millares 5 2 10" xfId="368" xr:uid="{F3F34CAE-FE3C-46FE-8450-07E3237CAD63}"/>
    <cellStyle name="Millares 5 2 10 2" xfId="369" xr:uid="{E8A8EFB0-1FA5-4DB7-ADB9-1FF078563109}"/>
    <cellStyle name="Millares 5 2 10 2 2" xfId="370" xr:uid="{2AA0E721-F548-46DE-BF46-6B67A5ED7BE4}"/>
    <cellStyle name="Millares 5 2 10 3" xfId="371" xr:uid="{618B4A6A-AD07-44B5-B36B-0315CAA85030}"/>
    <cellStyle name="Millares 5 2 11" xfId="372" xr:uid="{33493E1B-48C6-4FED-930F-CD5858E0748F}"/>
    <cellStyle name="Millares 5 2 11 2" xfId="373" xr:uid="{8CD086A8-00FB-433F-9D02-C78388B403DE}"/>
    <cellStyle name="Millares 5 2 12" xfId="374" xr:uid="{40B9770C-68B2-493B-8E7A-75B3B89A5A0F}"/>
    <cellStyle name="Millares 5 2 13" xfId="375" xr:uid="{10C4F317-483A-48E4-AC14-88296E121490}"/>
    <cellStyle name="Millares 5 2 2" xfId="376" xr:uid="{E753D6E2-F2FC-4DE0-9577-39609DC47F70}"/>
    <cellStyle name="Millares 5 2 2 2" xfId="377" xr:uid="{C1F1790A-83D6-41F8-B3F7-EA66BD9331F3}"/>
    <cellStyle name="Millares 5 2 2 2 2" xfId="378" xr:uid="{91C44012-19DE-4327-8470-3D5EF4005135}"/>
    <cellStyle name="Millares 5 2 2 2 2 2" xfId="379" xr:uid="{FB0C3CDA-7457-44E9-8600-BEA43626312C}"/>
    <cellStyle name="Millares 5 2 2 2 3" xfId="380" xr:uid="{DB34E182-B6C3-4DEC-B0B2-A53C5774D933}"/>
    <cellStyle name="Millares 5 2 2 3" xfId="381" xr:uid="{50D991DC-A711-4E53-89DE-90CE63D664F8}"/>
    <cellStyle name="Millares 5 2 2 3 2" xfId="382" xr:uid="{E8892E76-4CC1-479A-B79D-7E1963D643C2}"/>
    <cellStyle name="Millares 5 2 2 3 2 2" xfId="383" xr:uid="{EB327098-FEE6-4D95-A664-42BF23BFAE06}"/>
    <cellStyle name="Millares 5 2 2 3 3" xfId="384" xr:uid="{1F720269-C2E9-4279-B13E-6449DD5D2F07}"/>
    <cellStyle name="Millares 5 2 2 4" xfId="385" xr:uid="{73A4CD95-7031-4BA7-9981-54ACF3EF0949}"/>
    <cellStyle name="Millares 5 2 2 4 2" xfId="386" xr:uid="{F0DEEA49-43B7-4B17-8139-5DE57C0EF5D8}"/>
    <cellStyle name="Millares 5 2 2 4 2 2" xfId="387" xr:uid="{88D22B9E-8567-44DB-B4B5-EBEF057C9A27}"/>
    <cellStyle name="Millares 5 2 2 4 3" xfId="388" xr:uid="{29A0ADF1-D15B-48C9-982E-20AAA7656437}"/>
    <cellStyle name="Millares 5 2 2 5" xfId="389" xr:uid="{46E00F80-B306-42CE-9B67-153F0F96C4D9}"/>
    <cellStyle name="Millares 5 2 2 5 2" xfId="390" xr:uid="{49D51997-4D12-4AE1-97FE-4641547395ED}"/>
    <cellStyle name="Millares 5 2 2 5 2 2" xfId="391" xr:uid="{B783FE07-3AEC-44E2-9FD7-A0C91C6B4113}"/>
    <cellStyle name="Millares 5 2 2 5 3" xfId="392" xr:uid="{8A7B706F-B2F8-4FB5-9558-A6B73D33B84E}"/>
    <cellStyle name="Millares 5 2 2 6" xfId="393" xr:uid="{0EC2365A-E71D-44FE-8661-CC936F152CA0}"/>
    <cellStyle name="Millares 5 2 2 6 2" xfId="394" xr:uid="{79A0C7ED-1D98-471D-B271-AFC930C53C1A}"/>
    <cellStyle name="Millares 5 2 2 6 2 2" xfId="395" xr:uid="{1737C5C4-470F-4E91-BF58-21EACB0639E2}"/>
    <cellStyle name="Millares 5 2 2 6 3" xfId="396" xr:uid="{52BA860A-67D9-4F99-A527-93E8CDD7180B}"/>
    <cellStyle name="Millares 5 2 2 7" xfId="397" xr:uid="{546F6A4D-B028-467D-A39E-5C7719C42784}"/>
    <cellStyle name="Millares 5 2 2 7 2" xfId="398" xr:uid="{86BD325C-5D57-47CC-AEE8-57356C3C7A20}"/>
    <cellStyle name="Millares 5 2 2 8" xfId="399" xr:uid="{24F522DC-36E7-40F0-9819-8B8880BBC1F0}"/>
    <cellStyle name="Millares 5 2 2 9" xfId="400" xr:uid="{B7883E5D-F21C-4045-B399-6A63E2D1209B}"/>
    <cellStyle name="Millares 5 2 3" xfId="401" xr:uid="{A4DDCFE1-CD32-4090-A10B-CFD35450857C}"/>
    <cellStyle name="Millares 5 2 3 2" xfId="402" xr:uid="{485B1B15-8A5C-4C68-8F0A-4AF270DF78C5}"/>
    <cellStyle name="Millares 5 2 3 2 2" xfId="403" xr:uid="{FFE24224-C5A3-4014-8A8A-ED5FC5B9E094}"/>
    <cellStyle name="Millares 5 2 3 2 2 2" xfId="404" xr:uid="{80726918-6935-465A-A86D-F4EA76698B44}"/>
    <cellStyle name="Millares 5 2 3 2 3" xfId="405" xr:uid="{915DBCAF-8784-4F36-88DA-CD15A204F1C4}"/>
    <cellStyle name="Millares 5 2 3 3" xfId="406" xr:uid="{8320EEF2-F2EB-4B2A-B3C8-43143EB283F0}"/>
    <cellStyle name="Millares 5 2 3 3 2" xfId="407" xr:uid="{A4BD26C9-31E2-4B7D-AD1D-99F644A863CF}"/>
    <cellStyle name="Millares 5 2 3 3 2 2" xfId="408" xr:uid="{699EA859-0FE4-448F-8C30-8E8E237522F9}"/>
    <cellStyle name="Millares 5 2 3 3 3" xfId="409" xr:uid="{36E11EE3-59FC-4829-B153-7B5594911072}"/>
    <cellStyle name="Millares 5 2 3 4" xfId="410" xr:uid="{18E784B0-6F46-4ECE-A7C3-D7AE9B13676D}"/>
    <cellStyle name="Millares 5 2 3 4 2" xfId="411" xr:uid="{88E0023E-8615-4DDC-8AA5-BDEF33ABC0A9}"/>
    <cellStyle name="Millares 5 2 3 4 2 2" xfId="412" xr:uid="{D310105F-A18C-474A-B98D-B5E007DB0004}"/>
    <cellStyle name="Millares 5 2 3 4 3" xfId="413" xr:uid="{7B31A9AA-D987-4765-8F7D-D20E060ACCCA}"/>
    <cellStyle name="Millares 5 2 3 5" xfId="414" xr:uid="{E08E6648-4666-4A0D-9B46-9F2E0BA25951}"/>
    <cellStyle name="Millares 5 2 3 5 2" xfId="415" xr:uid="{7BFB9AA2-42A5-4E8F-B053-E0FC4E03BD21}"/>
    <cellStyle name="Millares 5 2 3 5 2 2" xfId="416" xr:uid="{76311AA6-73ED-46D2-BF5F-A165A6096562}"/>
    <cellStyle name="Millares 5 2 3 5 3" xfId="417" xr:uid="{390638F6-768E-4DC6-A12D-DF293E3CA713}"/>
    <cellStyle name="Millares 5 2 3 6" xfId="418" xr:uid="{7308ACA1-55B4-4EFC-9970-0C9AA39E7BDC}"/>
    <cellStyle name="Millares 5 2 3 6 2" xfId="419" xr:uid="{348B5DC6-4506-4846-AA4E-3E11A4A9F9B0}"/>
    <cellStyle name="Millares 5 2 3 6 2 2" xfId="420" xr:uid="{E59C848E-8447-4D31-B6BB-5B8EA9275ED8}"/>
    <cellStyle name="Millares 5 2 3 6 3" xfId="421" xr:uid="{16812856-A019-49BE-AE8D-AC64918FE385}"/>
    <cellStyle name="Millares 5 2 3 7" xfId="422" xr:uid="{7E1A2F3B-F67D-402D-8CFC-7CBE34B86A40}"/>
    <cellStyle name="Millares 5 2 3 7 2" xfId="423" xr:uid="{2F79037F-8303-4A4B-872C-9D33102FAC48}"/>
    <cellStyle name="Millares 5 2 3 8" xfId="424" xr:uid="{A6811277-9A1F-4ACC-ACCD-F35F732E35C7}"/>
    <cellStyle name="Millares 5 2 4" xfId="425" xr:uid="{B950DB17-A772-47E3-83FD-AD9ABFF73763}"/>
    <cellStyle name="Millares 5 2 4 2" xfId="426" xr:uid="{D431CC75-E4C3-4972-A01D-B0C62E7E1BDF}"/>
    <cellStyle name="Millares 5 2 4 2 2" xfId="427" xr:uid="{0E9575EF-912C-493C-8525-1322A0F1648F}"/>
    <cellStyle name="Millares 5 2 4 2 2 2" xfId="428" xr:uid="{3F4F41EF-F9CC-4AE2-B305-53186140B1B4}"/>
    <cellStyle name="Millares 5 2 4 2 3" xfId="429" xr:uid="{5D640658-765D-4B96-97D0-4D30C0E66AE8}"/>
    <cellStyle name="Millares 5 2 4 3" xfId="430" xr:uid="{9890D6C8-584A-4ABB-ACA9-4D593922908A}"/>
    <cellStyle name="Millares 5 2 4 3 2" xfId="431" xr:uid="{8A4C29ED-56D2-46B1-B9EB-111E468EFEB8}"/>
    <cellStyle name="Millares 5 2 4 3 2 2" xfId="432" xr:uid="{86A5C5C2-7BDC-4140-B15A-A324477A0BC7}"/>
    <cellStyle name="Millares 5 2 4 3 3" xfId="433" xr:uid="{EE02E6F1-EAA8-48C8-BA84-C02D1815D9AE}"/>
    <cellStyle name="Millares 5 2 4 4" xfId="434" xr:uid="{26764D5A-59B7-43F6-87F7-14CFBFD48658}"/>
    <cellStyle name="Millares 5 2 4 4 2" xfId="435" xr:uid="{1F91510C-812E-4CC7-93BE-F28D8A9031B7}"/>
    <cellStyle name="Millares 5 2 4 4 2 2" xfId="436" xr:uid="{3054DC10-ABC9-464E-B320-E928C3690572}"/>
    <cellStyle name="Millares 5 2 4 4 3" xfId="437" xr:uid="{2C4C760B-176A-4EC2-A112-F16AD42E9880}"/>
    <cellStyle name="Millares 5 2 4 5" xfId="438" xr:uid="{54EA0F70-9D93-4E69-BE03-FE042AF91C01}"/>
    <cellStyle name="Millares 5 2 4 5 2" xfId="439" xr:uid="{366B9006-41B1-4FE7-BB89-DDB8FEEB04F0}"/>
    <cellStyle name="Millares 5 2 4 5 2 2" xfId="440" xr:uid="{39179081-EBE6-4F35-9B9A-83A9B6380E48}"/>
    <cellStyle name="Millares 5 2 4 5 3" xfId="441" xr:uid="{FD0C97B8-EF56-4A09-82AE-EA9E1370DA43}"/>
    <cellStyle name="Millares 5 2 4 6" xfId="442" xr:uid="{79CD40AD-4E17-4DF8-B16C-520B4D3A710D}"/>
    <cellStyle name="Millares 5 2 4 6 2" xfId="443" xr:uid="{0B14284C-4449-4D17-B6CA-4A36299B11E7}"/>
    <cellStyle name="Millares 5 2 4 6 2 2" xfId="444" xr:uid="{5D111A3B-B366-43C3-B7E8-71BB8F9CCF51}"/>
    <cellStyle name="Millares 5 2 4 6 3" xfId="445" xr:uid="{5961D7CA-84BA-446D-8EAD-9BF971C8204E}"/>
    <cellStyle name="Millares 5 2 4 7" xfId="446" xr:uid="{7974BBF5-816A-4E35-8642-972DB72131B6}"/>
    <cellStyle name="Millares 5 2 4 7 2" xfId="447" xr:uid="{3DC11280-13EB-4AE6-B7C5-63B4CD19BD4C}"/>
    <cellStyle name="Millares 5 2 4 8" xfId="448" xr:uid="{F96A6DF1-12E4-423E-848E-99FA18D72B39}"/>
    <cellStyle name="Millares 5 2 5" xfId="449" xr:uid="{AC65A30D-CF43-4ABE-9A83-1DDF57A83F24}"/>
    <cellStyle name="Millares 5 2 5 2" xfId="450" xr:uid="{1C2ECAC5-2A2F-4EAE-961B-15A309BC187C}"/>
    <cellStyle name="Millares 5 2 5 2 2" xfId="451" xr:uid="{67725EB3-23ED-4F8A-A0F5-30D18ED5F951}"/>
    <cellStyle name="Millares 5 2 5 3" xfId="452" xr:uid="{70FC2CB4-6BE9-4F55-8F68-EF4ECFAD51FF}"/>
    <cellStyle name="Millares 5 2 6" xfId="453" xr:uid="{CE2CB9E7-86F5-49A3-A2A1-1F0C22E0A265}"/>
    <cellStyle name="Millares 5 2 6 2" xfId="454" xr:uid="{4D86AC48-1A82-40E1-B3DD-59FF8AD2DBF2}"/>
    <cellStyle name="Millares 5 2 6 2 2" xfId="455" xr:uid="{701F2877-9ABD-43F0-9034-352FC1605547}"/>
    <cellStyle name="Millares 5 2 6 3" xfId="456" xr:uid="{9F627AE9-D56E-436C-8780-16AC257549FC}"/>
    <cellStyle name="Millares 5 2 7" xfId="457" xr:uid="{EC8CD7C9-6F9E-41EA-81C4-385D968E55AC}"/>
    <cellStyle name="Millares 5 2 7 2" xfId="458" xr:uid="{DC012523-D3F6-48E7-9566-A5CC5B1A9313}"/>
    <cellStyle name="Millares 5 2 7 2 2" xfId="459" xr:uid="{61B8C82F-B8BA-4FA4-B92B-1AFFF0796A84}"/>
    <cellStyle name="Millares 5 2 7 3" xfId="460" xr:uid="{0B597C36-FE75-4F85-A6F6-5183BFFEB01E}"/>
    <cellStyle name="Millares 5 2 8" xfId="461" xr:uid="{DF02470A-50A4-49A9-B490-4376557E9286}"/>
    <cellStyle name="Millares 5 2 8 2" xfId="462" xr:uid="{8428CB31-C254-417A-931A-BA672C3C0A06}"/>
    <cellStyle name="Millares 5 2 8 2 2" xfId="463" xr:uid="{B3830A1A-7CAD-4FC8-B414-F44E1124A4F0}"/>
    <cellStyle name="Millares 5 2 8 3" xfId="464" xr:uid="{35450B63-EBDA-44D1-A3E3-8DF2D417CC76}"/>
    <cellStyle name="Millares 5 2 9" xfId="465" xr:uid="{56B6AE3C-526F-46AF-8A58-4BD138F2A0A4}"/>
    <cellStyle name="Millares 5 2 9 2" xfId="466" xr:uid="{ABAF8509-CF45-459A-867F-6A871DC38DF5}"/>
    <cellStyle name="Millares 5 2 9 2 2" xfId="467" xr:uid="{EA6BC876-B529-4008-BFD7-1632BE44EC1A}"/>
    <cellStyle name="Millares 5 2 9 3" xfId="468" xr:uid="{F6C0808C-E8E8-4860-864E-390F5710ECCF}"/>
    <cellStyle name="Millares 5 3" xfId="45" xr:uid="{474C57CA-246A-4FF9-A964-C59964B986A8}"/>
    <cellStyle name="Millares 5 3 10" xfId="469" xr:uid="{C899490B-536A-4409-8511-7D7C2A54BED1}"/>
    <cellStyle name="Millares 5 3 10 2" xfId="470" xr:uid="{50DA3307-6779-40CF-9FEE-7B81BE96AA6D}"/>
    <cellStyle name="Millares 5 3 10 2 2" xfId="471" xr:uid="{B399553A-117F-4579-85B1-BEBB671EF957}"/>
    <cellStyle name="Millares 5 3 10 3" xfId="472" xr:uid="{B28E87AB-5244-4BDA-94BE-8603150C6CD2}"/>
    <cellStyle name="Millares 5 3 11" xfId="473" xr:uid="{2BCA0780-B56F-4EAD-9215-7F60D345C31C}"/>
    <cellStyle name="Millares 5 3 11 2" xfId="474" xr:uid="{75F141B9-D3B3-4C46-A883-E0D83BE3C4F3}"/>
    <cellStyle name="Millares 5 3 12" xfId="475" xr:uid="{A894BE67-C3E2-4F32-8A3E-CB1BADD05AE3}"/>
    <cellStyle name="Millares 5 3 13" xfId="476" xr:uid="{2DE03458-DD19-4028-A0D4-E0EC51F6DBA6}"/>
    <cellStyle name="Millares 5 3 2" xfId="477" xr:uid="{FF98A1C2-E20B-4F46-9BEB-7BF400AFAFBA}"/>
    <cellStyle name="Millares 5 3 2 2" xfId="478" xr:uid="{5862ED9D-7B7A-4B3E-B8F3-4D2B55429DEE}"/>
    <cellStyle name="Millares 5 3 2 2 2" xfId="479" xr:uid="{0F7731B1-2938-4C32-972D-9627988CDF8B}"/>
    <cellStyle name="Millares 5 3 2 2 2 2" xfId="480" xr:uid="{3DED5357-4DCD-4FBB-9491-F6B10F88D46A}"/>
    <cellStyle name="Millares 5 3 2 2 3" xfId="481" xr:uid="{B406FE5D-4FE3-440F-8C6B-9E81C775BC4E}"/>
    <cellStyle name="Millares 5 3 2 3" xfId="482" xr:uid="{61E60339-6161-4A45-BC54-F0363482B38A}"/>
    <cellStyle name="Millares 5 3 2 3 2" xfId="483" xr:uid="{0155F526-44D3-48D0-B62C-67C324E2DE50}"/>
    <cellStyle name="Millares 5 3 2 3 2 2" xfId="484" xr:uid="{0A8E0E84-1B7E-47AC-A782-1D368EEE8784}"/>
    <cellStyle name="Millares 5 3 2 3 3" xfId="485" xr:uid="{E3F83BB4-E565-4FA6-86D3-D75532BA1AE3}"/>
    <cellStyle name="Millares 5 3 2 4" xfId="486" xr:uid="{DAC3CB6C-5A89-4458-BA59-C7DA84811F53}"/>
    <cellStyle name="Millares 5 3 2 4 2" xfId="487" xr:uid="{B2795E78-DC68-40D4-A740-C07F4EF3F201}"/>
    <cellStyle name="Millares 5 3 2 4 2 2" xfId="488" xr:uid="{0456F78E-00E6-4AF4-8B13-BECF2E5CA3FC}"/>
    <cellStyle name="Millares 5 3 2 4 3" xfId="489" xr:uid="{A8C78833-2583-423E-8FEF-601FD506E747}"/>
    <cellStyle name="Millares 5 3 2 5" xfId="490" xr:uid="{59D893D3-C2DB-46E6-8E08-08CFD0DBEA0B}"/>
    <cellStyle name="Millares 5 3 2 5 2" xfId="491" xr:uid="{31039198-DA1E-4E91-BB90-48A126C93918}"/>
    <cellStyle name="Millares 5 3 2 5 2 2" xfId="492" xr:uid="{C6D25C72-7328-44B2-9ADD-237364669472}"/>
    <cellStyle name="Millares 5 3 2 5 3" xfId="493" xr:uid="{C2F6E06D-8B77-412B-BCF4-BE5257396A0E}"/>
    <cellStyle name="Millares 5 3 2 6" xfId="494" xr:uid="{07122A9C-723B-43B8-82BF-A2148A00772B}"/>
    <cellStyle name="Millares 5 3 2 6 2" xfId="495" xr:uid="{47B6FCAC-FEC5-40BD-A5F9-7164CD298F77}"/>
    <cellStyle name="Millares 5 3 2 6 2 2" xfId="496" xr:uid="{2B2FDDFD-390A-453B-89D8-E019CFFC6420}"/>
    <cellStyle name="Millares 5 3 2 6 3" xfId="497" xr:uid="{9BC947ED-8D9A-4BC8-92D8-8C252F07D668}"/>
    <cellStyle name="Millares 5 3 2 7" xfId="498" xr:uid="{82462203-6406-4359-8225-7B2DFD4E1468}"/>
    <cellStyle name="Millares 5 3 2 7 2" xfId="499" xr:uid="{42752400-80EE-4364-889B-63075464BEDD}"/>
    <cellStyle name="Millares 5 3 2 8" xfId="500" xr:uid="{C931701F-65DC-4CEA-97FC-D2C288B62AC7}"/>
    <cellStyle name="Millares 5 3 2 9" xfId="501" xr:uid="{FF3954F7-62FA-4479-84E6-4C84D6E459FA}"/>
    <cellStyle name="Millares 5 3 3" xfId="502" xr:uid="{8985245F-0F51-4555-88C0-087809085048}"/>
    <cellStyle name="Millares 5 3 3 2" xfId="503" xr:uid="{D51712AE-D90A-467E-95D5-3DCD8F1F0A63}"/>
    <cellStyle name="Millares 5 3 3 2 2" xfId="504" xr:uid="{DC8A772E-3A48-4DF8-93F0-0D701285C1A4}"/>
    <cellStyle name="Millares 5 3 3 2 2 2" xfId="505" xr:uid="{6FB3416A-B847-4655-B371-FF81C74CE65B}"/>
    <cellStyle name="Millares 5 3 3 2 3" xfId="506" xr:uid="{C3C0922D-0045-4EF7-BF62-4DF69143BB25}"/>
    <cellStyle name="Millares 5 3 3 3" xfId="507" xr:uid="{533CB957-20EE-44A8-90F8-339F56726256}"/>
    <cellStyle name="Millares 5 3 3 3 2" xfId="508" xr:uid="{6C1572F9-B533-4168-98E6-40BBF5936163}"/>
    <cellStyle name="Millares 5 3 3 3 2 2" xfId="509" xr:uid="{519CDFBE-F13D-439A-BE24-A7BA6ABD1EC3}"/>
    <cellStyle name="Millares 5 3 3 3 3" xfId="510" xr:uid="{48BEF12F-BB9D-4162-A8B3-F27936C0CC34}"/>
    <cellStyle name="Millares 5 3 3 4" xfId="511" xr:uid="{B3A0A265-C038-4455-A334-CC8DB8535CF2}"/>
    <cellStyle name="Millares 5 3 3 4 2" xfId="512" xr:uid="{BBA5622C-98C6-40F7-B4D7-FEA1B0DBF418}"/>
    <cellStyle name="Millares 5 3 3 4 2 2" xfId="513" xr:uid="{EB932581-6DEE-407D-922E-CD7B02616420}"/>
    <cellStyle name="Millares 5 3 3 4 3" xfId="514" xr:uid="{142751FA-F1E7-4EE3-8743-C01485C0CD71}"/>
    <cellStyle name="Millares 5 3 3 5" xfId="515" xr:uid="{6E02A2F6-7F11-4BA5-BAD8-6AA34AFC8054}"/>
    <cellStyle name="Millares 5 3 3 5 2" xfId="516" xr:uid="{C9E0474F-1C9E-4687-8102-EFB96AF6D83E}"/>
    <cellStyle name="Millares 5 3 3 5 2 2" xfId="517" xr:uid="{FD6FBA28-CBD6-4CB2-912E-DBCF27FE12D2}"/>
    <cellStyle name="Millares 5 3 3 5 3" xfId="518" xr:uid="{B4BFD51A-9AD5-4E1A-A513-C3931C77ADDC}"/>
    <cellStyle name="Millares 5 3 3 6" xfId="519" xr:uid="{7851FBD0-E9BB-40B9-9A3E-409E497CFF00}"/>
    <cellStyle name="Millares 5 3 3 6 2" xfId="520" xr:uid="{14E248B9-A4F3-4666-B3A1-190819636E3B}"/>
    <cellStyle name="Millares 5 3 3 6 2 2" xfId="521" xr:uid="{A1B57D9C-8EF9-463A-91F7-332CB5493E86}"/>
    <cellStyle name="Millares 5 3 3 6 3" xfId="522" xr:uid="{BCA5A3DB-9814-4B49-A9DD-4353C5F88610}"/>
    <cellStyle name="Millares 5 3 3 7" xfId="523" xr:uid="{BAC7608E-B4EA-4B57-890D-BD6C51758936}"/>
    <cellStyle name="Millares 5 3 3 7 2" xfId="524" xr:uid="{3270BA6A-63EE-4D4B-B79E-1CFEDEFE5C30}"/>
    <cellStyle name="Millares 5 3 3 8" xfId="525" xr:uid="{A34B0F77-57F7-48E8-9E18-8FD534486AC0}"/>
    <cellStyle name="Millares 5 3 4" xfId="526" xr:uid="{8F9F90B9-27AC-45B8-9C47-BE2CAFB0D41A}"/>
    <cellStyle name="Millares 5 3 4 2" xfId="527" xr:uid="{CF0F7CA7-7D1D-474B-89A3-57BA24376117}"/>
    <cellStyle name="Millares 5 3 4 2 2" xfId="528" xr:uid="{70B26A8C-3D67-40EF-A4CE-87E208B5E09B}"/>
    <cellStyle name="Millares 5 3 4 2 2 2" xfId="529" xr:uid="{18E37D9D-D421-4D09-9C00-FC6B0699AD95}"/>
    <cellStyle name="Millares 5 3 4 2 3" xfId="530" xr:uid="{BE762084-F9EB-4712-A24E-067B56456809}"/>
    <cellStyle name="Millares 5 3 4 3" xfId="531" xr:uid="{9D017C2F-400A-4900-B2B8-628BDBF9061D}"/>
    <cellStyle name="Millares 5 3 4 3 2" xfId="532" xr:uid="{85F00CF4-87FC-4529-894E-C146AD7D4149}"/>
    <cellStyle name="Millares 5 3 4 3 2 2" xfId="533" xr:uid="{22CE0C36-8988-46B9-AB95-0C72D957F10B}"/>
    <cellStyle name="Millares 5 3 4 3 3" xfId="534" xr:uid="{039BD311-F0C4-45CD-90EB-8E3BE0A593BF}"/>
    <cellStyle name="Millares 5 3 4 4" xfId="535" xr:uid="{17316C7E-FD98-4D2E-8D49-5F6637D1B1F3}"/>
    <cellStyle name="Millares 5 3 4 4 2" xfId="536" xr:uid="{AFDA0F00-5CE4-4226-9AB0-A2F7B330A71D}"/>
    <cellStyle name="Millares 5 3 4 4 2 2" xfId="537" xr:uid="{8BFE88F1-A580-4857-95C0-EDFC52A89182}"/>
    <cellStyle name="Millares 5 3 4 4 3" xfId="538" xr:uid="{401C638A-3264-4A51-A439-48EDAEBE811E}"/>
    <cellStyle name="Millares 5 3 4 5" xfId="539" xr:uid="{B8ABE304-DBDE-4123-A917-08B34143E1EE}"/>
    <cellStyle name="Millares 5 3 4 5 2" xfId="540" xr:uid="{6301D804-FB8A-42DA-BD80-20131FB426A3}"/>
    <cellStyle name="Millares 5 3 4 5 2 2" xfId="541" xr:uid="{573C8AC8-EEC8-45F8-86E0-57E64BE9F490}"/>
    <cellStyle name="Millares 5 3 4 5 3" xfId="542" xr:uid="{DE07D1FA-19FB-4438-989A-79937C817601}"/>
    <cellStyle name="Millares 5 3 4 6" xfId="543" xr:uid="{CA43E4A5-F023-4859-970E-5ECA58A233E4}"/>
    <cellStyle name="Millares 5 3 4 6 2" xfId="544" xr:uid="{36295C67-74F0-4E4D-8B3B-726F20CCC68E}"/>
    <cellStyle name="Millares 5 3 4 6 2 2" xfId="545" xr:uid="{85E61086-AEEB-48EC-839F-9EC31B4C9FA7}"/>
    <cellStyle name="Millares 5 3 4 6 3" xfId="546" xr:uid="{E608D836-CA3F-411F-A4D9-F0CD9A857389}"/>
    <cellStyle name="Millares 5 3 4 7" xfId="547" xr:uid="{530D3E0E-1184-43E1-A3A6-3B5468135F78}"/>
    <cellStyle name="Millares 5 3 4 7 2" xfId="548" xr:uid="{A8FDF226-C192-4FC3-9069-6E188C2F8C77}"/>
    <cellStyle name="Millares 5 3 4 8" xfId="549" xr:uid="{321DE529-BED1-4CAB-B879-FA36C38EB52A}"/>
    <cellStyle name="Millares 5 3 5" xfId="550" xr:uid="{016946D9-9F20-4E22-9A73-F78B80DDD228}"/>
    <cellStyle name="Millares 5 3 5 2" xfId="551" xr:uid="{DBBAE987-C4A3-4EBA-9735-343735012849}"/>
    <cellStyle name="Millares 5 3 5 2 2" xfId="552" xr:uid="{4F385E04-68FF-4798-8745-D89282323242}"/>
    <cellStyle name="Millares 5 3 5 3" xfId="553" xr:uid="{2718560C-2C08-45DA-9BF0-1999C2109D4E}"/>
    <cellStyle name="Millares 5 3 6" xfId="554" xr:uid="{67FD99A9-8F96-44DD-8BF8-FFD05A0DA8D1}"/>
    <cellStyle name="Millares 5 3 6 2" xfId="555" xr:uid="{FC274749-A347-41B0-B014-BF2D655AE172}"/>
    <cellStyle name="Millares 5 3 6 2 2" xfId="556" xr:uid="{6B852772-8204-42EF-ADC5-1B3BE37F553E}"/>
    <cellStyle name="Millares 5 3 6 3" xfId="557" xr:uid="{4AB6A10E-A9DD-4FD6-949F-7DD27B0D3BB3}"/>
    <cellStyle name="Millares 5 3 7" xfId="558" xr:uid="{731BD587-27CA-44C1-BB75-74077E7817A0}"/>
    <cellStyle name="Millares 5 3 7 2" xfId="559" xr:uid="{FF380754-AA33-427E-86BF-491BE6307288}"/>
    <cellStyle name="Millares 5 3 7 2 2" xfId="560" xr:uid="{C195E773-C4C5-4689-9C46-A56165460E64}"/>
    <cellStyle name="Millares 5 3 7 3" xfId="561" xr:uid="{BD89F4C4-87A9-4CD9-9983-527B5872A704}"/>
    <cellStyle name="Millares 5 3 8" xfId="562" xr:uid="{AA1450D5-1CC8-4CAC-822B-16BF96714396}"/>
    <cellStyle name="Millares 5 3 8 2" xfId="563" xr:uid="{422D3D18-ACA6-4339-962F-99C85FE0C41F}"/>
    <cellStyle name="Millares 5 3 8 2 2" xfId="564" xr:uid="{DBDC76CC-9470-4C92-9CFF-4C222C628E4E}"/>
    <cellStyle name="Millares 5 3 8 3" xfId="565" xr:uid="{62AC8947-0492-4AC3-A4F0-B64343B32A8B}"/>
    <cellStyle name="Millares 5 3 9" xfId="566" xr:uid="{91A9539A-F4AC-4CA7-B1B3-D1481FD17277}"/>
    <cellStyle name="Millares 5 3 9 2" xfId="567" xr:uid="{33EFCFA8-AB58-4177-A550-833FA7AAC51A}"/>
    <cellStyle name="Millares 5 3 9 2 2" xfId="568" xr:uid="{BE6837A1-D058-4C8D-9032-26BB11967B90}"/>
    <cellStyle name="Millares 5 3 9 3" xfId="569" xr:uid="{AE7AD707-E0E7-4C5E-9C2F-4E041F33B60F}"/>
    <cellStyle name="Millares 5 4" xfId="46" xr:uid="{BFA37BE5-B285-4F05-912F-33C4315BFDD7}"/>
    <cellStyle name="Millares 5 4 10" xfId="570" xr:uid="{6FE0FCE9-D855-4E44-9EB0-CD47DCD5B387}"/>
    <cellStyle name="Millares 5 4 10 2" xfId="571" xr:uid="{8382A1C9-63B8-4AE0-ACD6-C7AD7BDE08ED}"/>
    <cellStyle name="Millares 5 4 10 2 2" xfId="572" xr:uid="{85E63905-7463-4397-9E9B-1E82A6032825}"/>
    <cellStyle name="Millares 5 4 10 3" xfId="573" xr:uid="{29EAB9D9-A52D-49DB-87DF-4DE14254BF21}"/>
    <cellStyle name="Millares 5 4 11" xfId="574" xr:uid="{8FDCFC13-E729-410A-A962-2346EE8F85A7}"/>
    <cellStyle name="Millares 5 4 11 2" xfId="575" xr:uid="{89EDF3A6-03A0-4CE4-B3B0-C9925604AC2D}"/>
    <cellStyle name="Millares 5 4 12" xfId="576" xr:uid="{5FDB292E-3E7F-4586-B9C0-7BA58227BE69}"/>
    <cellStyle name="Millares 5 4 13" xfId="577" xr:uid="{658B88FF-EE14-492B-92B7-FE50896BE3D1}"/>
    <cellStyle name="Millares 5 4 2" xfId="578" xr:uid="{697253B8-7176-41FE-8CBB-F87A7DB4D0D7}"/>
    <cellStyle name="Millares 5 4 2 2" xfId="579" xr:uid="{1B0C8600-CE4D-4BC9-A057-DC720AE4217C}"/>
    <cellStyle name="Millares 5 4 2 2 2" xfId="580" xr:uid="{8805864A-218A-4F9D-B0F4-C9568C2DF258}"/>
    <cellStyle name="Millares 5 4 2 2 2 2" xfId="581" xr:uid="{823246DA-7804-4EF8-BA2D-A1E0913E8304}"/>
    <cellStyle name="Millares 5 4 2 2 3" xfId="582" xr:uid="{4CEEB30D-92B7-4E86-8F34-48E7D7055F76}"/>
    <cellStyle name="Millares 5 4 2 3" xfId="583" xr:uid="{0BE02171-2AD0-4A69-A62B-1E62AF71FB57}"/>
    <cellStyle name="Millares 5 4 2 3 2" xfId="584" xr:uid="{4FE48B31-6851-4572-A6F3-6BC1BB628C0C}"/>
    <cellStyle name="Millares 5 4 2 3 2 2" xfId="585" xr:uid="{0AA945D9-F095-4F77-AA45-3DD9C0112979}"/>
    <cellStyle name="Millares 5 4 2 3 3" xfId="586" xr:uid="{9026F74B-DDA6-451C-9000-24ACBF14D314}"/>
    <cellStyle name="Millares 5 4 2 4" xfId="587" xr:uid="{87A59ACB-C189-404C-99D3-0D631565F743}"/>
    <cellStyle name="Millares 5 4 2 4 2" xfId="588" xr:uid="{3C331779-27ED-4CE3-8717-D84E2FF37705}"/>
    <cellStyle name="Millares 5 4 2 4 2 2" xfId="589" xr:uid="{6E5EF6A9-960A-428A-83BE-F08A6D247079}"/>
    <cellStyle name="Millares 5 4 2 4 3" xfId="590" xr:uid="{5FBB97E9-6337-405B-8ACD-0A1403CB20AC}"/>
    <cellStyle name="Millares 5 4 2 5" xfId="591" xr:uid="{BD94DB14-2A7E-4698-9572-61ECF39D8E9C}"/>
    <cellStyle name="Millares 5 4 2 5 2" xfId="592" xr:uid="{E9AFAFC4-1075-4FF1-AA73-FFAB11641C40}"/>
    <cellStyle name="Millares 5 4 2 5 2 2" xfId="593" xr:uid="{5D0EE505-60B4-4DD1-B0EB-EFB078C1143C}"/>
    <cellStyle name="Millares 5 4 2 5 3" xfId="594" xr:uid="{CBE8494E-8082-4E32-9033-6B9DF9E2F670}"/>
    <cellStyle name="Millares 5 4 2 6" xfId="595" xr:uid="{1EDE1D9D-AA8F-4AF9-BD7E-C904DA52071A}"/>
    <cellStyle name="Millares 5 4 2 6 2" xfId="596" xr:uid="{0F650FE1-A8BE-4C07-AD65-679A2CA54FEB}"/>
    <cellStyle name="Millares 5 4 2 6 2 2" xfId="597" xr:uid="{9954A066-4678-4A12-B8D7-E71F4D9977F1}"/>
    <cellStyle name="Millares 5 4 2 6 3" xfId="598" xr:uid="{4286F7A5-B3B2-41A9-982B-1F5B9002DFF9}"/>
    <cellStyle name="Millares 5 4 2 7" xfId="599" xr:uid="{C321F812-209C-4221-912F-BC3969F7822D}"/>
    <cellStyle name="Millares 5 4 2 7 2" xfId="600" xr:uid="{39645C0A-0D9A-48CF-BC82-19605402A102}"/>
    <cellStyle name="Millares 5 4 2 8" xfId="601" xr:uid="{2F2F81E3-6465-4216-805B-6FD56680629A}"/>
    <cellStyle name="Millares 5 4 2 9" xfId="602" xr:uid="{BE21BA51-95BD-4CEB-A9E2-C21D225320FC}"/>
    <cellStyle name="Millares 5 4 3" xfId="603" xr:uid="{690143F9-1CAB-4A10-A928-94591A3865EB}"/>
    <cellStyle name="Millares 5 4 3 2" xfId="604" xr:uid="{876CA7A7-D5CA-445A-B6A2-1FD63B9999D4}"/>
    <cellStyle name="Millares 5 4 3 2 2" xfId="605" xr:uid="{83BAE8DB-F8C6-4809-BF1B-6D3091C00B56}"/>
    <cellStyle name="Millares 5 4 3 2 2 2" xfId="606" xr:uid="{3F613FE1-0D1B-46CD-B8AF-DAEE2405B7CC}"/>
    <cellStyle name="Millares 5 4 3 2 3" xfId="607" xr:uid="{F7B9A3C6-727A-4CDF-82A9-CBB8F1F93FEA}"/>
    <cellStyle name="Millares 5 4 3 3" xfId="608" xr:uid="{B288A419-74B4-4A86-A0B5-C7DC699CBEDB}"/>
    <cellStyle name="Millares 5 4 3 3 2" xfId="609" xr:uid="{7B51B586-B602-4EAE-B6D4-052BBDDD6099}"/>
    <cellStyle name="Millares 5 4 3 3 2 2" xfId="610" xr:uid="{85944317-9698-4E1B-AE7F-C4C82ECF3DB7}"/>
    <cellStyle name="Millares 5 4 3 3 3" xfId="611" xr:uid="{B43E9AB6-B7DC-49F4-ADDF-65E1A63E4A96}"/>
    <cellStyle name="Millares 5 4 3 4" xfId="612" xr:uid="{C3995217-C75C-4129-9CB2-1D3E15A80B70}"/>
    <cellStyle name="Millares 5 4 3 4 2" xfId="613" xr:uid="{ACA68F00-70EC-425B-B8B3-3075567177D9}"/>
    <cellStyle name="Millares 5 4 3 4 2 2" xfId="614" xr:uid="{607AB32A-898B-46D3-AD79-1740B61CDFC1}"/>
    <cellStyle name="Millares 5 4 3 4 3" xfId="615" xr:uid="{AD509238-A41D-46A6-8968-929D7AE297C9}"/>
    <cellStyle name="Millares 5 4 3 5" xfId="616" xr:uid="{60CE699B-B3A2-4187-BB87-1C979754E757}"/>
    <cellStyle name="Millares 5 4 3 5 2" xfId="617" xr:uid="{EE603B29-0435-492A-9988-3736CAE8CA2B}"/>
    <cellStyle name="Millares 5 4 3 5 2 2" xfId="618" xr:uid="{07E0C8E1-82A1-4186-90F5-45C3383605EF}"/>
    <cellStyle name="Millares 5 4 3 5 3" xfId="619" xr:uid="{5E864F59-8D9A-4DF0-A24B-1378B3D365F7}"/>
    <cellStyle name="Millares 5 4 3 6" xfId="620" xr:uid="{FE8829D0-5821-4821-8EE1-4BC8A56B3C55}"/>
    <cellStyle name="Millares 5 4 3 6 2" xfId="621" xr:uid="{0ED2DD50-09E1-456E-89C4-71587037C45A}"/>
    <cellStyle name="Millares 5 4 3 6 2 2" xfId="622" xr:uid="{9C4CB811-926B-4F29-8A20-9ED69B5A97D0}"/>
    <cellStyle name="Millares 5 4 3 6 3" xfId="623" xr:uid="{623AB443-6C5B-4515-964F-5F3251B52D1C}"/>
    <cellStyle name="Millares 5 4 3 7" xfId="624" xr:uid="{5B8501A3-ABB9-41C8-86D8-FB0A233D62A4}"/>
    <cellStyle name="Millares 5 4 3 7 2" xfId="625" xr:uid="{7365F784-D264-4A6C-B6D4-C3BFF6008847}"/>
    <cellStyle name="Millares 5 4 3 8" xfId="626" xr:uid="{1C4999BA-E0FD-4011-A4C0-49512266268D}"/>
    <cellStyle name="Millares 5 4 4" xfId="627" xr:uid="{D769091D-1967-40BE-84EC-781B02B89F7F}"/>
    <cellStyle name="Millares 5 4 4 2" xfId="628" xr:uid="{445B15F8-5CD9-4753-B2B7-F5AC3CE25D55}"/>
    <cellStyle name="Millares 5 4 4 2 2" xfId="629" xr:uid="{5C92ADBC-1A07-4B8E-B1B9-21F621A2424C}"/>
    <cellStyle name="Millares 5 4 4 2 2 2" xfId="630" xr:uid="{40C89FAD-14B1-48C3-AA8C-D7B08FD85899}"/>
    <cellStyle name="Millares 5 4 4 2 3" xfId="631" xr:uid="{C9C0F87A-B0FA-4977-87BF-39554DE872B1}"/>
    <cellStyle name="Millares 5 4 4 3" xfId="632" xr:uid="{57621993-0ED5-4BC5-B212-AB2B30DE80E5}"/>
    <cellStyle name="Millares 5 4 4 3 2" xfId="633" xr:uid="{3238B2E8-A96A-4A1E-8D25-15B80DF05E58}"/>
    <cellStyle name="Millares 5 4 4 3 2 2" xfId="634" xr:uid="{4CFE475E-4E17-428F-94D8-61152BE9C95E}"/>
    <cellStyle name="Millares 5 4 4 3 3" xfId="635" xr:uid="{E746AA52-ACA6-4E55-BA21-D5FCE170689E}"/>
    <cellStyle name="Millares 5 4 4 4" xfId="636" xr:uid="{07BEE38C-D9E0-4E95-B7B8-2A57E375A3FE}"/>
    <cellStyle name="Millares 5 4 4 4 2" xfId="637" xr:uid="{0E175D27-D9ED-4CE1-A844-AC376537AAE5}"/>
    <cellStyle name="Millares 5 4 4 4 2 2" xfId="638" xr:uid="{776CBECC-47B1-408F-8785-DCE24BB89A35}"/>
    <cellStyle name="Millares 5 4 4 4 3" xfId="639" xr:uid="{006238FD-3983-4C95-A659-236467F9B275}"/>
    <cellStyle name="Millares 5 4 4 5" xfId="640" xr:uid="{C622256C-FE21-42BB-AEEA-E82F56AB77F5}"/>
    <cellStyle name="Millares 5 4 4 5 2" xfId="641" xr:uid="{0374C2DF-5911-44D6-9AFC-879222CE1525}"/>
    <cellStyle name="Millares 5 4 4 5 2 2" xfId="642" xr:uid="{6CF34EF3-B2A9-49E7-9AFD-98B7D908F27A}"/>
    <cellStyle name="Millares 5 4 4 5 3" xfId="643" xr:uid="{375069C7-59AC-43B4-B598-4BA1D89398DD}"/>
    <cellStyle name="Millares 5 4 4 6" xfId="644" xr:uid="{27F72FD3-B43C-4295-81FE-B67013BA152E}"/>
    <cellStyle name="Millares 5 4 4 6 2" xfId="645" xr:uid="{C8C142D8-18D6-43B5-BD0D-4A1F9AAEC541}"/>
    <cellStyle name="Millares 5 4 4 6 2 2" xfId="646" xr:uid="{E5AAAA8B-C40E-40A2-ABE9-0C90286805B1}"/>
    <cellStyle name="Millares 5 4 4 6 3" xfId="647" xr:uid="{9D238A78-14D3-4BB6-A5D0-961AD85784B9}"/>
    <cellStyle name="Millares 5 4 4 7" xfId="648" xr:uid="{7178A9CD-F38F-4414-9866-7F758A9CA392}"/>
    <cellStyle name="Millares 5 4 4 7 2" xfId="649" xr:uid="{6C7900D6-9E52-4EFC-B994-AEB209A430BC}"/>
    <cellStyle name="Millares 5 4 4 8" xfId="650" xr:uid="{827EFDE5-307B-4C40-9714-5D25A814D1AE}"/>
    <cellStyle name="Millares 5 4 5" xfId="651" xr:uid="{D50D5806-12FA-4488-BEBE-EFE0CC44C790}"/>
    <cellStyle name="Millares 5 4 5 2" xfId="652" xr:uid="{AAD5C9AC-3BB1-4995-9B6D-249FAAE60CBC}"/>
    <cellStyle name="Millares 5 4 5 2 2" xfId="653" xr:uid="{48D670D3-DA8B-4D15-A4E9-42DFA578F90D}"/>
    <cellStyle name="Millares 5 4 5 3" xfId="654" xr:uid="{C137DE9D-BD26-4035-9D26-7E5FAE8F2A0B}"/>
    <cellStyle name="Millares 5 4 6" xfId="655" xr:uid="{99212819-F556-425F-B1BD-5B974A006C92}"/>
    <cellStyle name="Millares 5 4 6 2" xfId="656" xr:uid="{B04FA3FC-92DE-43AD-B9E5-356E6E85E5B3}"/>
    <cellStyle name="Millares 5 4 6 2 2" xfId="657" xr:uid="{FC464447-48C6-4DEF-BB6A-2CC83C11FE44}"/>
    <cellStyle name="Millares 5 4 6 3" xfId="658" xr:uid="{1FA7B889-C1C0-4320-B578-3FE551B934F7}"/>
    <cellStyle name="Millares 5 4 7" xfId="659" xr:uid="{6E7D043D-6558-438E-B426-CB69114989FD}"/>
    <cellStyle name="Millares 5 4 7 2" xfId="660" xr:uid="{4FB77D55-E36B-4DD9-BF1B-098677B803F0}"/>
    <cellStyle name="Millares 5 4 7 2 2" xfId="661" xr:uid="{545D0E68-9CEE-4DD4-9D34-019055FB698F}"/>
    <cellStyle name="Millares 5 4 7 3" xfId="662" xr:uid="{C1088FD6-2E9E-4245-A0B1-3CAF9C0785BD}"/>
    <cellStyle name="Millares 5 4 8" xfId="663" xr:uid="{F2516025-CDE3-46A6-B122-D3C895F01DA5}"/>
    <cellStyle name="Millares 5 4 8 2" xfId="664" xr:uid="{61BECAB1-7AEF-40C0-8352-E96C817B6D23}"/>
    <cellStyle name="Millares 5 4 8 2 2" xfId="665" xr:uid="{D3C7208B-E06F-4C77-BF84-F25D8E345424}"/>
    <cellStyle name="Millares 5 4 8 3" xfId="666" xr:uid="{89A8926A-3D87-4D30-A630-C143B16471F9}"/>
    <cellStyle name="Millares 5 4 9" xfId="667" xr:uid="{CE08AE18-C650-46B0-8DE2-11F36EC6592E}"/>
    <cellStyle name="Millares 5 4 9 2" xfId="668" xr:uid="{B0EA629C-64FF-45C3-8F90-B385CC47399A}"/>
    <cellStyle name="Millares 5 4 9 2 2" xfId="669" xr:uid="{488E532D-DF96-4DE7-9426-3AB82B3BCBFB}"/>
    <cellStyle name="Millares 5 4 9 3" xfId="670" xr:uid="{CCDAE44E-7888-425A-BE3C-DD53603C314E}"/>
    <cellStyle name="Millares 5 5" xfId="47" xr:uid="{9285DD33-1217-46F6-A271-58F83BA3C47E}"/>
    <cellStyle name="Millares 5 5 10" xfId="671" xr:uid="{530E8B2F-54EA-477C-A680-1A73B4EAF800}"/>
    <cellStyle name="Millares 5 5 10 2" xfId="672" xr:uid="{A182D03D-2F7E-4798-8DDA-6A8D0B3F16AE}"/>
    <cellStyle name="Millares 5 5 10 2 2" xfId="673" xr:uid="{1CC7596D-0261-4B47-8E29-80AB99061176}"/>
    <cellStyle name="Millares 5 5 10 3" xfId="674" xr:uid="{972140D6-95BF-4FD1-A636-6A4FACD86861}"/>
    <cellStyle name="Millares 5 5 11" xfId="675" xr:uid="{BA573F15-A77E-4C85-9949-1CF58C5697A0}"/>
    <cellStyle name="Millares 5 5 11 2" xfId="676" xr:uid="{5FE5ABF8-3CB0-46DB-B8B4-32133CF6C122}"/>
    <cellStyle name="Millares 5 5 12" xfId="677" xr:uid="{4E2C394A-F6C8-42CC-9FF4-52389DFA0ED8}"/>
    <cellStyle name="Millares 5 5 13" xfId="678" xr:uid="{57F1778F-F416-4C6B-95B7-687C0D3C6F2D}"/>
    <cellStyle name="Millares 5 5 2" xfId="679" xr:uid="{379DF109-F1FA-44C9-9FBD-1D9B671A611A}"/>
    <cellStyle name="Millares 5 5 2 2" xfId="680" xr:uid="{E2E7CB19-3215-4C80-80B5-2DF9158CABFB}"/>
    <cellStyle name="Millares 5 5 2 2 2" xfId="681" xr:uid="{3E2CC331-2841-406C-B378-1B80707974C4}"/>
    <cellStyle name="Millares 5 5 2 2 2 2" xfId="682" xr:uid="{9CBD5BE4-261A-42FD-9B57-9F052E589F6D}"/>
    <cellStyle name="Millares 5 5 2 2 3" xfId="683" xr:uid="{CCEFB234-11B7-4291-86EC-0B1710D3F59A}"/>
    <cellStyle name="Millares 5 5 2 3" xfId="684" xr:uid="{D0872961-CAAD-45B8-91EC-14ED321C5324}"/>
    <cellStyle name="Millares 5 5 2 3 2" xfId="685" xr:uid="{A770F0E7-2A32-4D3D-A345-427467DE8BC4}"/>
    <cellStyle name="Millares 5 5 2 3 2 2" xfId="686" xr:uid="{68EB9FA0-5EA1-4B2E-94A1-1EC121E1C035}"/>
    <cellStyle name="Millares 5 5 2 3 3" xfId="687" xr:uid="{A5E4784E-DEC5-4E36-8E0C-2A5751544D9D}"/>
    <cellStyle name="Millares 5 5 2 4" xfId="688" xr:uid="{D0279385-F145-4AC8-A138-FCE0D2F9AD07}"/>
    <cellStyle name="Millares 5 5 2 4 2" xfId="689" xr:uid="{502A3EA3-6F8D-464C-9661-D667ED811EB5}"/>
    <cellStyle name="Millares 5 5 2 4 2 2" xfId="690" xr:uid="{FB6C341C-851B-409E-B894-6A2B274B5163}"/>
    <cellStyle name="Millares 5 5 2 4 3" xfId="691" xr:uid="{9AF2A7D7-6566-4FA7-A405-F51ADF82FEDE}"/>
    <cellStyle name="Millares 5 5 2 5" xfId="692" xr:uid="{328DB10B-6529-468A-92C9-6B98B873AD75}"/>
    <cellStyle name="Millares 5 5 2 5 2" xfId="693" xr:uid="{7EE978F3-8BEE-489A-B09C-42FAD9D847B9}"/>
    <cellStyle name="Millares 5 5 2 5 2 2" xfId="694" xr:uid="{80071B7D-8C58-4EEE-8B95-38C6C5CA689D}"/>
    <cellStyle name="Millares 5 5 2 5 3" xfId="695" xr:uid="{E16564A9-CC89-41B7-82DA-3D7D0CDE0173}"/>
    <cellStyle name="Millares 5 5 2 6" xfId="696" xr:uid="{96BA981B-DA3E-459D-AD4E-5A52CAEE7E55}"/>
    <cellStyle name="Millares 5 5 2 6 2" xfId="697" xr:uid="{A90994FF-C29B-44B5-A33C-3A42185C7CEF}"/>
    <cellStyle name="Millares 5 5 2 6 2 2" xfId="698" xr:uid="{FAAF5390-271C-46DF-A553-9E6B78E4D16D}"/>
    <cellStyle name="Millares 5 5 2 6 3" xfId="699" xr:uid="{C6684AB1-D07C-42C0-90CE-09039BA93F0E}"/>
    <cellStyle name="Millares 5 5 2 7" xfId="700" xr:uid="{003B1071-3FFB-4B26-BF52-442185DBE42E}"/>
    <cellStyle name="Millares 5 5 2 7 2" xfId="701" xr:uid="{41977D86-5AFD-4125-92A2-010F2AA457F3}"/>
    <cellStyle name="Millares 5 5 2 8" xfId="702" xr:uid="{AA25E696-EB88-4B13-BAAA-C1AC9B24B59E}"/>
    <cellStyle name="Millares 5 5 2 9" xfId="703" xr:uid="{CC59EA20-A554-4C57-BBAD-18A3D5E9ABBB}"/>
    <cellStyle name="Millares 5 5 3" xfId="704" xr:uid="{4F753D56-F4C3-4FD6-B997-FC59ED87AEDD}"/>
    <cellStyle name="Millares 5 5 3 2" xfId="705" xr:uid="{EC6A4386-5318-4547-A6C0-B2E85B652A77}"/>
    <cellStyle name="Millares 5 5 3 2 2" xfId="706" xr:uid="{E30CA2E3-53D7-47B6-B2AF-861B3945077B}"/>
    <cellStyle name="Millares 5 5 3 2 2 2" xfId="707" xr:uid="{2D0D31F6-320D-4511-AD4C-E61C274AD1CA}"/>
    <cellStyle name="Millares 5 5 3 2 3" xfId="708" xr:uid="{AFCDF194-DA56-42BE-8183-AA6024A9B134}"/>
    <cellStyle name="Millares 5 5 3 3" xfId="709" xr:uid="{ABFC8E9B-FC6B-4DED-B694-B051D718630F}"/>
    <cellStyle name="Millares 5 5 3 3 2" xfId="710" xr:uid="{46FD53F1-5B5F-4FC5-A1F3-7F484FDAA65E}"/>
    <cellStyle name="Millares 5 5 3 3 2 2" xfId="711" xr:uid="{2D6497F3-FA54-4FD5-AE3F-BCF2C63B2CE3}"/>
    <cellStyle name="Millares 5 5 3 3 3" xfId="712" xr:uid="{A622587F-73D0-4759-B72D-3C2C86970EBA}"/>
    <cellStyle name="Millares 5 5 3 4" xfId="713" xr:uid="{BA9431F7-57BD-4CD6-875E-3A7D0B92495A}"/>
    <cellStyle name="Millares 5 5 3 4 2" xfId="714" xr:uid="{D23267D8-18A8-4E48-A299-2EFE4DC891A5}"/>
    <cellStyle name="Millares 5 5 3 4 2 2" xfId="715" xr:uid="{BFAFDCE3-B9F0-4548-9364-57DBFB4A59D2}"/>
    <cellStyle name="Millares 5 5 3 4 3" xfId="716" xr:uid="{316FD2B3-033E-4AD1-AB1B-8C95ED1879DE}"/>
    <cellStyle name="Millares 5 5 3 5" xfId="717" xr:uid="{9C0DAB85-2740-43C2-8839-432AAF814A0E}"/>
    <cellStyle name="Millares 5 5 3 5 2" xfId="718" xr:uid="{A8D45229-C556-4927-81F5-4D52D2F41771}"/>
    <cellStyle name="Millares 5 5 3 5 2 2" xfId="719" xr:uid="{10D28C79-A9CF-4E73-AC85-BF51026E0FC0}"/>
    <cellStyle name="Millares 5 5 3 5 3" xfId="720" xr:uid="{E72B1603-8E48-4AF0-87D0-6A34ECAAFEBF}"/>
    <cellStyle name="Millares 5 5 3 6" xfId="721" xr:uid="{58CF3D36-1879-44D4-A3EA-C314DFCC4EF1}"/>
    <cellStyle name="Millares 5 5 3 6 2" xfId="722" xr:uid="{231B051C-DECE-47FF-A752-C9EBDE55A543}"/>
    <cellStyle name="Millares 5 5 3 6 2 2" xfId="723" xr:uid="{B8A149BA-6DE1-473E-9D77-5B554754CC03}"/>
    <cellStyle name="Millares 5 5 3 6 3" xfId="724" xr:uid="{92736878-A670-4695-82B9-98EF0A048308}"/>
    <cellStyle name="Millares 5 5 3 7" xfId="725" xr:uid="{F8DE8E87-EB5F-456B-BA4B-E00F26232132}"/>
    <cellStyle name="Millares 5 5 3 7 2" xfId="726" xr:uid="{A5118A75-8202-4C82-A662-D360D593B2A1}"/>
    <cellStyle name="Millares 5 5 3 8" xfId="727" xr:uid="{DCB9C17A-3826-4C44-A708-DA69B850016D}"/>
    <cellStyle name="Millares 5 5 4" xfId="728" xr:uid="{E96F4E81-8ACA-49B4-A283-5AFF8C7F30B9}"/>
    <cellStyle name="Millares 5 5 4 2" xfId="729" xr:uid="{A100BE68-F80C-4E20-B307-ECFA5A0492D7}"/>
    <cellStyle name="Millares 5 5 4 2 2" xfId="730" xr:uid="{611C0AD4-0B53-4976-A073-1AA30F25DA34}"/>
    <cellStyle name="Millares 5 5 4 2 2 2" xfId="731" xr:uid="{92C3F521-ACCA-4E40-8DAF-E214E3A90D95}"/>
    <cellStyle name="Millares 5 5 4 2 3" xfId="732" xr:uid="{2040CEE9-B939-49D7-BC93-4D7D71EFAAFD}"/>
    <cellStyle name="Millares 5 5 4 3" xfId="733" xr:uid="{43581D00-46F3-43F5-87B9-1A159D3FAAA4}"/>
    <cellStyle name="Millares 5 5 4 3 2" xfId="734" xr:uid="{AE4B6AAA-F368-4E59-8F41-97143A3E9473}"/>
    <cellStyle name="Millares 5 5 4 3 2 2" xfId="735" xr:uid="{D3CD1C41-EF1A-4C6A-AC46-C0DC3EBC3327}"/>
    <cellStyle name="Millares 5 5 4 3 3" xfId="736" xr:uid="{EEF50C60-3867-4551-83E8-B8801C68D36F}"/>
    <cellStyle name="Millares 5 5 4 4" xfId="737" xr:uid="{5AE5927A-10F6-43D2-A546-97BE69185E25}"/>
    <cellStyle name="Millares 5 5 4 4 2" xfId="738" xr:uid="{E63BA8A3-EC11-4DCC-8EF9-8396BFD26A9D}"/>
    <cellStyle name="Millares 5 5 4 4 2 2" xfId="739" xr:uid="{162A540F-F160-4D37-9EDC-8602AA1CAEB1}"/>
    <cellStyle name="Millares 5 5 4 4 3" xfId="740" xr:uid="{FAA8C702-24BF-450B-BA72-FBFF2F5A1B3D}"/>
    <cellStyle name="Millares 5 5 4 5" xfId="741" xr:uid="{AB10503D-766C-4A18-93F1-2CF5C04A2DD1}"/>
    <cellStyle name="Millares 5 5 4 5 2" xfId="742" xr:uid="{0A5E7885-A5D2-41A7-9CC8-75FA7FECE224}"/>
    <cellStyle name="Millares 5 5 4 5 2 2" xfId="743" xr:uid="{FB193D14-FF79-4C1E-8F8F-7E414DA19873}"/>
    <cellStyle name="Millares 5 5 4 5 3" xfId="744" xr:uid="{1971D5D6-A72B-4EFE-AA77-61CEAFA210BF}"/>
    <cellStyle name="Millares 5 5 4 6" xfId="745" xr:uid="{7977856A-3D7D-4268-952F-06B4EBB799D5}"/>
    <cellStyle name="Millares 5 5 4 6 2" xfId="746" xr:uid="{45657F6D-7395-4244-AF45-D1E965E4816C}"/>
    <cellStyle name="Millares 5 5 4 6 2 2" xfId="747" xr:uid="{A3F1CF66-357C-41E5-A3AC-C0C7978105BA}"/>
    <cellStyle name="Millares 5 5 4 6 3" xfId="748" xr:uid="{030663D0-0903-4130-AACC-22DC9BC282BD}"/>
    <cellStyle name="Millares 5 5 4 7" xfId="749" xr:uid="{F91E691B-CCD3-4F84-A03F-1BF84C593118}"/>
    <cellStyle name="Millares 5 5 4 7 2" xfId="750" xr:uid="{C482B633-BFB6-4F60-A07C-2488AEA0C5AE}"/>
    <cellStyle name="Millares 5 5 4 8" xfId="751" xr:uid="{CD74091F-1DA0-403E-B5E8-E036C9C0DBE1}"/>
    <cellStyle name="Millares 5 5 5" xfId="752" xr:uid="{217CBD67-8CBC-4990-9F06-A60CF6421B25}"/>
    <cellStyle name="Millares 5 5 5 2" xfId="753" xr:uid="{4CF11FCF-9100-4E4C-8A9C-F62720DEEB94}"/>
    <cellStyle name="Millares 5 5 5 2 2" xfId="754" xr:uid="{AAF2DD05-9238-47B2-9763-FB53392D5381}"/>
    <cellStyle name="Millares 5 5 5 3" xfId="755" xr:uid="{F7EDD54F-D7B3-42A8-9589-3A75E227D08D}"/>
    <cellStyle name="Millares 5 5 6" xfId="756" xr:uid="{DE68E9B8-0A0D-4487-93EC-49687A969157}"/>
    <cellStyle name="Millares 5 5 6 2" xfId="757" xr:uid="{15C1D677-B4B9-44F5-813C-08075E47E8D9}"/>
    <cellStyle name="Millares 5 5 6 2 2" xfId="758" xr:uid="{0BB460B9-FF96-4123-AD98-6FDC9EFEB4F7}"/>
    <cellStyle name="Millares 5 5 6 3" xfId="759" xr:uid="{BB8C496C-6D48-4AB6-9B59-BE686A2ABC5B}"/>
    <cellStyle name="Millares 5 5 7" xfId="760" xr:uid="{8909B332-CEEC-46D2-A8D3-82F546A33320}"/>
    <cellStyle name="Millares 5 5 7 2" xfId="761" xr:uid="{E0EDCDF4-904A-4678-AF54-BA40D71FBF02}"/>
    <cellStyle name="Millares 5 5 7 2 2" xfId="762" xr:uid="{34595697-C03C-4A27-8E59-08549AFE9DEA}"/>
    <cellStyle name="Millares 5 5 7 3" xfId="763" xr:uid="{340B6B0E-E368-406D-B1CA-A5F7EE8A8B9B}"/>
    <cellStyle name="Millares 5 5 8" xfId="764" xr:uid="{FF9D2A93-9E2C-4053-A943-39C82E465E2B}"/>
    <cellStyle name="Millares 5 5 8 2" xfId="765" xr:uid="{7DFD0A1A-64FA-4562-A5FF-3FBDFDA914D2}"/>
    <cellStyle name="Millares 5 5 8 2 2" xfId="766" xr:uid="{6E38EE06-4A33-42C8-A422-52DA4BC11E76}"/>
    <cellStyle name="Millares 5 5 8 3" xfId="767" xr:uid="{185A1666-8212-4C01-BFD1-4EC0ED333B17}"/>
    <cellStyle name="Millares 5 5 9" xfId="768" xr:uid="{850E28F9-5AC7-428E-A4BC-BDA23BF29457}"/>
    <cellStyle name="Millares 5 5 9 2" xfId="769" xr:uid="{17EB5745-2BBC-4BB3-BE15-4D50B0F0AE32}"/>
    <cellStyle name="Millares 5 5 9 2 2" xfId="770" xr:uid="{39558019-DC5A-450C-9072-004D7BF8FA52}"/>
    <cellStyle name="Millares 5 5 9 3" xfId="771" xr:uid="{46A20C3E-CC72-473C-A83D-ACE32B63DBAA}"/>
    <cellStyle name="Millares 5 6" xfId="772" xr:uid="{D6B34C9A-5FF9-4A5E-9685-9FA9C3EB8446}"/>
    <cellStyle name="Millares 5 6 2" xfId="773" xr:uid="{782DD187-EE9F-4F1C-8658-BD45718A9DDD}"/>
    <cellStyle name="Millares 5 6 2 2" xfId="774" xr:uid="{8150B33F-30B0-4754-A2C4-7034E911BE43}"/>
    <cellStyle name="Millares 5 6 2 2 2" xfId="775" xr:uid="{7D05A171-3AE4-496C-A2AA-0A97FAC57F95}"/>
    <cellStyle name="Millares 5 6 2 3" xfId="776" xr:uid="{CB4213B9-369C-45A1-BF83-915B84C06B6B}"/>
    <cellStyle name="Millares 5 6 3" xfId="777" xr:uid="{D794B456-1C8E-4B7C-AF72-8E0C8342AF98}"/>
    <cellStyle name="Millares 5 6 3 2" xfId="778" xr:uid="{A39788A2-4950-41E4-B915-73B891ABB7C5}"/>
    <cellStyle name="Millares 5 6 3 2 2" xfId="779" xr:uid="{C1AC1779-0F71-4B7F-89EE-764BA5A437C8}"/>
    <cellStyle name="Millares 5 6 3 3" xfId="780" xr:uid="{F5F46FC3-FCE4-438F-A173-73AC9C3BB02F}"/>
    <cellStyle name="Millares 5 6 4" xfId="781" xr:uid="{0BE03F55-9835-46D7-A33A-8B2E25E28011}"/>
    <cellStyle name="Millares 5 6 4 2" xfId="782" xr:uid="{A3B7BF1B-3BAE-4647-9076-92BFE49BD753}"/>
    <cellStyle name="Millares 5 6 4 2 2" xfId="783" xr:uid="{90EE8312-C050-47F0-BB68-ADC4816F32A9}"/>
    <cellStyle name="Millares 5 6 4 3" xfId="784" xr:uid="{7AFC34AE-6944-4DBD-BCC5-9A1B981E3AB2}"/>
    <cellStyle name="Millares 5 6 5" xfId="785" xr:uid="{77015DE7-3511-4CB0-89EE-082895B7136E}"/>
    <cellStyle name="Millares 5 6 5 2" xfId="786" xr:uid="{1A559A4E-6797-4FBF-B853-80B1D3F6BE9E}"/>
    <cellStyle name="Millares 5 6 5 2 2" xfId="787" xr:uid="{F9B151DB-C4CC-4FF5-A329-D227A405F47F}"/>
    <cellStyle name="Millares 5 6 5 3" xfId="788" xr:uid="{78370E44-202C-4F90-89B2-B6A356E39AE6}"/>
    <cellStyle name="Millares 5 6 6" xfId="789" xr:uid="{4D2C7687-F00F-49C6-9D1F-72F40349FF9A}"/>
    <cellStyle name="Millares 5 6 6 2" xfId="790" xr:uid="{2C5217D1-FEA2-4A54-BB6C-266F6A2DFDFD}"/>
    <cellStyle name="Millares 5 6 6 2 2" xfId="791" xr:uid="{019CB576-F941-4DD9-8805-4DFA6EF12C11}"/>
    <cellStyle name="Millares 5 6 6 3" xfId="792" xr:uid="{C6F139C9-68F1-40CB-B998-950972062471}"/>
    <cellStyle name="Millares 5 6 7" xfId="793" xr:uid="{2D0AECA9-2253-476A-B7D4-98D6D9558F61}"/>
    <cellStyle name="Millares 5 6 7 2" xfId="794" xr:uid="{7C9FAEE9-9D71-4A84-979F-0E7BEC69ADBC}"/>
    <cellStyle name="Millares 5 6 8" xfId="795" xr:uid="{A2D2DE70-1955-4F77-B0F3-4E677267F33E}"/>
    <cellStyle name="Millares 5 6 9" xfId="796" xr:uid="{E5180BA3-8F74-4CDD-8F48-8B668435FE3B}"/>
    <cellStyle name="Millares 5 7" xfId="797" xr:uid="{6971F92F-E495-4D07-8C18-1527B4670212}"/>
    <cellStyle name="Millares 5 7 2" xfId="798" xr:uid="{AC503145-932C-41E2-8177-3FD72FD5BFD1}"/>
    <cellStyle name="Millares 5 7 2 2" xfId="799" xr:uid="{3FD2351D-7928-4FB0-B673-50FC7ABC5C8C}"/>
    <cellStyle name="Millares 5 7 2 2 2" xfId="800" xr:uid="{B6EFAB41-E4C0-43DB-BF51-CE8F5CF9F622}"/>
    <cellStyle name="Millares 5 7 2 3" xfId="801" xr:uid="{CEB12304-1623-42E1-AD28-7422A088D2C4}"/>
    <cellStyle name="Millares 5 7 3" xfId="802" xr:uid="{5EB8F621-4555-4763-8B19-FA32C358FE9F}"/>
    <cellStyle name="Millares 5 7 3 2" xfId="803" xr:uid="{5A84E294-7059-4199-99A0-933D09901E29}"/>
    <cellStyle name="Millares 5 7 3 2 2" xfId="804" xr:uid="{DD63DBEA-D98D-4B7E-A9B4-EC748BD9CB6E}"/>
    <cellStyle name="Millares 5 7 3 3" xfId="805" xr:uid="{66EDF839-58AB-4418-88B5-0E3BA82C1B55}"/>
    <cellStyle name="Millares 5 7 4" xfId="806" xr:uid="{8E34E18E-8904-4520-B108-D19BB4BEFB61}"/>
    <cellStyle name="Millares 5 7 4 2" xfId="807" xr:uid="{3A33DEAD-CEBD-43BB-8AD8-5E2EA75148F3}"/>
    <cellStyle name="Millares 5 7 4 2 2" xfId="808" xr:uid="{B64B7130-ABDE-4B25-836F-17587ED5BFA1}"/>
    <cellStyle name="Millares 5 7 4 3" xfId="809" xr:uid="{0D3CE7BD-7EC7-43FE-AECA-7E83CD13F261}"/>
    <cellStyle name="Millares 5 7 5" xfId="810" xr:uid="{7D158662-401F-4F18-B798-87E078786DFF}"/>
    <cellStyle name="Millares 5 7 5 2" xfId="811" xr:uid="{632167F8-F3B4-4D35-BEE2-BF664DE21617}"/>
    <cellStyle name="Millares 5 7 5 2 2" xfId="812" xr:uid="{A5174745-AFC8-43CA-86F9-0EC1DF4B0B66}"/>
    <cellStyle name="Millares 5 7 5 3" xfId="813" xr:uid="{376A9A7D-9A0E-4958-A971-9B4348451962}"/>
    <cellStyle name="Millares 5 7 6" xfId="814" xr:uid="{DE96D7DA-C96F-43F5-B01F-BED525229B2B}"/>
    <cellStyle name="Millares 5 7 6 2" xfId="815" xr:uid="{AD8F379A-0673-4263-839D-AAD3FBFD7743}"/>
    <cellStyle name="Millares 5 7 6 2 2" xfId="816" xr:uid="{9DD49239-7F80-4FA2-B9BE-9A4B2E831802}"/>
    <cellStyle name="Millares 5 7 6 3" xfId="817" xr:uid="{D91C419E-E950-4FAC-9BFD-8C6EDEE93DF8}"/>
    <cellStyle name="Millares 5 7 7" xfId="818" xr:uid="{43C6FCF0-D9BF-420C-AC29-142886E929FC}"/>
    <cellStyle name="Millares 5 7 7 2" xfId="819" xr:uid="{6628C12F-86B6-4F06-AD18-0F85AF125220}"/>
    <cellStyle name="Millares 5 7 8" xfId="820" xr:uid="{C780D84D-76CD-4DB4-BE63-11A05F77484C}"/>
    <cellStyle name="Millares 5 8" xfId="821" xr:uid="{848C4D2E-D5E3-4EE3-93E0-8810B62BB34D}"/>
    <cellStyle name="Millares 5 8 2" xfId="822" xr:uid="{C33298B2-F3D4-4C5A-98DB-4AD703533D76}"/>
    <cellStyle name="Millares 5 8 2 2" xfId="823" xr:uid="{36AB9FCE-B5CC-45AD-BB5C-244F0756890C}"/>
    <cellStyle name="Millares 5 8 2 2 2" xfId="824" xr:uid="{E729038E-C418-4864-9F3C-613639262CE8}"/>
    <cellStyle name="Millares 5 8 2 3" xfId="825" xr:uid="{FA8F21D6-A616-44D3-B8D3-7F800BB131C7}"/>
    <cellStyle name="Millares 5 8 3" xfId="826" xr:uid="{255A09C3-A33F-4C2B-B942-AFB051F80EEF}"/>
    <cellStyle name="Millares 5 8 3 2" xfId="827" xr:uid="{9BB4D87D-6188-48ED-95C6-3E3EA209BFA2}"/>
    <cellStyle name="Millares 5 8 3 2 2" xfId="828" xr:uid="{2A8E54F9-EFBD-44C1-9EEF-79548ECF203E}"/>
    <cellStyle name="Millares 5 8 3 3" xfId="829" xr:uid="{B1C450B3-98CF-4A67-9F49-8A78A7C8C8B7}"/>
    <cellStyle name="Millares 5 8 4" xfId="830" xr:uid="{98ABF3E4-5F11-4FBE-99D7-FC48E56C7C79}"/>
    <cellStyle name="Millares 5 8 4 2" xfId="831" xr:uid="{261FB864-1A00-44AE-895F-491E4BCD2CA9}"/>
    <cellStyle name="Millares 5 8 4 2 2" xfId="832" xr:uid="{A65B637C-86C4-4042-A0C4-3AFD2E5EF64B}"/>
    <cellStyle name="Millares 5 8 4 3" xfId="833" xr:uid="{DAB8F6C8-8B02-49DB-BBAF-47789F8BF36F}"/>
    <cellStyle name="Millares 5 8 5" xfId="834" xr:uid="{4091E99D-BBB0-4561-A8E3-89EEE537E6D6}"/>
    <cellStyle name="Millares 5 8 5 2" xfId="835" xr:uid="{82DE7BB0-E961-4F84-AB65-27F9D772DCAB}"/>
    <cellStyle name="Millares 5 8 5 2 2" xfId="836" xr:uid="{ACDF9B9B-54CC-475D-8FD1-341F7AC692F8}"/>
    <cellStyle name="Millares 5 8 5 3" xfId="837" xr:uid="{A36FEB19-2031-4E80-B59C-74C47F671314}"/>
    <cellStyle name="Millares 5 8 6" xfId="838" xr:uid="{0A5E9223-312D-4662-AFBC-AB775D7114DB}"/>
    <cellStyle name="Millares 5 8 6 2" xfId="839" xr:uid="{D502BF2E-2430-4C00-811C-067F55B7C6EB}"/>
    <cellStyle name="Millares 5 8 6 2 2" xfId="840" xr:uid="{945702CC-1F79-4A97-9417-3200A99DF28D}"/>
    <cellStyle name="Millares 5 8 6 3" xfId="841" xr:uid="{0FE0E9A6-8118-4FE9-BA78-6DABB4393AE9}"/>
    <cellStyle name="Millares 5 8 7" xfId="842" xr:uid="{E503FD98-9AC8-4739-8530-AB3389EE5E77}"/>
    <cellStyle name="Millares 5 8 7 2" xfId="843" xr:uid="{D5C327A0-1513-43CB-A934-08BF273CBFC4}"/>
    <cellStyle name="Millares 5 8 8" xfId="844" xr:uid="{0E6EF8CD-554A-4480-A0F8-640BDF1F6CAB}"/>
    <cellStyle name="Millares 5 9" xfId="845" xr:uid="{BE385778-3C59-4661-B0CF-CD64053E1C6A}"/>
    <cellStyle name="Millares 5 9 2" xfId="846" xr:uid="{09B4F977-F553-4BFB-93C6-441BD1E91AF4}"/>
    <cellStyle name="Millares 5 9 2 2" xfId="847" xr:uid="{325C71D0-1DF6-44DF-A572-27553E860E07}"/>
    <cellStyle name="Millares 5 9 3" xfId="848" xr:uid="{0B3F6604-03CF-4D9A-9C20-3E0B0B715064}"/>
    <cellStyle name="Millares 6" xfId="1787" xr:uid="{0E467CC0-4A6C-4958-9480-97F377B136EC}"/>
    <cellStyle name="Millares 6 2" xfId="48" xr:uid="{F40D3EF2-12CF-41A0-B142-BAEC3A95BDD3}"/>
    <cellStyle name="Millares 6 2 10" xfId="849" xr:uid="{E315694A-00C5-4BF4-903D-9AD0E050C1FD}"/>
    <cellStyle name="Millares 6 2 10 2" xfId="850" xr:uid="{3E9F5E49-1A65-4979-9266-8AB86C98EE13}"/>
    <cellStyle name="Millares 6 2 10 2 2" xfId="2022" xr:uid="{AF821FF0-CFC0-44E6-9508-603CADE79C6F}"/>
    <cellStyle name="Millares 6 2 10 2 2 2" xfId="5667" xr:uid="{7DD6C43B-1B20-4B1C-83A9-077055D46CC1}"/>
    <cellStyle name="Millares 6 2 10 2 2 2 2" xfId="10519" xr:uid="{3DF6410F-4972-4DA8-B5C4-8FB47C746161}"/>
    <cellStyle name="Millares 6 2 10 2 2 3" xfId="6883" xr:uid="{3CAAB680-C773-4592-A19C-4F227C4B8BE7}"/>
    <cellStyle name="Millares 6 2 10 2 2 3 2" xfId="11731" xr:uid="{90E3B810-4B0C-4110-8649-EEFDABB467B0}"/>
    <cellStyle name="Millares 6 2 10 2 2 4" xfId="4457" xr:uid="{D8FE11C3-8A49-4EA5-9E94-E083A2DDF0A2}"/>
    <cellStyle name="Millares 6 2 10 2 2 4 2" xfId="9311" xr:uid="{516D47FD-5FCF-4228-A898-62FFA0CBDEF7}"/>
    <cellStyle name="Millares 6 2 10 2 2 5" xfId="3244" xr:uid="{DF5A9133-F0C5-4F6B-A9EE-EAEB239B6256}"/>
    <cellStyle name="Millares 6 2 10 2 2 6" xfId="8100" xr:uid="{91C564E4-9689-4017-809B-43F2D81E3CF4}"/>
    <cellStyle name="Millares 6 2 10 2 3" xfId="5063" xr:uid="{848B0B35-BD61-40D3-B365-35248BFB957C}"/>
    <cellStyle name="Millares 6 2 10 2 3 2" xfId="9915" xr:uid="{D9167819-7D2C-4017-BC74-97D6DF7099F5}"/>
    <cellStyle name="Millares 6 2 10 2 4" xfId="6276" xr:uid="{A6E42CF4-0F49-4B9C-8E35-6A5863B037F4}"/>
    <cellStyle name="Millares 6 2 10 2 4 2" xfId="11126" xr:uid="{CEC0E5C2-30E5-4428-B529-C048B99961BA}"/>
    <cellStyle name="Millares 6 2 10 2 5" xfId="3853" xr:uid="{F70A5A22-565C-41F6-987F-879415710DA1}"/>
    <cellStyle name="Millares 6 2 10 2 5 2" xfId="8707" xr:uid="{0167EC39-C1DC-44FA-A550-47EE5275D341}"/>
    <cellStyle name="Millares 6 2 10 2 6" xfId="2640" xr:uid="{D49FF16A-2975-4397-862D-987A44C30751}"/>
    <cellStyle name="Millares 6 2 10 2 7" xfId="7496" xr:uid="{C51D4499-3B48-4240-842B-736AF9C6E51D}"/>
    <cellStyle name="Millares 6 2 10 3" xfId="2021" xr:uid="{4443E317-23F7-4680-85E5-2D6D2A42F3CE}"/>
    <cellStyle name="Millares 6 2 10 3 2" xfId="5666" xr:uid="{39CBB7AA-B6D3-4F99-8401-1430079744B9}"/>
    <cellStyle name="Millares 6 2 10 3 2 2" xfId="10518" xr:uid="{6171965A-30FE-4A84-A8D7-FDF3749FD43C}"/>
    <cellStyle name="Millares 6 2 10 3 3" xfId="6882" xr:uid="{EA9F27ED-7AD5-485E-80D8-972852CB0FA1}"/>
    <cellStyle name="Millares 6 2 10 3 3 2" xfId="11730" xr:uid="{78976BF1-4884-4AF1-862C-B1A068C45130}"/>
    <cellStyle name="Millares 6 2 10 3 4" xfId="4456" xr:uid="{79E80571-26F7-46B9-9C96-AC435ACCB04B}"/>
    <cellStyle name="Millares 6 2 10 3 4 2" xfId="9310" xr:uid="{5E5CB0DE-888E-4429-91D4-3A78CE8BCA23}"/>
    <cellStyle name="Millares 6 2 10 3 5" xfId="3243" xr:uid="{AE83E65A-D557-4151-9FA7-FFB3C41CA488}"/>
    <cellStyle name="Millares 6 2 10 3 6" xfId="8099" xr:uid="{55D61A8B-DBF6-4F95-9B21-D633B30B4A6E}"/>
    <cellStyle name="Millares 6 2 10 4" xfId="5062" xr:uid="{EA6F1EF8-D23F-4C26-A2B5-826B6996F8A9}"/>
    <cellStyle name="Millares 6 2 10 4 2" xfId="9914" xr:uid="{86B61715-4B7A-42BE-82FD-36AD143B33A0}"/>
    <cellStyle name="Millares 6 2 10 5" xfId="6275" xr:uid="{16A4D50E-3E10-4AF8-A74C-2F247BB2F16F}"/>
    <cellStyle name="Millares 6 2 10 5 2" xfId="11125" xr:uid="{12837172-7A6D-4C13-899E-ECF379AFAFDF}"/>
    <cellStyle name="Millares 6 2 10 6" xfId="3852" xr:uid="{7E30A2B9-CF27-43EF-877A-B4E2F189C4E5}"/>
    <cellStyle name="Millares 6 2 10 6 2" xfId="8706" xr:uid="{977CFB27-E47A-4454-B297-3A6753FB737C}"/>
    <cellStyle name="Millares 6 2 10 7" xfId="2639" xr:uid="{E9E98CD4-C213-483A-8182-9B3AB331B308}"/>
    <cellStyle name="Millares 6 2 10 8" xfId="7495" xr:uid="{0551C8BF-EF69-4DC6-A274-F5E94381C026}"/>
    <cellStyle name="Millares 6 2 11" xfId="851" xr:uid="{8B960225-56F7-4072-9E5C-D40639DA2A37}"/>
    <cellStyle name="Millares 6 2 11 2" xfId="2023" xr:uid="{350CE1AC-E620-423B-8B4F-FF9DC7523962}"/>
    <cellStyle name="Millares 6 2 11 2 2" xfId="5668" xr:uid="{FBAC8E72-B143-44A1-9C6B-0429BFCB65EA}"/>
    <cellStyle name="Millares 6 2 11 2 2 2" xfId="10520" xr:uid="{9C00FD40-94F8-4DEE-B8E6-01AABB80BC1D}"/>
    <cellStyle name="Millares 6 2 11 2 3" xfId="6884" xr:uid="{A1F37342-9EE5-4CFD-894B-08E7DEA1A83D}"/>
    <cellStyle name="Millares 6 2 11 2 3 2" xfId="11732" xr:uid="{26C8B285-16A2-49FA-9AA7-33990EA7B985}"/>
    <cellStyle name="Millares 6 2 11 2 4" xfId="4458" xr:uid="{DA28062A-DFD9-4BD5-9C2D-5411566296A8}"/>
    <cellStyle name="Millares 6 2 11 2 4 2" xfId="9312" xr:uid="{3335EA6B-FA1B-4B70-8D45-EE71A4DDEC75}"/>
    <cellStyle name="Millares 6 2 11 2 5" xfId="3245" xr:uid="{8FD3FFE9-6CDA-4C6F-844F-3D53D91CFC82}"/>
    <cellStyle name="Millares 6 2 11 2 6" xfId="8101" xr:uid="{FE57E1C2-1092-4DC8-A27C-2E0ECF2024E5}"/>
    <cellStyle name="Millares 6 2 11 3" xfId="5064" xr:uid="{D3999E77-0FEA-4F5E-96D6-7F8DB1B1C841}"/>
    <cellStyle name="Millares 6 2 11 3 2" xfId="9916" xr:uid="{20EFF92F-E51B-4A19-B932-7B8E4726C1C0}"/>
    <cellStyle name="Millares 6 2 11 4" xfId="6277" xr:uid="{3CCE411D-2E9A-4D77-B736-740CF22ED55D}"/>
    <cellStyle name="Millares 6 2 11 4 2" xfId="11127" xr:uid="{35FC403F-4535-460A-A325-3827B97798CC}"/>
    <cellStyle name="Millares 6 2 11 5" xfId="3854" xr:uid="{EEAA5E24-9BD1-45AB-B5FF-C9BBCD7B5D9D}"/>
    <cellStyle name="Millares 6 2 11 5 2" xfId="8708" xr:uid="{90C571C0-76CB-4360-B8AB-9F2BF3903724}"/>
    <cellStyle name="Millares 6 2 11 6" xfId="2641" xr:uid="{AE39FD7C-3CDF-4718-B5CB-BE595C97DEF1}"/>
    <cellStyle name="Millares 6 2 11 7" xfId="7497" xr:uid="{29A2217C-E125-450B-A618-E8CC08AC1122}"/>
    <cellStyle name="Millares 6 2 12" xfId="2020" xr:uid="{57BAFF21-2364-4A53-B2A1-A9E148559F09}"/>
    <cellStyle name="Millares 6 2 12 2" xfId="5665" xr:uid="{DFC4649D-3097-416D-B0EE-FA9992A804E3}"/>
    <cellStyle name="Millares 6 2 12 2 2" xfId="10517" xr:uid="{342350B0-698F-4183-99B7-DEBD23B8FFE4}"/>
    <cellStyle name="Millares 6 2 12 3" xfId="6881" xr:uid="{9223A1E6-649A-4A23-A625-95AE8C73723B}"/>
    <cellStyle name="Millares 6 2 12 3 2" xfId="11729" xr:uid="{C7F2A6D6-BE75-42B8-84DA-76358EC61321}"/>
    <cellStyle name="Millares 6 2 12 4" xfId="4455" xr:uid="{29902C87-40F6-4FE8-BB52-17A17B063617}"/>
    <cellStyle name="Millares 6 2 12 4 2" xfId="9309" xr:uid="{4B006BFD-9EDD-4D19-9638-597C1172976A}"/>
    <cellStyle name="Millares 6 2 12 5" xfId="3242" xr:uid="{716A99B6-6EE0-40FD-9ECB-CD3389C5D270}"/>
    <cellStyle name="Millares 6 2 12 6" xfId="8098" xr:uid="{F7AA8993-CE26-4C6A-AD24-9587A25DE4C2}"/>
    <cellStyle name="Millares 6 2 13" xfId="5061" xr:uid="{55F5CF5E-DD55-4B6E-9FF4-16DABA71B884}"/>
    <cellStyle name="Millares 6 2 13 2" xfId="9913" xr:uid="{3457C257-8DE3-4662-97BA-90726F398D9B}"/>
    <cellStyle name="Millares 6 2 14" xfId="6274" xr:uid="{56774E5B-BFA8-492F-BF2E-ACB86EFAAF02}"/>
    <cellStyle name="Millares 6 2 14 2" xfId="11124" xr:uid="{99DDF4D9-8C16-4EC4-A27E-7CFEA3B11F8D}"/>
    <cellStyle name="Millares 6 2 15" xfId="3851" xr:uid="{E4D54BA1-7A5B-4A24-A8ED-4A8585643F9D}"/>
    <cellStyle name="Millares 6 2 15 2" xfId="8705" xr:uid="{235DDE96-CBF5-4949-9326-5362EE3BC34A}"/>
    <cellStyle name="Millares 6 2 16" xfId="2638" xr:uid="{FD5A66E6-028D-4D46-AF7A-F4CC3FD074D4}"/>
    <cellStyle name="Millares 6 2 17" xfId="7494" xr:uid="{E6CB1564-2A5B-4E6F-9424-9CA0B5342EE7}"/>
    <cellStyle name="Millares 6 2 18" xfId="12113" xr:uid="{64A270BE-5CC4-45B1-912B-2B3BAD9F7330}"/>
    <cellStyle name="Millares 6 2 2" xfId="852" xr:uid="{528C6483-C648-4057-9718-7D5547626BC8}"/>
    <cellStyle name="Millares 6 2 2 10" xfId="6278" xr:uid="{372E874C-8AC4-4549-A8B6-47EA3E9A3E19}"/>
    <cellStyle name="Millares 6 2 2 10 2" xfId="11128" xr:uid="{A8F04867-B01D-4F88-9541-3B67A92F21AF}"/>
    <cellStyle name="Millares 6 2 2 11" xfId="3855" xr:uid="{FD15F5CD-8E42-41DD-99C7-CA01B652FBC1}"/>
    <cellStyle name="Millares 6 2 2 11 2" xfId="8709" xr:uid="{35488193-C517-4DB7-BB33-6581CE79B23B}"/>
    <cellStyle name="Millares 6 2 2 12" xfId="2642" xr:uid="{899FCDE9-EAB2-4B22-8766-C00FEFC3195E}"/>
    <cellStyle name="Millares 6 2 2 13" xfId="7498" xr:uid="{7D4D49D6-250A-4A77-9A75-2F889A56DA94}"/>
    <cellStyle name="Millares 6 2 2 2" xfId="853" xr:uid="{DD968938-2C9F-49F6-9EDB-E1E97D844DAD}"/>
    <cellStyle name="Millares 6 2 2 2 10" xfId="3856" xr:uid="{F6A8FFB4-A427-48CC-B472-1B5556CF0649}"/>
    <cellStyle name="Millares 6 2 2 2 10 2" xfId="8710" xr:uid="{022235DB-4C61-44AA-A181-6A4803E2B615}"/>
    <cellStyle name="Millares 6 2 2 2 11" xfId="2643" xr:uid="{0AED6CE1-CB9E-46A2-AAE2-9B3F3E3C8A8A}"/>
    <cellStyle name="Millares 6 2 2 2 12" xfId="7499" xr:uid="{3334EA52-2D65-4FBD-B378-8E3AD06B9858}"/>
    <cellStyle name="Millares 6 2 2 2 2" xfId="854" xr:uid="{2E898C91-B250-452E-8E55-7745DA1D97F5}"/>
    <cellStyle name="Millares 6 2 2 2 2 10" xfId="2644" xr:uid="{8A482063-DEA4-4AA1-BCF2-557E3D34FB55}"/>
    <cellStyle name="Millares 6 2 2 2 2 11" xfId="7500" xr:uid="{20DF08C8-58DA-4BBA-9F0C-9231DD9364D6}"/>
    <cellStyle name="Millares 6 2 2 2 2 2" xfId="855" xr:uid="{ABDBE235-CCBA-4AAA-B59C-E0526D01BAAE}"/>
    <cellStyle name="Millares 6 2 2 2 2 2 2" xfId="856" xr:uid="{C271ECAF-22DC-4366-B2F3-FC551F29C3DB}"/>
    <cellStyle name="Millares 6 2 2 2 2 2 2 2" xfId="857" xr:uid="{69BA136F-450C-49AD-9608-24AE9F0A3756}"/>
    <cellStyle name="Millares 6 2 2 2 2 2 2 2 2" xfId="2029" xr:uid="{C1131323-4076-457D-8AA1-0D26BE615FED}"/>
    <cellStyle name="Millares 6 2 2 2 2 2 2 2 2 2" xfId="5674" xr:uid="{21032BDD-04E8-4295-A2D9-C1424AAF6F0E}"/>
    <cellStyle name="Millares 6 2 2 2 2 2 2 2 2 2 2" xfId="10526" xr:uid="{9CCEF2F5-445F-4458-82F8-65E33CBFAF42}"/>
    <cellStyle name="Millares 6 2 2 2 2 2 2 2 2 3" xfId="6890" xr:uid="{2ACF5E2B-ACC6-44E8-8734-C8D12156D065}"/>
    <cellStyle name="Millares 6 2 2 2 2 2 2 2 2 3 2" xfId="11738" xr:uid="{58F48902-B883-4137-A170-93B6C92D8AB4}"/>
    <cellStyle name="Millares 6 2 2 2 2 2 2 2 2 4" xfId="4464" xr:uid="{9DCB7ACC-D47C-408B-A731-B474E9DF2307}"/>
    <cellStyle name="Millares 6 2 2 2 2 2 2 2 2 4 2" xfId="9318" xr:uid="{5A2A3531-67A5-443B-BAD8-1264106826E4}"/>
    <cellStyle name="Millares 6 2 2 2 2 2 2 2 2 5" xfId="3251" xr:uid="{9A01AB8C-72F8-402B-AEE7-CDDA999642A0}"/>
    <cellStyle name="Millares 6 2 2 2 2 2 2 2 2 6" xfId="8107" xr:uid="{9E5B588F-B80E-40E4-ADF1-00262766093B}"/>
    <cellStyle name="Millares 6 2 2 2 2 2 2 2 3" xfId="5070" xr:uid="{CE2EB236-9D22-414A-B4FB-B123AEAE0ECC}"/>
    <cellStyle name="Millares 6 2 2 2 2 2 2 2 3 2" xfId="9922" xr:uid="{0BF965A1-F7B2-4327-A165-EA95938A3E47}"/>
    <cellStyle name="Millares 6 2 2 2 2 2 2 2 4" xfId="6283" xr:uid="{D4CA92CB-7590-48BA-AC5C-5BE6325EB31A}"/>
    <cellStyle name="Millares 6 2 2 2 2 2 2 2 4 2" xfId="11133" xr:uid="{8A017E2C-FC35-436F-BE33-ADF2A11522F6}"/>
    <cellStyle name="Millares 6 2 2 2 2 2 2 2 5" xfId="3860" xr:uid="{2A0A4132-60B2-4C2A-9A51-D10DED76A3DE}"/>
    <cellStyle name="Millares 6 2 2 2 2 2 2 2 5 2" xfId="8714" xr:uid="{0BC38835-6440-45B9-85FA-3B788BFDE175}"/>
    <cellStyle name="Millares 6 2 2 2 2 2 2 2 6" xfId="2647" xr:uid="{A4C1220C-4120-4113-8B87-6B510CC315FD}"/>
    <cellStyle name="Millares 6 2 2 2 2 2 2 2 7" xfId="7503" xr:uid="{49473931-9C9E-41AF-AAFC-E1971922702A}"/>
    <cellStyle name="Millares 6 2 2 2 2 2 2 3" xfId="2028" xr:uid="{4F615463-A8F5-4E3A-837E-B160843D65AD}"/>
    <cellStyle name="Millares 6 2 2 2 2 2 2 3 2" xfId="5673" xr:uid="{A5ABB398-97C5-411F-98D8-4D5248998209}"/>
    <cellStyle name="Millares 6 2 2 2 2 2 2 3 2 2" xfId="10525" xr:uid="{006775DB-C5D5-4F50-978A-AF667562D724}"/>
    <cellStyle name="Millares 6 2 2 2 2 2 2 3 3" xfId="6889" xr:uid="{A4EBA877-1C52-4D55-8D8F-0D4562889B0A}"/>
    <cellStyle name="Millares 6 2 2 2 2 2 2 3 3 2" xfId="11737" xr:uid="{25EA3AAA-2D5C-413F-9EEB-EC31EBA87D63}"/>
    <cellStyle name="Millares 6 2 2 2 2 2 2 3 4" xfId="4463" xr:uid="{E1D8F305-BCE9-47E1-B5C3-E1D5A3D7CB83}"/>
    <cellStyle name="Millares 6 2 2 2 2 2 2 3 4 2" xfId="9317" xr:uid="{DF95FF83-098C-4BFA-BA67-7BD1110BB9EA}"/>
    <cellStyle name="Millares 6 2 2 2 2 2 2 3 5" xfId="3250" xr:uid="{B196D324-4D12-4800-9FE6-4EABF33DFD97}"/>
    <cellStyle name="Millares 6 2 2 2 2 2 2 3 6" xfId="8106" xr:uid="{76BFFE8F-534D-450C-BE9E-40E52A6B7C02}"/>
    <cellStyle name="Millares 6 2 2 2 2 2 2 4" xfId="5069" xr:uid="{36631804-ACCC-46F6-8624-7550DA20E732}"/>
    <cellStyle name="Millares 6 2 2 2 2 2 2 4 2" xfId="9921" xr:uid="{4B3702B4-7575-44A2-9B71-D4554B337EB9}"/>
    <cellStyle name="Millares 6 2 2 2 2 2 2 5" xfId="6282" xr:uid="{90FF7378-E4B5-4B89-80E8-4F7C4A5A3B63}"/>
    <cellStyle name="Millares 6 2 2 2 2 2 2 5 2" xfId="11132" xr:uid="{43FD563B-F074-4459-BAE6-781ECBD748E7}"/>
    <cellStyle name="Millares 6 2 2 2 2 2 2 6" xfId="3859" xr:uid="{E500227E-78D6-4C8D-B935-B8BF1CABFEC5}"/>
    <cellStyle name="Millares 6 2 2 2 2 2 2 6 2" xfId="8713" xr:uid="{1CF62E39-30CF-4416-ADC6-0BD9141DFFAD}"/>
    <cellStyle name="Millares 6 2 2 2 2 2 2 7" xfId="2646" xr:uid="{9DFB5400-D9D7-4673-A45C-CAAB03AA8E31}"/>
    <cellStyle name="Millares 6 2 2 2 2 2 2 8" xfId="7502" xr:uid="{424C08D8-A201-446F-A254-7226641E7D99}"/>
    <cellStyle name="Millares 6 2 2 2 2 2 3" xfId="858" xr:uid="{361698AC-8407-4111-A78E-92F66FD08D72}"/>
    <cellStyle name="Millares 6 2 2 2 2 2 3 2" xfId="2030" xr:uid="{966727A0-16EF-4C89-BFAF-64797AAE336C}"/>
    <cellStyle name="Millares 6 2 2 2 2 2 3 2 2" xfId="5675" xr:uid="{8986D432-C903-48DC-971D-3D826116B2A5}"/>
    <cellStyle name="Millares 6 2 2 2 2 2 3 2 2 2" xfId="10527" xr:uid="{29F01A07-62D1-4821-88D8-FB179962BC6A}"/>
    <cellStyle name="Millares 6 2 2 2 2 2 3 2 3" xfId="6891" xr:uid="{FB952CB1-CED4-48AB-8983-2566115EB4FF}"/>
    <cellStyle name="Millares 6 2 2 2 2 2 3 2 3 2" xfId="11739" xr:uid="{57456E4F-D613-4E5A-8517-14157EBBAE07}"/>
    <cellStyle name="Millares 6 2 2 2 2 2 3 2 4" xfId="4465" xr:uid="{1ED91494-EC85-4B92-AEF1-9188F36E1318}"/>
    <cellStyle name="Millares 6 2 2 2 2 2 3 2 4 2" xfId="9319" xr:uid="{E06AA72B-30C2-42D5-A436-A43847F4BFB8}"/>
    <cellStyle name="Millares 6 2 2 2 2 2 3 2 5" xfId="3252" xr:uid="{E63202CD-BE62-45EE-9B69-996E03248200}"/>
    <cellStyle name="Millares 6 2 2 2 2 2 3 2 6" xfId="8108" xr:uid="{15DFB602-5D9B-4853-805D-C8054C53F962}"/>
    <cellStyle name="Millares 6 2 2 2 2 2 3 3" xfId="5071" xr:uid="{16A77F28-6D1E-4724-879C-0FC4D2B691F7}"/>
    <cellStyle name="Millares 6 2 2 2 2 2 3 3 2" xfId="9923" xr:uid="{81693489-3F60-46F4-8DB9-BA862D3409DA}"/>
    <cellStyle name="Millares 6 2 2 2 2 2 3 4" xfId="6284" xr:uid="{4423A6F6-EDB9-4E27-A9FF-EC589F415591}"/>
    <cellStyle name="Millares 6 2 2 2 2 2 3 4 2" xfId="11134" xr:uid="{25A5BB3E-C85C-4626-B812-514D146C6F7E}"/>
    <cellStyle name="Millares 6 2 2 2 2 2 3 5" xfId="3861" xr:uid="{2C1D417C-0B40-4EF8-BDAD-5DE29DD5F7D2}"/>
    <cellStyle name="Millares 6 2 2 2 2 2 3 5 2" xfId="8715" xr:uid="{54E01F93-E4B2-42FE-982B-3A401B6EE570}"/>
    <cellStyle name="Millares 6 2 2 2 2 2 3 6" xfId="2648" xr:uid="{1480A93E-6B8D-453A-9AF8-B2A107C644F3}"/>
    <cellStyle name="Millares 6 2 2 2 2 2 3 7" xfId="7504" xr:uid="{17A8DFEA-B94F-4CD1-AA9B-D184EC4BB2DA}"/>
    <cellStyle name="Millares 6 2 2 2 2 2 4" xfId="2027" xr:uid="{BCE9B0A0-52C3-45AC-A42D-AF3972379765}"/>
    <cellStyle name="Millares 6 2 2 2 2 2 4 2" xfId="5672" xr:uid="{74136629-10A3-472B-B2D0-5ECDE74E58E1}"/>
    <cellStyle name="Millares 6 2 2 2 2 2 4 2 2" xfId="10524" xr:uid="{71454A91-7D8E-4908-B7BF-58519F0C9972}"/>
    <cellStyle name="Millares 6 2 2 2 2 2 4 3" xfId="6888" xr:uid="{8296F818-21C3-4C6F-BEA0-C7DEEF208359}"/>
    <cellStyle name="Millares 6 2 2 2 2 2 4 3 2" xfId="11736" xr:uid="{3D158E52-DFEE-4334-B7BC-2D742E4C9EEC}"/>
    <cellStyle name="Millares 6 2 2 2 2 2 4 4" xfId="4462" xr:uid="{FFD95A01-6B9C-454C-91F6-2680473A31D7}"/>
    <cellStyle name="Millares 6 2 2 2 2 2 4 4 2" xfId="9316" xr:uid="{015B883B-C5A2-4778-89B5-BEE7B9C3DDC7}"/>
    <cellStyle name="Millares 6 2 2 2 2 2 4 5" xfId="3249" xr:uid="{98118F76-5D45-454A-A9FE-8ECB17F2F5A3}"/>
    <cellStyle name="Millares 6 2 2 2 2 2 4 6" xfId="8105" xr:uid="{FEA24102-4E51-4AAB-925F-340E469D689E}"/>
    <cellStyle name="Millares 6 2 2 2 2 2 5" xfId="5068" xr:uid="{D1CB8B77-2C3D-4E25-BC21-4C325CC38768}"/>
    <cellStyle name="Millares 6 2 2 2 2 2 5 2" xfId="9920" xr:uid="{C64AEBF6-8908-4D7F-947B-24B560FE2EA9}"/>
    <cellStyle name="Millares 6 2 2 2 2 2 6" xfId="6281" xr:uid="{919B82F9-E47B-4FA0-BD30-34548C3B706A}"/>
    <cellStyle name="Millares 6 2 2 2 2 2 6 2" xfId="11131" xr:uid="{71203B82-FAF6-48E2-B997-6B839E08052C}"/>
    <cellStyle name="Millares 6 2 2 2 2 2 7" xfId="3858" xr:uid="{C099B3F9-9604-4C6E-8B6B-8ACC2A3BB92E}"/>
    <cellStyle name="Millares 6 2 2 2 2 2 7 2" xfId="8712" xr:uid="{AA737BFE-3376-4744-ADAC-769535D51E08}"/>
    <cellStyle name="Millares 6 2 2 2 2 2 8" xfId="2645" xr:uid="{AE6EDD8E-7BAC-4404-B428-BC09C0ADFBD7}"/>
    <cellStyle name="Millares 6 2 2 2 2 2 9" xfId="7501" xr:uid="{DEC5A010-2B51-42A4-966B-89609241E246}"/>
    <cellStyle name="Millares 6 2 2 2 2 3" xfId="859" xr:uid="{874BCD23-A9D4-49EA-9BB0-7D41D98FE75A}"/>
    <cellStyle name="Millares 6 2 2 2 2 3 2" xfId="860" xr:uid="{868C525E-4041-44FA-A69A-0C519D5E3E2A}"/>
    <cellStyle name="Millares 6 2 2 2 2 3 2 2" xfId="861" xr:uid="{C0BA5155-93E5-44D3-B66A-537DAE444DAE}"/>
    <cellStyle name="Millares 6 2 2 2 2 3 2 2 2" xfId="2033" xr:uid="{1CCACA48-5D58-4FC4-B055-EBCA87FD0D2D}"/>
    <cellStyle name="Millares 6 2 2 2 2 3 2 2 2 2" xfId="5678" xr:uid="{E5D13D1B-7C90-4A44-AD2A-1DC7D89AFE5A}"/>
    <cellStyle name="Millares 6 2 2 2 2 3 2 2 2 2 2" xfId="10530" xr:uid="{D4ED204B-C5A9-4418-A632-87643276DFFA}"/>
    <cellStyle name="Millares 6 2 2 2 2 3 2 2 2 3" xfId="6894" xr:uid="{EA78CBF0-F947-414C-8CC5-E541A442B748}"/>
    <cellStyle name="Millares 6 2 2 2 2 3 2 2 2 3 2" xfId="11742" xr:uid="{0C98833C-29A9-4430-A492-7EF167DA6B3B}"/>
    <cellStyle name="Millares 6 2 2 2 2 3 2 2 2 4" xfId="4468" xr:uid="{76683B74-EE70-4961-8188-FC52DC04B6C9}"/>
    <cellStyle name="Millares 6 2 2 2 2 3 2 2 2 4 2" xfId="9322" xr:uid="{3BE68456-3E04-41F3-80D2-8B95D5B39BA4}"/>
    <cellStyle name="Millares 6 2 2 2 2 3 2 2 2 5" xfId="3255" xr:uid="{60AEF0A1-83CD-4546-A66B-FCE6D2CCB080}"/>
    <cellStyle name="Millares 6 2 2 2 2 3 2 2 2 6" xfId="8111" xr:uid="{8534FBE5-293B-4354-8615-F27600C9523B}"/>
    <cellStyle name="Millares 6 2 2 2 2 3 2 2 3" xfId="5074" xr:uid="{BA91DD2B-6C8D-4DE1-A86B-141DBC187475}"/>
    <cellStyle name="Millares 6 2 2 2 2 3 2 2 3 2" xfId="9926" xr:uid="{68F57D7E-F1F0-4B49-9462-C137A98DCEA8}"/>
    <cellStyle name="Millares 6 2 2 2 2 3 2 2 4" xfId="6287" xr:uid="{28026470-3CF3-4515-88C0-B2642081B42B}"/>
    <cellStyle name="Millares 6 2 2 2 2 3 2 2 4 2" xfId="11137" xr:uid="{5988DAA1-CD29-46E7-A8E2-7A734404CEFF}"/>
    <cellStyle name="Millares 6 2 2 2 2 3 2 2 5" xfId="3864" xr:uid="{49178EF9-46B1-465E-9649-7CCB9B98EE4F}"/>
    <cellStyle name="Millares 6 2 2 2 2 3 2 2 5 2" xfId="8718" xr:uid="{AD0339AC-9864-42D3-8FAA-4476F977AA83}"/>
    <cellStyle name="Millares 6 2 2 2 2 3 2 2 6" xfId="2651" xr:uid="{9F970AB3-529E-456C-BE53-2283FF58E371}"/>
    <cellStyle name="Millares 6 2 2 2 2 3 2 2 7" xfId="7507" xr:uid="{6D3EC8FA-FA59-42F5-971D-C906835DF9DD}"/>
    <cellStyle name="Millares 6 2 2 2 2 3 2 3" xfId="2032" xr:uid="{B4EA0449-EF52-4C14-97D9-14629C7D4B88}"/>
    <cellStyle name="Millares 6 2 2 2 2 3 2 3 2" xfId="5677" xr:uid="{91E0D438-2CF0-4B35-8AAE-4614640DF568}"/>
    <cellStyle name="Millares 6 2 2 2 2 3 2 3 2 2" xfId="10529" xr:uid="{F5BC4FC2-1D5F-4309-A776-4F8D399E0B42}"/>
    <cellStyle name="Millares 6 2 2 2 2 3 2 3 3" xfId="6893" xr:uid="{FF8073B8-B9E8-4C0A-950D-2BACF363443C}"/>
    <cellStyle name="Millares 6 2 2 2 2 3 2 3 3 2" xfId="11741" xr:uid="{14E82B58-4457-4C39-9E18-438C3EA419B8}"/>
    <cellStyle name="Millares 6 2 2 2 2 3 2 3 4" xfId="4467" xr:uid="{47CEC830-40B3-4FFA-882A-A37B54D21093}"/>
    <cellStyle name="Millares 6 2 2 2 2 3 2 3 4 2" xfId="9321" xr:uid="{84ED9EC5-347D-49C1-BE5A-100005516CE0}"/>
    <cellStyle name="Millares 6 2 2 2 2 3 2 3 5" xfId="3254" xr:uid="{1DE0020D-AB15-4477-828D-236BC0255575}"/>
    <cellStyle name="Millares 6 2 2 2 2 3 2 3 6" xfId="8110" xr:uid="{E2173242-B25E-4D8D-A934-0CFF5FEA4D69}"/>
    <cellStyle name="Millares 6 2 2 2 2 3 2 4" xfId="5073" xr:uid="{10AC2512-EC47-4B9C-A9EC-B11C56BBA719}"/>
    <cellStyle name="Millares 6 2 2 2 2 3 2 4 2" xfId="9925" xr:uid="{D5CAD14A-6330-430C-A737-E337B997A27A}"/>
    <cellStyle name="Millares 6 2 2 2 2 3 2 5" xfId="6286" xr:uid="{C505735E-B5D3-4BA7-931B-B81FC85BB020}"/>
    <cellStyle name="Millares 6 2 2 2 2 3 2 5 2" xfId="11136" xr:uid="{0FACBFEA-0E51-4F0C-9C1F-2AE7EA8A7960}"/>
    <cellStyle name="Millares 6 2 2 2 2 3 2 6" xfId="3863" xr:uid="{D291A3C6-1798-4CC6-80BE-DDD90C82DFE0}"/>
    <cellStyle name="Millares 6 2 2 2 2 3 2 6 2" xfId="8717" xr:uid="{843D8BB4-01A1-4122-9A94-15CD6F6E589D}"/>
    <cellStyle name="Millares 6 2 2 2 2 3 2 7" xfId="2650" xr:uid="{62BC376D-4D12-47ED-9DDC-189D6F896B0C}"/>
    <cellStyle name="Millares 6 2 2 2 2 3 2 8" xfId="7506" xr:uid="{061CB2E8-066C-4AB4-B929-3FF8C8647D08}"/>
    <cellStyle name="Millares 6 2 2 2 2 3 3" xfId="862" xr:uid="{F9EA0051-47D6-4834-8E08-9141B68651DC}"/>
    <cellStyle name="Millares 6 2 2 2 2 3 3 2" xfId="2034" xr:uid="{5E7B7D3E-E5EC-4DA1-9479-09975BB47BCE}"/>
    <cellStyle name="Millares 6 2 2 2 2 3 3 2 2" xfId="5679" xr:uid="{FEFDA372-290E-498D-8EDD-4CFBA8CBA4D8}"/>
    <cellStyle name="Millares 6 2 2 2 2 3 3 2 2 2" xfId="10531" xr:uid="{BEDF1FCC-0FA4-44D8-91CD-0AFCF5EDF3E8}"/>
    <cellStyle name="Millares 6 2 2 2 2 3 3 2 3" xfId="6895" xr:uid="{839B16AA-F79E-4FE7-9E16-BF96342196EE}"/>
    <cellStyle name="Millares 6 2 2 2 2 3 3 2 3 2" xfId="11743" xr:uid="{E2F8FF26-EF5D-4998-BC57-350B5169D6CC}"/>
    <cellStyle name="Millares 6 2 2 2 2 3 3 2 4" xfId="4469" xr:uid="{FE9BCAB6-4DC0-4877-9FBF-ADB559687926}"/>
    <cellStyle name="Millares 6 2 2 2 2 3 3 2 4 2" xfId="9323" xr:uid="{53FA30FE-9DE5-4201-A983-EF152693621A}"/>
    <cellStyle name="Millares 6 2 2 2 2 3 3 2 5" xfId="3256" xr:uid="{8B5EBBD8-5246-4029-B326-B3918159DA4D}"/>
    <cellStyle name="Millares 6 2 2 2 2 3 3 2 6" xfId="8112" xr:uid="{697E3F4E-98E5-44EE-8251-3E97AB56D73B}"/>
    <cellStyle name="Millares 6 2 2 2 2 3 3 3" xfId="5075" xr:uid="{2F2A8C80-B078-4846-8337-F100DC76AAD4}"/>
    <cellStyle name="Millares 6 2 2 2 2 3 3 3 2" xfId="9927" xr:uid="{57F2BD1B-A519-445A-906D-5E59C5D0F941}"/>
    <cellStyle name="Millares 6 2 2 2 2 3 3 4" xfId="6288" xr:uid="{5510B6F5-CBEC-4DC9-9993-DB0B253E2122}"/>
    <cellStyle name="Millares 6 2 2 2 2 3 3 4 2" xfId="11138" xr:uid="{3C076D3E-9808-4B1C-A0CB-B74B5A535F0C}"/>
    <cellStyle name="Millares 6 2 2 2 2 3 3 5" xfId="3865" xr:uid="{52882103-9408-4684-B4B8-C824665C8C27}"/>
    <cellStyle name="Millares 6 2 2 2 2 3 3 5 2" xfId="8719" xr:uid="{C37529BB-BA8E-4817-9321-6985D143595E}"/>
    <cellStyle name="Millares 6 2 2 2 2 3 3 6" xfId="2652" xr:uid="{5C75A084-8965-47E5-96CF-0227ADE0EE69}"/>
    <cellStyle name="Millares 6 2 2 2 2 3 3 7" xfId="7508" xr:uid="{6C067F3E-CC75-4785-959C-289AB7877FF8}"/>
    <cellStyle name="Millares 6 2 2 2 2 3 4" xfId="2031" xr:uid="{501DBB4F-1F3B-4BA8-8169-A1A98813951D}"/>
    <cellStyle name="Millares 6 2 2 2 2 3 4 2" xfId="5676" xr:uid="{6068DF59-23D6-4C17-86D9-38B7FDCBA77F}"/>
    <cellStyle name="Millares 6 2 2 2 2 3 4 2 2" xfId="10528" xr:uid="{CA66C454-DFC8-4C71-95FA-B71E2F65CD33}"/>
    <cellStyle name="Millares 6 2 2 2 2 3 4 3" xfId="6892" xr:uid="{3325AE56-E0D9-471F-BAE9-ACA40B1BCBB6}"/>
    <cellStyle name="Millares 6 2 2 2 2 3 4 3 2" xfId="11740" xr:uid="{F9963094-0EFA-4B49-9763-FF511A065DCC}"/>
    <cellStyle name="Millares 6 2 2 2 2 3 4 4" xfId="4466" xr:uid="{BC39563F-9843-4467-85CD-0AD5493367A5}"/>
    <cellStyle name="Millares 6 2 2 2 2 3 4 4 2" xfId="9320" xr:uid="{C48B626A-8788-4233-848E-2810562BFC5D}"/>
    <cellStyle name="Millares 6 2 2 2 2 3 4 5" xfId="3253" xr:uid="{61BF5F44-6F40-446D-A72F-4DE333084523}"/>
    <cellStyle name="Millares 6 2 2 2 2 3 4 6" xfId="8109" xr:uid="{B95A02A2-BA7D-4E51-831D-FAFCCB110E88}"/>
    <cellStyle name="Millares 6 2 2 2 2 3 5" xfId="5072" xr:uid="{33BA87B7-AA6B-4D46-88A4-8762F6615D6D}"/>
    <cellStyle name="Millares 6 2 2 2 2 3 5 2" xfId="9924" xr:uid="{F6DF0749-436E-4ACA-BCFC-9F9E88AC8220}"/>
    <cellStyle name="Millares 6 2 2 2 2 3 6" xfId="6285" xr:uid="{B5DF583E-1E7A-4AE6-9583-7912C0B8F8D7}"/>
    <cellStyle name="Millares 6 2 2 2 2 3 6 2" xfId="11135" xr:uid="{C0F4956D-43EE-4903-AA14-ACCF03589CCD}"/>
    <cellStyle name="Millares 6 2 2 2 2 3 7" xfId="3862" xr:uid="{6C764343-BE40-4808-B2EE-A53F91FCBA09}"/>
    <cellStyle name="Millares 6 2 2 2 2 3 7 2" xfId="8716" xr:uid="{DC6CC141-86A4-413D-BEAC-E603C95EBC16}"/>
    <cellStyle name="Millares 6 2 2 2 2 3 8" xfId="2649" xr:uid="{5EC834E3-247A-473C-B074-993C02A70987}"/>
    <cellStyle name="Millares 6 2 2 2 2 3 9" xfId="7505" xr:uid="{F84FC32D-A480-4C46-B7AC-587AD6882AB1}"/>
    <cellStyle name="Millares 6 2 2 2 2 4" xfId="863" xr:uid="{FB8E91AA-8C45-45E6-A4F5-4AA77B329B7A}"/>
    <cellStyle name="Millares 6 2 2 2 2 4 2" xfId="864" xr:uid="{E8574729-2DA3-4AA8-8202-6A3A1166EA10}"/>
    <cellStyle name="Millares 6 2 2 2 2 4 2 2" xfId="2036" xr:uid="{9DC600F9-E8E9-4816-B33E-07E3600AE58F}"/>
    <cellStyle name="Millares 6 2 2 2 2 4 2 2 2" xfId="5681" xr:uid="{E10F5F39-A818-4015-9EE5-E274D4B3D321}"/>
    <cellStyle name="Millares 6 2 2 2 2 4 2 2 2 2" xfId="10533" xr:uid="{A0844C29-8B9F-4827-A2E0-5F68006E3077}"/>
    <cellStyle name="Millares 6 2 2 2 2 4 2 2 3" xfId="6897" xr:uid="{E3778077-18B6-4333-942B-4D409C0276CE}"/>
    <cellStyle name="Millares 6 2 2 2 2 4 2 2 3 2" xfId="11745" xr:uid="{AE3408CF-1A9B-485E-89C5-7AE735BE111F}"/>
    <cellStyle name="Millares 6 2 2 2 2 4 2 2 4" xfId="4471" xr:uid="{685D4026-8A8D-4E0F-AA2A-8CA48B039A42}"/>
    <cellStyle name="Millares 6 2 2 2 2 4 2 2 4 2" xfId="9325" xr:uid="{3E262A0F-79FA-4B61-A635-43E10141A5F1}"/>
    <cellStyle name="Millares 6 2 2 2 2 4 2 2 5" xfId="3258" xr:uid="{C9983951-AE9C-43C5-876B-3B026C986914}"/>
    <cellStyle name="Millares 6 2 2 2 2 4 2 2 6" xfId="8114" xr:uid="{DBD80E71-40B2-4663-BA25-107F27C3EEA8}"/>
    <cellStyle name="Millares 6 2 2 2 2 4 2 3" xfId="5077" xr:uid="{EF939249-323D-4B42-8B04-7C9CC8510471}"/>
    <cellStyle name="Millares 6 2 2 2 2 4 2 3 2" xfId="9929" xr:uid="{9A19AEA2-AF11-47D6-95C1-03CE2740BA4F}"/>
    <cellStyle name="Millares 6 2 2 2 2 4 2 4" xfId="6290" xr:uid="{96FDAE0E-930A-45A2-A7A3-6F516A3F8963}"/>
    <cellStyle name="Millares 6 2 2 2 2 4 2 4 2" xfId="11140" xr:uid="{E337500A-0967-4C1C-BB68-029CC05E331F}"/>
    <cellStyle name="Millares 6 2 2 2 2 4 2 5" xfId="3867" xr:uid="{E93FE23F-FF88-43FA-A272-DDD1F489487F}"/>
    <cellStyle name="Millares 6 2 2 2 2 4 2 5 2" xfId="8721" xr:uid="{08CAFBBC-65D8-456D-B952-AE85E3A0FB4D}"/>
    <cellStyle name="Millares 6 2 2 2 2 4 2 6" xfId="2654" xr:uid="{AA4CA85A-3B21-4DDF-8139-007118529D43}"/>
    <cellStyle name="Millares 6 2 2 2 2 4 2 7" xfId="7510" xr:uid="{B0A82476-12C2-401A-8280-C98DE27B7F25}"/>
    <cellStyle name="Millares 6 2 2 2 2 4 3" xfId="2035" xr:uid="{735E0C5E-1815-4925-9D73-3B4E5ABD077D}"/>
    <cellStyle name="Millares 6 2 2 2 2 4 3 2" xfId="5680" xr:uid="{56CEE2FC-755B-4405-9964-60995637293B}"/>
    <cellStyle name="Millares 6 2 2 2 2 4 3 2 2" xfId="10532" xr:uid="{988CA121-0E60-475C-ACEA-B6F1B7B7229B}"/>
    <cellStyle name="Millares 6 2 2 2 2 4 3 3" xfId="6896" xr:uid="{203D37D8-3745-4982-B4CA-6FE4F19A4E86}"/>
    <cellStyle name="Millares 6 2 2 2 2 4 3 3 2" xfId="11744" xr:uid="{417F14DE-06F4-4EF5-BBEA-7B5273BA48F7}"/>
    <cellStyle name="Millares 6 2 2 2 2 4 3 4" xfId="4470" xr:uid="{B9474CAA-2544-4327-830F-4B8764E8FEF5}"/>
    <cellStyle name="Millares 6 2 2 2 2 4 3 4 2" xfId="9324" xr:uid="{BA2AC9FD-48E7-4373-94E3-239AE406DCDB}"/>
    <cellStyle name="Millares 6 2 2 2 2 4 3 5" xfId="3257" xr:uid="{B0F35816-CC52-4EF7-93E0-7C30EC54101C}"/>
    <cellStyle name="Millares 6 2 2 2 2 4 3 6" xfId="8113" xr:uid="{E49529E5-ABA3-48AC-AF99-ECDD2BE494E4}"/>
    <cellStyle name="Millares 6 2 2 2 2 4 4" xfId="5076" xr:uid="{B848509E-C722-4CC3-AE72-07C4C5768A28}"/>
    <cellStyle name="Millares 6 2 2 2 2 4 4 2" xfId="9928" xr:uid="{F3D20E6A-E2AD-42E0-A57D-5217B352A37C}"/>
    <cellStyle name="Millares 6 2 2 2 2 4 5" xfId="6289" xr:uid="{74819D1F-2401-4BA1-B899-9E20C64F0D10}"/>
    <cellStyle name="Millares 6 2 2 2 2 4 5 2" xfId="11139" xr:uid="{3C03E548-4ABB-4559-AEDE-1A8E4F9EBDE1}"/>
    <cellStyle name="Millares 6 2 2 2 2 4 6" xfId="3866" xr:uid="{3A4625D1-BF3E-41EA-94DA-BF47C7CDA1A6}"/>
    <cellStyle name="Millares 6 2 2 2 2 4 6 2" xfId="8720" xr:uid="{15125827-57EA-492A-909D-16BE2E172B56}"/>
    <cellStyle name="Millares 6 2 2 2 2 4 7" xfId="2653" xr:uid="{D34B72F6-3EB2-4FEE-9471-28537E848AB7}"/>
    <cellStyle name="Millares 6 2 2 2 2 4 8" xfId="7509" xr:uid="{D4F4C541-B721-4124-B598-223F60B5DBC7}"/>
    <cellStyle name="Millares 6 2 2 2 2 5" xfId="865" xr:uid="{C6B1E4EF-9BD8-4A59-A536-817CCA73C24B}"/>
    <cellStyle name="Millares 6 2 2 2 2 5 2" xfId="2037" xr:uid="{F6F5E841-F945-4603-B360-47F40E1C2D35}"/>
    <cellStyle name="Millares 6 2 2 2 2 5 2 2" xfId="5682" xr:uid="{CB1AEB81-EB24-4C11-B977-1AE378766BDC}"/>
    <cellStyle name="Millares 6 2 2 2 2 5 2 2 2" xfId="10534" xr:uid="{2F9FBA1A-E9C2-4F22-85C8-019E8C69F335}"/>
    <cellStyle name="Millares 6 2 2 2 2 5 2 3" xfId="6898" xr:uid="{F9471ED9-C46E-4F2B-A0B7-CF50D4165BFA}"/>
    <cellStyle name="Millares 6 2 2 2 2 5 2 3 2" xfId="11746" xr:uid="{AAA463B9-426E-4FE9-B008-7E251B436594}"/>
    <cellStyle name="Millares 6 2 2 2 2 5 2 4" xfId="4472" xr:uid="{61B1B8E8-E131-4872-A1A1-98616427C3B9}"/>
    <cellStyle name="Millares 6 2 2 2 2 5 2 4 2" xfId="9326" xr:uid="{CA499FA8-78A4-422C-98B4-1194CC280CB0}"/>
    <cellStyle name="Millares 6 2 2 2 2 5 2 5" xfId="3259" xr:uid="{212DDBAA-0F33-4755-8B36-907590A025AB}"/>
    <cellStyle name="Millares 6 2 2 2 2 5 2 6" xfId="8115" xr:uid="{2977CB9C-2818-44F9-B331-E701C7333361}"/>
    <cellStyle name="Millares 6 2 2 2 2 5 3" xfId="5078" xr:uid="{9BFB6412-BD2D-43A7-AE9C-07223C2415CE}"/>
    <cellStyle name="Millares 6 2 2 2 2 5 3 2" xfId="9930" xr:uid="{F297B2AF-E24D-4BDF-92F8-0CDFC35C1620}"/>
    <cellStyle name="Millares 6 2 2 2 2 5 4" xfId="6291" xr:uid="{57819CF9-68F2-41BB-A9C4-C75181ECF878}"/>
    <cellStyle name="Millares 6 2 2 2 2 5 4 2" xfId="11141" xr:uid="{4DA19641-5C55-46D4-8ADB-FD691E9B0580}"/>
    <cellStyle name="Millares 6 2 2 2 2 5 5" xfId="3868" xr:uid="{A4B4442B-6824-4ACF-BD49-E44F0AE49D13}"/>
    <cellStyle name="Millares 6 2 2 2 2 5 5 2" xfId="8722" xr:uid="{4A335B51-E2F8-464F-9F9C-4E33C341DA0E}"/>
    <cellStyle name="Millares 6 2 2 2 2 5 6" xfId="2655" xr:uid="{7F0737A1-D518-4B3B-9C06-56BE6F449ABB}"/>
    <cellStyle name="Millares 6 2 2 2 2 5 7" xfId="7511" xr:uid="{1DDE7A9B-EA95-4AFB-98A8-E4D28F324415}"/>
    <cellStyle name="Millares 6 2 2 2 2 6" xfId="2026" xr:uid="{A2917B23-C709-41C9-837A-81A2455BAF67}"/>
    <cellStyle name="Millares 6 2 2 2 2 6 2" xfId="5671" xr:uid="{ED6D943D-5BAB-4E3D-A39E-CBA992DE5092}"/>
    <cellStyle name="Millares 6 2 2 2 2 6 2 2" xfId="10523" xr:uid="{6B61950F-5187-4B3E-AEE7-105190F579FA}"/>
    <cellStyle name="Millares 6 2 2 2 2 6 3" xfId="6887" xr:uid="{30D05C47-A325-41CD-BCD6-9078F9B34C60}"/>
    <cellStyle name="Millares 6 2 2 2 2 6 3 2" xfId="11735" xr:uid="{727C42DC-61DE-4AEB-830A-B07495D7268A}"/>
    <cellStyle name="Millares 6 2 2 2 2 6 4" xfId="4461" xr:uid="{56ACB552-D954-40EA-9135-74B58FF065C2}"/>
    <cellStyle name="Millares 6 2 2 2 2 6 4 2" xfId="9315" xr:uid="{79A4F6E3-9719-4B5A-A0DE-E887BC9C9010}"/>
    <cellStyle name="Millares 6 2 2 2 2 6 5" xfId="3248" xr:uid="{0170A9FC-476F-41D7-A1FF-B890D68554FB}"/>
    <cellStyle name="Millares 6 2 2 2 2 6 6" xfId="8104" xr:uid="{FE2A3F8B-1756-4A15-B7B1-D7D872E3C61F}"/>
    <cellStyle name="Millares 6 2 2 2 2 7" xfId="5067" xr:uid="{1199C2B3-CDF4-4C1D-AE00-2A043A48368E}"/>
    <cellStyle name="Millares 6 2 2 2 2 7 2" xfId="9919" xr:uid="{6C166BF6-437F-4659-ADF3-8C54B00E703C}"/>
    <cellStyle name="Millares 6 2 2 2 2 8" xfId="6280" xr:uid="{0477DC9A-D398-4B18-8469-D877EC16A149}"/>
    <cellStyle name="Millares 6 2 2 2 2 8 2" xfId="11130" xr:uid="{28A72E58-6B4E-4409-948E-A38A2B7F017E}"/>
    <cellStyle name="Millares 6 2 2 2 2 9" xfId="3857" xr:uid="{E27CA24C-57B3-41C5-9E5B-614D0F0381A0}"/>
    <cellStyle name="Millares 6 2 2 2 2 9 2" xfId="8711" xr:uid="{75F78F88-0D1F-4998-938F-85980CA02D58}"/>
    <cellStyle name="Millares 6 2 2 2 3" xfId="866" xr:uid="{CE8BAB73-9193-42E9-B652-B274553EE105}"/>
    <cellStyle name="Millares 6 2 2 2 3 2" xfId="867" xr:uid="{CE727B83-8C17-4568-BCCE-8000F80EF1A7}"/>
    <cellStyle name="Millares 6 2 2 2 3 2 2" xfId="868" xr:uid="{2256348B-663B-4092-AD0B-C056A759F844}"/>
    <cellStyle name="Millares 6 2 2 2 3 2 2 2" xfId="2040" xr:uid="{285DAB24-72DB-493A-9474-EE19C1AA5466}"/>
    <cellStyle name="Millares 6 2 2 2 3 2 2 2 2" xfId="5685" xr:uid="{CCE7439E-9B66-4A9B-97AC-68E9830228E5}"/>
    <cellStyle name="Millares 6 2 2 2 3 2 2 2 2 2" xfId="10537" xr:uid="{90E7777E-EEA4-4DD9-A386-302CBC62DAC2}"/>
    <cellStyle name="Millares 6 2 2 2 3 2 2 2 3" xfId="6901" xr:uid="{279D7872-9E23-4A22-A993-7655C0117347}"/>
    <cellStyle name="Millares 6 2 2 2 3 2 2 2 3 2" xfId="11749" xr:uid="{5A37938F-A1A3-4B24-BFE0-18CC4325EC29}"/>
    <cellStyle name="Millares 6 2 2 2 3 2 2 2 4" xfId="4475" xr:uid="{554F7863-32DF-47FD-AFF4-9962239300A9}"/>
    <cellStyle name="Millares 6 2 2 2 3 2 2 2 4 2" xfId="9329" xr:uid="{0641156F-4407-465B-8F19-451D4CB3B2D4}"/>
    <cellStyle name="Millares 6 2 2 2 3 2 2 2 5" xfId="3262" xr:uid="{DD5AACB7-C3E7-42CE-8E49-7B4ACB98B6AD}"/>
    <cellStyle name="Millares 6 2 2 2 3 2 2 2 6" xfId="8118" xr:uid="{0C879515-5DDF-4AAE-8BE6-C118FA07C7BB}"/>
    <cellStyle name="Millares 6 2 2 2 3 2 2 3" xfId="5081" xr:uid="{9818B91D-BE4B-4D9A-AB8D-E7C4D10B24B4}"/>
    <cellStyle name="Millares 6 2 2 2 3 2 2 3 2" xfId="9933" xr:uid="{D6028382-B8D7-41CF-9285-AB9C40B5ECC2}"/>
    <cellStyle name="Millares 6 2 2 2 3 2 2 4" xfId="6294" xr:uid="{FA20F45E-4C3A-465F-A683-F64B157A5482}"/>
    <cellStyle name="Millares 6 2 2 2 3 2 2 4 2" xfId="11144" xr:uid="{7B04EB40-4A70-4AB4-BBC2-B5116261DC97}"/>
    <cellStyle name="Millares 6 2 2 2 3 2 2 5" xfId="3871" xr:uid="{E5FCF235-45BD-4B74-A347-C0AD1C8BB727}"/>
    <cellStyle name="Millares 6 2 2 2 3 2 2 5 2" xfId="8725" xr:uid="{CDD2C6F8-90D8-48F6-BA2B-9657070432FA}"/>
    <cellStyle name="Millares 6 2 2 2 3 2 2 6" xfId="2658" xr:uid="{7077F8D1-8491-4F79-9442-0B8331AAB3BF}"/>
    <cellStyle name="Millares 6 2 2 2 3 2 2 7" xfId="7514" xr:uid="{71995525-CCA4-482F-A963-0DCBB9726611}"/>
    <cellStyle name="Millares 6 2 2 2 3 2 3" xfId="2039" xr:uid="{FF1F4492-4DDC-481F-AD83-B19EE09D7A0E}"/>
    <cellStyle name="Millares 6 2 2 2 3 2 3 2" xfId="5684" xr:uid="{2F066B5F-3AD0-4002-8B4E-6040F28B1CD6}"/>
    <cellStyle name="Millares 6 2 2 2 3 2 3 2 2" xfId="10536" xr:uid="{A2E1C073-3454-4CC2-AFEE-821952FC70C2}"/>
    <cellStyle name="Millares 6 2 2 2 3 2 3 3" xfId="6900" xr:uid="{ED0D52CA-CBA6-437F-A11B-84CDED340ABC}"/>
    <cellStyle name="Millares 6 2 2 2 3 2 3 3 2" xfId="11748" xr:uid="{F48496BD-E853-41E5-8933-43F7D7E900F5}"/>
    <cellStyle name="Millares 6 2 2 2 3 2 3 4" xfId="4474" xr:uid="{D596DA08-DBC9-4F79-BC21-CD6EF9EC871E}"/>
    <cellStyle name="Millares 6 2 2 2 3 2 3 4 2" xfId="9328" xr:uid="{C600ACAE-BF49-49C3-839C-4EECB625474D}"/>
    <cellStyle name="Millares 6 2 2 2 3 2 3 5" xfId="3261" xr:uid="{D9C97165-9639-43C8-84D7-DB85122509E4}"/>
    <cellStyle name="Millares 6 2 2 2 3 2 3 6" xfId="8117" xr:uid="{2CF1EA01-30E1-4761-90D8-29E185F7E606}"/>
    <cellStyle name="Millares 6 2 2 2 3 2 4" xfId="5080" xr:uid="{7DCC880C-E04D-4FCB-9D8F-F347F3D68B7C}"/>
    <cellStyle name="Millares 6 2 2 2 3 2 4 2" xfId="9932" xr:uid="{42E330AA-6CB4-4F0E-9907-948F9FF2AC6E}"/>
    <cellStyle name="Millares 6 2 2 2 3 2 5" xfId="6293" xr:uid="{3F0B1D84-0CBA-4974-99DB-19CB53AAD874}"/>
    <cellStyle name="Millares 6 2 2 2 3 2 5 2" xfId="11143" xr:uid="{C2D3D49A-2E49-4DBF-8B41-55B9EDA8EB70}"/>
    <cellStyle name="Millares 6 2 2 2 3 2 6" xfId="3870" xr:uid="{2DCC80A6-FDAA-40D4-8363-731E4BB5B430}"/>
    <cellStyle name="Millares 6 2 2 2 3 2 6 2" xfId="8724" xr:uid="{1DA4B90C-0AE0-47C3-AAFF-DD5E79D49946}"/>
    <cellStyle name="Millares 6 2 2 2 3 2 7" xfId="2657" xr:uid="{6D93ECA9-7ECC-476A-9F11-A79CC4923894}"/>
    <cellStyle name="Millares 6 2 2 2 3 2 8" xfId="7513" xr:uid="{2408C05B-4B06-4C7E-B331-523C0AD8D8DE}"/>
    <cellStyle name="Millares 6 2 2 2 3 3" xfId="869" xr:uid="{C159D308-6A13-49E5-9FD6-3382371709D4}"/>
    <cellStyle name="Millares 6 2 2 2 3 3 2" xfId="2041" xr:uid="{C8C1B243-1AE7-434C-94BE-D2B0277C215A}"/>
    <cellStyle name="Millares 6 2 2 2 3 3 2 2" xfId="5686" xr:uid="{153C8069-8ECC-4608-A486-4CF0E42E08A8}"/>
    <cellStyle name="Millares 6 2 2 2 3 3 2 2 2" xfId="10538" xr:uid="{90D26F36-FC61-45AC-AB2D-02BD6126898F}"/>
    <cellStyle name="Millares 6 2 2 2 3 3 2 3" xfId="6902" xr:uid="{7C02FB39-EB8D-4F8A-9D1B-FAA72E594843}"/>
    <cellStyle name="Millares 6 2 2 2 3 3 2 3 2" xfId="11750" xr:uid="{5F825CFE-290A-4F03-83B5-24F72DFD110A}"/>
    <cellStyle name="Millares 6 2 2 2 3 3 2 4" xfId="4476" xr:uid="{5A325DE5-31D6-4639-A16E-43340A22E5D7}"/>
    <cellStyle name="Millares 6 2 2 2 3 3 2 4 2" xfId="9330" xr:uid="{F87BAB48-2A81-4B92-9D4A-B59E2CC27F40}"/>
    <cellStyle name="Millares 6 2 2 2 3 3 2 5" xfId="3263" xr:uid="{28B72BE1-F9AB-4495-A358-FE7F04A966E3}"/>
    <cellStyle name="Millares 6 2 2 2 3 3 2 6" xfId="8119" xr:uid="{6986BE69-3C39-48D8-88A5-8BD8216BC9B8}"/>
    <cellStyle name="Millares 6 2 2 2 3 3 3" xfId="5082" xr:uid="{A001A399-427F-4D82-AE4D-2242E4E4C36D}"/>
    <cellStyle name="Millares 6 2 2 2 3 3 3 2" xfId="9934" xr:uid="{0BF035B3-7CD7-4E79-ACEE-73D8799B1ED0}"/>
    <cellStyle name="Millares 6 2 2 2 3 3 4" xfId="6295" xr:uid="{30331B2F-DEC0-40C9-9FF5-5E0B089BD3F5}"/>
    <cellStyle name="Millares 6 2 2 2 3 3 4 2" xfId="11145" xr:uid="{F52CBE6E-49F1-4364-AB36-37B9C80F3F96}"/>
    <cellStyle name="Millares 6 2 2 2 3 3 5" xfId="3872" xr:uid="{4F172391-1C61-4B49-A2DE-1927983C3B9A}"/>
    <cellStyle name="Millares 6 2 2 2 3 3 5 2" xfId="8726" xr:uid="{34D9FCFE-ECF0-4421-B67B-6377B1DB18D9}"/>
    <cellStyle name="Millares 6 2 2 2 3 3 6" xfId="2659" xr:uid="{F7237F25-3515-42F3-B7E7-CB9FC5710B88}"/>
    <cellStyle name="Millares 6 2 2 2 3 3 7" xfId="7515" xr:uid="{DFD4C968-6AEC-4986-A2B0-2C67DBD7A19D}"/>
    <cellStyle name="Millares 6 2 2 2 3 4" xfId="2038" xr:uid="{AE528283-46BF-4607-80D6-F8D0A2C5F5B5}"/>
    <cellStyle name="Millares 6 2 2 2 3 4 2" xfId="5683" xr:uid="{14057BE7-245A-455A-9171-3237FF3B8794}"/>
    <cellStyle name="Millares 6 2 2 2 3 4 2 2" xfId="10535" xr:uid="{9BD11CB0-C267-4AE7-8FDC-B5A7FEE34711}"/>
    <cellStyle name="Millares 6 2 2 2 3 4 3" xfId="6899" xr:uid="{3999F4FD-DD87-4A2B-8AAE-A55E0E1E83F6}"/>
    <cellStyle name="Millares 6 2 2 2 3 4 3 2" xfId="11747" xr:uid="{D79536A2-C197-4821-AC2A-8F7937031C29}"/>
    <cellStyle name="Millares 6 2 2 2 3 4 4" xfId="4473" xr:uid="{F95BFBA2-8610-4A2D-B59B-61F58CD2DF90}"/>
    <cellStyle name="Millares 6 2 2 2 3 4 4 2" xfId="9327" xr:uid="{0E9ACEA8-881B-41BE-BCB1-402DDE3F8635}"/>
    <cellStyle name="Millares 6 2 2 2 3 4 5" xfId="3260" xr:uid="{8EF75DF7-50B3-45FD-A70D-336E8A4E2D1C}"/>
    <cellStyle name="Millares 6 2 2 2 3 4 6" xfId="8116" xr:uid="{B7E15286-F47E-428D-B7EC-35E2C9CD0C93}"/>
    <cellStyle name="Millares 6 2 2 2 3 5" xfId="5079" xr:uid="{6CBD27A1-35B0-4684-BEDD-FC6FCD27B652}"/>
    <cellStyle name="Millares 6 2 2 2 3 5 2" xfId="9931" xr:uid="{D9F08D66-3FBA-4A02-AE80-5C897896A2A5}"/>
    <cellStyle name="Millares 6 2 2 2 3 6" xfId="6292" xr:uid="{02B728F9-B837-446F-8CAE-A196FF005DD9}"/>
    <cellStyle name="Millares 6 2 2 2 3 6 2" xfId="11142" xr:uid="{6C2C0744-9021-4163-8F53-21FB9D6C5B83}"/>
    <cellStyle name="Millares 6 2 2 2 3 7" xfId="3869" xr:uid="{BB6A8813-CEDC-458F-974D-041C67A22C0F}"/>
    <cellStyle name="Millares 6 2 2 2 3 7 2" xfId="8723" xr:uid="{1EC3DDC0-9D0C-467B-BC05-72A1B714697D}"/>
    <cellStyle name="Millares 6 2 2 2 3 8" xfId="2656" xr:uid="{478A38DB-2E12-4DC8-AB0E-EDEBE25A2AF0}"/>
    <cellStyle name="Millares 6 2 2 2 3 9" xfId="7512" xr:uid="{58D3C16F-10AA-46AA-8C72-558A01B171C9}"/>
    <cellStyle name="Millares 6 2 2 2 4" xfId="870" xr:uid="{AA369CD1-34B5-42DF-861A-ABE00CF29958}"/>
    <cellStyle name="Millares 6 2 2 2 4 2" xfId="871" xr:uid="{5B7A8C9C-3F7E-4F23-AD6C-AE9CA2059BD8}"/>
    <cellStyle name="Millares 6 2 2 2 4 2 2" xfId="872" xr:uid="{5D61235D-510E-49E5-87D1-2B23A67B02C7}"/>
    <cellStyle name="Millares 6 2 2 2 4 2 2 2" xfId="2044" xr:uid="{DD4A7FA5-1B05-489E-A3AC-933D20A72B77}"/>
    <cellStyle name="Millares 6 2 2 2 4 2 2 2 2" xfId="5689" xr:uid="{A46C4604-14F3-43A3-A5FE-5FF220CDDA79}"/>
    <cellStyle name="Millares 6 2 2 2 4 2 2 2 2 2" xfId="10541" xr:uid="{A403B356-BF71-4EE3-826D-E1D149C98784}"/>
    <cellStyle name="Millares 6 2 2 2 4 2 2 2 3" xfId="6905" xr:uid="{380ACC23-7327-4EAC-8EEA-B4DC5736C951}"/>
    <cellStyle name="Millares 6 2 2 2 4 2 2 2 3 2" xfId="11753" xr:uid="{BE37E916-016F-46B8-8543-33F9FFB51136}"/>
    <cellStyle name="Millares 6 2 2 2 4 2 2 2 4" xfId="4479" xr:uid="{86482BA7-AD00-49AE-A594-66B7F002A84D}"/>
    <cellStyle name="Millares 6 2 2 2 4 2 2 2 4 2" xfId="9333" xr:uid="{929040DC-50A1-4A75-AF2C-D12C6ABFAC4C}"/>
    <cellStyle name="Millares 6 2 2 2 4 2 2 2 5" xfId="3266" xr:uid="{C520085D-9D96-4A87-81A2-3A4FAA1FE2F4}"/>
    <cellStyle name="Millares 6 2 2 2 4 2 2 2 6" xfId="8122" xr:uid="{1A00FC96-2C65-4DF8-9CCF-4A82FD207231}"/>
    <cellStyle name="Millares 6 2 2 2 4 2 2 3" xfId="5085" xr:uid="{FEF7E24E-AC6A-45A0-BA13-A7E7C9A221BE}"/>
    <cellStyle name="Millares 6 2 2 2 4 2 2 3 2" xfId="9937" xr:uid="{9ED41A5D-15CD-4DF7-A014-0F944B9AE656}"/>
    <cellStyle name="Millares 6 2 2 2 4 2 2 4" xfId="6298" xr:uid="{227FE2D5-415E-4136-BD7E-B1DF0815A1E5}"/>
    <cellStyle name="Millares 6 2 2 2 4 2 2 4 2" xfId="11148" xr:uid="{773B12CC-6361-46A3-ACE3-3A064E5F5A1B}"/>
    <cellStyle name="Millares 6 2 2 2 4 2 2 5" xfId="3875" xr:uid="{AF78E921-7A3D-45DF-9D1F-147663A8DBA3}"/>
    <cellStyle name="Millares 6 2 2 2 4 2 2 5 2" xfId="8729" xr:uid="{5C800FDB-D556-4657-911F-5F97038FB33D}"/>
    <cellStyle name="Millares 6 2 2 2 4 2 2 6" xfId="2662" xr:uid="{35B52CD7-1D95-4F75-98F9-D47D7C0DEF89}"/>
    <cellStyle name="Millares 6 2 2 2 4 2 2 7" xfId="7518" xr:uid="{8C86C0A9-EB3B-42C8-934E-7FCABC058D1B}"/>
    <cellStyle name="Millares 6 2 2 2 4 2 3" xfId="2043" xr:uid="{BFD8587C-FF69-4AFD-8744-2BBF0E9A461C}"/>
    <cellStyle name="Millares 6 2 2 2 4 2 3 2" xfId="5688" xr:uid="{E236F55F-DED0-4AF9-959F-C9608D8B1ACB}"/>
    <cellStyle name="Millares 6 2 2 2 4 2 3 2 2" xfId="10540" xr:uid="{2DDA40BD-3B99-46C4-9B64-ACBF825FCF78}"/>
    <cellStyle name="Millares 6 2 2 2 4 2 3 3" xfId="6904" xr:uid="{BA888977-FAA2-4CD2-AE73-A1753DC55676}"/>
    <cellStyle name="Millares 6 2 2 2 4 2 3 3 2" xfId="11752" xr:uid="{F0D1C69D-9372-4FB1-B7FC-7C9BF50FBB47}"/>
    <cellStyle name="Millares 6 2 2 2 4 2 3 4" xfId="4478" xr:uid="{1DE0A711-7E48-4171-A649-7A2DF75A8451}"/>
    <cellStyle name="Millares 6 2 2 2 4 2 3 4 2" xfId="9332" xr:uid="{AEAD6A30-C846-480F-9B13-627D01A45270}"/>
    <cellStyle name="Millares 6 2 2 2 4 2 3 5" xfId="3265" xr:uid="{AF71F4F6-5346-4CE1-A8EB-FBE0028AB81D}"/>
    <cellStyle name="Millares 6 2 2 2 4 2 3 6" xfId="8121" xr:uid="{A75B34D3-441D-496B-B9E5-2F22F0E0460A}"/>
    <cellStyle name="Millares 6 2 2 2 4 2 4" xfId="5084" xr:uid="{B5324E74-6F4D-4271-BE49-1D83228E4B1E}"/>
    <cellStyle name="Millares 6 2 2 2 4 2 4 2" xfId="9936" xr:uid="{9222E416-AFAF-471A-9E96-8E5372738714}"/>
    <cellStyle name="Millares 6 2 2 2 4 2 5" xfId="6297" xr:uid="{ED64373D-79D7-49E1-84C9-9F61A9B1914B}"/>
    <cellStyle name="Millares 6 2 2 2 4 2 5 2" xfId="11147" xr:uid="{9F28CFA1-DA79-4ED4-9C78-A803843D1A21}"/>
    <cellStyle name="Millares 6 2 2 2 4 2 6" xfId="3874" xr:uid="{0BDD5F8C-D356-4879-B02D-D2ED711B695D}"/>
    <cellStyle name="Millares 6 2 2 2 4 2 6 2" xfId="8728" xr:uid="{A8053DF7-F644-4FDA-9D1C-477A69EA28CA}"/>
    <cellStyle name="Millares 6 2 2 2 4 2 7" xfId="2661" xr:uid="{D9582FB3-2A8F-4F4A-8CFF-4263110BACE0}"/>
    <cellStyle name="Millares 6 2 2 2 4 2 8" xfId="7517" xr:uid="{0A6208A3-30D3-489C-9FCB-2B09541B72BF}"/>
    <cellStyle name="Millares 6 2 2 2 4 3" xfId="873" xr:uid="{E9C1655B-541E-4389-8223-119E304C418F}"/>
    <cellStyle name="Millares 6 2 2 2 4 3 2" xfId="2045" xr:uid="{D233E6D4-990F-4C5E-AB9E-8886BB7A1CFF}"/>
    <cellStyle name="Millares 6 2 2 2 4 3 2 2" xfId="5690" xr:uid="{EB354EEF-8770-47EA-AC1E-693250C965D2}"/>
    <cellStyle name="Millares 6 2 2 2 4 3 2 2 2" xfId="10542" xr:uid="{29AF858B-9E15-476B-BF7B-DC1551265683}"/>
    <cellStyle name="Millares 6 2 2 2 4 3 2 3" xfId="6906" xr:uid="{BE523554-3854-490E-B516-223C5E5533E4}"/>
    <cellStyle name="Millares 6 2 2 2 4 3 2 3 2" xfId="11754" xr:uid="{2EFF9C98-C679-4B23-958A-CDB00461D2D8}"/>
    <cellStyle name="Millares 6 2 2 2 4 3 2 4" xfId="4480" xr:uid="{1D40DB57-126C-4119-B557-12C53A3C4305}"/>
    <cellStyle name="Millares 6 2 2 2 4 3 2 4 2" xfId="9334" xr:uid="{562654A6-97F9-4354-84F7-3C590F1F1081}"/>
    <cellStyle name="Millares 6 2 2 2 4 3 2 5" xfId="3267" xr:uid="{3836FCE0-B1E0-4562-9759-1E58DDBDE2DE}"/>
    <cellStyle name="Millares 6 2 2 2 4 3 2 6" xfId="8123" xr:uid="{6FB3BAAE-EF70-4B56-9358-C7F2D3E07407}"/>
    <cellStyle name="Millares 6 2 2 2 4 3 3" xfId="5086" xr:uid="{714D73D1-5334-46A4-9C91-429A3057B0D8}"/>
    <cellStyle name="Millares 6 2 2 2 4 3 3 2" xfId="9938" xr:uid="{3D3A67A2-7594-46ED-8029-7CEF5BEFB65B}"/>
    <cellStyle name="Millares 6 2 2 2 4 3 4" xfId="6299" xr:uid="{1DA752A2-4BD0-45C6-84FD-4AAD436E24DA}"/>
    <cellStyle name="Millares 6 2 2 2 4 3 4 2" xfId="11149" xr:uid="{76C2CE7B-CB07-4734-9311-5D79AB0A24A3}"/>
    <cellStyle name="Millares 6 2 2 2 4 3 5" xfId="3876" xr:uid="{618039FE-FEC2-4471-A0D2-64A4E526B7CB}"/>
    <cellStyle name="Millares 6 2 2 2 4 3 5 2" xfId="8730" xr:uid="{EE26730D-D50B-438B-A11F-C0CE428658E7}"/>
    <cellStyle name="Millares 6 2 2 2 4 3 6" xfId="2663" xr:uid="{56BF7FDB-1A4B-4D86-B58B-D44B16F67218}"/>
    <cellStyle name="Millares 6 2 2 2 4 3 7" xfId="7519" xr:uid="{C8B10FF9-3D4E-4A2E-BCDC-33B3DEBBC73C}"/>
    <cellStyle name="Millares 6 2 2 2 4 4" xfId="2042" xr:uid="{D791E4D7-904B-4AAD-A966-D6820668726F}"/>
    <cellStyle name="Millares 6 2 2 2 4 4 2" xfId="5687" xr:uid="{B47CB7ED-EB13-40C5-A08C-DA6E33756D86}"/>
    <cellStyle name="Millares 6 2 2 2 4 4 2 2" xfId="10539" xr:uid="{367FEC39-4A59-43A9-A8EB-84454F2F42A0}"/>
    <cellStyle name="Millares 6 2 2 2 4 4 3" xfId="6903" xr:uid="{B3F375B9-D80D-4446-97F4-843F2FE8379A}"/>
    <cellStyle name="Millares 6 2 2 2 4 4 3 2" xfId="11751" xr:uid="{2BD4CF83-18A1-4CA5-8749-F920DD4F384A}"/>
    <cellStyle name="Millares 6 2 2 2 4 4 4" xfId="4477" xr:uid="{41F88A87-09D9-4BD1-8D5E-89504590257D}"/>
    <cellStyle name="Millares 6 2 2 2 4 4 4 2" xfId="9331" xr:uid="{B8FCA68A-406B-4FA2-B4D5-4B06184021CA}"/>
    <cellStyle name="Millares 6 2 2 2 4 4 5" xfId="3264" xr:uid="{C8D1AAE0-4B8A-46F3-93DF-489059647D89}"/>
    <cellStyle name="Millares 6 2 2 2 4 4 6" xfId="8120" xr:uid="{E8081E2F-3D1B-4206-8B3D-670F21660141}"/>
    <cellStyle name="Millares 6 2 2 2 4 5" xfId="5083" xr:uid="{43340431-983B-4263-9C51-11DAEB80FD20}"/>
    <cellStyle name="Millares 6 2 2 2 4 5 2" xfId="9935" xr:uid="{096C1DCB-F544-45E9-9760-FABF5B3A0B83}"/>
    <cellStyle name="Millares 6 2 2 2 4 6" xfId="6296" xr:uid="{031DE630-DF5B-4203-AD51-58C58C64ECFE}"/>
    <cellStyle name="Millares 6 2 2 2 4 6 2" xfId="11146" xr:uid="{6133537C-5903-410F-BF0D-0AC692881823}"/>
    <cellStyle name="Millares 6 2 2 2 4 7" xfId="3873" xr:uid="{E35F1E8D-54BD-4526-BFEC-0225F7575583}"/>
    <cellStyle name="Millares 6 2 2 2 4 7 2" xfId="8727" xr:uid="{BDB5983F-BA02-4995-AE51-BA007BADCA2E}"/>
    <cellStyle name="Millares 6 2 2 2 4 8" xfId="2660" xr:uid="{1C0F2488-CADB-42ED-B80B-AA9C321CD9A5}"/>
    <cellStyle name="Millares 6 2 2 2 4 9" xfId="7516" xr:uid="{F0A50752-0CF6-4FD8-897C-396AC9BA152D}"/>
    <cellStyle name="Millares 6 2 2 2 5" xfId="874" xr:uid="{F5B0F4F1-321F-415D-B08A-F634D88D8430}"/>
    <cellStyle name="Millares 6 2 2 2 5 2" xfId="875" xr:uid="{C744ECA4-CABE-42C4-B959-C09837090466}"/>
    <cellStyle name="Millares 6 2 2 2 5 2 2" xfId="2047" xr:uid="{9190A344-5D95-4C1B-BFC0-C25220361832}"/>
    <cellStyle name="Millares 6 2 2 2 5 2 2 2" xfId="5692" xr:uid="{1EEEA0F4-B966-482E-A0D8-44DF09FDF475}"/>
    <cellStyle name="Millares 6 2 2 2 5 2 2 2 2" xfId="10544" xr:uid="{33D686D4-EBBF-4B50-B3FF-C3789AB6B56B}"/>
    <cellStyle name="Millares 6 2 2 2 5 2 2 3" xfId="6908" xr:uid="{51818845-E9A5-48E1-ACFC-8C96544F1F80}"/>
    <cellStyle name="Millares 6 2 2 2 5 2 2 3 2" xfId="11756" xr:uid="{0F410418-ED1A-41BB-BBBF-50D1A138B209}"/>
    <cellStyle name="Millares 6 2 2 2 5 2 2 4" xfId="4482" xr:uid="{30359A31-8038-463E-A8CA-61673DE50013}"/>
    <cellStyle name="Millares 6 2 2 2 5 2 2 4 2" xfId="9336" xr:uid="{1D4B1C12-2347-410F-BAB6-0BE2C6E89F0B}"/>
    <cellStyle name="Millares 6 2 2 2 5 2 2 5" xfId="3269" xr:uid="{AF26ADE5-3B49-42D4-BB80-91B9C52DBDFF}"/>
    <cellStyle name="Millares 6 2 2 2 5 2 2 6" xfId="8125" xr:uid="{7A8A4D8E-0537-4F94-A3A7-A1FD419F2555}"/>
    <cellStyle name="Millares 6 2 2 2 5 2 3" xfId="5088" xr:uid="{9342BE2B-ED5F-4089-B5A9-A4122ED646CF}"/>
    <cellStyle name="Millares 6 2 2 2 5 2 3 2" xfId="9940" xr:uid="{01BF3B1A-6A0B-43A4-A96D-36B82328686F}"/>
    <cellStyle name="Millares 6 2 2 2 5 2 4" xfId="6301" xr:uid="{074BE86A-821A-4586-B61B-09D072AB43D2}"/>
    <cellStyle name="Millares 6 2 2 2 5 2 4 2" xfId="11151" xr:uid="{8CF18623-01EF-4ACA-8466-4EA76DDF2421}"/>
    <cellStyle name="Millares 6 2 2 2 5 2 5" xfId="3878" xr:uid="{E70552E4-E7DF-462E-8C1A-CB6CD74F06F2}"/>
    <cellStyle name="Millares 6 2 2 2 5 2 5 2" xfId="8732" xr:uid="{D71900C7-187D-4E81-8A94-8CC2CDBA0B95}"/>
    <cellStyle name="Millares 6 2 2 2 5 2 6" xfId="2665" xr:uid="{4BF493C3-1A20-48D4-862F-AD3D6CEC49BF}"/>
    <cellStyle name="Millares 6 2 2 2 5 2 7" xfId="7521" xr:uid="{F67918CA-D98E-4ACD-A141-D60A0774CC92}"/>
    <cellStyle name="Millares 6 2 2 2 5 3" xfId="2046" xr:uid="{679D6611-24F0-4589-8604-647EB0C1F559}"/>
    <cellStyle name="Millares 6 2 2 2 5 3 2" xfId="5691" xr:uid="{FAA2ECCC-B7CC-4C0E-A6AC-4286F2DEE7C7}"/>
    <cellStyle name="Millares 6 2 2 2 5 3 2 2" xfId="10543" xr:uid="{FB7837ED-5019-4D3D-A19F-CA38FC7F99DD}"/>
    <cellStyle name="Millares 6 2 2 2 5 3 3" xfId="6907" xr:uid="{659689A2-0C43-47B8-A619-78FBDE001243}"/>
    <cellStyle name="Millares 6 2 2 2 5 3 3 2" xfId="11755" xr:uid="{71E5CC7A-A331-48C2-A1F2-EF19209B2184}"/>
    <cellStyle name="Millares 6 2 2 2 5 3 4" xfId="4481" xr:uid="{580B5548-605F-49D4-BD65-D7116F67DF82}"/>
    <cellStyle name="Millares 6 2 2 2 5 3 4 2" xfId="9335" xr:uid="{D11ECCEB-1488-4D9E-A7B7-623E47D34FA2}"/>
    <cellStyle name="Millares 6 2 2 2 5 3 5" xfId="3268" xr:uid="{CAB7490D-17BE-49DB-B72F-C3AD2833D9DD}"/>
    <cellStyle name="Millares 6 2 2 2 5 3 6" xfId="8124" xr:uid="{AC66B828-52C6-4497-AD18-E07F96C100FD}"/>
    <cellStyle name="Millares 6 2 2 2 5 4" xfId="5087" xr:uid="{FDB97E50-A274-460D-9AB0-3C79F4ABEDA4}"/>
    <cellStyle name="Millares 6 2 2 2 5 4 2" xfId="9939" xr:uid="{ABDA97E6-C66D-415C-A880-ECB272019794}"/>
    <cellStyle name="Millares 6 2 2 2 5 5" xfId="6300" xr:uid="{E6C1F544-CACF-4E01-8BA9-3F1C1384216D}"/>
    <cellStyle name="Millares 6 2 2 2 5 5 2" xfId="11150" xr:uid="{6288EA27-1A4F-43DB-8C5E-1F311C17B61A}"/>
    <cellStyle name="Millares 6 2 2 2 5 6" xfId="3877" xr:uid="{8C296F48-8543-4A97-99A5-E57EF86D48AE}"/>
    <cellStyle name="Millares 6 2 2 2 5 6 2" xfId="8731" xr:uid="{A6721E98-ADB5-438B-AC0A-C189C4749CCE}"/>
    <cellStyle name="Millares 6 2 2 2 5 7" xfId="2664" xr:uid="{2B8BA826-A756-472A-985A-C6F2E07B7C85}"/>
    <cellStyle name="Millares 6 2 2 2 5 8" xfId="7520" xr:uid="{8A158696-9923-41DE-AE0D-9C90BA48CBA7}"/>
    <cellStyle name="Millares 6 2 2 2 6" xfId="876" xr:uid="{8BFC95C3-81EB-454F-A4DC-3B57D2533393}"/>
    <cellStyle name="Millares 6 2 2 2 6 2" xfId="2048" xr:uid="{09BC8EE8-3AA0-4198-8311-367214DC0C02}"/>
    <cellStyle name="Millares 6 2 2 2 6 2 2" xfId="5693" xr:uid="{FFBEEEB1-ADE5-40E0-9294-4EF3819D29E6}"/>
    <cellStyle name="Millares 6 2 2 2 6 2 2 2" xfId="10545" xr:uid="{73B0B95E-B1C3-4BC5-8E4B-289D19109194}"/>
    <cellStyle name="Millares 6 2 2 2 6 2 3" xfId="6909" xr:uid="{63798D1B-D5D0-45EA-A0B9-65F3CD02AD36}"/>
    <cellStyle name="Millares 6 2 2 2 6 2 3 2" xfId="11757" xr:uid="{B575FB4F-B70C-4B35-BF79-5EC132CD1C57}"/>
    <cellStyle name="Millares 6 2 2 2 6 2 4" xfId="4483" xr:uid="{3BEFBDAA-1B1F-4CA9-94F3-D30E41B283C7}"/>
    <cellStyle name="Millares 6 2 2 2 6 2 4 2" xfId="9337" xr:uid="{1C031B70-B000-4BF8-A979-45FCCDCE79AA}"/>
    <cellStyle name="Millares 6 2 2 2 6 2 5" xfId="3270" xr:uid="{6F318D7D-115A-4209-8230-1347C0764860}"/>
    <cellStyle name="Millares 6 2 2 2 6 2 6" xfId="8126" xr:uid="{49ABBCB8-1DCA-47B3-A603-1F20A2403E2B}"/>
    <cellStyle name="Millares 6 2 2 2 6 3" xfId="5089" xr:uid="{0BDAD11F-2C6E-4E0F-8515-44FBF80365D5}"/>
    <cellStyle name="Millares 6 2 2 2 6 3 2" xfId="9941" xr:uid="{64C7AFE5-120D-4A7A-8BDE-152AC5C8BE02}"/>
    <cellStyle name="Millares 6 2 2 2 6 4" xfId="6302" xr:uid="{5FEECE2E-A750-4303-B712-DA02F8939CD5}"/>
    <cellStyle name="Millares 6 2 2 2 6 4 2" xfId="11152" xr:uid="{7BCA939A-711A-4D54-9B8C-DD0EE3342A08}"/>
    <cellStyle name="Millares 6 2 2 2 6 5" xfId="3879" xr:uid="{B35D23EF-4126-474B-9DB6-FF46520822A8}"/>
    <cellStyle name="Millares 6 2 2 2 6 5 2" xfId="8733" xr:uid="{65D3D135-1347-48BD-BE6C-D0073665E9A5}"/>
    <cellStyle name="Millares 6 2 2 2 6 6" xfId="2666" xr:uid="{F988DA59-58C8-410B-B56E-1DD55E1D5D4B}"/>
    <cellStyle name="Millares 6 2 2 2 6 7" xfId="7522" xr:uid="{48A664CC-3174-45BC-A034-E561BAA0E225}"/>
    <cellStyle name="Millares 6 2 2 2 7" xfId="2025" xr:uid="{4E1A9A19-3943-4060-9F7E-CEBEB1DC844B}"/>
    <cellStyle name="Millares 6 2 2 2 7 2" xfId="5670" xr:uid="{4EBBBA35-2FE7-4829-8998-8CFCF40F7EB9}"/>
    <cellStyle name="Millares 6 2 2 2 7 2 2" xfId="10522" xr:uid="{C6E11416-B4EF-48D8-BC94-FA2BEBF3EB99}"/>
    <cellStyle name="Millares 6 2 2 2 7 3" xfId="6886" xr:uid="{FF147AC4-247C-416A-9248-7B581712F364}"/>
    <cellStyle name="Millares 6 2 2 2 7 3 2" xfId="11734" xr:uid="{7AD37E73-8AAE-4A66-A33B-F9FEC893CAF2}"/>
    <cellStyle name="Millares 6 2 2 2 7 4" xfId="4460" xr:uid="{59810B7C-6768-4AA9-A3D1-E5A348841C3D}"/>
    <cellStyle name="Millares 6 2 2 2 7 4 2" xfId="9314" xr:uid="{9DF4C171-13B7-4C48-B557-E1DCEF08D322}"/>
    <cellStyle name="Millares 6 2 2 2 7 5" xfId="3247" xr:uid="{79A34D4C-FD06-44B0-9293-2B6B0AA395F5}"/>
    <cellStyle name="Millares 6 2 2 2 7 6" xfId="8103" xr:uid="{9E3AB10A-8AF5-4B7C-BBF6-78F1D133C760}"/>
    <cellStyle name="Millares 6 2 2 2 8" xfId="5066" xr:uid="{DBCAB6F9-D7AF-4B05-AD29-391322E3E394}"/>
    <cellStyle name="Millares 6 2 2 2 8 2" xfId="9918" xr:uid="{E1E891C1-9D4F-4F2F-AD26-D3B44AD24FA3}"/>
    <cellStyle name="Millares 6 2 2 2 9" xfId="6279" xr:uid="{0E3AAB87-EBAC-4108-ABBD-6A23CE5CB4AB}"/>
    <cellStyle name="Millares 6 2 2 2 9 2" xfId="11129" xr:uid="{333D27DC-60F0-4434-9704-328216F27497}"/>
    <cellStyle name="Millares 6 2 2 3" xfId="877" xr:uid="{DAB998DA-3219-460D-8764-83D39551CD3C}"/>
    <cellStyle name="Millares 6 2 2 3 10" xfId="2667" xr:uid="{CD5816BE-F7AF-4A4E-B816-54F80C11146F}"/>
    <cellStyle name="Millares 6 2 2 3 11" xfId="7523" xr:uid="{397F6DC5-4BE4-46FA-A4FE-D65ED533E1DC}"/>
    <cellStyle name="Millares 6 2 2 3 2" xfId="878" xr:uid="{14A1C4DA-ABB0-4ED5-A177-8A5F1C1DE89F}"/>
    <cellStyle name="Millares 6 2 2 3 2 2" xfId="879" xr:uid="{338D93B6-6457-4DCC-BB7D-3FB9FFCFA089}"/>
    <cellStyle name="Millares 6 2 2 3 2 2 2" xfId="880" xr:uid="{392A837F-10FF-4CBC-8DD2-5AAE04C21231}"/>
    <cellStyle name="Millares 6 2 2 3 2 2 2 2" xfId="2052" xr:uid="{4FCCC9CB-E797-408A-B260-7450BB0F747B}"/>
    <cellStyle name="Millares 6 2 2 3 2 2 2 2 2" xfId="5697" xr:uid="{B579DA94-B79D-4FE0-BE1F-9B5E74FEF337}"/>
    <cellStyle name="Millares 6 2 2 3 2 2 2 2 2 2" xfId="10549" xr:uid="{765EDAC5-6CA0-4548-A6D8-FA25FD83916E}"/>
    <cellStyle name="Millares 6 2 2 3 2 2 2 2 3" xfId="6913" xr:uid="{AF4DE0B1-6182-416F-B10E-019ECFB00C1C}"/>
    <cellStyle name="Millares 6 2 2 3 2 2 2 2 3 2" xfId="11761" xr:uid="{12BF2670-272C-4794-9908-C3D6C03F4229}"/>
    <cellStyle name="Millares 6 2 2 3 2 2 2 2 4" xfId="4487" xr:uid="{1B69DE22-0032-4EE0-961F-1A61A547423F}"/>
    <cellStyle name="Millares 6 2 2 3 2 2 2 2 4 2" xfId="9341" xr:uid="{CE01D3A0-CEE0-4CFF-93C8-3B534E3EA832}"/>
    <cellStyle name="Millares 6 2 2 3 2 2 2 2 5" xfId="3274" xr:uid="{EEAB449D-4DE7-4AB9-ACC0-397015AAA2FC}"/>
    <cellStyle name="Millares 6 2 2 3 2 2 2 2 6" xfId="8130" xr:uid="{BC118531-6207-4920-B5ED-4D394F573350}"/>
    <cellStyle name="Millares 6 2 2 3 2 2 2 3" xfId="5093" xr:uid="{B4F02E4C-E904-4559-BB33-903B4EC99DA3}"/>
    <cellStyle name="Millares 6 2 2 3 2 2 2 3 2" xfId="9945" xr:uid="{7CC87BCB-DF31-4BE1-A0C6-3F6605314747}"/>
    <cellStyle name="Millares 6 2 2 3 2 2 2 4" xfId="6306" xr:uid="{12583250-3A52-4AFC-994D-7390F4C17739}"/>
    <cellStyle name="Millares 6 2 2 3 2 2 2 4 2" xfId="11156" xr:uid="{D952F7A3-0869-4B64-B374-6966C8E06DEF}"/>
    <cellStyle name="Millares 6 2 2 3 2 2 2 5" xfId="3883" xr:uid="{7FC3B975-0FD2-4409-AB6A-CD7505E58E01}"/>
    <cellStyle name="Millares 6 2 2 3 2 2 2 5 2" xfId="8737" xr:uid="{D4162EDF-6C0E-4501-B408-CE65602395B8}"/>
    <cellStyle name="Millares 6 2 2 3 2 2 2 6" xfId="2670" xr:uid="{6F994EF5-9A0C-4B90-960F-2BAA65A22229}"/>
    <cellStyle name="Millares 6 2 2 3 2 2 2 7" xfId="7526" xr:uid="{5D3FF842-7752-4485-8CF1-AB7321D2929C}"/>
    <cellStyle name="Millares 6 2 2 3 2 2 3" xfId="2051" xr:uid="{58FF6C8C-EB52-4569-99D2-5A3A14E500AE}"/>
    <cellStyle name="Millares 6 2 2 3 2 2 3 2" xfId="5696" xr:uid="{AEC2148F-3E82-465C-B527-6AC214874C98}"/>
    <cellStyle name="Millares 6 2 2 3 2 2 3 2 2" xfId="10548" xr:uid="{94B738D7-6789-4BA6-9BF9-80301C09E122}"/>
    <cellStyle name="Millares 6 2 2 3 2 2 3 3" xfId="6912" xr:uid="{B86C44CA-89FE-455E-954A-EF4143623CC1}"/>
    <cellStyle name="Millares 6 2 2 3 2 2 3 3 2" xfId="11760" xr:uid="{29247F00-554B-4AB9-9752-2090F0663D12}"/>
    <cellStyle name="Millares 6 2 2 3 2 2 3 4" xfId="4486" xr:uid="{2EF65053-C059-4CEF-9C4C-0C1B81B9F4D9}"/>
    <cellStyle name="Millares 6 2 2 3 2 2 3 4 2" xfId="9340" xr:uid="{05231626-61AD-459E-8E3E-BE96E5DFF078}"/>
    <cellStyle name="Millares 6 2 2 3 2 2 3 5" xfId="3273" xr:uid="{F5C0B902-F78E-48C1-9329-58E7A0FCC30E}"/>
    <cellStyle name="Millares 6 2 2 3 2 2 3 6" xfId="8129" xr:uid="{0B48FAEE-C545-4772-9E27-F818E519F7B8}"/>
    <cellStyle name="Millares 6 2 2 3 2 2 4" xfId="5092" xr:uid="{2698A946-A48C-4E2B-B221-58277D68D5CD}"/>
    <cellStyle name="Millares 6 2 2 3 2 2 4 2" xfId="9944" xr:uid="{C8EAB912-6E4F-4F39-8899-C596DEF2DAB1}"/>
    <cellStyle name="Millares 6 2 2 3 2 2 5" xfId="6305" xr:uid="{98FA5AB2-81C1-461F-B0D6-C3FDE95BFA10}"/>
    <cellStyle name="Millares 6 2 2 3 2 2 5 2" xfId="11155" xr:uid="{065AF5FE-EFFD-4957-8999-C9EB5BC5C219}"/>
    <cellStyle name="Millares 6 2 2 3 2 2 6" xfId="3882" xr:uid="{BDD4E60F-1FBA-4699-8DC6-6C3EED1B7DFA}"/>
    <cellStyle name="Millares 6 2 2 3 2 2 6 2" xfId="8736" xr:uid="{B553C472-24A2-486B-B95F-9FD436FFF3F1}"/>
    <cellStyle name="Millares 6 2 2 3 2 2 7" xfId="2669" xr:uid="{9ABBEA94-6F51-40A9-A1C6-15FF4C824C35}"/>
    <cellStyle name="Millares 6 2 2 3 2 2 8" xfId="7525" xr:uid="{3AB60CC0-A9A0-4A5D-9B02-3EB10FA748FF}"/>
    <cellStyle name="Millares 6 2 2 3 2 3" xfId="881" xr:uid="{7FEE72AA-55FE-49B2-9690-08AC8B8EEF15}"/>
    <cellStyle name="Millares 6 2 2 3 2 3 2" xfId="2053" xr:uid="{9AFFFD0C-DC20-463C-A11C-548AF1F57095}"/>
    <cellStyle name="Millares 6 2 2 3 2 3 2 2" xfId="5698" xr:uid="{770F96CF-201C-4056-AFF8-E8A7FC353395}"/>
    <cellStyle name="Millares 6 2 2 3 2 3 2 2 2" xfId="10550" xr:uid="{33407979-B08B-48BF-9DCD-130036A68B6A}"/>
    <cellStyle name="Millares 6 2 2 3 2 3 2 3" xfId="6914" xr:uid="{67FB808F-0DBE-40BF-A33D-2C977F952AF8}"/>
    <cellStyle name="Millares 6 2 2 3 2 3 2 3 2" xfId="11762" xr:uid="{8DCFF5C6-E1DF-4C8F-9F2D-8B8B31A3B1B2}"/>
    <cellStyle name="Millares 6 2 2 3 2 3 2 4" xfId="4488" xr:uid="{B18748CD-F615-4DC8-9B2E-5A5CE274FB37}"/>
    <cellStyle name="Millares 6 2 2 3 2 3 2 4 2" xfId="9342" xr:uid="{625E0950-46D3-4E01-BBE6-2300D09908ED}"/>
    <cellStyle name="Millares 6 2 2 3 2 3 2 5" xfId="3275" xr:uid="{A3AC053C-E6C0-4A21-B1A9-294D2A3D6495}"/>
    <cellStyle name="Millares 6 2 2 3 2 3 2 6" xfId="8131" xr:uid="{BA680031-988B-42AD-BD6F-0E3DAA79138D}"/>
    <cellStyle name="Millares 6 2 2 3 2 3 3" xfId="5094" xr:uid="{87E31296-996C-440B-8947-34F397A15408}"/>
    <cellStyle name="Millares 6 2 2 3 2 3 3 2" xfId="9946" xr:uid="{04743AD3-D804-49F0-81FD-2203DCCB1C3A}"/>
    <cellStyle name="Millares 6 2 2 3 2 3 4" xfId="6307" xr:uid="{7F879C9E-2C31-48AA-A6A4-556443C9A486}"/>
    <cellStyle name="Millares 6 2 2 3 2 3 4 2" xfId="11157" xr:uid="{534CBD33-F47F-4B9E-8ECA-B9A88FDF3827}"/>
    <cellStyle name="Millares 6 2 2 3 2 3 5" xfId="3884" xr:uid="{267AD90D-DDB7-4E06-AABF-7B53FD68D4A0}"/>
    <cellStyle name="Millares 6 2 2 3 2 3 5 2" xfId="8738" xr:uid="{D36C0433-9C59-4263-B915-DA1A96577D62}"/>
    <cellStyle name="Millares 6 2 2 3 2 3 6" xfId="2671" xr:uid="{C7A6C66E-9937-4833-A48B-C9B83CF2D497}"/>
    <cellStyle name="Millares 6 2 2 3 2 3 7" xfId="7527" xr:uid="{F125B7D1-C177-4EAD-B2CF-9B8165EF40D9}"/>
    <cellStyle name="Millares 6 2 2 3 2 4" xfId="2050" xr:uid="{F4495619-241D-4502-8785-258770E1CDB4}"/>
    <cellStyle name="Millares 6 2 2 3 2 4 2" xfId="5695" xr:uid="{8DD550B3-8360-49FB-A3BE-0B04AEF74C91}"/>
    <cellStyle name="Millares 6 2 2 3 2 4 2 2" xfId="10547" xr:uid="{9583F48F-AF48-473B-AA8C-4111C9364577}"/>
    <cellStyle name="Millares 6 2 2 3 2 4 3" xfId="6911" xr:uid="{781D1CD1-DEF9-490B-B2B9-C3FF83A4825C}"/>
    <cellStyle name="Millares 6 2 2 3 2 4 3 2" xfId="11759" xr:uid="{476306E3-0981-463C-85E5-C434BBF06199}"/>
    <cellStyle name="Millares 6 2 2 3 2 4 4" xfId="4485" xr:uid="{D2E4740E-5789-4A40-A49F-3D483A704A38}"/>
    <cellStyle name="Millares 6 2 2 3 2 4 4 2" xfId="9339" xr:uid="{3F2191C4-936E-47BB-AC9B-AE2253F62B8F}"/>
    <cellStyle name="Millares 6 2 2 3 2 4 5" xfId="3272" xr:uid="{47A724A5-9365-424C-AA08-11CD9644F6D8}"/>
    <cellStyle name="Millares 6 2 2 3 2 4 6" xfId="8128" xr:uid="{4710DF71-A3A3-4E22-939F-2FC400D09048}"/>
    <cellStyle name="Millares 6 2 2 3 2 5" xfId="5091" xr:uid="{BC0465E0-0147-4055-A275-23E661574D40}"/>
    <cellStyle name="Millares 6 2 2 3 2 5 2" xfId="9943" xr:uid="{6CBD0906-A9EF-4C3C-9F19-9F2370644943}"/>
    <cellStyle name="Millares 6 2 2 3 2 6" xfId="6304" xr:uid="{28CB7BDB-D3B1-420E-A41B-8082A19AD5E4}"/>
    <cellStyle name="Millares 6 2 2 3 2 6 2" xfId="11154" xr:uid="{227AAA3D-98A3-4843-BAD8-12A0A6780CCB}"/>
    <cellStyle name="Millares 6 2 2 3 2 7" xfId="3881" xr:uid="{6ABD8034-2607-42A8-A2FF-1B002007CC87}"/>
    <cellStyle name="Millares 6 2 2 3 2 7 2" xfId="8735" xr:uid="{906D3DF0-DCD6-4B2B-9CE3-609C2C5C52FE}"/>
    <cellStyle name="Millares 6 2 2 3 2 8" xfId="2668" xr:uid="{E3E29C77-EC20-443D-8150-234A402A37BC}"/>
    <cellStyle name="Millares 6 2 2 3 2 9" xfId="7524" xr:uid="{A63591A8-249E-4931-BCAD-F939A8B34C30}"/>
    <cellStyle name="Millares 6 2 2 3 3" xfId="882" xr:uid="{4A9D79CA-96FC-4817-B49F-51CEFFBE7F76}"/>
    <cellStyle name="Millares 6 2 2 3 3 2" xfId="883" xr:uid="{3E2739ED-230A-4F7D-97D0-A4AFEAB044C7}"/>
    <cellStyle name="Millares 6 2 2 3 3 2 2" xfId="884" xr:uid="{57054B4F-3D09-4F6D-9B5E-74C03E756D4A}"/>
    <cellStyle name="Millares 6 2 2 3 3 2 2 2" xfId="2056" xr:uid="{5F903758-5F1E-4FC3-8E9F-743750CEB085}"/>
    <cellStyle name="Millares 6 2 2 3 3 2 2 2 2" xfId="5701" xr:uid="{63DF0DFE-F650-4CD1-91A1-0A9A9801F67F}"/>
    <cellStyle name="Millares 6 2 2 3 3 2 2 2 2 2" xfId="10553" xr:uid="{482E6A7A-422B-4C93-BAF2-38A19C243F64}"/>
    <cellStyle name="Millares 6 2 2 3 3 2 2 2 3" xfId="6917" xr:uid="{D312B798-AAB8-4CFD-A434-21942CE16CEB}"/>
    <cellStyle name="Millares 6 2 2 3 3 2 2 2 3 2" xfId="11765" xr:uid="{8019970E-F12F-42B3-A946-60653F65B730}"/>
    <cellStyle name="Millares 6 2 2 3 3 2 2 2 4" xfId="4491" xr:uid="{A0942BBD-E500-4B74-8816-4075CC678716}"/>
    <cellStyle name="Millares 6 2 2 3 3 2 2 2 4 2" xfId="9345" xr:uid="{50D49EF6-254C-4962-A97B-B6D547215261}"/>
    <cellStyle name="Millares 6 2 2 3 3 2 2 2 5" xfId="3278" xr:uid="{B2206F09-CBC6-4AC4-9520-FF472EBE03ED}"/>
    <cellStyle name="Millares 6 2 2 3 3 2 2 2 6" xfId="8134" xr:uid="{2869EEA1-FF4D-44BD-AB1F-274DEE029A30}"/>
    <cellStyle name="Millares 6 2 2 3 3 2 2 3" xfId="5097" xr:uid="{793BEE1C-E26A-4B76-AB44-58AD1B02CE38}"/>
    <cellStyle name="Millares 6 2 2 3 3 2 2 3 2" xfId="9949" xr:uid="{F9E9574D-CB77-4E29-8395-32436930CDED}"/>
    <cellStyle name="Millares 6 2 2 3 3 2 2 4" xfId="6310" xr:uid="{D7F99A46-0C1F-4CA2-8E43-7B87CFE7FBB9}"/>
    <cellStyle name="Millares 6 2 2 3 3 2 2 4 2" xfId="11160" xr:uid="{F6EDDB08-63BF-45CE-A8FD-CD6E7E93CEBF}"/>
    <cellStyle name="Millares 6 2 2 3 3 2 2 5" xfId="3887" xr:uid="{95349C60-B52C-45B3-A242-F254BF6A7EF6}"/>
    <cellStyle name="Millares 6 2 2 3 3 2 2 5 2" xfId="8741" xr:uid="{30ACA952-0355-4022-8296-C39FFA089392}"/>
    <cellStyle name="Millares 6 2 2 3 3 2 2 6" xfId="2674" xr:uid="{7A0ABB2F-E386-41D5-AB4B-5F79629CBA71}"/>
    <cellStyle name="Millares 6 2 2 3 3 2 2 7" xfId="7530" xr:uid="{A6454CBE-916A-47C2-9099-22B56BD20584}"/>
    <cellStyle name="Millares 6 2 2 3 3 2 3" xfId="2055" xr:uid="{08E4B771-F331-4D77-B65A-D35201B7F1D8}"/>
    <cellStyle name="Millares 6 2 2 3 3 2 3 2" xfId="5700" xr:uid="{319E8539-0CFB-4926-8106-6EAD08399DB3}"/>
    <cellStyle name="Millares 6 2 2 3 3 2 3 2 2" xfId="10552" xr:uid="{A4D243B8-D456-460C-B435-168A110CF59B}"/>
    <cellStyle name="Millares 6 2 2 3 3 2 3 3" xfId="6916" xr:uid="{F6551996-A19C-48CC-BB39-AD65018CF744}"/>
    <cellStyle name="Millares 6 2 2 3 3 2 3 3 2" xfId="11764" xr:uid="{67ED6B2B-FF2F-4720-BA45-B39ABBE1B1D3}"/>
    <cellStyle name="Millares 6 2 2 3 3 2 3 4" xfId="4490" xr:uid="{C37F1391-CD18-453D-BF94-76834FE4FCCE}"/>
    <cellStyle name="Millares 6 2 2 3 3 2 3 4 2" xfId="9344" xr:uid="{D6EA2722-EA3B-42CD-B375-2150A55D6A85}"/>
    <cellStyle name="Millares 6 2 2 3 3 2 3 5" xfId="3277" xr:uid="{6FE7E0BA-2DCF-4B09-B911-4F92A54E01CA}"/>
    <cellStyle name="Millares 6 2 2 3 3 2 3 6" xfId="8133" xr:uid="{6E951558-6FB8-4645-8D22-4AA5AD56E6AF}"/>
    <cellStyle name="Millares 6 2 2 3 3 2 4" xfId="5096" xr:uid="{9EA095CE-044C-4AA6-9858-3D2583A0B3CE}"/>
    <cellStyle name="Millares 6 2 2 3 3 2 4 2" xfId="9948" xr:uid="{C15580DB-98B8-46BB-B0FD-4769E5964080}"/>
    <cellStyle name="Millares 6 2 2 3 3 2 5" xfId="6309" xr:uid="{2FE92194-A271-4A71-BAE9-B80832672650}"/>
    <cellStyle name="Millares 6 2 2 3 3 2 5 2" xfId="11159" xr:uid="{D04E1E09-96BD-4A49-B63D-F36A8EDF4DE2}"/>
    <cellStyle name="Millares 6 2 2 3 3 2 6" xfId="3886" xr:uid="{D5645478-07F1-48D6-BA0A-5E79050A69D3}"/>
    <cellStyle name="Millares 6 2 2 3 3 2 6 2" xfId="8740" xr:uid="{9EF3BF53-AD06-4265-BE97-C619F2A8889F}"/>
    <cellStyle name="Millares 6 2 2 3 3 2 7" xfId="2673" xr:uid="{A75CE789-3436-450D-91DA-2CD2A550B35E}"/>
    <cellStyle name="Millares 6 2 2 3 3 2 8" xfId="7529" xr:uid="{D0E148E9-DAC1-4409-BFC3-6A91F1F0E823}"/>
    <cellStyle name="Millares 6 2 2 3 3 3" xfId="885" xr:uid="{98942D0A-641E-428B-997A-9BCE8F7C3586}"/>
    <cellStyle name="Millares 6 2 2 3 3 3 2" xfId="2057" xr:uid="{1BF94642-0016-4275-AA86-013DC173BF35}"/>
    <cellStyle name="Millares 6 2 2 3 3 3 2 2" xfId="5702" xr:uid="{C7C2A34A-74D2-4085-973A-C3CB84F8C11A}"/>
    <cellStyle name="Millares 6 2 2 3 3 3 2 2 2" xfId="10554" xr:uid="{06A32A28-FAEA-4825-BFFE-04CA64991968}"/>
    <cellStyle name="Millares 6 2 2 3 3 3 2 3" xfId="6918" xr:uid="{4CDF39C9-C97B-48DC-A94D-CB3BE620DE55}"/>
    <cellStyle name="Millares 6 2 2 3 3 3 2 3 2" xfId="11766" xr:uid="{1A7A7FB7-3575-4BC4-A3E2-EC2920A95DB4}"/>
    <cellStyle name="Millares 6 2 2 3 3 3 2 4" xfId="4492" xr:uid="{F8281D46-0C9D-4746-BFE6-6AF73DCA90BA}"/>
    <cellStyle name="Millares 6 2 2 3 3 3 2 4 2" xfId="9346" xr:uid="{526F0793-7B1F-4C4F-9A98-6FAF5C73C132}"/>
    <cellStyle name="Millares 6 2 2 3 3 3 2 5" xfId="3279" xr:uid="{F9F8093C-CF93-4A08-A9E4-052A6F09809E}"/>
    <cellStyle name="Millares 6 2 2 3 3 3 2 6" xfId="8135" xr:uid="{A3A62D60-698B-47FA-80E2-B064D934DC0D}"/>
    <cellStyle name="Millares 6 2 2 3 3 3 3" xfId="5098" xr:uid="{C23136E4-D78F-4A3F-AB62-A63497008CD7}"/>
    <cellStyle name="Millares 6 2 2 3 3 3 3 2" xfId="9950" xr:uid="{5EF03B5A-586C-480A-A4E4-055D9C8C762F}"/>
    <cellStyle name="Millares 6 2 2 3 3 3 4" xfId="6311" xr:uid="{487F423D-EE10-4274-B11F-8E877069F567}"/>
    <cellStyle name="Millares 6 2 2 3 3 3 4 2" xfId="11161" xr:uid="{FFC4BDA3-3BEB-4D34-9EF0-47675A9C095D}"/>
    <cellStyle name="Millares 6 2 2 3 3 3 5" xfId="3888" xr:uid="{D4B1FC1C-CEBC-4BBD-8D9D-9E0E846FF32F}"/>
    <cellStyle name="Millares 6 2 2 3 3 3 5 2" xfId="8742" xr:uid="{DD0AC140-164E-417B-B556-B65DD4463DFE}"/>
    <cellStyle name="Millares 6 2 2 3 3 3 6" xfId="2675" xr:uid="{E9BA6656-5067-4D27-A0AC-4EBC7C4C36F8}"/>
    <cellStyle name="Millares 6 2 2 3 3 3 7" xfId="7531" xr:uid="{CDE84F59-70B3-432D-BD15-5C2A3CC76482}"/>
    <cellStyle name="Millares 6 2 2 3 3 4" xfId="2054" xr:uid="{07C3A767-6129-40E3-9976-AF59760E2589}"/>
    <cellStyle name="Millares 6 2 2 3 3 4 2" xfId="5699" xr:uid="{CCC7F57A-3812-451F-8F19-E4EAADB24771}"/>
    <cellStyle name="Millares 6 2 2 3 3 4 2 2" xfId="10551" xr:uid="{04F28C8D-5D98-416E-A5E2-E874DA8C6834}"/>
    <cellStyle name="Millares 6 2 2 3 3 4 3" xfId="6915" xr:uid="{712B14D1-8E53-418A-8BB3-021E3E9E3373}"/>
    <cellStyle name="Millares 6 2 2 3 3 4 3 2" xfId="11763" xr:uid="{14F52009-2FD3-4062-87EB-BBB807C66205}"/>
    <cellStyle name="Millares 6 2 2 3 3 4 4" xfId="4489" xr:uid="{5F11AB76-2E96-48CD-AD87-F9EAF5B26517}"/>
    <cellStyle name="Millares 6 2 2 3 3 4 4 2" xfId="9343" xr:uid="{E272CEC6-8A37-4D1B-98B1-36F850EB9E6C}"/>
    <cellStyle name="Millares 6 2 2 3 3 4 5" xfId="3276" xr:uid="{86665737-F880-4F0B-8BFF-594BA5317269}"/>
    <cellStyle name="Millares 6 2 2 3 3 4 6" xfId="8132" xr:uid="{25288FC1-3F15-4603-B6D8-01F4BFD8FAC7}"/>
    <cellStyle name="Millares 6 2 2 3 3 5" xfId="5095" xr:uid="{C40E24E8-C632-49D2-96B3-213336EE2A34}"/>
    <cellStyle name="Millares 6 2 2 3 3 5 2" xfId="9947" xr:uid="{7232A1CA-E2C3-4972-AE46-ACC040EF97C2}"/>
    <cellStyle name="Millares 6 2 2 3 3 6" xfId="6308" xr:uid="{9DE36FC5-BBE8-438B-97D8-36AB58AEF189}"/>
    <cellStyle name="Millares 6 2 2 3 3 6 2" xfId="11158" xr:uid="{7776E30A-5AEE-444F-AAEB-9D87AE8A6F00}"/>
    <cellStyle name="Millares 6 2 2 3 3 7" xfId="3885" xr:uid="{2E884852-39F7-4460-A7C4-6E3CFF54238E}"/>
    <cellStyle name="Millares 6 2 2 3 3 7 2" xfId="8739" xr:uid="{F4CA4D25-A68A-4E8C-BE12-4CFDDBEE5851}"/>
    <cellStyle name="Millares 6 2 2 3 3 8" xfId="2672" xr:uid="{6C54FF6A-8674-4728-9E9B-E855579825F5}"/>
    <cellStyle name="Millares 6 2 2 3 3 9" xfId="7528" xr:uid="{F3996D1D-A2BA-4DF8-8DD9-5BBF5F63575E}"/>
    <cellStyle name="Millares 6 2 2 3 4" xfId="886" xr:uid="{BB1BC233-367B-4BE9-A1C7-CA4DB39FA32C}"/>
    <cellStyle name="Millares 6 2 2 3 4 2" xfId="887" xr:uid="{C574B297-840E-48F7-BB92-C0298353233A}"/>
    <cellStyle name="Millares 6 2 2 3 4 2 2" xfId="2059" xr:uid="{024281CD-E513-41C1-9F3E-A063D237AC4A}"/>
    <cellStyle name="Millares 6 2 2 3 4 2 2 2" xfId="5704" xr:uid="{76FC1DBA-EF93-498F-BBEB-F6FD617597CE}"/>
    <cellStyle name="Millares 6 2 2 3 4 2 2 2 2" xfId="10556" xr:uid="{37E034CC-5DC2-4D85-AE47-A0FE80F83D96}"/>
    <cellStyle name="Millares 6 2 2 3 4 2 2 3" xfId="6920" xr:uid="{3CE97D03-9092-487C-BDF1-C5613010930F}"/>
    <cellStyle name="Millares 6 2 2 3 4 2 2 3 2" xfId="11768" xr:uid="{DF4A8783-255E-4966-8BE5-69C64F4C2069}"/>
    <cellStyle name="Millares 6 2 2 3 4 2 2 4" xfId="4494" xr:uid="{3060DDCF-B693-48C3-8946-4EB1588053B3}"/>
    <cellStyle name="Millares 6 2 2 3 4 2 2 4 2" xfId="9348" xr:uid="{165CF8C4-455A-4972-A6FD-2DD8CBEB283E}"/>
    <cellStyle name="Millares 6 2 2 3 4 2 2 5" xfId="3281" xr:uid="{32280892-2424-4AD5-A6BD-5AB4DB382444}"/>
    <cellStyle name="Millares 6 2 2 3 4 2 2 6" xfId="8137" xr:uid="{C9E127A0-0BFD-4D05-BD25-F64CFEFD79AD}"/>
    <cellStyle name="Millares 6 2 2 3 4 2 3" xfId="5100" xr:uid="{150BD919-7857-4C0D-B727-A4C392141671}"/>
    <cellStyle name="Millares 6 2 2 3 4 2 3 2" xfId="9952" xr:uid="{61D0DA04-3ACB-486B-B679-D51FDCBDD74F}"/>
    <cellStyle name="Millares 6 2 2 3 4 2 4" xfId="6313" xr:uid="{66F3E1D5-BEC5-4C0A-AA96-E713B5E0B59D}"/>
    <cellStyle name="Millares 6 2 2 3 4 2 4 2" xfId="11163" xr:uid="{F6DEE446-DFC2-4AE5-B1FF-32ABCB811E33}"/>
    <cellStyle name="Millares 6 2 2 3 4 2 5" xfId="3890" xr:uid="{A12162AE-9BCF-4FAA-A31F-80DB2EB51025}"/>
    <cellStyle name="Millares 6 2 2 3 4 2 5 2" xfId="8744" xr:uid="{E169B681-7EE1-460A-AF00-3A0C75274CC6}"/>
    <cellStyle name="Millares 6 2 2 3 4 2 6" xfId="2677" xr:uid="{840D2240-AA8A-491B-8E44-C15825455F72}"/>
    <cellStyle name="Millares 6 2 2 3 4 2 7" xfId="7533" xr:uid="{3AADECB0-52BB-4081-A879-DF065725C3C1}"/>
    <cellStyle name="Millares 6 2 2 3 4 3" xfId="2058" xr:uid="{355213DD-03EC-4F65-B260-44C628A1D340}"/>
    <cellStyle name="Millares 6 2 2 3 4 3 2" xfId="5703" xr:uid="{9E866C0F-EB86-4F6F-964B-B1A3F1C39685}"/>
    <cellStyle name="Millares 6 2 2 3 4 3 2 2" xfId="10555" xr:uid="{B57A8670-EC13-4831-82A3-4385EB4EFD9F}"/>
    <cellStyle name="Millares 6 2 2 3 4 3 3" xfId="6919" xr:uid="{3EB88C24-D3A4-4E74-AD8B-2BC260CB0F36}"/>
    <cellStyle name="Millares 6 2 2 3 4 3 3 2" xfId="11767" xr:uid="{7D688FD2-5B77-4744-A017-D4BAD1D7866C}"/>
    <cellStyle name="Millares 6 2 2 3 4 3 4" xfId="4493" xr:uid="{426D3EA3-EC8E-4EE8-BC59-94B10058CB4C}"/>
    <cellStyle name="Millares 6 2 2 3 4 3 4 2" xfId="9347" xr:uid="{EEB74572-536A-4FAF-8F7D-70095DD942F2}"/>
    <cellStyle name="Millares 6 2 2 3 4 3 5" xfId="3280" xr:uid="{8CFC5B8B-C2AF-4FE4-A3F8-06FC8046D9B1}"/>
    <cellStyle name="Millares 6 2 2 3 4 3 6" xfId="8136" xr:uid="{24A88E14-94E1-4F70-A6D3-B157146F4CFF}"/>
    <cellStyle name="Millares 6 2 2 3 4 4" xfId="5099" xr:uid="{0F09D5C3-A573-4CF6-BD11-043508D1125E}"/>
    <cellStyle name="Millares 6 2 2 3 4 4 2" xfId="9951" xr:uid="{C15FBEB1-4101-4AEC-B214-4C0C95C99E5F}"/>
    <cellStyle name="Millares 6 2 2 3 4 5" xfId="6312" xr:uid="{3F38C330-EA54-42C6-8B71-7503A313E028}"/>
    <cellStyle name="Millares 6 2 2 3 4 5 2" xfId="11162" xr:uid="{D0535E59-CD60-4E60-897C-5B71681CC37E}"/>
    <cellStyle name="Millares 6 2 2 3 4 6" xfId="3889" xr:uid="{C61073F0-4A6D-4471-B1E3-7CE322EA0B43}"/>
    <cellStyle name="Millares 6 2 2 3 4 6 2" xfId="8743" xr:uid="{37B98508-D254-40AA-A4FB-1770B40FEF29}"/>
    <cellStyle name="Millares 6 2 2 3 4 7" xfId="2676" xr:uid="{65B523DE-1092-4AC6-A6BC-72B75C5FC71F}"/>
    <cellStyle name="Millares 6 2 2 3 4 8" xfId="7532" xr:uid="{3E919670-9433-497F-861F-2B8C64C76208}"/>
    <cellStyle name="Millares 6 2 2 3 5" xfId="888" xr:uid="{5CE99D0D-F668-476D-B585-90A0B13AB158}"/>
    <cellStyle name="Millares 6 2 2 3 5 2" xfId="2060" xr:uid="{6152A84E-0999-4E85-A769-AA4726BEED5D}"/>
    <cellStyle name="Millares 6 2 2 3 5 2 2" xfId="5705" xr:uid="{0C216635-748B-4C8C-B2BD-3DFB022F31EA}"/>
    <cellStyle name="Millares 6 2 2 3 5 2 2 2" xfId="10557" xr:uid="{5D4719C7-37D5-4EBE-9385-08604F5D74A4}"/>
    <cellStyle name="Millares 6 2 2 3 5 2 3" xfId="6921" xr:uid="{9759B949-A744-4792-9C47-10F16C97ADFE}"/>
    <cellStyle name="Millares 6 2 2 3 5 2 3 2" xfId="11769" xr:uid="{AF63F67E-77A3-49A5-8BC8-44E6EECE4151}"/>
    <cellStyle name="Millares 6 2 2 3 5 2 4" xfId="4495" xr:uid="{BB7B97E5-7DC6-4245-8DDE-D95EA397E154}"/>
    <cellStyle name="Millares 6 2 2 3 5 2 4 2" xfId="9349" xr:uid="{29B26774-90A3-4B2F-95B8-DFDF329BC3EB}"/>
    <cellStyle name="Millares 6 2 2 3 5 2 5" xfId="3282" xr:uid="{3DE28A2A-88F2-43CE-A5E9-6A802415EC35}"/>
    <cellStyle name="Millares 6 2 2 3 5 2 6" xfId="8138" xr:uid="{6CFA85B3-29F6-40C0-8B60-426AF7122397}"/>
    <cellStyle name="Millares 6 2 2 3 5 3" xfId="5101" xr:uid="{236125D1-71E9-4D91-86D1-BE9C0000F0C0}"/>
    <cellStyle name="Millares 6 2 2 3 5 3 2" xfId="9953" xr:uid="{B2D17CE5-FE63-4687-8012-E4CF7AB1BACD}"/>
    <cellStyle name="Millares 6 2 2 3 5 4" xfId="6314" xr:uid="{B5CBFEB4-D7C2-49E1-9213-7F2668AB51BE}"/>
    <cellStyle name="Millares 6 2 2 3 5 4 2" xfId="11164" xr:uid="{14032B5B-E7B8-40B9-89D8-6A1D331FEB92}"/>
    <cellStyle name="Millares 6 2 2 3 5 5" xfId="3891" xr:uid="{A5DCE705-6CFD-4234-8B19-B8DAEEACD0FF}"/>
    <cellStyle name="Millares 6 2 2 3 5 5 2" xfId="8745" xr:uid="{FBDF13CF-0659-4F11-BCE7-5993CEB00D50}"/>
    <cellStyle name="Millares 6 2 2 3 5 6" xfId="2678" xr:uid="{5467E101-15BA-446D-A7C3-1A74163E7244}"/>
    <cellStyle name="Millares 6 2 2 3 5 7" xfId="7534" xr:uid="{DDA7A766-26B9-4B18-967E-B0874E616AB9}"/>
    <cellStyle name="Millares 6 2 2 3 6" xfId="2049" xr:uid="{7E446B04-428A-4ED7-A6AE-F29728B4CE79}"/>
    <cellStyle name="Millares 6 2 2 3 6 2" xfId="5694" xr:uid="{151C219D-5E07-4A68-99F4-1CDCCEC9DC3C}"/>
    <cellStyle name="Millares 6 2 2 3 6 2 2" xfId="10546" xr:uid="{991AFC32-896D-44CA-88F6-300E3E16C9BA}"/>
    <cellStyle name="Millares 6 2 2 3 6 3" xfId="6910" xr:uid="{D897523F-760F-4F47-BFFA-E0662A21EAAF}"/>
    <cellStyle name="Millares 6 2 2 3 6 3 2" xfId="11758" xr:uid="{1EE76FA2-C283-4B3B-A05F-76D8210697D8}"/>
    <cellStyle name="Millares 6 2 2 3 6 4" xfId="4484" xr:uid="{29A99190-DB89-4FC6-81E1-A81961D196D9}"/>
    <cellStyle name="Millares 6 2 2 3 6 4 2" xfId="9338" xr:uid="{DA0E4D79-381E-49A4-AF36-70494B897C04}"/>
    <cellStyle name="Millares 6 2 2 3 6 5" xfId="3271" xr:uid="{6E5EC2E7-AF23-4E33-A2F2-AA65F8CFC935}"/>
    <cellStyle name="Millares 6 2 2 3 6 6" xfId="8127" xr:uid="{5EBD83BF-5385-4DFB-8FB1-6CF4969AF26C}"/>
    <cellStyle name="Millares 6 2 2 3 7" xfId="5090" xr:uid="{CBB7B81F-1F06-4C95-98F9-B2A6F96E85E6}"/>
    <cellStyle name="Millares 6 2 2 3 7 2" xfId="9942" xr:uid="{2A9EAAE1-4D79-42F0-B1E5-317304400787}"/>
    <cellStyle name="Millares 6 2 2 3 8" xfId="6303" xr:uid="{17F4A665-95D6-4F32-98CC-ACA6FF890EA3}"/>
    <cellStyle name="Millares 6 2 2 3 8 2" xfId="11153" xr:uid="{ED76EE83-84CC-4847-8F6B-A93E6316A82A}"/>
    <cellStyle name="Millares 6 2 2 3 9" xfId="3880" xr:uid="{C1452619-7668-46AA-B190-0E3DF8EBA5E0}"/>
    <cellStyle name="Millares 6 2 2 3 9 2" xfId="8734" xr:uid="{667A24AA-7DE8-4477-B146-26E6939646E6}"/>
    <cellStyle name="Millares 6 2 2 4" xfId="889" xr:uid="{E932C659-7E62-4676-AA1E-68EE2F2EB58B}"/>
    <cellStyle name="Millares 6 2 2 4 2" xfId="890" xr:uid="{918DBA1E-C941-4975-B190-36DEAB170B55}"/>
    <cellStyle name="Millares 6 2 2 4 2 2" xfId="891" xr:uid="{9A08EE60-F1CA-4C4A-9BC6-5A53EAAFC694}"/>
    <cellStyle name="Millares 6 2 2 4 2 2 2" xfId="2063" xr:uid="{16842C10-32B9-4C5D-9FA1-C5316DE15A5E}"/>
    <cellStyle name="Millares 6 2 2 4 2 2 2 2" xfId="5708" xr:uid="{7DE578DD-633A-4EBC-A7C2-00A71C805964}"/>
    <cellStyle name="Millares 6 2 2 4 2 2 2 2 2" xfId="10560" xr:uid="{4B39AEAF-3285-453B-946F-333B40E149C6}"/>
    <cellStyle name="Millares 6 2 2 4 2 2 2 3" xfId="6924" xr:uid="{5D740EB3-5289-4DE8-86B4-067CEE57CBD1}"/>
    <cellStyle name="Millares 6 2 2 4 2 2 2 3 2" xfId="11772" xr:uid="{61B0814A-2504-4022-80FA-27D1E6650AFE}"/>
    <cellStyle name="Millares 6 2 2 4 2 2 2 4" xfId="4498" xr:uid="{8A22244E-9863-4E74-8E0D-A8EF81024C97}"/>
    <cellStyle name="Millares 6 2 2 4 2 2 2 4 2" xfId="9352" xr:uid="{16DA9673-46F6-4E7E-A963-1D317DE3D8B9}"/>
    <cellStyle name="Millares 6 2 2 4 2 2 2 5" xfId="3285" xr:uid="{20FBFE4D-DAEA-4DB6-8B16-80B3B895E276}"/>
    <cellStyle name="Millares 6 2 2 4 2 2 2 6" xfId="8141" xr:uid="{7C2ACEC0-ECFE-4BDA-8788-DE62A08F0775}"/>
    <cellStyle name="Millares 6 2 2 4 2 2 3" xfId="5104" xr:uid="{B23C8B6E-DFA3-47A7-AE03-F63164F96819}"/>
    <cellStyle name="Millares 6 2 2 4 2 2 3 2" xfId="9956" xr:uid="{B9D532F2-D3BA-4DEB-8327-9130FFE7F9DD}"/>
    <cellStyle name="Millares 6 2 2 4 2 2 4" xfId="6317" xr:uid="{223D6023-7C0D-4420-90D7-44EFE100A897}"/>
    <cellStyle name="Millares 6 2 2 4 2 2 4 2" xfId="11167" xr:uid="{EA7D58AE-F9B0-4F25-9B5B-375AE7E59F3D}"/>
    <cellStyle name="Millares 6 2 2 4 2 2 5" xfId="3894" xr:uid="{AB8BCCDE-4874-4E34-B192-F62895520109}"/>
    <cellStyle name="Millares 6 2 2 4 2 2 5 2" xfId="8748" xr:uid="{C193CE31-B5F8-40FD-B7EE-7C2967D43A10}"/>
    <cellStyle name="Millares 6 2 2 4 2 2 6" xfId="2681" xr:uid="{878EF801-4FBE-4293-B841-F4271C66B5A9}"/>
    <cellStyle name="Millares 6 2 2 4 2 2 7" xfId="7537" xr:uid="{DAB84058-6123-4D1C-B221-240059B40EE9}"/>
    <cellStyle name="Millares 6 2 2 4 2 3" xfId="2062" xr:uid="{85685930-5615-4F75-B78D-AE6FA43308FF}"/>
    <cellStyle name="Millares 6 2 2 4 2 3 2" xfId="5707" xr:uid="{0E802E18-D630-4687-B33E-31FF28C67DE1}"/>
    <cellStyle name="Millares 6 2 2 4 2 3 2 2" xfId="10559" xr:uid="{09B41A99-98D0-46AE-9CD9-B497E4DC3E9C}"/>
    <cellStyle name="Millares 6 2 2 4 2 3 3" xfId="6923" xr:uid="{F550E90F-88CA-4896-9D3A-256B719593EA}"/>
    <cellStyle name="Millares 6 2 2 4 2 3 3 2" xfId="11771" xr:uid="{288D603B-82BD-47AA-9BE4-359B86B709C0}"/>
    <cellStyle name="Millares 6 2 2 4 2 3 4" xfId="4497" xr:uid="{03FC9597-E428-4310-83F3-933FD4DFD7AC}"/>
    <cellStyle name="Millares 6 2 2 4 2 3 4 2" xfId="9351" xr:uid="{11B0BB93-DC4B-4132-9AC9-A4E7A30367BC}"/>
    <cellStyle name="Millares 6 2 2 4 2 3 5" xfId="3284" xr:uid="{349AED83-8269-4BA4-8553-CF297C8E488A}"/>
    <cellStyle name="Millares 6 2 2 4 2 3 6" xfId="8140" xr:uid="{0C912D9A-6165-4AC2-8E61-C33A22CB708F}"/>
    <cellStyle name="Millares 6 2 2 4 2 4" xfId="5103" xr:uid="{857CD929-E5FA-4A38-A2CC-7676B3405A97}"/>
    <cellStyle name="Millares 6 2 2 4 2 4 2" xfId="9955" xr:uid="{03AEAAAF-CC91-4239-9BCC-DCA15F626616}"/>
    <cellStyle name="Millares 6 2 2 4 2 5" xfId="6316" xr:uid="{BC1E9F38-FA9E-49AF-BFD4-7E279CE22495}"/>
    <cellStyle name="Millares 6 2 2 4 2 5 2" xfId="11166" xr:uid="{B2A9CAAD-1634-4F33-9557-8A7B708423EF}"/>
    <cellStyle name="Millares 6 2 2 4 2 6" xfId="3893" xr:uid="{1E0859C2-E33D-42AC-8D37-885E698AE126}"/>
    <cellStyle name="Millares 6 2 2 4 2 6 2" xfId="8747" xr:uid="{2B922DCE-409B-4BF7-95F6-49433F9889E6}"/>
    <cellStyle name="Millares 6 2 2 4 2 7" xfId="2680" xr:uid="{BB008E55-8653-44E1-A601-CE89F9869EA2}"/>
    <cellStyle name="Millares 6 2 2 4 2 8" xfId="7536" xr:uid="{C2675E86-3782-4BA6-8D77-AA9623AF5FE4}"/>
    <cellStyle name="Millares 6 2 2 4 3" xfId="892" xr:uid="{6EB602DE-24C4-4D16-A585-0C075F1EBC92}"/>
    <cellStyle name="Millares 6 2 2 4 3 2" xfId="2064" xr:uid="{E98DB293-63EA-496F-91C8-DA3772FBFF78}"/>
    <cellStyle name="Millares 6 2 2 4 3 2 2" xfId="5709" xr:uid="{3B2370C9-6D56-465B-9F00-A5DA4F671BC8}"/>
    <cellStyle name="Millares 6 2 2 4 3 2 2 2" xfId="10561" xr:uid="{9B09422B-1F17-4757-82B2-E9834FCEC0AF}"/>
    <cellStyle name="Millares 6 2 2 4 3 2 3" xfId="6925" xr:uid="{9D7CC211-1A7C-4708-8530-3AB6CE0AF2F4}"/>
    <cellStyle name="Millares 6 2 2 4 3 2 3 2" xfId="11773" xr:uid="{B0257D54-D9A4-4ED4-B58C-1B3A40AE70CB}"/>
    <cellStyle name="Millares 6 2 2 4 3 2 4" xfId="4499" xr:uid="{115B87A5-0528-4708-9467-C8DED96CE16A}"/>
    <cellStyle name="Millares 6 2 2 4 3 2 4 2" xfId="9353" xr:uid="{A02F0087-E4A8-4109-B0BB-FA6D78DDFCD2}"/>
    <cellStyle name="Millares 6 2 2 4 3 2 5" xfId="3286" xr:uid="{737A1880-91C0-470C-9CCA-E3D7C8B79868}"/>
    <cellStyle name="Millares 6 2 2 4 3 2 6" xfId="8142" xr:uid="{75B9B553-C486-4A69-AD2B-B132995AABDD}"/>
    <cellStyle name="Millares 6 2 2 4 3 3" xfId="5105" xr:uid="{5CBF6B77-187C-4D1A-9CED-41F3BA246F8F}"/>
    <cellStyle name="Millares 6 2 2 4 3 3 2" xfId="9957" xr:uid="{325B5652-5472-4A62-83A1-77DE28E73E6E}"/>
    <cellStyle name="Millares 6 2 2 4 3 4" xfId="6318" xr:uid="{D35B7F16-93F0-4BC5-A82F-C3AE4E6D2C5F}"/>
    <cellStyle name="Millares 6 2 2 4 3 4 2" xfId="11168" xr:uid="{1D7788B2-4278-4BA3-BA2C-46506A06E2B3}"/>
    <cellStyle name="Millares 6 2 2 4 3 5" xfId="3895" xr:uid="{3590927E-61C9-42FE-9168-48A3015A3AE8}"/>
    <cellStyle name="Millares 6 2 2 4 3 5 2" xfId="8749" xr:uid="{1C078E7E-4083-4D1A-9051-608244FCBC75}"/>
    <cellStyle name="Millares 6 2 2 4 3 6" xfId="2682" xr:uid="{013D3987-DCAA-4311-B04A-D1B625CE1214}"/>
    <cellStyle name="Millares 6 2 2 4 3 7" xfId="7538" xr:uid="{7D21B5A6-BD8D-436C-AA90-714982B4CB99}"/>
    <cellStyle name="Millares 6 2 2 4 4" xfId="2061" xr:uid="{B8AEC708-D085-4FDE-9C7C-63287A08C4F5}"/>
    <cellStyle name="Millares 6 2 2 4 4 2" xfId="5706" xr:uid="{E354DD53-670B-4C80-9732-947D2FD97E45}"/>
    <cellStyle name="Millares 6 2 2 4 4 2 2" xfId="10558" xr:uid="{48E0CE0D-F3EE-4223-93C5-AD327EF732FF}"/>
    <cellStyle name="Millares 6 2 2 4 4 3" xfId="6922" xr:uid="{07A16B73-1EBC-4931-86F4-068469548643}"/>
    <cellStyle name="Millares 6 2 2 4 4 3 2" xfId="11770" xr:uid="{474C13EC-EBC2-4C4B-A466-F5D652EFC99A}"/>
    <cellStyle name="Millares 6 2 2 4 4 4" xfId="4496" xr:uid="{3C6D9991-1781-4A78-B5FB-ED1E47774D65}"/>
    <cellStyle name="Millares 6 2 2 4 4 4 2" xfId="9350" xr:uid="{53CBA545-303E-43E0-8D94-AECE249F5EBD}"/>
    <cellStyle name="Millares 6 2 2 4 4 5" xfId="3283" xr:uid="{4082F0ED-DBB9-4EBB-BC77-94A944DDE571}"/>
    <cellStyle name="Millares 6 2 2 4 4 6" xfId="8139" xr:uid="{3AE70BF0-8B88-4C31-A312-20932EA7E9D5}"/>
    <cellStyle name="Millares 6 2 2 4 5" xfId="5102" xr:uid="{574B6EC0-E664-42A5-8D68-276451D923CE}"/>
    <cellStyle name="Millares 6 2 2 4 5 2" xfId="9954" xr:uid="{0806EEDA-B5F7-4561-8E33-645AC3E7FC9C}"/>
    <cellStyle name="Millares 6 2 2 4 6" xfId="6315" xr:uid="{F2251C00-6256-44AB-BC26-CFBF06A08DE4}"/>
    <cellStyle name="Millares 6 2 2 4 6 2" xfId="11165" xr:uid="{A339EBDB-2D61-4321-8FBD-3FD481E33E1F}"/>
    <cellStyle name="Millares 6 2 2 4 7" xfId="3892" xr:uid="{DCDA9191-CA3A-4444-8958-2167DC59E489}"/>
    <cellStyle name="Millares 6 2 2 4 7 2" xfId="8746" xr:uid="{DE5A8718-D796-451C-980B-EF636D61DCC7}"/>
    <cellStyle name="Millares 6 2 2 4 8" xfId="2679" xr:uid="{D5D6FEA5-A47B-4D01-8B91-DEEC89CFA8E8}"/>
    <cellStyle name="Millares 6 2 2 4 9" xfId="7535" xr:uid="{094D3EFB-14BA-4D63-AA81-6AEE89DA1250}"/>
    <cellStyle name="Millares 6 2 2 5" xfId="893" xr:uid="{F2BD80C1-FB71-4E02-A767-D87AE2EAEAFE}"/>
    <cellStyle name="Millares 6 2 2 5 2" xfId="894" xr:uid="{51A1B521-9AFF-48E2-9C7C-CEBA4DC4F0A0}"/>
    <cellStyle name="Millares 6 2 2 5 2 2" xfId="895" xr:uid="{CFEDDB71-FECF-452B-B7DF-6D3D038CC367}"/>
    <cellStyle name="Millares 6 2 2 5 2 2 2" xfId="2067" xr:uid="{850FBB93-848E-4294-A28D-E98A45DA4C58}"/>
    <cellStyle name="Millares 6 2 2 5 2 2 2 2" xfId="5712" xr:uid="{A3EEEE74-3FEB-4A44-A629-CB8729737C83}"/>
    <cellStyle name="Millares 6 2 2 5 2 2 2 2 2" xfId="10564" xr:uid="{84F2B871-C4D2-4894-897C-18268329AC92}"/>
    <cellStyle name="Millares 6 2 2 5 2 2 2 3" xfId="6928" xr:uid="{DB1BECB2-A93D-4236-A3BF-21F8030EAF95}"/>
    <cellStyle name="Millares 6 2 2 5 2 2 2 3 2" xfId="11776" xr:uid="{AB670554-3A98-4BE2-BD12-CDF137230D01}"/>
    <cellStyle name="Millares 6 2 2 5 2 2 2 4" xfId="4502" xr:uid="{284D6E3F-6AB9-4985-ABD4-90C9536E209B}"/>
    <cellStyle name="Millares 6 2 2 5 2 2 2 4 2" xfId="9356" xr:uid="{1512C203-2FDA-44AF-8F26-6BBE99393E99}"/>
    <cellStyle name="Millares 6 2 2 5 2 2 2 5" xfId="3289" xr:uid="{CA840186-42FC-4703-B85B-96BE5C23CE91}"/>
    <cellStyle name="Millares 6 2 2 5 2 2 2 6" xfId="8145" xr:uid="{CDDE2784-0FBF-48D8-8B5C-090A63B57958}"/>
    <cellStyle name="Millares 6 2 2 5 2 2 3" xfId="5108" xr:uid="{8727E121-9138-4BA5-A0BE-4A54CB76AD67}"/>
    <cellStyle name="Millares 6 2 2 5 2 2 3 2" xfId="9960" xr:uid="{4B18057F-91AB-4083-97E6-479E701E5D3B}"/>
    <cellStyle name="Millares 6 2 2 5 2 2 4" xfId="6321" xr:uid="{F497E58E-B81F-4F49-B1BC-97F753D1A94D}"/>
    <cellStyle name="Millares 6 2 2 5 2 2 4 2" xfId="11171" xr:uid="{3067FB17-C959-4B10-B251-83A4818D1FEE}"/>
    <cellStyle name="Millares 6 2 2 5 2 2 5" xfId="3898" xr:uid="{B8200407-ED1D-4171-B5A9-EC1E1DB34E45}"/>
    <cellStyle name="Millares 6 2 2 5 2 2 5 2" xfId="8752" xr:uid="{D7DD5C0A-8301-4D44-921A-797D09D67C7E}"/>
    <cellStyle name="Millares 6 2 2 5 2 2 6" xfId="2685" xr:uid="{B0F2C129-D9E1-4D0A-83A3-36ED04653367}"/>
    <cellStyle name="Millares 6 2 2 5 2 2 7" xfId="7541" xr:uid="{611E4917-6911-41A6-87C8-5B35695A0A1B}"/>
    <cellStyle name="Millares 6 2 2 5 2 3" xfId="2066" xr:uid="{23930EA0-A6B5-4936-A008-1B68AB65B80A}"/>
    <cellStyle name="Millares 6 2 2 5 2 3 2" xfId="5711" xr:uid="{E98A2776-FE41-43F3-A782-2D81CE7F7F8B}"/>
    <cellStyle name="Millares 6 2 2 5 2 3 2 2" xfId="10563" xr:uid="{A192A575-80EB-4842-8961-2AAA2CE33DA8}"/>
    <cellStyle name="Millares 6 2 2 5 2 3 3" xfId="6927" xr:uid="{77836B71-8BA0-4C20-9600-C9DD31FCF058}"/>
    <cellStyle name="Millares 6 2 2 5 2 3 3 2" xfId="11775" xr:uid="{C91E4792-2279-4C72-AD3C-DE44B2C1CE92}"/>
    <cellStyle name="Millares 6 2 2 5 2 3 4" xfId="4501" xr:uid="{71763566-945C-4DD6-B331-58E1F73836F3}"/>
    <cellStyle name="Millares 6 2 2 5 2 3 4 2" xfId="9355" xr:uid="{84FCDD0F-D179-43BF-BC76-F9DC0D1E2F2A}"/>
    <cellStyle name="Millares 6 2 2 5 2 3 5" xfId="3288" xr:uid="{7E202ED8-5FC7-40A8-AD06-3B7CE9416724}"/>
    <cellStyle name="Millares 6 2 2 5 2 3 6" xfId="8144" xr:uid="{ABB4E15B-82B8-4B19-BF44-41CE795EBBE8}"/>
    <cellStyle name="Millares 6 2 2 5 2 4" xfId="5107" xr:uid="{EB341EF9-C2D7-4A73-9BC3-9332DC758E8A}"/>
    <cellStyle name="Millares 6 2 2 5 2 4 2" xfId="9959" xr:uid="{05F3A268-C94F-4C5B-8CC8-B4200A9BC593}"/>
    <cellStyle name="Millares 6 2 2 5 2 5" xfId="6320" xr:uid="{8D915F1A-6078-46E3-AF34-84B99AE264E3}"/>
    <cellStyle name="Millares 6 2 2 5 2 5 2" xfId="11170" xr:uid="{A2EE341D-2DC7-457F-8183-8CD80A8799FA}"/>
    <cellStyle name="Millares 6 2 2 5 2 6" xfId="3897" xr:uid="{E58CAF16-D316-49CD-A2C6-FBBD3956D662}"/>
    <cellStyle name="Millares 6 2 2 5 2 6 2" xfId="8751" xr:uid="{1AC6E7C2-9708-4505-9251-3F03D75416A3}"/>
    <cellStyle name="Millares 6 2 2 5 2 7" xfId="2684" xr:uid="{C4C5B5F9-0761-4245-BAAE-79775398B0C1}"/>
    <cellStyle name="Millares 6 2 2 5 2 8" xfId="7540" xr:uid="{C9E67735-48FD-4BE4-B219-D125431868B6}"/>
    <cellStyle name="Millares 6 2 2 5 3" xfId="896" xr:uid="{9EB5FF9A-7BBB-40CD-BDCE-0183D99D99E7}"/>
    <cellStyle name="Millares 6 2 2 5 3 2" xfId="2068" xr:uid="{526CFA3D-6320-4F0C-9083-A0372BC64BA4}"/>
    <cellStyle name="Millares 6 2 2 5 3 2 2" xfId="5713" xr:uid="{200A2C1F-EC47-40E2-B88D-D888D4F01782}"/>
    <cellStyle name="Millares 6 2 2 5 3 2 2 2" xfId="10565" xr:uid="{A0C540F1-073C-468D-9D61-0EB4E8B442CE}"/>
    <cellStyle name="Millares 6 2 2 5 3 2 3" xfId="6929" xr:uid="{CFDF6FFD-2088-47B5-BA80-93BD78946D3A}"/>
    <cellStyle name="Millares 6 2 2 5 3 2 3 2" xfId="11777" xr:uid="{FD9356EB-5DC8-438B-9299-45E965F1A700}"/>
    <cellStyle name="Millares 6 2 2 5 3 2 4" xfId="4503" xr:uid="{0C8F2C13-9B04-4757-BD35-7D2EAC0A9F5C}"/>
    <cellStyle name="Millares 6 2 2 5 3 2 4 2" xfId="9357" xr:uid="{FD1AAF97-E780-4043-BEC5-B7BBC3821EFB}"/>
    <cellStyle name="Millares 6 2 2 5 3 2 5" xfId="3290" xr:uid="{0F74C9ED-F344-49F9-AA49-6D4D508A7B2B}"/>
    <cellStyle name="Millares 6 2 2 5 3 2 6" xfId="8146" xr:uid="{36708FD4-C34C-4903-88C4-9A34DC1DB7E0}"/>
    <cellStyle name="Millares 6 2 2 5 3 3" xfId="5109" xr:uid="{471EA250-6533-40F6-B9C1-B03B293A0404}"/>
    <cellStyle name="Millares 6 2 2 5 3 3 2" xfId="9961" xr:uid="{774B58BF-E0EC-4CB3-A42F-B9C2F86F5D96}"/>
    <cellStyle name="Millares 6 2 2 5 3 4" xfId="6322" xr:uid="{A57CE0A0-E386-474D-8237-7EB8FC4A793D}"/>
    <cellStyle name="Millares 6 2 2 5 3 4 2" xfId="11172" xr:uid="{0C2D9FC0-EEC6-4398-ABB1-06E678FCDED6}"/>
    <cellStyle name="Millares 6 2 2 5 3 5" xfId="3899" xr:uid="{B7016F27-DED1-4765-A1EB-9553598B217F}"/>
    <cellStyle name="Millares 6 2 2 5 3 5 2" xfId="8753" xr:uid="{DD2E535C-F582-496B-B7BD-BE3889AC1E38}"/>
    <cellStyle name="Millares 6 2 2 5 3 6" xfId="2686" xr:uid="{D581213A-7D62-4442-90DE-ED420168C615}"/>
    <cellStyle name="Millares 6 2 2 5 3 7" xfId="7542" xr:uid="{71F893AA-303A-422E-AA1E-ECE5BE0D1DC7}"/>
    <cellStyle name="Millares 6 2 2 5 4" xfId="2065" xr:uid="{1B898C72-A72D-45B9-85D9-87D15C0D240D}"/>
    <cellStyle name="Millares 6 2 2 5 4 2" xfId="5710" xr:uid="{1C6C9A09-AE97-4DE6-AE67-77762F207742}"/>
    <cellStyle name="Millares 6 2 2 5 4 2 2" xfId="10562" xr:uid="{939309EC-31B2-4BFF-9646-97CC21345DAD}"/>
    <cellStyle name="Millares 6 2 2 5 4 3" xfId="6926" xr:uid="{BFA0E38A-80B6-4D33-BACD-DA760F6CC610}"/>
    <cellStyle name="Millares 6 2 2 5 4 3 2" xfId="11774" xr:uid="{6867CB65-8923-4735-A954-C599664552CE}"/>
    <cellStyle name="Millares 6 2 2 5 4 4" xfId="4500" xr:uid="{46C1AFA4-9FFA-4EEE-8CCC-75CFA082B0D5}"/>
    <cellStyle name="Millares 6 2 2 5 4 4 2" xfId="9354" xr:uid="{94A78C1D-AED8-4856-B1A1-793314CBA2F1}"/>
    <cellStyle name="Millares 6 2 2 5 4 5" xfId="3287" xr:uid="{0A92C4A9-E081-4993-8188-817E84CA2AB2}"/>
    <cellStyle name="Millares 6 2 2 5 4 6" xfId="8143" xr:uid="{BB715C16-784C-4703-AF77-4CBDA1DE1F9A}"/>
    <cellStyle name="Millares 6 2 2 5 5" xfId="5106" xr:uid="{F18D3ED7-4D85-4788-A630-0AA6F636BD59}"/>
    <cellStyle name="Millares 6 2 2 5 5 2" xfId="9958" xr:uid="{E0B67A06-A31B-478E-838F-0927F964E23B}"/>
    <cellStyle name="Millares 6 2 2 5 6" xfId="6319" xr:uid="{3EA799CB-B837-480F-A34A-5AF0857C999D}"/>
    <cellStyle name="Millares 6 2 2 5 6 2" xfId="11169" xr:uid="{326FB732-11B3-4163-A0AD-9E71B469B6B7}"/>
    <cellStyle name="Millares 6 2 2 5 7" xfId="3896" xr:uid="{8761AB80-A0F7-4BE3-9D30-4982A74E7777}"/>
    <cellStyle name="Millares 6 2 2 5 7 2" xfId="8750" xr:uid="{083300E9-66A1-4311-AA8C-209ADBB31601}"/>
    <cellStyle name="Millares 6 2 2 5 8" xfId="2683" xr:uid="{3D63E356-4498-4836-87B7-24B02F9874F2}"/>
    <cellStyle name="Millares 6 2 2 5 9" xfId="7539" xr:uid="{030B7AC8-69B7-47D2-80FF-51256C089227}"/>
    <cellStyle name="Millares 6 2 2 6" xfId="897" xr:uid="{BF6959E8-7169-4932-AD5F-75099FD88199}"/>
    <cellStyle name="Millares 6 2 2 6 2" xfId="898" xr:uid="{E107220F-5CC2-4688-9B78-CA6393EF0F8D}"/>
    <cellStyle name="Millares 6 2 2 6 2 2" xfId="2070" xr:uid="{F90A370E-5753-42FC-BD10-D84D1088D14A}"/>
    <cellStyle name="Millares 6 2 2 6 2 2 2" xfId="5715" xr:uid="{2DAACDE2-5FFF-4850-A0B4-C5C944E3E395}"/>
    <cellStyle name="Millares 6 2 2 6 2 2 2 2" xfId="10567" xr:uid="{6D04DAA2-7CFE-4573-8D31-B216F3CA1400}"/>
    <cellStyle name="Millares 6 2 2 6 2 2 3" xfId="6931" xr:uid="{71D1AEC6-7FB0-47A1-B196-40BCC0A26A45}"/>
    <cellStyle name="Millares 6 2 2 6 2 2 3 2" xfId="11779" xr:uid="{D94C4CF2-C08E-4CA3-8B53-036EA0A5F7F3}"/>
    <cellStyle name="Millares 6 2 2 6 2 2 4" xfId="4505" xr:uid="{82AE0AF3-01C2-41E6-BC4C-53373C13ABF5}"/>
    <cellStyle name="Millares 6 2 2 6 2 2 4 2" xfId="9359" xr:uid="{0A30FAE1-78AD-41E8-A219-0BDFAE6772B2}"/>
    <cellStyle name="Millares 6 2 2 6 2 2 5" xfId="3292" xr:uid="{95BBFDE4-9AB9-430E-B051-B48E113F718D}"/>
    <cellStyle name="Millares 6 2 2 6 2 2 6" xfId="8148" xr:uid="{36107FBA-4304-455A-880C-E0B8F2DA053F}"/>
    <cellStyle name="Millares 6 2 2 6 2 3" xfId="5111" xr:uid="{4A489B0A-867B-41FF-B0BC-370A3DBCD96D}"/>
    <cellStyle name="Millares 6 2 2 6 2 3 2" xfId="9963" xr:uid="{CBD71567-DD58-480C-AE1C-57CC3B4CF7E9}"/>
    <cellStyle name="Millares 6 2 2 6 2 4" xfId="6324" xr:uid="{E2148BA3-9E56-4979-9F0F-314305DC322D}"/>
    <cellStyle name="Millares 6 2 2 6 2 4 2" xfId="11174" xr:uid="{8AFBAD03-EB79-4287-9D9B-555EB49F9DC3}"/>
    <cellStyle name="Millares 6 2 2 6 2 5" xfId="3901" xr:uid="{2EB004BD-89DF-48C6-9BB4-D89140482E93}"/>
    <cellStyle name="Millares 6 2 2 6 2 5 2" xfId="8755" xr:uid="{B00F3FE6-F10E-465F-A1DF-9B8236CB2BA1}"/>
    <cellStyle name="Millares 6 2 2 6 2 6" xfId="2688" xr:uid="{A2CC9B26-F565-4203-9BAD-DD3DA0789F52}"/>
    <cellStyle name="Millares 6 2 2 6 2 7" xfId="7544" xr:uid="{2286CA6C-29FA-4AF4-8FFF-792C41AE33F7}"/>
    <cellStyle name="Millares 6 2 2 6 3" xfId="2069" xr:uid="{273F731B-2A10-4EB0-8E47-25C7CA732455}"/>
    <cellStyle name="Millares 6 2 2 6 3 2" xfId="5714" xr:uid="{FAC7F79E-D977-495C-A2EE-1139FE2BC50B}"/>
    <cellStyle name="Millares 6 2 2 6 3 2 2" xfId="10566" xr:uid="{F044FB2D-E352-443A-B224-DED66A0DD542}"/>
    <cellStyle name="Millares 6 2 2 6 3 3" xfId="6930" xr:uid="{4337A52B-753B-4782-8616-56FCFA8F9E68}"/>
    <cellStyle name="Millares 6 2 2 6 3 3 2" xfId="11778" xr:uid="{9DF9CEF3-A28C-4BB4-B616-FA5FBB3372D2}"/>
    <cellStyle name="Millares 6 2 2 6 3 4" xfId="4504" xr:uid="{4F2789C2-618B-4BE2-B389-BF28D237D94E}"/>
    <cellStyle name="Millares 6 2 2 6 3 4 2" xfId="9358" xr:uid="{BC0D9782-F232-4B7F-90AA-266952502ABA}"/>
    <cellStyle name="Millares 6 2 2 6 3 5" xfId="3291" xr:uid="{DAB02B77-CD6C-4CF0-8EFB-20B95AC4BAD1}"/>
    <cellStyle name="Millares 6 2 2 6 3 6" xfId="8147" xr:uid="{0CC202A8-0505-4A75-861E-DD06BEBE8F30}"/>
    <cellStyle name="Millares 6 2 2 6 4" xfId="5110" xr:uid="{65753796-3161-4978-BD2E-0669D35E7F13}"/>
    <cellStyle name="Millares 6 2 2 6 4 2" xfId="9962" xr:uid="{642A788B-71D4-45AC-96FA-7F4EDA8181B7}"/>
    <cellStyle name="Millares 6 2 2 6 5" xfId="6323" xr:uid="{C80F54A2-2BDD-481B-AF53-983FBFF6020D}"/>
    <cellStyle name="Millares 6 2 2 6 5 2" xfId="11173" xr:uid="{3CA739F6-5FD7-4564-B526-5005221F06AA}"/>
    <cellStyle name="Millares 6 2 2 6 6" xfId="3900" xr:uid="{B4C053CE-E236-454C-ADDE-E0D8235B778F}"/>
    <cellStyle name="Millares 6 2 2 6 6 2" xfId="8754" xr:uid="{025B6C30-D6E5-4E4C-A485-795BBC89E835}"/>
    <cellStyle name="Millares 6 2 2 6 7" xfId="2687" xr:uid="{278CDB71-C09A-42C1-9E23-C266CCFF0BF9}"/>
    <cellStyle name="Millares 6 2 2 6 8" xfId="7543" xr:uid="{5A6C3399-82E7-4351-AD65-BCC9443FFDE6}"/>
    <cellStyle name="Millares 6 2 2 7" xfId="899" xr:uid="{B31A6DFB-713F-4050-A5F0-85081F1E1DCE}"/>
    <cellStyle name="Millares 6 2 2 7 2" xfId="2071" xr:uid="{192BEF54-9162-462B-81D5-9FDDE2FFC670}"/>
    <cellStyle name="Millares 6 2 2 7 2 2" xfId="5716" xr:uid="{BC3FDC0E-E8CD-4997-A79A-5E0AFB177A6C}"/>
    <cellStyle name="Millares 6 2 2 7 2 2 2" xfId="10568" xr:uid="{4C904BCF-48C6-40BB-956D-DE0C891B054E}"/>
    <cellStyle name="Millares 6 2 2 7 2 3" xfId="6932" xr:uid="{019D2089-E525-47A4-A5E1-B7AD7F78A6FF}"/>
    <cellStyle name="Millares 6 2 2 7 2 3 2" xfId="11780" xr:uid="{04992025-C30B-4B37-BB23-C8D86D365F41}"/>
    <cellStyle name="Millares 6 2 2 7 2 4" xfId="4506" xr:uid="{CDE366FA-B531-4177-8E41-7B22326BF0DD}"/>
    <cellStyle name="Millares 6 2 2 7 2 4 2" xfId="9360" xr:uid="{004BC9FE-31C6-4AC2-BDAB-28D6E7BFB6E3}"/>
    <cellStyle name="Millares 6 2 2 7 2 5" xfId="3293" xr:uid="{25A02CE5-00BF-4140-86E3-FE13FE7B4A64}"/>
    <cellStyle name="Millares 6 2 2 7 2 6" xfId="8149" xr:uid="{AF311B6E-1351-4095-B2FF-E97158B58918}"/>
    <cellStyle name="Millares 6 2 2 7 3" xfId="5112" xr:uid="{D1C86E07-7564-4AA6-845E-50F98104910D}"/>
    <cellStyle name="Millares 6 2 2 7 3 2" xfId="9964" xr:uid="{0309B5B0-FDC4-4689-BB2A-93CAAB148ABB}"/>
    <cellStyle name="Millares 6 2 2 7 4" xfId="6325" xr:uid="{03F38F3E-78A2-4741-8AE0-1B9AE920B5D6}"/>
    <cellStyle name="Millares 6 2 2 7 4 2" xfId="11175" xr:uid="{7F01BEF9-93EB-4146-860A-0DC7DD61BC13}"/>
    <cellStyle name="Millares 6 2 2 7 5" xfId="3902" xr:uid="{C1F0EA6B-63A7-45D6-9C0F-9209638FB05A}"/>
    <cellStyle name="Millares 6 2 2 7 5 2" xfId="8756" xr:uid="{106FE721-494F-48DD-AA32-50DE76F14E2F}"/>
    <cellStyle name="Millares 6 2 2 7 6" xfId="2689" xr:uid="{11CB437D-4F75-4D72-AA78-4691DD721D91}"/>
    <cellStyle name="Millares 6 2 2 7 7" xfId="7545" xr:uid="{06BE0D37-3238-4E30-BEB8-4029EA9F5F89}"/>
    <cellStyle name="Millares 6 2 2 8" xfId="2024" xr:uid="{3990D1FE-3565-43D4-A63A-2469801D5830}"/>
    <cellStyle name="Millares 6 2 2 8 2" xfId="5669" xr:uid="{447E9E24-A0B1-42FB-AAE0-B90727CB1705}"/>
    <cellStyle name="Millares 6 2 2 8 2 2" xfId="10521" xr:uid="{D502E376-D0AF-4486-90DA-529B1C30E500}"/>
    <cellStyle name="Millares 6 2 2 8 3" xfId="6885" xr:uid="{CF5F07C4-9223-4CDF-A13E-069A12E7D376}"/>
    <cellStyle name="Millares 6 2 2 8 3 2" xfId="11733" xr:uid="{FD1F3BE1-116A-459D-B9DE-B38BF641F3FD}"/>
    <cellStyle name="Millares 6 2 2 8 4" xfId="4459" xr:uid="{E56F2F03-3315-46C4-93EF-087065A1B46C}"/>
    <cellStyle name="Millares 6 2 2 8 4 2" xfId="9313" xr:uid="{45047A42-301F-41B6-99AB-3EE4E78B3C6A}"/>
    <cellStyle name="Millares 6 2 2 8 5" xfId="3246" xr:uid="{12E64D9D-69AD-4361-B671-78FB1C1B166C}"/>
    <cellStyle name="Millares 6 2 2 8 6" xfId="8102" xr:uid="{C61F20C6-E118-451F-B023-E31BA35008BE}"/>
    <cellStyle name="Millares 6 2 2 9" xfId="5065" xr:uid="{9E62A81E-21EE-4187-902F-F0FA21D35553}"/>
    <cellStyle name="Millares 6 2 2 9 2" xfId="9917" xr:uid="{4ADD471E-4301-4A7E-A602-88B545B59198}"/>
    <cellStyle name="Millares 6 2 3" xfId="900" xr:uid="{0C15F17B-A81A-45BE-9496-0EAEFA288CC0}"/>
    <cellStyle name="Millares 6 2 3 10" xfId="3903" xr:uid="{67E286AA-9D89-4A07-9F67-2EB065373AA4}"/>
    <cellStyle name="Millares 6 2 3 10 2" xfId="8757" xr:uid="{65D19507-7FC4-49FA-90D2-C2CF3AC90094}"/>
    <cellStyle name="Millares 6 2 3 11" xfId="2690" xr:uid="{A4AEC908-40BB-4F20-AF53-7F5275D52B15}"/>
    <cellStyle name="Millares 6 2 3 12" xfId="7546" xr:uid="{3B9CA544-EE19-4C49-8E8C-57C1F71DB343}"/>
    <cellStyle name="Millares 6 2 3 2" xfId="901" xr:uid="{4700B1C4-FC7D-4460-A5AD-823422D0140A}"/>
    <cellStyle name="Millares 6 2 3 2 10" xfId="2691" xr:uid="{75E66673-B673-4E74-8D3C-D87FA3B84B3B}"/>
    <cellStyle name="Millares 6 2 3 2 11" xfId="7547" xr:uid="{E35DC34B-FCD8-4823-872C-CD0C89980447}"/>
    <cellStyle name="Millares 6 2 3 2 2" xfId="902" xr:uid="{7E139BDB-1D52-43E7-B2EE-7E697869CABF}"/>
    <cellStyle name="Millares 6 2 3 2 2 2" xfId="903" xr:uid="{729DCC78-7565-41DD-900B-0D02246D919E}"/>
    <cellStyle name="Millares 6 2 3 2 2 2 2" xfId="904" xr:uid="{06F9C30F-7179-4431-A44D-D9D7EB1090A4}"/>
    <cellStyle name="Millares 6 2 3 2 2 2 2 2" xfId="2076" xr:uid="{F590B5DE-97FD-4C1D-A2C2-5A237653CC7E}"/>
    <cellStyle name="Millares 6 2 3 2 2 2 2 2 2" xfId="5721" xr:uid="{7D1588A5-820C-4399-9519-A279AC4F0946}"/>
    <cellStyle name="Millares 6 2 3 2 2 2 2 2 2 2" xfId="10573" xr:uid="{412211F9-B6E5-4CA1-8782-11B43E5168D4}"/>
    <cellStyle name="Millares 6 2 3 2 2 2 2 2 3" xfId="6937" xr:uid="{352424A0-E3A6-4192-A386-796BABC731D8}"/>
    <cellStyle name="Millares 6 2 3 2 2 2 2 2 3 2" xfId="11785" xr:uid="{31A20957-E2C9-4A79-B23D-037FC298AA2E}"/>
    <cellStyle name="Millares 6 2 3 2 2 2 2 2 4" xfId="4511" xr:uid="{C6BBE870-0F4D-4389-B842-2E96B41DE3B1}"/>
    <cellStyle name="Millares 6 2 3 2 2 2 2 2 4 2" xfId="9365" xr:uid="{CAFA3A74-B860-474A-975F-B5F5BA2F68E7}"/>
    <cellStyle name="Millares 6 2 3 2 2 2 2 2 5" xfId="3298" xr:uid="{41A12572-F09D-458F-8209-2AEE6E25DC3D}"/>
    <cellStyle name="Millares 6 2 3 2 2 2 2 2 6" xfId="8154" xr:uid="{B44B1D74-992B-4C87-BFC7-32887CD4FCBB}"/>
    <cellStyle name="Millares 6 2 3 2 2 2 2 3" xfId="5117" xr:uid="{92F318C0-3830-4B7A-9B98-605C4D1A3574}"/>
    <cellStyle name="Millares 6 2 3 2 2 2 2 3 2" xfId="9969" xr:uid="{61010C22-61A5-43EF-ADFD-0A45C6DFD85F}"/>
    <cellStyle name="Millares 6 2 3 2 2 2 2 4" xfId="6330" xr:uid="{BCBDA6E9-BD9D-4EDA-987B-6CD917BC4C60}"/>
    <cellStyle name="Millares 6 2 3 2 2 2 2 4 2" xfId="11180" xr:uid="{BF5ABAF8-2B09-4FB6-B44B-39982E1EA7B5}"/>
    <cellStyle name="Millares 6 2 3 2 2 2 2 5" xfId="3907" xr:uid="{51AE1A1B-1D83-4AFA-B77F-0EC50F30F8CF}"/>
    <cellStyle name="Millares 6 2 3 2 2 2 2 5 2" xfId="8761" xr:uid="{BA2867C2-C7BB-43BA-9E67-6C7EC42AA821}"/>
    <cellStyle name="Millares 6 2 3 2 2 2 2 6" xfId="2694" xr:uid="{8C61FB8C-9ACE-43B9-8975-B39F9EBD155A}"/>
    <cellStyle name="Millares 6 2 3 2 2 2 2 7" xfId="7550" xr:uid="{CC869241-F358-489F-BF5D-8A9F80285D1F}"/>
    <cellStyle name="Millares 6 2 3 2 2 2 3" xfId="2075" xr:uid="{BDDA644A-D8D5-4470-9AA0-1EF7E513B262}"/>
    <cellStyle name="Millares 6 2 3 2 2 2 3 2" xfId="5720" xr:uid="{38903061-198C-43A9-9C22-093462F41AA5}"/>
    <cellStyle name="Millares 6 2 3 2 2 2 3 2 2" xfId="10572" xr:uid="{E94F2EF1-7362-4F4F-8E8F-CF73B64FC29A}"/>
    <cellStyle name="Millares 6 2 3 2 2 2 3 3" xfId="6936" xr:uid="{F8ED2A4C-ED4E-4CE4-92F3-62CE6DCEC8C3}"/>
    <cellStyle name="Millares 6 2 3 2 2 2 3 3 2" xfId="11784" xr:uid="{A5F1C33D-02D5-4564-ABE5-3D7B184B87CE}"/>
    <cellStyle name="Millares 6 2 3 2 2 2 3 4" xfId="4510" xr:uid="{41409BF6-1456-42C3-86D7-6D220303640D}"/>
    <cellStyle name="Millares 6 2 3 2 2 2 3 4 2" xfId="9364" xr:uid="{45F47952-8091-43D6-B4BA-BF229D58C28E}"/>
    <cellStyle name="Millares 6 2 3 2 2 2 3 5" xfId="3297" xr:uid="{39094AD6-0AE1-4215-9B66-E2601A8077C2}"/>
    <cellStyle name="Millares 6 2 3 2 2 2 3 6" xfId="8153" xr:uid="{55AEAF3A-710C-4E9E-BD93-E3FAA72FCA90}"/>
    <cellStyle name="Millares 6 2 3 2 2 2 4" xfId="5116" xr:uid="{E1691210-2F10-42FF-B31B-C99D55EE9317}"/>
    <cellStyle name="Millares 6 2 3 2 2 2 4 2" xfId="9968" xr:uid="{EB1CDCB7-E354-4012-BE97-A23E6FF6406E}"/>
    <cellStyle name="Millares 6 2 3 2 2 2 5" xfId="6329" xr:uid="{6EF25D6A-03C6-4862-BB34-E872EEC1FBEE}"/>
    <cellStyle name="Millares 6 2 3 2 2 2 5 2" xfId="11179" xr:uid="{90E8FC8C-6036-487D-A447-1BC485C5E424}"/>
    <cellStyle name="Millares 6 2 3 2 2 2 6" xfId="3906" xr:uid="{B95C6EB1-376A-4D80-BD7C-81A9D0C76690}"/>
    <cellStyle name="Millares 6 2 3 2 2 2 6 2" xfId="8760" xr:uid="{E4E5A1D8-D160-498B-8C13-37F300D8D911}"/>
    <cellStyle name="Millares 6 2 3 2 2 2 7" xfId="2693" xr:uid="{D0737695-809E-4505-92B7-E9A7799C7182}"/>
    <cellStyle name="Millares 6 2 3 2 2 2 8" xfId="7549" xr:uid="{839830D4-12E6-4AAB-AE33-F5691FB47D36}"/>
    <cellStyle name="Millares 6 2 3 2 2 3" xfId="905" xr:uid="{35C284C4-FA40-4191-9E74-6E950829FA88}"/>
    <cellStyle name="Millares 6 2 3 2 2 3 2" xfId="2077" xr:uid="{0384249F-4D95-415D-9F07-9D8403E30978}"/>
    <cellStyle name="Millares 6 2 3 2 2 3 2 2" xfId="5722" xr:uid="{3D65F143-C634-45EE-958E-472E4E10668A}"/>
    <cellStyle name="Millares 6 2 3 2 2 3 2 2 2" xfId="10574" xr:uid="{06291796-454B-4E5F-B233-CD48C587AD3C}"/>
    <cellStyle name="Millares 6 2 3 2 2 3 2 3" xfId="6938" xr:uid="{3C2B0B67-9FDB-4BD1-9996-6026249A09D6}"/>
    <cellStyle name="Millares 6 2 3 2 2 3 2 3 2" xfId="11786" xr:uid="{8D299C63-8A11-43AE-BB99-FED1BB8A9D66}"/>
    <cellStyle name="Millares 6 2 3 2 2 3 2 4" xfId="4512" xr:uid="{30669872-8970-453F-96B8-E2AA7EFE6B73}"/>
    <cellStyle name="Millares 6 2 3 2 2 3 2 4 2" xfId="9366" xr:uid="{13252128-21D8-43AD-BFCF-6717D3C09CCB}"/>
    <cellStyle name="Millares 6 2 3 2 2 3 2 5" xfId="3299" xr:uid="{3CD2EB2C-C011-4BBB-974C-6A83CBBB9A55}"/>
    <cellStyle name="Millares 6 2 3 2 2 3 2 6" xfId="8155" xr:uid="{9F46D47C-BEF1-42E6-85CF-828EE0DAB220}"/>
    <cellStyle name="Millares 6 2 3 2 2 3 3" xfId="5118" xr:uid="{F9239247-EEA4-469B-A99D-3067DE6BD0E2}"/>
    <cellStyle name="Millares 6 2 3 2 2 3 3 2" xfId="9970" xr:uid="{F76B5B66-3251-4245-B69A-338C7C521E3E}"/>
    <cellStyle name="Millares 6 2 3 2 2 3 4" xfId="6331" xr:uid="{2940E3E6-557F-4FDE-A5D6-5A8162BD996D}"/>
    <cellStyle name="Millares 6 2 3 2 2 3 4 2" xfId="11181" xr:uid="{4AB35B8E-D1B5-4FAE-B6F4-2B1B3AA78F40}"/>
    <cellStyle name="Millares 6 2 3 2 2 3 5" xfId="3908" xr:uid="{A1D9A034-4D69-4112-9590-B80EB8D43C90}"/>
    <cellStyle name="Millares 6 2 3 2 2 3 5 2" xfId="8762" xr:uid="{609229CF-40FB-41E9-B345-47F713694F85}"/>
    <cellStyle name="Millares 6 2 3 2 2 3 6" xfId="2695" xr:uid="{80EB8BE3-44CF-4BEF-AD25-751D7EE59C52}"/>
    <cellStyle name="Millares 6 2 3 2 2 3 7" xfId="7551" xr:uid="{FC7B3B7B-7996-4F5E-841C-30E77CE29C26}"/>
    <cellStyle name="Millares 6 2 3 2 2 4" xfId="2074" xr:uid="{38430D7E-3833-4156-B800-32852CD118FC}"/>
    <cellStyle name="Millares 6 2 3 2 2 4 2" xfId="5719" xr:uid="{A321CAEB-9381-4D4B-8CDF-6E6538E12797}"/>
    <cellStyle name="Millares 6 2 3 2 2 4 2 2" xfId="10571" xr:uid="{AA7D45F5-DF24-4810-9839-67EE884DE94E}"/>
    <cellStyle name="Millares 6 2 3 2 2 4 3" xfId="6935" xr:uid="{0F28E628-683F-4718-938F-9C8298DE104D}"/>
    <cellStyle name="Millares 6 2 3 2 2 4 3 2" xfId="11783" xr:uid="{C5C246CB-3B31-48AB-9324-517F8667669E}"/>
    <cellStyle name="Millares 6 2 3 2 2 4 4" xfId="4509" xr:uid="{0FD283A6-06F7-4D43-A140-ED0372AFB27D}"/>
    <cellStyle name="Millares 6 2 3 2 2 4 4 2" xfId="9363" xr:uid="{50BF5DD1-3896-4614-A551-8BD5364A7FE7}"/>
    <cellStyle name="Millares 6 2 3 2 2 4 5" xfId="3296" xr:uid="{C356C5DE-411E-42BF-8D29-CB255E9370A4}"/>
    <cellStyle name="Millares 6 2 3 2 2 4 6" xfId="8152" xr:uid="{89C3335F-3BB1-4A77-9430-B672B61B1260}"/>
    <cellStyle name="Millares 6 2 3 2 2 5" xfId="5115" xr:uid="{0AB87FBE-29F7-47D4-9634-E09CB4DE33E9}"/>
    <cellStyle name="Millares 6 2 3 2 2 5 2" xfId="9967" xr:uid="{7D9502F1-645F-4484-9B81-0F2548880C3B}"/>
    <cellStyle name="Millares 6 2 3 2 2 6" xfId="6328" xr:uid="{21052FCB-61D8-4223-8070-D5AF7117DF29}"/>
    <cellStyle name="Millares 6 2 3 2 2 6 2" xfId="11178" xr:uid="{E0CC2B43-8FE9-402D-B476-90D522FDABBF}"/>
    <cellStyle name="Millares 6 2 3 2 2 7" xfId="3905" xr:uid="{978909A6-905D-46C9-A2C2-D3C3B546008C}"/>
    <cellStyle name="Millares 6 2 3 2 2 7 2" xfId="8759" xr:uid="{382ADD68-9D1F-42A7-B674-A734AC057CAE}"/>
    <cellStyle name="Millares 6 2 3 2 2 8" xfId="2692" xr:uid="{81FB5BF3-B92C-4C4E-8452-D6123B50444D}"/>
    <cellStyle name="Millares 6 2 3 2 2 9" xfId="7548" xr:uid="{0CA72068-4CE6-42C3-852B-4E44BA511CEF}"/>
    <cellStyle name="Millares 6 2 3 2 3" xfId="906" xr:uid="{5AEABE97-33D8-4590-8922-A05D5D2AB15D}"/>
    <cellStyle name="Millares 6 2 3 2 3 2" xfId="907" xr:uid="{73E34B28-5112-49E1-BD70-C5068FC1A814}"/>
    <cellStyle name="Millares 6 2 3 2 3 2 2" xfId="908" xr:uid="{BFC55A7B-1EA6-4F4D-8DE5-1B92FD229C03}"/>
    <cellStyle name="Millares 6 2 3 2 3 2 2 2" xfId="2080" xr:uid="{1A958F4F-8064-46FB-A746-FABF41531070}"/>
    <cellStyle name="Millares 6 2 3 2 3 2 2 2 2" xfId="5725" xr:uid="{9190F955-53D2-445F-814C-7A2529BFCCDE}"/>
    <cellStyle name="Millares 6 2 3 2 3 2 2 2 2 2" xfId="10577" xr:uid="{114E20AE-BF54-4AC1-BE06-0C2A330C78FB}"/>
    <cellStyle name="Millares 6 2 3 2 3 2 2 2 3" xfId="6941" xr:uid="{961A33DE-D0E1-403C-85FB-D9E73270D540}"/>
    <cellStyle name="Millares 6 2 3 2 3 2 2 2 3 2" xfId="11789" xr:uid="{3E2A3E31-7AD5-460B-BAFF-811088BDF03B}"/>
    <cellStyle name="Millares 6 2 3 2 3 2 2 2 4" xfId="4515" xr:uid="{C1FD6EA6-655C-4763-8712-3067367FFAB8}"/>
    <cellStyle name="Millares 6 2 3 2 3 2 2 2 4 2" xfId="9369" xr:uid="{6598E393-F69F-4336-A7A3-88F345E75797}"/>
    <cellStyle name="Millares 6 2 3 2 3 2 2 2 5" xfId="3302" xr:uid="{2F89B3AD-4086-49B3-83DB-F831B92E23BF}"/>
    <cellStyle name="Millares 6 2 3 2 3 2 2 2 6" xfId="8158" xr:uid="{502BBC99-3A52-4A79-87FF-8933F0BD12D0}"/>
    <cellStyle name="Millares 6 2 3 2 3 2 2 3" xfId="5121" xr:uid="{EFC6C0C3-6530-4467-A06E-BF7A5063A402}"/>
    <cellStyle name="Millares 6 2 3 2 3 2 2 3 2" xfId="9973" xr:uid="{8911A046-C776-4456-85E3-79726530201E}"/>
    <cellStyle name="Millares 6 2 3 2 3 2 2 4" xfId="6334" xr:uid="{1C1FFF8F-D3DD-4C47-BF14-4B147F8691FE}"/>
    <cellStyle name="Millares 6 2 3 2 3 2 2 4 2" xfId="11184" xr:uid="{375A1F0F-C1CA-4701-889F-CAC389A4B757}"/>
    <cellStyle name="Millares 6 2 3 2 3 2 2 5" xfId="3911" xr:uid="{C40E8D59-5D41-4799-890F-E97565BE8862}"/>
    <cellStyle name="Millares 6 2 3 2 3 2 2 5 2" xfId="8765" xr:uid="{DEA0B1D6-054C-429D-82A9-55C29B7F36A0}"/>
    <cellStyle name="Millares 6 2 3 2 3 2 2 6" xfId="2698" xr:uid="{92AB8DAD-EBD0-453B-9366-E36BCD371C8F}"/>
    <cellStyle name="Millares 6 2 3 2 3 2 2 7" xfId="7554" xr:uid="{4B72554D-7DF1-4F93-9C41-077E98520EDC}"/>
    <cellStyle name="Millares 6 2 3 2 3 2 3" xfId="2079" xr:uid="{B986437F-F602-42DE-A7FC-DB73CF0F1BB2}"/>
    <cellStyle name="Millares 6 2 3 2 3 2 3 2" xfId="5724" xr:uid="{E56286D8-98FF-4807-B9C5-7548AED4B9FC}"/>
    <cellStyle name="Millares 6 2 3 2 3 2 3 2 2" xfId="10576" xr:uid="{4634ACFE-9E29-41A6-8B65-E6550425CCEC}"/>
    <cellStyle name="Millares 6 2 3 2 3 2 3 3" xfId="6940" xr:uid="{0BC38BF3-24CB-42BA-9457-DF996837F52B}"/>
    <cellStyle name="Millares 6 2 3 2 3 2 3 3 2" xfId="11788" xr:uid="{D50CF9AA-5E8B-4541-BBBE-420BB2BA289C}"/>
    <cellStyle name="Millares 6 2 3 2 3 2 3 4" xfId="4514" xr:uid="{2F00F580-E496-4F4F-B7C9-C3726CF44151}"/>
    <cellStyle name="Millares 6 2 3 2 3 2 3 4 2" xfId="9368" xr:uid="{EA5B51F7-B206-4386-9050-7E98008AD005}"/>
    <cellStyle name="Millares 6 2 3 2 3 2 3 5" xfId="3301" xr:uid="{7C951FD8-90A4-4E51-8280-D4B827A62896}"/>
    <cellStyle name="Millares 6 2 3 2 3 2 3 6" xfId="8157" xr:uid="{5DEC3E38-A46F-4B49-9888-848816ED0884}"/>
    <cellStyle name="Millares 6 2 3 2 3 2 4" xfId="5120" xr:uid="{66739483-E36D-45A5-8869-CE1FC6F91A8A}"/>
    <cellStyle name="Millares 6 2 3 2 3 2 4 2" xfId="9972" xr:uid="{1ED42F90-65EB-4FD6-828E-6E67227B668E}"/>
    <cellStyle name="Millares 6 2 3 2 3 2 5" xfId="6333" xr:uid="{831F6511-B29C-411E-85D8-901136498833}"/>
    <cellStyle name="Millares 6 2 3 2 3 2 5 2" xfId="11183" xr:uid="{6ED9213A-359C-4045-9F6A-81CD765880E2}"/>
    <cellStyle name="Millares 6 2 3 2 3 2 6" xfId="3910" xr:uid="{CD888512-FEDC-4678-BF57-0156F8310169}"/>
    <cellStyle name="Millares 6 2 3 2 3 2 6 2" xfId="8764" xr:uid="{327BEA9C-7681-4F19-8C8C-84AEB5294E82}"/>
    <cellStyle name="Millares 6 2 3 2 3 2 7" xfId="2697" xr:uid="{8B9EE111-1C43-4690-83BB-E8A92039CD9D}"/>
    <cellStyle name="Millares 6 2 3 2 3 2 8" xfId="7553" xr:uid="{353D4C52-C6C3-443A-99C2-C879DED402B9}"/>
    <cellStyle name="Millares 6 2 3 2 3 3" xfId="909" xr:uid="{26682261-3237-43E1-9E2E-E2FCD8AB8DAD}"/>
    <cellStyle name="Millares 6 2 3 2 3 3 2" xfId="2081" xr:uid="{9154AB59-20D9-4170-9183-0CDBFA6F37F4}"/>
    <cellStyle name="Millares 6 2 3 2 3 3 2 2" xfId="5726" xr:uid="{5EFA5235-31A7-4552-8600-59AAFB14026D}"/>
    <cellStyle name="Millares 6 2 3 2 3 3 2 2 2" xfId="10578" xr:uid="{CA7FC2FA-B05B-4FE2-969F-0AF9552A24C0}"/>
    <cellStyle name="Millares 6 2 3 2 3 3 2 3" xfId="6942" xr:uid="{C5578CFD-187C-45F0-8695-93BE9BAA2778}"/>
    <cellStyle name="Millares 6 2 3 2 3 3 2 3 2" xfId="11790" xr:uid="{9960612E-BAE2-4317-832B-73226838D4A3}"/>
    <cellStyle name="Millares 6 2 3 2 3 3 2 4" xfId="4516" xr:uid="{490AAA9D-A2D6-4A04-A22F-A57978419D81}"/>
    <cellStyle name="Millares 6 2 3 2 3 3 2 4 2" xfId="9370" xr:uid="{0AC62154-CE03-49B3-BE60-4E04E89114A1}"/>
    <cellStyle name="Millares 6 2 3 2 3 3 2 5" xfId="3303" xr:uid="{B02D466E-D5BA-4BD0-A235-91F8EBD4E38F}"/>
    <cellStyle name="Millares 6 2 3 2 3 3 2 6" xfId="8159" xr:uid="{CD71A4B6-F9B2-4BBB-98BB-3E0208C17FF6}"/>
    <cellStyle name="Millares 6 2 3 2 3 3 3" xfId="5122" xr:uid="{8BF4E3F9-B123-4F2B-8483-3656109B4716}"/>
    <cellStyle name="Millares 6 2 3 2 3 3 3 2" xfId="9974" xr:uid="{F88D5A92-0814-4B5C-807B-DC0A4FE62EC8}"/>
    <cellStyle name="Millares 6 2 3 2 3 3 4" xfId="6335" xr:uid="{5D4234F8-E804-4FC6-9F67-8C7D8E5BFF75}"/>
    <cellStyle name="Millares 6 2 3 2 3 3 4 2" xfId="11185" xr:uid="{5B8C7AF3-3C61-40AE-A2AB-600DC3A8B252}"/>
    <cellStyle name="Millares 6 2 3 2 3 3 5" xfId="3912" xr:uid="{8702165C-5174-47A3-A676-AEDB59696DC7}"/>
    <cellStyle name="Millares 6 2 3 2 3 3 5 2" xfId="8766" xr:uid="{09DADAC1-AF18-4CA3-8E24-20FD84583CAC}"/>
    <cellStyle name="Millares 6 2 3 2 3 3 6" xfId="2699" xr:uid="{BE7E7788-0354-432C-9D65-C18F2D2CF719}"/>
    <cellStyle name="Millares 6 2 3 2 3 3 7" xfId="7555" xr:uid="{ACA3C93C-63DA-43D4-97C8-4E169079DB42}"/>
    <cellStyle name="Millares 6 2 3 2 3 4" xfId="2078" xr:uid="{04ADBAF1-05F2-4965-B0F8-6AC36C86A4E0}"/>
    <cellStyle name="Millares 6 2 3 2 3 4 2" xfId="5723" xr:uid="{45390535-130C-4556-87FA-82FFCD99CD48}"/>
    <cellStyle name="Millares 6 2 3 2 3 4 2 2" xfId="10575" xr:uid="{DF358704-F0F8-4667-BE8A-A615FF63A4A2}"/>
    <cellStyle name="Millares 6 2 3 2 3 4 3" xfId="6939" xr:uid="{3F17A307-BEA7-4C3D-9C78-801E8095357D}"/>
    <cellStyle name="Millares 6 2 3 2 3 4 3 2" xfId="11787" xr:uid="{58C83E10-81CE-44F6-8A35-06CF48DFBA87}"/>
    <cellStyle name="Millares 6 2 3 2 3 4 4" xfId="4513" xr:uid="{10FE80BF-0DE2-41F2-B55F-5C3B73B1CB53}"/>
    <cellStyle name="Millares 6 2 3 2 3 4 4 2" xfId="9367" xr:uid="{B06C0FBA-2508-44DB-9C33-2FE5E281DF00}"/>
    <cellStyle name="Millares 6 2 3 2 3 4 5" xfId="3300" xr:uid="{A2D451C4-0D65-4779-9AC3-47E976C9E36B}"/>
    <cellStyle name="Millares 6 2 3 2 3 4 6" xfId="8156" xr:uid="{FFCE255E-6CB2-4905-857C-B7DE6BC335A1}"/>
    <cellStyle name="Millares 6 2 3 2 3 5" xfId="5119" xr:uid="{0E61AC6E-7401-47A0-803E-CFC86B81CCD8}"/>
    <cellStyle name="Millares 6 2 3 2 3 5 2" xfId="9971" xr:uid="{4BC0CF16-0990-4C4F-AC27-973B6916E5B8}"/>
    <cellStyle name="Millares 6 2 3 2 3 6" xfId="6332" xr:uid="{B585F76A-AC16-496C-88B6-E1BCC3B6FC27}"/>
    <cellStyle name="Millares 6 2 3 2 3 6 2" xfId="11182" xr:uid="{1AEDFD90-94C0-483B-9580-A27327B0CA27}"/>
    <cellStyle name="Millares 6 2 3 2 3 7" xfId="3909" xr:uid="{86B4E01C-C2C0-4999-8D69-085DE2C9EFC3}"/>
    <cellStyle name="Millares 6 2 3 2 3 7 2" xfId="8763" xr:uid="{B6449051-23AC-4BC5-9EF0-3369E99A6298}"/>
    <cellStyle name="Millares 6 2 3 2 3 8" xfId="2696" xr:uid="{3698C119-BBFB-4FE5-91FE-92FF9FA6D371}"/>
    <cellStyle name="Millares 6 2 3 2 3 9" xfId="7552" xr:uid="{03390804-0381-48FC-8950-3330FBC25A45}"/>
    <cellStyle name="Millares 6 2 3 2 4" xfId="910" xr:uid="{668F3B4F-1B24-4AC9-8627-0D5967ADAFD9}"/>
    <cellStyle name="Millares 6 2 3 2 4 2" xfId="911" xr:uid="{AC1CB965-9109-458F-B3F6-EBD0DD7C95DD}"/>
    <cellStyle name="Millares 6 2 3 2 4 2 2" xfId="2083" xr:uid="{C67AFE4F-15E9-4D8D-9EFA-202B01635DFA}"/>
    <cellStyle name="Millares 6 2 3 2 4 2 2 2" xfId="5728" xr:uid="{B8E32690-9950-415D-9E49-69BFBFC5358F}"/>
    <cellStyle name="Millares 6 2 3 2 4 2 2 2 2" xfId="10580" xr:uid="{643467FF-18E4-41E2-9063-3C0169300209}"/>
    <cellStyle name="Millares 6 2 3 2 4 2 2 3" xfId="6944" xr:uid="{9CDB45DC-F041-4258-8050-7E04A559E46C}"/>
    <cellStyle name="Millares 6 2 3 2 4 2 2 3 2" xfId="11792" xr:uid="{F865CB88-E6BF-4E5D-956D-9BF69EF0B89A}"/>
    <cellStyle name="Millares 6 2 3 2 4 2 2 4" xfId="4518" xr:uid="{82F5D138-71E8-4E4B-92F6-49AF19136F29}"/>
    <cellStyle name="Millares 6 2 3 2 4 2 2 4 2" xfId="9372" xr:uid="{DE6F328B-2900-4216-9528-184FC054D4F2}"/>
    <cellStyle name="Millares 6 2 3 2 4 2 2 5" xfId="3305" xr:uid="{7DC41481-0558-4C72-80AB-1693B82034AD}"/>
    <cellStyle name="Millares 6 2 3 2 4 2 2 6" xfId="8161" xr:uid="{44D6807E-FED5-453E-854C-A45A5AD7FA44}"/>
    <cellStyle name="Millares 6 2 3 2 4 2 3" xfId="5124" xr:uid="{82DEB645-AA88-4533-B51D-41931EB5C99B}"/>
    <cellStyle name="Millares 6 2 3 2 4 2 3 2" xfId="9976" xr:uid="{AEAB4E8C-8894-4048-9B2E-49991375A736}"/>
    <cellStyle name="Millares 6 2 3 2 4 2 4" xfId="6337" xr:uid="{8D9E999A-44D9-4056-BAB1-F0A809E9C7C7}"/>
    <cellStyle name="Millares 6 2 3 2 4 2 4 2" xfId="11187" xr:uid="{B32C7E71-C1ED-4902-9F06-0F9D2B6D3094}"/>
    <cellStyle name="Millares 6 2 3 2 4 2 5" xfId="3914" xr:uid="{E45FE1A3-FA03-44AF-B721-A7DA5E97D2C3}"/>
    <cellStyle name="Millares 6 2 3 2 4 2 5 2" xfId="8768" xr:uid="{C27BF401-9833-40C2-B0D4-64B8A61B962A}"/>
    <cellStyle name="Millares 6 2 3 2 4 2 6" xfId="2701" xr:uid="{9F00D75F-32F1-438F-945A-F13E34BB2385}"/>
    <cellStyle name="Millares 6 2 3 2 4 2 7" xfId="7557" xr:uid="{4903F4A8-8E76-4784-BD5C-A75A44D0A8DF}"/>
    <cellStyle name="Millares 6 2 3 2 4 3" xfId="2082" xr:uid="{BAC5F2A8-DF5B-497D-8EBA-FB68B540BF83}"/>
    <cellStyle name="Millares 6 2 3 2 4 3 2" xfId="5727" xr:uid="{446A4241-47FC-4650-8735-AB024309F1F3}"/>
    <cellStyle name="Millares 6 2 3 2 4 3 2 2" xfId="10579" xr:uid="{A8C84652-AE29-4445-9C95-F925A9B52487}"/>
    <cellStyle name="Millares 6 2 3 2 4 3 3" xfId="6943" xr:uid="{621A3184-0942-49B3-ADD2-111E0B5B8FC6}"/>
    <cellStyle name="Millares 6 2 3 2 4 3 3 2" xfId="11791" xr:uid="{4523157C-2091-4C06-81E1-FD648DA75AFC}"/>
    <cellStyle name="Millares 6 2 3 2 4 3 4" xfId="4517" xr:uid="{860E6337-EB60-44D1-9A9E-5991657B5150}"/>
    <cellStyle name="Millares 6 2 3 2 4 3 4 2" xfId="9371" xr:uid="{0264307A-EB8A-4C13-AECE-E38E8B2B616A}"/>
    <cellStyle name="Millares 6 2 3 2 4 3 5" xfId="3304" xr:uid="{CBA7E1AB-F708-436D-9B37-E6FFECF41A2E}"/>
    <cellStyle name="Millares 6 2 3 2 4 3 6" xfId="8160" xr:uid="{31B3FC6E-68D8-455E-A4BC-97127CAFB06B}"/>
    <cellStyle name="Millares 6 2 3 2 4 4" xfId="5123" xr:uid="{FEC8F03F-11E5-4E5E-AE75-F50D34F0F958}"/>
    <cellStyle name="Millares 6 2 3 2 4 4 2" xfId="9975" xr:uid="{7AB3B56A-60FB-4A2A-A9F8-221DE7391E15}"/>
    <cellStyle name="Millares 6 2 3 2 4 5" xfId="6336" xr:uid="{927DF435-5A5F-479D-8A2A-6642709D8150}"/>
    <cellStyle name="Millares 6 2 3 2 4 5 2" xfId="11186" xr:uid="{F5DBE7DF-3548-47E9-81FE-DFE2D73846E7}"/>
    <cellStyle name="Millares 6 2 3 2 4 6" xfId="3913" xr:uid="{3DF294FD-88F8-4BD8-BB9A-227207F3A226}"/>
    <cellStyle name="Millares 6 2 3 2 4 6 2" xfId="8767" xr:uid="{9DD9CCA9-4477-4293-99B0-A0C7FF567ACA}"/>
    <cellStyle name="Millares 6 2 3 2 4 7" xfId="2700" xr:uid="{9D6BBE3E-C55D-41C5-A59B-902862D43953}"/>
    <cellStyle name="Millares 6 2 3 2 4 8" xfId="7556" xr:uid="{1D339D81-01F2-41AE-9A7C-E0778C215D61}"/>
    <cellStyle name="Millares 6 2 3 2 5" xfId="912" xr:uid="{B58AD3CE-99D5-4D6F-A0DE-9CE4E6168470}"/>
    <cellStyle name="Millares 6 2 3 2 5 2" xfId="2084" xr:uid="{559905E1-9E0B-4B73-9BE4-FE3E6FDA9CF7}"/>
    <cellStyle name="Millares 6 2 3 2 5 2 2" xfId="5729" xr:uid="{179FB11C-E103-4A50-84C9-135D7CF0D1B4}"/>
    <cellStyle name="Millares 6 2 3 2 5 2 2 2" xfId="10581" xr:uid="{725B3839-00DF-460D-BECE-B4FACA139282}"/>
    <cellStyle name="Millares 6 2 3 2 5 2 3" xfId="6945" xr:uid="{654B7629-88A9-43D7-B7F5-46D38083A16F}"/>
    <cellStyle name="Millares 6 2 3 2 5 2 3 2" xfId="11793" xr:uid="{333F0B75-4E08-477D-B0F3-DD6412A6F2C9}"/>
    <cellStyle name="Millares 6 2 3 2 5 2 4" xfId="4519" xr:uid="{72B4A428-DD87-42B2-B730-AC8D323C4843}"/>
    <cellStyle name="Millares 6 2 3 2 5 2 4 2" xfId="9373" xr:uid="{8D8CEFA4-DE08-4EB1-A3FB-25780078109B}"/>
    <cellStyle name="Millares 6 2 3 2 5 2 5" xfId="3306" xr:uid="{4517A782-87F3-4D68-A711-0A7E38FB3EA2}"/>
    <cellStyle name="Millares 6 2 3 2 5 2 6" xfId="8162" xr:uid="{3261E6D5-2305-4D7B-B970-D242552DF876}"/>
    <cellStyle name="Millares 6 2 3 2 5 3" xfId="5125" xr:uid="{3A2B3B4F-463A-4562-80B2-849A9DC2AECD}"/>
    <cellStyle name="Millares 6 2 3 2 5 3 2" xfId="9977" xr:uid="{C1F3DA21-8C73-4726-B01C-DDF26548BE86}"/>
    <cellStyle name="Millares 6 2 3 2 5 4" xfId="6338" xr:uid="{3B609EA3-7767-4921-B3F3-7E7BFAAB89FF}"/>
    <cellStyle name="Millares 6 2 3 2 5 4 2" xfId="11188" xr:uid="{B012046A-5EF1-4B18-BD90-176A0DE58DA0}"/>
    <cellStyle name="Millares 6 2 3 2 5 5" xfId="3915" xr:uid="{A41469C1-A3F7-42F5-B92E-E66F5DE52B02}"/>
    <cellStyle name="Millares 6 2 3 2 5 5 2" xfId="8769" xr:uid="{5038CBF2-BAD9-467D-9142-82772321CF58}"/>
    <cellStyle name="Millares 6 2 3 2 5 6" xfId="2702" xr:uid="{1BABCF95-5382-43AA-B47D-FCE14F08B113}"/>
    <cellStyle name="Millares 6 2 3 2 5 7" xfId="7558" xr:uid="{E3A9F2A3-CDB4-4DA6-BA84-79FF9DC94AF2}"/>
    <cellStyle name="Millares 6 2 3 2 6" xfId="2073" xr:uid="{FC2E8F7A-51D8-4C2D-8A0E-7010F9350B5F}"/>
    <cellStyle name="Millares 6 2 3 2 6 2" xfId="5718" xr:uid="{2F21E632-7102-42EA-9F33-5D741F368572}"/>
    <cellStyle name="Millares 6 2 3 2 6 2 2" xfId="10570" xr:uid="{93C626CD-339D-4F58-AEE1-9BBC5CC9D994}"/>
    <cellStyle name="Millares 6 2 3 2 6 3" xfId="6934" xr:uid="{0C8F2F0F-04BE-4EFF-9EC4-DBD8E427C41B}"/>
    <cellStyle name="Millares 6 2 3 2 6 3 2" xfId="11782" xr:uid="{E60A18A0-3335-4082-878C-930B31A0D639}"/>
    <cellStyle name="Millares 6 2 3 2 6 4" xfId="4508" xr:uid="{A97D361A-1A57-4A8F-81E0-CC17FC5617E4}"/>
    <cellStyle name="Millares 6 2 3 2 6 4 2" xfId="9362" xr:uid="{ED1F9F16-4394-409B-A7A3-982AB2E2F79E}"/>
    <cellStyle name="Millares 6 2 3 2 6 5" xfId="3295" xr:uid="{CD5696DD-9B45-4B68-B677-663551981546}"/>
    <cellStyle name="Millares 6 2 3 2 6 6" xfId="8151" xr:uid="{F6F27022-F27C-4C8A-BA5C-7C6CCB41674B}"/>
    <cellStyle name="Millares 6 2 3 2 7" xfId="5114" xr:uid="{C9CFE1B8-5E78-4A3D-A684-C8A3C0AF6D06}"/>
    <cellStyle name="Millares 6 2 3 2 7 2" xfId="9966" xr:uid="{8883606A-8E4A-456F-AAB4-80A31027B1C0}"/>
    <cellStyle name="Millares 6 2 3 2 8" xfId="6327" xr:uid="{350C0119-8A14-4ECC-AF8C-2A100EF75059}"/>
    <cellStyle name="Millares 6 2 3 2 8 2" xfId="11177" xr:uid="{2069116A-7033-4D3F-8E89-F9B4B02BF056}"/>
    <cellStyle name="Millares 6 2 3 2 9" xfId="3904" xr:uid="{6318D6D4-8710-4569-9D59-E3ADF182E60B}"/>
    <cellStyle name="Millares 6 2 3 2 9 2" xfId="8758" xr:uid="{B84D8349-3D7E-49F1-8944-538F5AABB8D9}"/>
    <cellStyle name="Millares 6 2 3 3" xfId="913" xr:uid="{B22A2A88-FD82-46A0-B92B-E71331FB1836}"/>
    <cellStyle name="Millares 6 2 3 3 2" xfId="914" xr:uid="{DD1AC1BE-E5DE-421A-B4A0-B9AA504C714C}"/>
    <cellStyle name="Millares 6 2 3 3 2 2" xfId="915" xr:uid="{1A510C9A-4C46-40E2-A7E1-E61BFFCA37E6}"/>
    <cellStyle name="Millares 6 2 3 3 2 2 2" xfId="2087" xr:uid="{623F05C0-F057-4DDE-831E-A53FBAE81AC9}"/>
    <cellStyle name="Millares 6 2 3 3 2 2 2 2" xfId="5732" xr:uid="{BA6A94C8-78AC-4208-B47C-4D900FB7F66D}"/>
    <cellStyle name="Millares 6 2 3 3 2 2 2 2 2" xfId="10584" xr:uid="{19653FFA-CF4F-4BA3-B34E-DC7DCFE1EE3D}"/>
    <cellStyle name="Millares 6 2 3 3 2 2 2 3" xfId="6948" xr:uid="{F481DE3F-BE2B-4C85-9D47-81C2DC23C532}"/>
    <cellStyle name="Millares 6 2 3 3 2 2 2 3 2" xfId="11796" xr:uid="{05E0E67D-D0B6-4CB4-B0A5-03938959A008}"/>
    <cellStyle name="Millares 6 2 3 3 2 2 2 4" xfId="4522" xr:uid="{2181ABF4-7A7B-4043-8B49-4AF8908363D9}"/>
    <cellStyle name="Millares 6 2 3 3 2 2 2 4 2" xfId="9376" xr:uid="{4D6BE7AD-FF3D-4C53-92D4-2340436FDB5F}"/>
    <cellStyle name="Millares 6 2 3 3 2 2 2 5" xfId="3309" xr:uid="{9518183C-E465-40E2-A5BC-0ABA9D3FE1DD}"/>
    <cellStyle name="Millares 6 2 3 3 2 2 2 6" xfId="8165" xr:uid="{F59C4B87-F9B8-4B8A-A910-717496C1F48F}"/>
    <cellStyle name="Millares 6 2 3 3 2 2 3" xfId="5128" xr:uid="{BB6AD3D9-427B-417B-AA82-1EBC78A18CB4}"/>
    <cellStyle name="Millares 6 2 3 3 2 2 3 2" xfId="9980" xr:uid="{7DC97F81-F688-4ACA-AF49-39310D4FF88D}"/>
    <cellStyle name="Millares 6 2 3 3 2 2 4" xfId="6341" xr:uid="{E9B5FB12-9588-4784-AD0D-F91EA4114DE9}"/>
    <cellStyle name="Millares 6 2 3 3 2 2 4 2" xfId="11191" xr:uid="{D6ACF58C-CD59-4141-851A-AC5C1E47FD64}"/>
    <cellStyle name="Millares 6 2 3 3 2 2 5" xfId="3918" xr:uid="{8556CD17-743B-4EED-954E-A9F303BD134B}"/>
    <cellStyle name="Millares 6 2 3 3 2 2 5 2" xfId="8772" xr:uid="{7256F65C-0FBD-4C3D-AA0C-EAC272EAD1B3}"/>
    <cellStyle name="Millares 6 2 3 3 2 2 6" xfId="2705" xr:uid="{E6F79C9B-605A-4D6C-ABF6-314303F7FC4D}"/>
    <cellStyle name="Millares 6 2 3 3 2 2 7" xfId="7561" xr:uid="{1961BDEE-3195-4126-933A-F5CCF3C7C7E5}"/>
    <cellStyle name="Millares 6 2 3 3 2 3" xfId="2086" xr:uid="{07230D39-11A9-413D-AA7C-507220AA2E78}"/>
    <cellStyle name="Millares 6 2 3 3 2 3 2" xfId="5731" xr:uid="{DE7FC43B-4705-4DF9-A648-0F3DAE0B545A}"/>
    <cellStyle name="Millares 6 2 3 3 2 3 2 2" xfId="10583" xr:uid="{23E81598-FDDA-4F81-AD85-7B6DE110F1BA}"/>
    <cellStyle name="Millares 6 2 3 3 2 3 3" xfId="6947" xr:uid="{D9FC3D19-2555-40FB-B91F-5840F5092C13}"/>
    <cellStyle name="Millares 6 2 3 3 2 3 3 2" xfId="11795" xr:uid="{7DA31E53-8EE8-4428-AF00-0BEAE9480058}"/>
    <cellStyle name="Millares 6 2 3 3 2 3 4" xfId="4521" xr:uid="{7085A11F-7059-4753-AF8B-8F917DB55104}"/>
    <cellStyle name="Millares 6 2 3 3 2 3 4 2" xfId="9375" xr:uid="{6E1ABE0B-A75C-4662-8E26-AD1CA94BD535}"/>
    <cellStyle name="Millares 6 2 3 3 2 3 5" xfId="3308" xr:uid="{BC1DCA5F-90D3-4AC5-BA59-51E1F731B356}"/>
    <cellStyle name="Millares 6 2 3 3 2 3 6" xfId="8164" xr:uid="{0EDF0F30-CD90-47C7-9312-24A9A603981D}"/>
    <cellStyle name="Millares 6 2 3 3 2 4" xfId="5127" xr:uid="{6BEF1F9D-A612-4A3B-AE39-68678FCF5A44}"/>
    <cellStyle name="Millares 6 2 3 3 2 4 2" xfId="9979" xr:uid="{5A79ACA6-F7C7-4398-9874-D1962C928799}"/>
    <cellStyle name="Millares 6 2 3 3 2 5" xfId="6340" xr:uid="{96F1083A-962E-4F11-A6ED-8FF48EECCE17}"/>
    <cellStyle name="Millares 6 2 3 3 2 5 2" xfId="11190" xr:uid="{E16AA888-738B-45B8-861A-E8E5B5D7CF02}"/>
    <cellStyle name="Millares 6 2 3 3 2 6" xfId="3917" xr:uid="{5F9EA86B-8CBD-4342-AA20-317366C5C9E4}"/>
    <cellStyle name="Millares 6 2 3 3 2 6 2" xfId="8771" xr:uid="{672F2798-3140-48E4-A99B-E33963267EED}"/>
    <cellStyle name="Millares 6 2 3 3 2 7" xfId="2704" xr:uid="{5DF80537-4C67-4B0C-B145-3A133E2EFBAB}"/>
    <cellStyle name="Millares 6 2 3 3 2 8" xfId="7560" xr:uid="{C4D423BE-9FD9-4C66-9E8F-0EDF3044F161}"/>
    <cellStyle name="Millares 6 2 3 3 3" xfId="916" xr:uid="{E0018CA8-70E6-4EBB-B89A-4749452BDDE4}"/>
    <cellStyle name="Millares 6 2 3 3 3 2" xfId="2088" xr:uid="{8FDC978B-9DB3-4F6D-8045-22EFB9710EE8}"/>
    <cellStyle name="Millares 6 2 3 3 3 2 2" xfId="5733" xr:uid="{CFA17996-CA1D-4101-BCC2-1C7CF252B374}"/>
    <cellStyle name="Millares 6 2 3 3 3 2 2 2" xfId="10585" xr:uid="{7C8686A4-3876-4F1C-8B5F-D53404CDBBE2}"/>
    <cellStyle name="Millares 6 2 3 3 3 2 3" xfId="6949" xr:uid="{EC40E31D-2430-4D6F-BB87-CC99C41999E0}"/>
    <cellStyle name="Millares 6 2 3 3 3 2 3 2" xfId="11797" xr:uid="{DFFC7455-2B71-4E3D-8FC5-8D4C56F0D9B4}"/>
    <cellStyle name="Millares 6 2 3 3 3 2 4" xfId="4523" xr:uid="{B7D6DB16-63DC-4498-83B7-3B0C28C9FBE9}"/>
    <cellStyle name="Millares 6 2 3 3 3 2 4 2" xfId="9377" xr:uid="{EC808066-925D-4DE1-8098-CA6024F00966}"/>
    <cellStyle name="Millares 6 2 3 3 3 2 5" xfId="3310" xr:uid="{56BD059D-121F-4B25-A31E-CB60AEF4595F}"/>
    <cellStyle name="Millares 6 2 3 3 3 2 6" xfId="8166" xr:uid="{06C666A3-09AD-4EF7-AE5B-FF18641B6318}"/>
    <cellStyle name="Millares 6 2 3 3 3 3" xfId="5129" xr:uid="{1AFFC9F3-B3AE-46AF-9890-7AB3826C7AD0}"/>
    <cellStyle name="Millares 6 2 3 3 3 3 2" xfId="9981" xr:uid="{9648B899-8768-4325-BF81-F920DC93CCF4}"/>
    <cellStyle name="Millares 6 2 3 3 3 4" xfId="6342" xr:uid="{250F57AC-7814-4B89-8734-5D76496F8328}"/>
    <cellStyle name="Millares 6 2 3 3 3 4 2" xfId="11192" xr:uid="{66CCC8A2-F379-4EC8-8F39-7A4215B55516}"/>
    <cellStyle name="Millares 6 2 3 3 3 5" xfId="3919" xr:uid="{4FB737D0-FF9B-485B-8449-E975758439F0}"/>
    <cellStyle name="Millares 6 2 3 3 3 5 2" xfId="8773" xr:uid="{B569CE48-733F-4FE1-998D-48A8C225C5D6}"/>
    <cellStyle name="Millares 6 2 3 3 3 6" xfId="2706" xr:uid="{D1E846A5-BF4D-42F8-A961-BADF7BE0A6CC}"/>
    <cellStyle name="Millares 6 2 3 3 3 7" xfId="7562" xr:uid="{810B5296-697B-4160-AA85-67B8797ECAFE}"/>
    <cellStyle name="Millares 6 2 3 3 4" xfId="2085" xr:uid="{7942B4A5-7701-4044-A7F9-90F79C6563F1}"/>
    <cellStyle name="Millares 6 2 3 3 4 2" xfId="5730" xr:uid="{29B99706-42DE-4C5C-8D16-D4C23F67B604}"/>
    <cellStyle name="Millares 6 2 3 3 4 2 2" xfId="10582" xr:uid="{70090A3E-23F0-4535-A141-8E3A8E32B216}"/>
    <cellStyle name="Millares 6 2 3 3 4 3" xfId="6946" xr:uid="{AB589066-7B04-4903-8CB5-9D578C878481}"/>
    <cellStyle name="Millares 6 2 3 3 4 3 2" xfId="11794" xr:uid="{5E0D51E1-B91E-45D9-BB03-E266C59652FC}"/>
    <cellStyle name="Millares 6 2 3 3 4 4" xfId="4520" xr:uid="{A4AC09B3-3D9A-4678-B218-FD4EAACD3BFF}"/>
    <cellStyle name="Millares 6 2 3 3 4 4 2" xfId="9374" xr:uid="{42B94227-419C-418E-8B32-CBC8C7C06A9F}"/>
    <cellStyle name="Millares 6 2 3 3 4 5" xfId="3307" xr:uid="{DD7034DF-2B60-4805-8D9A-3C7F6FC889A4}"/>
    <cellStyle name="Millares 6 2 3 3 4 6" xfId="8163" xr:uid="{FCE3E933-8681-463D-9420-726F6BD7E475}"/>
    <cellStyle name="Millares 6 2 3 3 5" xfId="5126" xr:uid="{ADB420BE-6947-4932-9D51-0ECBE29FD5E7}"/>
    <cellStyle name="Millares 6 2 3 3 5 2" xfId="9978" xr:uid="{8C86BA02-2767-45B1-B6AB-9097CEAA4987}"/>
    <cellStyle name="Millares 6 2 3 3 6" xfId="6339" xr:uid="{31FF3AAC-5A8B-4FC6-8476-DABC04206093}"/>
    <cellStyle name="Millares 6 2 3 3 6 2" xfId="11189" xr:uid="{B2BBF6A1-0D2A-4CBB-B3E5-7B8ECF41C03F}"/>
    <cellStyle name="Millares 6 2 3 3 7" xfId="3916" xr:uid="{0259CE21-7371-4DF3-B78C-F0F8AAA62ED6}"/>
    <cellStyle name="Millares 6 2 3 3 7 2" xfId="8770" xr:uid="{060321EE-AB45-488A-858E-BADDD4F6FC88}"/>
    <cellStyle name="Millares 6 2 3 3 8" xfId="2703" xr:uid="{94F44B6C-17E0-406B-88DA-9DA69ADB06DD}"/>
    <cellStyle name="Millares 6 2 3 3 9" xfId="7559" xr:uid="{580154CE-0AF0-4002-9696-149ED5B744FD}"/>
    <cellStyle name="Millares 6 2 3 4" xfId="917" xr:uid="{F80F8BF3-8DBD-43A1-863D-19E493B7FF22}"/>
    <cellStyle name="Millares 6 2 3 4 2" xfId="918" xr:uid="{36AB88DB-A328-41AC-885E-DEAA3047A929}"/>
    <cellStyle name="Millares 6 2 3 4 2 2" xfId="919" xr:uid="{5AEFA791-2E1C-4B0C-B70B-046C65E96CAC}"/>
    <cellStyle name="Millares 6 2 3 4 2 2 2" xfId="2091" xr:uid="{E2B03C6C-7452-4E9D-90B3-56F75A154616}"/>
    <cellStyle name="Millares 6 2 3 4 2 2 2 2" xfId="5736" xr:uid="{681268A0-F788-4688-9F70-68C1CD3CA9FB}"/>
    <cellStyle name="Millares 6 2 3 4 2 2 2 2 2" xfId="10588" xr:uid="{4C7EA355-FF59-40AB-AA42-62FEC5324255}"/>
    <cellStyle name="Millares 6 2 3 4 2 2 2 3" xfId="6952" xr:uid="{4262644C-ECA5-4A3A-92A4-47296B3B2D4C}"/>
    <cellStyle name="Millares 6 2 3 4 2 2 2 3 2" xfId="11800" xr:uid="{719B6F89-42C5-4CEA-A0E0-95B27C1A5C12}"/>
    <cellStyle name="Millares 6 2 3 4 2 2 2 4" xfId="4526" xr:uid="{E4FA59CD-D06A-417C-BB75-21D131800809}"/>
    <cellStyle name="Millares 6 2 3 4 2 2 2 4 2" xfId="9380" xr:uid="{ACBA32DC-042F-4D08-B0D1-19D9153D2334}"/>
    <cellStyle name="Millares 6 2 3 4 2 2 2 5" xfId="3313" xr:uid="{E3D24A39-7FC7-4D80-947C-3421DB5BC118}"/>
    <cellStyle name="Millares 6 2 3 4 2 2 2 6" xfId="8169" xr:uid="{17DEA1A6-09CB-4F9B-9F1F-56B76E7E9C69}"/>
    <cellStyle name="Millares 6 2 3 4 2 2 3" xfId="5132" xr:uid="{2DCE9F71-A06B-471B-80FD-7A9D9F51B53F}"/>
    <cellStyle name="Millares 6 2 3 4 2 2 3 2" xfId="9984" xr:uid="{E8ECA413-2D62-47E2-ACF7-F08BF366BF8A}"/>
    <cellStyle name="Millares 6 2 3 4 2 2 4" xfId="6345" xr:uid="{193E82B6-C450-4247-B41D-3E9FD78D9694}"/>
    <cellStyle name="Millares 6 2 3 4 2 2 4 2" xfId="11195" xr:uid="{3B91EDAF-7A0F-4906-B3CC-D7297E379654}"/>
    <cellStyle name="Millares 6 2 3 4 2 2 5" xfId="3922" xr:uid="{B2C0149E-7715-465E-9BB4-65439AA579C2}"/>
    <cellStyle name="Millares 6 2 3 4 2 2 5 2" xfId="8776" xr:uid="{D74632C5-DE45-4ADB-81E6-A043DF5745CB}"/>
    <cellStyle name="Millares 6 2 3 4 2 2 6" xfId="2709" xr:uid="{A202D6F3-D167-47E2-A5B6-B3B037AD2F39}"/>
    <cellStyle name="Millares 6 2 3 4 2 2 7" xfId="7565" xr:uid="{EF740F54-EEF7-400B-964B-1DC6A2B4231E}"/>
    <cellStyle name="Millares 6 2 3 4 2 3" xfId="2090" xr:uid="{A5FEE8F9-5CAE-4B65-83FB-C584FDF4CFF2}"/>
    <cellStyle name="Millares 6 2 3 4 2 3 2" xfId="5735" xr:uid="{D80D8A14-B2D3-4C46-BF53-CC49428A2782}"/>
    <cellStyle name="Millares 6 2 3 4 2 3 2 2" xfId="10587" xr:uid="{6E09E032-4CA5-45A1-9FB2-DF76D4A7199E}"/>
    <cellStyle name="Millares 6 2 3 4 2 3 3" xfId="6951" xr:uid="{E50B28AF-D940-4349-8C20-098BB2759294}"/>
    <cellStyle name="Millares 6 2 3 4 2 3 3 2" xfId="11799" xr:uid="{35B02D79-2B39-4D20-B82B-FDA44D515624}"/>
    <cellStyle name="Millares 6 2 3 4 2 3 4" xfId="4525" xr:uid="{CA236B91-CBF8-4F99-B722-06FCBDB82484}"/>
    <cellStyle name="Millares 6 2 3 4 2 3 4 2" xfId="9379" xr:uid="{ACE00916-8F5B-444E-8741-E656DF3A7A7A}"/>
    <cellStyle name="Millares 6 2 3 4 2 3 5" xfId="3312" xr:uid="{61AA2E3F-F434-4AEA-A4E1-EAE0FDD4133B}"/>
    <cellStyle name="Millares 6 2 3 4 2 3 6" xfId="8168" xr:uid="{ED2E4744-9C8A-4EFD-AC72-F10283927F9C}"/>
    <cellStyle name="Millares 6 2 3 4 2 4" xfId="5131" xr:uid="{C3211BA1-C1FA-4745-917C-7C2E858D2419}"/>
    <cellStyle name="Millares 6 2 3 4 2 4 2" xfId="9983" xr:uid="{1EDA607C-1FFE-42BC-BDFB-DA41A6DB927B}"/>
    <cellStyle name="Millares 6 2 3 4 2 5" xfId="6344" xr:uid="{4F03E3C6-582D-4D7A-98A1-B92150B8CDD0}"/>
    <cellStyle name="Millares 6 2 3 4 2 5 2" xfId="11194" xr:uid="{56267034-0FA2-430F-B21E-FE996678629E}"/>
    <cellStyle name="Millares 6 2 3 4 2 6" xfId="3921" xr:uid="{AA414D3A-7FC9-4C4F-BA75-B208E7AC6408}"/>
    <cellStyle name="Millares 6 2 3 4 2 6 2" xfId="8775" xr:uid="{D721BD60-A7C6-4507-95EC-3837B7E80422}"/>
    <cellStyle name="Millares 6 2 3 4 2 7" xfId="2708" xr:uid="{DD7CD62C-9665-4853-A164-011E26099F17}"/>
    <cellStyle name="Millares 6 2 3 4 2 8" xfId="7564" xr:uid="{9B88FA09-1248-44AF-B233-97E91A0787F0}"/>
    <cellStyle name="Millares 6 2 3 4 3" xfId="920" xr:uid="{6EBDA369-5AF7-4BEE-9E41-5311D92D3700}"/>
    <cellStyle name="Millares 6 2 3 4 3 2" xfId="2092" xr:uid="{EB8C45C9-3E1C-49AC-903B-819E10D0FEA8}"/>
    <cellStyle name="Millares 6 2 3 4 3 2 2" xfId="5737" xr:uid="{CA86A884-B68E-4989-97A7-BFE9650FE8C3}"/>
    <cellStyle name="Millares 6 2 3 4 3 2 2 2" xfId="10589" xr:uid="{0AEF6CAA-ACAE-4474-B9B8-6CC4F4831502}"/>
    <cellStyle name="Millares 6 2 3 4 3 2 3" xfId="6953" xr:uid="{2E44429F-4A27-4721-8EAF-1E7ED1C76869}"/>
    <cellStyle name="Millares 6 2 3 4 3 2 3 2" xfId="11801" xr:uid="{0B625565-F7C9-49A7-B6E9-366C93D44844}"/>
    <cellStyle name="Millares 6 2 3 4 3 2 4" xfId="4527" xr:uid="{806D021F-B419-4041-A6C8-517A8052BDE8}"/>
    <cellStyle name="Millares 6 2 3 4 3 2 4 2" xfId="9381" xr:uid="{2F472290-9F04-41FF-874D-5E27528F07D7}"/>
    <cellStyle name="Millares 6 2 3 4 3 2 5" xfId="3314" xr:uid="{DD5EA9AC-43A6-4D93-94F9-A5D97BC971A0}"/>
    <cellStyle name="Millares 6 2 3 4 3 2 6" xfId="8170" xr:uid="{F2579ABB-B85D-48A0-8995-381E94D83D78}"/>
    <cellStyle name="Millares 6 2 3 4 3 3" xfId="5133" xr:uid="{472773BE-44DA-4C1E-BF7E-1864C9C2A9B8}"/>
    <cellStyle name="Millares 6 2 3 4 3 3 2" xfId="9985" xr:uid="{9B716B8E-F25C-4427-AC64-47BFC44BB525}"/>
    <cellStyle name="Millares 6 2 3 4 3 4" xfId="6346" xr:uid="{34B4E8C2-DAF9-4242-B658-47E3B0E984EA}"/>
    <cellStyle name="Millares 6 2 3 4 3 4 2" xfId="11196" xr:uid="{BC4B869E-5AE6-41A1-84F3-042E43328B2B}"/>
    <cellStyle name="Millares 6 2 3 4 3 5" xfId="3923" xr:uid="{588BFDB0-8708-49A4-92F1-C86EEC730CD9}"/>
    <cellStyle name="Millares 6 2 3 4 3 5 2" xfId="8777" xr:uid="{3B5EB8FC-8668-4837-B691-70FECCBE28DF}"/>
    <cellStyle name="Millares 6 2 3 4 3 6" xfId="2710" xr:uid="{CEF088C6-E21F-4E73-AB88-0ECEE8F660D1}"/>
    <cellStyle name="Millares 6 2 3 4 3 7" xfId="7566" xr:uid="{86472281-AAC1-4533-A8FB-5B8F63FA3D71}"/>
    <cellStyle name="Millares 6 2 3 4 4" xfId="2089" xr:uid="{385D7B9E-A072-466F-A8BA-3BAFA685FB4B}"/>
    <cellStyle name="Millares 6 2 3 4 4 2" xfId="5734" xr:uid="{51CF67F8-8A8F-4D50-9B13-B2BA11287203}"/>
    <cellStyle name="Millares 6 2 3 4 4 2 2" xfId="10586" xr:uid="{AE03E5EF-50FB-4E0B-BD91-AD52EF20B3FA}"/>
    <cellStyle name="Millares 6 2 3 4 4 3" xfId="6950" xr:uid="{9BADCAB4-257F-41AD-A3CE-41AD99BC3220}"/>
    <cellStyle name="Millares 6 2 3 4 4 3 2" xfId="11798" xr:uid="{6F1A2819-2661-406F-B4F7-9E1A32964375}"/>
    <cellStyle name="Millares 6 2 3 4 4 4" xfId="4524" xr:uid="{2E788B82-D1EA-4CE3-8FD9-7E369C83DDF2}"/>
    <cellStyle name="Millares 6 2 3 4 4 4 2" xfId="9378" xr:uid="{E5089163-8053-422C-8D0A-CB6B39F5291F}"/>
    <cellStyle name="Millares 6 2 3 4 4 5" xfId="3311" xr:uid="{47A1CC30-141D-4875-A2A0-D4981AFE4050}"/>
    <cellStyle name="Millares 6 2 3 4 4 6" xfId="8167" xr:uid="{66BB1A7F-55AB-40C4-9C0B-926A2BC4BAB8}"/>
    <cellStyle name="Millares 6 2 3 4 5" xfId="5130" xr:uid="{45CAA2FF-F697-4C1D-B78B-795AF1F591FA}"/>
    <cellStyle name="Millares 6 2 3 4 5 2" xfId="9982" xr:uid="{580DAA82-7407-458A-98FE-B9194157E3F2}"/>
    <cellStyle name="Millares 6 2 3 4 6" xfId="6343" xr:uid="{5F9A282C-6620-47B0-AB3F-3DE82E46D96A}"/>
    <cellStyle name="Millares 6 2 3 4 6 2" xfId="11193" xr:uid="{AE4422CD-1BFD-4DD5-91AB-0CCFAB6E7929}"/>
    <cellStyle name="Millares 6 2 3 4 7" xfId="3920" xr:uid="{44019608-4FC9-4684-9DF4-0919A23C4F2C}"/>
    <cellStyle name="Millares 6 2 3 4 7 2" xfId="8774" xr:uid="{545642C5-6B39-4B3C-AC0A-A6659F5AD613}"/>
    <cellStyle name="Millares 6 2 3 4 8" xfId="2707" xr:uid="{4A7874B6-BAE0-4059-BDC2-B4639716F4A5}"/>
    <cellStyle name="Millares 6 2 3 4 9" xfId="7563" xr:uid="{BFD0D685-92BE-4C17-80E7-6164042C3426}"/>
    <cellStyle name="Millares 6 2 3 5" xfId="921" xr:uid="{CD679144-6D42-435A-AB75-739BEB3CE9C3}"/>
    <cellStyle name="Millares 6 2 3 5 2" xfId="922" xr:uid="{BEA5B9AE-FF0A-4F13-816F-18E1A8DDBDAD}"/>
    <cellStyle name="Millares 6 2 3 5 2 2" xfId="2094" xr:uid="{BB9F233F-2A49-4569-B0F0-685162D388DC}"/>
    <cellStyle name="Millares 6 2 3 5 2 2 2" xfId="5739" xr:uid="{F697C012-E6F7-482F-ABE2-60FD0FD3B4EE}"/>
    <cellStyle name="Millares 6 2 3 5 2 2 2 2" xfId="10591" xr:uid="{D3D277AF-560F-4197-9749-A92396EEB924}"/>
    <cellStyle name="Millares 6 2 3 5 2 2 3" xfId="6955" xr:uid="{C2F94453-4EDD-43D0-AFFE-BCDFC9E98654}"/>
    <cellStyle name="Millares 6 2 3 5 2 2 3 2" xfId="11803" xr:uid="{DE1099DB-EF17-43AC-B465-6A85B8A679EF}"/>
    <cellStyle name="Millares 6 2 3 5 2 2 4" xfId="4529" xr:uid="{CE9480F3-E2F6-4474-A730-5EBFB4DDAC2D}"/>
    <cellStyle name="Millares 6 2 3 5 2 2 4 2" xfId="9383" xr:uid="{55C0542B-106A-4708-B3C8-2803131A961A}"/>
    <cellStyle name="Millares 6 2 3 5 2 2 5" xfId="3316" xr:uid="{CC4D3241-CEDE-4F83-9504-889137DD1ACD}"/>
    <cellStyle name="Millares 6 2 3 5 2 2 6" xfId="8172" xr:uid="{CE1E1D15-152D-4D40-A1FB-A92C302E66E6}"/>
    <cellStyle name="Millares 6 2 3 5 2 3" xfId="5135" xr:uid="{489BCC5B-3065-4C0A-9104-E149B2560228}"/>
    <cellStyle name="Millares 6 2 3 5 2 3 2" xfId="9987" xr:uid="{C0296C7A-7BE1-4684-85CB-5EAC6889E0ED}"/>
    <cellStyle name="Millares 6 2 3 5 2 4" xfId="6348" xr:uid="{88905BB1-BA79-4C3B-89CD-47FD3858EDE7}"/>
    <cellStyle name="Millares 6 2 3 5 2 4 2" xfId="11198" xr:uid="{61513689-3AB8-496E-ADDF-2C9654A8C983}"/>
    <cellStyle name="Millares 6 2 3 5 2 5" xfId="3925" xr:uid="{FF61C75A-DB2D-41B7-8755-B52A0A7A2A61}"/>
    <cellStyle name="Millares 6 2 3 5 2 5 2" xfId="8779" xr:uid="{C74EB908-4127-4D7B-9528-DC2AF7ACF51D}"/>
    <cellStyle name="Millares 6 2 3 5 2 6" xfId="2712" xr:uid="{E29D8D6A-9E13-43F1-B755-24B29C7AC37F}"/>
    <cellStyle name="Millares 6 2 3 5 2 7" xfId="7568" xr:uid="{F9E8CC1B-BC84-4CF3-9BA5-51257763CF92}"/>
    <cellStyle name="Millares 6 2 3 5 3" xfId="2093" xr:uid="{B92DA6AD-353B-41F1-AA79-D243D724ECB8}"/>
    <cellStyle name="Millares 6 2 3 5 3 2" xfId="5738" xr:uid="{72DC6D50-42DD-4DB0-900C-FD721369293A}"/>
    <cellStyle name="Millares 6 2 3 5 3 2 2" xfId="10590" xr:uid="{1BFD5371-A6BD-416C-B1EC-F6799C0115F0}"/>
    <cellStyle name="Millares 6 2 3 5 3 3" xfId="6954" xr:uid="{F67CFE35-3C00-4A02-B8D1-B3719793497F}"/>
    <cellStyle name="Millares 6 2 3 5 3 3 2" xfId="11802" xr:uid="{FAC2BE4B-9DF3-4A17-B830-67CD251F0085}"/>
    <cellStyle name="Millares 6 2 3 5 3 4" xfId="4528" xr:uid="{FC8421BB-EAE9-401D-B8EF-0A005732724C}"/>
    <cellStyle name="Millares 6 2 3 5 3 4 2" xfId="9382" xr:uid="{1855E762-799E-4F00-AEA7-04BC11D68473}"/>
    <cellStyle name="Millares 6 2 3 5 3 5" xfId="3315" xr:uid="{F03EB82D-CFE5-490C-8E89-816DB18CD834}"/>
    <cellStyle name="Millares 6 2 3 5 3 6" xfId="8171" xr:uid="{F682FC13-FC27-4C23-BDF0-CC0B005A9E6C}"/>
    <cellStyle name="Millares 6 2 3 5 4" xfId="5134" xr:uid="{38EDAAF8-279F-458E-AE5B-6ED6453F8989}"/>
    <cellStyle name="Millares 6 2 3 5 4 2" xfId="9986" xr:uid="{D8F39CC3-68C9-4654-8D2B-0B87CB21151C}"/>
    <cellStyle name="Millares 6 2 3 5 5" xfId="6347" xr:uid="{BEC8ACD3-C8E2-4718-8F21-B7DC8CCE066C}"/>
    <cellStyle name="Millares 6 2 3 5 5 2" xfId="11197" xr:uid="{ED72E696-5634-40DD-8FD0-F829DEE54C7C}"/>
    <cellStyle name="Millares 6 2 3 5 6" xfId="3924" xr:uid="{F4A3DC7D-6331-453E-8D21-546CB8268892}"/>
    <cellStyle name="Millares 6 2 3 5 6 2" xfId="8778" xr:uid="{4FF6B2F2-F409-4E2E-80EC-90E490F8C731}"/>
    <cellStyle name="Millares 6 2 3 5 7" xfId="2711" xr:uid="{8E43DD80-F8D6-4C37-84AF-86741A8E5448}"/>
    <cellStyle name="Millares 6 2 3 5 8" xfId="7567" xr:uid="{A6EB51E0-3568-407F-B526-9FF0B24AC73E}"/>
    <cellStyle name="Millares 6 2 3 6" xfId="923" xr:uid="{0E02DE1D-2610-4E83-8357-69F546AF68C4}"/>
    <cellStyle name="Millares 6 2 3 6 2" xfId="2095" xr:uid="{DCA0AB4C-8581-48C3-85D7-4996294DF48D}"/>
    <cellStyle name="Millares 6 2 3 6 2 2" xfId="5740" xr:uid="{DDB9EF47-4E46-4963-A5A0-07D56ACD65B0}"/>
    <cellStyle name="Millares 6 2 3 6 2 2 2" xfId="10592" xr:uid="{1F4E2F4B-5DB1-45B5-9E45-CFE9070F4A86}"/>
    <cellStyle name="Millares 6 2 3 6 2 3" xfId="6956" xr:uid="{B00D7046-88C7-4C26-86F0-727BEA66AA2D}"/>
    <cellStyle name="Millares 6 2 3 6 2 3 2" xfId="11804" xr:uid="{CBCA06A9-0CBF-4349-9AAE-8ED4241A4D52}"/>
    <cellStyle name="Millares 6 2 3 6 2 4" xfId="4530" xr:uid="{FAED70E2-3F0E-49A9-9F38-C3946B7F9101}"/>
    <cellStyle name="Millares 6 2 3 6 2 4 2" xfId="9384" xr:uid="{CCD0A682-B0D1-4689-A244-51046560E9E4}"/>
    <cellStyle name="Millares 6 2 3 6 2 5" xfId="3317" xr:uid="{D46924D9-4AF0-4D8A-81B9-EF02698D790C}"/>
    <cellStyle name="Millares 6 2 3 6 2 6" xfId="8173" xr:uid="{BA57C4CA-9ABC-4630-9033-DEDAD865240B}"/>
    <cellStyle name="Millares 6 2 3 6 3" xfId="5136" xr:uid="{07EEC06B-9B3E-49CB-82F1-66F2859FB1B7}"/>
    <cellStyle name="Millares 6 2 3 6 3 2" xfId="9988" xr:uid="{C3A5816B-C88E-400E-A875-85122329C46C}"/>
    <cellStyle name="Millares 6 2 3 6 4" xfId="6349" xr:uid="{749536E9-4003-4108-B939-25207406273A}"/>
    <cellStyle name="Millares 6 2 3 6 4 2" xfId="11199" xr:uid="{8CC2F10E-6D99-4EEE-90E0-5507EB4B9D03}"/>
    <cellStyle name="Millares 6 2 3 6 5" xfId="3926" xr:uid="{F51517BE-1B4F-4219-9F57-9CB579DE3BCB}"/>
    <cellStyle name="Millares 6 2 3 6 5 2" xfId="8780" xr:uid="{F605C81E-05F8-4E87-921A-4A9C6582ACDF}"/>
    <cellStyle name="Millares 6 2 3 6 6" xfId="2713" xr:uid="{62F44DEB-D062-49DE-9E79-C113087D2CE3}"/>
    <cellStyle name="Millares 6 2 3 6 7" xfId="7569" xr:uid="{36B8D688-BB28-4352-A2F8-592FE9869AD2}"/>
    <cellStyle name="Millares 6 2 3 7" xfId="2072" xr:uid="{26D0A493-E265-43F9-B3AA-2DADE6CE4AB4}"/>
    <cellStyle name="Millares 6 2 3 7 2" xfId="5717" xr:uid="{C25456BB-D62B-400A-904B-22F3D1F97FBC}"/>
    <cellStyle name="Millares 6 2 3 7 2 2" xfId="10569" xr:uid="{19652F20-033C-4BAE-B7BB-12867A922640}"/>
    <cellStyle name="Millares 6 2 3 7 3" xfId="6933" xr:uid="{92C6D8D1-89F5-4CFF-9096-AA25C28E43D2}"/>
    <cellStyle name="Millares 6 2 3 7 3 2" xfId="11781" xr:uid="{1F61F4A3-6170-4D6F-A468-17F3694E18DD}"/>
    <cellStyle name="Millares 6 2 3 7 4" xfId="4507" xr:uid="{D1729527-1D78-4461-BB2B-9BD1169F7ED1}"/>
    <cellStyle name="Millares 6 2 3 7 4 2" xfId="9361" xr:uid="{49ADD0A6-1807-41CC-9B99-76F9BAF02DD7}"/>
    <cellStyle name="Millares 6 2 3 7 5" xfId="3294" xr:uid="{7EB06668-B550-49E3-9C6C-04950D84880C}"/>
    <cellStyle name="Millares 6 2 3 7 6" xfId="8150" xr:uid="{7590C8BB-4B57-436F-878C-056B58BC85B8}"/>
    <cellStyle name="Millares 6 2 3 8" xfId="5113" xr:uid="{3BDB8266-85EA-4EE3-8853-178C0A45FA29}"/>
    <cellStyle name="Millares 6 2 3 8 2" xfId="9965" xr:uid="{EA837C34-6533-4DA3-A5F7-88D3D83839BA}"/>
    <cellStyle name="Millares 6 2 3 9" xfId="6326" xr:uid="{EBAB4160-7C8F-49B3-98C9-00E487645E0D}"/>
    <cellStyle name="Millares 6 2 3 9 2" xfId="11176" xr:uid="{335E9AC6-B03F-430D-A854-CC94593CDCB5}"/>
    <cellStyle name="Millares 6 2 4" xfId="924" xr:uid="{45DB42B6-CCCB-477A-819D-F68280418E8F}"/>
    <cellStyle name="Millares 6 2 4 10" xfId="3927" xr:uid="{7F8D4640-6D10-4A91-8AD7-B2217CBA8151}"/>
    <cellStyle name="Millares 6 2 4 10 2" xfId="8781" xr:uid="{E1BE3BF0-5D52-4B5C-A9EA-607E99055420}"/>
    <cellStyle name="Millares 6 2 4 11" xfId="2714" xr:uid="{B1CC7690-77F2-4DB2-B387-F0891F4D40A7}"/>
    <cellStyle name="Millares 6 2 4 12" xfId="7570" xr:uid="{03F9CA96-EF1D-4B37-AE7D-EF39C8600F04}"/>
    <cellStyle name="Millares 6 2 4 2" xfId="925" xr:uid="{66979FA8-A369-4661-8D50-9BF92E176771}"/>
    <cellStyle name="Millares 6 2 4 2 10" xfId="2715" xr:uid="{3BD88A29-F977-47C5-973A-D77068D57B84}"/>
    <cellStyle name="Millares 6 2 4 2 11" xfId="7571" xr:uid="{4D114304-A701-4D81-9F90-28F3C166D647}"/>
    <cellStyle name="Millares 6 2 4 2 2" xfId="926" xr:uid="{765485B8-30E2-4393-8A03-8FDB239C4606}"/>
    <cellStyle name="Millares 6 2 4 2 2 2" xfId="927" xr:uid="{9F4D3C5A-E34E-42AF-BA79-D3B12BBA01B2}"/>
    <cellStyle name="Millares 6 2 4 2 2 2 2" xfId="928" xr:uid="{27C43B6F-2511-49D6-974B-9C2D95F0E75A}"/>
    <cellStyle name="Millares 6 2 4 2 2 2 2 2" xfId="2100" xr:uid="{1EDCB9FB-FC71-42DD-9B97-E62A44FFF49A}"/>
    <cellStyle name="Millares 6 2 4 2 2 2 2 2 2" xfId="5745" xr:uid="{266F0A23-81B4-4427-89F9-83FD928E065A}"/>
    <cellStyle name="Millares 6 2 4 2 2 2 2 2 2 2" xfId="10597" xr:uid="{D303510C-947A-4B86-8573-4E43AF90C62A}"/>
    <cellStyle name="Millares 6 2 4 2 2 2 2 2 3" xfId="6961" xr:uid="{1D9B517A-6183-4EF1-9B32-3BF53399910B}"/>
    <cellStyle name="Millares 6 2 4 2 2 2 2 2 3 2" xfId="11809" xr:uid="{44B631A4-C2B1-4FCB-BA47-B8514E1BB1E1}"/>
    <cellStyle name="Millares 6 2 4 2 2 2 2 2 4" xfId="4535" xr:uid="{EDFA6480-F2E6-4A1E-9C75-A5B0E4FB4346}"/>
    <cellStyle name="Millares 6 2 4 2 2 2 2 2 4 2" xfId="9389" xr:uid="{6510CFA1-735A-473B-8A16-ECDCAE180B65}"/>
    <cellStyle name="Millares 6 2 4 2 2 2 2 2 5" xfId="3322" xr:uid="{E35119E9-9000-42E6-BA86-6044681A2453}"/>
    <cellStyle name="Millares 6 2 4 2 2 2 2 2 6" xfId="8178" xr:uid="{37229327-5BED-4851-A220-6C50A0D6A581}"/>
    <cellStyle name="Millares 6 2 4 2 2 2 2 3" xfId="5141" xr:uid="{2E52905F-0D1A-4344-B9BA-F74E65FB45AB}"/>
    <cellStyle name="Millares 6 2 4 2 2 2 2 3 2" xfId="9993" xr:uid="{12927BC3-1BEA-495C-85D0-4664ED28FAA8}"/>
    <cellStyle name="Millares 6 2 4 2 2 2 2 4" xfId="6354" xr:uid="{01298CA5-B558-4F01-9C0C-C07117CF01AE}"/>
    <cellStyle name="Millares 6 2 4 2 2 2 2 4 2" xfId="11204" xr:uid="{29537236-4BCC-4BD4-A188-60E5574D2018}"/>
    <cellStyle name="Millares 6 2 4 2 2 2 2 5" xfId="3931" xr:uid="{7F790CD4-D107-45C2-A977-04FB265EB4B7}"/>
    <cellStyle name="Millares 6 2 4 2 2 2 2 5 2" xfId="8785" xr:uid="{0625D24A-53CF-4F11-B237-D48951C7A43C}"/>
    <cellStyle name="Millares 6 2 4 2 2 2 2 6" xfId="2718" xr:uid="{4A841718-9948-416C-95D6-49FE081A8FBC}"/>
    <cellStyle name="Millares 6 2 4 2 2 2 2 7" xfId="7574" xr:uid="{C96499DA-2A30-45EA-84D1-C98C8BB2C827}"/>
    <cellStyle name="Millares 6 2 4 2 2 2 3" xfId="2099" xr:uid="{F3AC7BFC-C737-47C9-BC6F-16E5DA65EFDD}"/>
    <cellStyle name="Millares 6 2 4 2 2 2 3 2" xfId="5744" xr:uid="{4CF5F7A2-8120-4FA5-A88A-E22670EB4076}"/>
    <cellStyle name="Millares 6 2 4 2 2 2 3 2 2" xfId="10596" xr:uid="{BF39BAB8-953D-4DF1-A6EE-8E4B30A2C141}"/>
    <cellStyle name="Millares 6 2 4 2 2 2 3 3" xfId="6960" xr:uid="{8242385F-38CB-4EB5-A03A-211F02FA42BA}"/>
    <cellStyle name="Millares 6 2 4 2 2 2 3 3 2" xfId="11808" xr:uid="{18362829-4A57-46FB-B94E-9B3B8551D767}"/>
    <cellStyle name="Millares 6 2 4 2 2 2 3 4" xfId="4534" xr:uid="{47426E07-0E3F-4201-A3B5-525C41FD1DD0}"/>
    <cellStyle name="Millares 6 2 4 2 2 2 3 4 2" xfId="9388" xr:uid="{680E83AB-146A-4B87-B5C1-348B9C724E0E}"/>
    <cellStyle name="Millares 6 2 4 2 2 2 3 5" xfId="3321" xr:uid="{17651876-2315-4134-8DD5-DAFA10919728}"/>
    <cellStyle name="Millares 6 2 4 2 2 2 3 6" xfId="8177" xr:uid="{FC2FC82A-E109-4AD9-AC46-F400F31A6E31}"/>
    <cellStyle name="Millares 6 2 4 2 2 2 4" xfId="5140" xr:uid="{C7A8C80A-64EF-4179-A978-1BD90AB684C3}"/>
    <cellStyle name="Millares 6 2 4 2 2 2 4 2" xfId="9992" xr:uid="{68AED06E-87D0-4341-97E6-437536217363}"/>
    <cellStyle name="Millares 6 2 4 2 2 2 5" xfId="6353" xr:uid="{EB75DB42-5AF8-4816-90F9-9274FA94EC8B}"/>
    <cellStyle name="Millares 6 2 4 2 2 2 5 2" xfId="11203" xr:uid="{DF8D0944-A5EA-4C9B-8600-271A4BB1B93F}"/>
    <cellStyle name="Millares 6 2 4 2 2 2 6" xfId="3930" xr:uid="{AB6668E0-7E89-4E63-A395-AB95B1AB5723}"/>
    <cellStyle name="Millares 6 2 4 2 2 2 6 2" xfId="8784" xr:uid="{C014F553-E763-4348-B579-7DDAF9EE7A72}"/>
    <cellStyle name="Millares 6 2 4 2 2 2 7" xfId="2717" xr:uid="{2E8E1DCD-BDA3-44FD-8145-D90F63F3F888}"/>
    <cellStyle name="Millares 6 2 4 2 2 2 8" xfId="7573" xr:uid="{A5F4A801-83F5-4615-BF82-AD0D0BEB9B21}"/>
    <cellStyle name="Millares 6 2 4 2 2 3" xfId="929" xr:uid="{EAF39AE8-1BD2-419A-B6DE-8E44B4C6C423}"/>
    <cellStyle name="Millares 6 2 4 2 2 3 2" xfId="2101" xr:uid="{E2488635-3FA4-4A54-8C5C-F54653E61868}"/>
    <cellStyle name="Millares 6 2 4 2 2 3 2 2" xfId="5746" xr:uid="{CBC73D20-086E-40EB-A486-4C2BA11CE242}"/>
    <cellStyle name="Millares 6 2 4 2 2 3 2 2 2" xfId="10598" xr:uid="{773EED28-8DAD-4051-B7FE-F6582A933573}"/>
    <cellStyle name="Millares 6 2 4 2 2 3 2 3" xfId="6962" xr:uid="{C9D81016-F427-4463-B3BC-37D372056FA6}"/>
    <cellStyle name="Millares 6 2 4 2 2 3 2 3 2" xfId="11810" xr:uid="{EDEAC0F7-5C32-4D22-8014-5DE02137DE15}"/>
    <cellStyle name="Millares 6 2 4 2 2 3 2 4" xfId="4536" xr:uid="{49428B7C-2B92-4824-82C5-D01C6880B603}"/>
    <cellStyle name="Millares 6 2 4 2 2 3 2 4 2" xfId="9390" xr:uid="{23DD06F9-2FB4-4D6F-9DA9-041ACE69C467}"/>
    <cellStyle name="Millares 6 2 4 2 2 3 2 5" xfId="3323" xr:uid="{D29EA9A4-C824-4001-B265-D7B1EAC08D3B}"/>
    <cellStyle name="Millares 6 2 4 2 2 3 2 6" xfId="8179" xr:uid="{25D60ED7-1470-4201-83F1-89F8CB49B876}"/>
    <cellStyle name="Millares 6 2 4 2 2 3 3" xfId="5142" xr:uid="{C54018C8-B0D4-41DC-BE8C-D0A4A5386C10}"/>
    <cellStyle name="Millares 6 2 4 2 2 3 3 2" xfId="9994" xr:uid="{EB899717-E06B-4BD8-8B7F-CECDED4D0DFC}"/>
    <cellStyle name="Millares 6 2 4 2 2 3 4" xfId="6355" xr:uid="{6C8BB422-4895-4C19-A727-39D6D6BC463C}"/>
    <cellStyle name="Millares 6 2 4 2 2 3 4 2" xfId="11205" xr:uid="{C557CBFB-2709-4F74-848F-417E4580C6C1}"/>
    <cellStyle name="Millares 6 2 4 2 2 3 5" xfId="3932" xr:uid="{8BB9EA66-3340-4A22-AC15-39016E181ADC}"/>
    <cellStyle name="Millares 6 2 4 2 2 3 5 2" xfId="8786" xr:uid="{F6B69686-83A8-4048-BB62-4BD76083DFF1}"/>
    <cellStyle name="Millares 6 2 4 2 2 3 6" xfId="2719" xr:uid="{AF0BE34C-4E0F-46DB-ABC5-68586A5BD780}"/>
    <cellStyle name="Millares 6 2 4 2 2 3 7" xfId="7575" xr:uid="{14BD28F9-8369-4DAB-95DC-68F4FF29B9D0}"/>
    <cellStyle name="Millares 6 2 4 2 2 4" xfId="2098" xr:uid="{3E3031EB-A8E3-44D6-BC53-DC9DCED14AAD}"/>
    <cellStyle name="Millares 6 2 4 2 2 4 2" xfId="5743" xr:uid="{BFB9AC3B-8CFE-4D0A-8EA2-D156A7B46710}"/>
    <cellStyle name="Millares 6 2 4 2 2 4 2 2" xfId="10595" xr:uid="{8A22B7C5-5019-4E50-BC6C-CC2F740BF03B}"/>
    <cellStyle name="Millares 6 2 4 2 2 4 3" xfId="6959" xr:uid="{EFC491FB-E05A-4D6B-BFEA-3DDE02EC98C8}"/>
    <cellStyle name="Millares 6 2 4 2 2 4 3 2" xfId="11807" xr:uid="{91D269CF-386B-4263-BB9D-A6865D1FDF4C}"/>
    <cellStyle name="Millares 6 2 4 2 2 4 4" xfId="4533" xr:uid="{9226B573-7627-45C8-B4AE-283987033848}"/>
    <cellStyle name="Millares 6 2 4 2 2 4 4 2" xfId="9387" xr:uid="{8E89A586-C219-4BF7-B921-1B9C302C36EF}"/>
    <cellStyle name="Millares 6 2 4 2 2 4 5" xfId="3320" xr:uid="{13889BA4-DDC6-4028-8A96-D80130E8162E}"/>
    <cellStyle name="Millares 6 2 4 2 2 4 6" xfId="8176" xr:uid="{72C6815D-4222-4067-A937-A6D30EA8C9E7}"/>
    <cellStyle name="Millares 6 2 4 2 2 5" xfId="5139" xr:uid="{723DB2B9-D680-48F7-B704-44B8BC6E6B8F}"/>
    <cellStyle name="Millares 6 2 4 2 2 5 2" xfId="9991" xr:uid="{98E4E2FC-ECDB-4732-B62B-721FCDA6DFB9}"/>
    <cellStyle name="Millares 6 2 4 2 2 6" xfId="6352" xr:uid="{EA50EA4C-ABCE-4121-A5A3-B0FC1E393D04}"/>
    <cellStyle name="Millares 6 2 4 2 2 6 2" xfId="11202" xr:uid="{90925009-DA53-4D30-B998-590FA0F7EB2F}"/>
    <cellStyle name="Millares 6 2 4 2 2 7" xfId="3929" xr:uid="{215089A7-12E5-420F-9426-EF1D5E803A12}"/>
    <cellStyle name="Millares 6 2 4 2 2 7 2" xfId="8783" xr:uid="{98195B8E-96D1-4956-84BC-D41D9B6BA869}"/>
    <cellStyle name="Millares 6 2 4 2 2 8" xfId="2716" xr:uid="{EB0E4E70-AEB5-45B6-8280-F78686B170FD}"/>
    <cellStyle name="Millares 6 2 4 2 2 9" xfId="7572" xr:uid="{5C8992E2-B7FC-4806-80D7-DFFF60B11703}"/>
    <cellStyle name="Millares 6 2 4 2 3" xfId="930" xr:uid="{97681761-D9BC-4F75-ACED-FCE51A688717}"/>
    <cellStyle name="Millares 6 2 4 2 3 2" xfId="931" xr:uid="{803E4300-399C-4F76-8A07-268326B4DE58}"/>
    <cellStyle name="Millares 6 2 4 2 3 2 2" xfId="932" xr:uid="{B11FE65E-66EC-41B2-A841-6F4338261C62}"/>
    <cellStyle name="Millares 6 2 4 2 3 2 2 2" xfId="2104" xr:uid="{C587D945-4D2A-4707-B7CB-4C64B4CE69D3}"/>
    <cellStyle name="Millares 6 2 4 2 3 2 2 2 2" xfId="5749" xr:uid="{AA9FFB12-E855-422D-ADD2-9B7D593B9F7E}"/>
    <cellStyle name="Millares 6 2 4 2 3 2 2 2 2 2" xfId="10601" xr:uid="{122A27D1-2FAA-4A28-B684-72F2A353DB80}"/>
    <cellStyle name="Millares 6 2 4 2 3 2 2 2 3" xfId="6965" xr:uid="{83337FFC-C667-42E8-96B6-B5136BC78A2E}"/>
    <cellStyle name="Millares 6 2 4 2 3 2 2 2 3 2" xfId="11813" xr:uid="{9D0884D4-E773-4C33-AEAA-E011E9910F5C}"/>
    <cellStyle name="Millares 6 2 4 2 3 2 2 2 4" xfId="4539" xr:uid="{E8D93400-2F6A-4296-844A-F72F6F9BA234}"/>
    <cellStyle name="Millares 6 2 4 2 3 2 2 2 4 2" xfId="9393" xr:uid="{36BE9027-A0A8-433A-9EC6-2A2FC609A134}"/>
    <cellStyle name="Millares 6 2 4 2 3 2 2 2 5" xfId="3326" xr:uid="{F53618E6-D293-4BED-B179-75186A03AC40}"/>
    <cellStyle name="Millares 6 2 4 2 3 2 2 2 6" xfId="8182" xr:uid="{96742DBB-5C07-4386-A50A-7BB015766BF4}"/>
    <cellStyle name="Millares 6 2 4 2 3 2 2 3" xfId="5145" xr:uid="{C3E25FBD-79B7-4185-855D-1DEB884A41C5}"/>
    <cellStyle name="Millares 6 2 4 2 3 2 2 3 2" xfId="9997" xr:uid="{42FCB864-7507-4857-B325-90B8EC2C2862}"/>
    <cellStyle name="Millares 6 2 4 2 3 2 2 4" xfId="6358" xr:uid="{EB29D56A-C570-4A3B-837F-BAAE56F09641}"/>
    <cellStyle name="Millares 6 2 4 2 3 2 2 4 2" xfId="11208" xr:uid="{79EBDDE2-9DED-4523-ABBA-1A3CD164E991}"/>
    <cellStyle name="Millares 6 2 4 2 3 2 2 5" xfId="3935" xr:uid="{E50403A5-F37E-4894-B81F-71A36B4DD30C}"/>
    <cellStyle name="Millares 6 2 4 2 3 2 2 5 2" xfId="8789" xr:uid="{E9C45F9A-442E-48F1-8AA7-D51C0F666CD9}"/>
    <cellStyle name="Millares 6 2 4 2 3 2 2 6" xfId="2722" xr:uid="{C3F8AC14-19DF-41E4-806A-68A089B3B4D5}"/>
    <cellStyle name="Millares 6 2 4 2 3 2 2 7" xfId="7578" xr:uid="{987E44CB-5C4E-43DE-BC25-DA524D795E66}"/>
    <cellStyle name="Millares 6 2 4 2 3 2 3" xfId="2103" xr:uid="{EB8258FE-BFAA-4156-A650-5DEB2BA24C99}"/>
    <cellStyle name="Millares 6 2 4 2 3 2 3 2" xfId="5748" xr:uid="{4162F862-A1C8-4EB0-B232-3A234BD6A22A}"/>
    <cellStyle name="Millares 6 2 4 2 3 2 3 2 2" xfId="10600" xr:uid="{4B4AB96F-307D-4330-AB3D-3F82455B2F98}"/>
    <cellStyle name="Millares 6 2 4 2 3 2 3 3" xfId="6964" xr:uid="{4524095A-3C56-41E9-BE07-6594D792DB5B}"/>
    <cellStyle name="Millares 6 2 4 2 3 2 3 3 2" xfId="11812" xr:uid="{1FF43052-4ED8-4E03-A1A4-6D769D694AE6}"/>
    <cellStyle name="Millares 6 2 4 2 3 2 3 4" xfId="4538" xr:uid="{11E9FB48-5539-4686-A217-0271A685A840}"/>
    <cellStyle name="Millares 6 2 4 2 3 2 3 4 2" xfId="9392" xr:uid="{6F277F28-26E1-46CB-A835-BC2042C375B2}"/>
    <cellStyle name="Millares 6 2 4 2 3 2 3 5" xfId="3325" xr:uid="{86208D97-2E3F-47AC-B4E5-6641113EDCDD}"/>
    <cellStyle name="Millares 6 2 4 2 3 2 3 6" xfId="8181" xr:uid="{92C5F799-4E34-4A7B-8ECD-8FDCE6C80292}"/>
    <cellStyle name="Millares 6 2 4 2 3 2 4" xfId="5144" xr:uid="{1A13D0AC-1CC0-4D1C-8FD7-CAE1DE4B735E}"/>
    <cellStyle name="Millares 6 2 4 2 3 2 4 2" xfId="9996" xr:uid="{1F878912-E006-48F4-BB6D-E7D0246F97BB}"/>
    <cellStyle name="Millares 6 2 4 2 3 2 5" xfId="6357" xr:uid="{0BD247A2-DA5E-4E9A-AB5C-A34BE8ABBEC9}"/>
    <cellStyle name="Millares 6 2 4 2 3 2 5 2" xfId="11207" xr:uid="{FC3E9F14-7D89-4E0F-9695-3150AC391E2E}"/>
    <cellStyle name="Millares 6 2 4 2 3 2 6" xfId="3934" xr:uid="{0D70AFAB-A239-4CDC-9568-DD420FA615E8}"/>
    <cellStyle name="Millares 6 2 4 2 3 2 6 2" xfId="8788" xr:uid="{E684E74F-2BBD-4E6A-97E5-0AF255A0BFD2}"/>
    <cellStyle name="Millares 6 2 4 2 3 2 7" xfId="2721" xr:uid="{6543AECB-1F9D-422E-A3E1-D274FAD86E93}"/>
    <cellStyle name="Millares 6 2 4 2 3 2 8" xfId="7577" xr:uid="{C05354F8-69FF-443C-9120-C757E1713F2E}"/>
    <cellStyle name="Millares 6 2 4 2 3 3" xfId="933" xr:uid="{EB2C557F-AFA9-4F23-825D-418E0A964952}"/>
    <cellStyle name="Millares 6 2 4 2 3 3 2" xfId="2105" xr:uid="{D7159402-47DC-4E2E-8126-7F5527BAEC1F}"/>
    <cellStyle name="Millares 6 2 4 2 3 3 2 2" xfId="5750" xr:uid="{91087471-A711-4812-AA0F-DECE4CA11D2F}"/>
    <cellStyle name="Millares 6 2 4 2 3 3 2 2 2" xfId="10602" xr:uid="{F3F0DBB5-B1B1-467A-A64C-BC7D6EC71FC0}"/>
    <cellStyle name="Millares 6 2 4 2 3 3 2 3" xfId="6966" xr:uid="{B7D2196C-E634-440C-A249-1B9729086632}"/>
    <cellStyle name="Millares 6 2 4 2 3 3 2 3 2" xfId="11814" xr:uid="{47F20594-47E4-4A98-A31B-3C2EAA6E6385}"/>
    <cellStyle name="Millares 6 2 4 2 3 3 2 4" xfId="4540" xr:uid="{0E42DAA4-C8A1-4688-8DD7-653C80CEC466}"/>
    <cellStyle name="Millares 6 2 4 2 3 3 2 4 2" xfId="9394" xr:uid="{9814559C-7E31-462F-9670-84B2BA3ECBA3}"/>
    <cellStyle name="Millares 6 2 4 2 3 3 2 5" xfId="3327" xr:uid="{2BD6A0D4-06A7-481D-8C3D-12BF5EF425DC}"/>
    <cellStyle name="Millares 6 2 4 2 3 3 2 6" xfId="8183" xr:uid="{908FBB48-BA8A-44FB-BD42-711CAA5D2122}"/>
    <cellStyle name="Millares 6 2 4 2 3 3 3" xfId="5146" xr:uid="{E5DF51CF-117F-4E1B-9BAD-82F27177A367}"/>
    <cellStyle name="Millares 6 2 4 2 3 3 3 2" xfId="9998" xr:uid="{C8D3EF76-25AB-4B10-9A87-7BBC47B0F8E7}"/>
    <cellStyle name="Millares 6 2 4 2 3 3 4" xfId="6359" xr:uid="{5C8474A6-13B8-4A40-875A-471A2D808465}"/>
    <cellStyle name="Millares 6 2 4 2 3 3 4 2" xfId="11209" xr:uid="{603B9091-199E-44D5-B3DE-150E3F2A4C07}"/>
    <cellStyle name="Millares 6 2 4 2 3 3 5" xfId="3936" xr:uid="{FFFC8C17-F266-448C-8327-23652ACA5338}"/>
    <cellStyle name="Millares 6 2 4 2 3 3 5 2" xfId="8790" xr:uid="{E12B8FA0-9B52-453C-B210-417D15DE6070}"/>
    <cellStyle name="Millares 6 2 4 2 3 3 6" xfId="2723" xr:uid="{122C77BA-393A-405B-A682-2BEA761AF955}"/>
    <cellStyle name="Millares 6 2 4 2 3 3 7" xfId="7579" xr:uid="{D700081D-E5C5-4969-80B0-A6ED225DBF15}"/>
    <cellStyle name="Millares 6 2 4 2 3 4" xfId="2102" xr:uid="{6DA59F94-6A3F-4521-BF79-002B02F6C28E}"/>
    <cellStyle name="Millares 6 2 4 2 3 4 2" xfId="5747" xr:uid="{43D8E025-78B8-4B7C-BDE8-1FB6D38F4144}"/>
    <cellStyle name="Millares 6 2 4 2 3 4 2 2" xfId="10599" xr:uid="{19FE346B-574E-4225-95B5-D57CE1176BF0}"/>
    <cellStyle name="Millares 6 2 4 2 3 4 3" xfId="6963" xr:uid="{3ED8741E-9918-4195-9B20-904FC823FF3C}"/>
    <cellStyle name="Millares 6 2 4 2 3 4 3 2" xfId="11811" xr:uid="{FD58101C-EFA0-4C54-924C-ACBEC576CF95}"/>
    <cellStyle name="Millares 6 2 4 2 3 4 4" xfId="4537" xr:uid="{A7CAA9A9-6108-44CB-9D3A-E20EB11F4C52}"/>
    <cellStyle name="Millares 6 2 4 2 3 4 4 2" xfId="9391" xr:uid="{1567DAD3-EEC1-42D7-B8BC-FE2B08730637}"/>
    <cellStyle name="Millares 6 2 4 2 3 4 5" xfId="3324" xr:uid="{BEB9B906-B725-4A10-8A0A-C70523EC6436}"/>
    <cellStyle name="Millares 6 2 4 2 3 4 6" xfId="8180" xr:uid="{54FD1F7A-2456-4DB2-A28B-A6449B8E8F32}"/>
    <cellStyle name="Millares 6 2 4 2 3 5" xfId="5143" xr:uid="{31D578F4-A258-48C6-8C21-BD7E005C07C2}"/>
    <cellStyle name="Millares 6 2 4 2 3 5 2" xfId="9995" xr:uid="{D6C284BE-DA83-43E0-B608-7937EE3EBDB7}"/>
    <cellStyle name="Millares 6 2 4 2 3 6" xfId="6356" xr:uid="{3A396677-F309-4EB0-9483-21A4D51342A9}"/>
    <cellStyle name="Millares 6 2 4 2 3 6 2" xfId="11206" xr:uid="{E2533DF6-626A-4746-A89C-2BC92F54D4AF}"/>
    <cellStyle name="Millares 6 2 4 2 3 7" xfId="3933" xr:uid="{A2717504-FA4B-4589-9B65-166FC859B292}"/>
    <cellStyle name="Millares 6 2 4 2 3 7 2" xfId="8787" xr:uid="{3A5B1EE6-C93B-42A6-9A48-F65E93F8F290}"/>
    <cellStyle name="Millares 6 2 4 2 3 8" xfId="2720" xr:uid="{5B0164A1-125B-4A31-9090-52228B96E511}"/>
    <cellStyle name="Millares 6 2 4 2 3 9" xfId="7576" xr:uid="{34C8723E-E67B-4538-90E6-4A12AE474506}"/>
    <cellStyle name="Millares 6 2 4 2 4" xfId="934" xr:uid="{3F17DFDD-72B0-4699-BDCF-1F41BE5582D7}"/>
    <cellStyle name="Millares 6 2 4 2 4 2" xfId="935" xr:uid="{78DA83E2-BA94-4A75-8783-1216B690CE6C}"/>
    <cellStyle name="Millares 6 2 4 2 4 2 2" xfId="2107" xr:uid="{16F413B0-A54E-4A36-B6A6-348802B4674E}"/>
    <cellStyle name="Millares 6 2 4 2 4 2 2 2" xfId="5752" xr:uid="{C484672E-D983-4094-94BD-DAE054E15937}"/>
    <cellStyle name="Millares 6 2 4 2 4 2 2 2 2" xfId="10604" xr:uid="{5A4880A2-ABB2-4387-B0C1-3F53C31D985D}"/>
    <cellStyle name="Millares 6 2 4 2 4 2 2 3" xfId="6968" xr:uid="{3ECB2E87-8D1D-4457-AE01-52BAF039C832}"/>
    <cellStyle name="Millares 6 2 4 2 4 2 2 3 2" xfId="11816" xr:uid="{D56E1AB1-5E85-4853-8ED4-F95ED5D8950E}"/>
    <cellStyle name="Millares 6 2 4 2 4 2 2 4" xfId="4542" xr:uid="{78633D19-EA24-41C0-B1FA-580D09ABADA3}"/>
    <cellStyle name="Millares 6 2 4 2 4 2 2 4 2" xfId="9396" xr:uid="{773E7900-C263-4167-A8A3-281A560E2B54}"/>
    <cellStyle name="Millares 6 2 4 2 4 2 2 5" xfId="3329" xr:uid="{1484BD34-6797-4BCF-BCE4-BE358D5DEFE2}"/>
    <cellStyle name="Millares 6 2 4 2 4 2 2 6" xfId="8185" xr:uid="{058473E8-F4A1-4F6D-9E71-D20295744FC9}"/>
    <cellStyle name="Millares 6 2 4 2 4 2 3" xfId="5148" xr:uid="{F4714C97-17F5-4227-8AAD-8EBF2E93DEA8}"/>
    <cellStyle name="Millares 6 2 4 2 4 2 3 2" xfId="10000" xr:uid="{A57C488D-F995-4849-81CE-5848DBF3D750}"/>
    <cellStyle name="Millares 6 2 4 2 4 2 4" xfId="6361" xr:uid="{9C94144C-A00C-4EAC-9CD0-F3B4C3CC3B4F}"/>
    <cellStyle name="Millares 6 2 4 2 4 2 4 2" xfId="11211" xr:uid="{A09E3511-8CF3-4DD8-B685-2736ED239B6F}"/>
    <cellStyle name="Millares 6 2 4 2 4 2 5" xfId="3938" xr:uid="{14A43F0D-BCED-4CF4-8559-278DEFA24D33}"/>
    <cellStyle name="Millares 6 2 4 2 4 2 5 2" xfId="8792" xr:uid="{47406713-D9DA-42A4-A902-51FC9A190A8F}"/>
    <cellStyle name="Millares 6 2 4 2 4 2 6" xfId="2725" xr:uid="{B6EB01EA-6532-42E0-B5C3-F1281C950EF0}"/>
    <cellStyle name="Millares 6 2 4 2 4 2 7" xfId="7581" xr:uid="{B2366583-4A82-45BB-B051-7BDAD8068884}"/>
    <cellStyle name="Millares 6 2 4 2 4 3" xfId="2106" xr:uid="{E493C37E-4622-4AA3-B904-22B4A52CC1D8}"/>
    <cellStyle name="Millares 6 2 4 2 4 3 2" xfId="5751" xr:uid="{9D9F9491-FA1D-4C25-8175-E8E8B7BD43DB}"/>
    <cellStyle name="Millares 6 2 4 2 4 3 2 2" xfId="10603" xr:uid="{F7439873-A3D0-4EEA-A7EA-AE846FFDB642}"/>
    <cellStyle name="Millares 6 2 4 2 4 3 3" xfId="6967" xr:uid="{DE365AFA-457C-4509-B535-51AED785BE03}"/>
    <cellStyle name="Millares 6 2 4 2 4 3 3 2" xfId="11815" xr:uid="{E6B3C2E4-0740-4E31-AD03-AE915065F0BC}"/>
    <cellStyle name="Millares 6 2 4 2 4 3 4" xfId="4541" xr:uid="{842A7BFB-67A2-4B8C-8226-0EF4EB286F3D}"/>
    <cellStyle name="Millares 6 2 4 2 4 3 4 2" xfId="9395" xr:uid="{BE93DA30-C513-41AE-8D0D-7770F62E2BFC}"/>
    <cellStyle name="Millares 6 2 4 2 4 3 5" xfId="3328" xr:uid="{ECEC0439-3483-4055-A767-B9669D7E2C0D}"/>
    <cellStyle name="Millares 6 2 4 2 4 3 6" xfId="8184" xr:uid="{38649AF7-034F-4BE0-A227-61BA82B8A24D}"/>
    <cellStyle name="Millares 6 2 4 2 4 4" xfId="5147" xr:uid="{E2BA87FA-51BF-4632-A634-945BBBF6CEA0}"/>
    <cellStyle name="Millares 6 2 4 2 4 4 2" xfId="9999" xr:uid="{13763589-1733-47CC-8B61-B3E791CD64CE}"/>
    <cellStyle name="Millares 6 2 4 2 4 5" xfId="6360" xr:uid="{6664FB1E-7E6E-4ED7-90A5-6DD130FC11B7}"/>
    <cellStyle name="Millares 6 2 4 2 4 5 2" xfId="11210" xr:uid="{5223A250-0A02-4575-A817-F26F5EDC2585}"/>
    <cellStyle name="Millares 6 2 4 2 4 6" xfId="3937" xr:uid="{90DB3BC9-E4B0-4B8D-B55E-057F9422F7FD}"/>
    <cellStyle name="Millares 6 2 4 2 4 6 2" xfId="8791" xr:uid="{78EE06E7-0132-4D8B-8B64-3835A994C12B}"/>
    <cellStyle name="Millares 6 2 4 2 4 7" xfId="2724" xr:uid="{C85CAC5D-676B-48A9-8647-B6E19FEAF839}"/>
    <cellStyle name="Millares 6 2 4 2 4 8" xfId="7580" xr:uid="{5A625608-FB27-4595-87FC-693F3B495185}"/>
    <cellStyle name="Millares 6 2 4 2 5" xfId="936" xr:uid="{7141F65D-7F8A-454E-8AFB-C7B39C977028}"/>
    <cellStyle name="Millares 6 2 4 2 5 2" xfId="2108" xr:uid="{92B1DDC5-D18A-4AD5-8A17-0DC43F6F5FC8}"/>
    <cellStyle name="Millares 6 2 4 2 5 2 2" xfId="5753" xr:uid="{BCA2B547-B8DB-4901-BD6B-A248F6A1D2DB}"/>
    <cellStyle name="Millares 6 2 4 2 5 2 2 2" xfId="10605" xr:uid="{F525CFFB-3629-4E94-B2D0-039EDA4342D5}"/>
    <cellStyle name="Millares 6 2 4 2 5 2 3" xfId="6969" xr:uid="{D6A9A181-6BFE-4C39-A116-4A579F07AB40}"/>
    <cellStyle name="Millares 6 2 4 2 5 2 3 2" xfId="11817" xr:uid="{C55359FD-589F-4947-8B43-4B8D5B120AD9}"/>
    <cellStyle name="Millares 6 2 4 2 5 2 4" xfId="4543" xr:uid="{3D55CCD4-9B93-40C5-AA73-E5CB006EFF1E}"/>
    <cellStyle name="Millares 6 2 4 2 5 2 4 2" xfId="9397" xr:uid="{1C9C78B1-BB7F-44A2-85A2-B4EC4739B1F3}"/>
    <cellStyle name="Millares 6 2 4 2 5 2 5" xfId="3330" xr:uid="{CD2C7F0C-4687-4DCD-8C2D-BC55CF3B9118}"/>
    <cellStyle name="Millares 6 2 4 2 5 2 6" xfId="8186" xr:uid="{4CC66B87-68FB-4975-8C5D-681D62436DFB}"/>
    <cellStyle name="Millares 6 2 4 2 5 3" xfId="5149" xr:uid="{D9E73654-1570-4626-AC0D-937967444F90}"/>
    <cellStyle name="Millares 6 2 4 2 5 3 2" xfId="10001" xr:uid="{F856994B-6A34-4723-BC68-CD5462EB487D}"/>
    <cellStyle name="Millares 6 2 4 2 5 4" xfId="6362" xr:uid="{43DE4E8B-6D42-4580-BA42-61776C525162}"/>
    <cellStyle name="Millares 6 2 4 2 5 4 2" xfId="11212" xr:uid="{B072714A-3334-4F57-8B96-F92947894DFA}"/>
    <cellStyle name="Millares 6 2 4 2 5 5" xfId="3939" xr:uid="{2217412B-A93A-45D7-AD2A-CB1CDB822AE6}"/>
    <cellStyle name="Millares 6 2 4 2 5 5 2" xfId="8793" xr:uid="{EC39D63B-4BBA-41BE-99D7-E56FCA233D64}"/>
    <cellStyle name="Millares 6 2 4 2 5 6" xfId="2726" xr:uid="{282CA153-A794-4138-A5EB-2CA84209F001}"/>
    <cellStyle name="Millares 6 2 4 2 5 7" xfId="7582" xr:uid="{80C13B5C-2AE6-499C-AE0D-E8FDC24C8A51}"/>
    <cellStyle name="Millares 6 2 4 2 6" xfId="2097" xr:uid="{C6FBD592-F0E2-457C-812C-9CE9439B018E}"/>
    <cellStyle name="Millares 6 2 4 2 6 2" xfId="5742" xr:uid="{2A94B1CC-6175-40F5-BCF7-F95E012663C7}"/>
    <cellStyle name="Millares 6 2 4 2 6 2 2" xfId="10594" xr:uid="{33D231F5-E688-4931-97FC-AA9DF44428D1}"/>
    <cellStyle name="Millares 6 2 4 2 6 3" xfId="6958" xr:uid="{D76A7BF5-DF67-4FD2-84B7-CDEBB26F3BEC}"/>
    <cellStyle name="Millares 6 2 4 2 6 3 2" xfId="11806" xr:uid="{2114FA81-827D-458F-A9C2-51827E847D18}"/>
    <cellStyle name="Millares 6 2 4 2 6 4" xfId="4532" xr:uid="{5F5A61BE-D8D4-49AA-A90F-E04C5CCCCC3B}"/>
    <cellStyle name="Millares 6 2 4 2 6 4 2" xfId="9386" xr:uid="{869512D2-7DF8-49F5-89A8-300870857EDF}"/>
    <cellStyle name="Millares 6 2 4 2 6 5" xfId="3319" xr:uid="{B40730A0-76F4-453F-9903-A992BA4B2D4E}"/>
    <cellStyle name="Millares 6 2 4 2 6 6" xfId="8175" xr:uid="{9C619585-5F6C-4F7D-82F5-54527249A732}"/>
    <cellStyle name="Millares 6 2 4 2 7" xfId="5138" xr:uid="{ED4CEB5D-AEC2-4DDD-B702-63720C3AA8A2}"/>
    <cellStyle name="Millares 6 2 4 2 7 2" xfId="9990" xr:uid="{B6CC0D67-BC79-4146-9D7D-03E0DDEA63CD}"/>
    <cellStyle name="Millares 6 2 4 2 8" xfId="6351" xr:uid="{77EFB276-3FE0-4817-854F-C04B178FD59A}"/>
    <cellStyle name="Millares 6 2 4 2 8 2" xfId="11201" xr:uid="{F0DD6767-1710-4771-9E1A-5B0EB21A3F79}"/>
    <cellStyle name="Millares 6 2 4 2 9" xfId="3928" xr:uid="{27D90636-3BFF-4B53-B5EC-E5E197974A17}"/>
    <cellStyle name="Millares 6 2 4 2 9 2" xfId="8782" xr:uid="{EF47A47E-4651-44C6-B631-5ED1F3BF70A2}"/>
    <cellStyle name="Millares 6 2 4 3" xfId="937" xr:uid="{98471FC9-DF5F-4875-A91F-B4F4813EADDD}"/>
    <cellStyle name="Millares 6 2 4 3 2" xfId="938" xr:uid="{48927822-69C0-48DC-86C7-C64AF5F69DD8}"/>
    <cellStyle name="Millares 6 2 4 3 2 2" xfId="939" xr:uid="{4CCC68C3-5B4F-40C5-9059-79D5C1472939}"/>
    <cellStyle name="Millares 6 2 4 3 2 2 2" xfId="2111" xr:uid="{4841F718-B406-49D7-8C5E-84260885717C}"/>
    <cellStyle name="Millares 6 2 4 3 2 2 2 2" xfId="5756" xr:uid="{15D3BFF7-5FBE-40C1-BDC6-2D03B0EBE76B}"/>
    <cellStyle name="Millares 6 2 4 3 2 2 2 2 2" xfId="10608" xr:uid="{CB85E6FF-A910-42C2-BA60-0B85DFA8D6A1}"/>
    <cellStyle name="Millares 6 2 4 3 2 2 2 3" xfId="6972" xr:uid="{3E568010-7ED3-4379-AE40-34279136EF24}"/>
    <cellStyle name="Millares 6 2 4 3 2 2 2 3 2" xfId="11820" xr:uid="{2A2E0717-BCB5-4A47-8E60-16C750133E6A}"/>
    <cellStyle name="Millares 6 2 4 3 2 2 2 4" xfId="4546" xr:uid="{8BFDBA68-AA61-479C-975C-1025C3A12B7F}"/>
    <cellStyle name="Millares 6 2 4 3 2 2 2 4 2" xfId="9400" xr:uid="{E148387C-A531-45CF-9B08-AE42E63BBEB0}"/>
    <cellStyle name="Millares 6 2 4 3 2 2 2 5" xfId="3333" xr:uid="{A3E61F60-3B56-43BE-B1E9-B0B09C7C9274}"/>
    <cellStyle name="Millares 6 2 4 3 2 2 2 6" xfId="8189" xr:uid="{4E635137-D40D-412F-B314-FB7543C5E8A9}"/>
    <cellStyle name="Millares 6 2 4 3 2 2 3" xfId="5152" xr:uid="{2D3127EE-D69F-4CAD-800B-716E8119E5E2}"/>
    <cellStyle name="Millares 6 2 4 3 2 2 3 2" xfId="10004" xr:uid="{83C2CD6D-53E3-4DF1-B8B3-EC54979127BE}"/>
    <cellStyle name="Millares 6 2 4 3 2 2 4" xfId="6365" xr:uid="{40838408-3C5A-48DA-8608-761BA7C19574}"/>
    <cellStyle name="Millares 6 2 4 3 2 2 4 2" xfId="11215" xr:uid="{07051876-D53E-4CA6-ABE1-6DC053C7FFB4}"/>
    <cellStyle name="Millares 6 2 4 3 2 2 5" xfId="3942" xr:uid="{B11E5D36-9357-4DAC-B90F-DAD3E2D97D07}"/>
    <cellStyle name="Millares 6 2 4 3 2 2 5 2" xfId="8796" xr:uid="{D889B618-4FFB-48C5-9872-62E236035D67}"/>
    <cellStyle name="Millares 6 2 4 3 2 2 6" xfId="2729" xr:uid="{92D2B424-3E39-404E-8026-55D57B0C5A24}"/>
    <cellStyle name="Millares 6 2 4 3 2 2 7" xfId="7585" xr:uid="{74513036-77B6-4C1E-BBB3-E268DDAF3872}"/>
    <cellStyle name="Millares 6 2 4 3 2 3" xfId="2110" xr:uid="{D5D0CBE9-11F4-45D6-B934-9564C4CA2DDB}"/>
    <cellStyle name="Millares 6 2 4 3 2 3 2" xfId="5755" xr:uid="{43EC306D-FCE6-41DD-ADE3-D75A9C7DBB97}"/>
    <cellStyle name="Millares 6 2 4 3 2 3 2 2" xfId="10607" xr:uid="{6EAC6405-D938-40CD-BFBA-D6CFB4A016DF}"/>
    <cellStyle name="Millares 6 2 4 3 2 3 3" xfId="6971" xr:uid="{5E5B92C6-7615-45BE-BF0C-BD5C0775B931}"/>
    <cellStyle name="Millares 6 2 4 3 2 3 3 2" xfId="11819" xr:uid="{79503003-55E5-48B5-8E57-1C76F3FCC3EB}"/>
    <cellStyle name="Millares 6 2 4 3 2 3 4" xfId="4545" xr:uid="{72D86CE0-FA3D-41BF-820D-607C8C3665EC}"/>
    <cellStyle name="Millares 6 2 4 3 2 3 4 2" xfId="9399" xr:uid="{9CC9F0C0-4B10-4106-98C8-76A710DE32B9}"/>
    <cellStyle name="Millares 6 2 4 3 2 3 5" xfId="3332" xr:uid="{B47851AD-F74F-4879-8838-85AF73E6EFA5}"/>
    <cellStyle name="Millares 6 2 4 3 2 3 6" xfId="8188" xr:uid="{E6024488-73BE-4AF8-9DED-937F68EDC1DE}"/>
    <cellStyle name="Millares 6 2 4 3 2 4" xfId="5151" xr:uid="{431DAEE0-3B99-4B08-B12D-48E0C5189B3B}"/>
    <cellStyle name="Millares 6 2 4 3 2 4 2" xfId="10003" xr:uid="{453B442A-26A4-4611-9663-7C942DB147A9}"/>
    <cellStyle name="Millares 6 2 4 3 2 5" xfId="6364" xr:uid="{10F4ECA7-1E08-4D6A-96A8-AF702453C7D6}"/>
    <cellStyle name="Millares 6 2 4 3 2 5 2" xfId="11214" xr:uid="{0F3870E0-E991-4D84-A928-AA20D8544F43}"/>
    <cellStyle name="Millares 6 2 4 3 2 6" xfId="3941" xr:uid="{69B162F5-D309-44E9-A56C-343EF9DD404B}"/>
    <cellStyle name="Millares 6 2 4 3 2 6 2" xfId="8795" xr:uid="{38665E13-78C1-4F28-A4B2-F51671E7AAB3}"/>
    <cellStyle name="Millares 6 2 4 3 2 7" xfId="2728" xr:uid="{E286084B-DA83-472B-B680-C59F0364EEA8}"/>
    <cellStyle name="Millares 6 2 4 3 2 8" xfId="7584" xr:uid="{B57F52B7-907D-4DCF-8B7A-82CD045C9959}"/>
    <cellStyle name="Millares 6 2 4 3 3" xfId="940" xr:uid="{90F84A38-43D7-4DDB-AF0C-D0E66FC0069E}"/>
    <cellStyle name="Millares 6 2 4 3 3 2" xfId="2112" xr:uid="{8C727770-D314-4ECD-9C33-B8F54EAB7E71}"/>
    <cellStyle name="Millares 6 2 4 3 3 2 2" xfId="5757" xr:uid="{31F17DEB-8D08-4229-AAD2-05091050F361}"/>
    <cellStyle name="Millares 6 2 4 3 3 2 2 2" xfId="10609" xr:uid="{786B1C63-1370-4CB5-8276-322D2C78767E}"/>
    <cellStyle name="Millares 6 2 4 3 3 2 3" xfId="6973" xr:uid="{0006C0F3-81CE-4100-9341-C37167D40D6A}"/>
    <cellStyle name="Millares 6 2 4 3 3 2 3 2" xfId="11821" xr:uid="{41EBD737-2B06-48D2-8E3C-4F1D9CCFC391}"/>
    <cellStyle name="Millares 6 2 4 3 3 2 4" xfId="4547" xr:uid="{C4A308C0-C5C5-473E-A359-BEC563F0FF51}"/>
    <cellStyle name="Millares 6 2 4 3 3 2 4 2" xfId="9401" xr:uid="{00B50FB2-22B9-4210-8D5B-60C2E609573D}"/>
    <cellStyle name="Millares 6 2 4 3 3 2 5" xfId="3334" xr:uid="{A35E5795-12F4-4460-8821-6B165910E38E}"/>
    <cellStyle name="Millares 6 2 4 3 3 2 6" xfId="8190" xr:uid="{98882F93-A859-4C68-B043-7AEEDA4DF129}"/>
    <cellStyle name="Millares 6 2 4 3 3 3" xfId="5153" xr:uid="{82840C23-416F-48CC-B5A5-9059A04FCB96}"/>
    <cellStyle name="Millares 6 2 4 3 3 3 2" xfId="10005" xr:uid="{AB64D8F4-9000-4429-A7C8-E888727B67E9}"/>
    <cellStyle name="Millares 6 2 4 3 3 4" xfId="6366" xr:uid="{8DA6A34B-AD85-4319-876C-968ADEB93ED2}"/>
    <cellStyle name="Millares 6 2 4 3 3 4 2" xfId="11216" xr:uid="{F4D72625-65FA-4CBA-B8A0-F9D0A344D37D}"/>
    <cellStyle name="Millares 6 2 4 3 3 5" xfId="3943" xr:uid="{CBBF0FFC-59BF-4A8F-8CE0-BEECC2F74749}"/>
    <cellStyle name="Millares 6 2 4 3 3 5 2" xfId="8797" xr:uid="{C47F3C07-1AE6-4F72-96AE-BC111B87D267}"/>
    <cellStyle name="Millares 6 2 4 3 3 6" xfId="2730" xr:uid="{CCE92420-389C-44EE-809D-4D274A082E25}"/>
    <cellStyle name="Millares 6 2 4 3 3 7" xfId="7586" xr:uid="{2C407504-3CB0-4F12-BCC6-96DC3A7BEEEC}"/>
    <cellStyle name="Millares 6 2 4 3 4" xfId="2109" xr:uid="{5DDC586D-DD1D-4F68-BED8-2F66C87E63F5}"/>
    <cellStyle name="Millares 6 2 4 3 4 2" xfId="5754" xr:uid="{7D02BF63-C79E-4C6A-A483-52A66019D7E4}"/>
    <cellStyle name="Millares 6 2 4 3 4 2 2" xfId="10606" xr:uid="{E78E1E69-C6BD-4D64-9439-292319F8BB40}"/>
    <cellStyle name="Millares 6 2 4 3 4 3" xfId="6970" xr:uid="{A6092548-9DDE-43E1-AE44-3722F22CDFC6}"/>
    <cellStyle name="Millares 6 2 4 3 4 3 2" xfId="11818" xr:uid="{095C350B-A147-405F-8C90-39AA5BF1C258}"/>
    <cellStyle name="Millares 6 2 4 3 4 4" xfId="4544" xr:uid="{85A4BD75-B4B7-4508-B81E-F6294BDDDE4B}"/>
    <cellStyle name="Millares 6 2 4 3 4 4 2" xfId="9398" xr:uid="{5FBBAE1E-DBE7-4497-AF1F-6414B67C1ABC}"/>
    <cellStyle name="Millares 6 2 4 3 4 5" xfId="3331" xr:uid="{33D6BB9B-66A9-4C7A-80A6-8E865E61D624}"/>
    <cellStyle name="Millares 6 2 4 3 4 6" xfId="8187" xr:uid="{9C90C9FB-9000-49D8-B0F3-C70A1223A2FF}"/>
    <cellStyle name="Millares 6 2 4 3 5" xfId="5150" xr:uid="{E9B6F4F4-5D71-4593-8161-388A4C760288}"/>
    <cellStyle name="Millares 6 2 4 3 5 2" xfId="10002" xr:uid="{771DFF1F-74E8-4261-838F-96BE5DFFDB0E}"/>
    <cellStyle name="Millares 6 2 4 3 6" xfId="6363" xr:uid="{2C0D4BA1-0221-4A8B-BEAC-0859FB177F02}"/>
    <cellStyle name="Millares 6 2 4 3 6 2" xfId="11213" xr:uid="{88B20944-6960-4CEF-860D-F1FC44EBB15E}"/>
    <cellStyle name="Millares 6 2 4 3 7" xfId="3940" xr:uid="{4F4C5AB2-2B04-42EE-9C75-BB63C0F0B7CA}"/>
    <cellStyle name="Millares 6 2 4 3 7 2" xfId="8794" xr:uid="{BD1CF3C8-97C7-4DC0-93CA-E961504F557C}"/>
    <cellStyle name="Millares 6 2 4 3 8" xfId="2727" xr:uid="{69593E43-31B5-4FA4-93B6-A74EA7338D81}"/>
    <cellStyle name="Millares 6 2 4 3 9" xfId="7583" xr:uid="{EF611924-645A-48BE-8E66-5935026B5C86}"/>
    <cellStyle name="Millares 6 2 4 4" xfId="941" xr:uid="{E8AC2959-1C81-4EC1-8B7C-D0C9120BFE46}"/>
    <cellStyle name="Millares 6 2 4 4 2" xfId="942" xr:uid="{FB3824CC-ED3B-46D6-9EED-AE46E4F830D6}"/>
    <cellStyle name="Millares 6 2 4 4 2 2" xfId="943" xr:uid="{B5354DB5-642D-4823-85D7-7219DE98BA18}"/>
    <cellStyle name="Millares 6 2 4 4 2 2 2" xfId="2115" xr:uid="{B9733200-CB4B-4405-B35A-8B991784A2E5}"/>
    <cellStyle name="Millares 6 2 4 4 2 2 2 2" xfId="5760" xr:uid="{C199BA79-CCA8-431F-B050-71A88433CB69}"/>
    <cellStyle name="Millares 6 2 4 4 2 2 2 2 2" xfId="10612" xr:uid="{A7DDB572-4E93-4E8F-93D6-0642F603112D}"/>
    <cellStyle name="Millares 6 2 4 4 2 2 2 3" xfId="6976" xr:uid="{D7625D81-D940-4D8E-A716-68A8AD5E8CC7}"/>
    <cellStyle name="Millares 6 2 4 4 2 2 2 3 2" xfId="11824" xr:uid="{0011E8D8-C00C-4914-AAA7-4062A565CBE0}"/>
    <cellStyle name="Millares 6 2 4 4 2 2 2 4" xfId="4550" xr:uid="{7EE6AB7B-3C68-48FD-90A6-EDDD84BE101B}"/>
    <cellStyle name="Millares 6 2 4 4 2 2 2 4 2" xfId="9404" xr:uid="{B1A6697C-92D3-4648-9019-E739B1717823}"/>
    <cellStyle name="Millares 6 2 4 4 2 2 2 5" xfId="3337" xr:uid="{395046AE-BB8B-4983-A35B-8E5FCAEC69EF}"/>
    <cellStyle name="Millares 6 2 4 4 2 2 2 6" xfId="8193" xr:uid="{5DE86ACB-1C6F-49E6-A0A0-2FD14D48BB99}"/>
    <cellStyle name="Millares 6 2 4 4 2 2 3" xfId="5156" xr:uid="{0FD17F72-FB37-4CC0-91F6-45D138EC210F}"/>
    <cellStyle name="Millares 6 2 4 4 2 2 3 2" xfId="10008" xr:uid="{4086A899-0BFF-4F5D-BC5B-9E22D2440A03}"/>
    <cellStyle name="Millares 6 2 4 4 2 2 4" xfId="6369" xr:uid="{FB2F8B14-E310-4F02-852E-B08C68BE38F8}"/>
    <cellStyle name="Millares 6 2 4 4 2 2 4 2" xfId="11219" xr:uid="{EF326B47-ACD3-4D93-8B83-6FC5BBC71090}"/>
    <cellStyle name="Millares 6 2 4 4 2 2 5" xfId="3946" xr:uid="{B6D97C43-181A-45EC-BD7A-8E9ADA0C15C5}"/>
    <cellStyle name="Millares 6 2 4 4 2 2 5 2" xfId="8800" xr:uid="{424FED03-8358-4C30-962B-D4C88D82F402}"/>
    <cellStyle name="Millares 6 2 4 4 2 2 6" xfId="2733" xr:uid="{758D88CC-D818-4656-957E-C76CD1FEAA82}"/>
    <cellStyle name="Millares 6 2 4 4 2 2 7" xfId="7589" xr:uid="{B9647266-BC2F-4E09-A081-9B273F822C39}"/>
    <cellStyle name="Millares 6 2 4 4 2 3" xfId="2114" xr:uid="{67244FA7-C32B-4ED2-B4A2-0EECC9AE3F64}"/>
    <cellStyle name="Millares 6 2 4 4 2 3 2" xfId="5759" xr:uid="{E09AB279-7A44-4AB4-B814-6F7A894A6A4E}"/>
    <cellStyle name="Millares 6 2 4 4 2 3 2 2" xfId="10611" xr:uid="{5C2E9490-CAC2-4356-8C45-89DF3F4CC169}"/>
    <cellStyle name="Millares 6 2 4 4 2 3 3" xfId="6975" xr:uid="{D91B58D9-5F72-4DD8-9705-5C96360692B9}"/>
    <cellStyle name="Millares 6 2 4 4 2 3 3 2" xfId="11823" xr:uid="{AE146458-65E8-4F33-9278-6EF895997353}"/>
    <cellStyle name="Millares 6 2 4 4 2 3 4" xfId="4549" xr:uid="{9666C78E-F4C9-4557-9397-B67A85265DE1}"/>
    <cellStyle name="Millares 6 2 4 4 2 3 4 2" xfId="9403" xr:uid="{9DAAE5F4-2DCA-4D95-A458-95618D2A2E55}"/>
    <cellStyle name="Millares 6 2 4 4 2 3 5" xfId="3336" xr:uid="{CEAD45E5-15D7-4D9B-9E12-C96F6838353E}"/>
    <cellStyle name="Millares 6 2 4 4 2 3 6" xfId="8192" xr:uid="{F47D0DE0-F300-402F-B728-E5FBCCC63AB6}"/>
    <cellStyle name="Millares 6 2 4 4 2 4" xfId="5155" xr:uid="{D1B913FE-9AAF-45C5-9B62-720EF73A5F55}"/>
    <cellStyle name="Millares 6 2 4 4 2 4 2" xfId="10007" xr:uid="{A720AAB0-88A6-4D8A-9798-E15184364B59}"/>
    <cellStyle name="Millares 6 2 4 4 2 5" xfId="6368" xr:uid="{40830986-E08C-448A-8D29-72FB33E2DEFD}"/>
    <cellStyle name="Millares 6 2 4 4 2 5 2" xfId="11218" xr:uid="{F509EF06-F70D-461E-BFAA-21AAE7A8BF79}"/>
    <cellStyle name="Millares 6 2 4 4 2 6" xfId="3945" xr:uid="{35788945-7328-49B2-826F-919309A9D634}"/>
    <cellStyle name="Millares 6 2 4 4 2 6 2" xfId="8799" xr:uid="{3D2DE52A-D3C0-476E-9FB0-FF50152E0AD7}"/>
    <cellStyle name="Millares 6 2 4 4 2 7" xfId="2732" xr:uid="{A14A5044-FBAD-4CC2-A1A6-0939B0AF790B}"/>
    <cellStyle name="Millares 6 2 4 4 2 8" xfId="7588" xr:uid="{C781A8FE-5786-40F8-BE98-23E75DD6368C}"/>
    <cellStyle name="Millares 6 2 4 4 3" xfId="944" xr:uid="{029985FA-6292-4F0E-A6C2-F007A27ED551}"/>
    <cellStyle name="Millares 6 2 4 4 3 2" xfId="2116" xr:uid="{D135A72D-FC53-4F32-BFBD-B657C36F6A53}"/>
    <cellStyle name="Millares 6 2 4 4 3 2 2" xfId="5761" xr:uid="{122F95B8-D4E6-4192-831F-C7121AEA6FCA}"/>
    <cellStyle name="Millares 6 2 4 4 3 2 2 2" xfId="10613" xr:uid="{D3BA1F02-6918-4BEB-8883-FC99F95B28F8}"/>
    <cellStyle name="Millares 6 2 4 4 3 2 3" xfId="6977" xr:uid="{F9F17870-98F5-40B0-BD5D-611A306A1139}"/>
    <cellStyle name="Millares 6 2 4 4 3 2 3 2" xfId="11825" xr:uid="{B0302135-E8CF-40AB-87D2-E2DE99000D27}"/>
    <cellStyle name="Millares 6 2 4 4 3 2 4" xfId="4551" xr:uid="{8116F96C-A4B1-4736-B9C2-9B4C5B539036}"/>
    <cellStyle name="Millares 6 2 4 4 3 2 4 2" xfId="9405" xr:uid="{D86E9CEB-C779-4B31-AF5E-29A47E29F968}"/>
    <cellStyle name="Millares 6 2 4 4 3 2 5" xfId="3338" xr:uid="{A49A3461-5302-4100-9C4D-003E11B8108D}"/>
    <cellStyle name="Millares 6 2 4 4 3 2 6" xfId="8194" xr:uid="{22C210CF-AD80-4903-94D7-A15089D6ADED}"/>
    <cellStyle name="Millares 6 2 4 4 3 3" xfId="5157" xr:uid="{6990B3A5-E184-45B5-8E9F-02C8C0443A67}"/>
    <cellStyle name="Millares 6 2 4 4 3 3 2" xfId="10009" xr:uid="{3E930790-982A-4F23-A417-B897C576988B}"/>
    <cellStyle name="Millares 6 2 4 4 3 4" xfId="6370" xr:uid="{B64459DB-8DE8-44C2-9D63-C6F16AB16223}"/>
    <cellStyle name="Millares 6 2 4 4 3 4 2" xfId="11220" xr:uid="{BD72564E-AAB5-4A23-A6D1-EC0C13A6B8A9}"/>
    <cellStyle name="Millares 6 2 4 4 3 5" xfId="3947" xr:uid="{267FAFEF-8A12-43FC-8553-4180DE50F27B}"/>
    <cellStyle name="Millares 6 2 4 4 3 5 2" xfId="8801" xr:uid="{2B9AF6C9-19A6-4793-A3C3-D51B131A52D8}"/>
    <cellStyle name="Millares 6 2 4 4 3 6" xfId="2734" xr:uid="{59DB6E23-32ED-4D28-8478-9810D002B846}"/>
    <cellStyle name="Millares 6 2 4 4 3 7" xfId="7590" xr:uid="{A7B1BC22-AE3E-4254-9E5F-B8F8F60D73B2}"/>
    <cellStyle name="Millares 6 2 4 4 4" xfId="2113" xr:uid="{468C44FD-3DBF-41C9-B210-1377DE7C6A71}"/>
    <cellStyle name="Millares 6 2 4 4 4 2" xfId="5758" xr:uid="{E0F4F6F3-36EC-4B3E-8D94-07D92955F82D}"/>
    <cellStyle name="Millares 6 2 4 4 4 2 2" xfId="10610" xr:uid="{8FE56F4C-4F71-436E-86A5-081A757F8DED}"/>
    <cellStyle name="Millares 6 2 4 4 4 3" xfId="6974" xr:uid="{2E959700-3276-4785-83C7-B4EE5E252814}"/>
    <cellStyle name="Millares 6 2 4 4 4 3 2" xfId="11822" xr:uid="{A40B5988-6FEF-4221-BA99-34149705E36A}"/>
    <cellStyle name="Millares 6 2 4 4 4 4" xfId="4548" xr:uid="{54EC8C28-8A0A-45D8-A099-D51073CD3627}"/>
    <cellStyle name="Millares 6 2 4 4 4 4 2" xfId="9402" xr:uid="{B078C0E5-D188-4442-B219-D3ED7D83BBC4}"/>
    <cellStyle name="Millares 6 2 4 4 4 5" xfId="3335" xr:uid="{D9560E0D-BD14-4F26-925A-3E3BFF587C90}"/>
    <cellStyle name="Millares 6 2 4 4 4 6" xfId="8191" xr:uid="{3FE29D8A-DCC2-4F68-8EA1-F1012F2FF4F3}"/>
    <cellStyle name="Millares 6 2 4 4 5" xfId="5154" xr:uid="{8E396F89-9BB7-4AA6-83F3-8C0AC5738B00}"/>
    <cellStyle name="Millares 6 2 4 4 5 2" xfId="10006" xr:uid="{F5F390C1-687F-4BDB-BA37-2C670DE0B669}"/>
    <cellStyle name="Millares 6 2 4 4 6" xfId="6367" xr:uid="{8774C069-9C67-4E70-98D1-8A8DF4B9793F}"/>
    <cellStyle name="Millares 6 2 4 4 6 2" xfId="11217" xr:uid="{9724BB78-9CB2-4073-A6DF-900CDB6D1D7F}"/>
    <cellStyle name="Millares 6 2 4 4 7" xfId="3944" xr:uid="{28550D95-E033-4294-9434-A0A5A92E8786}"/>
    <cellStyle name="Millares 6 2 4 4 7 2" xfId="8798" xr:uid="{42363278-79BC-4DA7-8220-7AD0004A671E}"/>
    <cellStyle name="Millares 6 2 4 4 8" xfId="2731" xr:uid="{DA22F933-19EF-4216-943C-8CA243A57BA2}"/>
    <cellStyle name="Millares 6 2 4 4 9" xfId="7587" xr:uid="{1A1A86D1-C934-4FB8-B895-CC074787F8EC}"/>
    <cellStyle name="Millares 6 2 4 5" xfId="945" xr:uid="{8549E9D5-8EA6-4595-A4CA-1A20EEF06096}"/>
    <cellStyle name="Millares 6 2 4 5 2" xfId="946" xr:uid="{DB035CB1-D148-4AC8-AF5E-EEF28DDCA10A}"/>
    <cellStyle name="Millares 6 2 4 5 2 2" xfId="2118" xr:uid="{DBFDFB1E-45DF-4ECD-8A2D-BBCBE0279E47}"/>
    <cellStyle name="Millares 6 2 4 5 2 2 2" xfId="5763" xr:uid="{1E2D63D0-E91E-4929-81E6-60F619B04035}"/>
    <cellStyle name="Millares 6 2 4 5 2 2 2 2" xfId="10615" xr:uid="{C18946C4-BE2E-442B-ABB7-A699B0675B14}"/>
    <cellStyle name="Millares 6 2 4 5 2 2 3" xfId="6979" xr:uid="{0AC14097-95CB-461A-AAAA-2FAC2507E66D}"/>
    <cellStyle name="Millares 6 2 4 5 2 2 3 2" xfId="11827" xr:uid="{E41EBB10-6DD6-4A3D-93BD-285A1F4FFE29}"/>
    <cellStyle name="Millares 6 2 4 5 2 2 4" xfId="4553" xr:uid="{F1B03BFE-B6B3-49D4-ABD4-D352094869E0}"/>
    <cellStyle name="Millares 6 2 4 5 2 2 4 2" xfId="9407" xr:uid="{AB81C74F-5A81-4CCD-8C6D-BD2006F0889A}"/>
    <cellStyle name="Millares 6 2 4 5 2 2 5" xfId="3340" xr:uid="{E437143B-11CD-4ACB-8D28-A6EF74B50551}"/>
    <cellStyle name="Millares 6 2 4 5 2 2 6" xfId="8196" xr:uid="{9F3C8D7B-0906-4EF6-8424-D1E9C3ED1202}"/>
    <cellStyle name="Millares 6 2 4 5 2 3" xfId="5159" xr:uid="{01262F23-5662-4113-89FA-99F6F3DCE0EC}"/>
    <cellStyle name="Millares 6 2 4 5 2 3 2" xfId="10011" xr:uid="{9C19B8A5-91FD-4F5F-B0E0-07663A3221E1}"/>
    <cellStyle name="Millares 6 2 4 5 2 4" xfId="6372" xr:uid="{FCFC3767-923A-4DEF-A4FD-6FE5BC4DD8A3}"/>
    <cellStyle name="Millares 6 2 4 5 2 4 2" xfId="11222" xr:uid="{106CE94E-3825-40F1-9B6D-8287A5BBFB99}"/>
    <cellStyle name="Millares 6 2 4 5 2 5" xfId="3949" xr:uid="{C2CF7248-FCAB-4E3E-B69A-1F2AABBDA646}"/>
    <cellStyle name="Millares 6 2 4 5 2 5 2" xfId="8803" xr:uid="{8EF00BED-71BD-4F4E-8D34-FEBD13F90B62}"/>
    <cellStyle name="Millares 6 2 4 5 2 6" xfId="2736" xr:uid="{22755603-27B7-481D-9226-B2ECA6AF2235}"/>
    <cellStyle name="Millares 6 2 4 5 2 7" xfId="7592" xr:uid="{25EFC46D-3BE7-4B0C-86FE-B03A4006BDBE}"/>
    <cellStyle name="Millares 6 2 4 5 3" xfId="2117" xr:uid="{9878DF4D-AF60-48B9-8CE9-A5E84AA06E42}"/>
    <cellStyle name="Millares 6 2 4 5 3 2" xfId="5762" xr:uid="{E9D45F7D-2618-4165-B75D-7188E83A3E73}"/>
    <cellStyle name="Millares 6 2 4 5 3 2 2" xfId="10614" xr:uid="{A0CC5597-323A-4BC1-B90A-93ADAD008B07}"/>
    <cellStyle name="Millares 6 2 4 5 3 3" xfId="6978" xr:uid="{3089F311-7208-47F2-A853-A69015A7AC2B}"/>
    <cellStyle name="Millares 6 2 4 5 3 3 2" xfId="11826" xr:uid="{DD7B1B2B-3D00-445F-883A-015ECD73F037}"/>
    <cellStyle name="Millares 6 2 4 5 3 4" xfId="4552" xr:uid="{47D5ED60-30BE-4C50-9E4A-CEB178F2AE65}"/>
    <cellStyle name="Millares 6 2 4 5 3 4 2" xfId="9406" xr:uid="{137614D2-240A-4809-9D46-870424B16BDF}"/>
    <cellStyle name="Millares 6 2 4 5 3 5" xfId="3339" xr:uid="{DF9B474B-861A-4A88-A486-2E8DB668FAB9}"/>
    <cellStyle name="Millares 6 2 4 5 3 6" xfId="8195" xr:uid="{E99A9772-0CD1-4685-B174-A465A04B2F3F}"/>
    <cellStyle name="Millares 6 2 4 5 4" xfId="5158" xr:uid="{567F668D-E796-4D0F-9C64-9DB74D5177F5}"/>
    <cellStyle name="Millares 6 2 4 5 4 2" xfId="10010" xr:uid="{3D4FB9F9-BC5B-405D-8508-F2336AA8F6DC}"/>
    <cellStyle name="Millares 6 2 4 5 5" xfId="6371" xr:uid="{9F1956C3-1D9C-49DA-BC2B-A0B29A6689FC}"/>
    <cellStyle name="Millares 6 2 4 5 5 2" xfId="11221" xr:uid="{C5D2B42C-E38C-4708-9364-EFC54DAEDF74}"/>
    <cellStyle name="Millares 6 2 4 5 6" xfId="3948" xr:uid="{695D6A1D-A8B6-4174-BA78-6ECA432D7358}"/>
    <cellStyle name="Millares 6 2 4 5 6 2" xfId="8802" xr:uid="{24AC43AC-F002-4905-A4B3-A75C86C4CAD7}"/>
    <cellStyle name="Millares 6 2 4 5 7" xfId="2735" xr:uid="{5B74C31E-C163-4859-BD08-4B0BC7D5E467}"/>
    <cellStyle name="Millares 6 2 4 5 8" xfId="7591" xr:uid="{3B708CAC-4719-4456-87FB-E577836C3B2F}"/>
    <cellStyle name="Millares 6 2 4 6" xfId="947" xr:uid="{0079A568-2260-42C5-9454-29E8124AE0C6}"/>
    <cellStyle name="Millares 6 2 4 6 2" xfId="2119" xr:uid="{92B63BAD-A983-4CBA-8201-C9825AFEC513}"/>
    <cellStyle name="Millares 6 2 4 6 2 2" xfId="5764" xr:uid="{BA2B3908-2E08-410F-B2C2-8D0453044ED6}"/>
    <cellStyle name="Millares 6 2 4 6 2 2 2" xfId="10616" xr:uid="{D0E93C33-11DC-4FFD-9B4B-20C92A4D2DBB}"/>
    <cellStyle name="Millares 6 2 4 6 2 3" xfId="6980" xr:uid="{C70B768E-3B13-4A0B-92E5-C21C2A9AC4D4}"/>
    <cellStyle name="Millares 6 2 4 6 2 3 2" xfId="11828" xr:uid="{292D252F-5109-4BE8-8910-E21D551FCBBE}"/>
    <cellStyle name="Millares 6 2 4 6 2 4" xfId="4554" xr:uid="{ACDC4E78-4627-4D9B-811D-764195E6ACE1}"/>
    <cellStyle name="Millares 6 2 4 6 2 4 2" xfId="9408" xr:uid="{0F32D980-A362-4B04-97CC-128313658957}"/>
    <cellStyle name="Millares 6 2 4 6 2 5" xfId="3341" xr:uid="{5328209E-4ACF-4145-B691-B8C6186E0E51}"/>
    <cellStyle name="Millares 6 2 4 6 2 6" xfId="8197" xr:uid="{4A56BB43-423D-47FE-863C-D6204067D4AD}"/>
    <cellStyle name="Millares 6 2 4 6 3" xfId="5160" xr:uid="{1A2D9DE0-0202-4A32-9CD8-F93BE651078E}"/>
    <cellStyle name="Millares 6 2 4 6 3 2" xfId="10012" xr:uid="{2374AFD4-7465-48E4-B56A-45EEA28185B3}"/>
    <cellStyle name="Millares 6 2 4 6 4" xfId="6373" xr:uid="{364025A3-5282-41D7-9224-B337809E86ED}"/>
    <cellStyle name="Millares 6 2 4 6 4 2" xfId="11223" xr:uid="{6BBC932C-3CD0-4BF9-948B-F3AF8A014557}"/>
    <cellStyle name="Millares 6 2 4 6 5" xfId="3950" xr:uid="{A59360AA-E9C0-4CEF-9F08-237EFED0709A}"/>
    <cellStyle name="Millares 6 2 4 6 5 2" xfId="8804" xr:uid="{05478592-6BC7-498A-9A8B-88B52B82044A}"/>
    <cellStyle name="Millares 6 2 4 6 6" xfId="2737" xr:uid="{96E7D95F-ADAB-4109-B1E8-5A82DFDDD6DC}"/>
    <cellStyle name="Millares 6 2 4 6 7" xfId="7593" xr:uid="{418A569D-C32C-4658-93B8-CA3860782D24}"/>
    <cellStyle name="Millares 6 2 4 7" xfId="2096" xr:uid="{A6208873-C4FD-4DC6-80AD-A24C7361F525}"/>
    <cellStyle name="Millares 6 2 4 7 2" xfId="5741" xr:uid="{9A092323-2A66-4A26-8BD0-B8FA25EB3729}"/>
    <cellStyle name="Millares 6 2 4 7 2 2" xfId="10593" xr:uid="{B79CBDD5-DF0F-4B78-8667-6F0AD061EF3F}"/>
    <cellStyle name="Millares 6 2 4 7 3" xfId="6957" xr:uid="{3B951DD9-44DD-4DD1-807C-B5E23817A72A}"/>
    <cellStyle name="Millares 6 2 4 7 3 2" xfId="11805" xr:uid="{650BC31B-1F65-4F23-BDB4-AA5CFF66F220}"/>
    <cellStyle name="Millares 6 2 4 7 4" xfId="4531" xr:uid="{B46764C6-50BC-49DC-8F04-0312F0260198}"/>
    <cellStyle name="Millares 6 2 4 7 4 2" xfId="9385" xr:uid="{0955BF35-20FA-42F8-A9AF-BF9A246C8465}"/>
    <cellStyle name="Millares 6 2 4 7 5" xfId="3318" xr:uid="{B20FE7E6-B481-43CE-87FF-2B8900809F76}"/>
    <cellStyle name="Millares 6 2 4 7 6" xfId="8174" xr:uid="{6B04CDA4-9C66-463F-BD90-1DD383C6C397}"/>
    <cellStyle name="Millares 6 2 4 8" xfId="5137" xr:uid="{FDA83AF7-3BA1-4935-9250-BF453C1B56C4}"/>
    <cellStyle name="Millares 6 2 4 8 2" xfId="9989" xr:uid="{B0D0D889-B321-468A-9B6D-CC77DDC3E735}"/>
    <cellStyle name="Millares 6 2 4 9" xfId="6350" xr:uid="{7C78AB7F-4B9B-44D6-B3B3-0BA6AE09F8F2}"/>
    <cellStyle name="Millares 6 2 4 9 2" xfId="11200" xr:uid="{620B408D-ED55-4866-9F71-73220CB57AD4}"/>
    <cellStyle name="Millares 6 2 5" xfId="948" xr:uid="{D92BA027-264B-450A-84C8-9659A1BF3019}"/>
    <cellStyle name="Millares 6 2 5 10" xfId="3951" xr:uid="{1D43C856-5FA5-47ED-B3C1-47BF2800D8C1}"/>
    <cellStyle name="Millares 6 2 5 10 2" xfId="8805" xr:uid="{89794261-0F7E-41EA-9940-A794F452C3EB}"/>
    <cellStyle name="Millares 6 2 5 11" xfId="2738" xr:uid="{92D9F7C6-11A5-480D-B2A2-F9B4FF10669F}"/>
    <cellStyle name="Millares 6 2 5 12" xfId="7594" xr:uid="{40D64389-D89D-4A70-9BCF-A6C089D64065}"/>
    <cellStyle name="Millares 6 2 5 2" xfId="949" xr:uid="{2E6D41D4-35A9-4159-B5CC-D894FC9BD5B8}"/>
    <cellStyle name="Millares 6 2 5 2 10" xfId="2739" xr:uid="{CEA9BF55-F396-4B6F-9B75-16D986520B60}"/>
    <cellStyle name="Millares 6 2 5 2 11" xfId="7595" xr:uid="{6B7F9348-C09D-4615-9309-0DE666D7B255}"/>
    <cellStyle name="Millares 6 2 5 2 2" xfId="950" xr:uid="{5AEED3F9-C952-4796-94E2-534D3AE78216}"/>
    <cellStyle name="Millares 6 2 5 2 2 2" xfId="951" xr:uid="{6820284D-9DA9-4B4D-9C04-4EC33F459E4E}"/>
    <cellStyle name="Millares 6 2 5 2 2 2 2" xfId="952" xr:uid="{8A8E43C1-4514-4312-95EC-EB61DE873D84}"/>
    <cellStyle name="Millares 6 2 5 2 2 2 2 2" xfId="2124" xr:uid="{6E3957E8-3CDA-418C-92CA-D1DF411C3618}"/>
    <cellStyle name="Millares 6 2 5 2 2 2 2 2 2" xfId="5769" xr:uid="{DC385022-E505-4F61-A05F-8D556C0B86BD}"/>
    <cellStyle name="Millares 6 2 5 2 2 2 2 2 2 2" xfId="10621" xr:uid="{F936D160-B161-4830-98C7-5CA9A6FB0BFD}"/>
    <cellStyle name="Millares 6 2 5 2 2 2 2 2 3" xfId="6985" xr:uid="{F5EE4A2E-651B-4DFB-B739-471F9F76D8D3}"/>
    <cellStyle name="Millares 6 2 5 2 2 2 2 2 3 2" xfId="11833" xr:uid="{B0BBF028-0010-4DBC-BE5C-865F63001A57}"/>
    <cellStyle name="Millares 6 2 5 2 2 2 2 2 4" xfId="4559" xr:uid="{E3362CD6-3ACB-4ADF-8E57-51E308F7656E}"/>
    <cellStyle name="Millares 6 2 5 2 2 2 2 2 4 2" xfId="9413" xr:uid="{412C0139-C5D4-4A72-83ED-6FA1C353B7C3}"/>
    <cellStyle name="Millares 6 2 5 2 2 2 2 2 5" xfId="3346" xr:uid="{B81A04E8-EDA5-47F9-AF86-506CD899512D}"/>
    <cellStyle name="Millares 6 2 5 2 2 2 2 2 6" xfId="8202" xr:uid="{61A8764B-5045-4985-B162-5F741FD02E29}"/>
    <cellStyle name="Millares 6 2 5 2 2 2 2 3" xfId="5165" xr:uid="{33E8DFFF-53F5-4CD6-B1B3-26ED3731607D}"/>
    <cellStyle name="Millares 6 2 5 2 2 2 2 3 2" xfId="10017" xr:uid="{B6B91692-1377-4EB4-9101-21313CF20A91}"/>
    <cellStyle name="Millares 6 2 5 2 2 2 2 4" xfId="6378" xr:uid="{2FBC1B68-DCFE-49C5-84F6-14E164A909C6}"/>
    <cellStyle name="Millares 6 2 5 2 2 2 2 4 2" xfId="11228" xr:uid="{588DA19F-A60E-48E8-9741-A48F018D2B0C}"/>
    <cellStyle name="Millares 6 2 5 2 2 2 2 5" xfId="3955" xr:uid="{4E494BEC-8199-4EE5-8FF7-27C324B37C88}"/>
    <cellStyle name="Millares 6 2 5 2 2 2 2 5 2" xfId="8809" xr:uid="{3F1AC67A-C224-4FBD-93A1-56730EB48CA9}"/>
    <cellStyle name="Millares 6 2 5 2 2 2 2 6" xfId="2742" xr:uid="{91D97863-E807-495F-A870-82C2D1468C60}"/>
    <cellStyle name="Millares 6 2 5 2 2 2 2 7" xfId="7598" xr:uid="{EAB5895E-EEC0-490D-9355-A902D2D8D4DB}"/>
    <cellStyle name="Millares 6 2 5 2 2 2 3" xfId="2123" xr:uid="{B8A1EEA7-7593-4CAD-905F-B5C96960A837}"/>
    <cellStyle name="Millares 6 2 5 2 2 2 3 2" xfId="5768" xr:uid="{213D1AB4-8785-48C2-A1F8-9AABD661C225}"/>
    <cellStyle name="Millares 6 2 5 2 2 2 3 2 2" xfId="10620" xr:uid="{F0D56EC6-61D0-414C-AFBE-158C45F321E5}"/>
    <cellStyle name="Millares 6 2 5 2 2 2 3 3" xfId="6984" xr:uid="{BBA9B958-B180-472A-A73A-B35E53298E63}"/>
    <cellStyle name="Millares 6 2 5 2 2 2 3 3 2" xfId="11832" xr:uid="{C20D7699-7781-4D23-9F47-A962AA231C52}"/>
    <cellStyle name="Millares 6 2 5 2 2 2 3 4" xfId="4558" xr:uid="{2F8F183E-A130-4BD2-BCF9-5F20ACC50F31}"/>
    <cellStyle name="Millares 6 2 5 2 2 2 3 4 2" xfId="9412" xr:uid="{4AD3FC70-8EFF-4DCA-B145-C9B94C609D33}"/>
    <cellStyle name="Millares 6 2 5 2 2 2 3 5" xfId="3345" xr:uid="{B79CE2C7-9D1D-4E85-B986-3FDF4969CB0D}"/>
    <cellStyle name="Millares 6 2 5 2 2 2 3 6" xfId="8201" xr:uid="{04100823-7993-441F-93FD-00E0B493B845}"/>
    <cellStyle name="Millares 6 2 5 2 2 2 4" xfId="5164" xr:uid="{99160174-9A76-483F-87B0-3BA1DCBE9A48}"/>
    <cellStyle name="Millares 6 2 5 2 2 2 4 2" xfId="10016" xr:uid="{42E349B5-FAE7-4ACA-9D1C-6CA88996DAF2}"/>
    <cellStyle name="Millares 6 2 5 2 2 2 5" xfId="6377" xr:uid="{6D07F08C-2AB4-48FC-8FD0-C89A12474FC7}"/>
    <cellStyle name="Millares 6 2 5 2 2 2 5 2" xfId="11227" xr:uid="{E043594B-A8F2-4827-822E-8C28EF27A75C}"/>
    <cellStyle name="Millares 6 2 5 2 2 2 6" xfId="3954" xr:uid="{C6939170-EBE2-48B0-85D4-0B7FCBC70DDD}"/>
    <cellStyle name="Millares 6 2 5 2 2 2 6 2" xfId="8808" xr:uid="{D91C425B-7D83-4EA3-93D8-8C19BCFA7EFD}"/>
    <cellStyle name="Millares 6 2 5 2 2 2 7" xfId="2741" xr:uid="{75EFBF54-D4F9-42DC-96BF-31E122DDE611}"/>
    <cellStyle name="Millares 6 2 5 2 2 2 8" xfId="7597" xr:uid="{F9E316A1-04DB-44CA-9305-CDC2F4AF0015}"/>
    <cellStyle name="Millares 6 2 5 2 2 3" xfId="953" xr:uid="{84DC32F6-4901-4306-97A7-A3C0C0F08DCA}"/>
    <cellStyle name="Millares 6 2 5 2 2 3 2" xfId="2125" xr:uid="{54900B4F-BA74-4B8C-B95D-76EBB29C72B3}"/>
    <cellStyle name="Millares 6 2 5 2 2 3 2 2" xfId="5770" xr:uid="{D45ED8B3-994B-4F71-A2AA-15E1B33EA362}"/>
    <cellStyle name="Millares 6 2 5 2 2 3 2 2 2" xfId="10622" xr:uid="{67366E37-10D8-49BD-8DF9-34302FFC8ABB}"/>
    <cellStyle name="Millares 6 2 5 2 2 3 2 3" xfId="6986" xr:uid="{92A7D6FA-37D0-45B1-8485-70E3147822F4}"/>
    <cellStyle name="Millares 6 2 5 2 2 3 2 3 2" xfId="11834" xr:uid="{CDAFD876-1020-497E-93FE-1F43A77E929E}"/>
    <cellStyle name="Millares 6 2 5 2 2 3 2 4" xfId="4560" xr:uid="{F7C45D7A-98C7-4470-A2B2-8AE383EE3947}"/>
    <cellStyle name="Millares 6 2 5 2 2 3 2 4 2" xfId="9414" xr:uid="{F4F1BF09-B348-4992-A826-FF6FF0230111}"/>
    <cellStyle name="Millares 6 2 5 2 2 3 2 5" xfId="3347" xr:uid="{421E6EA9-1270-4F44-B549-12B4BC35FDE6}"/>
    <cellStyle name="Millares 6 2 5 2 2 3 2 6" xfId="8203" xr:uid="{9EC1E306-8596-4FD7-B371-E7D3769B8DF5}"/>
    <cellStyle name="Millares 6 2 5 2 2 3 3" xfId="5166" xr:uid="{96BF4AF6-DB7A-4BE1-8897-7F656C998C70}"/>
    <cellStyle name="Millares 6 2 5 2 2 3 3 2" xfId="10018" xr:uid="{60BBC621-5327-46B3-BB6B-49AF05197AA3}"/>
    <cellStyle name="Millares 6 2 5 2 2 3 4" xfId="6379" xr:uid="{FF658FC7-4200-42F8-A4F4-EA568B0A6373}"/>
    <cellStyle name="Millares 6 2 5 2 2 3 4 2" xfId="11229" xr:uid="{982C10E8-D478-4756-9704-FF831F2CAB9B}"/>
    <cellStyle name="Millares 6 2 5 2 2 3 5" xfId="3956" xr:uid="{A23409A3-1298-4FFA-B7AF-FA1692460749}"/>
    <cellStyle name="Millares 6 2 5 2 2 3 5 2" xfId="8810" xr:uid="{D55471EB-5960-4F9C-A236-53026BE5C73A}"/>
    <cellStyle name="Millares 6 2 5 2 2 3 6" xfId="2743" xr:uid="{52F6321C-E720-4CFF-855B-DDF2D47E2872}"/>
    <cellStyle name="Millares 6 2 5 2 2 3 7" xfId="7599" xr:uid="{DD583359-75FD-42ED-B450-8E6B306B92D7}"/>
    <cellStyle name="Millares 6 2 5 2 2 4" xfId="2122" xr:uid="{4E56D5BA-C6BA-4A38-A6D6-8D56CD9E6E78}"/>
    <cellStyle name="Millares 6 2 5 2 2 4 2" xfId="5767" xr:uid="{5FBC8685-F4F6-4706-9800-A190CE0A4E3B}"/>
    <cellStyle name="Millares 6 2 5 2 2 4 2 2" xfId="10619" xr:uid="{22A95D67-F29A-445F-B0D5-8B93153C1E1F}"/>
    <cellStyle name="Millares 6 2 5 2 2 4 3" xfId="6983" xr:uid="{63013BE6-665B-4471-BB8F-C4BCB7DE45B4}"/>
    <cellStyle name="Millares 6 2 5 2 2 4 3 2" xfId="11831" xr:uid="{99E84A94-EEED-48DF-B8A3-DA01177B2B99}"/>
    <cellStyle name="Millares 6 2 5 2 2 4 4" xfId="4557" xr:uid="{88424B6E-D010-4122-B51C-1E57C0C27FD6}"/>
    <cellStyle name="Millares 6 2 5 2 2 4 4 2" xfId="9411" xr:uid="{803A9451-C38E-42CA-9FE4-C25991A8FA71}"/>
    <cellStyle name="Millares 6 2 5 2 2 4 5" xfId="3344" xr:uid="{F5CAB1D4-79CA-43C0-A1CD-A4F26DC142D2}"/>
    <cellStyle name="Millares 6 2 5 2 2 4 6" xfId="8200" xr:uid="{C55642B3-AB74-4EB4-8C74-9710E70581B3}"/>
    <cellStyle name="Millares 6 2 5 2 2 5" xfId="5163" xr:uid="{F55FB31D-61F8-48B7-A907-9C2905CEF559}"/>
    <cellStyle name="Millares 6 2 5 2 2 5 2" xfId="10015" xr:uid="{765ECB0E-3063-445A-B75F-E1EEFC5132AD}"/>
    <cellStyle name="Millares 6 2 5 2 2 6" xfId="6376" xr:uid="{4AA3178A-F3C6-4BC7-BBD0-CDA0A2F621D6}"/>
    <cellStyle name="Millares 6 2 5 2 2 6 2" xfId="11226" xr:uid="{C5AE1F22-5CE5-44D4-9563-D7D36C1C76A0}"/>
    <cellStyle name="Millares 6 2 5 2 2 7" xfId="3953" xr:uid="{80981B6D-7629-4B43-8B10-43978F0F117F}"/>
    <cellStyle name="Millares 6 2 5 2 2 7 2" xfId="8807" xr:uid="{2F788EC4-C4F0-4D06-8B8A-598EA1FD1CCA}"/>
    <cellStyle name="Millares 6 2 5 2 2 8" xfId="2740" xr:uid="{D88FE2FB-1BAA-4E59-A84A-ADD42887F9B3}"/>
    <cellStyle name="Millares 6 2 5 2 2 9" xfId="7596" xr:uid="{DC447FDE-D647-469E-BEC2-78FCBBC9F6C1}"/>
    <cellStyle name="Millares 6 2 5 2 3" xfId="954" xr:uid="{632028F3-CF2D-4F5A-9AE8-BEDF7A5DF71A}"/>
    <cellStyle name="Millares 6 2 5 2 3 2" xfId="955" xr:uid="{16F559C6-8E5C-4239-B77C-7C2AC5E4D612}"/>
    <cellStyle name="Millares 6 2 5 2 3 2 2" xfId="956" xr:uid="{A7F6DB14-2675-474C-97F8-060DB0D7149F}"/>
    <cellStyle name="Millares 6 2 5 2 3 2 2 2" xfId="2128" xr:uid="{FC82E793-54CC-4D5B-9A91-630DE489D443}"/>
    <cellStyle name="Millares 6 2 5 2 3 2 2 2 2" xfId="5773" xr:uid="{672DD73C-98DC-40A6-AB52-8125002088B8}"/>
    <cellStyle name="Millares 6 2 5 2 3 2 2 2 2 2" xfId="10625" xr:uid="{8D655E8C-B894-47AC-8C43-2F1EAC025ECB}"/>
    <cellStyle name="Millares 6 2 5 2 3 2 2 2 3" xfId="6989" xr:uid="{E6DCC550-4DD8-4F9E-9751-EFAF4E565282}"/>
    <cellStyle name="Millares 6 2 5 2 3 2 2 2 3 2" xfId="11837" xr:uid="{22DDA5B1-F5A7-471C-A475-C1408CEA29B8}"/>
    <cellStyle name="Millares 6 2 5 2 3 2 2 2 4" xfId="4563" xr:uid="{989CC581-74F9-4AD1-AC51-A2776E0262BF}"/>
    <cellStyle name="Millares 6 2 5 2 3 2 2 2 4 2" xfId="9417" xr:uid="{4E198460-E97E-4346-91D6-D377BB9374F9}"/>
    <cellStyle name="Millares 6 2 5 2 3 2 2 2 5" xfId="3350" xr:uid="{3697FD26-ED09-4956-9D99-61CB90892AA8}"/>
    <cellStyle name="Millares 6 2 5 2 3 2 2 2 6" xfId="8206" xr:uid="{ECF16A55-27C9-483C-B389-55145C5FCDB6}"/>
    <cellStyle name="Millares 6 2 5 2 3 2 2 3" xfId="5169" xr:uid="{23CEBDF0-AA25-47CA-9A2E-77FE8B67F6AA}"/>
    <cellStyle name="Millares 6 2 5 2 3 2 2 3 2" xfId="10021" xr:uid="{3EC7D86A-4FCE-466A-ADBD-BEDDCE9802E0}"/>
    <cellStyle name="Millares 6 2 5 2 3 2 2 4" xfId="6382" xr:uid="{B5D5E630-CBCF-4916-B1CA-F0D3B29AD328}"/>
    <cellStyle name="Millares 6 2 5 2 3 2 2 4 2" xfId="11232" xr:uid="{C9B0E02E-F20A-451C-9934-479201CBA4A3}"/>
    <cellStyle name="Millares 6 2 5 2 3 2 2 5" xfId="3959" xr:uid="{19175666-F94E-4F77-A3E4-0752300307F5}"/>
    <cellStyle name="Millares 6 2 5 2 3 2 2 5 2" xfId="8813" xr:uid="{BD9B533F-5CEF-4290-9751-F626B118118E}"/>
    <cellStyle name="Millares 6 2 5 2 3 2 2 6" xfId="2746" xr:uid="{730B1315-3B1C-433A-8705-BDE779A72E37}"/>
    <cellStyle name="Millares 6 2 5 2 3 2 2 7" xfId="7602" xr:uid="{CBE93E9A-9F07-4923-A6F1-32D889D8F82F}"/>
    <cellStyle name="Millares 6 2 5 2 3 2 3" xfId="2127" xr:uid="{4B2AA865-1391-48EC-B78D-44DCF5F3A4B3}"/>
    <cellStyle name="Millares 6 2 5 2 3 2 3 2" xfId="5772" xr:uid="{D66D882F-F6F3-4DB3-AB23-CDB47228028D}"/>
    <cellStyle name="Millares 6 2 5 2 3 2 3 2 2" xfId="10624" xr:uid="{003C72E0-16A1-45CC-8734-42327E150B40}"/>
    <cellStyle name="Millares 6 2 5 2 3 2 3 3" xfId="6988" xr:uid="{5D999927-AA92-4A2F-B42E-B4F1C9D2994D}"/>
    <cellStyle name="Millares 6 2 5 2 3 2 3 3 2" xfId="11836" xr:uid="{AC2A9469-FE94-4F53-BE6C-DE4C323DF9A0}"/>
    <cellStyle name="Millares 6 2 5 2 3 2 3 4" xfId="4562" xr:uid="{4A41C463-2381-4B8A-9978-DA0E50354394}"/>
    <cellStyle name="Millares 6 2 5 2 3 2 3 4 2" xfId="9416" xr:uid="{52BB0BD1-188F-4BC7-88D7-35C406FEED8A}"/>
    <cellStyle name="Millares 6 2 5 2 3 2 3 5" xfId="3349" xr:uid="{C68E82CF-BB0A-431D-BCCA-5F79404E5A88}"/>
    <cellStyle name="Millares 6 2 5 2 3 2 3 6" xfId="8205" xr:uid="{A577ED52-307D-4E09-851C-85C69EA32624}"/>
    <cellStyle name="Millares 6 2 5 2 3 2 4" xfId="5168" xr:uid="{64073ADC-115B-452D-AB8F-377B4DF718F1}"/>
    <cellStyle name="Millares 6 2 5 2 3 2 4 2" xfId="10020" xr:uid="{AC448B59-7365-4745-A04E-796E3F4B4E9B}"/>
    <cellStyle name="Millares 6 2 5 2 3 2 5" xfId="6381" xr:uid="{56253E64-EA5E-4436-88EF-9C1D47D68B5C}"/>
    <cellStyle name="Millares 6 2 5 2 3 2 5 2" xfId="11231" xr:uid="{FDC628F8-7B13-4392-B7DE-02936EDF39C1}"/>
    <cellStyle name="Millares 6 2 5 2 3 2 6" xfId="3958" xr:uid="{BFD89691-7AE7-40F1-8420-CC109A836B6E}"/>
    <cellStyle name="Millares 6 2 5 2 3 2 6 2" xfId="8812" xr:uid="{58497128-532E-45DB-8422-79A808DE6213}"/>
    <cellStyle name="Millares 6 2 5 2 3 2 7" xfId="2745" xr:uid="{BA43360F-27F2-415E-918F-8791C40433CF}"/>
    <cellStyle name="Millares 6 2 5 2 3 2 8" xfId="7601" xr:uid="{3914E369-4662-46EF-BD6C-AACEAC582CF8}"/>
    <cellStyle name="Millares 6 2 5 2 3 3" xfId="957" xr:uid="{26DC3763-1FA5-4D81-804C-0A014FC24231}"/>
    <cellStyle name="Millares 6 2 5 2 3 3 2" xfId="2129" xr:uid="{00D39E27-5D29-4BAB-9A14-09469EA5EB18}"/>
    <cellStyle name="Millares 6 2 5 2 3 3 2 2" xfId="5774" xr:uid="{F9B66B13-69DD-4027-ADB3-7927D357C817}"/>
    <cellStyle name="Millares 6 2 5 2 3 3 2 2 2" xfId="10626" xr:uid="{7B96B09F-9643-4E0A-94EF-E553AE6C9139}"/>
    <cellStyle name="Millares 6 2 5 2 3 3 2 3" xfId="6990" xr:uid="{1481D2C3-FC60-4E62-A3F9-3D10E2D9DA06}"/>
    <cellStyle name="Millares 6 2 5 2 3 3 2 3 2" xfId="11838" xr:uid="{BFE90FC2-153C-4136-B018-60C562DF6D3C}"/>
    <cellStyle name="Millares 6 2 5 2 3 3 2 4" xfId="4564" xr:uid="{7DCD7BFB-BA6E-440F-B81B-76C4675E4A0F}"/>
    <cellStyle name="Millares 6 2 5 2 3 3 2 4 2" xfId="9418" xr:uid="{1306F7EA-97E0-4B2B-91A2-BB41A7863D8B}"/>
    <cellStyle name="Millares 6 2 5 2 3 3 2 5" xfId="3351" xr:uid="{9B196C3C-8233-4F76-9BA9-2F74ADDEC348}"/>
    <cellStyle name="Millares 6 2 5 2 3 3 2 6" xfId="8207" xr:uid="{CF039F90-FE6C-4C3D-8435-64DD25FC9FF9}"/>
    <cellStyle name="Millares 6 2 5 2 3 3 3" xfId="5170" xr:uid="{A853F259-AA77-4E17-8299-2EB9F1CD8F3A}"/>
    <cellStyle name="Millares 6 2 5 2 3 3 3 2" xfId="10022" xr:uid="{7CFEFF0A-0356-418B-AB4F-ACF54DC7AF7C}"/>
    <cellStyle name="Millares 6 2 5 2 3 3 4" xfId="6383" xr:uid="{0A287E6B-788F-4C53-95A0-29BA0135E5FE}"/>
    <cellStyle name="Millares 6 2 5 2 3 3 4 2" xfId="11233" xr:uid="{DDA0B6AE-24F6-4419-8359-333C8F919572}"/>
    <cellStyle name="Millares 6 2 5 2 3 3 5" xfId="3960" xr:uid="{F2AE505D-C5E1-4A7F-9107-8F3872CD3489}"/>
    <cellStyle name="Millares 6 2 5 2 3 3 5 2" xfId="8814" xr:uid="{DAA71B26-5467-45C7-9F17-CC0A3D5B742E}"/>
    <cellStyle name="Millares 6 2 5 2 3 3 6" xfId="2747" xr:uid="{D7BD5EAB-C62E-4506-A7D0-546A186A055A}"/>
    <cellStyle name="Millares 6 2 5 2 3 3 7" xfId="7603" xr:uid="{41887DF6-04C5-4804-AE59-14137F7D7F11}"/>
    <cellStyle name="Millares 6 2 5 2 3 4" xfId="2126" xr:uid="{A28B121E-53BC-49EE-9100-2B98D2FFAAFF}"/>
    <cellStyle name="Millares 6 2 5 2 3 4 2" xfId="5771" xr:uid="{A2C64182-E8CE-43AB-A765-F05AA724510D}"/>
    <cellStyle name="Millares 6 2 5 2 3 4 2 2" xfId="10623" xr:uid="{5A598211-B03C-4D8C-A3DD-57910A411550}"/>
    <cellStyle name="Millares 6 2 5 2 3 4 3" xfId="6987" xr:uid="{F5B2C053-038A-4FCD-9AC0-84DF20F72532}"/>
    <cellStyle name="Millares 6 2 5 2 3 4 3 2" xfId="11835" xr:uid="{4043050D-971E-4CCC-A249-9F8011CD752C}"/>
    <cellStyle name="Millares 6 2 5 2 3 4 4" xfId="4561" xr:uid="{B3075AE6-2DEB-4819-B389-13FD37ECC070}"/>
    <cellStyle name="Millares 6 2 5 2 3 4 4 2" xfId="9415" xr:uid="{EDB7A660-D5BA-4664-A5BD-D477EF0B755F}"/>
    <cellStyle name="Millares 6 2 5 2 3 4 5" xfId="3348" xr:uid="{1191B9E3-E703-483C-8AB3-630AF62BD2A9}"/>
    <cellStyle name="Millares 6 2 5 2 3 4 6" xfId="8204" xr:uid="{741A2AF9-C380-442F-B6FD-0B96AF2E5FEB}"/>
    <cellStyle name="Millares 6 2 5 2 3 5" xfId="5167" xr:uid="{F0737F1D-B91F-4F45-863B-CE68AC066A45}"/>
    <cellStyle name="Millares 6 2 5 2 3 5 2" xfId="10019" xr:uid="{D4B93377-DB54-4BC7-B472-F3DFCA717B08}"/>
    <cellStyle name="Millares 6 2 5 2 3 6" xfId="6380" xr:uid="{1D80BFA2-6676-4C8D-87EE-5562D6AF7E6B}"/>
    <cellStyle name="Millares 6 2 5 2 3 6 2" xfId="11230" xr:uid="{D154D91A-D130-4685-A744-05FB5965F652}"/>
    <cellStyle name="Millares 6 2 5 2 3 7" xfId="3957" xr:uid="{447FFDDF-7F5E-4250-ACA5-C8C5096F25AA}"/>
    <cellStyle name="Millares 6 2 5 2 3 7 2" xfId="8811" xr:uid="{B79193AA-83CF-494C-A6EB-CA3238ADDD99}"/>
    <cellStyle name="Millares 6 2 5 2 3 8" xfId="2744" xr:uid="{2F25624C-3F83-4B62-9BDE-53BAD0BD5C05}"/>
    <cellStyle name="Millares 6 2 5 2 3 9" xfId="7600" xr:uid="{C41C7845-0CF5-4FF2-89C0-732D3BAF7A3C}"/>
    <cellStyle name="Millares 6 2 5 2 4" xfId="958" xr:uid="{4E94F2BE-549A-44D0-8429-89833EC19B5E}"/>
    <cellStyle name="Millares 6 2 5 2 4 2" xfId="959" xr:uid="{265BFB3A-4F80-40A5-A1D6-C81B1D0D6B20}"/>
    <cellStyle name="Millares 6 2 5 2 4 2 2" xfId="2131" xr:uid="{65CE72DC-A1DC-4CAF-A5A0-123C8301D5E6}"/>
    <cellStyle name="Millares 6 2 5 2 4 2 2 2" xfId="5776" xr:uid="{BC9ED17E-C173-4441-99A8-D71CB83E6BFD}"/>
    <cellStyle name="Millares 6 2 5 2 4 2 2 2 2" xfId="10628" xr:uid="{FD1B2B90-F8C3-4870-ACC8-93C7B82F2418}"/>
    <cellStyle name="Millares 6 2 5 2 4 2 2 3" xfId="6992" xr:uid="{E30563B3-02D4-49D7-A51E-0AC80E559C6F}"/>
    <cellStyle name="Millares 6 2 5 2 4 2 2 3 2" xfId="11840" xr:uid="{451AE4B1-5027-42E9-A860-9F758258B09E}"/>
    <cellStyle name="Millares 6 2 5 2 4 2 2 4" xfId="4566" xr:uid="{AD2C3874-AA1A-4136-AC71-41858343E45A}"/>
    <cellStyle name="Millares 6 2 5 2 4 2 2 4 2" xfId="9420" xr:uid="{7139DFF9-0557-4E16-B506-E914695BD461}"/>
    <cellStyle name="Millares 6 2 5 2 4 2 2 5" xfId="3353" xr:uid="{7DBB837F-A067-4A02-B2D3-CF3E1EAF7931}"/>
    <cellStyle name="Millares 6 2 5 2 4 2 2 6" xfId="8209" xr:uid="{BD7A741A-F636-4FB7-8786-5B7D97EEE956}"/>
    <cellStyle name="Millares 6 2 5 2 4 2 3" xfId="5172" xr:uid="{5D0AD12D-2909-4C1B-949A-D1FA700CE153}"/>
    <cellStyle name="Millares 6 2 5 2 4 2 3 2" xfId="10024" xr:uid="{EC1E3D50-0444-4DF5-993D-7B435F8A1DD5}"/>
    <cellStyle name="Millares 6 2 5 2 4 2 4" xfId="6385" xr:uid="{B36DA9DD-B14A-4F09-B916-6BF930FDD7F2}"/>
    <cellStyle name="Millares 6 2 5 2 4 2 4 2" xfId="11235" xr:uid="{0891C263-FE34-4C25-BB29-4E42089082C2}"/>
    <cellStyle name="Millares 6 2 5 2 4 2 5" xfId="3962" xr:uid="{0E02254C-9A5F-4524-B592-D4D74CEF1FBF}"/>
    <cellStyle name="Millares 6 2 5 2 4 2 5 2" xfId="8816" xr:uid="{58988173-D8F7-4E2E-88FE-A5DC12940267}"/>
    <cellStyle name="Millares 6 2 5 2 4 2 6" xfId="2749" xr:uid="{0A12F875-7E23-4DA9-9761-E888256F8FB6}"/>
    <cellStyle name="Millares 6 2 5 2 4 2 7" xfId="7605" xr:uid="{2FC759D9-E3C5-4E26-9D12-44898B3F12F2}"/>
    <cellStyle name="Millares 6 2 5 2 4 3" xfId="2130" xr:uid="{C0F290B8-8A93-4BE5-A6AE-8B78265D8214}"/>
    <cellStyle name="Millares 6 2 5 2 4 3 2" xfId="5775" xr:uid="{E4F79C91-9BE7-4290-AEEC-DDE2EE142453}"/>
    <cellStyle name="Millares 6 2 5 2 4 3 2 2" xfId="10627" xr:uid="{10F1E698-7F51-4362-A17A-C28C00EA3E20}"/>
    <cellStyle name="Millares 6 2 5 2 4 3 3" xfId="6991" xr:uid="{2D503D88-F56E-4300-8ECA-9CB956C811BA}"/>
    <cellStyle name="Millares 6 2 5 2 4 3 3 2" xfId="11839" xr:uid="{93B6CA5D-FEB0-445D-890C-B42744FF2BD9}"/>
    <cellStyle name="Millares 6 2 5 2 4 3 4" xfId="4565" xr:uid="{19A8D737-D8CC-443F-B8B0-E713550A1FB4}"/>
    <cellStyle name="Millares 6 2 5 2 4 3 4 2" xfId="9419" xr:uid="{70C45771-9CDE-48FC-AF0F-1610EB0919CF}"/>
    <cellStyle name="Millares 6 2 5 2 4 3 5" xfId="3352" xr:uid="{D5F17F08-5AF3-4B93-A044-1F428F8D4244}"/>
    <cellStyle name="Millares 6 2 5 2 4 3 6" xfId="8208" xr:uid="{80DF2F56-44CE-4880-A1BD-2484008068DB}"/>
    <cellStyle name="Millares 6 2 5 2 4 4" xfId="5171" xr:uid="{0E8CDF5D-27D3-45A1-AD18-D7DACAFE694C}"/>
    <cellStyle name="Millares 6 2 5 2 4 4 2" xfId="10023" xr:uid="{99A3A3E3-7C7E-4F03-9CE0-160D81B453B7}"/>
    <cellStyle name="Millares 6 2 5 2 4 5" xfId="6384" xr:uid="{98F24144-0D70-4578-83A0-8689898C30E8}"/>
    <cellStyle name="Millares 6 2 5 2 4 5 2" xfId="11234" xr:uid="{5BC1CC1B-7104-407B-B8FC-6F9BF067018F}"/>
    <cellStyle name="Millares 6 2 5 2 4 6" xfId="3961" xr:uid="{8344C4CC-B964-4F52-94EC-68DA36F8A95D}"/>
    <cellStyle name="Millares 6 2 5 2 4 6 2" xfId="8815" xr:uid="{342447BD-222E-45B5-853A-F2E55898E26F}"/>
    <cellStyle name="Millares 6 2 5 2 4 7" xfId="2748" xr:uid="{2AF998AC-44BF-4976-8065-43C9EA4D0BB9}"/>
    <cellStyle name="Millares 6 2 5 2 4 8" xfId="7604" xr:uid="{D4DAC829-F6FB-426D-9A7B-52A41DF25317}"/>
    <cellStyle name="Millares 6 2 5 2 5" xfId="960" xr:uid="{B6894B51-BEF5-4CF1-B7AB-8959BD3A4D34}"/>
    <cellStyle name="Millares 6 2 5 2 5 2" xfId="2132" xr:uid="{1E519596-97F9-4E82-B0C4-AF5D82AC6CB6}"/>
    <cellStyle name="Millares 6 2 5 2 5 2 2" xfId="5777" xr:uid="{6A9BAFDF-3F8B-4FF3-80F0-180379479DAF}"/>
    <cellStyle name="Millares 6 2 5 2 5 2 2 2" xfId="10629" xr:uid="{A52D1F57-0163-407A-A79A-3B289963FEA9}"/>
    <cellStyle name="Millares 6 2 5 2 5 2 3" xfId="6993" xr:uid="{77796FD9-FAF1-44C5-A75E-DFE0F8CFE1D4}"/>
    <cellStyle name="Millares 6 2 5 2 5 2 3 2" xfId="11841" xr:uid="{C34ECEFD-BC32-4BC2-AF5A-5DB2C128D807}"/>
    <cellStyle name="Millares 6 2 5 2 5 2 4" xfId="4567" xr:uid="{0C837D25-67F0-4C18-96BF-61DBD4718A41}"/>
    <cellStyle name="Millares 6 2 5 2 5 2 4 2" xfId="9421" xr:uid="{BDB11ECD-6B0B-49D0-B900-7F2A02DA83B2}"/>
    <cellStyle name="Millares 6 2 5 2 5 2 5" xfId="3354" xr:uid="{71A694F1-ABF6-4F33-841F-994D9BE5A650}"/>
    <cellStyle name="Millares 6 2 5 2 5 2 6" xfId="8210" xr:uid="{5B930C8C-2E23-4809-912B-CC2DA707F974}"/>
    <cellStyle name="Millares 6 2 5 2 5 3" xfId="5173" xr:uid="{407093B7-AD02-4ABB-A400-E364313CB2EF}"/>
    <cellStyle name="Millares 6 2 5 2 5 3 2" xfId="10025" xr:uid="{B077DFF3-4071-4F25-9D44-7FDC2133AD68}"/>
    <cellStyle name="Millares 6 2 5 2 5 4" xfId="6386" xr:uid="{3DB030A6-B180-4455-AD21-241EB5688EB5}"/>
    <cellStyle name="Millares 6 2 5 2 5 4 2" xfId="11236" xr:uid="{7C866779-CB3F-4F0D-9BEB-6882F74F041C}"/>
    <cellStyle name="Millares 6 2 5 2 5 5" xfId="3963" xr:uid="{4FF7B190-5649-4178-AE57-87DD8D5C25D6}"/>
    <cellStyle name="Millares 6 2 5 2 5 5 2" xfId="8817" xr:uid="{945F623F-B698-457D-A0D2-27DEA4801287}"/>
    <cellStyle name="Millares 6 2 5 2 5 6" xfId="2750" xr:uid="{00801AF2-AFD5-4937-8B4F-C10A7FC56676}"/>
    <cellStyle name="Millares 6 2 5 2 5 7" xfId="7606" xr:uid="{369516EE-CDE4-48AA-83AE-1D2D88786156}"/>
    <cellStyle name="Millares 6 2 5 2 6" xfId="2121" xr:uid="{01D53D54-2F75-46C8-879D-AD4190A65D59}"/>
    <cellStyle name="Millares 6 2 5 2 6 2" xfId="5766" xr:uid="{5673A8ED-AEA1-4F7C-B01A-831A01D39B09}"/>
    <cellStyle name="Millares 6 2 5 2 6 2 2" xfId="10618" xr:uid="{FDF790DD-11A3-40D7-B012-B7E2B95E94FD}"/>
    <cellStyle name="Millares 6 2 5 2 6 3" xfId="6982" xr:uid="{0881014A-7F80-4A8B-933D-B2DA5BAF371A}"/>
    <cellStyle name="Millares 6 2 5 2 6 3 2" xfId="11830" xr:uid="{3EE70732-B8A1-4C55-B8B3-B87856339613}"/>
    <cellStyle name="Millares 6 2 5 2 6 4" xfId="4556" xr:uid="{1818A44A-3E78-4585-AD25-3F3D451C11EB}"/>
    <cellStyle name="Millares 6 2 5 2 6 4 2" xfId="9410" xr:uid="{939560F4-C589-4AEC-9F17-AE1E9AA7DDE2}"/>
    <cellStyle name="Millares 6 2 5 2 6 5" xfId="3343" xr:uid="{E0727B82-0E38-48CC-B46F-E0A159F34C35}"/>
    <cellStyle name="Millares 6 2 5 2 6 6" xfId="8199" xr:uid="{9B6FE235-C053-4A0D-94AD-B38441B35A9F}"/>
    <cellStyle name="Millares 6 2 5 2 7" xfId="5162" xr:uid="{11E0680D-8E05-43F4-BDF0-7C121B1C0EB0}"/>
    <cellStyle name="Millares 6 2 5 2 7 2" xfId="10014" xr:uid="{100A9FD5-60BF-4D65-9334-BA288701B444}"/>
    <cellStyle name="Millares 6 2 5 2 8" xfId="6375" xr:uid="{10031C76-1635-466F-9AC9-403A688D0CA6}"/>
    <cellStyle name="Millares 6 2 5 2 8 2" xfId="11225" xr:uid="{4180A5A0-83C2-42AA-B970-06B76FC560D2}"/>
    <cellStyle name="Millares 6 2 5 2 9" xfId="3952" xr:uid="{9CE610F8-139A-4BFB-A2DC-9964ADBE3868}"/>
    <cellStyle name="Millares 6 2 5 2 9 2" xfId="8806" xr:uid="{C1F7D231-299A-44AC-90A8-0DAEF1426947}"/>
    <cellStyle name="Millares 6 2 5 3" xfId="961" xr:uid="{CB1181D9-49A1-45F2-9EA8-3892952920FA}"/>
    <cellStyle name="Millares 6 2 5 3 2" xfId="962" xr:uid="{AD9B6956-0415-46C4-A2BA-88568026CC32}"/>
    <cellStyle name="Millares 6 2 5 3 2 2" xfId="963" xr:uid="{BA9A8C5A-CD50-4F34-BDDD-CB99C4607963}"/>
    <cellStyle name="Millares 6 2 5 3 2 2 2" xfId="2135" xr:uid="{13BB2464-228E-40D3-8AFB-6C65DDBFE9EE}"/>
    <cellStyle name="Millares 6 2 5 3 2 2 2 2" xfId="5780" xr:uid="{79F164D1-5182-41D8-89EA-06868BE0CF4E}"/>
    <cellStyle name="Millares 6 2 5 3 2 2 2 2 2" xfId="10632" xr:uid="{076E1D50-615F-45A6-BB0C-52334BEA0681}"/>
    <cellStyle name="Millares 6 2 5 3 2 2 2 3" xfId="6996" xr:uid="{427F8863-2D73-4499-B4DD-F41C10678487}"/>
    <cellStyle name="Millares 6 2 5 3 2 2 2 3 2" xfId="11844" xr:uid="{142BCDB8-2A18-4A0A-B733-56E6D77409C6}"/>
    <cellStyle name="Millares 6 2 5 3 2 2 2 4" xfId="4570" xr:uid="{E44322D7-56A0-4DD2-943A-A9BFCB6EC99D}"/>
    <cellStyle name="Millares 6 2 5 3 2 2 2 4 2" xfId="9424" xr:uid="{A78FAA3B-8245-4BAD-92DD-3E226A4232F4}"/>
    <cellStyle name="Millares 6 2 5 3 2 2 2 5" xfId="3357" xr:uid="{8A93BA4A-E7A9-4770-AC15-9FFAADFA808B}"/>
    <cellStyle name="Millares 6 2 5 3 2 2 2 6" xfId="8213" xr:uid="{A0EE9928-4835-48FF-AD80-D8C02E49E985}"/>
    <cellStyle name="Millares 6 2 5 3 2 2 3" xfId="5176" xr:uid="{5F9EAC06-3788-43EF-BA4F-95882B38E6A1}"/>
    <cellStyle name="Millares 6 2 5 3 2 2 3 2" xfId="10028" xr:uid="{5F3F09DE-706A-4A06-98B5-0ED467319666}"/>
    <cellStyle name="Millares 6 2 5 3 2 2 4" xfId="6389" xr:uid="{356EE1B0-1E8E-497E-B068-79CAE103547D}"/>
    <cellStyle name="Millares 6 2 5 3 2 2 4 2" xfId="11239" xr:uid="{0555103E-B84E-467F-9B4C-13154423BE46}"/>
    <cellStyle name="Millares 6 2 5 3 2 2 5" xfId="3966" xr:uid="{4BF497DD-4B2F-416B-8CF3-B1E37CBDCB42}"/>
    <cellStyle name="Millares 6 2 5 3 2 2 5 2" xfId="8820" xr:uid="{29588172-0895-4C3F-86DE-1C59A9CFF221}"/>
    <cellStyle name="Millares 6 2 5 3 2 2 6" xfId="2753" xr:uid="{0F201066-7309-4FF6-8CE2-2796D8B7A7E2}"/>
    <cellStyle name="Millares 6 2 5 3 2 2 7" xfId="7609" xr:uid="{4236F53C-C6D9-41A3-9D16-8272E025505D}"/>
    <cellStyle name="Millares 6 2 5 3 2 3" xfId="2134" xr:uid="{A176E933-E8A7-40AA-BA6B-EEEA8966FA9B}"/>
    <cellStyle name="Millares 6 2 5 3 2 3 2" xfId="5779" xr:uid="{BF7BE5BA-DD28-496D-997B-1680624742FA}"/>
    <cellStyle name="Millares 6 2 5 3 2 3 2 2" xfId="10631" xr:uid="{231ABED0-6EE3-427E-8477-EE8F0CC492C1}"/>
    <cellStyle name="Millares 6 2 5 3 2 3 3" xfId="6995" xr:uid="{C002B8A3-1A5B-4B29-9D3D-C9901F05B1CD}"/>
    <cellStyle name="Millares 6 2 5 3 2 3 3 2" xfId="11843" xr:uid="{4663F441-D953-424E-A13A-AAED2A41612A}"/>
    <cellStyle name="Millares 6 2 5 3 2 3 4" xfId="4569" xr:uid="{D42A75DD-4A99-4579-91D5-3661D6CC30DE}"/>
    <cellStyle name="Millares 6 2 5 3 2 3 4 2" xfId="9423" xr:uid="{C8FFDC3B-8A73-4DEB-8B78-DD3E96BE55F7}"/>
    <cellStyle name="Millares 6 2 5 3 2 3 5" xfId="3356" xr:uid="{EDE4E5D0-1117-43B4-8771-7A0942EF01A8}"/>
    <cellStyle name="Millares 6 2 5 3 2 3 6" xfId="8212" xr:uid="{06287727-B91A-4859-B3E5-BDB7C03350F4}"/>
    <cellStyle name="Millares 6 2 5 3 2 4" xfId="5175" xr:uid="{A151599C-92EA-4174-A4D6-1A1D96688BBF}"/>
    <cellStyle name="Millares 6 2 5 3 2 4 2" xfId="10027" xr:uid="{76897943-AC2E-4C6B-BBE0-95F21164D881}"/>
    <cellStyle name="Millares 6 2 5 3 2 5" xfId="6388" xr:uid="{143F3028-7F33-4667-A2BB-ACEB40793B57}"/>
    <cellStyle name="Millares 6 2 5 3 2 5 2" xfId="11238" xr:uid="{0B1938C9-4C18-47C1-A1E0-1AC6882F6958}"/>
    <cellStyle name="Millares 6 2 5 3 2 6" xfId="3965" xr:uid="{51844EE2-8EDE-4E2A-857C-8B46E49F81A6}"/>
    <cellStyle name="Millares 6 2 5 3 2 6 2" xfId="8819" xr:uid="{9C1E1774-328A-4A3B-855A-D582E3076FC6}"/>
    <cellStyle name="Millares 6 2 5 3 2 7" xfId="2752" xr:uid="{71395F43-68EB-40FB-8033-8721AF6BD348}"/>
    <cellStyle name="Millares 6 2 5 3 2 8" xfId="7608" xr:uid="{FF709F29-62F6-4C18-9B79-7BCC4AC1B8FA}"/>
    <cellStyle name="Millares 6 2 5 3 3" xfId="964" xr:uid="{BCD41D16-8439-445E-B671-DF824D7C6180}"/>
    <cellStyle name="Millares 6 2 5 3 3 2" xfId="2136" xr:uid="{C3CA5D63-6069-4B9B-B05F-E16C61B58FA0}"/>
    <cellStyle name="Millares 6 2 5 3 3 2 2" xfId="5781" xr:uid="{5B08261C-BE1F-49F9-8A4A-3E1D328331AC}"/>
    <cellStyle name="Millares 6 2 5 3 3 2 2 2" xfId="10633" xr:uid="{5E2DFF63-E5C6-4796-8A4F-AEFACE98581D}"/>
    <cellStyle name="Millares 6 2 5 3 3 2 3" xfId="6997" xr:uid="{1B8A45EC-D733-4E67-A427-6A8B7A753B9E}"/>
    <cellStyle name="Millares 6 2 5 3 3 2 3 2" xfId="11845" xr:uid="{35AC0FC2-7BB2-4A0C-8FDE-9CF5BC5510BE}"/>
    <cellStyle name="Millares 6 2 5 3 3 2 4" xfId="4571" xr:uid="{93260200-C36F-4835-98F3-D8E19363540C}"/>
    <cellStyle name="Millares 6 2 5 3 3 2 4 2" xfId="9425" xr:uid="{01CCDB5F-9EE2-4396-96B7-64DF3F524290}"/>
    <cellStyle name="Millares 6 2 5 3 3 2 5" xfId="3358" xr:uid="{9AAB4A9D-6ED6-44CE-A7BE-157D09829BCB}"/>
    <cellStyle name="Millares 6 2 5 3 3 2 6" xfId="8214" xr:uid="{0257C0EB-BDBD-43B4-B0AD-3FF7450ECA80}"/>
    <cellStyle name="Millares 6 2 5 3 3 3" xfId="5177" xr:uid="{ED86AEDF-E16A-46DC-B343-56EDE7652261}"/>
    <cellStyle name="Millares 6 2 5 3 3 3 2" xfId="10029" xr:uid="{095C854A-6A3B-4FCF-834C-70AF77E843A6}"/>
    <cellStyle name="Millares 6 2 5 3 3 4" xfId="6390" xr:uid="{9F492224-26D9-4CDA-8605-73E8675D603F}"/>
    <cellStyle name="Millares 6 2 5 3 3 4 2" xfId="11240" xr:uid="{937FCF8F-A17F-4E46-8E36-9E2274046D06}"/>
    <cellStyle name="Millares 6 2 5 3 3 5" xfId="3967" xr:uid="{D9505F65-FFDD-426C-92BA-8B93C182F1A6}"/>
    <cellStyle name="Millares 6 2 5 3 3 5 2" xfId="8821" xr:uid="{0CC8CDE1-9F53-404D-95D1-2BB60401188D}"/>
    <cellStyle name="Millares 6 2 5 3 3 6" xfId="2754" xr:uid="{1628ACE3-10B1-46B3-ADF5-C63D368E249D}"/>
    <cellStyle name="Millares 6 2 5 3 3 7" xfId="7610" xr:uid="{CBF71A72-5C03-448A-8BD7-0427B3F600D0}"/>
    <cellStyle name="Millares 6 2 5 3 4" xfId="2133" xr:uid="{279C8FA3-6DDD-4ED0-B162-6E325EA73F26}"/>
    <cellStyle name="Millares 6 2 5 3 4 2" xfId="5778" xr:uid="{E904B58C-82ED-495F-98F0-C34591F066E8}"/>
    <cellStyle name="Millares 6 2 5 3 4 2 2" xfId="10630" xr:uid="{F9678240-8D9E-4C29-A49C-69C7DEF2B599}"/>
    <cellStyle name="Millares 6 2 5 3 4 3" xfId="6994" xr:uid="{E7D724FC-F695-4765-973A-8BD8C74101BA}"/>
    <cellStyle name="Millares 6 2 5 3 4 3 2" xfId="11842" xr:uid="{F4975D01-40E8-4710-90E8-638A66965E5A}"/>
    <cellStyle name="Millares 6 2 5 3 4 4" xfId="4568" xr:uid="{C3039C94-9866-4C92-8629-49CD9C4C57C2}"/>
    <cellStyle name="Millares 6 2 5 3 4 4 2" xfId="9422" xr:uid="{06DA9885-DE81-4E78-9059-E2CD8F16EBC6}"/>
    <cellStyle name="Millares 6 2 5 3 4 5" xfId="3355" xr:uid="{83E4E132-179D-4590-85AE-31E8E4929C79}"/>
    <cellStyle name="Millares 6 2 5 3 4 6" xfId="8211" xr:uid="{5A9B3FC1-65F8-45D0-89F1-AF36156EEC40}"/>
    <cellStyle name="Millares 6 2 5 3 5" xfId="5174" xr:uid="{CA307F4C-FB5F-4392-9388-92303A6D292D}"/>
    <cellStyle name="Millares 6 2 5 3 5 2" xfId="10026" xr:uid="{8E3B86D6-725F-4373-B6F1-9EA923A98D16}"/>
    <cellStyle name="Millares 6 2 5 3 6" xfId="6387" xr:uid="{09E31C3F-67DE-4F91-94D4-D5FCB7F4922F}"/>
    <cellStyle name="Millares 6 2 5 3 6 2" xfId="11237" xr:uid="{14700B66-9BDC-442B-9008-CD5A1861BA0F}"/>
    <cellStyle name="Millares 6 2 5 3 7" xfId="3964" xr:uid="{48CD7E78-081C-4AC4-94F2-3225115EA3B4}"/>
    <cellStyle name="Millares 6 2 5 3 7 2" xfId="8818" xr:uid="{B0E5B11C-B198-4555-A75C-C74F73C93D6C}"/>
    <cellStyle name="Millares 6 2 5 3 8" xfId="2751" xr:uid="{E0B250F8-D5E8-4D8C-ACA7-41F46F137B2C}"/>
    <cellStyle name="Millares 6 2 5 3 9" xfId="7607" xr:uid="{65D9E419-7B9C-4F50-BB3A-D0FA520E64C4}"/>
    <cellStyle name="Millares 6 2 5 4" xfId="965" xr:uid="{DB7301BB-A5AB-4538-A932-26D45F8BC881}"/>
    <cellStyle name="Millares 6 2 5 4 2" xfId="966" xr:uid="{9116F6E5-BF21-4810-A4F0-63C1A0F8585B}"/>
    <cellStyle name="Millares 6 2 5 4 2 2" xfId="967" xr:uid="{695AF329-7C0B-4864-AA01-A522A9CDCBF3}"/>
    <cellStyle name="Millares 6 2 5 4 2 2 2" xfId="2139" xr:uid="{ED853FED-D767-4D92-81B4-8BBB994C94BC}"/>
    <cellStyle name="Millares 6 2 5 4 2 2 2 2" xfId="5784" xr:uid="{59740211-A0E1-4997-9151-62C2F43DE879}"/>
    <cellStyle name="Millares 6 2 5 4 2 2 2 2 2" xfId="10636" xr:uid="{FFA4FC51-EA3C-436C-A6F4-949D08FAF161}"/>
    <cellStyle name="Millares 6 2 5 4 2 2 2 3" xfId="7000" xr:uid="{7DA1977A-C828-4E25-A4F3-556CDF086F72}"/>
    <cellStyle name="Millares 6 2 5 4 2 2 2 3 2" xfId="11848" xr:uid="{1CEFDC61-50CB-49B4-B2AA-8C14BC199ECE}"/>
    <cellStyle name="Millares 6 2 5 4 2 2 2 4" xfId="4574" xr:uid="{424BDFBA-D34C-49F2-AD95-CE1F98C25BE6}"/>
    <cellStyle name="Millares 6 2 5 4 2 2 2 4 2" xfId="9428" xr:uid="{A5F4C4E8-F78D-4FEE-BF2A-609AAC3EDEE2}"/>
    <cellStyle name="Millares 6 2 5 4 2 2 2 5" xfId="3361" xr:uid="{46232E77-F051-40F7-A78D-B683405525D4}"/>
    <cellStyle name="Millares 6 2 5 4 2 2 2 6" xfId="8217" xr:uid="{C4DD190B-6D8E-498A-9D51-B34C8D950293}"/>
    <cellStyle name="Millares 6 2 5 4 2 2 3" xfId="5180" xr:uid="{D4BCE0C6-F2FB-40FA-84A8-F93AD4D79E39}"/>
    <cellStyle name="Millares 6 2 5 4 2 2 3 2" xfId="10032" xr:uid="{F0A61986-F3A6-40C7-8681-8C5ACC80A216}"/>
    <cellStyle name="Millares 6 2 5 4 2 2 4" xfId="6393" xr:uid="{70060896-D762-4A9E-A106-13924567D24E}"/>
    <cellStyle name="Millares 6 2 5 4 2 2 4 2" xfId="11243" xr:uid="{A23113D3-50FD-4AE8-A043-771F7626096C}"/>
    <cellStyle name="Millares 6 2 5 4 2 2 5" xfId="3970" xr:uid="{4668F3D1-67B8-4EE6-9499-894C9B16B7AD}"/>
    <cellStyle name="Millares 6 2 5 4 2 2 5 2" xfId="8824" xr:uid="{DB3CE5B2-B9DB-473A-AB33-752DCF50FF12}"/>
    <cellStyle name="Millares 6 2 5 4 2 2 6" xfId="2757" xr:uid="{6C302758-32DF-4BD6-88C3-3A44A09D1DE7}"/>
    <cellStyle name="Millares 6 2 5 4 2 2 7" xfId="7613" xr:uid="{1246873D-A0F0-4ADD-992C-D6A49CEDFAA9}"/>
    <cellStyle name="Millares 6 2 5 4 2 3" xfId="2138" xr:uid="{957A5F75-301D-4B26-98BF-F419C3308B8D}"/>
    <cellStyle name="Millares 6 2 5 4 2 3 2" xfId="5783" xr:uid="{58FD75E5-B971-4500-82AB-CEADDF890D0D}"/>
    <cellStyle name="Millares 6 2 5 4 2 3 2 2" xfId="10635" xr:uid="{C78B1C32-6554-4F31-870D-77CBDC889DAE}"/>
    <cellStyle name="Millares 6 2 5 4 2 3 3" xfId="6999" xr:uid="{B67027CE-0510-4767-AC5C-39B5E23203AD}"/>
    <cellStyle name="Millares 6 2 5 4 2 3 3 2" xfId="11847" xr:uid="{8A439D89-2B54-4EFA-9903-64866B01562A}"/>
    <cellStyle name="Millares 6 2 5 4 2 3 4" xfId="4573" xr:uid="{506B71E8-FEBB-4963-8872-E5E0C462CFBD}"/>
    <cellStyle name="Millares 6 2 5 4 2 3 4 2" xfId="9427" xr:uid="{D32AB02F-27BD-4765-889F-04E6A2CE1861}"/>
    <cellStyle name="Millares 6 2 5 4 2 3 5" xfId="3360" xr:uid="{7CFB4D0C-EEF6-48E7-A7D8-26693AF8BF0C}"/>
    <cellStyle name="Millares 6 2 5 4 2 3 6" xfId="8216" xr:uid="{3717ABEE-A6C9-441B-931C-C1778BDAD40D}"/>
    <cellStyle name="Millares 6 2 5 4 2 4" xfId="5179" xr:uid="{2E0F78E5-5163-42AA-A8D4-F0D79C207E11}"/>
    <cellStyle name="Millares 6 2 5 4 2 4 2" xfId="10031" xr:uid="{B8F28726-BB34-4A51-B5F5-54F841450636}"/>
    <cellStyle name="Millares 6 2 5 4 2 5" xfId="6392" xr:uid="{F67757C8-FE89-40C0-849F-752446627B1B}"/>
    <cellStyle name="Millares 6 2 5 4 2 5 2" xfId="11242" xr:uid="{F5876FE9-3896-4183-ABC9-890AF7536DF7}"/>
    <cellStyle name="Millares 6 2 5 4 2 6" xfId="3969" xr:uid="{B24329BE-2BD5-4447-91EF-D99AEA09C21E}"/>
    <cellStyle name="Millares 6 2 5 4 2 6 2" xfId="8823" xr:uid="{3C18776A-3AB7-41B9-9614-096BE1DA833F}"/>
    <cellStyle name="Millares 6 2 5 4 2 7" xfId="2756" xr:uid="{8A81E78D-4A1B-4A38-BBFE-5B510C018ECB}"/>
    <cellStyle name="Millares 6 2 5 4 2 8" xfId="7612" xr:uid="{0ADADF13-2EEF-4FA6-AD55-FB9D90484F6C}"/>
    <cellStyle name="Millares 6 2 5 4 3" xfId="968" xr:uid="{BACC60E6-58C6-4532-A923-0D477932F78A}"/>
    <cellStyle name="Millares 6 2 5 4 3 2" xfId="2140" xr:uid="{E56562B3-44B9-40E1-A97F-509B4C88F169}"/>
    <cellStyle name="Millares 6 2 5 4 3 2 2" xfId="5785" xr:uid="{596C0791-1DB5-4521-870E-CF2723EF0850}"/>
    <cellStyle name="Millares 6 2 5 4 3 2 2 2" xfId="10637" xr:uid="{1604C9FC-65BD-4B69-9DC8-7AEBA0C0A3B2}"/>
    <cellStyle name="Millares 6 2 5 4 3 2 3" xfId="7001" xr:uid="{89792668-9505-43F8-9C66-A9DB3AC7DE2E}"/>
    <cellStyle name="Millares 6 2 5 4 3 2 3 2" xfId="11849" xr:uid="{BF9A4678-32D9-47C8-A155-2D3F63CF270E}"/>
    <cellStyle name="Millares 6 2 5 4 3 2 4" xfId="4575" xr:uid="{2BCC60D1-0F96-40EB-A506-1EA91C718BA7}"/>
    <cellStyle name="Millares 6 2 5 4 3 2 4 2" xfId="9429" xr:uid="{2A6B2FA5-4E6A-4BB6-B8BA-789993C88F51}"/>
    <cellStyle name="Millares 6 2 5 4 3 2 5" xfId="3362" xr:uid="{9E98DF56-38A3-4F3C-BD38-8E1DBA719805}"/>
    <cellStyle name="Millares 6 2 5 4 3 2 6" xfId="8218" xr:uid="{536D40BE-CE99-4D4E-98D0-CE6206B4730F}"/>
    <cellStyle name="Millares 6 2 5 4 3 3" xfId="5181" xr:uid="{194EA33A-C489-4F3C-8A6A-60004D5AE967}"/>
    <cellStyle name="Millares 6 2 5 4 3 3 2" xfId="10033" xr:uid="{A4C58B14-5A2C-4CF8-A87F-01CD4C52757A}"/>
    <cellStyle name="Millares 6 2 5 4 3 4" xfId="6394" xr:uid="{A4A0DDB1-58C9-41E6-8599-D2AF1BD43447}"/>
    <cellStyle name="Millares 6 2 5 4 3 4 2" xfId="11244" xr:uid="{D7ED94C2-F8AB-46A0-98B6-30964823EB8A}"/>
    <cellStyle name="Millares 6 2 5 4 3 5" xfId="3971" xr:uid="{95539ADE-58DE-466B-8919-E7F9AD217CAB}"/>
    <cellStyle name="Millares 6 2 5 4 3 5 2" xfId="8825" xr:uid="{324F2266-87FF-41A0-8C33-9227E2A62222}"/>
    <cellStyle name="Millares 6 2 5 4 3 6" xfId="2758" xr:uid="{AFA108CD-38FE-4503-8E9C-DE16F45863F3}"/>
    <cellStyle name="Millares 6 2 5 4 3 7" xfId="7614" xr:uid="{CB5EBC83-173E-4C0E-B140-D60673F77942}"/>
    <cellStyle name="Millares 6 2 5 4 4" xfId="2137" xr:uid="{92C206AC-DEB8-4FDD-AE27-33ED113FA81A}"/>
    <cellStyle name="Millares 6 2 5 4 4 2" xfId="5782" xr:uid="{85CA3E66-5BF8-4E6E-BE3E-892DF2416CB1}"/>
    <cellStyle name="Millares 6 2 5 4 4 2 2" xfId="10634" xr:uid="{23FC7F8D-FF11-4E20-9379-8F298406CB10}"/>
    <cellStyle name="Millares 6 2 5 4 4 3" xfId="6998" xr:uid="{43A239D6-4F3C-4D3D-A33D-5FE819715303}"/>
    <cellStyle name="Millares 6 2 5 4 4 3 2" xfId="11846" xr:uid="{0E5106CE-0FCB-477E-88D5-8940072B437C}"/>
    <cellStyle name="Millares 6 2 5 4 4 4" xfId="4572" xr:uid="{846D2A53-BF18-4D37-A6A2-F22AED2E4F66}"/>
    <cellStyle name="Millares 6 2 5 4 4 4 2" xfId="9426" xr:uid="{724972F8-3682-445C-BCE3-158E3ABA2897}"/>
    <cellStyle name="Millares 6 2 5 4 4 5" xfId="3359" xr:uid="{A3CB1E06-9E34-491B-8E92-214983B3CEB3}"/>
    <cellStyle name="Millares 6 2 5 4 4 6" xfId="8215" xr:uid="{3E2F821F-02EB-4E50-BD8C-19C5B215127B}"/>
    <cellStyle name="Millares 6 2 5 4 5" xfId="5178" xr:uid="{61C4862D-B22A-4573-BE8A-0DCEDF5F404C}"/>
    <cellStyle name="Millares 6 2 5 4 5 2" xfId="10030" xr:uid="{64B5EFE6-BA4C-4B31-961B-EC9567BEC385}"/>
    <cellStyle name="Millares 6 2 5 4 6" xfId="6391" xr:uid="{1F6B37D9-0F4A-4DAE-9093-1F60262319C6}"/>
    <cellStyle name="Millares 6 2 5 4 6 2" xfId="11241" xr:uid="{164AC926-6829-4986-8D7A-6EC08B07C673}"/>
    <cellStyle name="Millares 6 2 5 4 7" xfId="3968" xr:uid="{0F431094-9D7B-433C-9D87-21B82AEE9D55}"/>
    <cellStyle name="Millares 6 2 5 4 7 2" xfId="8822" xr:uid="{374C922A-9C42-4686-A29C-A23C2F4B27FC}"/>
    <cellStyle name="Millares 6 2 5 4 8" xfId="2755" xr:uid="{D2EFC784-BEA9-4FAE-AE8E-6ED0F648A6CD}"/>
    <cellStyle name="Millares 6 2 5 4 9" xfId="7611" xr:uid="{4874284C-5E84-4BC0-9741-5C5D8C9F2D5D}"/>
    <cellStyle name="Millares 6 2 5 5" xfId="969" xr:uid="{FA434F6C-DABF-414D-BAE3-B1AD5D87B202}"/>
    <cellStyle name="Millares 6 2 5 5 2" xfId="970" xr:uid="{1EACDF9E-BC5F-4A05-9C28-77ED7368C550}"/>
    <cellStyle name="Millares 6 2 5 5 2 2" xfId="2142" xr:uid="{EB8B770F-A244-4277-A18A-B72586F74652}"/>
    <cellStyle name="Millares 6 2 5 5 2 2 2" xfId="5787" xr:uid="{192B4283-C3A5-47CD-9EA6-DBC5E0B6F3B7}"/>
    <cellStyle name="Millares 6 2 5 5 2 2 2 2" xfId="10639" xr:uid="{9974EA8B-497A-4054-A425-9799562DCDBC}"/>
    <cellStyle name="Millares 6 2 5 5 2 2 3" xfId="7003" xr:uid="{EAAF4360-D4DE-4030-B3B7-E0B57F5B060A}"/>
    <cellStyle name="Millares 6 2 5 5 2 2 3 2" xfId="11851" xr:uid="{5BE4F06F-DDFF-4E2D-AF59-6B9E6BA8CB06}"/>
    <cellStyle name="Millares 6 2 5 5 2 2 4" xfId="4577" xr:uid="{F1B6A46B-EB29-4991-9E3E-928518151ECC}"/>
    <cellStyle name="Millares 6 2 5 5 2 2 4 2" xfId="9431" xr:uid="{8E78F72F-D00E-4C3C-8873-1B9A2D8D4A4B}"/>
    <cellStyle name="Millares 6 2 5 5 2 2 5" xfId="3364" xr:uid="{E471BE7F-06B8-432E-9974-C14C8A9757E8}"/>
    <cellStyle name="Millares 6 2 5 5 2 2 6" xfId="8220" xr:uid="{0AB18547-45A3-484A-86AB-0098D858E795}"/>
    <cellStyle name="Millares 6 2 5 5 2 3" xfId="5183" xr:uid="{60A0EF50-6671-4956-B390-9409F86721DA}"/>
    <cellStyle name="Millares 6 2 5 5 2 3 2" xfId="10035" xr:uid="{17CC4A54-12C2-4432-98FB-1E5D9EB9182A}"/>
    <cellStyle name="Millares 6 2 5 5 2 4" xfId="6396" xr:uid="{ED77982B-A27F-4AEC-A0F3-C2B22C8E0A77}"/>
    <cellStyle name="Millares 6 2 5 5 2 4 2" xfId="11246" xr:uid="{BA456021-E346-4915-96CF-67125A2647CE}"/>
    <cellStyle name="Millares 6 2 5 5 2 5" xfId="3973" xr:uid="{BE761A07-EEA0-4686-95FF-AFDB65072586}"/>
    <cellStyle name="Millares 6 2 5 5 2 5 2" xfId="8827" xr:uid="{DCEBF55C-4C54-4DCA-A342-623BB21D3AEB}"/>
    <cellStyle name="Millares 6 2 5 5 2 6" xfId="2760" xr:uid="{CBDF61B2-74E4-49F3-ACA2-5EFBEAE5A092}"/>
    <cellStyle name="Millares 6 2 5 5 2 7" xfId="7616" xr:uid="{6EA1E1E0-4281-42C3-AE7F-87B446DFDBC4}"/>
    <cellStyle name="Millares 6 2 5 5 3" xfId="2141" xr:uid="{9BCA05DB-8AF9-4398-AD9F-7454B5DD8823}"/>
    <cellStyle name="Millares 6 2 5 5 3 2" xfId="5786" xr:uid="{16C49A45-B98A-4CE1-AF8F-FF155EBDDDF2}"/>
    <cellStyle name="Millares 6 2 5 5 3 2 2" xfId="10638" xr:uid="{47C8860E-E48D-46C2-8129-5DB27C1EA173}"/>
    <cellStyle name="Millares 6 2 5 5 3 3" xfId="7002" xr:uid="{15F902AD-6D73-457A-843A-2E3EDE83D573}"/>
    <cellStyle name="Millares 6 2 5 5 3 3 2" xfId="11850" xr:uid="{0FBB24AC-769E-42F9-9A64-1B725F12A253}"/>
    <cellStyle name="Millares 6 2 5 5 3 4" xfId="4576" xr:uid="{4AC911C7-2C9B-4EEC-8C46-579771C55EE1}"/>
    <cellStyle name="Millares 6 2 5 5 3 4 2" xfId="9430" xr:uid="{215003E5-A090-437C-A778-B200975B5EB5}"/>
    <cellStyle name="Millares 6 2 5 5 3 5" xfId="3363" xr:uid="{725BDC50-231E-4740-B84C-A4E7AA7EC8EF}"/>
    <cellStyle name="Millares 6 2 5 5 3 6" xfId="8219" xr:uid="{D9055F68-9F3D-4384-869F-C082404EE763}"/>
    <cellStyle name="Millares 6 2 5 5 4" xfId="5182" xr:uid="{3C53DF6C-D713-4E1E-8FAF-E04E2951EC35}"/>
    <cellStyle name="Millares 6 2 5 5 4 2" xfId="10034" xr:uid="{89F0AF07-70F4-451F-83DF-368F6AC09097}"/>
    <cellStyle name="Millares 6 2 5 5 5" xfId="6395" xr:uid="{4CEF4EB5-99E9-4758-AEB7-14485C87ED4A}"/>
    <cellStyle name="Millares 6 2 5 5 5 2" xfId="11245" xr:uid="{67B59688-A654-456A-9DDC-98FA9721313A}"/>
    <cellStyle name="Millares 6 2 5 5 6" xfId="3972" xr:uid="{D419332F-752D-46E6-9E3F-8E5CA6B81CEC}"/>
    <cellStyle name="Millares 6 2 5 5 6 2" xfId="8826" xr:uid="{97F901A4-9F00-4FA5-9D06-C189CECBC8EE}"/>
    <cellStyle name="Millares 6 2 5 5 7" xfId="2759" xr:uid="{F22AD618-8146-4C97-A763-18011ADEB396}"/>
    <cellStyle name="Millares 6 2 5 5 8" xfId="7615" xr:uid="{3F55A8D7-24AB-4C72-9B81-F3B93DD96ACB}"/>
    <cellStyle name="Millares 6 2 5 6" xfId="971" xr:uid="{7CD1FCE2-21C2-4FDE-8369-242EB3284009}"/>
    <cellStyle name="Millares 6 2 5 6 2" xfId="2143" xr:uid="{19A8BAFB-584D-4308-B6B8-53B1EE08AA86}"/>
    <cellStyle name="Millares 6 2 5 6 2 2" xfId="5788" xr:uid="{FE4A773B-F3C9-449E-835E-28333D0266BD}"/>
    <cellStyle name="Millares 6 2 5 6 2 2 2" xfId="10640" xr:uid="{E5202C6E-13C5-441B-8093-8532AC4AEA3C}"/>
    <cellStyle name="Millares 6 2 5 6 2 3" xfId="7004" xr:uid="{DA5A7D1D-F892-4810-9F33-9B1C812D191B}"/>
    <cellStyle name="Millares 6 2 5 6 2 3 2" xfId="11852" xr:uid="{461B8D69-276D-47F7-A274-5B5CD85E5B43}"/>
    <cellStyle name="Millares 6 2 5 6 2 4" xfId="4578" xr:uid="{41A66DB0-8A52-46F8-A5A2-FA349B533EF0}"/>
    <cellStyle name="Millares 6 2 5 6 2 4 2" xfId="9432" xr:uid="{411510E3-410E-43AC-B61E-5B8397130A26}"/>
    <cellStyle name="Millares 6 2 5 6 2 5" xfId="3365" xr:uid="{51BF16E6-D8DA-4459-B3D0-AFD72B890944}"/>
    <cellStyle name="Millares 6 2 5 6 2 6" xfId="8221" xr:uid="{AABD544E-8B52-41AE-9FC1-C87A0BF5C506}"/>
    <cellStyle name="Millares 6 2 5 6 3" xfId="5184" xr:uid="{2570FBF2-C09F-41B0-82D8-04BB557E6B7F}"/>
    <cellStyle name="Millares 6 2 5 6 3 2" xfId="10036" xr:uid="{7481CF50-1EEE-4B4E-B15C-ED29C3900B4C}"/>
    <cellStyle name="Millares 6 2 5 6 4" xfId="6397" xr:uid="{5C1FA3D3-604E-46DD-8D12-8D474C9A4C36}"/>
    <cellStyle name="Millares 6 2 5 6 4 2" xfId="11247" xr:uid="{160F6551-A30F-4978-A2F4-9104835A2A87}"/>
    <cellStyle name="Millares 6 2 5 6 5" xfId="3974" xr:uid="{7822B942-A106-4B6E-A2A4-59382EBAEC2A}"/>
    <cellStyle name="Millares 6 2 5 6 5 2" xfId="8828" xr:uid="{B25D0C7F-EBFC-4132-B616-C29DEFD25730}"/>
    <cellStyle name="Millares 6 2 5 6 6" xfId="2761" xr:uid="{FE310D8D-3EFE-4EA8-B1D3-C9F2D97709B8}"/>
    <cellStyle name="Millares 6 2 5 6 7" xfId="7617" xr:uid="{51F8CAC1-9E81-4EFC-8F36-765E3C8A4E76}"/>
    <cellStyle name="Millares 6 2 5 7" xfId="2120" xr:uid="{D4FA5BA0-91DF-4951-B785-E96F9AC77E25}"/>
    <cellStyle name="Millares 6 2 5 7 2" xfId="5765" xr:uid="{4FA0C089-CBC1-4AF5-9C04-454DBC705951}"/>
    <cellStyle name="Millares 6 2 5 7 2 2" xfId="10617" xr:uid="{D1B877FC-213A-4C02-95FF-EA8871229CEA}"/>
    <cellStyle name="Millares 6 2 5 7 3" xfId="6981" xr:uid="{05E39C9E-6F1D-4526-8987-8603E7183495}"/>
    <cellStyle name="Millares 6 2 5 7 3 2" xfId="11829" xr:uid="{C712465E-B9D8-4295-9089-6DF02537F366}"/>
    <cellStyle name="Millares 6 2 5 7 4" xfId="4555" xr:uid="{0957DBD6-F5CC-486C-99CB-7BAD36FCE54B}"/>
    <cellStyle name="Millares 6 2 5 7 4 2" xfId="9409" xr:uid="{6159A64D-08C8-4D62-8ACA-958E7ACB7E0A}"/>
    <cellStyle name="Millares 6 2 5 7 5" xfId="3342" xr:uid="{6F30AA1B-66A4-4571-954F-CB2C7E451E33}"/>
    <cellStyle name="Millares 6 2 5 7 6" xfId="8198" xr:uid="{E77CBA44-FB3C-4EB2-9753-AC2A781F0824}"/>
    <cellStyle name="Millares 6 2 5 8" xfId="5161" xr:uid="{6DD0F4AC-FA1D-4E05-8183-701C421F26D0}"/>
    <cellStyle name="Millares 6 2 5 8 2" xfId="10013" xr:uid="{732342D9-AD6D-46C3-B7BC-E0AC214F59A9}"/>
    <cellStyle name="Millares 6 2 5 9" xfId="6374" xr:uid="{5211D996-1700-4B31-AD4E-D461AE675E1D}"/>
    <cellStyle name="Millares 6 2 5 9 2" xfId="11224" xr:uid="{E4B03AE8-06A6-4B50-BDD4-65BBBCC8E300}"/>
    <cellStyle name="Millares 6 2 6" xfId="972" xr:uid="{5FB28469-85E0-4C9B-8FCF-266DC79F719D}"/>
    <cellStyle name="Millares 6 2 6 10" xfId="3975" xr:uid="{D1B048D9-DFF3-4C92-A702-F65FD86AC28C}"/>
    <cellStyle name="Millares 6 2 6 10 2" xfId="8829" xr:uid="{51C0E441-5A31-482B-8736-9E1C89AF5D1F}"/>
    <cellStyle name="Millares 6 2 6 11" xfId="2762" xr:uid="{71650F2A-D7E5-42CF-B894-8C9A5C14669D}"/>
    <cellStyle name="Millares 6 2 6 12" xfId="7618" xr:uid="{7E2273F4-850F-4F06-ABA9-9B513561572D}"/>
    <cellStyle name="Millares 6 2 6 2" xfId="973" xr:uid="{A7C80F72-F6F9-4D93-821A-09EB6A159C22}"/>
    <cellStyle name="Millares 6 2 6 2 10" xfId="2763" xr:uid="{EB05049B-366C-40AC-A20D-D86B01CC0223}"/>
    <cellStyle name="Millares 6 2 6 2 11" xfId="7619" xr:uid="{C13C6068-B985-4BEF-BE27-30EF5F6E9B88}"/>
    <cellStyle name="Millares 6 2 6 2 2" xfId="974" xr:uid="{5FCE4B11-9410-4F84-8E55-4704661E5E8C}"/>
    <cellStyle name="Millares 6 2 6 2 2 2" xfId="975" xr:uid="{97E878E4-AE1D-4A61-9F71-82E9924853DF}"/>
    <cellStyle name="Millares 6 2 6 2 2 2 2" xfId="976" xr:uid="{24500F65-7C7F-49FF-BC1C-C2460CFBD191}"/>
    <cellStyle name="Millares 6 2 6 2 2 2 2 2" xfId="2148" xr:uid="{88E45847-D06F-4E00-BEAB-E81C2FB408AB}"/>
    <cellStyle name="Millares 6 2 6 2 2 2 2 2 2" xfId="5793" xr:uid="{78E19EA5-EC66-4256-8774-05A0BB49BC35}"/>
    <cellStyle name="Millares 6 2 6 2 2 2 2 2 2 2" xfId="10645" xr:uid="{A8649ED2-6B71-4309-A8E9-A168A3840413}"/>
    <cellStyle name="Millares 6 2 6 2 2 2 2 2 3" xfId="7009" xr:uid="{483D0F92-11BF-431E-B789-BF174B804ADE}"/>
    <cellStyle name="Millares 6 2 6 2 2 2 2 2 3 2" xfId="11857" xr:uid="{024F34BD-AC0C-4423-B272-08F929A68C88}"/>
    <cellStyle name="Millares 6 2 6 2 2 2 2 2 4" xfId="4583" xr:uid="{FFB8334A-32D0-43D4-BA78-D96357BD9361}"/>
    <cellStyle name="Millares 6 2 6 2 2 2 2 2 4 2" xfId="9437" xr:uid="{2CB87E3E-4CA7-44B8-93A8-EFA84246E04D}"/>
    <cellStyle name="Millares 6 2 6 2 2 2 2 2 5" xfId="3370" xr:uid="{65451369-10D8-4369-BCDD-35A454A33B67}"/>
    <cellStyle name="Millares 6 2 6 2 2 2 2 2 6" xfId="8226" xr:uid="{496EF37B-320D-4516-8F37-D0A4538EECD4}"/>
    <cellStyle name="Millares 6 2 6 2 2 2 2 3" xfId="5189" xr:uid="{D1B9476C-8F37-4A71-81E7-62399BD48DCE}"/>
    <cellStyle name="Millares 6 2 6 2 2 2 2 3 2" xfId="10041" xr:uid="{26844573-EB84-4547-9ED3-E67CE3380BEE}"/>
    <cellStyle name="Millares 6 2 6 2 2 2 2 4" xfId="6402" xr:uid="{E8AA2C2B-A907-4A3D-BBDA-EFAEB4F2CE03}"/>
    <cellStyle name="Millares 6 2 6 2 2 2 2 4 2" xfId="11252" xr:uid="{BC8D696D-0686-4F90-AFF3-8FB85075632A}"/>
    <cellStyle name="Millares 6 2 6 2 2 2 2 5" xfId="3979" xr:uid="{D8D08CB7-5FBB-4A50-A7CE-3410C1C877F7}"/>
    <cellStyle name="Millares 6 2 6 2 2 2 2 5 2" xfId="8833" xr:uid="{2F94052B-72D3-47C7-A3FC-4B4380B66D53}"/>
    <cellStyle name="Millares 6 2 6 2 2 2 2 6" xfId="2766" xr:uid="{4200AB47-1CF7-4359-8511-679D7D6DC18C}"/>
    <cellStyle name="Millares 6 2 6 2 2 2 2 7" xfId="7622" xr:uid="{210A40A5-3366-4C51-AB76-BAA41C81C28D}"/>
    <cellStyle name="Millares 6 2 6 2 2 2 3" xfId="2147" xr:uid="{58C110BF-4191-4AF3-82FD-51741930D43F}"/>
    <cellStyle name="Millares 6 2 6 2 2 2 3 2" xfId="5792" xr:uid="{F307A0CD-27F9-429A-8CDE-4824D0C35C1F}"/>
    <cellStyle name="Millares 6 2 6 2 2 2 3 2 2" xfId="10644" xr:uid="{AD98E270-A101-41EB-8878-925FB924B490}"/>
    <cellStyle name="Millares 6 2 6 2 2 2 3 3" xfId="7008" xr:uid="{1FF3382C-9496-413F-B93B-7CB9DF560CB9}"/>
    <cellStyle name="Millares 6 2 6 2 2 2 3 3 2" xfId="11856" xr:uid="{48EE40A2-E1B1-4D27-A773-0E801D9E02D2}"/>
    <cellStyle name="Millares 6 2 6 2 2 2 3 4" xfId="4582" xr:uid="{8E0E36A5-0A57-4FBB-8141-E2DC92A00EB6}"/>
    <cellStyle name="Millares 6 2 6 2 2 2 3 4 2" xfId="9436" xr:uid="{B8A40B9E-537E-4D17-8F5B-E490F355953F}"/>
    <cellStyle name="Millares 6 2 6 2 2 2 3 5" xfId="3369" xr:uid="{2B75406C-1778-4B27-9215-499D128216F6}"/>
    <cellStyle name="Millares 6 2 6 2 2 2 3 6" xfId="8225" xr:uid="{D82C94A3-72D8-46FB-A6B0-156CAE1BA294}"/>
    <cellStyle name="Millares 6 2 6 2 2 2 4" xfId="5188" xr:uid="{C9B61BDB-4919-4CE0-B8C9-2E0864B940C2}"/>
    <cellStyle name="Millares 6 2 6 2 2 2 4 2" xfId="10040" xr:uid="{01E36548-9F12-4664-B338-BCEB8F76C724}"/>
    <cellStyle name="Millares 6 2 6 2 2 2 5" xfId="6401" xr:uid="{B3434E91-77EA-4BD5-9AB7-B498211C170A}"/>
    <cellStyle name="Millares 6 2 6 2 2 2 5 2" xfId="11251" xr:uid="{CBA7C2B8-FC64-44D5-8670-D4F469720121}"/>
    <cellStyle name="Millares 6 2 6 2 2 2 6" xfId="3978" xr:uid="{B3E50461-797D-482C-BEF8-3F2EBECBCC2E}"/>
    <cellStyle name="Millares 6 2 6 2 2 2 6 2" xfId="8832" xr:uid="{2D736FC7-FF9F-473C-8521-5003B1BEEB02}"/>
    <cellStyle name="Millares 6 2 6 2 2 2 7" xfId="2765" xr:uid="{450FE357-B35C-4246-B5FC-96706B231F8F}"/>
    <cellStyle name="Millares 6 2 6 2 2 2 8" xfId="7621" xr:uid="{35E8A341-23A9-4837-BE15-D15C6F6B1DBB}"/>
    <cellStyle name="Millares 6 2 6 2 2 3" xfId="977" xr:uid="{BACCBEDF-FD3A-4A63-AA62-74A44D1D454B}"/>
    <cellStyle name="Millares 6 2 6 2 2 3 2" xfId="2149" xr:uid="{7388C220-3E2C-4944-B537-D2F5776AF1B2}"/>
    <cellStyle name="Millares 6 2 6 2 2 3 2 2" xfId="5794" xr:uid="{A31BEA99-0EC3-479B-A21B-927417FA12D8}"/>
    <cellStyle name="Millares 6 2 6 2 2 3 2 2 2" xfId="10646" xr:uid="{01F41CB5-B74D-4867-9839-0ACC0A31FC87}"/>
    <cellStyle name="Millares 6 2 6 2 2 3 2 3" xfId="7010" xr:uid="{64E43B87-BCB7-4AB5-91F1-EEA2054F71CA}"/>
    <cellStyle name="Millares 6 2 6 2 2 3 2 3 2" xfId="11858" xr:uid="{33044A0D-00D8-4DC3-AA7A-BF72983FEC38}"/>
    <cellStyle name="Millares 6 2 6 2 2 3 2 4" xfId="4584" xr:uid="{BB608985-3E00-4A99-B4E5-73EFCD79EC6F}"/>
    <cellStyle name="Millares 6 2 6 2 2 3 2 4 2" xfId="9438" xr:uid="{B616E8C5-551A-403D-9BF7-4CBE9EB8BFC9}"/>
    <cellStyle name="Millares 6 2 6 2 2 3 2 5" xfId="3371" xr:uid="{CDD79C10-18AF-4B00-AE98-A204B9B0E1A6}"/>
    <cellStyle name="Millares 6 2 6 2 2 3 2 6" xfId="8227" xr:uid="{7380D7B1-E63D-43D3-90AC-CF1B0DF3B38A}"/>
    <cellStyle name="Millares 6 2 6 2 2 3 3" xfId="5190" xr:uid="{18EFB343-C26C-4D20-AD5D-82A1F2A90ADD}"/>
    <cellStyle name="Millares 6 2 6 2 2 3 3 2" xfId="10042" xr:uid="{57D3BCFD-EE47-452C-A45B-0A360F9F64D1}"/>
    <cellStyle name="Millares 6 2 6 2 2 3 4" xfId="6403" xr:uid="{1C2A6DAB-DDC7-4230-83C4-01461C902EBD}"/>
    <cellStyle name="Millares 6 2 6 2 2 3 4 2" xfId="11253" xr:uid="{3345C5CE-A415-4C3E-B63F-4D3D1E386207}"/>
    <cellStyle name="Millares 6 2 6 2 2 3 5" xfId="3980" xr:uid="{096111A6-DFB6-4B02-B7E9-C030CE1AEB81}"/>
    <cellStyle name="Millares 6 2 6 2 2 3 5 2" xfId="8834" xr:uid="{07EEB14A-328C-4EAC-986B-8B946B1A3DEF}"/>
    <cellStyle name="Millares 6 2 6 2 2 3 6" xfId="2767" xr:uid="{CCD5DE67-C151-4C5E-957B-9A9ABCA94E92}"/>
    <cellStyle name="Millares 6 2 6 2 2 3 7" xfId="7623" xr:uid="{1360E247-4C1C-47FC-B66A-B2FC2B1F57DA}"/>
    <cellStyle name="Millares 6 2 6 2 2 4" xfId="2146" xr:uid="{9A204C7E-04BB-4D4C-8F7B-51B2DB213A14}"/>
    <cellStyle name="Millares 6 2 6 2 2 4 2" xfId="5791" xr:uid="{743EE9A8-D611-4482-A222-B6135C10B165}"/>
    <cellStyle name="Millares 6 2 6 2 2 4 2 2" xfId="10643" xr:uid="{B8002C32-C2C3-41C5-8AE9-579A1DEC137D}"/>
    <cellStyle name="Millares 6 2 6 2 2 4 3" xfId="7007" xr:uid="{6125C916-3B71-48A1-A827-2CB6849FCEF4}"/>
    <cellStyle name="Millares 6 2 6 2 2 4 3 2" xfId="11855" xr:uid="{8F7916D0-848A-4164-8F86-8E4B3FB094C2}"/>
    <cellStyle name="Millares 6 2 6 2 2 4 4" xfId="4581" xr:uid="{9A4A2510-6ACE-4971-A014-3A39A158FC23}"/>
    <cellStyle name="Millares 6 2 6 2 2 4 4 2" xfId="9435" xr:uid="{873C3AA1-4FB6-4700-BC76-84327012410A}"/>
    <cellStyle name="Millares 6 2 6 2 2 4 5" xfId="3368" xr:uid="{A5432A27-D629-429D-8BAF-ACF16422B15E}"/>
    <cellStyle name="Millares 6 2 6 2 2 4 6" xfId="8224" xr:uid="{A562CE8F-1A26-49E8-9736-300B9AEBE7A0}"/>
    <cellStyle name="Millares 6 2 6 2 2 5" xfId="5187" xr:uid="{929C1934-33D9-4782-8F50-E544EBB10155}"/>
    <cellStyle name="Millares 6 2 6 2 2 5 2" xfId="10039" xr:uid="{360CEFBA-DC13-4613-B331-5F1A9B3834A2}"/>
    <cellStyle name="Millares 6 2 6 2 2 6" xfId="6400" xr:uid="{6B45F3F1-5635-4B1A-8A6D-88C8EEBD9F23}"/>
    <cellStyle name="Millares 6 2 6 2 2 6 2" xfId="11250" xr:uid="{616825FE-DF69-439B-BA4F-C273772F6D1E}"/>
    <cellStyle name="Millares 6 2 6 2 2 7" xfId="3977" xr:uid="{3128E521-B58F-4910-91BE-E0C9449C6AB6}"/>
    <cellStyle name="Millares 6 2 6 2 2 7 2" xfId="8831" xr:uid="{D51E0974-D7E7-446D-8B86-2B9EAD730909}"/>
    <cellStyle name="Millares 6 2 6 2 2 8" xfId="2764" xr:uid="{A40CC134-709C-45DC-A382-EBF8BD1851A3}"/>
    <cellStyle name="Millares 6 2 6 2 2 9" xfId="7620" xr:uid="{90373250-857C-4BB9-8448-DBC0DCDF8A3A}"/>
    <cellStyle name="Millares 6 2 6 2 3" xfId="978" xr:uid="{EF4E74C7-5266-4DEE-AECE-EFB32B2C7961}"/>
    <cellStyle name="Millares 6 2 6 2 3 2" xfId="979" xr:uid="{F017F8FA-513E-4407-9CA6-20E2A956359B}"/>
    <cellStyle name="Millares 6 2 6 2 3 2 2" xfId="980" xr:uid="{0CEC2CCB-4B70-49E3-BF18-BCACFA06F443}"/>
    <cellStyle name="Millares 6 2 6 2 3 2 2 2" xfId="2152" xr:uid="{0FE4B92D-9F77-4D4A-A421-79D8EB22C199}"/>
    <cellStyle name="Millares 6 2 6 2 3 2 2 2 2" xfId="5797" xr:uid="{2052FB11-81EC-4423-8544-7B8071AB8125}"/>
    <cellStyle name="Millares 6 2 6 2 3 2 2 2 2 2" xfId="10649" xr:uid="{84F48AFD-ED97-45AA-8F8E-4FE71B586B9D}"/>
    <cellStyle name="Millares 6 2 6 2 3 2 2 2 3" xfId="7013" xr:uid="{2D35A4EF-E944-4007-B3F5-C2CDFB76C8F2}"/>
    <cellStyle name="Millares 6 2 6 2 3 2 2 2 3 2" xfId="11861" xr:uid="{54183154-ED76-4302-BE71-89519ED5D11A}"/>
    <cellStyle name="Millares 6 2 6 2 3 2 2 2 4" xfId="4587" xr:uid="{DA59F256-058B-48E1-8A7D-C1B206CFFF6D}"/>
    <cellStyle name="Millares 6 2 6 2 3 2 2 2 4 2" xfId="9441" xr:uid="{77C731B3-7D0A-49CF-A0D4-D591A2DE4CCF}"/>
    <cellStyle name="Millares 6 2 6 2 3 2 2 2 5" xfId="3374" xr:uid="{47D1DE44-CF24-4F3B-8608-609FDB7214B0}"/>
    <cellStyle name="Millares 6 2 6 2 3 2 2 2 6" xfId="8230" xr:uid="{FACEBDD2-DEEE-4870-B5A3-B392A8FA111E}"/>
    <cellStyle name="Millares 6 2 6 2 3 2 2 3" xfId="5193" xr:uid="{4352BAC5-B6AF-4B41-8A33-77025163C7C4}"/>
    <cellStyle name="Millares 6 2 6 2 3 2 2 3 2" xfId="10045" xr:uid="{A6C9D797-3E43-4CDE-A25E-94FA4B0A5594}"/>
    <cellStyle name="Millares 6 2 6 2 3 2 2 4" xfId="6406" xr:uid="{9152BD6B-05A1-4A12-BDFF-0775A1EB6D65}"/>
    <cellStyle name="Millares 6 2 6 2 3 2 2 4 2" xfId="11256" xr:uid="{E014A20A-0E32-4F5B-B866-B8821795B1C4}"/>
    <cellStyle name="Millares 6 2 6 2 3 2 2 5" xfId="3983" xr:uid="{0A300CAE-81B1-4A1B-9D05-ECE1EAE99251}"/>
    <cellStyle name="Millares 6 2 6 2 3 2 2 5 2" xfId="8837" xr:uid="{167BE350-A9F2-407A-8ADC-133A9CAF61F4}"/>
    <cellStyle name="Millares 6 2 6 2 3 2 2 6" xfId="2770" xr:uid="{B999446B-BD26-4EB4-A936-2D8AEC04A470}"/>
    <cellStyle name="Millares 6 2 6 2 3 2 2 7" xfId="7626" xr:uid="{CB3D729E-4DC3-4C3A-BBDD-253CADC51610}"/>
    <cellStyle name="Millares 6 2 6 2 3 2 3" xfId="2151" xr:uid="{4D15D47C-6C84-466D-9F60-1F1B809248FD}"/>
    <cellStyle name="Millares 6 2 6 2 3 2 3 2" xfId="5796" xr:uid="{6892FBCF-24B2-4320-A0AB-72EE1200F92D}"/>
    <cellStyle name="Millares 6 2 6 2 3 2 3 2 2" xfId="10648" xr:uid="{B9FDD6C0-2F27-4697-97AC-CD5087DB0FCB}"/>
    <cellStyle name="Millares 6 2 6 2 3 2 3 3" xfId="7012" xr:uid="{5F4C8C79-CA0B-45CC-8977-EBF569AD911D}"/>
    <cellStyle name="Millares 6 2 6 2 3 2 3 3 2" xfId="11860" xr:uid="{B4645FC6-CB71-4BDB-86FA-445ABF031681}"/>
    <cellStyle name="Millares 6 2 6 2 3 2 3 4" xfId="4586" xr:uid="{409AF2D5-B2CE-48DE-AB31-8038AD2FE5B2}"/>
    <cellStyle name="Millares 6 2 6 2 3 2 3 4 2" xfId="9440" xr:uid="{EEF49506-9926-4583-8CBC-C10B1C7AE734}"/>
    <cellStyle name="Millares 6 2 6 2 3 2 3 5" xfId="3373" xr:uid="{D8C2A5CD-75A5-49F4-8336-51A570FD9FD2}"/>
    <cellStyle name="Millares 6 2 6 2 3 2 3 6" xfId="8229" xr:uid="{E8565820-79D6-4B17-9920-D45DCB308AF0}"/>
    <cellStyle name="Millares 6 2 6 2 3 2 4" xfId="5192" xr:uid="{0789CF4D-45AB-4ED4-862F-87F0EEC57F90}"/>
    <cellStyle name="Millares 6 2 6 2 3 2 4 2" xfId="10044" xr:uid="{E260F05A-A9DF-4B6D-873F-AB8E372D14F1}"/>
    <cellStyle name="Millares 6 2 6 2 3 2 5" xfId="6405" xr:uid="{C1604DD8-19BD-4CCD-A0E0-806B4B9E1707}"/>
    <cellStyle name="Millares 6 2 6 2 3 2 5 2" xfId="11255" xr:uid="{3C966133-5D6D-413E-97F2-1C4CC228DAC1}"/>
    <cellStyle name="Millares 6 2 6 2 3 2 6" xfId="3982" xr:uid="{1E78DF1B-0A0F-460C-9A23-D4E660A9EE86}"/>
    <cellStyle name="Millares 6 2 6 2 3 2 6 2" xfId="8836" xr:uid="{372A61F6-F8FB-4C49-8537-45EE0845C7C4}"/>
    <cellStyle name="Millares 6 2 6 2 3 2 7" xfId="2769" xr:uid="{5675E3DC-1705-4BB3-BE44-E37F7A2FF113}"/>
    <cellStyle name="Millares 6 2 6 2 3 2 8" xfId="7625" xr:uid="{CADFB970-7CFA-473D-947C-CC40ECF880BB}"/>
    <cellStyle name="Millares 6 2 6 2 3 3" xfId="981" xr:uid="{497DB9F0-38F5-4DE8-A92D-4E2CD3B2F190}"/>
    <cellStyle name="Millares 6 2 6 2 3 3 2" xfId="2153" xr:uid="{6E1421F8-D2CE-4F14-8441-DB382C167F9A}"/>
    <cellStyle name="Millares 6 2 6 2 3 3 2 2" xfId="5798" xr:uid="{B2322A7E-33E9-4083-B29D-925F81416E9D}"/>
    <cellStyle name="Millares 6 2 6 2 3 3 2 2 2" xfId="10650" xr:uid="{7F94CF33-C19C-4C12-8E2F-1562DAB397D7}"/>
    <cellStyle name="Millares 6 2 6 2 3 3 2 3" xfId="7014" xr:uid="{6AE455DB-3127-428C-B7E1-966DD2E1ED53}"/>
    <cellStyle name="Millares 6 2 6 2 3 3 2 3 2" xfId="11862" xr:uid="{F2403D86-B9BB-4E8C-8A1F-3C3823CB09BA}"/>
    <cellStyle name="Millares 6 2 6 2 3 3 2 4" xfId="4588" xr:uid="{E98E7E37-5F6D-49BC-BDA4-28FD32AC4231}"/>
    <cellStyle name="Millares 6 2 6 2 3 3 2 4 2" xfId="9442" xr:uid="{15A24910-4AC1-4C17-9969-9B2EA5B1A602}"/>
    <cellStyle name="Millares 6 2 6 2 3 3 2 5" xfId="3375" xr:uid="{5027A975-299D-4A43-BBFF-C369B9EC9F61}"/>
    <cellStyle name="Millares 6 2 6 2 3 3 2 6" xfId="8231" xr:uid="{156A1FA9-2F2E-4666-8DA4-C7D541DF1357}"/>
    <cellStyle name="Millares 6 2 6 2 3 3 3" xfId="5194" xr:uid="{5E8801E9-C9A0-4FB3-AA07-9B6469EA5554}"/>
    <cellStyle name="Millares 6 2 6 2 3 3 3 2" xfId="10046" xr:uid="{BD66ECD7-7165-4300-8B5F-BF9CA70567A6}"/>
    <cellStyle name="Millares 6 2 6 2 3 3 4" xfId="6407" xr:uid="{DC11F1B7-0A97-4FE2-A02B-9D4A2F5FC735}"/>
    <cellStyle name="Millares 6 2 6 2 3 3 4 2" xfId="11257" xr:uid="{0A496D46-018E-4085-A1AC-F513BAC11EE0}"/>
    <cellStyle name="Millares 6 2 6 2 3 3 5" xfId="3984" xr:uid="{1AD6349F-75B6-4D98-9911-C623C1BAD41A}"/>
    <cellStyle name="Millares 6 2 6 2 3 3 5 2" xfId="8838" xr:uid="{C920868D-2B6B-42A7-AD84-515596D27EAA}"/>
    <cellStyle name="Millares 6 2 6 2 3 3 6" xfId="2771" xr:uid="{E7636054-A7EA-4DFD-9BDF-ED7493E38941}"/>
    <cellStyle name="Millares 6 2 6 2 3 3 7" xfId="7627" xr:uid="{48B03D89-16A6-4A7A-9F29-485EEC0D1F1D}"/>
    <cellStyle name="Millares 6 2 6 2 3 4" xfId="2150" xr:uid="{6887A9BF-6208-45AF-B579-AE3E31AE419A}"/>
    <cellStyle name="Millares 6 2 6 2 3 4 2" xfId="5795" xr:uid="{F09DBF0A-EF16-452A-A88D-BD77B261F8B8}"/>
    <cellStyle name="Millares 6 2 6 2 3 4 2 2" xfId="10647" xr:uid="{4343CD7B-AB98-480C-9DA5-E7D00CD08006}"/>
    <cellStyle name="Millares 6 2 6 2 3 4 3" xfId="7011" xr:uid="{AE547B11-36F9-4808-976A-A208DFAC6F29}"/>
    <cellStyle name="Millares 6 2 6 2 3 4 3 2" xfId="11859" xr:uid="{50AA19DE-4B9D-464F-81AC-E53EED4C4437}"/>
    <cellStyle name="Millares 6 2 6 2 3 4 4" xfId="4585" xr:uid="{84AC5CAA-6989-42D5-9EE3-00701A9BC51D}"/>
    <cellStyle name="Millares 6 2 6 2 3 4 4 2" xfId="9439" xr:uid="{B00DFD3A-0BA6-466D-A660-D6E9D55B2026}"/>
    <cellStyle name="Millares 6 2 6 2 3 4 5" xfId="3372" xr:uid="{19C8814B-FEFB-4061-BEAA-5FD24A33AAED}"/>
    <cellStyle name="Millares 6 2 6 2 3 4 6" xfId="8228" xr:uid="{EB0D5764-F2F7-4C26-9EAF-BD9D91271611}"/>
    <cellStyle name="Millares 6 2 6 2 3 5" xfId="5191" xr:uid="{35E0BFB8-6404-4DC7-9010-9C9303A0C436}"/>
    <cellStyle name="Millares 6 2 6 2 3 5 2" xfId="10043" xr:uid="{D0B489C4-1540-45EF-9941-EC1DA4EA4657}"/>
    <cellStyle name="Millares 6 2 6 2 3 6" xfId="6404" xr:uid="{1E7AE62B-0311-4FC1-8710-46D0F2638AEB}"/>
    <cellStyle name="Millares 6 2 6 2 3 6 2" xfId="11254" xr:uid="{CA60D407-BF3A-447D-916C-35C1E36969B3}"/>
    <cellStyle name="Millares 6 2 6 2 3 7" xfId="3981" xr:uid="{C75A38A1-F154-4953-B6C9-2A58C77C70F8}"/>
    <cellStyle name="Millares 6 2 6 2 3 7 2" xfId="8835" xr:uid="{37BB74D6-D335-4C45-9262-ACCA8E9CBA1A}"/>
    <cellStyle name="Millares 6 2 6 2 3 8" xfId="2768" xr:uid="{9B388618-754F-4A33-96E1-04DC1588D385}"/>
    <cellStyle name="Millares 6 2 6 2 3 9" xfId="7624" xr:uid="{66C48591-115C-4350-AB81-09540A8919B9}"/>
    <cellStyle name="Millares 6 2 6 2 4" xfId="982" xr:uid="{F17D3BAC-BAA4-4C56-B754-E2D7FDF1943B}"/>
    <cellStyle name="Millares 6 2 6 2 4 2" xfId="983" xr:uid="{4D77CD71-0416-4F99-AA47-CE6C1E745001}"/>
    <cellStyle name="Millares 6 2 6 2 4 2 2" xfId="2155" xr:uid="{117638B1-894C-4A3C-BE76-EE40C327EFD9}"/>
    <cellStyle name="Millares 6 2 6 2 4 2 2 2" xfId="5800" xr:uid="{BBD05FE7-E936-4659-B4DF-80CB551EA5D6}"/>
    <cellStyle name="Millares 6 2 6 2 4 2 2 2 2" xfId="10652" xr:uid="{B93752CE-2652-4CFF-89EC-0497937360BB}"/>
    <cellStyle name="Millares 6 2 6 2 4 2 2 3" xfId="7016" xr:uid="{3CE7A4A0-6551-4CFB-9240-592555D65ECC}"/>
    <cellStyle name="Millares 6 2 6 2 4 2 2 3 2" xfId="11864" xr:uid="{F856DD61-A65C-4F0B-A4A1-F40D682B81D2}"/>
    <cellStyle name="Millares 6 2 6 2 4 2 2 4" xfId="4590" xr:uid="{1063C35A-708D-4305-BA45-C369BBAD8B72}"/>
    <cellStyle name="Millares 6 2 6 2 4 2 2 4 2" xfId="9444" xr:uid="{3F8F7F09-F126-4F80-BA87-E5E44FB12E29}"/>
    <cellStyle name="Millares 6 2 6 2 4 2 2 5" xfId="3377" xr:uid="{0F7CD342-C884-4D0A-8DC3-28900B320901}"/>
    <cellStyle name="Millares 6 2 6 2 4 2 2 6" xfId="8233" xr:uid="{8E59BEDA-F6AE-4DAC-84DA-EE381D3868CE}"/>
    <cellStyle name="Millares 6 2 6 2 4 2 3" xfId="5196" xr:uid="{70A09179-2ED8-41FC-ADA1-22641515F716}"/>
    <cellStyle name="Millares 6 2 6 2 4 2 3 2" xfId="10048" xr:uid="{96049D5A-7CD2-43EB-A7A7-6C0197506317}"/>
    <cellStyle name="Millares 6 2 6 2 4 2 4" xfId="6409" xr:uid="{EC5C6377-1538-4F7F-812A-BB5AD89032DA}"/>
    <cellStyle name="Millares 6 2 6 2 4 2 4 2" xfId="11259" xr:uid="{11F8BE5B-D133-4628-957E-232D1932DB81}"/>
    <cellStyle name="Millares 6 2 6 2 4 2 5" xfId="3986" xr:uid="{B882A952-E02C-43B0-81C5-336ABFEB32D6}"/>
    <cellStyle name="Millares 6 2 6 2 4 2 5 2" xfId="8840" xr:uid="{09AC5605-311F-4593-80AF-995B3313324E}"/>
    <cellStyle name="Millares 6 2 6 2 4 2 6" xfId="2773" xr:uid="{CDE813AE-A648-403B-9288-1108095C8C9F}"/>
    <cellStyle name="Millares 6 2 6 2 4 2 7" xfId="7629" xr:uid="{355B9838-3FBD-4DB2-BFB3-6BC150547A63}"/>
    <cellStyle name="Millares 6 2 6 2 4 3" xfId="2154" xr:uid="{33C4AFF1-AF1E-4BD2-8116-683E9BD68987}"/>
    <cellStyle name="Millares 6 2 6 2 4 3 2" xfId="5799" xr:uid="{F7AF87DC-488B-40DA-861F-F7C1B312C766}"/>
    <cellStyle name="Millares 6 2 6 2 4 3 2 2" xfId="10651" xr:uid="{B8012D18-EE86-4B98-9045-C942C5546762}"/>
    <cellStyle name="Millares 6 2 6 2 4 3 3" xfId="7015" xr:uid="{4C51D575-C2CE-49E6-81FF-880693D90DD3}"/>
    <cellStyle name="Millares 6 2 6 2 4 3 3 2" xfId="11863" xr:uid="{6EE3E118-4181-4FEF-B0C6-D365EF0E3C00}"/>
    <cellStyle name="Millares 6 2 6 2 4 3 4" xfId="4589" xr:uid="{820A2E74-0D6F-41F8-9E80-29C9B0181D8E}"/>
    <cellStyle name="Millares 6 2 6 2 4 3 4 2" xfId="9443" xr:uid="{5B306C13-F801-4836-99B1-A947BDC21AA1}"/>
    <cellStyle name="Millares 6 2 6 2 4 3 5" xfId="3376" xr:uid="{5B9870FA-DDD8-49BB-BC7A-33703CE504EF}"/>
    <cellStyle name="Millares 6 2 6 2 4 3 6" xfId="8232" xr:uid="{99D663D5-DBBA-444F-BDF3-374A8B07579C}"/>
    <cellStyle name="Millares 6 2 6 2 4 4" xfId="5195" xr:uid="{2286BB95-D2EE-4FD5-BABA-61107B879D4E}"/>
    <cellStyle name="Millares 6 2 6 2 4 4 2" xfId="10047" xr:uid="{48C52E45-6607-4818-8FC2-9378339B91CC}"/>
    <cellStyle name="Millares 6 2 6 2 4 5" xfId="6408" xr:uid="{5CEA27E7-A4E2-444B-9F73-1D10F0ACEF15}"/>
    <cellStyle name="Millares 6 2 6 2 4 5 2" xfId="11258" xr:uid="{961DC41E-E58C-4E44-9C61-4601770F92EC}"/>
    <cellStyle name="Millares 6 2 6 2 4 6" xfId="3985" xr:uid="{D6742CB6-ADA4-48EB-9816-8B61847021C1}"/>
    <cellStyle name="Millares 6 2 6 2 4 6 2" xfId="8839" xr:uid="{D44EA1BA-AA95-4588-BA4F-E469A088A66E}"/>
    <cellStyle name="Millares 6 2 6 2 4 7" xfId="2772" xr:uid="{8A45CB2F-A27F-401E-9CCC-DB44399DDF5C}"/>
    <cellStyle name="Millares 6 2 6 2 4 8" xfId="7628" xr:uid="{EE85C3AF-14AE-494F-9493-BCF13C39FFA9}"/>
    <cellStyle name="Millares 6 2 6 2 5" xfId="984" xr:uid="{7486C17A-4ED4-4545-9F02-91D4715205E9}"/>
    <cellStyle name="Millares 6 2 6 2 5 2" xfId="2156" xr:uid="{D9332133-58E3-4642-9CD8-33B0B3B89788}"/>
    <cellStyle name="Millares 6 2 6 2 5 2 2" xfId="5801" xr:uid="{17F67B8E-D4EC-47E1-A1DD-261F2244C5FD}"/>
    <cellStyle name="Millares 6 2 6 2 5 2 2 2" xfId="10653" xr:uid="{DDCF075D-8CE6-40FD-8A09-2075591645B6}"/>
    <cellStyle name="Millares 6 2 6 2 5 2 3" xfId="7017" xr:uid="{F7CEF6DE-A023-475A-92B9-D6614672921E}"/>
    <cellStyle name="Millares 6 2 6 2 5 2 3 2" xfId="11865" xr:uid="{ACA310D1-E67E-43C7-92A6-7608A7B1B790}"/>
    <cellStyle name="Millares 6 2 6 2 5 2 4" xfId="4591" xr:uid="{48738E6D-DEA1-4E10-976B-A070EBFB20B5}"/>
    <cellStyle name="Millares 6 2 6 2 5 2 4 2" xfId="9445" xr:uid="{754F6DAB-9B9F-489E-B66F-E61208AAF055}"/>
    <cellStyle name="Millares 6 2 6 2 5 2 5" xfId="3378" xr:uid="{814FAA76-72DE-4E92-97B7-D85338ABB4BF}"/>
    <cellStyle name="Millares 6 2 6 2 5 2 6" xfId="8234" xr:uid="{26D72B72-2CEE-4602-910D-9A00B2DE0DA2}"/>
    <cellStyle name="Millares 6 2 6 2 5 3" xfId="5197" xr:uid="{856109EA-68F1-4EA1-8ACB-632FE0076D9D}"/>
    <cellStyle name="Millares 6 2 6 2 5 3 2" xfId="10049" xr:uid="{EF62A1B9-8D5C-4302-AF07-84BBDC9D8389}"/>
    <cellStyle name="Millares 6 2 6 2 5 4" xfId="6410" xr:uid="{D0D10D09-AC10-42F6-84C6-8B4EF1938F7D}"/>
    <cellStyle name="Millares 6 2 6 2 5 4 2" xfId="11260" xr:uid="{20591FA1-0779-4B73-8E4F-950A5B59DE05}"/>
    <cellStyle name="Millares 6 2 6 2 5 5" xfId="3987" xr:uid="{F394C938-45DB-45AA-82DB-8A59B9B12515}"/>
    <cellStyle name="Millares 6 2 6 2 5 5 2" xfId="8841" xr:uid="{A25D7B7D-71B0-4364-819B-E2984C6D7F85}"/>
    <cellStyle name="Millares 6 2 6 2 5 6" xfId="2774" xr:uid="{5D5EE5F1-F5EA-4E3E-9DBE-8C239D79FE99}"/>
    <cellStyle name="Millares 6 2 6 2 5 7" xfId="7630" xr:uid="{BEDC6B89-6F25-42AE-972C-C276F9B83723}"/>
    <cellStyle name="Millares 6 2 6 2 6" xfId="2145" xr:uid="{905B9E69-6CDE-4737-9B88-1526DC91ADA3}"/>
    <cellStyle name="Millares 6 2 6 2 6 2" xfId="5790" xr:uid="{4C69B6C7-BE80-4C29-A20D-18EAAEC24223}"/>
    <cellStyle name="Millares 6 2 6 2 6 2 2" xfId="10642" xr:uid="{EFEDB35E-726A-4577-BE45-492349DC74E2}"/>
    <cellStyle name="Millares 6 2 6 2 6 3" xfId="7006" xr:uid="{90D7ADCE-EB3A-4FC5-AC44-AAECE811B357}"/>
    <cellStyle name="Millares 6 2 6 2 6 3 2" xfId="11854" xr:uid="{6D09520F-6E72-411A-8579-7D53D206591F}"/>
    <cellStyle name="Millares 6 2 6 2 6 4" xfId="4580" xr:uid="{7875207E-B79B-4DD3-B064-677C3CD137DF}"/>
    <cellStyle name="Millares 6 2 6 2 6 4 2" xfId="9434" xr:uid="{11DD7251-EBC8-4F6C-8FC2-1EA80B3AA014}"/>
    <cellStyle name="Millares 6 2 6 2 6 5" xfId="3367" xr:uid="{77EC4315-6D3B-4CA3-B60D-E5E624C778A7}"/>
    <cellStyle name="Millares 6 2 6 2 6 6" xfId="8223" xr:uid="{6A2AAA79-2E09-4001-AAA7-25DA016F7F99}"/>
    <cellStyle name="Millares 6 2 6 2 7" xfId="5186" xr:uid="{B2359AED-6FC1-4C3D-977B-5B096DF7DBC4}"/>
    <cellStyle name="Millares 6 2 6 2 7 2" xfId="10038" xr:uid="{7D5F05C3-1008-46ED-8734-B25E3AFCC3DD}"/>
    <cellStyle name="Millares 6 2 6 2 8" xfId="6399" xr:uid="{582E3A71-F013-42EF-85A1-F5DCE61089AD}"/>
    <cellStyle name="Millares 6 2 6 2 8 2" xfId="11249" xr:uid="{C534B096-B1DB-48AE-B99D-27477B22C974}"/>
    <cellStyle name="Millares 6 2 6 2 9" xfId="3976" xr:uid="{CA23AB22-BAF9-4C9A-AE56-D60C73900818}"/>
    <cellStyle name="Millares 6 2 6 2 9 2" xfId="8830" xr:uid="{336C4AFD-671C-491F-86FE-211899B0F696}"/>
    <cellStyle name="Millares 6 2 6 3" xfId="985" xr:uid="{F1828EAD-1209-41EF-9383-4114D49AABD8}"/>
    <cellStyle name="Millares 6 2 6 3 2" xfId="986" xr:uid="{3F1D5C3E-2B86-4050-9544-2AF46D42DB2E}"/>
    <cellStyle name="Millares 6 2 6 3 2 2" xfId="987" xr:uid="{64A57340-333B-4236-848C-4A86DC576A48}"/>
    <cellStyle name="Millares 6 2 6 3 2 2 2" xfId="2159" xr:uid="{5F04CE6E-4C12-4B6A-8B5B-41234E2D7A8D}"/>
    <cellStyle name="Millares 6 2 6 3 2 2 2 2" xfId="5804" xr:uid="{8444DE17-E291-451F-9525-E86FF7220578}"/>
    <cellStyle name="Millares 6 2 6 3 2 2 2 2 2" xfId="10656" xr:uid="{794B175B-8BAB-4B5B-8158-5C2F1E52F9A6}"/>
    <cellStyle name="Millares 6 2 6 3 2 2 2 3" xfId="7020" xr:uid="{CD0CCFE5-866B-4B8A-9003-59CA36F394D8}"/>
    <cellStyle name="Millares 6 2 6 3 2 2 2 3 2" xfId="11868" xr:uid="{08EE5DED-4E8A-4383-9BED-FAEF744B3EDB}"/>
    <cellStyle name="Millares 6 2 6 3 2 2 2 4" xfId="4594" xr:uid="{24BA3D6E-8069-498E-B542-2BE41B0BF3F8}"/>
    <cellStyle name="Millares 6 2 6 3 2 2 2 4 2" xfId="9448" xr:uid="{D0A5CDC2-F8ED-407D-B746-9903433CAAD6}"/>
    <cellStyle name="Millares 6 2 6 3 2 2 2 5" xfId="3381" xr:uid="{E5F4616D-A718-4317-8DBA-A1F67F36D414}"/>
    <cellStyle name="Millares 6 2 6 3 2 2 2 6" xfId="8237" xr:uid="{F754F5D2-DE36-43CF-AFA7-3695FD34DB01}"/>
    <cellStyle name="Millares 6 2 6 3 2 2 3" xfId="5200" xr:uid="{C43793AC-E533-454E-9ACF-6EF3E529F39D}"/>
    <cellStyle name="Millares 6 2 6 3 2 2 3 2" xfId="10052" xr:uid="{0BDA4C10-E5DB-4324-8C02-FA293FB11D04}"/>
    <cellStyle name="Millares 6 2 6 3 2 2 4" xfId="6413" xr:uid="{ADF8EB4E-1947-4FC1-9087-FC44467FA6D6}"/>
    <cellStyle name="Millares 6 2 6 3 2 2 4 2" xfId="11263" xr:uid="{43510011-5F24-4FAF-93D0-8E2F24488AD3}"/>
    <cellStyle name="Millares 6 2 6 3 2 2 5" xfId="3990" xr:uid="{54892E99-D88E-4C70-A2A7-A892DC78BD8F}"/>
    <cellStyle name="Millares 6 2 6 3 2 2 5 2" xfId="8844" xr:uid="{3046BD64-47A2-4A74-B004-D0B659922B0A}"/>
    <cellStyle name="Millares 6 2 6 3 2 2 6" xfId="2777" xr:uid="{014A67DC-BCEC-4E78-94AC-78F9C86F4B54}"/>
    <cellStyle name="Millares 6 2 6 3 2 2 7" xfId="7633" xr:uid="{8BDA6939-C54A-49E0-AACE-78FBB4C4483D}"/>
    <cellStyle name="Millares 6 2 6 3 2 3" xfId="2158" xr:uid="{7D402A24-CDBE-4051-A4DF-16A79A54EF3D}"/>
    <cellStyle name="Millares 6 2 6 3 2 3 2" xfId="5803" xr:uid="{046D6BF8-8C23-4A7D-8DA5-DF526249BF54}"/>
    <cellStyle name="Millares 6 2 6 3 2 3 2 2" xfId="10655" xr:uid="{46CCAED9-1367-41EC-903D-6315F8F6D26D}"/>
    <cellStyle name="Millares 6 2 6 3 2 3 3" xfId="7019" xr:uid="{DB64FB24-7AEF-4C07-99BA-0D0D65E484C5}"/>
    <cellStyle name="Millares 6 2 6 3 2 3 3 2" xfId="11867" xr:uid="{177FE109-009A-43C8-A291-1559C28FC8E5}"/>
    <cellStyle name="Millares 6 2 6 3 2 3 4" xfId="4593" xr:uid="{FC2E54CB-221A-4B08-A0C8-D0C95686F5AA}"/>
    <cellStyle name="Millares 6 2 6 3 2 3 4 2" xfId="9447" xr:uid="{E925F8CD-FB05-4D7B-A163-CC9498E96247}"/>
    <cellStyle name="Millares 6 2 6 3 2 3 5" xfId="3380" xr:uid="{A3E43AC7-A2E8-4C7E-AC8C-A70A8D8D69B0}"/>
    <cellStyle name="Millares 6 2 6 3 2 3 6" xfId="8236" xr:uid="{5A7CDDE3-B5CD-4B33-9283-73DAFCA72D57}"/>
    <cellStyle name="Millares 6 2 6 3 2 4" xfId="5199" xr:uid="{76679198-227A-4D34-BA0E-4B3582EA0A5B}"/>
    <cellStyle name="Millares 6 2 6 3 2 4 2" xfId="10051" xr:uid="{67D4582F-FA75-4996-BBB0-F93C1DB1AD6C}"/>
    <cellStyle name="Millares 6 2 6 3 2 5" xfId="6412" xr:uid="{8BD55CF6-1EE5-466F-A3C6-84049EA760BD}"/>
    <cellStyle name="Millares 6 2 6 3 2 5 2" xfId="11262" xr:uid="{62DD9269-C88B-4627-9561-629E8CB3C136}"/>
    <cellStyle name="Millares 6 2 6 3 2 6" xfId="3989" xr:uid="{9468EDE0-3C0F-4D46-B047-14E06AAF0CF9}"/>
    <cellStyle name="Millares 6 2 6 3 2 6 2" xfId="8843" xr:uid="{1773E0F7-A3CD-44BE-8D3D-068CA874C186}"/>
    <cellStyle name="Millares 6 2 6 3 2 7" xfId="2776" xr:uid="{5D0F9127-4E34-40ED-8A36-4E961AD84E75}"/>
    <cellStyle name="Millares 6 2 6 3 2 8" xfId="7632" xr:uid="{092B07C2-6FF2-45B9-A7C1-7D6C6D26A6B4}"/>
    <cellStyle name="Millares 6 2 6 3 3" xfId="988" xr:uid="{F54842C4-674C-4F7D-9177-B6B0B4A715F3}"/>
    <cellStyle name="Millares 6 2 6 3 3 2" xfId="2160" xr:uid="{4B6DAA84-6AFF-4234-BDD4-A8D92BF81A60}"/>
    <cellStyle name="Millares 6 2 6 3 3 2 2" xfId="5805" xr:uid="{723AFADF-874D-42B9-A1ED-033895EFA946}"/>
    <cellStyle name="Millares 6 2 6 3 3 2 2 2" xfId="10657" xr:uid="{C3C70709-261B-4A61-8B7F-655A8C6CBCA7}"/>
    <cellStyle name="Millares 6 2 6 3 3 2 3" xfId="7021" xr:uid="{CC9816E4-C759-4881-AE50-3136FB848B91}"/>
    <cellStyle name="Millares 6 2 6 3 3 2 3 2" xfId="11869" xr:uid="{9F32BF8B-DA53-4716-A84E-096B72AE5AA2}"/>
    <cellStyle name="Millares 6 2 6 3 3 2 4" xfId="4595" xr:uid="{95480C6B-267F-4C9B-8996-9CE50B0C2729}"/>
    <cellStyle name="Millares 6 2 6 3 3 2 4 2" xfId="9449" xr:uid="{D8BF9426-5607-489C-B2E8-2097DE792334}"/>
    <cellStyle name="Millares 6 2 6 3 3 2 5" xfId="3382" xr:uid="{6402AF7D-FD4A-4458-9960-90B414C2D380}"/>
    <cellStyle name="Millares 6 2 6 3 3 2 6" xfId="8238" xr:uid="{AFEBD8A3-1EA3-4DBB-AB07-F587E4F39003}"/>
    <cellStyle name="Millares 6 2 6 3 3 3" xfId="5201" xr:uid="{DADCCF86-80E6-4DEA-9322-905A93E770D1}"/>
    <cellStyle name="Millares 6 2 6 3 3 3 2" xfId="10053" xr:uid="{2794DE75-7BEE-4474-A44D-4788F0FF6D80}"/>
    <cellStyle name="Millares 6 2 6 3 3 4" xfId="6414" xr:uid="{F07B7CDE-FB4E-404C-888A-C287FB926604}"/>
    <cellStyle name="Millares 6 2 6 3 3 4 2" xfId="11264" xr:uid="{07F74E1F-641B-4617-8DDD-98C4379F5AC3}"/>
    <cellStyle name="Millares 6 2 6 3 3 5" xfId="3991" xr:uid="{7EA724C0-D7E6-4787-A0D9-D22A93EAA413}"/>
    <cellStyle name="Millares 6 2 6 3 3 5 2" xfId="8845" xr:uid="{373797B3-5A1E-4243-ABAD-29B38E1AA65B}"/>
    <cellStyle name="Millares 6 2 6 3 3 6" xfId="2778" xr:uid="{249F10DB-A4D4-4814-B714-E8E1FB4E6778}"/>
    <cellStyle name="Millares 6 2 6 3 3 7" xfId="7634" xr:uid="{1CD2C4B3-3E20-4919-A2D9-553AF39A1202}"/>
    <cellStyle name="Millares 6 2 6 3 4" xfId="2157" xr:uid="{565603FA-DCFD-49B5-953F-A265E4EC2F09}"/>
    <cellStyle name="Millares 6 2 6 3 4 2" xfId="5802" xr:uid="{1980FE01-3C34-4638-BD7B-BD199BB16F97}"/>
    <cellStyle name="Millares 6 2 6 3 4 2 2" xfId="10654" xr:uid="{DFD61D84-1316-4049-988D-FF501681F0B2}"/>
    <cellStyle name="Millares 6 2 6 3 4 3" xfId="7018" xr:uid="{4D705634-794B-45AD-817B-8464B154A44B}"/>
    <cellStyle name="Millares 6 2 6 3 4 3 2" xfId="11866" xr:uid="{18421F1E-44C9-4A52-97BD-5046C7FDB1DB}"/>
    <cellStyle name="Millares 6 2 6 3 4 4" xfId="4592" xr:uid="{F1FCD928-FA49-44F6-9588-8D6236D8C33E}"/>
    <cellStyle name="Millares 6 2 6 3 4 4 2" xfId="9446" xr:uid="{55D017CE-49B2-4954-B550-8EB30864FD54}"/>
    <cellStyle name="Millares 6 2 6 3 4 5" xfId="3379" xr:uid="{EE37CD6E-5BA9-4358-B900-7B2EF7C4A0C3}"/>
    <cellStyle name="Millares 6 2 6 3 4 6" xfId="8235" xr:uid="{88B90229-80A5-48E4-9835-CA115A37EDCF}"/>
    <cellStyle name="Millares 6 2 6 3 5" xfId="5198" xr:uid="{1DC14B67-9865-4503-811C-D144CF425560}"/>
    <cellStyle name="Millares 6 2 6 3 5 2" xfId="10050" xr:uid="{02635D4D-907A-41A2-AABD-FEE117210E6C}"/>
    <cellStyle name="Millares 6 2 6 3 6" xfId="6411" xr:uid="{FE9C2A9F-3017-4CE1-9BEC-CEEB40786604}"/>
    <cellStyle name="Millares 6 2 6 3 6 2" xfId="11261" xr:uid="{1DCCC192-6DE0-41E9-94CB-6CADA2A57F22}"/>
    <cellStyle name="Millares 6 2 6 3 7" xfId="3988" xr:uid="{3FC706FA-05B4-4A2A-92E3-0B6CE6011B37}"/>
    <cellStyle name="Millares 6 2 6 3 7 2" xfId="8842" xr:uid="{16B6BB89-47B6-4D2D-BC05-0B4306FA7543}"/>
    <cellStyle name="Millares 6 2 6 3 8" xfId="2775" xr:uid="{31548B61-11FB-465B-826E-238957F96253}"/>
    <cellStyle name="Millares 6 2 6 3 9" xfId="7631" xr:uid="{45FDE30A-C201-4BC1-833C-893695602221}"/>
    <cellStyle name="Millares 6 2 6 4" xfId="989" xr:uid="{FF5123C1-D043-45B7-9134-9B8BDCC7BDF2}"/>
    <cellStyle name="Millares 6 2 6 4 2" xfId="990" xr:uid="{F7AEB0DB-DAC4-4C5F-BF92-011C60EC68C4}"/>
    <cellStyle name="Millares 6 2 6 4 2 2" xfId="991" xr:uid="{CF4E05EB-29B9-4444-8D73-070BFB71F812}"/>
    <cellStyle name="Millares 6 2 6 4 2 2 2" xfId="2163" xr:uid="{FB435FBE-B30A-4A4E-AFE1-651A916A13F5}"/>
    <cellStyle name="Millares 6 2 6 4 2 2 2 2" xfId="5808" xr:uid="{0D893B42-13A1-4924-A479-A5F63848EF7B}"/>
    <cellStyle name="Millares 6 2 6 4 2 2 2 2 2" xfId="10660" xr:uid="{A30BFD7D-8148-4EDB-AC5F-315768B1A03A}"/>
    <cellStyle name="Millares 6 2 6 4 2 2 2 3" xfId="7024" xr:uid="{635B1BE3-E5D0-45DE-83BE-E1FBF14B43DB}"/>
    <cellStyle name="Millares 6 2 6 4 2 2 2 3 2" xfId="11872" xr:uid="{FB3B216F-7B11-4BAC-B034-7CF38D67C3C3}"/>
    <cellStyle name="Millares 6 2 6 4 2 2 2 4" xfId="4598" xr:uid="{365F1DAF-5D89-4481-9C4D-C1F05B62C9D6}"/>
    <cellStyle name="Millares 6 2 6 4 2 2 2 4 2" xfId="9452" xr:uid="{0D637532-A65C-44CF-81B7-FCE14261C0EB}"/>
    <cellStyle name="Millares 6 2 6 4 2 2 2 5" xfId="3385" xr:uid="{BF43B90D-9E56-4CC5-853F-75452F258275}"/>
    <cellStyle name="Millares 6 2 6 4 2 2 2 6" xfId="8241" xr:uid="{09F1470F-04BF-4BD4-B5B6-34264A729DA1}"/>
    <cellStyle name="Millares 6 2 6 4 2 2 3" xfId="5204" xr:uid="{C9E8B6B0-2062-4347-9231-424380AAD3B0}"/>
    <cellStyle name="Millares 6 2 6 4 2 2 3 2" xfId="10056" xr:uid="{E5E99D0C-8A61-4C03-8729-360F3692E2EC}"/>
    <cellStyle name="Millares 6 2 6 4 2 2 4" xfId="6417" xr:uid="{ED3D336C-5399-4739-851E-ABE270B21867}"/>
    <cellStyle name="Millares 6 2 6 4 2 2 4 2" xfId="11267" xr:uid="{FDA82A0C-838C-472E-98C2-0B2838132FB0}"/>
    <cellStyle name="Millares 6 2 6 4 2 2 5" xfId="3994" xr:uid="{3C055953-B0D6-4CE1-8975-6038D51BAC99}"/>
    <cellStyle name="Millares 6 2 6 4 2 2 5 2" xfId="8848" xr:uid="{21D20F27-2F6C-4177-9CDC-744E7FF8B17A}"/>
    <cellStyle name="Millares 6 2 6 4 2 2 6" xfId="2781" xr:uid="{BAF135C5-1EB8-4D41-874B-DE5F275932DA}"/>
    <cellStyle name="Millares 6 2 6 4 2 2 7" xfId="7637" xr:uid="{FD4B72ED-3E72-4825-B8FC-C375C0FCE352}"/>
    <cellStyle name="Millares 6 2 6 4 2 3" xfId="2162" xr:uid="{57786014-81A6-4D71-B000-0884BC618EBF}"/>
    <cellStyle name="Millares 6 2 6 4 2 3 2" xfId="5807" xr:uid="{9397014E-AECE-48B7-B643-AF2934844EE6}"/>
    <cellStyle name="Millares 6 2 6 4 2 3 2 2" xfId="10659" xr:uid="{02B83375-76B4-4520-8478-80A8A0DF0BF6}"/>
    <cellStyle name="Millares 6 2 6 4 2 3 3" xfId="7023" xr:uid="{260B9940-2752-4AF4-BAE7-F8EA83BF3476}"/>
    <cellStyle name="Millares 6 2 6 4 2 3 3 2" xfId="11871" xr:uid="{6B247A2E-5F19-47EC-923C-BB16B12FA440}"/>
    <cellStyle name="Millares 6 2 6 4 2 3 4" xfId="4597" xr:uid="{441D53DC-4779-4A63-AFFD-E7203A3CC8CC}"/>
    <cellStyle name="Millares 6 2 6 4 2 3 4 2" xfId="9451" xr:uid="{8F5A9821-72CF-4BF1-8ADF-E5799E4CB07C}"/>
    <cellStyle name="Millares 6 2 6 4 2 3 5" xfId="3384" xr:uid="{F4F4E112-05AB-4E78-9CDA-402A01DD6024}"/>
    <cellStyle name="Millares 6 2 6 4 2 3 6" xfId="8240" xr:uid="{2A82A18C-20BE-46FF-B173-33B423D374B3}"/>
    <cellStyle name="Millares 6 2 6 4 2 4" xfId="5203" xr:uid="{922A8DBD-1684-45EA-9D8C-F52E8D56C01C}"/>
    <cellStyle name="Millares 6 2 6 4 2 4 2" xfId="10055" xr:uid="{2E06E127-BCB4-422B-8073-463C7F85CD3E}"/>
    <cellStyle name="Millares 6 2 6 4 2 5" xfId="6416" xr:uid="{A39DBBD1-FAB9-4BDB-B837-36B5114D284B}"/>
    <cellStyle name="Millares 6 2 6 4 2 5 2" xfId="11266" xr:uid="{3A1AB03B-D4CC-4041-8C3E-9AFED380797F}"/>
    <cellStyle name="Millares 6 2 6 4 2 6" xfId="3993" xr:uid="{746D1F96-10DD-4926-AE74-F985D8A097DB}"/>
    <cellStyle name="Millares 6 2 6 4 2 6 2" xfId="8847" xr:uid="{67B1D6B4-19F4-4439-B616-44E95D43076A}"/>
    <cellStyle name="Millares 6 2 6 4 2 7" xfId="2780" xr:uid="{5CBD4223-9CD8-4EEF-B629-13CA0EADF595}"/>
    <cellStyle name="Millares 6 2 6 4 2 8" xfId="7636" xr:uid="{706BF569-A7D4-4878-B927-734D1747E9B2}"/>
    <cellStyle name="Millares 6 2 6 4 3" xfId="992" xr:uid="{3BFA5FA2-2635-42D3-9206-85061A08A415}"/>
    <cellStyle name="Millares 6 2 6 4 3 2" xfId="2164" xr:uid="{EF410C94-8C1C-46D9-B6A0-5DF83AAACE6F}"/>
    <cellStyle name="Millares 6 2 6 4 3 2 2" xfId="5809" xr:uid="{3C3B41DE-8832-4E0E-A4ED-03E08794AFBA}"/>
    <cellStyle name="Millares 6 2 6 4 3 2 2 2" xfId="10661" xr:uid="{EC82771E-1093-448F-92CD-F9A1E49B9DB0}"/>
    <cellStyle name="Millares 6 2 6 4 3 2 3" xfId="7025" xr:uid="{C3DB413C-88B3-48C8-96B4-0AD8A1270AE5}"/>
    <cellStyle name="Millares 6 2 6 4 3 2 3 2" xfId="11873" xr:uid="{0D7ADCE8-9648-498F-9639-C32101F0D0F6}"/>
    <cellStyle name="Millares 6 2 6 4 3 2 4" xfId="4599" xr:uid="{A2F3D2AB-CF7F-42C6-A3F8-F498CA9D30B6}"/>
    <cellStyle name="Millares 6 2 6 4 3 2 4 2" xfId="9453" xr:uid="{E8221CD2-B309-4EA8-AFC8-F1B3B9CE9D2F}"/>
    <cellStyle name="Millares 6 2 6 4 3 2 5" xfId="3386" xr:uid="{399179E9-E3EE-4B27-8DF6-33F50225DF4C}"/>
    <cellStyle name="Millares 6 2 6 4 3 2 6" xfId="8242" xr:uid="{E54D963A-A4A6-44D6-B85D-6B67740961D4}"/>
    <cellStyle name="Millares 6 2 6 4 3 3" xfId="5205" xr:uid="{B48A16A0-3BF3-4042-994B-092658034B04}"/>
    <cellStyle name="Millares 6 2 6 4 3 3 2" xfId="10057" xr:uid="{D2184C90-8438-49D3-A540-1D4B2E1E66F6}"/>
    <cellStyle name="Millares 6 2 6 4 3 4" xfId="6418" xr:uid="{A8CCDEF4-2FF6-440B-BD36-FC3EE649676D}"/>
    <cellStyle name="Millares 6 2 6 4 3 4 2" xfId="11268" xr:uid="{91F0B7A2-6191-4E45-9766-1F1A6B47DE13}"/>
    <cellStyle name="Millares 6 2 6 4 3 5" xfId="3995" xr:uid="{E7CE3F39-89FD-4331-AB6D-434F7BD1880C}"/>
    <cellStyle name="Millares 6 2 6 4 3 5 2" xfId="8849" xr:uid="{466619B9-EE70-42B0-A18C-20249203BAC3}"/>
    <cellStyle name="Millares 6 2 6 4 3 6" xfId="2782" xr:uid="{111E7C01-062C-4096-9D05-7CDD5067FC6E}"/>
    <cellStyle name="Millares 6 2 6 4 3 7" xfId="7638" xr:uid="{B351D894-1EF4-4223-87D1-894BE3DB9A59}"/>
    <cellStyle name="Millares 6 2 6 4 4" xfId="2161" xr:uid="{E55D6F8E-19DF-47A9-BE8E-B7084E696BFE}"/>
    <cellStyle name="Millares 6 2 6 4 4 2" xfId="5806" xr:uid="{DD6E918A-3BB1-47AE-B71B-131057040179}"/>
    <cellStyle name="Millares 6 2 6 4 4 2 2" xfId="10658" xr:uid="{08FD7F1C-7C7A-4A5B-AD8E-C871D7E92FE9}"/>
    <cellStyle name="Millares 6 2 6 4 4 3" xfId="7022" xr:uid="{DF36AAB9-FB25-45DC-B1DC-4E4A4333EDD0}"/>
    <cellStyle name="Millares 6 2 6 4 4 3 2" xfId="11870" xr:uid="{AC40B4C5-FB02-49EB-AE3F-E67ACF334563}"/>
    <cellStyle name="Millares 6 2 6 4 4 4" xfId="4596" xr:uid="{ACE01E09-5699-412F-A09C-1AEB3EC36906}"/>
    <cellStyle name="Millares 6 2 6 4 4 4 2" xfId="9450" xr:uid="{2D96F800-EE45-4408-BBE3-3E27B201CC3E}"/>
    <cellStyle name="Millares 6 2 6 4 4 5" xfId="3383" xr:uid="{592F9675-85BD-40BB-9345-A229AE33521E}"/>
    <cellStyle name="Millares 6 2 6 4 4 6" xfId="8239" xr:uid="{C834EF26-CAF6-4B6F-B65B-C295EDF5DCC0}"/>
    <cellStyle name="Millares 6 2 6 4 5" xfId="5202" xr:uid="{B3372616-F50C-4F98-81F1-67CA2F39005E}"/>
    <cellStyle name="Millares 6 2 6 4 5 2" xfId="10054" xr:uid="{1D78F2A0-A256-4B3A-A90D-F1A1551D63A4}"/>
    <cellStyle name="Millares 6 2 6 4 6" xfId="6415" xr:uid="{63F58C01-E340-4849-9D49-5B4DC1F368B5}"/>
    <cellStyle name="Millares 6 2 6 4 6 2" xfId="11265" xr:uid="{217DBBBD-16C9-492B-A6A3-57EF93D4BEAC}"/>
    <cellStyle name="Millares 6 2 6 4 7" xfId="3992" xr:uid="{8F718B8F-CFF9-4FEC-BD5B-45BAEF718DFD}"/>
    <cellStyle name="Millares 6 2 6 4 7 2" xfId="8846" xr:uid="{6DC53370-4CB6-4FC0-AB78-904DF5DDF8B1}"/>
    <cellStyle name="Millares 6 2 6 4 8" xfId="2779" xr:uid="{ED0BAC80-F7FC-4F81-838D-8A171AF65E64}"/>
    <cellStyle name="Millares 6 2 6 4 9" xfId="7635" xr:uid="{877270F4-AE41-4804-AA25-2B92EBFB407E}"/>
    <cellStyle name="Millares 6 2 6 5" xfId="993" xr:uid="{1F1B3FC5-FB83-40BA-9B20-D5B28812F441}"/>
    <cellStyle name="Millares 6 2 6 5 2" xfId="994" xr:uid="{FE9AE3C2-2FF4-4D72-89C9-6153706D6FB2}"/>
    <cellStyle name="Millares 6 2 6 5 2 2" xfId="2166" xr:uid="{FCE7981D-BE3A-4299-9EC9-A209D585CFA4}"/>
    <cellStyle name="Millares 6 2 6 5 2 2 2" xfId="5811" xr:uid="{DE071698-7AF1-429A-A877-01A471CA493F}"/>
    <cellStyle name="Millares 6 2 6 5 2 2 2 2" xfId="10663" xr:uid="{695B5FAF-92F1-4334-8730-DD22E4B5D6E6}"/>
    <cellStyle name="Millares 6 2 6 5 2 2 3" xfId="7027" xr:uid="{E504B0D0-F09B-4B2E-933D-1BD0990648F4}"/>
    <cellStyle name="Millares 6 2 6 5 2 2 3 2" xfId="11875" xr:uid="{075401E3-F919-4150-AAA0-A1423DC780BD}"/>
    <cellStyle name="Millares 6 2 6 5 2 2 4" xfId="4601" xr:uid="{1F1104E5-1857-40A4-AAD6-1B7217F585D4}"/>
    <cellStyle name="Millares 6 2 6 5 2 2 4 2" xfId="9455" xr:uid="{A06D10A6-743A-493F-A71F-92BAEB72797F}"/>
    <cellStyle name="Millares 6 2 6 5 2 2 5" xfId="3388" xr:uid="{F4A2FB9E-15EB-4722-853A-D4E26C512AB6}"/>
    <cellStyle name="Millares 6 2 6 5 2 2 6" xfId="8244" xr:uid="{6BB85DE3-EA4C-4115-A277-3C815BBF7D07}"/>
    <cellStyle name="Millares 6 2 6 5 2 3" xfId="5207" xr:uid="{979DB781-D4E2-47DD-ACA1-00CA429AEAE2}"/>
    <cellStyle name="Millares 6 2 6 5 2 3 2" xfId="10059" xr:uid="{15C42F26-9E6B-458C-899F-843699EDC249}"/>
    <cellStyle name="Millares 6 2 6 5 2 4" xfId="6420" xr:uid="{9973FBBD-B5B7-4BB1-BBB6-65149127E18C}"/>
    <cellStyle name="Millares 6 2 6 5 2 4 2" xfId="11270" xr:uid="{8BFF914B-7B98-45FF-8E59-1B0A334DD006}"/>
    <cellStyle name="Millares 6 2 6 5 2 5" xfId="3997" xr:uid="{5FAAFBCA-698A-47A2-8BBC-2246D3F6E92B}"/>
    <cellStyle name="Millares 6 2 6 5 2 5 2" xfId="8851" xr:uid="{5FB7F8DD-9B8E-4CA1-98C5-3668AD6ED49E}"/>
    <cellStyle name="Millares 6 2 6 5 2 6" xfId="2784" xr:uid="{CA7C532F-FCAA-48D3-AE21-54BA870F242F}"/>
    <cellStyle name="Millares 6 2 6 5 2 7" xfId="7640" xr:uid="{BFC9AEEF-FCE1-4BEC-A86F-3C0EFB5AFD40}"/>
    <cellStyle name="Millares 6 2 6 5 3" xfId="2165" xr:uid="{BB92400F-60CA-4D19-86A8-ACB670916C86}"/>
    <cellStyle name="Millares 6 2 6 5 3 2" xfId="5810" xr:uid="{3B5C5697-2AA5-410E-B2A1-E6012E90B157}"/>
    <cellStyle name="Millares 6 2 6 5 3 2 2" xfId="10662" xr:uid="{264FBE8C-CC45-447C-84E8-6AECB2D18739}"/>
    <cellStyle name="Millares 6 2 6 5 3 3" xfId="7026" xr:uid="{466861DC-A8B2-4CDE-9657-2698726AC53E}"/>
    <cellStyle name="Millares 6 2 6 5 3 3 2" xfId="11874" xr:uid="{DF335855-4E34-4A5D-9D13-9EF92F73642F}"/>
    <cellStyle name="Millares 6 2 6 5 3 4" xfId="4600" xr:uid="{6A075174-3D1A-427C-95EC-9731A94AACBC}"/>
    <cellStyle name="Millares 6 2 6 5 3 4 2" xfId="9454" xr:uid="{3CD638B6-B4BB-4F53-A1F9-236EE7052DDA}"/>
    <cellStyle name="Millares 6 2 6 5 3 5" xfId="3387" xr:uid="{2CD05E49-F54B-4D54-93BF-BD351AC3A5E3}"/>
    <cellStyle name="Millares 6 2 6 5 3 6" xfId="8243" xr:uid="{DC6E92E4-C257-4EB8-B0A6-B6A6F25B081B}"/>
    <cellStyle name="Millares 6 2 6 5 4" xfId="5206" xr:uid="{D76380EA-6276-42C3-B872-7B937EA4C6C2}"/>
    <cellStyle name="Millares 6 2 6 5 4 2" xfId="10058" xr:uid="{02FDF3AA-D26F-4D34-9785-1FA4BF02761C}"/>
    <cellStyle name="Millares 6 2 6 5 5" xfId="6419" xr:uid="{5F035071-33C2-4884-BB55-14B770096CFB}"/>
    <cellStyle name="Millares 6 2 6 5 5 2" xfId="11269" xr:uid="{A1F74C8B-8DC4-42AD-B1E6-833BEAF407A6}"/>
    <cellStyle name="Millares 6 2 6 5 6" xfId="3996" xr:uid="{CACEAA15-6D68-49F7-97A0-CE5A15177A7A}"/>
    <cellStyle name="Millares 6 2 6 5 6 2" xfId="8850" xr:uid="{E9E01FC8-BE7F-448C-9986-5F633AC971F1}"/>
    <cellStyle name="Millares 6 2 6 5 7" xfId="2783" xr:uid="{5A53210E-AAEC-4176-8BE4-D6FCE8C75FD4}"/>
    <cellStyle name="Millares 6 2 6 5 8" xfId="7639" xr:uid="{A9614B02-B548-46B4-BE93-02690CAB7E4E}"/>
    <cellStyle name="Millares 6 2 6 6" xfId="995" xr:uid="{EABA21F4-B61D-4F3F-BE2D-EC50592560A5}"/>
    <cellStyle name="Millares 6 2 6 6 2" xfId="2167" xr:uid="{11D5B412-6574-4655-B94D-FAD871FEDC5C}"/>
    <cellStyle name="Millares 6 2 6 6 2 2" xfId="5812" xr:uid="{1D284303-6D9B-46C5-9D14-A6CE12A598CE}"/>
    <cellStyle name="Millares 6 2 6 6 2 2 2" xfId="10664" xr:uid="{093B62C6-1BD1-4858-94A8-00D83A02464B}"/>
    <cellStyle name="Millares 6 2 6 6 2 3" xfId="7028" xr:uid="{2C25A255-55A2-43CD-B3F0-F91F83DB99AA}"/>
    <cellStyle name="Millares 6 2 6 6 2 3 2" xfId="11876" xr:uid="{11F01B93-CBEB-4B80-A539-6EB0F977D5E3}"/>
    <cellStyle name="Millares 6 2 6 6 2 4" xfId="4602" xr:uid="{9D7CECB7-EF15-4D0C-92D0-5077A156B051}"/>
    <cellStyle name="Millares 6 2 6 6 2 4 2" xfId="9456" xr:uid="{303297B8-0CE9-4E8F-A166-F11BB84749BC}"/>
    <cellStyle name="Millares 6 2 6 6 2 5" xfId="3389" xr:uid="{4424206F-69CE-4E47-B7AD-16E7A4297FB7}"/>
    <cellStyle name="Millares 6 2 6 6 2 6" xfId="8245" xr:uid="{28D03893-67B9-4EAC-BD42-BE19355786B4}"/>
    <cellStyle name="Millares 6 2 6 6 3" xfId="5208" xr:uid="{B93D3DBE-430D-4469-972A-21A965CA4DF5}"/>
    <cellStyle name="Millares 6 2 6 6 3 2" xfId="10060" xr:uid="{33CC9196-484B-47F0-90CE-6D5216CB78A7}"/>
    <cellStyle name="Millares 6 2 6 6 4" xfId="6421" xr:uid="{FC5CD309-C8E4-4F4E-B3EE-AEF52D62E346}"/>
    <cellStyle name="Millares 6 2 6 6 4 2" xfId="11271" xr:uid="{84A85BBB-AD4D-426E-A3CF-6E40F2504722}"/>
    <cellStyle name="Millares 6 2 6 6 5" xfId="3998" xr:uid="{FED359BD-50DC-42CE-8030-2C7330618428}"/>
    <cellStyle name="Millares 6 2 6 6 5 2" xfId="8852" xr:uid="{EA13BBFE-AF88-48B2-AA74-A0CA689DA3E8}"/>
    <cellStyle name="Millares 6 2 6 6 6" xfId="2785" xr:uid="{7970ACC3-8DC7-407E-BD60-9F15DD5B3978}"/>
    <cellStyle name="Millares 6 2 6 6 7" xfId="7641" xr:uid="{87F1F5DD-BC0E-459B-9CC8-EFD6E7AFEF8D}"/>
    <cellStyle name="Millares 6 2 6 7" xfId="2144" xr:uid="{1BA6C8F0-672E-4A00-A04E-8A3D4D2DDCE2}"/>
    <cellStyle name="Millares 6 2 6 7 2" xfId="5789" xr:uid="{F739A2EA-7813-41CF-B2CA-AD435A3CA467}"/>
    <cellStyle name="Millares 6 2 6 7 2 2" xfId="10641" xr:uid="{CD260DB7-CDBE-45E7-A93F-6F253A3F322B}"/>
    <cellStyle name="Millares 6 2 6 7 3" xfId="7005" xr:uid="{5DDCB756-58F5-4FA7-BEC0-F39521C51CF6}"/>
    <cellStyle name="Millares 6 2 6 7 3 2" xfId="11853" xr:uid="{9BA1E49A-8687-469E-98D7-E62C001C1C1D}"/>
    <cellStyle name="Millares 6 2 6 7 4" xfId="4579" xr:uid="{50B1C49C-1EBA-4A9A-BB5E-BBF397572DC0}"/>
    <cellStyle name="Millares 6 2 6 7 4 2" xfId="9433" xr:uid="{E4916379-653F-4A01-99CA-CAD4942FFF4A}"/>
    <cellStyle name="Millares 6 2 6 7 5" xfId="3366" xr:uid="{BCFA0898-349E-4165-B076-007FF14A00A7}"/>
    <cellStyle name="Millares 6 2 6 7 6" xfId="8222" xr:uid="{10BF865C-C9E1-4AAA-8FAA-6E82585F39EC}"/>
    <cellStyle name="Millares 6 2 6 8" xfId="5185" xr:uid="{B4812097-4653-46D7-A20B-2DC7F042F524}"/>
    <cellStyle name="Millares 6 2 6 8 2" xfId="10037" xr:uid="{44C164E8-083E-4D04-AFE1-3ADDAE476170}"/>
    <cellStyle name="Millares 6 2 6 9" xfId="6398" xr:uid="{ED5B7D99-8B03-4675-8C0F-CB552FF92195}"/>
    <cellStyle name="Millares 6 2 6 9 2" xfId="11248" xr:uid="{6037B994-A3EC-4D6D-A1D3-D38C5E73ED57}"/>
    <cellStyle name="Millares 6 2 7" xfId="996" xr:uid="{177FAFAC-834B-44C2-8253-DF23471A6377}"/>
    <cellStyle name="Millares 6 2 7 10" xfId="2786" xr:uid="{BCC5FB44-4EA5-43A6-9C83-70C4D4D1F8CA}"/>
    <cellStyle name="Millares 6 2 7 11" xfId="7642" xr:uid="{58248357-7B3A-468B-BEE0-611C8F7961BE}"/>
    <cellStyle name="Millares 6 2 7 2" xfId="997" xr:uid="{580888B8-CF0E-48D8-9E70-8BC6A92F1854}"/>
    <cellStyle name="Millares 6 2 7 2 2" xfId="998" xr:uid="{C0817967-7328-4251-BBD4-20EA278EF7CA}"/>
    <cellStyle name="Millares 6 2 7 2 2 2" xfId="999" xr:uid="{B2DCEB11-5DAC-42FF-8DA5-CE3EEB03DB80}"/>
    <cellStyle name="Millares 6 2 7 2 2 2 2" xfId="2171" xr:uid="{974F44E4-3A34-43FC-824C-03AE329AC06C}"/>
    <cellStyle name="Millares 6 2 7 2 2 2 2 2" xfId="5816" xr:uid="{D5DBCD7F-25D1-424B-8B2B-729501A926C2}"/>
    <cellStyle name="Millares 6 2 7 2 2 2 2 2 2" xfId="10668" xr:uid="{6B5C8F18-0622-4653-827B-8559AF9C0377}"/>
    <cellStyle name="Millares 6 2 7 2 2 2 2 3" xfId="7032" xr:uid="{4705B0F8-0588-4DAB-AD8B-9B322FBC8F9B}"/>
    <cellStyle name="Millares 6 2 7 2 2 2 2 3 2" xfId="11880" xr:uid="{D2309A53-C6D1-4131-85C5-4EFA015AF32E}"/>
    <cellStyle name="Millares 6 2 7 2 2 2 2 4" xfId="4606" xr:uid="{7F63E70D-DFDD-4001-B7DC-4BF94CFE9DC0}"/>
    <cellStyle name="Millares 6 2 7 2 2 2 2 4 2" xfId="9460" xr:uid="{2ED5A75E-C66A-492F-9D13-390B6C1C73E2}"/>
    <cellStyle name="Millares 6 2 7 2 2 2 2 5" xfId="3393" xr:uid="{93B2F668-A288-413C-90F8-4D10E69F2466}"/>
    <cellStyle name="Millares 6 2 7 2 2 2 2 6" xfId="8249" xr:uid="{DDB06459-2113-4E2B-997B-937A0ED6285C}"/>
    <cellStyle name="Millares 6 2 7 2 2 2 3" xfId="5212" xr:uid="{84F1F996-28AC-414C-8B76-DB611888E189}"/>
    <cellStyle name="Millares 6 2 7 2 2 2 3 2" xfId="10064" xr:uid="{BFA45C7A-E7D2-4208-BF39-8E4949155751}"/>
    <cellStyle name="Millares 6 2 7 2 2 2 4" xfId="6425" xr:uid="{F9C8EE00-880C-4A67-9DC8-913DE4B51BAD}"/>
    <cellStyle name="Millares 6 2 7 2 2 2 4 2" xfId="11275" xr:uid="{8C795860-97FC-4B12-A0DF-14B4F1CAB1ED}"/>
    <cellStyle name="Millares 6 2 7 2 2 2 5" xfId="4002" xr:uid="{794CCDAC-D80E-4B97-9629-21C5547C561B}"/>
    <cellStyle name="Millares 6 2 7 2 2 2 5 2" xfId="8856" xr:uid="{F8F6934E-5B0A-4E6F-B990-5DA7A92D3242}"/>
    <cellStyle name="Millares 6 2 7 2 2 2 6" xfId="2789" xr:uid="{36A10651-528D-4EDB-9FF1-3176383B3B24}"/>
    <cellStyle name="Millares 6 2 7 2 2 2 7" xfId="7645" xr:uid="{C2753DB4-DE22-4CCE-97DF-9A717B50761F}"/>
    <cellStyle name="Millares 6 2 7 2 2 3" xfId="2170" xr:uid="{0378D9EE-E87D-4370-846C-517824DA5881}"/>
    <cellStyle name="Millares 6 2 7 2 2 3 2" xfId="5815" xr:uid="{02F628F4-6F8D-447C-B19E-E34151828134}"/>
    <cellStyle name="Millares 6 2 7 2 2 3 2 2" xfId="10667" xr:uid="{A08346E5-9882-42D2-B2E4-9ECE1785DCF8}"/>
    <cellStyle name="Millares 6 2 7 2 2 3 3" xfId="7031" xr:uid="{821FCD73-288E-4B03-8496-344E64EF340E}"/>
    <cellStyle name="Millares 6 2 7 2 2 3 3 2" xfId="11879" xr:uid="{ED045885-CE37-4594-8DF9-EDDE8D3D06B5}"/>
    <cellStyle name="Millares 6 2 7 2 2 3 4" xfId="4605" xr:uid="{13FC41A3-AF31-4B8D-B5CA-EE91FBAFAE66}"/>
    <cellStyle name="Millares 6 2 7 2 2 3 4 2" xfId="9459" xr:uid="{49D95CA3-3106-49BB-92EF-B2063AA1FC2A}"/>
    <cellStyle name="Millares 6 2 7 2 2 3 5" xfId="3392" xr:uid="{C075E2BD-345A-4062-89E1-7580E6E040E3}"/>
    <cellStyle name="Millares 6 2 7 2 2 3 6" xfId="8248" xr:uid="{7C650C75-DE89-41AE-83F6-F97C5A04608C}"/>
    <cellStyle name="Millares 6 2 7 2 2 4" xfId="5211" xr:uid="{D8D31582-D712-4F25-9E61-24D7D61C39A2}"/>
    <cellStyle name="Millares 6 2 7 2 2 4 2" xfId="10063" xr:uid="{45F05790-1BC2-47C3-961E-C3268958032E}"/>
    <cellStyle name="Millares 6 2 7 2 2 5" xfId="6424" xr:uid="{E6DBADE6-231D-46FE-B1E9-89190D12BA64}"/>
    <cellStyle name="Millares 6 2 7 2 2 5 2" xfId="11274" xr:uid="{E84C043D-31E1-4DC3-B152-F9BE53EEFBD0}"/>
    <cellStyle name="Millares 6 2 7 2 2 6" xfId="4001" xr:uid="{6E619B37-0104-447B-BB6D-3A7634BABBEF}"/>
    <cellStyle name="Millares 6 2 7 2 2 6 2" xfId="8855" xr:uid="{EB84000A-6221-45E9-A905-348BDF442D93}"/>
    <cellStyle name="Millares 6 2 7 2 2 7" xfId="2788" xr:uid="{B5830A7A-16AF-4867-B85D-A6516A7C346D}"/>
    <cellStyle name="Millares 6 2 7 2 2 8" xfId="7644" xr:uid="{9F0F421C-41E7-4BB4-A248-3A7DE6ABBC3A}"/>
    <cellStyle name="Millares 6 2 7 2 3" xfId="1000" xr:uid="{D4FB665A-EC55-4906-A503-5EA215FB7EE8}"/>
    <cellStyle name="Millares 6 2 7 2 3 2" xfId="2172" xr:uid="{F0D76090-77E0-4CE4-A361-44137FE93946}"/>
    <cellStyle name="Millares 6 2 7 2 3 2 2" xfId="5817" xr:uid="{66FBF26A-1A21-439D-A982-DA8E6D13A28D}"/>
    <cellStyle name="Millares 6 2 7 2 3 2 2 2" xfId="10669" xr:uid="{A1E22397-FCEB-458C-A796-EF68BAE5FEF4}"/>
    <cellStyle name="Millares 6 2 7 2 3 2 3" xfId="7033" xr:uid="{A3503C50-8AE3-45CF-AE7C-3A2FA88C1D64}"/>
    <cellStyle name="Millares 6 2 7 2 3 2 3 2" xfId="11881" xr:uid="{A3F19B5B-812C-420D-BE81-4499621E9000}"/>
    <cellStyle name="Millares 6 2 7 2 3 2 4" xfId="4607" xr:uid="{F3532424-F25D-4D47-AF37-81EF7A20A6EC}"/>
    <cellStyle name="Millares 6 2 7 2 3 2 4 2" xfId="9461" xr:uid="{DF4C728C-37B6-4EF9-9BDB-1345F9EFB3E8}"/>
    <cellStyle name="Millares 6 2 7 2 3 2 5" xfId="3394" xr:uid="{FBCA854E-0120-4B68-B085-807EF2F4E0A1}"/>
    <cellStyle name="Millares 6 2 7 2 3 2 6" xfId="8250" xr:uid="{83FABE23-CBE9-41CB-B41D-270BC59AAF97}"/>
    <cellStyle name="Millares 6 2 7 2 3 3" xfId="5213" xr:uid="{7C845402-ADE8-42A5-BF76-97BEC4C265AF}"/>
    <cellStyle name="Millares 6 2 7 2 3 3 2" xfId="10065" xr:uid="{EC40AC36-6C62-4A1A-846D-C5913140A845}"/>
    <cellStyle name="Millares 6 2 7 2 3 4" xfId="6426" xr:uid="{A2C63ABA-DD39-49FA-AF4F-AA025953A1CF}"/>
    <cellStyle name="Millares 6 2 7 2 3 4 2" xfId="11276" xr:uid="{8182F1E0-525B-416A-9BF0-C687777C2279}"/>
    <cellStyle name="Millares 6 2 7 2 3 5" xfId="4003" xr:uid="{02560E91-EDB0-4691-92C5-3A929F55EE6A}"/>
    <cellStyle name="Millares 6 2 7 2 3 5 2" xfId="8857" xr:uid="{118D917C-DC2E-4289-BB13-7CC92F5E0001}"/>
    <cellStyle name="Millares 6 2 7 2 3 6" xfId="2790" xr:uid="{D260507F-5F2C-49FB-B223-1196609C6F64}"/>
    <cellStyle name="Millares 6 2 7 2 3 7" xfId="7646" xr:uid="{7CAC0403-FAB8-452A-A7CF-C014F0E771A2}"/>
    <cellStyle name="Millares 6 2 7 2 4" xfId="2169" xr:uid="{58BE5610-9BA0-4F50-91C2-5A1A5C882159}"/>
    <cellStyle name="Millares 6 2 7 2 4 2" xfId="5814" xr:uid="{E50B470B-43A2-4B35-A95D-B0E0BA24A4C7}"/>
    <cellStyle name="Millares 6 2 7 2 4 2 2" xfId="10666" xr:uid="{3917A60E-E9F8-43FB-B80A-FDB20066726F}"/>
    <cellStyle name="Millares 6 2 7 2 4 3" xfId="7030" xr:uid="{02BF4C79-38E9-400E-AFC9-AE9F2E3632BE}"/>
    <cellStyle name="Millares 6 2 7 2 4 3 2" xfId="11878" xr:uid="{D16B5948-A0C2-4846-9514-8F6F32C373BE}"/>
    <cellStyle name="Millares 6 2 7 2 4 4" xfId="4604" xr:uid="{4BB6C690-5F15-4D28-A3FD-E1165B4B7AF0}"/>
    <cellStyle name="Millares 6 2 7 2 4 4 2" xfId="9458" xr:uid="{381F622B-BB58-40B8-B24C-82F9BEC6A076}"/>
    <cellStyle name="Millares 6 2 7 2 4 5" xfId="3391" xr:uid="{1E45D228-4106-454F-ACC0-4A143C55AE57}"/>
    <cellStyle name="Millares 6 2 7 2 4 6" xfId="8247" xr:uid="{66EFDF36-090E-4266-A9B6-F25FE8B70D52}"/>
    <cellStyle name="Millares 6 2 7 2 5" xfId="5210" xr:uid="{E4603432-2AD0-454E-9B3B-4BCF74C57CF0}"/>
    <cellStyle name="Millares 6 2 7 2 5 2" xfId="10062" xr:uid="{839B1C18-3551-46F8-B6EE-CCE111A564E4}"/>
    <cellStyle name="Millares 6 2 7 2 6" xfId="6423" xr:uid="{B278C3AA-44C6-432A-BFBA-2E8417E6FF4D}"/>
    <cellStyle name="Millares 6 2 7 2 6 2" xfId="11273" xr:uid="{2A0AF725-EF79-4E60-8143-220FB75E5F29}"/>
    <cellStyle name="Millares 6 2 7 2 7" xfId="4000" xr:uid="{41E8B392-6569-4920-AE17-A2E2B4884058}"/>
    <cellStyle name="Millares 6 2 7 2 7 2" xfId="8854" xr:uid="{76DC02A4-B040-472B-B412-5076BA5AA9F6}"/>
    <cellStyle name="Millares 6 2 7 2 8" xfId="2787" xr:uid="{717D38C5-4CDF-4044-ADCD-164209434EFD}"/>
    <cellStyle name="Millares 6 2 7 2 9" xfId="7643" xr:uid="{677CFF37-88E5-424C-B32B-418D01EA36B8}"/>
    <cellStyle name="Millares 6 2 7 3" xfId="1001" xr:uid="{A26DDB5E-E67D-4B53-90FE-BF36097797B5}"/>
    <cellStyle name="Millares 6 2 7 3 2" xfId="1002" xr:uid="{B7CC87F3-E3B7-4CE8-8EC4-47945DA08D94}"/>
    <cellStyle name="Millares 6 2 7 3 2 2" xfId="1003" xr:uid="{6E1C12EA-E9DD-4171-9DB7-44BBA8E93BB9}"/>
    <cellStyle name="Millares 6 2 7 3 2 2 2" xfId="2175" xr:uid="{FB64B4AF-D911-40AD-A946-4A2D62EB2A23}"/>
    <cellStyle name="Millares 6 2 7 3 2 2 2 2" xfId="5820" xr:uid="{EAD8FCF2-0818-41A3-82C2-6488A666FC4B}"/>
    <cellStyle name="Millares 6 2 7 3 2 2 2 2 2" xfId="10672" xr:uid="{FD7ACCB7-DB7E-4CB0-A590-FC138C356507}"/>
    <cellStyle name="Millares 6 2 7 3 2 2 2 3" xfId="7036" xr:uid="{82E5519F-A8F4-4298-9DDF-CA2E03C9C2A0}"/>
    <cellStyle name="Millares 6 2 7 3 2 2 2 3 2" xfId="11884" xr:uid="{0B3FE575-17B4-4563-8992-E7F914699585}"/>
    <cellStyle name="Millares 6 2 7 3 2 2 2 4" xfId="4610" xr:uid="{6631ECF2-F6CB-41F6-AC50-733B072B0C7C}"/>
    <cellStyle name="Millares 6 2 7 3 2 2 2 4 2" xfId="9464" xr:uid="{6CB896D6-7F43-4FB2-8867-1C886D1CBD5E}"/>
    <cellStyle name="Millares 6 2 7 3 2 2 2 5" xfId="3397" xr:uid="{EA372315-13F0-47D0-86D3-1DB3DB915C85}"/>
    <cellStyle name="Millares 6 2 7 3 2 2 2 6" xfId="8253" xr:uid="{DBBF601B-3944-4071-A3E0-4D15E350A999}"/>
    <cellStyle name="Millares 6 2 7 3 2 2 3" xfId="5216" xr:uid="{95D5CD05-63E4-414E-B728-93F507F73A7A}"/>
    <cellStyle name="Millares 6 2 7 3 2 2 3 2" xfId="10068" xr:uid="{C04ECEB8-F826-4123-BF18-069AA8C20C67}"/>
    <cellStyle name="Millares 6 2 7 3 2 2 4" xfId="6429" xr:uid="{E903069A-D0F6-41A5-99D7-65E14C545663}"/>
    <cellStyle name="Millares 6 2 7 3 2 2 4 2" xfId="11279" xr:uid="{DD524393-0207-40F9-AA90-EBC3C70153DA}"/>
    <cellStyle name="Millares 6 2 7 3 2 2 5" xfId="4006" xr:uid="{C789464D-F3BE-47A5-ADF5-30E0E3F8BA63}"/>
    <cellStyle name="Millares 6 2 7 3 2 2 5 2" xfId="8860" xr:uid="{D51C4D9F-9447-4E2F-9BA6-F617FD568181}"/>
    <cellStyle name="Millares 6 2 7 3 2 2 6" xfId="2793" xr:uid="{5AE16CC7-EBFB-4A21-9B80-82C9FC721A1B}"/>
    <cellStyle name="Millares 6 2 7 3 2 2 7" xfId="7649" xr:uid="{85C96152-06F2-45E4-9ED6-01D54DFDE85F}"/>
    <cellStyle name="Millares 6 2 7 3 2 3" xfId="2174" xr:uid="{4A8DC914-2AFF-450A-8864-02006A6ACB97}"/>
    <cellStyle name="Millares 6 2 7 3 2 3 2" xfId="5819" xr:uid="{D40F7447-B0D5-4B81-B63A-E26BC0502ABF}"/>
    <cellStyle name="Millares 6 2 7 3 2 3 2 2" xfId="10671" xr:uid="{C4478C47-FD4E-41C8-8C74-CC3D7D5CFF44}"/>
    <cellStyle name="Millares 6 2 7 3 2 3 3" xfId="7035" xr:uid="{AD35A887-22C9-45E0-BA38-F2D7B8B32AF5}"/>
    <cellStyle name="Millares 6 2 7 3 2 3 3 2" xfId="11883" xr:uid="{E432EA12-B538-49BB-8453-AC8261C5CBC9}"/>
    <cellStyle name="Millares 6 2 7 3 2 3 4" xfId="4609" xr:uid="{1F0A9705-5EA9-47A0-8A8F-8039DC70A08E}"/>
    <cellStyle name="Millares 6 2 7 3 2 3 4 2" xfId="9463" xr:uid="{A70AF227-5C1E-40F1-8E2D-B6B70CB61236}"/>
    <cellStyle name="Millares 6 2 7 3 2 3 5" xfId="3396" xr:uid="{15942AB7-4421-47C2-A1FF-BB5F5D39F065}"/>
    <cellStyle name="Millares 6 2 7 3 2 3 6" xfId="8252" xr:uid="{DB7394C3-4759-400A-9CE6-9947FC7ED815}"/>
    <cellStyle name="Millares 6 2 7 3 2 4" xfId="5215" xr:uid="{54093BD5-17E4-4FF6-B93D-26AAC71E21F9}"/>
    <cellStyle name="Millares 6 2 7 3 2 4 2" xfId="10067" xr:uid="{D33C31BB-79EC-4CDC-A37A-2D2653FBEC26}"/>
    <cellStyle name="Millares 6 2 7 3 2 5" xfId="6428" xr:uid="{773BE687-2793-451D-89BC-1CA369641E81}"/>
    <cellStyle name="Millares 6 2 7 3 2 5 2" xfId="11278" xr:uid="{19EC4CA4-B790-4056-B4CA-BED45F514C04}"/>
    <cellStyle name="Millares 6 2 7 3 2 6" xfId="4005" xr:uid="{31F747C9-ECC6-4F28-B84E-978132834831}"/>
    <cellStyle name="Millares 6 2 7 3 2 6 2" xfId="8859" xr:uid="{12CBFB17-6985-4F5C-A520-2783414FD338}"/>
    <cellStyle name="Millares 6 2 7 3 2 7" xfId="2792" xr:uid="{BFFC735D-E1A4-4B6E-8E69-41EA3D9F13F0}"/>
    <cellStyle name="Millares 6 2 7 3 2 8" xfId="7648" xr:uid="{70A4F603-7CC5-4FFC-9574-C50CC3AE2F1D}"/>
    <cellStyle name="Millares 6 2 7 3 3" xfId="1004" xr:uid="{BE299D1A-99D4-4A24-BAD1-88A44964C59D}"/>
    <cellStyle name="Millares 6 2 7 3 3 2" xfId="2176" xr:uid="{83D19274-022D-4911-BBF2-20066CD8C9E3}"/>
    <cellStyle name="Millares 6 2 7 3 3 2 2" xfId="5821" xr:uid="{3EEA61BC-3DDA-4F27-9801-884A62601DA3}"/>
    <cellStyle name="Millares 6 2 7 3 3 2 2 2" xfId="10673" xr:uid="{A33DEEA6-7988-4EE0-AC96-77840C0769D8}"/>
    <cellStyle name="Millares 6 2 7 3 3 2 3" xfId="7037" xr:uid="{BC37F3CF-6CAE-4EBA-A5C8-00BABEF2676A}"/>
    <cellStyle name="Millares 6 2 7 3 3 2 3 2" xfId="11885" xr:uid="{17BE9DF7-9A17-45C1-A184-A2AA85A86A1E}"/>
    <cellStyle name="Millares 6 2 7 3 3 2 4" xfId="4611" xr:uid="{336B3B46-EAD8-4C0C-B521-3DFEB0AA4F97}"/>
    <cellStyle name="Millares 6 2 7 3 3 2 4 2" xfId="9465" xr:uid="{540762C4-0FAC-461B-8684-3340AD4128C4}"/>
    <cellStyle name="Millares 6 2 7 3 3 2 5" xfId="3398" xr:uid="{5ED82810-3490-48BE-B962-8B7759118B0F}"/>
    <cellStyle name="Millares 6 2 7 3 3 2 6" xfId="8254" xr:uid="{89D4DE5B-9D5B-4FFF-B596-B1D1BFB8D7A9}"/>
    <cellStyle name="Millares 6 2 7 3 3 3" xfId="5217" xr:uid="{48EEA812-FD96-4D5C-89CA-C6EC3C1F9305}"/>
    <cellStyle name="Millares 6 2 7 3 3 3 2" xfId="10069" xr:uid="{5F480BEC-3743-4BF7-BE82-E6CA4C316838}"/>
    <cellStyle name="Millares 6 2 7 3 3 4" xfId="6430" xr:uid="{3866986C-42D7-4FB8-9D3E-65AE6FE1512A}"/>
    <cellStyle name="Millares 6 2 7 3 3 4 2" xfId="11280" xr:uid="{B8F7A74E-C4BB-4135-AFF9-810C5D57E84D}"/>
    <cellStyle name="Millares 6 2 7 3 3 5" xfId="4007" xr:uid="{3C6B21AB-1507-4712-840D-9A47B5E995C8}"/>
    <cellStyle name="Millares 6 2 7 3 3 5 2" xfId="8861" xr:uid="{348E7E7C-44CA-499A-8943-A2F057F71FA8}"/>
    <cellStyle name="Millares 6 2 7 3 3 6" xfId="2794" xr:uid="{7877996E-ADE7-430E-AC46-6D12350389EA}"/>
    <cellStyle name="Millares 6 2 7 3 3 7" xfId="7650" xr:uid="{3BE7B817-624C-476A-BC7E-230B1BBC1CA0}"/>
    <cellStyle name="Millares 6 2 7 3 4" xfId="2173" xr:uid="{AA81EA89-494B-4225-AE65-591BA0EDB3D9}"/>
    <cellStyle name="Millares 6 2 7 3 4 2" xfId="5818" xr:uid="{4546895B-89F5-4F3D-957B-4CA4D1A7D228}"/>
    <cellStyle name="Millares 6 2 7 3 4 2 2" xfId="10670" xr:uid="{CF61F5DE-B0C4-4311-B091-607FDAB55404}"/>
    <cellStyle name="Millares 6 2 7 3 4 3" xfId="7034" xr:uid="{45541272-60CF-4743-A43D-0DA3070EA98A}"/>
    <cellStyle name="Millares 6 2 7 3 4 3 2" xfId="11882" xr:uid="{CEF30E4A-87D7-4DFA-B0B4-04D5DD47F775}"/>
    <cellStyle name="Millares 6 2 7 3 4 4" xfId="4608" xr:uid="{5FBA656E-A19E-420B-A5BC-EEB5E9290405}"/>
    <cellStyle name="Millares 6 2 7 3 4 4 2" xfId="9462" xr:uid="{32D6D250-2C39-422A-99CB-83B369A998E5}"/>
    <cellStyle name="Millares 6 2 7 3 4 5" xfId="3395" xr:uid="{4C09C917-468E-4893-ACA8-AAB122AE28FF}"/>
    <cellStyle name="Millares 6 2 7 3 4 6" xfId="8251" xr:uid="{22574735-8166-4595-83BF-AAE09F87B164}"/>
    <cellStyle name="Millares 6 2 7 3 5" xfId="5214" xr:uid="{2B803234-7AF1-446E-8E32-38E94DE29D5A}"/>
    <cellStyle name="Millares 6 2 7 3 5 2" xfId="10066" xr:uid="{B8EC8555-B22F-460F-90C8-DC56CC9E40C2}"/>
    <cellStyle name="Millares 6 2 7 3 6" xfId="6427" xr:uid="{2241B4C0-3540-4C2B-B1E4-548BF197E139}"/>
    <cellStyle name="Millares 6 2 7 3 6 2" xfId="11277" xr:uid="{EC78C4F8-DD1D-442C-83D8-484420B5D31F}"/>
    <cellStyle name="Millares 6 2 7 3 7" xfId="4004" xr:uid="{5A752325-374D-4F3B-9AA3-A6FDDE828C3C}"/>
    <cellStyle name="Millares 6 2 7 3 7 2" xfId="8858" xr:uid="{73570A8F-2295-42D6-96E2-C63E3FE74FC5}"/>
    <cellStyle name="Millares 6 2 7 3 8" xfId="2791" xr:uid="{C20BCD50-09C9-4911-8E4E-D0B1AA78CF77}"/>
    <cellStyle name="Millares 6 2 7 3 9" xfId="7647" xr:uid="{B13961D6-F805-40ED-9369-2B95E33ACBBA}"/>
    <cellStyle name="Millares 6 2 7 4" xfId="1005" xr:uid="{6311600F-9CE3-49C3-93D4-74E8DF8A334A}"/>
    <cellStyle name="Millares 6 2 7 4 2" xfId="1006" xr:uid="{81ECA015-8E30-4E93-BB00-21976A083053}"/>
    <cellStyle name="Millares 6 2 7 4 2 2" xfId="2178" xr:uid="{A812E41D-C32C-44BF-80C9-BC3C9ECFD188}"/>
    <cellStyle name="Millares 6 2 7 4 2 2 2" xfId="5823" xr:uid="{694E527A-C71B-4C87-AD50-CF5926167610}"/>
    <cellStyle name="Millares 6 2 7 4 2 2 2 2" xfId="10675" xr:uid="{1FDA2913-CBD7-482A-BCC9-E2506BBA14E7}"/>
    <cellStyle name="Millares 6 2 7 4 2 2 3" xfId="7039" xr:uid="{7F8468CC-A2F6-49CA-869A-F58E67C24CC5}"/>
    <cellStyle name="Millares 6 2 7 4 2 2 3 2" xfId="11887" xr:uid="{9B406C40-3A56-4779-84F5-5F95AD0D1D00}"/>
    <cellStyle name="Millares 6 2 7 4 2 2 4" xfId="4613" xr:uid="{AB024100-F97E-42D5-BC13-066D9CA730F2}"/>
    <cellStyle name="Millares 6 2 7 4 2 2 4 2" xfId="9467" xr:uid="{AAF5E2CB-8AF6-47F9-858E-50A50C83BF10}"/>
    <cellStyle name="Millares 6 2 7 4 2 2 5" xfId="3400" xr:uid="{6F5728AD-C550-43AA-A2E7-4E5668D2FDCD}"/>
    <cellStyle name="Millares 6 2 7 4 2 2 6" xfId="8256" xr:uid="{6BA8C244-7153-4A93-83B4-B7F09A64CDD0}"/>
    <cellStyle name="Millares 6 2 7 4 2 3" xfId="5219" xr:uid="{1C09BF6E-1B0A-4A0E-BC06-CBE19AB8E2B3}"/>
    <cellStyle name="Millares 6 2 7 4 2 3 2" xfId="10071" xr:uid="{6A961167-9AA0-4CBD-A906-A26C8581B4E5}"/>
    <cellStyle name="Millares 6 2 7 4 2 4" xfId="6432" xr:uid="{5FC76700-E649-4E83-89A0-0C4D045C72CF}"/>
    <cellStyle name="Millares 6 2 7 4 2 4 2" xfId="11282" xr:uid="{0A1013D0-5796-4F27-BC33-FC8E1A11766C}"/>
    <cellStyle name="Millares 6 2 7 4 2 5" xfId="4009" xr:uid="{7BD0CEE6-3608-490D-93DC-54A42EE0102C}"/>
    <cellStyle name="Millares 6 2 7 4 2 5 2" xfId="8863" xr:uid="{9304F1FD-AA45-45C9-958C-67619F5E06CC}"/>
    <cellStyle name="Millares 6 2 7 4 2 6" xfId="2796" xr:uid="{426D0B04-1F77-4492-A562-FEBF33B329C5}"/>
    <cellStyle name="Millares 6 2 7 4 2 7" xfId="7652" xr:uid="{4B8E0BEB-25B9-4EFB-971D-6DE44AC6D3F9}"/>
    <cellStyle name="Millares 6 2 7 4 3" xfId="2177" xr:uid="{249397BA-835A-4102-8B57-B718A15EA0C5}"/>
    <cellStyle name="Millares 6 2 7 4 3 2" xfId="5822" xr:uid="{D28CB31B-F41A-4CA1-8CA3-762F92B17AC0}"/>
    <cellStyle name="Millares 6 2 7 4 3 2 2" xfId="10674" xr:uid="{6217FF8B-2C99-46B1-8251-636EF5B5376E}"/>
    <cellStyle name="Millares 6 2 7 4 3 3" xfId="7038" xr:uid="{D22C89D3-F8B3-4889-AB22-1F988AA5B90B}"/>
    <cellStyle name="Millares 6 2 7 4 3 3 2" xfId="11886" xr:uid="{335A2686-4965-4C21-B2B9-D9ABD026A3F9}"/>
    <cellStyle name="Millares 6 2 7 4 3 4" xfId="4612" xr:uid="{E8509708-5BEA-4E8B-BE08-617943EB120D}"/>
    <cellStyle name="Millares 6 2 7 4 3 4 2" xfId="9466" xr:uid="{F89E8723-73B3-44FF-B560-39BFB36BDA8C}"/>
    <cellStyle name="Millares 6 2 7 4 3 5" xfId="3399" xr:uid="{DCBC64DF-D9EC-4A24-8957-EBB7CB111CF0}"/>
    <cellStyle name="Millares 6 2 7 4 3 6" xfId="8255" xr:uid="{0B881BA2-AF61-4FD0-A5B7-A5CD6DA65097}"/>
    <cellStyle name="Millares 6 2 7 4 4" xfId="5218" xr:uid="{1CDC8060-C55E-4A8F-BCDB-F5B9FB1DEA94}"/>
    <cellStyle name="Millares 6 2 7 4 4 2" xfId="10070" xr:uid="{8A1A247C-2A5A-4AD6-9C33-FB7F7D4092EF}"/>
    <cellStyle name="Millares 6 2 7 4 5" xfId="6431" xr:uid="{CA722EA9-6D9D-41C5-8702-E56794F31C3E}"/>
    <cellStyle name="Millares 6 2 7 4 5 2" xfId="11281" xr:uid="{BDDE612B-103F-4EF6-8AEA-02DA35CBC9AB}"/>
    <cellStyle name="Millares 6 2 7 4 6" xfId="4008" xr:uid="{F341D48D-6D16-426B-92BE-1A2BBB2499CC}"/>
    <cellStyle name="Millares 6 2 7 4 6 2" xfId="8862" xr:uid="{9160D922-B49F-4D32-9080-CF881CCF0A76}"/>
    <cellStyle name="Millares 6 2 7 4 7" xfId="2795" xr:uid="{0207CA77-2741-4BA4-AF9C-1C4330E06AF3}"/>
    <cellStyle name="Millares 6 2 7 4 8" xfId="7651" xr:uid="{B34B8DE8-B0EA-43ED-A936-790DA996A423}"/>
    <cellStyle name="Millares 6 2 7 5" xfId="1007" xr:uid="{2F83464B-32D1-4BB3-BE99-499FCE91174D}"/>
    <cellStyle name="Millares 6 2 7 5 2" xfId="2179" xr:uid="{0E705FFC-1AB2-4C27-8A6D-A6D56572B8F5}"/>
    <cellStyle name="Millares 6 2 7 5 2 2" xfId="5824" xr:uid="{299C39ED-A6F3-4132-96D7-48CDF6BC6EF5}"/>
    <cellStyle name="Millares 6 2 7 5 2 2 2" xfId="10676" xr:uid="{D4F7B8C9-8D6D-4F07-A507-01DF622B830D}"/>
    <cellStyle name="Millares 6 2 7 5 2 3" xfId="7040" xr:uid="{C96CE515-EBF7-41F4-BF27-DB27B204F372}"/>
    <cellStyle name="Millares 6 2 7 5 2 3 2" xfId="11888" xr:uid="{0D1F93C3-BE02-469D-9065-14CCD2070E04}"/>
    <cellStyle name="Millares 6 2 7 5 2 4" xfId="4614" xr:uid="{65CEB1F4-0CDC-4020-9AA0-14D27EC459B0}"/>
    <cellStyle name="Millares 6 2 7 5 2 4 2" xfId="9468" xr:uid="{51430F69-5091-494E-8004-97E20EEEA5B2}"/>
    <cellStyle name="Millares 6 2 7 5 2 5" xfId="3401" xr:uid="{348D1057-7316-4B28-A9D4-D7404ECD7487}"/>
    <cellStyle name="Millares 6 2 7 5 2 6" xfId="8257" xr:uid="{FF8AD366-8D98-484E-A6A8-B833360033A1}"/>
    <cellStyle name="Millares 6 2 7 5 3" xfId="5220" xr:uid="{9B430D30-E40B-4C02-A47B-CAD5E0F7BFD9}"/>
    <cellStyle name="Millares 6 2 7 5 3 2" xfId="10072" xr:uid="{9A3CB634-5D54-4C10-89EF-298738C13FEE}"/>
    <cellStyle name="Millares 6 2 7 5 4" xfId="6433" xr:uid="{8D2C2777-3646-43B5-8496-EC68137517CF}"/>
    <cellStyle name="Millares 6 2 7 5 4 2" xfId="11283" xr:uid="{83D0AD11-708B-4CD6-BF48-54D080B6DE6F}"/>
    <cellStyle name="Millares 6 2 7 5 5" xfId="4010" xr:uid="{79F8B793-D3CF-4CB6-AA6A-29961F2AD108}"/>
    <cellStyle name="Millares 6 2 7 5 5 2" xfId="8864" xr:uid="{B6C4929B-64B4-4C9C-A4E6-E7369CEA3527}"/>
    <cellStyle name="Millares 6 2 7 5 6" xfId="2797" xr:uid="{3A99EC36-7B7D-4523-950D-3300E7AB26A0}"/>
    <cellStyle name="Millares 6 2 7 5 7" xfId="7653" xr:uid="{2BFECFE4-14D1-4CAD-A317-0C1B8322B0E4}"/>
    <cellStyle name="Millares 6 2 7 6" xfId="2168" xr:uid="{8708AA94-2818-4344-8F80-2D8ACAF04A0E}"/>
    <cellStyle name="Millares 6 2 7 6 2" xfId="5813" xr:uid="{00BC65F4-7519-4FB6-9F77-0F709BDC83B6}"/>
    <cellStyle name="Millares 6 2 7 6 2 2" xfId="10665" xr:uid="{2D75A5FF-C63E-4520-8FE3-EEEFBCD4B74C}"/>
    <cellStyle name="Millares 6 2 7 6 3" xfId="7029" xr:uid="{882AC2F2-B94E-45CB-A592-4B745A48A453}"/>
    <cellStyle name="Millares 6 2 7 6 3 2" xfId="11877" xr:uid="{0599A7DD-889E-48D8-B0AB-16A8E0D4A1A0}"/>
    <cellStyle name="Millares 6 2 7 6 4" xfId="4603" xr:uid="{C89627D6-F0A1-46CB-AD09-B450999B5B7E}"/>
    <cellStyle name="Millares 6 2 7 6 4 2" xfId="9457" xr:uid="{FB50A4B2-0E35-42B7-B655-9CB488CA815D}"/>
    <cellStyle name="Millares 6 2 7 6 5" xfId="3390" xr:uid="{05F411DC-B3F6-4FFC-B026-3144A1ECD8E6}"/>
    <cellStyle name="Millares 6 2 7 6 6" xfId="8246" xr:uid="{227A36BE-360D-4FCD-9655-8E0B7D3DEF74}"/>
    <cellStyle name="Millares 6 2 7 7" xfId="5209" xr:uid="{83091E05-4CFA-49DE-B567-BA61E9B0472C}"/>
    <cellStyle name="Millares 6 2 7 7 2" xfId="10061" xr:uid="{E4A906F8-E23D-4FC8-AC7C-11DAF0D2618C}"/>
    <cellStyle name="Millares 6 2 7 8" xfId="6422" xr:uid="{AE5207DD-DED4-48F9-973B-B88BC670EACB}"/>
    <cellStyle name="Millares 6 2 7 8 2" xfId="11272" xr:uid="{80AC5338-78D6-4919-ABAD-D662ABAF723C}"/>
    <cellStyle name="Millares 6 2 7 9" xfId="3999" xr:uid="{73822DE8-2D33-491E-89F4-1D90ACA3A91C}"/>
    <cellStyle name="Millares 6 2 7 9 2" xfId="8853" xr:uid="{3A25AC71-A295-4E6B-9E43-9A36AD6DDE29}"/>
    <cellStyle name="Millares 6 2 8" xfId="1008" xr:uid="{F43FF154-A392-49E0-9786-C8465C5F3A53}"/>
    <cellStyle name="Millares 6 2 8 2" xfId="1009" xr:uid="{C0A3D180-8D75-4B26-9D63-C22252E6C502}"/>
    <cellStyle name="Millares 6 2 8 2 2" xfId="1010" xr:uid="{E016111D-4866-4FA5-A8BA-322EE5C1A8CA}"/>
    <cellStyle name="Millares 6 2 8 2 2 2" xfId="2182" xr:uid="{B8FB72AA-6D0F-4986-88DD-768B3DA3746A}"/>
    <cellStyle name="Millares 6 2 8 2 2 2 2" xfId="5827" xr:uid="{DDE9F32B-54A0-439F-86C7-94A9BBF64D62}"/>
    <cellStyle name="Millares 6 2 8 2 2 2 2 2" xfId="10679" xr:uid="{ABC6C436-303C-4490-8C76-CB4CD7329A5F}"/>
    <cellStyle name="Millares 6 2 8 2 2 2 3" xfId="7043" xr:uid="{AA300367-B2B4-414E-9EFD-3617698BD485}"/>
    <cellStyle name="Millares 6 2 8 2 2 2 3 2" xfId="11891" xr:uid="{FAFFEA25-A367-4730-83DA-A1B0C49D0066}"/>
    <cellStyle name="Millares 6 2 8 2 2 2 4" xfId="4617" xr:uid="{B59324C3-A45D-43C3-88F5-D031814EC9C6}"/>
    <cellStyle name="Millares 6 2 8 2 2 2 4 2" xfId="9471" xr:uid="{464245D5-7E98-4D15-B1B0-409C961EFC62}"/>
    <cellStyle name="Millares 6 2 8 2 2 2 5" xfId="3404" xr:uid="{4904FB54-D822-4BE1-BC20-02CD3D4A03F7}"/>
    <cellStyle name="Millares 6 2 8 2 2 2 6" xfId="8260" xr:uid="{BF4E7793-AA75-4880-B117-909971A49374}"/>
    <cellStyle name="Millares 6 2 8 2 2 3" xfId="5223" xr:uid="{C07D2EEF-3440-438B-B65A-F94A7227CCB1}"/>
    <cellStyle name="Millares 6 2 8 2 2 3 2" xfId="10075" xr:uid="{A4A7B237-59F8-487D-B94D-B99C505CFA71}"/>
    <cellStyle name="Millares 6 2 8 2 2 4" xfId="6436" xr:uid="{EFDAF262-AE3C-43AA-90A4-4E5C17265444}"/>
    <cellStyle name="Millares 6 2 8 2 2 4 2" xfId="11286" xr:uid="{BA599F93-645E-4EE8-B1F0-7CE3780E00DD}"/>
    <cellStyle name="Millares 6 2 8 2 2 5" xfId="4013" xr:uid="{DC43762E-27E7-43EC-BE3C-BBB677D34AF9}"/>
    <cellStyle name="Millares 6 2 8 2 2 5 2" xfId="8867" xr:uid="{1EFFDA76-9699-4EA9-A1EB-87EA6E4EFABA}"/>
    <cellStyle name="Millares 6 2 8 2 2 6" xfId="2800" xr:uid="{1C4D23EA-1706-411A-A5A6-1541C2164030}"/>
    <cellStyle name="Millares 6 2 8 2 2 7" xfId="7656" xr:uid="{5FEA063D-EFB0-4D55-A23E-49DD4AB6F8E9}"/>
    <cellStyle name="Millares 6 2 8 2 3" xfId="2181" xr:uid="{A4D84682-F36C-48A0-8E92-ACAF57C08A51}"/>
    <cellStyle name="Millares 6 2 8 2 3 2" xfId="5826" xr:uid="{98B79FB0-52A6-4D30-9041-0863359A8E6E}"/>
    <cellStyle name="Millares 6 2 8 2 3 2 2" xfId="10678" xr:uid="{292CB651-88E7-4B0B-BA40-45DFA457531E}"/>
    <cellStyle name="Millares 6 2 8 2 3 3" xfId="7042" xr:uid="{7EC22F57-544F-402B-BC4A-ABE55E149413}"/>
    <cellStyle name="Millares 6 2 8 2 3 3 2" xfId="11890" xr:uid="{23615C55-3524-496B-90EB-31B20E19A9F4}"/>
    <cellStyle name="Millares 6 2 8 2 3 4" xfId="4616" xr:uid="{EB441351-BDB8-4EBA-B57E-1B0B9CA025C2}"/>
    <cellStyle name="Millares 6 2 8 2 3 4 2" xfId="9470" xr:uid="{D6E55C51-748B-49DA-BFD7-92FAB6E0694E}"/>
    <cellStyle name="Millares 6 2 8 2 3 5" xfId="3403" xr:uid="{5BA9DB18-A539-495D-AE84-84F3A67F2EBF}"/>
    <cellStyle name="Millares 6 2 8 2 3 6" xfId="8259" xr:uid="{5356EFD7-4610-4EE3-95AF-5439EE77D247}"/>
    <cellStyle name="Millares 6 2 8 2 4" xfId="5222" xr:uid="{A6AE5523-2649-4774-86DB-7F7B94E23A4B}"/>
    <cellStyle name="Millares 6 2 8 2 4 2" xfId="10074" xr:uid="{4FC740DE-83AF-4578-882B-8D697C618652}"/>
    <cellStyle name="Millares 6 2 8 2 5" xfId="6435" xr:uid="{9273FDD1-DDC6-4E02-90D0-79CF391CA3FF}"/>
    <cellStyle name="Millares 6 2 8 2 5 2" xfId="11285" xr:uid="{70A9812A-7047-4C07-B7BA-B0C3AC11D233}"/>
    <cellStyle name="Millares 6 2 8 2 6" xfId="4012" xr:uid="{B34E2A97-5A86-4AE8-935F-6274059A1E25}"/>
    <cellStyle name="Millares 6 2 8 2 6 2" xfId="8866" xr:uid="{DD731BCE-2FAE-48C4-A871-984103382F34}"/>
    <cellStyle name="Millares 6 2 8 2 7" xfId="2799" xr:uid="{344329A0-F533-4C65-9A26-C8921337F403}"/>
    <cellStyle name="Millares 6 2 8 2 8" xfId="7655" xr:uid="{A181D963-2D65-4E0C-96EC-9353B16C648A}"/>
    <cellStyle name="Millares 6 2 8 3" xfId="1011" xr:uid="{BCC9AEEA-92C6-4904-B3E0-7F528D6C641C}"/>
    <cellStyle name="Millares 6 2 8 3 2" xfId="2183" xr:uid="{3CCA1042-F4F6-459C-B9BF-D1F52CF82C38}"/>
    <cellStyle name="Millares 6 2 8 3 2 2" xfId="5828" xr:uid="{8C6A0CC6-CC70-4DAD-8168-879CC0AB161D}"/>
    <cellStyle name="Millares 6 2 8 3 2 2 2" xfId="10680" xr:uid="{EEA04B9F-5B3E-4DA4-A8F5-8E411AF37217}"/>
    <cellStyle name="Millares 6 2 8 3 2 3" xfId="7044" xr:uid="{0BB8CA06-F51A-4F0F-A279-121E4261643F}"/>
    <cellStyle name="Millares 6 2 8 3 2 3 2" xfId="11892" xr:uid="{8CC33340-414D-491F-983D-98EB08DAB3F2}"/>
    <cellStyle name="Millares 6 2 8 3 2 4" xfId="4618" xr:uid="{8FB04C3D-C6C9-41F9-AB9A-600247C22278}"/>
    <cellStyle name="Millares 6 2 8 3 2 4 2" xfId="9472" xr:uid="{6E789B1B-465C-4710-9459-338953366D7E}"/>
    <cellStyle name="Millares 6 2 8 3 2 5" xfId="3405" xr:uid="{057C8EA8-985C-4020-A760-5A7605AB1F11}"/>
    <cellStyle name="Millares 6 2 8 3 2 6" xfId="8261" xr:uid="{5BB67B86-4354-43E4-AA0A-7CC8D8A4D40D}"/>
    <cellStyle name="Millares 6 2 8 3 3" xfId="5224" xr:uid="{E64AF90B-BD17-48BE-9EED-CF9EEA2D3E62}"/>
    <cellStyle name="Millares 6 2 8 3 3 2" xfId="10076" xr:uid="{C2A170C8-E817-4C3D-B5A9-0F1ED0D7D2A5}"/>
    <cellStyle name="Millares 6 2 8 3 4" xfId="6437" xr:uid="{9A13756B-4885-4AD1-B354-84142EC66671}"/>
    <cellStyle name="Millares 6 2 8 3 4 2" xfId="11287" xr:uid="{E8DBE1AF-4085-4B87-93B1-E746A18D6433}"/>
    <cellStyle name="Millares 6 2 8 3 5" xfId="4014" xr:uid="{FAFB0121-BF5A-4E19-80C0-583FFD12B4F2}"/>
    <cellStyle name="Millares 6 2 8 3 5 2" xfId="8868" xr:uid="{5567EEC3-BE00-4506-8295-FA35C6CD1094}"/>
    <cellStyle name="Millares 6 2 8 3 6" xfId="2801" xr:uid="{F5C0B5ED-67BF-4CDA-BC75-CC23E3827F1D}"/>
    <cellStyle name="Millares 6 2 8 3 7" xfId="7657" xr:uid="{63B8639D-5BB3-40DE-BE7D-F372F9BF7C07}"/>
    <cellStyle name="Millares 6 2 8 4" xfId="2180" xr:uid="{F9B38D76-7F5B-4222-A969-260C6EADCD3F}"/>
    <cellStyle name="Millares 6 2 8 4 2" xfId="5825" xr:uid="{5463CDAB-AC29-4E07-8DCA-FD56A82970D6}"/>
    <cellStyle name="Millares 6 2 8 4 2 2" xfId="10677" xr:uid="{B14D3002-22B5-4AC3-AB15-61DACBFD09F9}"/>
    <cellStyle name="Millares 6 2 8 4 3" xfId="7041" xr:uid="{160F71FA-6A07-4B1C-B91D-5AE616C3CDE3}"/>
    <cellStyle name="Millares 6 2 8 4 3 2" xfId="11889" xr:uid="{1FF4EEC6-150C-4D11-9B1E-DB1BC982C458}"/>
    <cellStyle name="Millares 6 2 8 4 4" xfId="4615" xr:uid="{9A8F1846-FB44-4997-A770-1F6B62E3B0C7}"/>
    <cellStyle name="Millares 6 2 8 4 4 2" xfId="9469" xr:uid="{C05F5F5F-54E3-4F1E-9305-2DE3457CFE51}"/>
    <cellStyle name="Millares 6 2 8 4 5" xfId="3402" xr:uid="{4D4341AF-DDB1-46FD-AFA7-42487C8962CC}"/>
    <cellStyle name="Millares 6 2 8 4 6" xfId="8258" xr:uid="{E3B4E864-33F1-4E9B-97EB-A31B27DE562D}"/>
    <cellStyle name="Millares 6 2 8 5" xfId="5221" xr:uid="{7EEF4E7E-3D32-470A-9BC7-C06A558244BB}"/>
    <cellStyle name="Millares 6 2 8 5 2" xfId="10073" xr:uid="{498A452F-643D-4742-8086-F4692014DB37}"/>
    <cellStyle name="Millares 6 2 8 6" xfId="6434" xr:uid="{A2AAC2D2-1D30-458F-8290-09D03FF8FBF3}"/>
    <cellStyle name="Millares 6 2 8 6 2" xfId="11284" xr:uid="{8555030E-AEC5-44F9-AECA-157BE85FA8D2}"/>
    <cellStyle name="Millares 6 2 8 7" xfId="4011" xr:uid="{700678B2-1883-4DC0-84C6-09729263E877}"/>
    <cellStyle name="Millares 6 2 8 7 2" xfId="8865" xr:uid="{3116FCE8-3E17-4585-A6A4-7187E6EC2EF4}"/>
    <cellStyle name="Millares 6 2 8 8" xfId="2798" xr:uid="{168AECB0-2557-49FF-BAE7-8F8069F14440}"/>
    <cellStyle name="Millares 6 2 8 9" xfId="7654" xr:uid="{1624D0D7-C41A-44FD-9227-BB30A8FF971F}"/>
    <cellStyle name="Millares 6 2 9" xfId="1012" xr:uid="{1A0C01DF-EB78-4587-8B36-C2C3CEB1B564}"/>
    <cellStyle name="Millares 6 2 9 2" xfId="1013" xr:uid="{AC3E3B21-5D34-4E04-8620-DF0D99387328}"/>
    <cellStyle name="Millares 6 2 9 2 2" xfId="1014" xr:uid="{0DD7967C-570C-4B1F-831A-18C0BAAC0C26}"/>
    <cellStyle name="Millares 6 2 9 2 2 2" xfId="2186" xr:uid="{D7E22DB8-3481-45C8-9AB1-55F796FA3585}"/>
    <cellStyle name="Millares 6 2 9 2 2 2 2" xfId="5831" xr:uid="{B5D0924C-2162-43B4-9776-66744EA990CE}"/>
    <cellStyle name="Millares 6 2 9 2 2 2 2 2" xfId="10683" xr:uid="{2E13AB3D-4116-4A83-8685-82C8197EFD14}"/>
    <cellStyle name="Millares 6 2 9 2 2 2 3" xfId="7047" xr:uid="{E68D8B33-6269-4E9C-92AA-D7A79AA196F2}"/>
    <cellStyle name="Millares 6 2 9 2 2 2 3 2" xfId="11895" xr:uid="{6A453420-3485-49BF-982B-7EE4C42A26E7}"/>
    <cellStyle name="Millares 6 2 9 2 2 2 4" xfId="4621" xr:uid="{88176945-5368-465B-A618-E7D08840B6D3}"/>
    <cellStyle name="Millares 6 2 9 2 2 2 4 2" xfId="9475" xr:uid="{DFE99F2D-6FDF-4C90-A165-F404A7E7F8CD}"/>
    <cellStyle name="Millares 6 2 9 2 2 2 5" xfId="3408" xr:uid="{0F229FE3-B191-49F4-B737-8FD9F27F3980}"/>
    <cellStyle name="Millares 6 2 9 2 2 2 6" xfId="8264" xr:uid="{2D92DD34-AA10-4C5B-B939-5357373EE4A8}"/>
    <cellStyle name="Millares 6 2 9 2 2 3" xfId="5227" xr:uid="{4E2AC6F6-A92E-4DDA-BB74-B431690C338D}"/>
    <cellStyle name="Millares 6 2 9 2 2 3 2" xfId="10079" xr:uid="{1BB7C8D6-942B-4E10-9CE2-9B6FAFF0CA56}"/>
    <cellStyle name="Millares 6 2 9 2 2 4" xfId="6440" xr:uid="{E56138F9-9930-4BC7-93ED-BEDADD94233B}"/>
    <cellStyle name="Millares 6 2 9 2 2 4 2" xfId="11290" xr:uid="{C149E93C-ACE5-455B-A5E5-2DE52CDE6A28}"/>
    <cellStyle name="Millares 6 2 9 2 2 5" xfId="4017" xr:uid="{E3A4100C-62F1-4883-BD1B-F0748E1E5326}"/>
    <cellStyle name="Millares 6 2 9 2 2 5 2" xfId="8871" xr:uid="{2A43D550-9F91-4FAA-ADC4-75646DEE8C24}"/>
    <cellStyle name="Millares 6 2 9 2 2 6" xfId="2804" xr:uid="{BB7DE786-5A4E-4F69-9216-A69E8AB9F49E}"/>
    <cellStyle name="Millares 6 2 9 2 2 7" xfId="7660" xr:uid="{B224DA51-3AB3-4737-93D9-41426A1E7852}"/>
    <cellStyle name="Millares 6 2 9 2 3" xfId="2185" xr:uid="{54315107-BB3A-4B71-AA12-D9CC831D0AE0}"/>
    <cellStyle name="Millares 6 2 9 2 3 2" xfId="5830" xr:uid="{D2F19CA5-F849-4AB7-80A7-790038505E4F}"/>
    <cellStyle name="Millares 6 2 9 2 3 2 2" xfId="10682" xr:uid="{DF51AF88-AB2A-41F9-8D73-C284E99F709D}"/>
    <cellStyle name="Millares 6 2 9 2 3 3" xfId="7046" xr:uid="{1147835E-D902-400B-A3C3-7E52EAC93AD2}"/>
    <cellStyle name="Millares 6 2 9 2 3 3 2" xfId="11894" xr:uid="{B3FC3549-2B82-4EB4-BC5D-827041F2027E}"/>
    <cellStyle name="Millares 6 2 9 2 3 4" xfId="4620" xr:uid="{1657FE3A-E139-4967-9C65-237AAF350CEB}"/>
    <cellStyle name="Millares 6 2 9 2 3 4 2" xfId="9474" xr:uid="{2BA69D36-996C-49C0-AADD-0D453FC6C98A}"/>
    <cellStyle name="Millares 6 2 9 2 3 5" xfId="3407" xr:uid="{B9AB6C1F-CC5A-4764-B9FB-436FB67B7D1E}"/>
    <cellStyle name="Millares 6 2 9 2 3 6" xfId="8263" xr:uid="{2A262CCD-7483-4435-9C03-E137A7070256}"/>
    <cellStyle name="Millares 6 2 9 2 4" xfId="5226" xr:uid="{6D41E401-9A88-4EFA-AF9E-F82B19B5592C}"/>
    <cellStyle name="Millares 6 2 9 2 4 2" xfId="10078" xr:uid="{000EEDFC-1F24-4B7E-99D3-A1E48BA22734}"/>
    <cellStyle name="Millares 6 2 9 2 5" xfId="6439" xr:uid="{D5333E36-C202-49FF-92C5-32B3890CA532}"/>
    <cellStyle name="Millares 6 2 9 2 5 2" xfId="11289" xr:uid="{211910DA-E493-4292-AC5B-9F185211F72B}"/>
    <cellStyle name="Millares 6 2 9 2 6" xfId="4016" xr:uid="{5C435C87-1C55-44EC-B5FC-2E9EEB95148A}"/>
    <cellStyle name="Millares 6 2 9 2 6 2" xfId="8870" xr:uid="{C7568EB4-30EC-4879-985B-DD144F9615A3}"/>
    <cellStyle name="Millares 6 2 9 2 7" xfId="2803" xr:uid="{D818BC3A-68B6-4D5B-8022-DD3B8D23D901}"/>
    <cellStyle name="Millares 6 2 9 2 8" xfId="7659" xr:uid="{7BD16528-F65C-42E7-B212-694342AA8172}"/>
    <cellStyle name="Millares 6 2 9 3" xfId="1015" xr:uid="{00170F4B-967F-4793-9F27-D4E06EDF108C}"/>
    <cellStyle name="Millares 6 2 9 3 2" xfId="2187" xr:uid="{12F2F2AD-719A-4296-8B79-E8E5646EC9DB}"/>
    <cellStyle name="Millares 6 2 9 3 2 2" xfId="5832" xr:uid="{4976D5FB-AA07-4667-98B4-254567CB6EBC}"/>
    <cellStyle name="Millares 6 2 9 3 2 2 2" xfId="10684" xr:uid="{B12BD3CC-1C9F-4A40-B07A-28C0B3422116}"/>
    <cellStyle name="Millares 6 2 9 3 2 3" xfId="7048" xr:uid="{30F9BE57-8515-4DD8-8FB3-61A40EE5B804}"/>
    <cellStyle name="Millares 6 2 9 3 2 3 2" xfId="11896" xr:uid="{021E37BC-C88A-4B29-8C3B-B2028C44E36D}"/>
    <cellStyle name="Millares 6 2 9 3 2 4" xfId="4622" xr:uid="{8BB2ABB8-830A-4C8A-A4DE-31E04853B587}"/>
    <cellStyle name="Millares 6 2 9 3 2 4 2" xfId="9476" xr:uid="{923D93BC-490E-4E66-90CB-F5E7C8F1A750}"/>
    <cellStyle name="Millares 6 2 9 3 2 5" xfId="3409" xr:uid="{986025F7-C9A0-423C-B6C2-4C000D407D91}"/>
    <cellStyle name="Millares 6 2 9 3 2 6" xfId="8265" xr:uid="{7737CC1E-A02D-44C4-9515-651550441775}"/>
    <cellStyle name="Millares 6 2 9 3 3" xfId="5228" xr:uid="{0E39BD2F-EC8D-47DA-84A9-1775A7DA1097}"/>
    <cellStyle name="Millares 6 2 9 3 3 2" xfId="10080" xr:uid="{F538961C-CAA0-4794-A08D-EB09CCD6BD93}"/>
    <cellStyle name="Millares 6 2 9 3 4" xfId="6441" xr:uid="{386ECB4A-2CBE-4917-965E-378497166891}"/>
    <cellStyle name="Millares 6 2 9 3 4 2" xfId="11291" xr:uid="{7BAC164D-F96E-4465-A420-8A98648BCF25}"/>
    <cellStyle name="Millares 6 2 9 3 5" xfId="4018" xr:uid="{191AA664-FBFD-4F91-87E2-147D42E3006C}"/>
    <cellStyle name="Millares 6 2 9 3 5 2" xfId="8872" xr:uid="{ECE1D7BC-879F-41AC-8260-8C9C0B2A2050}"/>
    <cellStyle name="Millares 6 2 9 3 6" xfId="2805" xr:uid="{23B8D1DF-0362-48C3-BA7F-7E8A0D0E6DC6}"/>
    <cellStyle name="Millares 6 2 9 3 7" xfId="7661" xr:uid="{7227D448-539A-4734-92EF-46A46FE61300}"/>
    <cellStyle name="Millares 6 2 9 4" xfId="2184" xr:uid="{06EAF211-0A45-4F36-8D43-F075E9FC16EA}"/>
    <cellStyle name="Millares 6 2 9 4 2" xfId="5829" xr:uid="{75D21205-918B-411F-9B13-802B74CFD5F2}"/>
    <cellStyle name="Millares 6 2 9 4 2 2" xfId="10681" xr:uid="{906CEAC5-8775-4099-95F3-209D783BD62D}"/>
    <cellStyle name="Millares 6 2 9 4 3" xfId="7045" xr:uid="{564AE723-0FF3-4BFE-9A5A-AF518BFA2CDC}"/>
    <cellStyle name="Millares 6 2 9 4 3 2" xfId="11893" xr:uid="{9AB8B466-9451-4222-8E7C-96AEF41DD210}"/>
    <cellStyle name="Millares 6 2 9 4 4" xfId="4619" xr:uid="{5483B619-20AB-4A63-9CDD-7E0451C506F0}"/>
    <cellStyle name="Millares 6 2 9 4 4 2" xfId="9473" xr:uid="{2811C41A-B9A4-41F6-9183-3E0444A6B4B5}"/>
    <cellStyle name="Millares 6 2 9 4 5" xfId="3406" xr:uid="{84BC957A-E5A0-4DF3-8103-5EF563AC4B46}"/>
    <cellStyle name="Millares 6 2 9 4 6" xfId="8262" xr:uid="{88E8AC0E-F8F2-4D9B-83AA-62737A057A04}"/>
    <cellStyle name="Millares 6 2 9 5" xfId="5225" xr:uid="{229445BD-C5EC-45CD-878C-AE7CE24FFF61}"/>
    <cellStyle name="Millares 6 2 9 5 2" xfId="10077" xr:uid="{066B570E-FC49-490D-9D4F-25013BAFBB80}"/>
    <cellStyle name="Millares 6 2 9 6" xfId="6438" xr:uid="{A1404FA1-AD46-4E88-968D-DCFDEE1CBA45}"/>
    <cellStyle name="Millares 6 2 9 6 2" xfId="11288" xr:uid="{879F2784-9823-4866-8282-72A0B652FEEB}"/>
    <cellStyle name="Millares 6 2 9 7" xfId="4015" xr:uid="{E63981AD-28DB-42FA-8387-2757DBF6D860}"/>
    <cellStyle name="Millares 6 2 9 7 2" xfId="8869" xr:uid="{5C2C212B-F5F7-4617-9F1F-A7250C595129}"/>
    <cellStyle name="Millares 6 2 9 8" xfId="2802" xr:uid="{EF6426C8-1EF4-4E07-904F-29E05CB504C8}"/>
    <cellStyle name="Millares 6 2 9 9" xfId="7658" xr:uid="{352B590E-9831-463C-8F63-A9FDCD3803B3}"/>
    <cellStyle name="Millares 6 3" xfId="5432" xr:uid="{AFF2B52F-9633-4F18-BAF1-297643A9A9BD}"/>
    <cellStyle name="Millares 6 3 2" xfId="10284" xr:uid="{8D28DA96-516E-4170-B291-AA6935AF8C87}"/>
    <cellStyle name="Millares 6 4" xfId="6648" xr:uid="{20E1D59A-9021-41BF-8916-73DCD4B51CDF}"/>
    <cellStyle name="Millares 6 4 2" xfId="11496" xr:uid="{46741C3F-E555-41D0-B937-F50A5620A32B}"/>
    <cellStyle name="Millares 6 5" xfId="4222" xr:uid="{C0DB724A-D0E5-4B9C-B637-BCC99A7A1EF5}"/>
    <cellStyle name="Millares 6 5 2" xfId="9076" xr:uid="{E9F58D1E-9171-4C90-BA80-66522726B80F}"/>
    <cellStyle name="Millares 6 6" xfId="3009" xr:uid="{20C32931-B7FA-4822-A903-E3FD45296428}"/>
    <cellStyle name="Millares 6 7" xfId="7865" xr:uid="{0883CDAE-4A1C-47CF-AC29-79CAA117D18E}"/>
    <cellStyle name="Millares 7" xfId="49" xr:uid="{245D31B3-A3F3-4E6B-AB82-B645D06CC7AE}"/>
    <cellStyle name="Millares 7 10" xfId="1016" xr:uid="{043A1C0E-56E8-4078-8BB0-E8F9889E0895}"/>
    <cellStyle name="Millares 7 10 2" xfId="1017" xr:uid="{B4ED0AE5-2F94-455B-A7C6-1D9480269866}"/>
    <cellStyle name="Millares 7 10 2 2" xfId="1018" xr:uid="{71040BBC-3D03-407D-AB9F-44E1C630FDDD}"/>
    <cellStyle name="Millares 7 10 3" xfId="1019" xr:uid="{952C9576-1685-48E2-AACE-5AC3A6C8354C}"/>
    <cellStyle name="Millares 7 11" xfId="1020" xr:uid="{4E4C06B1-0673-4187-8593-AB9F41134B30}"/>
    <cellStyle name="Millares 7 11 2" xfId="1021" xr:uid="{89FFA074-825D-4B0F-984C-357C4DD97621}"/>
    <cellStyle name="Millares 7 11 2 2" xfId="1022" xr:uid="{FF97C5D4-82C2-45F5-BABD-5699796F50B7}"/>
    <cellStyle name="Millares 7 11 3" xfId="1023" xr:uid="{7A713854-C8E5-47B6-BA7E-F8511B8C117C}"/>
    <cellStyle name="Millares 7 12" xfId="1024" xr:uid="{D8324F24-5521-4232-9009-7FECAD41EE00}"/>
    <cellStyle name="Millares 7 12 2" xfId="1025" xr:uid="{4542B6EC-FB90-4328-BCA3-C87E367794A2}"/>
    <cellStyle name="Millares 7 12 2 2" xfId="1026" xr:uid="{6F076362-73F5-4834-BF1E-32C50FA580A6}"/>
    <cellStyle name="Millares 7 12 3" xfId="1027" xr:uid="{37F33D3D-3DBF-4729-8533-4127677C2678}"/>
    <cellStyle name="Millares 7 13" xfId="1028" xr:uid="{5EA83609-E3AF-4854-80C0-9F9450FAB409}"/>
    <cellStyle name="Millares 7 13 2" xfId="1029" xr:uid="{8C4962D3-B628-4F0B-9CCE-E13B1DA019D2}"/>
    <cellStyle name="Millares 7 13 2 2" xfId="1030" xr:uid="{D119E3CA-1896-45E0-A428-99A7308E0899}"/>
    <cellStyle name="Millares 7 13 3" xfId="1031" xr:uid="{C6CDEF35-7470-4F23-8CFF-FDB1642EA57C}"/>
    <cellStyle name="Millares 7 14" xfId="1032" xr:uid="{55974C2E-6C4E-4CA2-B0B3-D3B60936B2D2}"/>
    <cellStyle name="Millares 7 14 2" xfId="1033" xr:uid="{CBAA7F25-2F62-407E-908A-89F7EF44EBAD}"/>
    <cellStyle name="Millares 7 14 2 2" xfId="1034" xr:uid="{5FC4FDEF-B793-4541-84E2-79473B0C386F}"/>
    <cellStyle name="Millares 7 14 3" xfId="1035" xr:uid="{DD88DA63-744F-4B61-B98A-4B21B34384F6}"/>
    <cellStyle name="Millares 7 15" xfId="1036" xr:uid="{A01F1738-F7EB-4059-B7E9-EB65B3074264}"/>
    <cellStyle name="Millares 7 15 2" xfId="1037" xr:uid="{10CE17FA-AA03-4832-AAE6-05586E1CB733}"/>
    <cellStyle name="Millares 7 16" xfId="1038" xr:uid="{5DC3FD59-DC3A-4918-ADBB-928E8EC991D7}"/>
    <cellStyle name="Millares 7 17" xfId="1039" xr:uid="{6BE4EF5B-DE5F-48DF-A2F3-3E4E651FD76C}"/>
    <cellStyle name="Millares 7 2" xfId="50" xr:uid="{8B9049D0-051E-4CCC-A47A-2D5BE6E1D157}"/>
    <cellStyle name="Millares 7 2 10" xfId="1040" xr:uid="{77E9655A-BFD5-4AF8-8463-967D5157DBC5}"/>
    <cellStyle name="Millares 7 2 10 2" xfId="1041" xr:uid="{A9E58114-2AD4-49FA-BAF9-3F50D0E3D955}"/>
    <cellStyle name="Millares 7 2 10 2 2" xfId="1042" xr:uid="{AF1575D1-3424-43B8-A1B2-D0FC4525833E}"/>
    <cellStyle name="Millares 7 2 10 3" xfId="1043" xr:uid="{D8685B40-060B-4C2F-B3BC-39B9959416C0}"/>
    <cellStyle name="Millares 7 2 11" xfId="1044" xr:uid="{BC5EC286-A0FD-4F81-AD51-5C105AD2BFE6}"/>
    <cellStyle name="Millares 7 2 11 2" xfId="1045" xr:uid="{E1CBF731-F41F-43F1-8A8B-F238D4716C36}"/>
    <cellStyle name="Millares 7 2 12" xfId="1046" xr:uid="{57EBE5FD-80EC-415E-9F01-309343709A4E}"/>
    <cellStyle name="Millares 7 2 13" xfId="1047" xr:uid="{952BA925-0B8E-4271-9763-0698BE2C2D60}"/>
    <cellStyle name="Millares 7 2 2" xfId="1048" xr:uid="{B65C8D29-9EB7-4B6A-8FA6-C5334620C41B}"/>
    <cellStyle name="Millares 7 2 2 2" xfId="1049" xr:uid="{A41C5158-E845-44B5-81B4-C583DF01DA53}"/>
    <cellStyle name="Millares 7 2 2 2 2" xfId="1050" xr:uid="{49299BF0-0A0D-4A86-9123-06ACF9FBD129}"/>
    <cellStyle name="Millares 7 2 2 2 2 2" xfId="1051" xr:uid="{206C0CF2-CE99-414F-9C67-DAE6511EC5E7}"/>
    <cellStyle name="Millares 7 2 2 2 3" xfId="1052" xr:uid="{BBF76371-CB8A-415D-A650-AA8581B9E5C9}"/>
    <cellStyle name="Millares 7 2 2 3" xfId="1053" xr:uid="{40A82235-BFAA-4D74-B096-5AB61C5C71A3}"/>
    <cellStyle name="Millares 7 2 2 3 2" xfId="1054" xr:uid="{915DC224-CB0B-454C-A0E5-B977A2D9D3AA}"/>
    <cellStyle name="Millares 7 2 2 3 2 2" xfId="1055" xr:uid="{F201C795-EB3C-42B6-A30A-1468C5C88283}"/>
    <cellStyle name="Millares 7 2 2 3 3" xfId="1056" xr:uid="{B4DDADA1-36FD-44FF-BDC8-832F15FBB55A}"/>
    <cellStyle name="Millares 7 2 2 4" xfId="1057" xr:uid="{247E40BF-EBEB-4C83-BB99-72EB255CBADA}"/>
    <cellStyle name="Millares 7 2 2 4 2" xfId="1058" xr:uid="{6B4F7DF1-671A-4E93-A7A4-60B141755777}"/>
    <cellStyle name="Millares 7 2 2 4 2 2" xfId="1059" xr:uid="{4DFDA15A-CC77-45DF-B082-CD3E71E552BA}"/>
    <cellStyle name="Millares 7 2 2 4 3" xfId="1060" xr:uid="{80054BFB-C0DD-4A2D-AC36-52D06DFCF4AB}"/>
    <cellStyle name="Millares 7 2 2 5" xfId="1061" xr:uid="{2EE8C192-CEBF-45FD-BD25-25CD998FEF04}"/>
    <cellStyle name="Millares 7 2 2 5 2" xfId="1062" xr:uid="{87340D9A-FE26-43B2-90CE-5E59002E133C}"/>
    <cellStyle name="Millares 7 2 2 5 2 2" xfId="1063" xr:uid="{3D4B9359-EA2B-4EFB-8280-45AF3F96CD8F}"/>
    <cellStyle name="Millares 7 2 2 5 3" xfId="1064" xr:uid="{090CA014-AC8C-4CEC-8F07-D90AC0D170C1}"/>
    <cellStyle name="Millares 7 2 2 6" xfId="1065" xr:uid="{46A75935-BC1E-4B25-91A7-60683C5C6F84}"/>
    <cellStyle name="Millares 7 2 2 6 2" xfId="1066" xr:uid="{35EEB80D-2B17-4E4B-B53B-8D3DEA01082F}"/>
    <cellStyle name="Millares 7 2 2 6 2 2" xfId="1067" xr:uid="{62ED1A37-AE6C-4270-8D33-3A603BFA2222}"/>
    <cellStyle name="Millares 7 2 2 6 3" xfId="1068" xr:uid="{DAA4C2F9-B522-4945-AD19-A362F8DD1B56}"/>
    <cellStyle name="Millares 7 2 2 7" xfId="1069" xr:uid="{DD72D2A7-AB0E-4D78-94B5-4669AC8AD8D1}"/>
    <cellStyle name="Millares 7 2 2 7 2" xfId="1070" xr:uid="{F15DDBDD-A10B-441F-879D-A9BA1A14E812}"/>
    <cellStyle name="Millares 7 2 2 8" xfId="1071" xr:uid="{950DD907-5E81-4FAB-9DC0-DFADFFDE6F89}"/>
    <cellStyle name="Millares 7 2 2 9" xfId="1072" xr:uid="{4408CF68-544D-4854-9D7D-270D6B4726DE}"/>
    <cellStyle name="Millares 7 2 3" xfId="1073" xr:uid="{22DB8E24-3C0E-46B1-826E-CC214C194F86}"/>
    <cellStyle name="Millares 7 2 3 2" xfId="1074" xr:uid="{94DD401F-8B1A-4464-A0AB-7B951C74A20A}"/>
    <cellStyle name="Millares 7 2 3 2 2" xfId="1075" xr:uid="{E441B454-CFE6-4EFB-A5FF-0092584E8348}"/>
    <cellStyle name="Millares 7 2 3 2 2 2" xfId="1076" xr:uid="{E38F19A0-D499-4720-BA04-565DB722EEBD}"/>
    <cellStyle name="Millares 7 2 3 2 3" xfId="1077" xr:uid="{791204B6-82B8-45B0-8FC5-A8EEBFF4106A}"/>
    <cellStyle name="Millares 7 2 3 3" xfId="1078" xr:uid="{ACDB13D7-86CD-4B40-9273-726A96904CBC}"/>
    <cellStyle name="Millares 7 2 3 3 2" xfId="1079" xr:uid="{B488F5F4-AAAC-4411-8DC7-DE75580A2885}"/>
    <cellStyle name="Millares 7 2 3 3 2 2" xfId="1080" xr:uid="{D0F9DCB4-8295-42A3-B3EA-A76CDDB28E64}"/>
    <cellStyle name="Millares 7 2 3 3 3" xfId="1081" xr:uid="{BEB59CE1-0CDB-4AE5-8B92-472B53F1A40B}"/>
    <cellStyle name="Millares 7 2 3 4" xfId="1082" xr:uid="{7D02643C-44CB-4757-A511-0199059755E2}"/>
    <cellStyle name="Millares 7 2 3 4 2" xfId="1083" xr:uid="{54557035-57FC-4CA9-B4F0-62E2995ABDE2}"/>
    <cellStyle name="Millares 7 2 3 4 2 2" xfId="1084" xr:uid="{6C339E35-E2BA-4F56-8A7C-57CB42ABB466}"/>
    <cellStyle name="Millares 7 2 3 4 3" xfId="1085" xr:uid="{7B7BBB9B-00F3-467D-A1E9-D7C74EE52918}"/>
    <cellStyle name="Millares 7 2 3 5" xfId="1086" xr:uid="{7C625F79-C24D-458D-9C65-B608FFEC0E7C}"/>
    <cellStyle name="Millares 7 2 3 5 2" xfId="1087" xr:uid="{22D7B1A3-9A1B-4E4A-885A-D14ED6AE7173}"/>
    <cellStyle name="Millares 7 2 3 5 2 2" xfId="1088" xr:uid="{834B2F0D-D320-453C-B3B4-C80487D2CA06}"/>
    <cellStyle name="Millares 7 2 3 5 3" xfId="1089" xr:uid="{59E6F148-DF4D-497F-AD17-F6BBF7497F2E}"/>
    <cellStyle name="Millares 7 2 3 6" xfId="1090" xr:uid="{DAF76D72-E84E-494C-A0E3-AA0A40E0AC50}"/>
    <cellStyle name="Millares 7 2 3 6 2" xfId="1091" xr:uid="{EBB31000-499A-4289-85C0-58427291C984}"/>
    <cellStyle name="Millares 7 2 3 6 2 2" xfId="1092" xr:uid="{9837ADEE-AD53-408A-ACC4-34F838117BD5}"/>
    <cellStyle name="Millares 7 2 3 6 3" xfId="1093" xr:uid="{52A19B6F-9B33-41CD-AAFB-936C37D4ECC1}"/>
    <cellStyle name="Millares 7 2 3 7" xfId="1094" xr:uid="{82B1499E-177A-4CDA-A89A-D69AA56FC592}"/>
    <cellStyle name="Millares 7 2 3 7 2" xfId="1095" xr:uid="{E4907585-FD62-4EC9-9613-8D63EEF8D6F9}"/>
    <cellStyle name="Millares 7 2 3 8" xfId="1096" xr:uid="{7ABC9011-D51D-45A0-903A-F33A0665F026}"/>
    <cellStyle name="Millares 7 2 4" xfId="1097" xr:uid="{55239AEF-2C70-4D5C-B594-23ED76ADCC6C}"/>
    <cellStyle name="Millares 7 2 4 2" xfId="1098" xr:uid="{24099E27-76EE-428A-9E82-463C72ECFE74}"/>
    <cellStyle name="Millares 7 2 4 2 2" xfId="1099" xr:uid="{568AB555-F2D8-4EB3-A305-DB951D9C30E5}"/>
    <cellStyle name="Millares 7 2 4 2 2 2" xfId="1100" xr:uid="{E5C95165-ECEE-4B57-A43F-E9851F0065A6}"/>
    <cellStyle name="Millares 7 2 4 2 3" xfId="1101" xr:uid="{69107D96-1555-4EDF-9D36-7E2F92CAD437}"/>
    <cellStyle name="Millares 7 2 4 3" xfId="1102" xr:uid="{33AFB316-3B5B-47E2-B59A-9360EF64FE71}"/>
    <cellStyle name="Millares 7 2 4 3 2" xfId="1103" xr:uid="{6A469033-9E8E-4B6C-80A6-00EA9D1AE412}"/>
    <cellStyle name="Millares 7 2 4 3 2 2" xfId="1104" xr:uid="{93A2C42C-4045-48B4-99BD-AF39628D1AAF}"/>
    <cellStyle name="Millares 7 2 4 3 3" xfId="1105" xr:uid="{CE73CE08-2032-4D9A-8CD1-C8E76CDBA197}"/>
    <cellStyle name="Millares 7 2 4 4" xfId="1106" xr:uid="{98CD3FFF-843C-47DF-A2B6-2891757BAF5F}"/>
    <cellStyle name="Millares 7 2 4 4 2" xfId="1107" xr:uid="{4C7D3EFF-284E-4C56-927C-71D5BF85A760}"/>
    <cellStyle name="Millares 7 2 4 4 2 2" xfId="1108" xr:uid="{E60030DE-7907-4A2F-BCAB-08D077EF8BC1}"/>
    <cellStyle name="Millares 7 2 4 4 3" xfId="1109" xr:uid="{7E098026-0E0D-4965-9ABB-49792B24BEAE}"/>
    <cellStyle name="Millares 7 2 4 5" xfId="1110" xr:uid="{78C5B60A-5377-4CBF-9F3F-4E5377BFE574}"/>
    <cellStyle name="Millares 7 2 4 5 2" xfId="1111" xr:uid="{DF23FD2E-93F7-4B15-AB59-3E186A35DC79}"/>
    <cellStyle name="Millares 7 2 4 5 2 2" xfId="1112" xr:uid="{F88BAC38-4950-47F8-A988-F9E5A3D89914}"/>
    <cellStyle name="Millares 7 2 4 5 3" xfId="1113" xr:uid="{8ED70074-A478-4220-9744-B205527B1675}"/>
    <cellStyle name="Millares 7 2 4 6" xfId="1114" xr:uid="{48CC7CDE-1E24-422E-9D7E-9460B1484900}"/>
    <cellStyle name="Millares 7 2 4 6 2" xfId="1115" xr:uid="{BDE8AC6D-7C30-4E75-9FF8-8451F8291558}"/>
    <cellStyle name="Millares 7 2 4 6 2 2" xfId="1116" xr:uid="{28E602D7-2EF2-4334-A36F-68869635C2A5}"/>
    <cellStyle name="Millares 7 2 4 6 3" xfId="1117" xr:uid="{592E23BF-BDEF-4253-B492-06DD5864C26D}"/>
    <cellStyle name="Millares 7 2 4 7" xfId="1118" xr:uid="{8BE891A7-0BA6-4D51-9583-08C69817294A}"/>
    <cellStyle name="Millares 7 2 4 7 2" xfId="1119" xr:uid="{CF350378-D26F-41C5-9EFD-B9F9C1822950}"/>
    <cellStyle name="Millares 7 2 4 8" xfId="1120" xr:uid="{46D82D55-53EC-4F7E-9B64-28CDD055601A}"/>
    <cellStyle name="Millares 7 2 5" xfId="1121" xr:uid="{BC5D7F4A-C47D-4A3B-85DA-B49D6478EE69}"/>
    <cellStyle name="Millares 7 2 5 2" xfId="1122" xr:uid="{3CE7CF65-E76B-46B1-B928-CF3682E5E984}"/>
    <cellStyle name="Millares 7 2 5 2 2" xfId="1123" xr:uid="{5912414B-733E-49CB-A630-F5099BE0510F}"/>
    <cellStyle name="Millares 7 2 5 3" xfId="1124" xr:uid="{A1A8A790-F26E-4A75-A72C-813E0022DD20}"/>
    <cellStyle name="Millares 7 2 6" xfId="1125" xr:uid="{21AFD299-0351-4F5D-9D5E-C6E04BEEB84A}"/>
    <cellStyle name="Millares 7 2 6 2" xfId="1126" xr:uid="{7DFAFAE8-BE31-4681-8657-CA0E500A50A5}"/>
    <cellStyle name="Millares 7 2 6 2 2" xfId="1127" xr:uid="{931EE240-1DEB-4A65-98E7-88785842FBA5}"/>
    <cellStyle name="Millares 7 2 6 3" xfId="1128" xr:uid="{9FBFA562-9B11-4C55-83CC-542F2672067D}"/>
    <cellStyle name="Millares 7 2 7" xfId="1129" xr:uid="{2E132DE1-DC1A-4669-8E62-2CD2EB8DB91F}"/>
    <cellStyle name="Millares 7 2 7 2" xfId="1130" xr:uid="{008D8D42-9BA9-4772-8478-9DEF7757F8BE}"/>
    <cellStyle name="Millares 7 2 7 2 2" xfId="1131" xr:uid="{147B0F82-4186-4D0D-9FF3-AD67FC0DBDB4}"/>
    <cellStyle name="Millares 7 2 7 3" xfId="1132" xr:uid="{D6CDA692-2117-45DF-9995-6E8B5A6291DC}"/>
    <cellStyle name="Millares 7 2 8" xfId="1133" xr:uid="{98436055-9595-4136-8268-0BCA9341DE78}"/>
    <cellStyle name="Millares 7 2 8 2" xfId="1134" xr:uid="{7CD760B6-E480-4C94-87EE-CA819B4C6071}"/>
    <cellStyle name="Millares 7 2 8 2 2" xfId="1135" xr:uid="{F343280C-452C-48A1-8AC1-41B52ED1EE27}"/>
    <cellStyle name="Millares 7 2 8 3" xfId="1136" xr:uid="{3FC0B920-AF28-4BA7-9768-079465912B1A}"/>
    <cellStyle name="Millares 7 2 9" xfId="1137" xr:uid="{ACF255E5-33F5-48B2-AF71-0A3C70E98932}"/>
    <cellStyle name="Millares 7 2 9 2" xfId="1138" xr:uid="{0499237F-8AF1-4D9A-BCDE-775FBB41F5FD}"/>
    <cellStyle name="Millares 7 2 9 2 2" xfId="1139" xr:uid="{625363E3-336C-4FD4-8D9D-FFB8E955FFB4}"/>
    <cellStyle name="Millares 7 2 9 3" xfId="1140" xr:uid="{DB95A024-B259-4516-BE9B-3CBC4723449A}"/>
    <cellStyle name="Millares 7 3" xfId="51" xr:uid="{C3144DA6-BD2A-41F0-8120-4D816B12F1B7}"/>
    <cellStyle name="Millares 7 3 10" xfId="1141" xr:uid="{59CDEE20-A64E-425D-9F12-6860421D96E0}"/>
    <cellStyle name="Millares 7 3 10 2" xfId="1142" xr:uid="{6CAE9885-1FE3-4DA6-BD47-F0F155B318F2}"/>
    <cellStyle name="Millares 7 3 10 2 2" xfId="1143" xr:uid="{9C663F70-5F92-4556-BEEB-1F166291CEFB}"/>
    <cellStyle name="Millares 7 3 10 3" xfId="1144" xr:uid="{B672AA3A-3263-4107-9B00-97FEC0DFBECE}"/>
    <cellStyle name="Millares 7 3 11" xfId="1145" xr:uid="{89DA1BC7-ADF0-4031-A766-6298489EE462}"/>
    <cellStyle name="Millares 7 3 11 2" xfId="1146" xr:uid="{B1490FDD-E725-4D99-B356-A5B4126DBEC5}"/>
    <cellStyle name="Millares 7 3 12" xfId="1147" xr:uid="{F75A867D-B0DD-461C-A965-282B0F29BB57}"/>
    <cellStyle name="Millares 7 3 13" xfId="1148" xr:uid="{7BF44964-57C8-4EAD-AED4-211304752CAF}"/>
    <cellStyle name="Millares 7 3 2" xfId="1149" xr:uid="{84346AFD-88F3-42A5-8D96-A6E35B8DC27A}"/>
    <cellStyle name="Millares 7 3 2 2" xfId="1150" xr:uid="{FAFD3D8E-06CF-4B10-AD58-9F7A6E693609}"/>
    <cellStyle name="Millares 7 3 2 2 2" xfId="1151" xr:uid="{93C2E4A5-DC92-41BE-B2FD-6B94AEE6DC25}"/>
    <cellStyle name="Millares 7 3 2 2 2 2" xfId="1152" xr:uid="{2E09D78A-8536-4332-A708-4EE1EE5043D1}"/>
    <cellStyle name="Millares 7 3 2 2 3" xfId="1153" xr:uid="{2B2CA28B-8F5F-4705-80A1-D183487B0768}"/>
    <cellStyle name="Millares 7 3 2 3" xfId="1154" xr:uid="{A39F7E57-1C2E-44A3-9224-01DE35153736}"/>
    <cellStyle name="Millares 7 3 2 3 2" xfId="1155" xr:uid="{6F7A382E-C336-4B78-BC99-AB6017E7BF26}"/>
    <cellStyle name="Millares 7 3 2 3 2 2" xfId="1156" xr:uid="{C0157277-D582-431D-8395-C5B74527BF38}"/>
    <cellStyle name="Millares 7 3 2 3 3" xfId="1157" xr:uid="{C80D6296-AF99-4CD8-A6EA-711746DF286C}"/>
    <cellStyle name="Millares 7 3 2 4" xfId="1158" xr:uid="{645773D5-443D-444D-AC58-E3E288B44270}"/>
    <cellStyle name="Millares 7 3 2 4 2" xfId="1159" xr:uid="{88E459B8-360E-43F2-B1B7-FB35F85CE15C}"/>
    <cellStyle name="Millares 7 3 2 4 2 2" xfId="1160" xr:uid="{584F5E1E-9669-49A7-84FD-D9A4D0EA6475}"/>
    <cellStyle name="Millares 7 3 2 4 3" xfId="1161" xr:uid="{FBBC836E-59D1-4296-B393-26A0021CCCB3}"/>
    <cellStyle name="Millares 7 3 2 5" xfId="1162" xr:uid="{3096C73A-D1DB-4C05-8DF1-82FB4AF1294A}"/>
    <cellStyle name="Millares 7 3 2 5 2" xfId="1163" xr:uid="{3C7EAFC1-F326-4740-86D4-BB03107E5B63}"/>
    <cellStyle name="Millares 7 3 2 5 2 2" xfId="1164" xr:uid="{EB12FA01-6240-4521-B722-155F559DAFDF}"/>
    <cellStyle name="Millares 7 3 2 5 3" xfId="1165" xr:uid="{7B073273-4CCB-4C37-8120-7B0931440E15}"/>
    <cellStyle name="Millares 7 3 2 6" xfId="1166" xr:uid="{9BBCECEA-A41B-4E33-B070-DFA6CE142B78}"/>
    <cellStyle name="Millares 7 3 2 6 2" xfId="1167" xr:uid="{5A3CABDD-183F-4778-AA85-CDFA82FA76A0}"/>
    <cellStyle name="Millares 7 3 2 6 2 2" xfId="1168" xr:uid="{D83B150A-09C4-4279-A14C-95085E931C6D}"/>
    <cellStyle name="Millares 7 3 2 6 3" xfId="1169" xr:uid="{EB85980A-CF4E-4D76-896A-4BDD5C47BDC5}"/>
    <cellStyle name="Millares 7 3 2 7" xfId="1170" xr:uid="{7FF312BA-C8EA-48F8-9B7B-DD5BECF292D9}"/>
    <cellStyle name="Millares 7 3 2 7 2" xfId="1171" xr:uid="{2409189A-C6F5-4311-A87C-65E2646743AF}"/>
    <cellStyle name="Millares 7 3 2 8" xfId="1172" xr:uid="{5A92C532-A129-4BB5-BAF1-25074151DB3C}"/>
    <cellStyle name="Millares 7 3 2 9" xfId="1173" xr:uid="{86E01169-056C-4307-BD76-54EA6C326907}"/>
    <cellStyle name="Millares 7 3 3" xfId="1174" xr:uid="{AACAD957-59CA-4DED-9D02-E38922E77B95}"/>
    <cellStyle name="Millares 7 3 3 2" xfId="1175" xr:uid="{DC97C2E6-3FE0-4917-8439-C00A7AABBCFF}"/>
    <cellStyle name="Millares 7 3 3 2 2" xfId="1176" xr:uid="{62D72869-2DCB-4551-9C5A-3204C25727A9}"/>
    <cellStyle name="Millares 7 3 3 2 2 2" xfId="1177" xr:uid="{70BB6EC5-21F2-471A-9DCD-E1F2E59E268A}"/>
    <cellStyle name="Millares 7 3 3 2 3" xfId="1178" xr:uid="{5EFD013F-D77A-4D79-B6F6-E717B2C01E40}"/>
    <cellStyle name="Millares 7 3 3 3" xfId="1179" xr:uid="{0BEAF7A7-F803-4DB3-9951-22340ABF40D5}"/>
    <cellStyle name="Millares 7 3 3 3 2" xfId="1180" xr:uid="{7E45A8CA-4035-4283-8A41-8AC490968ACA}"/>
    <cellStyle name="Millares 7 3 3 3 2 2" xfId="1181" xr:uid="{E5F95BD0-994C-45B1-9A3F-40665761A695}"/>
    <cellStyle name="Millares 7 3 3 3 3" xfId="1182" xr:uid="{37DCAFA3-E1F3-486C-8020-BEA0505C4713}"/>
    <cellStyle name="Millares 7 3 3 4" xfId="1183" xr:uid="{8F7E7D54-997B-48E2-9DB5-5E36A251E34B}"/>
    <cellStyle name="Millares 7 3 3 4 2" xfId="1184" xr:uid="{C450B9DC-B283-4DA1-831A-0D15A9FED1BC}"/>
    <cellStyle name="Millares 7 3 3 4 2 2" xfId="1185" xr:uid="{44F4DA3B-18BE-4640-B59A-4BAA6A2CB299}"/>
    <cellStyle name="Millares 7 3 3 4 3" xfId="1186" xr:uid="{5F4A01B9-951D-437D-9E16-BCDF08D25743}"/>
    <cellStyle name="Millares 7 3 3 5" xfId="1187" xr:uid="{E86EF7BB-8F44-4F37-96F1-35ECA1AE0AEA}"/>
    <cellStyle name="Millares 7 3 3 5 2" xfId="1188" xr:uid="{F078CFB6-FDAF-402C-B3BA-6BAAFC128CED}"/>
    <cellStyle name="Millares 7 3 3 5 2 2" xfId="1189" xr:uid="{56D8FA58-087F-464E-B99E-5EB9A3E12EBA}"/>
    <cellStyle name="Millares 7 3 3 5 3" xfId="1190" xr:uid="{36B3ABD4-0A42-4791-BFD2-8E9E87F097EF}"/>
    <cellStyle name="Millares 7 3 3 6" xfId="1191" xr:uid="{92F3DE41-2A56-48C3-959D-D91549A1C377}"/>
    <cellStyle name="Millares 7 3 3 6 2" xfId="1192" xr:uid="{C45EA23D-67B3-418F-94CD-58B30E368A76}"/>
    <cellStyle name="Millares 7 3 3 6 2 2" xfId="1193" xr:uid="{6FD22FD4-17C2-4D35-A731-C66345DFB5AD}"/>
    <cellStyle name="Millares 7 3 3 6 3" xfId="1194" xr:uid="{E65EA604-809F-455A-A83B-408CBD25C9C9}"/>
    <cellStyle name="Millares 7 3 3 7" xfId="1195" xr:uid="{2F8EB34A-AAFB-4427-B78B-17958D3CD81F}"/>
    <cellStyle name="Millares 7 3 3 7 2" xfId="1196" xr:uid="{9DA87A42-A753-4540-B681-F34D94D52D63}"/>
    <cellStyle name="Millares 7 3 3 8" xfId="1197" xr:uid="{463280B6-B482-4966-ACDE-089B88F502B4}"/>
    <cellStyle name="Millares 7 3 4" xfId="1198" xr:uid="{38BAB2F9-183E-4F06-9629-725C0B2CA9D1}"/>
    <cellStyle name="Millares 7 3 4 2" xfId="1199" xr:uid="{7E006808-8BC5-41E3-96FA-1E245248E4EB}"/>
    <cellStyle name="Millares 7 3 4 2 2" xfId="1200" xr:uid="{C64195B7-F6A8-43A4-9161-AE801C8881EC}"/>
    <cellStyle name="Millares 7 3 4 2 2 2" xfId="1201" xr:uid="{B3D1EA10-59AC-4527-8504-2AC7CF004C79}"/>
    <cellStyle name="Millares 7 3 4 2 3" xfId="1202" xr:uid="{740C579E-5AAF-450E-8391-6C4002148C03}"/>
    <cellStyle name="Millares 7 3 4 3" xfId="1203" xr:uid="{2246860D-EBC1-4553-A502-BE81569521AA}"/>
    <cellStyle name="Millares 7 3 4 3 2" xfId="1204" xr:uid="{E6DEF7AB-5677-44A2-9180-270A3B75C5CB}"/>
    <cellStyle name="Millares 7 3 4 3 2 2" xfId="1205" xr:uid="{34A005B7-7DF3-4219-9884-5E1DB2DF8E2E}"/>
    <cellStyle name="Millares 7 3 4 3 3" xfId="1206" xr:uid="{83DA74E2-5324-49F5-9097-B43098979B08}"/>
    <cellStyle name="Millares 7 3 4 4" xfId="1207" xr:uid="{F173B547-9E67-46C5-B19F-3AD75B7CE3EE}"/>
    <cellStyle name="Millares 7 3 4 4 2" xfId="1208" xr:uid="{A87A33BD-17F3-4ED1-9B8B-8E76B2A1476D}"/>
    <cellStyle name="Millares 7 3 4 4 2 2" xfId="1209" xr:uid="{D0CE24EC-3B0A-4CCC-88D5-93B05F788348}"/>
    <cellStyle name="Millares 7 3 4 4 3" xfId="1210" xr:uid="{C0EF1A4D-098A-41A6-858A-394F8A41001F}"/>
    <cellStyle name="Millares 7 3 4 5" xfId="1211" xr:uid="{163A2754-F8DD-4884-8CFA-AA2834C7A047}"/>
    <cellStyle name="Millares 7 3 4 5 2" xfId="1212" xr:uid="{DC96C36D-F070-49C7-AA87-B7954A3A1494}"/>
    <cellStyle name="Millares 7 3 4 5 2 2" xfId="1213" xr:uid="{CDCEDAB4-78E7-4125-8ABB-8169DC2BAE79}"/>
    <cellStyle name="Millares 7 3 4 5 3" xfId="1214" xr:uid="{BBF451D5-093B-4914-9E26-AEF03AEDB650}"/>
    <cellStyle name="Millares 7 3 4 6" xfId="1215" xr:uid="{71AFACD1-693F-4D27-AB85-56EDE359EA74}"/>
    <cellStyle name="Millares 7 3 4 6 2" xfId="1216" xr:uid="{8D339E2B-095B-47D7-9847-F93C61B4BF49}"/>
    <cellStyle name="Millares 7 3 4 6 2 2" xfId="1217" xr:uid="{33BBEA90-7945-4C5F-B38D-F024664588C9}"/>
    <cellStyle name="Millares 7 3 4 6 3" xfId="1218" xr:uid="{8E1E9C93-CA0B-4568-9C02-1BDC90134E4F}"/>
    <cellStyle name="Millares 7 3 4 7" xfId="1219" xr:uid="{34571CF5-D8DC-4A66-9AEF-5E609C892065}"/>
    <cellStyle name="Millares 7 3 4 7 2" xfId="1220" xr:uid="{2BA81D23-64E0-4B2E-8DDA-A51161274A80}"/>
    <cellStyle name="Millares 7 3 4 8" xfId="1221" xr:uid="{91C5C64A-AABB-40E5-ACD0-B3F19A4EF299}"/>
    <cellStyle name="Millares 7 3 5" xfId="1222" xr:uid="{02BE4CA0-0090-475C-A175-F0C229508BA5}"/>
    <cellStyle name="Millares 7 3 5 2" xfId="1223" xr:uid="{CC78316D-3792-474A-8F42-8D81C0CDA3D2}"/>
    <cellStyle name="Millares 7 3 5 2 2" xfId="1224" xr:uid="{2DE01E94-12E0-49A8-9824-2133876FA388}"/>
    <cellStyle name="Millares 7 3 5 3" xfId="1225" xr:uid="{67862FD7-5CF6-4F61-BFB0-283E1BC94C60}"/>
    <cellStyle name="Millares 7 3 6" xfId="1226" xr:uid="{204CC12B-E784-4A4F-A07F-499A30F70EFC}"/>
    <cellStyle name="Millares 7 3 6 2" xfId="1227" xr:uid="{D15AA869-88F8-4933-AB5F-C3BAC957970F}"/>
    <cellStyle name="Millares 7 3 6 2 2" xfId="1228" xr:uid="{BEABA7B7-8E39-4217-B4DF-FC73F9C3FE7F}"/>
    <cellStyle name="Millares 7 3 6 3" xfId="1229" xr:uid="{A7777019-34B4-4DB2-804A-C23D25F2A4F8}"/>
    <cellStyle name="Millares 7 3 7" xfId="1230" xr:uid="{B082FE0D-94EB-4A20-A638-ACD77AC5A089}"/>
    <cellStyle name="Millares 7 3 7 2" xfId="1231" xr:uid="{B77F51E2-E1C9-48B3-AE75-9D47E1E8B30F}"/>
    <cellStyle name="Millares 7 3 7 2 2" xfId="1232" xr:uid="{DF1F21E6-854A-492C-8A56-5F701BF806B7}"/>
    <cellStyle name="Millares 7 3 7 3" xfId="1233" xr:uid="{A366FB1E-60F1-49C9-B474-6978E72AE6E4}"/>
    <cellStyle name="Millares 7 3 8" xfId="1234" xr:uid="{9E642986-B971-4ED6-9498-D21CC4080917}"/>
    <cellStyle name="Millares 7 3 8 2" xfId="1235" xr:uid="{4CB617A0-819E-47D8-89FC-A90D98E1BDBB}"/>
    <cellStyle name="Millares 7 3 8 2 2" xfId="1236" xr:uid="{A81ACB36-9285-419F-BD5C-06BA54E1444C}"/>
    <cellStyle name="Millares 7 3 8 3" xfId="1237" xr:uid="{47807959-B812-45CD-A4EC-04C7401F4782}"/>
    <cellStyle name="Millares 7 3 9" xfId="1238" xr:uid="{6337BAA0-57AC-40D7-98F3-D6B650466577}"/>
    <cellStyle name="Millares 7 3 9 2" xfId="1239" xr:uid="{798DB1C8-269C-401A-9DCA-34509CEF8C1C}"/>
    <cellStyle name="Millares 7 3 9 2 2" xfId="1240" xr:uid="{AF9D55B7-BD9A-4762-BAFE-7F762CFFF9B0}"/>
    <cellStyle name="Millares 7 3 9 3" xfId="1241" xr:uid="{64B1C78C-6991-4D4F-8981-2ABE5E717079}"/>
    <cellStyle name="Millares 7 4" xfId="52" xr:uid="{4DFEAAB9-16A7-4997-9650-F225B3DEEB62}"/>
    <cellStyle name="Millares 7 4 10" xfId="1242" xr:uid="{0EBC2129-45FE-4CF4-99BC-821F13EA3B5B}"/>
    <cellStyle name="Millares 7 4 10 2" xfId="1243" xr:uid="{B0D23638-73FA-424E-BDAC-59C678B8D618}"/>
    <cellStyle name="Millares 7 4 10 2 2" xfId="1244" xr:uid="{22F76F49-55D9-4CA2-977C-6F2D94EC7D70}"/>
    <cellStyle name="Millares 7 4 10 3" xfId="1245" xr:uid="{2C0B8CDE-995E-41D9-A8E8-D331E8393472}"/>
    <cellStyle name="Millares 7 4 11" xfId="1246" xr:uid="{8283A5C1-CDBD-4922-8555-0305EA802365}"/>
    <cellStyle name="Millares 7 4 11 2" xfId="1247" xr:uid="{AD5FE5A2-D786-47D1-BF45-C52D867D8A2C}"/>
    <cellStyle name="Millares 7 4 12" xfId="1248" xr:uid="{8C7BD61C-899C-40ED-9AF0-71FD641F4C8D}"/>
    <cellStyle name="Millares 7 4 13" xfId="1249" xr:uid="{FF951022-03FA-4A4D-8251-4950BABE7C68}"/>
    <cellStyle name="Millares 7 4 2" xfId="1250" xr:uid="{67669860-CA8A-4A94-923A-9EC6DF937B18}"/>
    <cellStyle name="Millares 7 4 2 2" xfId="1251" xr:uid="{AD12206E-0B5D-4872-8685-1D34C4CEEB18}"/>
    <cellStyle name="Millares 7 4 2 2 2" xfId="1252" xr:uid="{1C6D3766-F824-42F1-A985-C869E0023633}"/>
    <cellStyle name="Millares 7 4 2 2 2 2" xfId="1253" xr:uid="{B8A0A48E-5560-4B73-9826-4AF89613C2BA}"/>
    <cellStyle name="Millares 7 4 2 2 3" xfId="1254" xr:uid="{897D9B02-D62F-4EA7-8C21-2B7DDC276463}"/>
    <cellStyle name="Millares 7 4 2 3" xfId="1255" xr:uid="{AE72DF6C-C147-4E94-B3E8-2E406C84959E}"/>
    <cellStyle name="Millares 7 4 2 3 2" xfId="1256" xr:uid="{13CE0759-6299-48E1-A3CE-E92F4CB50174}"/>
    <cellStyle name="Millares 7 4 2 3 2 2" xfId="1257" xr:uid="{8C94F549-6856-4137-B197-0C997734EE81}"/>
    <cellStyle name="Millares 7 4 2 3 3" xfId="1258" xr:uid="{62B67309-E0B7-4095-8519-CAA2DD82A814}"/>
    <cellStyle name="Millares 7 4 2 4" xfId="1259" xr:uid="{98EE8A94-0F08-4EF7-BC56-DAD3421397AA}"/>
    <cellStyle name="Millares 7 4 2 4 2" xfId="1260" xr:uid="{4B20A1E2-7C89-47AC-A788-A42E995D7858}"/>
    <cellStyle name="Millares 7 4 2 4 2 2" xfId="1261" xr:uid="{2C836F80-8227-47AB-85C9-4C15C963C1F3}"/>
    <cellStyle name="Millares 7 4 2 4 3" xfId="1262" xr:uid="{99715576-E451-41FD-8304-AB2651C9BC07}"/>
    <cellStyle name="Millares 7 4 2 5" xfId="1263" xr:uid="{2D4EC2F9-C10A-4F82-9F28-09E2E8CDA79C}"/>
    <cellStyle name="Millares 7 4 2 5 2" xfId="1264" xr:uid="{78C10C29-DE17-4C4C-AD16-94922047AF02}"/>
    <cellStyle name="Millares 7 4 2 5 2 2" xfId="1265" xr:uid="{5E3BAAE9-2C6C-4242-8236-AAE56D9FA8A5}"/>
    <cellStyle name="Millares 7 4 2 5 3" xfId="1266" xr:uid="{ADF61F28-4900-4ED9-A39E-5F275B10372E}"/>
    <cellStyle name="Millares 7 4 2 6" xfId="1267" xr:uid="{9A617513-5B49-4D56-92B8-6856F76EAD95}"/>
    <cellStyle name="Millares 7 4 2 6 2" xfId="1268" xr:uid="{FBDE8B50-AB3B-428E-A02E-5EA3FEBA3765}"/>
    <cellStyle name="Millares 7 4 2 6 2 2" xfId="1269" xr:uid="{FF4AC745-E1F3-43D4-AFC5-CBFE213C4D20}"/>
    <cellStyle name="Millares 7 4 2 6 3" xfId="1270" xr:uid="{FC7DF301-8341-44FA-85D0-91844C58960F}"/>
    <cellStyle name="Millares 7 4 2 7" xfId="1271" xr:uid="{2030DCC4-0A10-4615-9681-82BDCEBCD3A3}"/>
    <cellStyle name="Millares 7 4 2 7 2" xfId="1272" xr:uid="{22794475-74EB-421D-BF2C-039E481B06D2}"/>
    <cellStyle name="Millares 7 4 2 8" xfId="1273" xr:uid="{FFAF5A1B-74DB-492E-B4DE-7F96C1759CB5}"/>
    <cellStyle name="Millares 7 4 2 9" xfId="1274" xr:uid="{9C6FA21D-B490-43F5-A46D-866DD11A1768}"/>
    <cellStyle name="Millares 7 4 3" xfId="1275" xr:uid="{14EE2CA2-3E51-4D8E-A794-A252C6DD1B13}"/>
    <cellStyle name="Millares 7 4 3 2" xfId="1276" xr:uid="{E78463F1-5FA7-4738-98A6-017AA6286290}"/>
    <cellStyle name="Millares 7 4 3 2 2" xfId="1277" xr:uid="{CD02AF75-1294-4CB4-B786-A21C3CED9695}"/>
    <cellStyle name="Millares 7 4 3 2 2 2" xfId="1278" xr:uid="{094BEDB4-DB54-4639-A6BE-BF90AF9FE4E8}"/>
    <cellStyle name="Millares 7 4 3 2 3" xfId="1279" xr:uid="{6EDE571F-BC5D-4F40-8077-2FC2D3A0A9BE}"/>
    <cellStyle name="Millares 7 4 3 3" xfId="1280" xr:uid="{08FA38E5-95BB-4F6F-93F3-A41301547625}"/>
    <cellStyle name="Millares 7 4 3 3 2" xfId="1281" xr:uid="{71BEE4D1-3266-4CE8-BAAB-D9D5195E1DE6}"/>
    <cellStyle name="Millares 7 4 3 3 2 2" xfId="1282" xr:uid="{B973DB2F-45AF-4CFE-BCA9-1B1A05E160EA}"/>
    <cellStyle name="Millares 7 4 3 3 3" xfId="1283" xr:uid="{604F3EEB-70AF-4597-888C-D08B56AAC2AA}"/>
    <cellStyle name="Millares 7 4 3 4" xfId="1284" xr:uid="{7C244478-C60A-411A-B173-89D91159A622}"/>
    <cellStyle name="Millares 7 4 3 4 2" xfId="1285" xr:uid="{38F18335-ACAE-4E53-AD96-2313737DDD47}"/>
    <cellStyle name="Millares 7 4 3 4 2 2" xfId="1286" xr:uid="{CE80726D-58B6-4C32-8040-72632F07896E}"/>
    <cellStyle name="Millares 7 4 3 4 3" xfId="1287" xr:uid="{63E798D9-2E14-4666-AAF5-021186477AE0}"/>
    <cellStyle name="Millares 7 4 3 5" xfId="1288" xr:uid="{1A62EA11-4264-4151-8E47-A7B442BE6EB8}"/>
    <cellStyle name="Millares 7 4 3 5 2" xfId="1289" xr:uid="{E7B3E3A0-7B30-46D5-BA2C-7244D0846906}"/>
    <cellStyle name="Millares 7 4 3 5 2 2" xfId="1290" xr:uid="{7E22A3ED-FD21-45D1-8BA1-1BF09C18C3AB}"/>
    <cellStyle name="Millares 7 4 3 5 3" xfId="1291" xr:uid="{886A258C-630D-4677-88E3-9C76907EC52E}"/>
    <cellStyle name="Millares 7 4 3 6" xfId="1292" xr:uid="{D06C4879-A729-49A1-B0D1-44DDC34235A1}"/>
    <cellStyle name="Millares 7 4 3 6 2" xfId="1293" xr:uid="{C4474753-E166-412F-9ADE-D678050AA75A}"/>
    <cellStyle name="Millares 7 4 3 6 2 2" xfId="1294" xr:uid="{966D6410-DA02-403A-8BE2-6C7E94B2D494}"/>
    <cellStyle name="Millares 7 4 3 6 3" xfId="1295" xr:uid="{0FB2B13B-8CF7-47EF-9047-D8972817BC8A}"/>
    <cellStyle name="Millares 7 4 3 7" xfId="1296" xr:uid="{7C74A7D6-DB37-4E19-99DC-C0ED08F30125}"/>
    <cellStyle name="Millares 7 4 3 7 2" xfId="1297" xr:uid="{95E84E58-3CE1-4040-B213-31B3AAB65A33}"/>
    <cellStyle name="Millares 7 4 3 8" xfId="1298" xr:uid="{22ECE01E-BBDC-43BC-88FD-6EEE9B2374D8}"/>
    <cellStyle name="Millares 7 4 4" xfId="1299" xr:uid="{021F494F-F445-4E86-ADAA-C9AFD91C06BC}"/>
    <cellStyle name="Millares 7 4 4 2" xfId="1300" xr:uid="{EF2C057C-553C-493A-8237-055768471B1A}"/>
    <cellStyle name="Millares 7 4 4 2 2" xfId="1301" xr:uid="{4BFCC8A0-C894-4341-847D-354468C8D739}"/>
    <cellStyle name="Millares 7 4 4 2 2 2" xfId="1302" xr:uid="{CD71E1D8-5294-4689-B7CC-B141A241344C}"/>
    <cellStyle name="Millares 7 4 4 2 3" xfId="1303" xr:uid="{092643D7-5B3B-47EA-B093-A491A7145598}"/>
    <cellStyle name="Millares 7 4 4 3" xfId="1304" xr:uid="{AAB1BE0A-D954-4943-8E14-2E98249DBFAB}"/>
    <cellStyle name="Millares 7 4 4 3 2" xfId="1305" xr:uid="{7D417444-3CAC-4197-A4D2-5BD47C42F43E}"/>
    <cellStyle name="Millares 7 4 4 3 2 2" xfId="1306" xr:uid="{F32CCB50-9D68-4FCC-B47D-6BF180C646F8}"/>
    <cellStyle name="Millares 7 4 4 3 3" xfId="1307" xr:uid="{FF725397-566D-4E6F-988A-8C4DB424BBE1}"/>
    <cellStyle name="Millares 7 4 4 4" xfId="1308" xr:uid="{47FB113B-FACA-44ED-98C4-41A066ED3292}"/>
    <cellStyle name="Millares 7 4 4 4 2" xfId="1309" xr:uid="{A60D3714-D1E0-4D0E-8320-4F3ECC3DD6AD}"/>
    <cellStyle name="Millares 7 4 4 4 2 2" xfId="1310" xr:uid="{2469A82F-B558-4E68-BF9C-BAD0FDA89BEF}"/>
    <cellStyle name="Millares 7 4 4 4 3" xfId="1311" xr:uid="{0382E32B-62FF-4E0F-9BF9-95F3FBF51EE4}"/>
    <cellStyle name="Millares 7 4 4 5" xfId="1312" xr:uid="{1BBC2C03-40B1-4E01-B9B3-E141DACE7C01}"/>
    <cellStyle name="Millares 7 4 4 5 2" xfId="1313" xr:uid="{9AC81FCA-DA12-47CD-989B-729D9D895DA2}"/>
    <cellStyle name="Millares 7 4 4 5 2 2" xfId="1314" xr:uid="{B8C58C66-8F38-41A1-AA3A-2E3AAB4E4BA4}"/>
    <cellStyle name="Millares 7 4 4 5 3" xfId="1315" xr:uid="{779C51EB-036D-4036-8155-572566DB052C}"/>
    <cellStyle name="Millares 7 4 4 6" xfId="1316" xr:uid="{2C2AC094-E7B2-433E-9596-9C6828F5632B}"/>
    <cellStyle name="Millares 7 4 4 6 2" xfId="1317" xr:uid="{28230158-E969-4E79-9513-5291394E5B80}"/>
    <cellStyle name="Millares 7 4 4 6 2 2" xfId="1318" xr:uid="{A8B2D0EA-721D-424A-89E5-9BC854A232E2}"/>
    <cellStyle name="Millares 7 4 4 6 3" xfId="1319" xr:uid="{73448063-85F0-43E8-AF90-E11C3F723155}"/>
    <cellStyle name="Millares 7 4 4 7" xfId="1320" xr:uid="{B16EF4D4-B65F-4C46-BE7F-480517C0D885}"/>
    <cellStyle name="Millares 7 4 4 7 2" xfId="1321" xr:uid="{39D5E453-AC0E-4230-82EF-8CB1CC86DB1E}"/>
    <cellStyle name="Millares 7 4 4 8" xfId="1322" xr:uid="{DEA3A88F-C261-4969-9092-6B7934F59FB7}"/>
    <cellStyle name="Millares 7 4 5" xfId="1323" xr:uid="{7AE0C2C4-0E79-40A6-AC78-7DF7DF11E100}"/>
    <cellStyle name="Millares 7 4 5 2" xfId="1324" xr:uid="{E2E3DA94-9C4D-4850-AEF5-4B7974DADB4F}"/>
    <cellStyle name="Millares 7 4 5 2 2" xfId="1325" xr:uid="{B16A0FFA-784E-47B0-8688-E6BD24BB53D6}"/>
    <cellStyle name="Millares 7 4 5 3" xfId="1326" xr:uid="{711E64E5-9A2D-493D-917E-B2316E02F80C}"/>
    <cellStyle name="Millares 7 4 6" xfId="1327" xr:uid="{19669C2B-E672-49AF-BF32-A1B73D681EC6}"/>
    <cellStyle name="Millares 7 4 6 2" xfId="1328" xr:uid="{A2986E7A-CC5D-4295-BB58-B90D738B12E0}"/>
    <cellStyle name="Millares 7 4 6 2 2" xfId="1329" xr:uid="{6528C5E7-977D-4A4B-9FF2-09AF1733CCF4}"/>
    <cellStyle name="Millares 7 4 6 3" xfId="1330" xr:uid="{A4BCF8C1-1A16-4380-AF56-526A5C6B6D47}"/>
    <cellStyle name="Millares 7 4 7" xfId="1331" xr:uid="{78EA9B37-A9D6-471A-9C13-72941C0DFCEE}"/>
    <cellStyle name="Millares 7 4 7 2" xfId="1332" xr:uid="{68949440-5D6C-48DF-9F2F-C6DCE64CE835}"/>
    <cellStyle name="Millares 7 4 7 2 2" xfId="1333" xr:uid="{0D14230B-B246-4612-8CF1-2372FF3D8F0A}"/>
    <cellStyle name="Millares 7 4 7 3" xfId="1334" xr:uid="{86E231A6-5F3F-48D7-821D-688EE418F332}"/>
    <cellStyle name="Millares 7 4 8" xfId="1335" xr:uid="{3C820586-20F0-48B1-8069-1F87C7D80A59}"/>
    <cellStyle name="Millares 7 4 8 2" xfId="1336" xr:uid="{2D2D783F-FC8D-4BB1-8C44-718D1298884D}"/>
    <cellStyle name="Millares 7 4 8 2 2" xfId="1337" xr:uid="{9B37BF51-5997-4A48-9584-407D35449FE6}"/>
    <cellStyle name="Millares 7 4 8 3" xfId="1338" xr:uid="{493879CA-5956-4F42-A29C-A98C553F6FAC}"/>
    <cellStyle name="Millares 7 4 9" xfId="1339" xr:uid="{0BD0811E-BA4E-4186-9C35-3D6084AE050E}"/>
    <cellStyle name="Millares 7 4 9 2" xfId="1340" xr:uid="{4AD5AE73-7CD3-4CF5-A88F-6568EEF68D11}"/>
    <cellStyle name="Millares 7 4 9 2 2" xfId="1341" xr:uid="{D469227B-7D44-4758-933D-5115487E2BB9}"/>
    <cellStyle name="Millares 7 4 9 3" xfId="1342" xr:uid="{A3054EAE-3233-47E9-8444-3F365E8DCA4E}"/>
    <cellStyle name="Millares 7 5" xfId="53" xr:uid="{FBEDBB52-3AAD-4D5C-B265-010718534777}"/>
    <cellStyle name="Millares 7 5 10" xfId="1343" xr:uid="{3ABEBE8D-0A0B-4D03-A6A2-C9A7DE718018}"/>
    <cellStyle name="Millares 7 5 10 2" xfId="1344" xr:uid="{1694C90A-8B7E-4602-B5D3-A2435330B3A9}"/>
    <cellStyle name="Millares 7 5 10 2 2" xfId="1345" xr:uid="{2085A9C7-6D91-4B9E-94FD-A93282574EA6}"/>
    <cellStyle name="Millares 7 5 10 3" xfId="1346" xr:uid="{E97388D1-EA3C-4A79-818D-8849EE7F4316}"/>
    <cellStyle name="Millares 7 5 11" xfId="1347" xr:uid="{0194D488-B3F9-42A4-8901-48FD50851CE0}"/>
    <cellStyle name="Millares 7 5 11 2" xfId="1348" xr:uid="{5A6D325F-4BFF-42AD-ADC7-A9AA2339F2F0}"/>
    <cellStyle name="Millares 7 5 12" xfId="1349" xr:uid="{C24C4720-50D8-4862-9836-EE2A4677E428}"/>
    <cellStyle name="Millares 7 5 13" xfId="1350" xr:uid="{4B449221-6717-49C2-90B0-892EE14D3034}"/>
    <cellStyle name="Millares 7 5 2" xfId="1351" xr:uid="{84F02E44-ABAA-4C0D-AE23-5DA7EDB33D96}"/>
    <cellStyle name="Millares 7 5 2 2" xfId="1352" xr:uid="{71D9DC80-EF92-4A6A-8F8B-357A5DEA1DDC}"/>
    <cellStyle name="Millares 7 5 2 2 2" xfId="1353" xr:uid="{C281D21F-1F68-4582-8049-62E57CEE15CB}"/>
    <cellStyle name="Millares 7 5 2 2 2 2" xfId="1354" xr:uid="{71578547-4BCE-41C6-92D0-70B66A811636}"/>
    <cellStyle name="Millares 7 5 2 2 3" xfId="1355" xr:uid="{AF25B881-BA37-4A3D-8B4E-E8F2BF7E0DEF}"/>
    <cellStyle name="Millares 7 5 2 3" xfId="1356" xr:uid="{F04F9312-F988-49E6-87A6-CD22750FD7BD}"/>
    <cellStyle name="Millares 7 5 2 3 2" xfId="1357" xr:uid="{62170793-90CA-4B64-A28F-CEFE56C9EFE0}"/>
    <cellStyle name="Millares 7 5 2 3 2 2" xfId="1358" xr:uid="{1255F5FE-C7BA-4A57-86D7-4C8840AE7CE4}"/>
    <cellStyle name="Millares 7 5 2 3 3" xfId="1359" xr:uid="{5ACB6481-3021-4147-B42B-DBA4CBE067F5}"/>
    <cellStyle name="Millares 7 5 2 4" xfId="1360" xr:uid="{1BBA6E23-2102-4E02-B254-53851D7A458C}"/>
    <cellStyle name="Millares 7 5 2 4 2" xfId="1361" xr:uid="{465807CC-A707-4071-A51A-6660BB9DF4A0}"/>
    <cellStyle name="Millares 7 5 2 4 2 2" xfId="1362" xr:uid="{996ABC5D-91A7-4C02-AD6E-55E25B047B9D}"/>
    <cellStyle name="Millares 7 5 2 4 3" xfId="1363" xr:uid="{948883AF-42C0-45AE-9364-DDD301726110}"/>
    <cellStyle name="Millares 7 5 2 5" xfId="1364" xr:uid="{D302C3EA-55B1-4260-BC41-893A0FB9509A}"/>
    <cellStyle name="Millares 7 5 2 5 2" xfId="1365" xr:uid="{6972D53E-96BE-49FA-A6B8-2136300CD3A9}"/>
    <cellStyle name="Millares 7 5 2 5 2 2" xfId="1366" xr:uid="{E67EAE55-92D1-409E-9FF3-3CF195378C5D}"/>
    <cellStyle name="Millares 7 5 2 5 3" xfId="1367" xr:uid="{4A20EC18-516E-44B6-9434-309052AF7B07}"/>
    <cellStyle name="Millares 7 5 2 6" xfId="1368" xr:uid="{DF17D0E1-6C66-406F-96F6-E1F656CFF869}"/>
    <cellStyle name="Millares 7 5 2 6 2" xfId="1369" xr:uid="{55BAEF82-8AAA-4C69-9240-8ACD9629D261}"/>
    <cellStyle name="Millares 7 5 2 6 2 2" xfId="1370" xr:uid="{3D033A55-8C4B-4371-9609-AE856AC7D3D1}"/>
    <cellStyle name="Millares 7 5 2 6 3" xfId="1371" xr:uid="{5C3CC030-438C-4C2E-B742-D860EEC9897A}"/>
    <cellStyle name="Millares 7 5 2 7" xfId="1372" xr:uid="{D422409A-966E-4DF2-B9D5-AF1E9F52A0BD}"/>
    <cellStyle name="Millares 7 5 2 7 2" xfId="1373" xr:uid="{B095B329-FDDD-46F7-A1E5-7376842B652C}"/>
    <cellStyle name="Millares 7 5 2 8" xfId="1374" xr:uid="{542ABAFF-0929-41BE-B902-476C7D715498}"/>
    <cellStyle name="Millares 7 5 2 9" xfId="1375" xr:uid="{313CBF49-3D0D-461A-AEAB-81C04465D4BA}"/>
    <cellStyle name="Millares 7 5 3" xfId="1376" xr:uid="{0F37131E-6FAF-429D-B748-763FB19F343B}"/>
    <cellStyle name="Millares 7 5 3 2" xfId="1377" xr:uid="{C5288ED7-C39A-4689-889E-A9D20F38A0B3}"/>
    <cellStyle name="Millares 7 5 3 2 2" xfId="1378" xr:uid="{BC885D87-706C-4D63-A6CB-F9FC49F1CA9B}"/>
    <cellStyle name="Millares 7 5 3 2 2 2" xfId="1379" xr:uid="{E3117CDD-5E35-43D3-8137-4925FC5CC65A}"/>
    <cellStyle name="Millares 7 5 3 2 3" xfId="1380" xr:uid="{F662701B-5F9A-4463-9737-CE2E15939C44}"/>
    <cellStyle name="Millares 7 5 3 3" xfId="1381" xr:uid="{EE7497E2-B373-426F-95B6-0AC4BD8C9AAC}"/>
    <cellStyle name="Millares 7 5 3 3 2" xfId="1382" xr:uid="{C01F9F74-ADD5-45C2-B1CF-C9A2A5441E16}"/>
    <cellStyle name="Millares 7 5 3 3 2 2" xfId="1383" xr:uid="{13C54BB0-8C57-4CA1-B804-C8EB57218E40}"/>
    <cellStyle name="Millares 7 5 3 3 3" xfId="1384" xr:uid="{6530CBAE-4C46-4161-8264-F55966A0F906}"/>
    <cellStyle name="Millares 7 5 3 4" xfId="1385" xr:uid="{6AD6698A-E799-4301-A475-9A5D872822AC}"/>
    <cellStyle name="Millares 7 5 3 4 2" xfId="1386" xr:uid="{8F9FA7A5-2D69-458F-8334-61F1D7E45E15}"/>
    <cellStyle name="Millares 7 5 3 4 2 2" xfId="1387" xr:uid="{690F0D76-D6E7-41AD-860F-2DF32C3659C9}"/>
    <cellStyle name="Millares 7 5 3 4 3" xfId="1388" xr:uid="{D14D66BC-2D3B-4643-85A4-4287F4819CEE}"/>
    <cellStyle name="Millares 7 5 3 5" xfId="1389" xr:uid="{9E8D29A3-3CBE-4223-9193-9D224B63424C}"/>
    <cellStyle name="Millares 7 5 3 5 2" xfId="1390" xr:uid="{853A984B-B04D-4CAB-AEE2-56756AE56D52}"/>
    <cellStyle name="Millares 7 5 3 5 2 2" xfId="1391" xr:uid="{549E307E-C537-4BB1-AE30-64DE167C2F7A}"/>
    <cellStyle name="Millares 7 5 3 5 3" xfId="1392" xr:uid="{88B7DC35-7240-45AC-9FD8-4E0A51F40D19}"/>
    <cellStyle name="Millares 7 5 3 6" xfId="1393" xr:uid="{8C97391D-3CE7-44D7-9FE7-206E7D22FB8A}"/>
    <cellStyle name="Millares 7 5 3 6 2" xfId="1394" xr:uid="{92FFD8CB-7D0F-4BC0-A456-D220B93090A5}"/>
    <cellStyle name="Millares 7 5 3 6 2 2" xfId="1395" xr:uid="{E501DF74-EAF7-4763-8DBA-9C2E7824F07C}"/>
    <cellStyle name="Millares 7 5 3 6 3" xfId="1396" xr:uid="{A7E8EB4B-56AC-42C3-A9CE-60944A630BD8}"/>
    <cellStyle name="Millares 7 5 3 7" xfId="1397" xr:uid="{702A4BCB-489F-46AE-8511-C00BF4FA5810}"/>
    <cellStyle name="Millares 7 5 3 7 2" xfId="1398" xr:uid="{F97FCD3A-B96A-468C-89ED-4193B0D542DD}"/>
    <cellStyle name="Millares 7 5 3 8" xfId="1399" xr:uid="{6706F45F-1DAE-400A-B5DF-05425BE38F83}"/>
    <cellStyle name="Millares 7 5 4" xfId="1400" xr:uid="{9C8E5C03-0299-4838-9F45-FB6073501973}"/>
    <cellStyle name="Millares 7 5 4 2" xfId="1401" xr:uid="{31886999-469B-400C-B746-2D12AB758120}"/>
    <cellStyle name="Millares 7 5 4 2 2" xfId="1402" xr:uid="{5518A1E9-BB1D-47F8-9762-7A9CE5903FA0}"/>
    <cellStyle name="Millares 7 5 4 2 2 2" xfId="1403" xr:uid="{D2DE2DEF-FCF9-4010-AFA6-0855CF308FA4}"/>
    <cellStyle name="Millares 7 5 4 2 3" xfId="1404" xr:uid="{1280FDEB-CC31-446D-926C-600E1F9E6B01}"/>
    <cellStyle name="Millares 7 5 4 3" xfId="1405" xr:uid="{93A8CD55-F328-4F4E-882E-40C43024B521}"/>
    <cellStyle name="Millares 7 5 4 3 2" xfId="1406" xr:uid="{170E61A9-C304-4A61-BF92-11DCEFDCBA73}"/>
    <cellStyle name="Millares 7 5 4 3 2 2" xfId="1407" xr:uid="{3B0D16F5-EE26-4C7F-BB0D-D6EF20C320B0}"/>
    <cellStyle name="Millares 7 5 4 3 3" xfId="1408" xr:uid="{EE326518-724E-443A-9B64-78D814847C1E}"/>
    <cellStyle name="Millares 7 5 4 4" xfId="1409" xr:uid="{245CE5F7-BA15-43CE-86ED-700DFBAA84AC}"/>
    <cellStyle name="Millares 7 5 4 4 2" xfId="1410" xr:uid="{10ED7004-A2F3-4CA7-BF65-3C1906C975FC}"/>
    <cellStyle name="Millares 7 5 4 4 2 2" xfId="1411" xr:uid="{2502616C-D73F-4559-B45F-8D972E043796}"/>
    <cellStyle name="Millares 7 5 4 4 3" xfId="1412" xr:uid="{35196A6C-2213-4620-851C-D50B64B29D47}"/>
    <cellStyle name="Millares 7 5 4 5" xfId="1413" xr:uid="{3C819176-0C1D-4355-8AD2-687967DD47D4}"/>
    <cellStyle name="Millares 7 5 4 5 2" xfId="1414" xr:uid="{842DA5A6-290C-41AD-8BDD-8A00B14ED87D}"/>
    <cellStyle name="Millares 7 5 4 5 2 2" xfId="1415" xr:uid="{FE603F09-3D37-42F8-8FEC-87231A1F84E3}"/>
    <cellStyle name="Millares 7 5 4 5 3" xfId="1416" xr:uid="{80F3D470-646B-4EF7-BB19-6867DA16372B}"/>
    <cellStyle name="Millares 7 5 4 6" xfId="1417" xr:uid="{7EEC5343-DA63-4CB1-84DA-2E2F06F62546}"/>
    <cellStyle name="Millares 7 5 4 6 2" xfId="1418" xr:uid="{81A099A0-7615-4CE8-90A1-9FE4A3FEF44E}"/>
    <cellStyle name="Millares 7 5 4 6 2 2" xfId="1419" xr:uid="{8DB8C53B-FE95-4618-A627-455FEC20A8CB}"/>
    <cellStyle name="Millares 7 5 4 6 3" xfId="1420" xr:uid="{4C1C9AA4-1023-44A2-B793-70FB0810DCEB}"/>
    <cellStyle name="Millares 7 5 4 7" xfId="1421" xr:uid="{AC145061-33AB-4984-AFF5-8B13D7BB7874}"/>
    <cellStyle name="Millares 7 5 4 7 2" xfId="1422" xr:uid="{49267A83-9646-4647-8324-48BA636F5630}"/>
    <cellStyle name="Millares 7 5 4 8" xfId="1423" xr:uid="{DF648AA0-421F-4490-9828-7E7C2C24E8EF}"/>
    <cellStyle name="Millares 7 5 5" xfId="1424" xr:uid="{08E60F15-554E-48B3-A161-4ED6B5DC1D4F}"/>
    <cellStyle name="Millares 7 5 5 2" xfId="1425" xr:uid="{4D8BA2A9-CB06-4C12-A0A7-5A6BC82303A6}"/>
    <cellStyle name="Millares 7 5 5 2 2" xfId="1426" xr:uid="{DFD4C46A-7F14-4A4C-BF81-A8C6A1167201}"/>
    <cellStyle name="Millares 7 5 5 3" xfId="1427" xr:uid="{2A857C1F-E0CE-4BF1-8D88-4704880F6A4A}"/>
    <cellStyle name="Millares 7 5 6" xfId="1428" xr:uid="{545063F0-6FDE-4AB2-A926-D89C727ED249}"/>
    <cellStyle name="Millares 7 5 6 2" xfId="1429" xr:uid="{652D4CD4-D5F6-47F1-B92A-A79A9E8FC320}"/>
    <cellStyle name="Millares 7 5 6 2 2" xfId="1430" xr:uid="{B8A728C7-AAE5-4AF3-9255-F719E75E1856}"/>
    <cellStyle name="Millares 7 5 6 3" xfId="1431" xr:uid="{FC3A4E60-E315-444E-A036-1D32FEB2C03E}"/>
    <cellStyle name="Millares 7 5 7" xfId="1432" xr:uid="{6A99FE62-0761-4188-BA09-3F5B1FF5E9EC}"/>
    <cellStyle name="Millares 7 5 7 2" xfId="1433" xr:uid="{320BFB3A-F73D-47EE-8409-8DF3949C2024}"/>
    <cellStyle name="Millares 7 5 7 2 2" xfId="1434" xr:uid="{7770EF08-5AFD-4563-9C59-C9930A06D60D}"/>
    <cellStyle name="Millares 7 5 7 3" xfId="1435" xr:uid="{A86ADC3D-5C49-45FD-8704-1A5E251E76DE}"/>
    <cellStyle name="Millares 7 5 8" xfId="1436" xr:uid="{BDE71D0F-F44C-4ACA-971C-8DF4515DD166}"/>
    <cellStyle name="Millares 7 5 8 2" xfId="1437" xr:uid="{643B65DD-06E3-4A3F-A8A1-5A03BFAD1F98}"/>
    <cellStyle name="Millares 7 5 8 2 2" xfId="1438" xr:uid="{3AC4C26E-4C6F-41C0-96D6-EF18B899BAAA}"/>
    <cellStyle name="Millares 7 5 8 3" xfId="1439" xr:uid="{5DB3D4F5-306C-4F30-9607-0317B86FF1DF}"/>
    <cellStyle name="Millares 7 5 9" xfId="1440" xr:uid="{E79F061C-B183-4F08-9A14-BC6F2D4BDA56}"/>
    <cellStyle name="Millares 7 5 9 2" xfId="1441" xr:uid="{8E62BD96-3A37-4107-9CF6-C5A033AB3776}"/>
    <cellStyle name="Millares 7 5 9 2 2" xfId="1442" xr:uid="{CED59D11-FBE8-4E82-A610-09F8F03FD61A}"/>
    <cellStyle name="Millares 7 5 9 3" xfId="1443" xr:uid="{1C8E78C3-74E6-427F-9EE6-0EF2EC94C83C}"/>
    <cellStyle name="Millares 7 6" xfId="1444" xr:uid="{26806447-A374-42FF-8C29-DCA258C368AF}"/>
    <cellStyle name="Millares 7 6 2" xfId="1445" xr:uid="{7EECD0AA-546F-454A-9538-4AEABA4D2DCE}"/>
    <cellStyle name="Millares 7 6 2 2" xfId="1446" xr:uid="{D666D012-3FB7-4A58-9D12-0F4E62F3132B}"/>
    <cellStyle name="Millares 7 6 2 2 2" xfId="1447" xr:uid="{48101699-2FEB-4337-9ACC-03016DEA9F89}"/>
    <cellStyle name="Millares 7 6 2 3" xfId="1448" xr:uid="{2E6DFD8F-FB12-4F49-BA2D-52294E9939E1}"/>
    <cellStyle name="Millares 7 6 3" xfId="1449" xr:uid="{65B1959C-B9D9-41C0-BCBE-1E5176367DA4}"/>
    <cellStyle name="Millares 7 6 3 2" xfId="1450" xr:uid="{D1B5C615-83E8-4E94-96B9-F6247DC23B74}"/>
    <cellStyle name="Millares 7 6 3 2 2" xfId="1451" xr:uid="{B910CFEF-58A6-4BF4-A373-83E2B80D272D}"/>
    <cellStyle name="Millares 7 6 3 3" xfId="1452" xr:uid="{EEEE9CD6-1B54-4548-BD48-AAF047EB541C}"/>
    <cellStyle name="Millares 7 6 4" xfId="1453" xr:uid="{A8EE3F52-1E9F-41CA-B68D-2D651CBA1B73}"/>
    <cellStyle name="Millares 7 6 4 2" xfId="1454" xr:uid="{9A4DE274-DA29-4719-9CD3-4A35A3A81DD4}"/>
    <cellStyle name="Millares 7 6 4 2 2" xfId="1455" xr:uid="{3914D263-E346-4D60-82BD-0B82D566DCF7}"/>
    <cellStyle name="Millares 7 6 4 3" xfId="1456" xr:uid="{107C6D96-4C9F-4EBA-9862-2C13CBA1E840}"/>
    <cellStyle name="Millares 7 6 5" xfId="1457" xr:uid="{92E44772-1630-40B5-A015-90CB1BE6955F}"/>
    <cellStyle name="Millares 7 6 5 2" xfId="1458" xr:uid="{AB569D4C-24F3-427F-8A68-A9CCFE2AF8D4}"/>
    <cellStyle name="Millares 7 6 5 2 2" xfId="1459" xr:uid="{B6B669EC-ECB2-43BD-853C-138C8F7DC12B}"/>
    <cellStyle name="Millares 7 6 5 3" xfId="1460" xr:uid="{A0516AAA-9EC0-4AAE-AA5D-F0694E5438C2}"/>
    <cellStyle name="Millares 7 6 6" xfId="1461" xr:uid="{3CDCCC10-EAB3-4629-9A6C-6DDA0D4C555D}"/>
    <cellStyle name="Millares 7 6 6 2" xfId="1462" xr:uid="{F28B2E84-9740-4C73-9D11-E680DA519BEF}"/>
    <cellStyle name="Millares 7 6 6 2 2" xfId="1463" xr:uid="{D7EC991D-1B99-4680-A3A2-62F803B6C9E3}"/>
    <cellStyle name="Millares 7 6 6 3" xfId="1464" xr:uid="{C25D1696-ED32-4D7E-AB2C-94B8A1631801}"/>
    <cellStyle name="Millares 7 6 7" xfId="1465" xr:uid="{2D4987C2-3ADD-4378-82B2-7E7BC10365D0}"/>
    <cellStyle name="Millares 7 6 7 2" xfId="1466" xr:uid="{A3119E70-8D51-4963-8F80-626F86764C31}"/>
    <cellStyle name="Millares 7 6 8" xfId="1467" xr:uid="{28E28701-6B11-4B54-A49B-AC8C1BAFCD6A}"/>
    <cellStyle name="Millares 7 6 9" xfId="1468" xr:uid="{F058FB43-23C6-4561-96AC-5D65D51580A7}"/>
    <cellStyle name="Millares 7 7" xfId="1469" xr:uid="{CB132B7A-B688-4FCA-805B-BFEBC99C09F1}"/>
    <cellStyle name="Millares 7 7 2" xfId="1470" xr:uid="{3FD83E38-0CC1-4A8F-8FE5-76405C5F11CF}"/>
    <cellStyle name="Millares 7 7 2 2" xfId="1471" xr:uid="{6B39E4C9-7C4D-44C1-9B10-82E39BC2CED1}"/>
    <cellStyle name="Millares 7 7 2 2 2" xfId="1472" xr:uid="{C598AD22-7369-4D8C-86FA-2EFF1357C5F6}"/>
    <cellStyle name="Millares 7 7 2 3" xfId="1473" xr:uid="{390C101E-D016-4807-A9E1-AF47CAC2EBE5}"/>
    <cellStyle name="Millares 7 7 3" xfId="1474" xr:uid="{DD59D402-39BD-43BF-89E9-5664CEB3957E}"/>
    <cellStyle name="Millares 7 7 3 2" xfId="1475" xr:uid="{5C33FFA9-A69E-4D3A-A1F1-1AB5EE85B8D9}"/>
    <cellStyle name="Millares 7 7 3 2 2" xfId="1476" xr:uid="{723CF45D-8E52-427E-99CD-5753D5478EBD}"/>
    <cellStyle name="Millares 7 7 3 3" xfId="1477" xr:uid="{4BF1D422-4150-4AAA-B9BD-AB62092365C9}"/>
    <cellStyle name="Millares 7 7 4" xfId="1478" xr:uid="{277AD1F9-99A0-45C5-B521-60BAF5FF165B}"/>
    <cellStyle name="Millares 7 7 4 2" xfId="1479" xr:uid="{130A233F-6F27-4797-AFE0-34D7CB9B7088}"/>
    <cellStyle name="Millares 7 7 4 2 2" xfId="1480" xr:uid="{08DDDBA8-3B19-475C-8657-E4D4A77310E3}"/>
    <cellStyle name="Millares 7 7 4 3" xfId="1481" xr:uid="{C8EB7298-7EEF-4702-872C-FE344E9AF072}"/>
    <cellStyle name="Millares 7 7 5" xfId="1482" xr:uid="{357F3115-4055-448E-A67A-5FA4484C230B}"/>
    <cellStyle name="Millares 7 7 5 2" xfId="1483" xr:uid="{312A3D16-D273-499A-B911-CE3FECE4DEBD}"/>
    <cellStyle name="Millares 7 7 5 2 2" xfId="1484" xr:uid="{ECE54C81-BCE4-4B10-BD5E-48A8C74D2CE9}"/>
    <cellStyle name="Millares 7 7 5 3" xfId="1485" xr:uid="{1404F414-1B5F-4C60-B554-ED5A2AA96568}"/>
    <cellStyle name="Millares 7 7 6" xfId="1486" xr:uid="{7B042E45-B1C7-4F15-90D2-9E264448B282}"/>
    <cellStyle name="Millares 7 7 6 2" xfId="1487" xr:uid="{4DC08A70-88F3-4790-AF3B-37E6D64ADAB8}"/>
    <cellStyle name="Millares 7 7 6 2 2" xfId="1488" xr:uid="{5A87EBB9-7B76-48C2-8BF0-4E78B7E003C7}"/>
    <cellStyle name="Millares 7 7 6 3" xfId="1489" xr:uid="{3DEDA2D1-2394-476B-8F34-6D745C4C09FF}"/>
    <cellStyle name="Millares 7 7 7" xfId="1490" xr:uid="{E0ADDCD0-3CB7-42B7-98BA-E843FE41A4B2}"/>
    <cellStyle name="Millares 7 7 7 2" xfId="1491" xr:uid="{9AAF27DD-28F7-4FDA-9074-A7206C3C9AAF}"/>
    <cellStyle name="Millares 7 7 8" xfId="1492" xr:uid="{40C30D40-7CEA-48D9-BB3C-FA3E8F3943A9}"/>
    <cellStyle name="Millares 7 8" xfId="1493" xr:uid="{063063E3-F4C0-4050-B967-2F0BEB95E974}"/>
    <cellStyle name="Millares 7 8 2" xfId="1494" xr:uid="{88E4D87F-312C-4B2F-BE52-D6CDFC881B21}"/>
    <cellStyle name="Millares 7 8 2 2" xfId="1495" xr:uid="{B790FC34-817C-4DBF-B016-C0D146E845E1}"/>
    <cellStyle name="Millares 7 8 2 2 2" xfId="1496" xr:uid="{D85D591B-7F67-4957-B079-F525E168F5B8}"/>
    <cellStyle name="Millares 7 8 2 3" xfId="1497" xr:uid="{B4E2A240-50B5-47D9-A850-C0B4999F914B}"/>
    <cellStyle name="Millares 7 8 3" xfId="1498" xr:uid="{89CE174D-4B4A-475B-B4A4-52DC9AE8D847}"/>
    <cellStyle name="Millares 7 8 3 2" xfId="1499" xr:uid="{64E00FAB-C7E6-4F70-9B66-B7E0D2927569}"/>
    <cellStyle name="Millares 7 8 3 2 2" xfId="1500" xr:uid="{D3C03047-6705-4D49-9F5C-CA2F976A3AD9}"/>
    <cellStyle name="Millares 7 8 3 3" xfId="1501" xr:uid="{8040A2F5-6B9F-4E86-9B1D-3F33B5EFF0E1}"/>
    <cellStyle name="Millares 7 8 4" xfId="1502" xr:uid="{262C6DF9-244D-4F52-8C73-1B2E7A3341F8}"/>
    <cellStyle name="Millares 7 8 4 2" xfId="1503" xr:uid="{899F0758-C0B5-4189-99BE-74AD82E7320D}"/>
    <cellStyle name="Millares 7 8 4 2 2" xfId="1504" xr:uid="{90A72804-227E-4CB8-AC5F-EA14C4D37DF9}"/>
    <cellStyle name="Millares 7 8 4 3" xfId="1505" xr:uid="{4F74DD3B-F36E-4433-B4D0-770374421072}"/>
    <cellStyle name="Millares 7 8 5" xfId="1506" xr:uid="{8A94FF05-9F9C-4232-893E-4BD41F030FCE}"/>
    <cellStyle name="Millares 7 8 5 2" xfId="1507" xr:uid="{83C70FB1-531E-4B39-B323-8567705BACED}"/>
    <cellStyle name="Millares 7 8 5 2 2" xfId="1508" xr:uid="{FB503DE3-EC53-4FCF-9000-9693603A52BE}"/>
    <cellStyle name="Millares 7 8 5 3" xfId="1509" xr:uid="{A3F9C92A-4099-4CA9-AE24-60DC9E1A7C05}"/>
    <cellStyle name="Millares 7 8 6" xfId="1510" xr:uid="{064184A1-A5C6-43DE-9227-AE6D7E5A8D6B}"/>
    <cellStyle name="Millares 7 8 6 2" xfId="1511" xr:uid="{9553EDDD-2849-4E6B-8BB3-3A094AF2741D}"/>
    <cellStyle name="Millares 7 8 6 2 2" xfId="1512" xr:uid="{1D8EA816-DEE7-4546-A3DF-9DF564E775EF}"/>
    <cellStyle name="Millares 7 8 6 3" xfId="1513" xr:uid="{5B531220-943B-4BF8-9D5F-407E10ABE47C}"/>
    <cellStyle name="Millares 7 8 7" xfId="1514" xr:uid="{21626C17-F7AF-4C92-AEB2-160D2E0699B5}"/>
    <cellStyle name="Millares 7 8 7 2" xfId="1515" xr:uid="{CAD6E530-A54F-43AD-8F57-88D06C3C4528}"/>
    <cellStyle name="Millares 7 8 8" xfId="1516" xr:uid="{9B0D4A60-A79E-4D4C-833A-DEB9879AC567}"/>
    <cellStyle name="Millares 7 9" xfId="1517" xr:uid="{B34C5A43-2C2B-4443-8481-0889049750AE}"/>
    <cellStyle name="Millares 7 9 2" xfId="1518" xr:uid="{453FA61B-E6E7-4421-9A2A-FB9C25502017}"/>
    <cellStyle name="Millares 7 9 2 2" xfId="1519" xr:uid="{255B3B7A-7791-4D91-B7CA-D51767B4A1B7}"/>
    <cellStyle name="Millares 7 9 3" xfId="1520" xr:uid="{A273BD71-F813-43E5-A9F3-24EB4452DDDA}"/>
    <cellStyle name="Millares 8" xfId="54" xr:uid="{4D78F802-5BBF-422F-AF58-6BAD9D887FFF}"/>
    <cellStyle name="Millares 8 10" xfId="1521" xr:uid="{22FC3802-95CE-49A2-B029-D825215EB687}"/>
    <cellStyle name="Millares 8 10 2" xfId="2189" xr:uid="{9505283E-7086-43C3-AC2E-4D77924FF4EB}"/>
    <cellStyle name="Millares 8 10 2 2" xfId="5835" xr:uid="{8E373BC4-51EC-4A7E-9B07-917FCBDD1543}"/>
    <cellStyle name="Millares 8 10 2 2 2" xfId="10687" xr:uid="{6FA818C1-88EB-48A2-A9DF-B8B38956DC67}"/>
    <cellStyle name="Millares 8 10 2 3" xfId="7051" xr:uid="{A8AA394C-BDAD-4878-8304-B0579BECC1BB}"/>
    <cellStyle name="Millares 8 10 2 3 2" xfId="11899" xr:uid="{44442789-8526-4107-8C0C-26EC1399776F}"/>
    <cellStyle name="Millares 8 10 2 4" xfId="4624" xr:uid="{CF13CFDC-E4A7-4011-800E-0CBF3A000161}"/>
    <cellStyle name="Millares 8 10 2 4 2" xfId="9478" xr:uid="{82536E72-DBF6-4367-A959-232C1A94DAF7}"/>
    <cellStyle name="Millares 8 10 2 5" xfId="3412" xr:uid="{1BC809D3-FD5D-4DA7-A7B4-26925BC7880D}"/>
    <cellStyle name="Millares 8 10 2 6" xfId="8268" xr:uid="{1BAC0970-B549-4BB2-BCDE-A7D20FA9A14B}"/>
    <cellStyle name="Millares 8 10 3" xfId="5230" xr:uid="{70321AF2-A9F1-4E85-9F14-6562C0B76BB3}"/>
    <cellStyle name="Millares 8 10 3 2" xfId="10082" xr:uid="{F243D555-67C4-41E5-9B3E-F823953A86EF}"/>
    <cellStyle name="Millares 8 10 4" xfId="6444" xr:uid="{5E8103CC-F5FF-40F7-AC3F-2D031513DC78}"/>
    <cellStyle name="Millares 8 10 4 2" xfId="11293" xr:uid="{71EAC144-E34D-499C-8ADB-03A1C5866EAD}"/>
    <cellStyle name="Millares 8 10 5" xfId="4020" xr:uid="{4962B946-25A7-4456-B229-27229D082A38}"/>
    <cellStyle name="Millares 8 10 5 2" xfId="8874" xr:uid="{AA057627-3660-422A-BC25-3C44A91AB8B0}"/>
    <cellStyle name="Millares 8 10 6" xfId="2807" xr:uid="{33E2D1CA-8C3D-4C75-B989-6654E85D061C}"/>
    <cellStyle name="Millares 8 10 7" xfId="7663" xr:uid="{E9E75B36-C631-4CC0-8D7D-D0F73120742D}"/>
    <cellStyle name="Millares 8 11" xfId="2188" xr:uid="{60014FA2-03F6-439D-A1ED-6320D1BA55CB}"/>
    <cellStyle name="Millares 8 11 2" xfId="5834" xr:uid="{1F127EBD-E63F-4973-89BF-18E1182AA45B}"/>
    <cellStyle name="Millares 8 11 2 2" xfId="10686" xr:uid="{465BF3C2-B1F4-4D3F-9650-2A1F86A50F8B}"/>
    <cellStyle name="Millares 8 11 3" xfId="7050" xr:uid="{544BA920-F9AF-4F42-BD85-1435CC45475F}"/>
    <cellStyle name="Millares 8 11 3 2" xfId="11898" xr:uid="{1C555680-3111-4514-8C6E-9359EFFD7423}"/>
    <cellStyle name="Millares 8 11 4" xfId="4623" xr:uid="{02AFFDB0-C45D-4593-AA45-DD33C11B8E4D}"/>
    <cellStyle name="Millares 8 11 4 2" xfId="9477" xr:uid="{93D196D1-BF8A-4721-B427-AFBFAAF5BCDD}"/>
    <cellStyle name="Millares 8 11 5" xfId="3411" xr:uid="{99EB61FB-CBC7-437E-ABB6-7C562BD4CAD1}"/>
    <cellStyle name="Millares 8 11 6" xfId="8267" xr:uid="{7EF693F5-E9FE-4FC0-AA0A-C87A6A3177EC}"/>
    <cellStyle name="Millares 8 12" xfId="5229" xr:uid="{8940D9C7-1AE0-4ED8-938B-5099EBEDBC91}"/>
    <cellStyle name="Millares 8 12 2" xfId="10081" xr:uid="{358077CA-83FF-47BD-829E-BFA22BCEB48F}"/>
    <cellStyle name="Millares 8 13" xfId="6443" xr:uid="{69318962-99C0-4751-B126-48F2D71571FB}"/>
    <cellStyle name="Millares 8 13 2" xfId="11292" xr:uid="{B519E2DE-FB7D-45C8-A0D3-5C71A5C5769A}"/>
    <cellStyle name="Millares 8 14" xfId="4019" xr:uid="{8F902A94-1375-4AD4-A6E1-0271A7D3A789}"/>
    <cellStyle name="Millares 8 14 2" xfId="8873" xr:uid="{1D285431-1F45-4FFE-BF7D-F3758BB6B08D}"/>
    <cellStyle name="Millares 8 15" xfId="2806" xr:uid="{34AB62E7-BF17-49B4-B9F7-C15998DD1D6E}"/>
    <cellStyle name="Millares 8 16" xfId="7662" xr:uid="{94A2B821-0E5B-4D0B-A6FE-7163B32CA3B4}"/>
    <cellStyle name="Millares 8 17" xfId="12114" xr:uid="{9591A0A3-317B-4EBA-A8BD-7C6FE618B8B9}"/>
    <cellStyle name="Millares 8 2" xfId="55" xr:uid="{B1E33B07-2DF3-4E2F-A696-8D31012CE215}"/>
    <cellStyle name="Millares 8 2 10" xfId="6445" xr:uid="{C49E2D10-977C-45D4-9B8F-606AB52760E7}"/>
    <cellStyle name="Millares 8 2 10 2" xfId="11294" xr:uid="{CEACA94D-792A-44E1-B8DE-01188FCB2BAB}"/>
    <cellStyle name="Millares 8 2 11" xfId="4021" xr:uid="{19B21ADE-CC57-4CBA-BC65-042C61FB3540}"/>
    <cellStyle name="Millares 8 2 11 2" xfId="8875" xr:uid="{819DD786-7B40-4EF7-8DD6-23992A46894C}"/>
    <cellStyle name="Millares 8 2 12" xfId="2808" xr:uid="{BAFBDE17-9804-420A-B7D6-EE329969563D}"/>
    <cellStyle name="Millares 8 2 13" xfId="7664" xr:uid="{53217E9D-6712-4126-A7C8-F2765E318ADD}"/>
    <cellStyle name="Millares 8 2 14" xfId="12115" xr:uid="{98A9B5FF-AA61-4B66-BCDB-3A9370780E6D}"/>
    <cellStyle name="Millares 8 2 2" xfId="1522" xr:uid="{5195F91E-B8CE-4BC2-997B-7E8EFE983F06}"/>
    <cellStyle name="Millares 8 2 2 10" xfId="4022" xr:uid="{04224F2B-DBEC-46A9-8867-F672C2A72027}"/>
    <cellStyle name="Millares 8 2 2 10 2" xfId="8876" xr:uid="{36DC7ADA-1614-4999-A2DC-8C097EE057CC}"/>
    <cellStyle name="Millares 8 2 2 11" xfId="2809" xr:uid="{DD96F060-C28B-4B8F-809E-C59FDE73BDEC}"/>
    <cellStyle name="Millares 8 2 2 12" xfId="7665" xr:uid="{6B965BC0-25AD-4DA8-BE86-C025C94C6399}"/>
    <cellStyle name="Millares 8 2 2 2" xfId="1523" xr:uid="{B83AA9EA-7F76-4EF1-9CBA-F80E795F5EF9}"/>
    <cellStyle name="Millares 8 2 2 2 10" xfId="2810" xr:uid="{F5D0EBF9-46D9-426C-AA92-D0D972EFA80D}"/>
    <cellStyle name="Millares 8 2 2 2 11" xfId="7666" xr:uid="{E7410C5C-8BD9-44C8-96DF-C6CEA405F44A}"/>
    <cellStyle name="Millares 8 2 2 2 2" xfId="1524" xr:uid="{E954E4A2-902E-4C03-B79B-0D2792D861BE}"/>
    <cellStyle name="Millares 8 2 2 2 2 2" xfId="1525" xr:uid="{B1614183-CA14-4BA9-B0D2-2E9F9BD7B82F}"/>
    <cellStyle name="Millares 8 2 2 2 2 2 2" xfId="1526" xr:uid="{FA2C66DF-C434-4DC5-A585-085BC875376D}"/>
    <cellStyle name="Millares 8 2 2 2 2 2 2 2" xfId="2195" xr:uid="{76CF9B94-4FCC-4500-9C0D-4A7B5B3A5AA0}"/>
    <cellStyle name="Millares 8 2 2 2 2 2 2 2 2" xfId="5841" xr:uid="{8DFFB9E6-16DA-4CDA-8CDC-C28F16B37575}"/>
    <cellStyle name="Millares 8 2 2 2 2 2 2 2 2 2" xfId="10693" xr:uid="{9071A3AB-9DF6-4FB8-9F87-22603ABC37C9}"/>
    <cellStyle name="Millares 8 2 2 2 2 2 2 2 3" xfId="7057" xr:uid="{CED72C11-103B-4035-8DD4-E2212F7B4DB5}"/>
    <cellStyle name="Millares 8 2 2 2 2 2 2 2 3 2" xfId="11905" xr:uid="{08CBC11A-D137-4689-B4B9-4755B2866084}"/>
    <cellStyle name="Millares 8 2 2 2 2 2 2 2 4" xfId="4630" xr:uid="{74C6C568-AD80-4C18-AFA4-9E916D718618}"/>
    <cellStyle name="Millares 8 2 2 2 2 2 2 2 4 2" xfId="9484" xr:uid="{53D3D494-55CF-43A6-8B02-34285701074B}"/>
    <cellStyle name="Millares 8 2 2 2 2 2 2 2 5" xfId="3418" xr:uid="{8ED4D850-9B71-4DE3-8EA6-AEA50AC72C69}"/>
    <cellStyle name="Millares 8 2 2 2 2 2 2 2 6" xfId="8274" xr:uid="{63F633A5-573F-4EFD-BD1F-E44F0F93D83D}"/>
    <cellStyle name="Millares 8 2 2 2 2 2 2 3" xfId="5236" xr:uid="{3E0E4879-FEBB-4ECC-BABD-AC98A95E0408}"/>
    <cellStyle name="Millares 8 2 2 2 2 2 2 3 2" xfId="10088" xr:uid="{5DB9A3E2-9ADF-4F0D-A69C-CF3642FAC83B}"/>
    <cellStyle name="Millares 8 2 2 2 2 2 2 4" xfId="6450" xr:uid="{5EB833BC-E5FD-4299-860A-A5727A042DBC}"/>
    <cellStyle name="Millares 8 2 2 2 2 2 2 4 2" xfId="11299" xr:uid="{B4EC29C5-2A74-4B82-BFF9-0D45B6146601}"/>
    <cellStyle name="Millares 8 2 2 2 2 2 2 5" xfId="4026" xr:uid="{E6E35199-833E-472B-A366-1590FD4B9D58}"/>
    <cellStyle name="Millares 8 2 2 2 2 2 2 5 2" xfId="8880" xr:uid="{6BDED02F-BD86-4CF8-9E62-35DA478635DB}"/>
    <cellStyle name="Millares 8 2 2 2 2 2 2 6" xfId="2813" xr:uid="{DCE9CAEC-71BF-402B-9354-7CB15CCD17B3}"/>
    <cellStyle name="Millares 8 2 2 2 2 2 2 7" xfId="7669" xr:uid="{1291AA29-631C-48DB-8396-6976D3521131}"/>
    <cellStyle name="Millares 8 2 2 2 2 2 3" xfId="2194" xr:uid="{4538173F-33F8-450C-889E-09AA053B89BF}"/>
    <cellStyle name="Millares 8 2 2 2 2 2 3 2" xfId="5840" xr:uid="{1517378F-41CA-4C06-BBAB-D1EAFEC7D1D9}"/>
    <cellStyle name="Millares 8 2 2 2 2 2 3 2 2" xfId="10692" xr:uid="{79F5BEB1-65FD-47F0-B47F-770BF5470068}"/>
    <cellStyle name="Millares 8 2 2 2 2 2 3 3" xfId="7056" xr:uid="{9C5F8265-5269-4021-9AA7-7E16F3C7FD05}"/>
    <cellStyle name="Millares 8 2 2 2 2 2 3 3 2" xfId="11904" xr:uid="{091EDCE1-81B8-4DFA-A44D-C5203531AE8F}"/>
    <cellStyle name="Millares 8 2 2 2 2 2 3 4" xfId="4629" xr:uid="{21151DAC-EB8A-4702-9912-A36C68A71E9F}"/>
    <cellStyle name="Millares 8 2 2 2 2 2 3 4 2" xfId="9483" xr:uid="{ABF457CE-AD5C-4045-AB4D-56C645E44853}"/>
    <cellStyle name="Millares 8 2 2 2 2 2 3 5" xfId="3417" xr:uid="{3CA92A4A-714B-4913-8A91-895F46540CA4}"/>
    <cellStyle name="Millares 8 2 2 2 2 2 3 6" xfId="8273" xr:uid="{CB70525F-E9EB-422B-85AE-0925D4D6BE96}"/>
    <cellStyle name="Millares 8 2 2 2 2 2 4" xfId="5235" xr:uid="{C2E103A2-D3D6-4D9C-A439-F21FCB89C89F}"/>
    <cellStyle name="Millares 8 2 2 2 2 2 4 2" xfId="10087" xr:uid="{D8149697-315A-4EC6-BAD3-9B5616FF6F20}"/>
    <cellStyle name="Millares 8 2 2 2 2 2 5" xfId="6449" xr:uid="{B451817B-AFCC-474A-8E3A-C13113B338F1}"/>
    <cellStyle name="Millares 8 2 2 2 2 2 5 2" xfId="11298" xr:uid="{F7DA7B1A-7CEE-4589-94F6-B2597BDD87B0}"/>
    <cellStyle name="Millares 8 2 2 2 2 2 6" xfId="4025" xr:uid="{B2D23DB7-1736-4271-BF42-482ADD21B442}"/>
    <cellStyle name="Millares 8 2 2 2 2 2 6 2" xfId="8879" xr:uid="{17D95342-5825-4B15-AB8D-9F7C832D05F6}"/>
    <cellStyle name="Millares 8 2 2 2 2 2 7" xfId="2812" xr:uid="{CAC260C2-AEC0-4293-9ED7-09DA9BBECBC0}"/>
    <cellStyle name="Millares 8 2 2 2 2 2 8" xfId="7668" xr:uid="{2E25E266-40B5-4CA8-BA39-ED3F4E74FF58}"/>
    <cellStyle name="Millares 8 2 2 2 2 3" xfId="1527" xr:uid="{8B8A2549-019D-47C1-B2F1-9D72E6201F86}"/>
    <cellStyle name="Millares 8 2 2 2 2 3 2" xfId="2196" xr:uid="{62659E62-5D50-4CE8-89C4-E95A8F0D4F9C}"/>
    <cellStyle name="Millares 8 2 2 2 2 3 2 2" xfId="5842" xr:uid="{93B8A238-0361-47E5-88E1-DC74CD27C3E6}"/>
    <cellStyle name="Millares 8 2 2 2 2 3 2 2 2" xfId="10694" xr:uid="{97F79265-F3BC-4E6F-8EB1-E1243AE4DC7F}"/>
    <cellStyle name="Millares 8 2 2 2 2 3 2 3" xfId="7058" xr:uid="{40FE1D86-4599-46F7-BD36-5E3BF161B65A}"/>
    <cellStyle name="Millares 8 2 2 2 2 3 2 3 2" xfId="11906" xr:uid="{A7FFFBA6-647C-4879-8DC9-CC356ECD8B57}"/>
    <cellStyle name="Millares 8 2 2 2 2 3 2 4" xfId="4631" xr:uid="{898F2606-A354-48F2-8430-B8658D199E7E}"/>
    <cellStyle name="Millares 8 2 2 2 2 3 2 4 2" xfId="9485" xr:uid="{C6EBD5F9-9668-459E-BB92-48B85365301A}"/>
    <cellStyle name="Millares 8 2 2 2 2 3 2 5" xfId="3419" xr:uid="{0B2CACB2-C722-4284-9817-73991F57FD35}"/>
    <cellStyle name="Millares 8 2 2 2 2 3 2 6" xfId="8275" xr:uid="{6E4473B0-F2C2-4FC6-B396-35164EA30259}"/>
    <cellStyle name="Millares 8 2 2 2 2 3 3" xfId="5237" xr:uid="{9C9517D0-B5AC-4BE0-B644-0E0B0EF0C0D8}"/>
    <cellStyle name="Millares 8 2 2 2 2 3 3 2" xfId="10089" xr:uid="{2EB5D5D5-1517-45A8-B8DC-3A108E5A6C39}"/>
    <cellStyle name="Millares 8 2 2 2 2 3 4" xfId="6451" xr:uid="{A8647CF8-7F85-4DAF-911B-CB0772F168DC}"/>
    <cellStyle name="Millares 8 2 2 2 2 3 4 2" xfId="11300" xr:uid="{0207EC82-6837-4C30-8066-6751C0C13457}"/>
    <cellStyle name="Millares 8 2 2 2 2 3 5" xfId="4027" xr:uid="{49F0AF5D-720B-4C83-BC8D-E5AB56F64572}"/>
    <cellStyle name="Millares 8 2 2 2 2 3 5 2" xfId="8881" xr:uid="{9B78043E-5619-4C05-8957-72919B562A49}"/>
    <cellStyle name="Millares 8 2 2 2 2 3 6" xfId="2814" xr:uid="{4F99C923-C6EE-4145-81CA-8CD40FEEFF4A}"/>
    <cellStyle name="Millares 8 2 2 2 2 3 7" xfId="7670" xr:uid="{3F172826-CA4F-485C-BF85-D0863C821C37}"/>
    <cellStyle name="Millares 8 2 2 2 2 4" xfId="2193" xr:uid="{7736CCCB-1AF7-4726-A382-2BB621D4FA2D}"/>
    <cellStyle name="Millares 8 2 2 2 2 4 2" xfId="5839" xr:uid="{F4363319-165E-4C16-A8AB-20D6F7657FE6}"/>
    <cellStyle name="Millares 8 2 2 2 2 4 2 2" xfId="10691" xr:uid="{6228F0F5-AFAB-41E6-BAB7-2C9D4F52DB04}"/>
    <cellStyle name="Millares 8 2 2 2 2 4 3" xfId="7055" xr:uid="{ED6C92AB-6B83-4AFA-BF06-983E2A78A597}"/>
    <cellStyle name="Millares 8 2 2 2 2 4 3 2" xfId="11903" xr:uid="{9A85112D-0D92-4E59-B80A-B7BAB0804885}"/>
    <cellStyle name="Millares 8 2 2 2 2 4 4" xfId="4628" xr:uid="{91A1FA05-F6F2-4A81-9A2F-F5E3736E6753}"/>
    <cellStyle name="Millares 8 2 2 2 2 4 4 2" xfId="9482" xr:uid="{955B96B8-9955-4253-A045-121882E8454F}"/>
    <cellStyle name="Millares 8 2 2 2 2 4 5" xfId="3416" xr:uid="{2C8C868E-1982-4D76-8E84-EBAECDFF6334}"/>
    <cellStyle name="Millares 8 2 2 2 2 4 6" xfId="8272" xr:uid="{A90EA862-6159-412A-898C-C6B47D0E0F6E}"/>
    <cellStyle name="Millares 8 2 2 2 2 5" xfId="5234" xr:uid="{FCDB520C-914D-4687-9969-579ABEBE6119}"/>
    <cellStyle name="Millares 8 2 2 2 2 5 2" xfId="10086" xr:uid="{EE93AE9A-4A38-4511-8190-81E546D72EC6}"/>
    <cellStyle name="Millares 8 2 2 2 2 6" xfId="6448" xr:uid="{48496F24-C5AA-43F1-9267-A4EA25178B99}"/>
    <cellStyle name="Millares 8 2 2 2 2 6 2" xfId="11297" xr:uid="{1778B9B7-AA4B-4008-9EDD-8EAF67BEDA79}"/>
    <cellStyle name="Millares 8 2 2 2 2 7" xfId="4024" xr:uid="{8B7BF596-89AD-438F-B6F3-2F031381BF3E}"/>
    <cellStyle name="Millares 8 2 2 2 2 7 2" xfId="8878" xr:uid="{76614335-3475-49FC-A1D3-AB5754D693B5}"/>
    <cellStyle name="Millares 8 2 2 2 2 8" xfId="2811" xr:uid="{AAA08349-BCF6-4030-8A4A-FEA330CA62D1}"/>
    <cellStyle name="Millares 8 2 2 2 2 9" xfId="7667" xr:uid="{0AD51D50-4B25-4094-A80E-C6ED3D82FB40}"/>
    <cellStyle name="Millares 8 2 2 2 3" xfId="1528" xr:uid="{8C69AD47-A692-4B13-B280-8BD04ED0BD4B}"/>
    <cellStyle name="Millares 8 2 2 2 3 2" xfId="1529" xr:uid="{212EA40B-84FE-4D45-917A-A618DB8BFCEF}"/>
    <cellStyle name="Millares 8 2 2 2 3 2 2" xfId="1530" xr:uid="{F29B0126-2609-4C88-BDDF-1AE737BC3E2D}"/>
    <cellStyle name="Millares 8 2 2 2 3 2 2 2" xfId="2199" xr:uid="{873EC924-011B-4EF0-BFC8-B34EF0FA8AF4}"/>
    <cellStyle name="Millares 8 2 2 2 3 2 2 2 2" xfId="5845" xr:uid="{A1304DA0-11E5-4A8A-9056-6CAEE4FC1C6A}"/>
    <cellStyle name="Millares 8 2 2 2 3 2 2 2 2 2" xfId="10697" xr:uid="{3433EE93-61D7-4F16-8037-F7E78BC1BEE1}"/>
    <cellStyle name="Millares 8 2 2 2 3 2 2 2 3" xfId="7061" xr:uid="{748AD32B-496A-4B3B-8DD3-BA15DC704343}"/>
    <cellStyle name="Millares 8 2 2 2 3 2 2 2 3 2" xfId="11909" xr:uid="{CD26AB21-B599-4226-A28A-B4FF85786BA1}"/>
    <cellStyle name="Millares 8 2 2 2 3 2 2 2 4" xfId="4634" xr:uid="{5B812E3A-8213-4629-9F2A-EBD57E71D276}"/>
    <cellStyle name="Millares 8 2 2 2 3 2 2 2 4 2" xfId="9488" xr:uid="{3FA46304-CAED-4B15-9D9A-17CD0BBC962B}"/>
    <cellStyle name="Millares 8 2 2 2 3 2 2 2 5" xfId="3422" xr:uid="{9E586F4A-FA56-4A02-9BAC-B5982A67D787}"/>
    <cellStyle name="Millares 8 2 2 2 3 2 2 2 6" xfId="8278" xr:uid="{8C4E9E9B-2468-4F81-9487-25B593E7A9CA}"/>
    <cellStyle name="Millares 8 2 2 2 3 2 2 3" xfId="5240" xr:uid="{F13AB148-1175-4EED-B06F-62A8FBED9DB3}"/>
    <cellStyle name="Millares 8 2 2 2 3 2 2 3 2" xfId="10092" xr:uid="{17180A33-4B77-47E7-87DB-382E27A4EEF6}"/>
    <cellStyle name="Millares 8 2 2 2 3 2 2 4" xfId="6454" xr:uid="{DBB5AFBE-28BD-48EB-9E4F-9AEAD1AD0A73}"/>
    <cellStyle name="Millares 8 2 2 2 3 2 2 4 2" xfId="11303" xr:uid="{70DCBBA4-11CC-4713-90FE-D318492F8143}"/>
    <cellStyle name="Millares 8 2 2 2 3 2 2 5" xfId="4030" xr:uid="{D47D6086-1CAF-4CCF-8130-4610609BCF14}"/>
    <cellStyle name="Millares 8 2 2 2 3 2 2 5 2" xfId="8884" xr:uid="{267B1613-E78D-4656-BBA5-52E442FDB77C}"/>
    <cellStyle name="Millares 8 2 2 2 3 2 2 6" xfId="2817" xr:uid="{23C72462-8BDE-4E26-99DC-F24606D44D04}"/>
    <cellStyle name="Millares 8 2 2 2 3 2 2 7" xfId="7673" xr:uid="{4D416942-865E-4178-8660-720F29CBA70F}"/>
    <cellStyle name="Millares 8 2 2 2 3 2 3" xfId="2198" xr:uid="{21C3AC3F-D321-4B52-9D3E-3617C9B80635}"/>
    <cellStyle name="Millares 8 2 2 2 3 2 3 2" xfId="5844" xr:uid="{D2D9ED84-18C3-47D8-98AC-038B9C74EC77}"/>
    <cellStyle name="Millares 8 2 2 2 3 2 3 2 2" xfId="10696" xr:uid="{A4F625C0-8B5A-4E48-BF6A-A361C0FFE012}"/>
    <cellStyle name="Millares 8 2 2 2 3 2 3 3" xfId="7060" xr:uid="{B049F81B-4ACE-423F-A313-FDD4FFDA5333}"/>
    <cellStyle name="Millares 8 2 2 2 3 2 3 3 2" xfId="11908" xr:uid="{B02544A3-DACF-4B52-B19C-DDD8A1646986}"/>
    <cellStyle name="Millares 8 2 2 2 3 2 3 4" xfId="4633" xr:uid="{4E227714-1F82-4022-8ED1-FEE7060D5E46}"/>
    <cellStyle name="Millares 8 2 2 2 3 2 3 4 2" xfId="9487" xr:uid="{DCA3033E-A4EA-424C-98D5-EABF892C2E3D}"/>
    <cellStyle name="Millares 8 2 2 2 3 2 3 5" xfId="3421" xr:uid="{2ACE0E1F-45D4-4821-9E71-640BDE57F052}"/>
    <cellStyle name="Millares 8 2 2 2 3 2 3 6" xfId="8277" xr:uid="{401440C3-D63C-47DA-9829-0AE5FFBFD03E}"/>
    <cellStyle name="Millares 8 2 2 2 3 2 4" xfId="5239" xr:uid="{D61AA849-6F0A-4688-BCCA-C64F3CB8370E}"/>
    <cellStyle name="Millares 8 2 2 2 3 2 4 2" xfId="10091" xr:uid="{3AD868D6-5BB3-4AAE-A92F-9DF2C4EA7540}"/>
    <cellStyle name="Millares 8 2 2 2 3 2 5" xfId="6453" xr:uid="{50FD8050-C78B-4606-B8C1-816C74F6A851}"/>
    <cellStyle name="Millares 8 2 2 2 3 2 5 2" xfId="11302" xr:uid="{07BB6022-23CB-4B16-9806-F83C575CB38E}"/>
    <cellStyle name="Millares 8 2 2 2 3 2 6" xfId="4029" xr:uid="{E7DC6368-B83A-4781-B33F-747CDEDD2424}"/>
    <cellStyle name="Millares 8 2 2 2 3 2 6 2" xfId="8883" xr:uid="{177D41C7-2138-42F3-97EE-1A153C0DE3C1}"/>
    <cellStyle name="Millares 8 2 2 2 3 2 7" xfId="2816" xr:uid="{99BD66A0-7EA9-439E-8C08-2BB346C7FC49}"/>
    <cellStyle name="Millares 8 2 2 2 3 2 8" xfId="7672" xr:uid="{C377FE53-63A5-4EDC-A1D6-2194FE5B96C4}"/>
    <cellStyle name="Millares 8 2 2 2 3 3" xfId="1531" xr:uid="{A3E28341-CE74-4C8B-A4A6-93AFCA8A1F00}"/>
    <cellStyle name="Millares 8 2 2 2 3 3 2" xfId="2200" xr:uid="{907A7169-28D8-40BD-BC35-5440AAE2E66C}"/>
    <cellStyle name="Millares 8 2 2 2 3 3 2 2" xfId="5846" xr:uid="{59CF33B0-7903-4E20-81BA-8E850CBBB3E5}"/>
    <cellStyle name="Millares 8 2 2 2 3 3 2 2 2" xfId="10698" xr:uid="{45F6CA70-B625-466A-B32A-056792780DD0}"/>
    <cellStyle name="Millares 8 2 2 2 3 3 2 3" xfId="7062" xr:uid="{C3B50A40-840F-4D8B-986A-C9F412E6354B}"/>
    <cellStyle name="Millares 8 2 2 2 3 3 2 3 2" xfId="11910" xr:uid="{38F00CE5-3D8D-4A29-A4DD-5D546C13D9B2}"/>
    <cellStyle name="Millares 8 2 2 2 3 3 2 4" xfId="4635" xr:uid="{BAE52D3C-8C26-4A01-A15E-FA76B01061BA}"/>
    <cellStyle name="Millares 8 2 2 2 3 3 2 4 2" xfId="9489" xr:uid="{17296115-E6BE-4854-B080-68E57B6FC7B2}"/>
    <cellStyle name="Millares 8 2 2 2 3 3 2 5" xfId="3423" xr:uid="{F8DA75D8-5E8E-4EFD-A14A-C41A4A8CA464}"/>
    <cellStyle name="Millares 8 2 2 2 3 3 2 6" xfId="8279" xr:uid="{3E147212-ABBC-43E2-95B7-9F08AF41266C}"/>
    <cellStyle name="Millares 8 2 2 2 3 3 3" xfId="5241" xr:uid="{69A9D9D4-0246-4C2E-A66F-139DCE7F4C4F}"/>
    <cellStyle name="Millares 8 2 2 2 3 3 3 2" xfId="10093" xr:uid="{2AF3490E-1552-4112-B824-6CDCF78D0D2A}"/>
    <cellStyle name="Millares 8 2 2 2 3 3 4" xfId="6455" xr:uid="{46DD8BE8-4F9A-4B76-974A-47095FF2B2D5}"/>
    <cellStyle name="Millares 8 2 2 2 3 3 4 2" xfId="11304" xr:uid="{6AD00624-8574-4A78-9122-47917C927DBE}"/>
    <cellStyle name="Millares 8 2 2 2 3 3 5" xfId="4031" xr:uid="{B2A03860-0380-4715-B6EE-011829D3C967}"/>
    <cellStyle name="Millares 8 2 2 2 3 3 5 2" xfId="8885" xr:uid="{9F6037F4-C8D0-49A8-94F7-22670E5E1650}"/>
    <cellStyle name="Millares 8 2 2 2 3 3 6" xfId="2818" xr:uid="{278A0490-5476-40A5-B688-AB5174FBD0E3}"/>
    <cellStyle name="Millares 8 2 2 2 3 3 7" xfId="7674" xr:uid="{03EBFEF0-ECB3-48E8-A99C-DC09B8605B9F}"/>
    <cellStyle name="Millares 8 2 2 2 3 4" xfId="2197" xr:uid="{CDE73C95-4CB7-4083-B8C5-6884517A8AE4}"/>
    <cellStyle name="Millares 8 2 2 2 3 4 2" xfId="5843" xr:uid="{DA8161EE-FF09-4247-BFF3-0465E2189FD9}"/>
    <cellStyle name="Millares 8 2 2 2 3 4 2 2" xfId="10695" xr:uid="{D62D0FFF-974A-465F-9912-60FDA1C79853}"/>
    <cellStyle name="Millares 8 2 2 2 3 4 3" xfId="7059" xr:uid="{018BC1DC-D875-4EF8-88DD-64985173E5D5}"/>
    <cellStyle name="Millares 8 2 2 2 3 4 3 2" xfId="11907" xr:uid="{68072777-177B-49C0-B74B-73A9B9EA4FC5}"/>
    <cellStyle name="Millares 8 2 2 2 3 4 4" xfId="4632" xr:uid="{46DF8224-B97D-4EF1-A1A4-2C3EFE2B08EA}"/>
    <cellStyle name="Millares 8 2 2 2 3 4 4 2" xfId="9486" xr:uid="{B5C28677-7F9C-4463-BDF1-E3BD418BAC4A}"/>
    <cellStyle name="Millares 8 2 2 2 3 4 5" xfId="3420" xr:uid="{F011447D-DA93-49E0-AF76-9189691CC73E}"/>
    <cellStyle name="Millares 8 2 2 2 3 4 6" xfId="8276" xr:uid="{B5C755DA-19AE-4180-B8A2-2BA5A6DF78B9}"/>
    <cellStyle name="Millares 8 2 2 2 3 5" xfId="5238" xr:uid="{5C935CA1-EDD0-4D9E-94F3-A68DCF40A45F}"/>
    <cellStyle name="Millares 8 2 2 2 3 5 2" xfId="10090" xr:uid="{79A8B465-BEB2-4C3A-8347-A3D2A8E5DBE2}"/>
    <cellStyle name="Millares 8 2 2 2 3 6" xfId="6452" xr:uid="{20968980-C6C0-4285-A262-700502B9628D}"/>
    <cellStyle name="Millares 8 2 2 2 3 6 2" xfId="11301" xr:uid="{943F3777-8998-4DE5-838E-94D5973D6FEC}"/>
    <cellStyle name="Millares 8 2 2 2 3 7" xfId="4028" xr:uid="{6010B341-5233-4345-96DA-A439A9FA70CE}"/>
    <cellStyle name="Millares 8 2 2 2 3 7 2" xfId="8882" xr:uid="{D3F5EA3A-0368-4AAE-8EC3-1245A5D6A225}"/>
    <cellStyle name="Millares 8 2 2 2 3 8" xfId="2815" xr:uid="{1CF6123C-ABA0-4AED-9D81-985A2BA556EE}"/>
    <cellStyle name="Millares 8 2 2 2 3 9" xfId="7671" xr:uid="{0177EE7D-0037-4DC9-B0BA-C30EE54C3B9D}"/>
    <cellStyle name="Millares 8 2 2 2 4" xfId="1532" xr:uid="{0AE9A9BC-3E3F-4FA1-A84E-B85BDB43F3CD}"/>
    <cellStyle name="Millares 8 2 2 2 4 2" xfId="1533" xr:uid="{9149F28D-B837-4D06-AAC3-512FBAD4E2CA}"/>
    <cellStyle name="Millares 8 2 2 2 4 2 2" xfId="2202" xr:uid="{640A3BF0-1B82-47F3-97B2-A38A31290977}"/>
    <cellStyle name="Millares 8 2 2 2 4 2 2 2" xfId="5848" xr:uid="{EB725331-0D4B-440E-9DA9-D0BD9644BEA6}"/>
    <cellStyle name="Millares 8 2 2 2 4 2 2 2 2" xfId="10700" xr:uid="{35756296-985E-4D18-B77B-344F1923DF8B}"/>
    <cellStyle name="Millares 8 2 2 2 4 2 2 3" xfId="7064" xr:uid="{286B1F31-8205-47CA-B9C7-BD5DCAC419EF}"/>
    <cellStyle name="Millares 8 2 2 2 4 2 2 3 2" xfId="11912" xr:uid="{A435F806-A20A-45F8-B6FD-5CE31353AADA}"/>
    <cellStyle name="Millares 8 2 2 2 4 2 2 4" xfId="4637" xr:uid="{C3778B4C-8883-4EF8-8015-15A586B695B4}"/>
    <cellStyle name="Millares 8 2 2 2 4 2 2 4 2" xfId="9491" xr:uid="{D9A73ADF-DBBD-46AB-BBB2-FB59ECFAD8A9}"/>
    <cellStyle name="Millares 8 2 2 2 4 2 2 5" xfId="3425" xr:uid="{5BB4D61F-1AA1-404E-AC7B-4AF4CEF58E47}"/>
    <cellStyle name="Millares 8 2 2 2 4 2 2 6" xfId="8281" xr:uid="{8147D880-C708-4CFA-ACF2-5CC4853158A9}"/>
    <cellStyle name="Millares 8 2 2 2 4 2 3" xfId="5243" xr:uid="{A56236C4-90FC-45EA-BAD9-35BF5D8EF56D}"/>
    <cellStyle name="Millares 8 2 2 2 4 2 3 2" xfId="10095" xr:uid="{D650B2C6-AC34-4E22-9389-8D57A47A12EE}"/>
    <cellStyle name="Millares 8 2 2 2 4 2 4" xfId="6457" xr:uid="{D2B75F19-753E-4D99-9A30-E498E3043990}"/>
    <cellStyle name="Millares 8 2 2 2 4 2 4 2" xfId="11306" xr:uid="{DA1121DD-06CA-48E9-97F7-13B00B46A867}"/>
    <cellStyle name="Millares 8 2 2 2 4 2 5" xfId="4033" xr:uid="{5B3E8D11-5E42-48D2-8DA2-D0C09D34D9A0}"/>
    <cellStyle name="Millares 8 2 2 2 4 2 5 2" xfId="8887" xr:uid="{1601C357-6069-4520-AC95-DA42552AA7A0}"/>
    <cellStyle name="Millares 8 2 2 2 4 2 6" xfId="2820" xr:uid="{D21049DD-80A4-4F0C-A190-C41AF787F731}"/>
    <cellStyle name="Millares 8 2 2 2 4 2 7" xfId="7676" xr:uid="{102DFB92-3D8C-4F5C-9540-4941A2EF96D6}"/>
    <cellStyle name="Millares 8 2 2 2 4 3" xfId="2201" xr:uid="{BB8C67D6-58E2-4FF2-9A98-EBD9B7C499BB}"/>
    <cellStyle name="Millares 8 2 2 2 4 3 2" xfId="5847" xr:uid="{1C7165AE-C774-4B1A-BD2C-AC5BADFFD5A6}"/>
    <cellStyle name="Millares 8 2 2 2 4 3 2 2" xfId="10699" xr:uid="{7D1491ED-143F-4300-A840-A9EBA9E618C6}"/>
    <cellStyle name="Millares 8 2 2 2 4 3 3" xfId="7063" xr:uid="{57869515-838F-4BF3-88DB-B47A47E08433}"/>
    <cellStyle name="Millares 8 2 2 2 4 3 3 2" xfId="11911" xr:uid="{3DB267F9-7F0C-4E1D-A0BE-1DD6F70A6CEF}"/>
    <cellStyle name="Millares 8 2 2 2 4 3 4" xfId="4636" xr:uid="{53299C82-3358-42D7-B4F0-C8B3CF413A6A}"/>
    <cellStyle name="Millares 8 2 2 2 4 3 4 2" xfId="9490" xr:uid="{E7387D59-7D10-42FB-B6AD-71437A4B31D4}"/>
    <cellStyle name="Millares 8 2 2 2 4 3 5" xfId="3424" xr:uid="{29F6AD88-F70C-4621-9D7B-FB21C7245D61}"/>
    <cellStyle name="Millares 8 2 2 2 4 3 6" xfId="8280" xr:uid="{E4FFDAE0-840A-4E8E-A044-A7F754F0383E}"/>
    <cellStyle name="Millares 8 2 2 2 4 4" xfId="5242" xr:uid="{825485D0-6C60-401D-A1E2-2FEFB838FB45}"/>
    <cellStyle name="Millares 8 2 2 2 4 4 2" xfId="10094" xr:uid="{C8B89369-C9E6-45D0-9A45-B70AE7C64D6A}"/>
    <cellStyle name="Millares 8 2 2 2 4 5" xfId="6456" xr:uid="{462ED067-3A16-4029-AC77-427570A48B7D}"/>
    <cellStyle name="Millares 8 2 2 2 4 5 2" xfId="11305" xr:uid="{167BEF23-A690-47E1-B369-047F6B55E271}"/>
    <cellStyle name="Millares 8 2 2 2 4 6" xfId="4032" xr:uid="{52B531DF-0A6B-48EE-B741-C7FA0A2922A1}"/>
    <cellStyle name="Millares 8 2 2 2 4 6 2" xfId="8886" xr:uid="{F383D8C0-253D-4CF4-8251-474AFDBCA1A2}"/>
    <cellStyle name="Millares 8 2 2 2 4 7" xfId="2819" xr:uid="{E3D1C359-1A2A-4B4C-9A3C-0FC1974A6278}"/>
    <cellStyle name="Millares 8 2 2 2 4 8" xfId="7675" xr:uid="{0C4FF66F-F642-47C5-915A-37BF83033F4B}"/>
    <cellStyle name="Millares 8 2 2 2 5" xfId="1534" xr:uid="{E12F4116-BEE6-4CAF-B639-CCB9CC8C89EA}"/>
    <cellStyle name="Millares 8 2 2 2 5 2" xfId="2203" xr:uid="{60AB6F69-46E5-4DAA-9CDE-33C9B0742FAB}"/>
    <cellStyle name="Millares 8 2 2 2 5 2 2" xfId="5849" xr:uid="{397CF972-BD7C-4F5E-A1CE-AAC38C89FC8A}"/>
    <cellStyle name="Millares 8 2 2 2 5 2 2 2" xfId="10701" xr:uid="{B5C78BFF-BF83-42FC-9C74-9D57751A3EDA}"/>
    <cellStyle name="Millares 8 2 2 2 5 2 3" xfId="7065" xr:uid="{E2E91D90-3F47-463F-8FB7-BD26FA3B6512}"/>
    <cellStyle name="Millares 8 2 2 2 5 2 3 2" xfId="11913" xr:uid="{A1113929-AD24-4E66-A4D4-4E9FDC42A38A}"/>
    <cellStyle name="Millares 8 2 2 2 5 2 4" xfId="4638" xr:uid="{C08997D6-58A2-4208-9428-D51AF32CC0B1}"/>
    <cellStyle name="Millares 8 2 2 2 5 2 4 2" xfId="9492" xr:uid="{60B31506-260A-47E5-A671-BC0C203A233D}"/>
    <cellStyle name="Millares 8 2 2 2 5 2 5" xfId="3426" xr:uid="{EAD59E9C-8FC6-4B3A-A233-38F3F658F919}"/>
    <cellStyle name="Millares 8 2 2 2 5 2 6" xfId="8282" xr:uid="{67C97B61-2B8B-49D4-B05B-6CE6ACA6AEFF}"/>
    <cellStyle name="Millares 8 2 2 2 5 3" xfId="5244" xr:uid="{04AF7C6C-8AFE-4CAA-BFE8-65FEE646BC96}"/>
    <cellStyle name="Millares 8 2 2 2 5 3 2" xfId="10096" xr:uid="{67703B4F-861C-412F-B2F5-53C1D7AA1C8A}"/>
    <cellStyle name="Millares 8 2 2 2 5 4" xfId="6458" xr:uid="{BED48771-E282-4F76-AC7B-B120A469A257}"/>
    <cellStyle name="Millares 8 2 2 2 5 4 2" xfId="11307" xr:uid="{43AF2EEB-D446-4231-8E19-788E14ACA70B}"/>
    <cellStyle name="Millares 8 2 2 2 5 5" xfId="4034" xr:uid="{2D9775A7-2B77-4A5F-BCEB-CEA157B54904}"/>
    <cellStyle name="Millares 8 2 2 2 5 5 2" xfId="8888" xr:uid="{CEA78993-B66B-48B3-8E55-61B091D10471}"/>
    <cellStyle name="Millares 8 2 2 2 5 6" xfId="2821" xr:uid="{2C2EB915-7C9A-4B0A-B3A4-197D983006FA}"/>
    <cellStyle name="Millares 8 2 2 2 5 7" xfId="7677" xr:uid="{A255B822-3DE9-4A1D-A248-5787A4053F32}"/>
    <cellStyle name="Millares 8 2 2 2 6" xfId="2192" xr:uid="{D1D866CC-975F-4318-9CD6-8FC2620C0625}"/>
    <cellStyle name="Millares 8 2 2 2 6 2" xfId="5838" xr:uid="{13508F27-2EB6-4CDD-ADE8-C264213B82B7}"/>
    <cellStyle name="Millares 8 2 2 2 6 2 2" xfId="10690" xr:uid="{84E21D32-D5BC-4DF0-905A-9EA6E56993D9}"/>
    <cellStyle name="Millares 8 2 2 2 6 3" xfId="7054" xr:uid="{2843D2F5-AC68-457A-8DAC-2E669EF88AC8}"/>
    <cellStyle name="Millares 8 2 2 2 6 3 2" xfId="11902" xr:uid="{529A9E0A-6332-428B-BD64-7189E9B7B00C}"/>
    <cellStyle name="Millares 8 2 2 2 6 4" xfId="4627" xr:uid="{B7A90502-A26F-4B98-8C95-3769C8E8D079}"/>
    <cellStyle name="Millares 8 2 2 2 6 4 2" xfId="9481" xr:uid="{BCF4E174-C613-428A-AF79-44D68D54BD3F}"/>
    <cellStyle name="Millares 8 2 2 2 6 5" xfId="3415" xr:uid="{4500E016-15AF-4069-A2F9-AE0BCD63B46B}"/>
    <cellStyle name="Millares 8 2 2 2 6 6" xfId="8271" xr:uid="{AD1384F3-8020-46D4-97BA-852CB84CF39F}"/>
    <cellStyle name="Millares 8 2 2 2 7" xfId="5233" xr:uid="{F612473D-D2FF-4FB1-959A-9168E7BCC20A}"/>
    <cellStyle name="Millares 8 2 2 2 7 2" xfId="10085" xr:uid="{17A8D453-9AA9-4248-851E-AA78B01A1BCC}"/>
    <cellStyle name="Millares 8 2 2 2 8" xfId="6447" xr:uid="{A139D934-1E4B-4B6B-96D6-9CF522738D4E}"/>
    <cellStyle name="Millares 8 2 2 2 8 2" xfId="11296" xr:uid="{1B497444-3CCD-41C3-AE98-EF63665E81EB}"/>
    <cellStyle name="Millares 8 2 2 2 9" xfId="4023" xr:uid="{55BEE7A1-717D-4CC5-A60F-630B1487BEC7}"/>
    <cellStyle name="Millares 8 2 2 2 9 2" xfId="8877" xr:uid="{5727B5B3-8025-4478-80FF-9421EC64C93E}"/>
    <cellStyle name="Millares 8 2 2 3" xfId="1535" xr:uid="{975F783E-BEF1-4CF8-B164-954937AF0F4F}"/>
    <cellStyle name="Millares 8 2 2 3 2" xfId="1536" xr:uid="{A2767510-EC8C-409B-954F-D95D3898C956}"/>
    <cellStyle name="Millares 8 2 2 3 2 2" xfId="1537" xr:uid="{DE9EFA56-C434-48F0-8CEC-1EB7D73D79C0}"/>
    <cellStyle name="Millares 8 2 2 3 2 2 2" xfId="2206" xr:uid="{627D0709-2D40-4382-958E-B5B5C756095E}"/>
    <cellStyle name="Millares 8 2 2 3 2 2 2 2" xfId="5852" xr:uid="{698E05F4-6900-41D7-8669-7F31F9D7485E}"/>
    <cellStyle name="Millares 8 2 2 3 2 2 2 2 2" xfId="10704" xr:uid="{B84B930B-48E1-4087-B0E3-7B07BE0E476D}"/>
    <cellStyle name="Millares 8 2 2 3 2 2 2 3" xfId="7068" xr:uid="{D6616D03-0DB1-4EC0-ABA7-473BB2C1900E}"/>
    <cellStyle name="Millares 8 2 2 3 2 2 2 3 2" xfId="11916" xr:uid="{FA4817E3-D853-496C-8698-2D20F22C5130}"/>
    <cellStyle name="Millares 8 2 2 3 2 2 2 4" xfId="4641" xr:uid="{8530845D-281E-4253-992E-1DA5C23FAABE}"/>
    <cellStyle name="Millares 8 2 2 3 2 2 2 4 2" xfId="9495" xr:uid="{63797AD3-C664-4BB4-9334-0C18AA63D8BE}"/>
    <cellStyle name="Millares 8 2 2 3 2 2 2 5" xfId="3429" xr:uid="{71D6A467-54E6-43B3-80DB-A46D01D6744B}"/>
    <cellStyle name="Millares 8 2 2 3 2 2 2 6" xfId="8285" xr:uid="{DFC627AB-67CD-4D90-963F-D34FF9590AC0}"/>
    <cellStyle name="Millares 8 2 2 3 2 2 3" xfId="5247" xr:uid="{CCCA578F-9190-4F3D-BE9D-38000D59DC94}"/>
    <cellStyle name="Millares 8 2 2 3 2 2 3 2" xfId="10099" xr:uid="{2A3829A0-3D28-4B4A-BC0C-EE38EDF0E884}"/>
    <cellStyle name="Millares 8 2 2 3 2 2 4" xfId="6461" xr:uid="{566E338A-325D-4E26-BEC3-105ADB286949}"/>
    <cellStyle name="Millares 8 2 2 3 2 2 4 2" xfId="11310" xr:uid="{DB5D7250-0DF4-4E14-B14A-4CDA5234BB41}"/>
    <cellStyle name="Millares 8 2 2 3 2 2 5" xfId="4037" xr:uid="{7FCB0C1F-6B53-4C64-908E-A10E7E3778AD}"/>
    <cellStyle name="Millares 8 2 2 3 2 2 5 2" xfId="8891" xr:uid="{B3FD51D3-8429-4820-82D3-4F8E3BDD711F}"/>
    <cellStyle name="Millares 8 2 2 3 2 2 6" xfId="2824" xr:uid="{FEB1DC9E-72E9-4ACC-9AE6-5642A9757492}"/>
    <cellStyle name="Millares 8 2 2 3 2 2 7" xfId="7680" xr:uid="{FF1F1B51-BE03-4FBF-AA26-E1AEC88F2ED8}"/>
    <cellStyle name="Millares 8 2 2 3 2 3" xfId="2205" xr:uid="{9FC15E13-7F95-419D-9BB4-EA4459B1682E}"/>
    <cellStyle name="Millares 8 2 2 3 2 3 2" xfId="5851" xr:uid="{1790F323-9C00-41C5-937F-18685C97514E}"/>
    <cellStyle name="Millares 8 2 2 3 2 3 2 2" xfId="10703" xr:uid="{D766AACE-9242-440F-BD3C-865A27691A42}"/>
    <cellStyle name="Millares 8 2 2 3 2 3 3" xfId="7067" xr:uid="{E43D0A39-3D3D-46C9-90BF-E9DF7E49E453}"/>
    <cellStyle name="Millares 8 2 2 3 2 3 3 2" xfId="11915" xr:uid="{16506BB0-BB62-466C-9306-4CABB9B6C043}"/>
    <cellStyle name="Millares 8 2 2 3 2 3 4" xfId="4640" xr:uid="{5BA8009E-9FE3-437C-8FD6-1C2ED391F169}"/>
    <cellStyle name="Millares 8 2 2 3 2 3 4 2" xfId="9494" xr:uid="{A5B005D5-17C9-4CD0-80B6-D71EB36039EC}"/>
    <cellStyle name="Millares 8 2 2 3 2 3 5" xfId="3428" xr:uid="{2DD8838A-3E9D-4192-879F-399B609C2BE8}"/>
    <cellStyle name="Millares 8 2 2 3 2 3 6" xfId="8284" xr:uid="{F40669B9-9331-4FBF-8EFD-D2036E630B04}"/>
    <cellStyle name="Millares 8 2 2 3 2 4" xfId="5246" xr:uid="{6179C353-0C50-4EAA-BC16-7BA895A08E75}"/>
    <cellStyle name="Millares 8 2 2 3 2 4 2" xfId="10098" xr:uid="{45598519-F0F3-4752-B1D6-2FD42235D8B2}"/>
    <cellStyle name="Millares 8 2 2 3 2 5" xfId="6460" xr:uid="{323E1273-A4E1-4E69-98C3-5C9E1FF7D7FC}"/>
    <cellStyle name="Millares 8 2 2 3 2 5 2" xfId="11309" xr:uid="{A828B58A-A5AA-4031-A3AE-C27692462DB8}"/>
    <cellStyle name="Millares 8 2 2 3 2 6" xfId="4036" xr:uid="{07B99472-9F69-417E-8BD2-F9C169A5CE6B}"/>
    <cellStyle name="Millares 8 2 2 3 2 6 2" xfId="8890" xr:uid="{016CAD4A-8110-400F-906C-F1A8CB700C36}"/>
    <cellStyle name="Millares 8 2 2 3 2 7" xfId="2823" xr:uid="{2128073F-40EE-41FB-83D3-8CF36FCAB66F}"/>
    <cellStyle name="Millares 8 2 2 3 2 8" xfId="7679" xr:uid="{E517E84E-EFD2-4293-B0AA-98979A59EAE1}"/>
    <cellStyle name="Millares 8 2 2 3 3" xfId="1538" xr:uid="{245A75A1-7E2D-4D81-8DB8-1CFE4F30ECFC}"/>
    <cellStyle name="Millares 8 2 2 3 3 2" xfId="2207" xr:uid="{E56EC926-CA58-4A32-81AA-2B7A1EAFD070}"/>
    <cellStyle name="Millares 8 2 2 3 3 2 2" xfId="5853" xr:uid="{7B2C358C-DCDE-44D3-B798-6B5A526C3156}"/>
    <cellStyle name="Millares 8 2 2 3 3 2 2 2" xfId="10705" xr:uid="{038B5C96-7C54-4DFA-8CBC-7B4AFA22057A}"/>
    <cellStyle name="Millares 8 2 2 3 3 2 3" xfId="7069" xr:uid="{FBB9EB00-796F-47CA-B79E-27DDF96292D9}"/>
    <cellStyle name="Millares 8 2 2 3 3 2 3 2" xfId="11917" xr:uid="{6E6AF934-30E1-4E96-A065-9873D6E4380B}"/>
    <cellStyle name="Millares 8 2 2 3 3 2 4" xfId="4642" xr:uid="{85E43310-56E5-4C23-8E18-CD7CE003AC78}"/>
    <cellStyle name="Millares 8 2 2 3 3 2 4 2" xfId="9496" xr:uid="{A1E9152C-191C-49FF-A8E9-8D4FABC267E4}"/>
    <cellStyle name="Millares 8 2 2 3 3 2 5" xfId="3430" xr:uid="{7173034C-5CC4-4582-91AB-28F1A60434E9}"/>
    <cellStyle name="Millares 8 2 2 3 3 2 6" xfId="8286" xr:uid="{E9393D9E-B9C6-4337-B5E2-02B86AD5CB76}"/>
    <cellStyle name="Millares 8 2 2 3 3 3" xfId="5248" xr:uid="{C71C369C-9014-443A-9B80-4A3A7A06B03A}"/>
    <cellStyle name="Millares 8 2 2 3 3 3 2" xfId="10100" xr:uid="{9C799573-12D6-4692-ADE7-1BA926FFC519}"/>
    <cellStyle name="Millares 8 2 2 3 3 4" xfId="6462" xr:uid="{53AFD0DF-142E-4038-A650-887C9E04DF98}"/>
    <cellStyle name="Millares 8 2 2 3 3 4 2" xfId="11311" xr:uid="{EA183C82-070D-4485-86C1-33ACC36EA7A9}"/>
    <cellStyle name="Millares 8 2 2 3 3 5" xfId="4038" xr:uid="{BE40936B-54D0-48F9-9A02-66FF9411A47F}"/>
    <cellStyle name="Millares 8 2 2 3 3 5 2" xfId="8892" xr:uid="{7D23DFD9-C86A-4E68-9612-DC0B8D4CB6C4}"/>
    <cellStyle name="Millares 8 2 2 3 3 6" xfId="2825" xr:uid="{F6A6D45A-B5D6-440F-AFCD-5ADB87529C80}"/>
    <cellStyle name="Millares 8 2 2 3 3 7" xfId="7681" xr:uid="{5985F809-8ADE-4DB8-B447-1BB468F5CFC3}"/>
    <cellStyle name="Millares 8 2 2 3 4" xfId="2204" xr:uid="{0E77A0A5-3853-4752-B2B4-C36DF03608F3}"/>
    <cellStyle name="Millares 8 2 2 3 4 2" xfId="5850" xr:uid="{0A086746-9ACA-477F-B28C-A44F9D937E23}"/>
    <cellStyle name="Millares 8 2 2 3 4 2 2" xfId="10702" xr:uid="{917D0D86-ABCE-4DCD-B1DD-959D80FA3D9C}"/>
    <cellStyle name="Millares 8 2 2 3 4 3" xfId="7066" xr:uid="{7E6486DB-E306-4DED-9704-7807B13253FE}"/>
    <cellStyle name="Millares 8 2 2 3 4 3 2" xfId="11914" xr:uid="{115E839B-3CE9-41EA-AC7C-42641D8BB452}"/>
    <cellStyle name="Millares 8 2 2 3 4 4" xfId="4639" xr:uid="{F31B7A18-66A9-4575-B779-1CA38BB800F7}"/>
    <cellStyle name="Millares 8 2 2 3 4 4 2" xfId="9493" xr:uid="{2A7A0AB9-E07E-42AA-9CAD-E62E0B52BF3F}"/>
    <cellStyle name="Millares 8 2 2 3 4 5" xfId="3427" xr:uid="{35CD130E-20E6-45FF-84B4-C355827EF400}"/>
    <cellStyle name="Millares 8 2 2 3 4 6" xfId="8283" xr:uid="{487553B3-ECAE-435F-87EA-FC705B187865}"/>
    <cellStyle name="Millares 8 2 2 3 5" xfId="5245" xr:uid="{BC0A804C-9E53-4593-9731-973DFB7A34F9}"/>
    <cellStyle name="Millares 8 2 2 3 5 2" xfId="10097" xr:uid="{07D8C71D-515E-4F5B-B700-8E61D3159DF7}"/>
    <cellStyle name="Millares 8 2 2 3 6" xfId="6459" xr:uid="{73D9CCC2-9B07-4D4A-A8B8-63F46B545D66}"/>
    <cellStyle name="Millares 8 2 2 3 6 2" xfId="11308" xr:uid="{52FBD2DA-DF74-4B4B-94B4-77FED742F063}"/>
    <cellStyle name="Millares 8 2 2 3 7" xfId="4035" xr:uid="{ED9F693A-2057-434F-B5F2-97320654EE3F}"/>
    <cellStyle name="Millares 8 2 2 3 7 2" xfId="8889" xr:uid="{19A92A49-9402-4BCB-8F5E-D937E1683922}"/>
    <cellStyle name="Millares 8 2 2 3 8" xfId="2822" xr:uid="{133A477B-356D-47C4-A22E-C8D0951369B5}"/>
    <cellStyle name="Millares 8 2 2 3 9" xfId="7678" xr:uid="{A2B3FFD2-B17D-49F6-898F-65D2D5B12353}"/>
    <cellStyle name="Millares 8 2 2 4" xfId="1539" xr:uid="{DDCB4E4D-C901-43EB-846D-60D843DF1989}"/>
    <cellStyle name="Millares 8 2 2 4 2" xfId="1540" xr:uid="{1E389F03-1CEF-4F97-BAA9-A9A53E750670}"/>
    <cellStyle name="Millares 8 2 2 4 2 2" xfId="1541" xr:uid="{9D8F7375-C061-4D6B-9102-3B866E747D65}"/>
    <cellStyle name="Millares 8 2 2 4 2 2 2" xfId="2210" xr:uid="{DFD1BD1C-66A3-469C-91CD-060C2B146152}"/>
    <cellStyle name="Millares 8 2 2 4 2 2 2 2" xfId="5856" xr:uid="{E5091E6B-AEA0-44C1-8290-19DFE90307A0}"/>
    <cellStyle name="Millares 8 2 2 4 2 2 2 2 2" xfId="10708" xr:uid="{BA28BA33-EC29-4773-8DFB-A22F580240DA}"/>
    <cellStyle name="Millares 8 2 2 4 2 2 2 3" xfId="7072" xr:uid="{EE343901-7673-47D0-B426-AEE8B0CD75F1}"/>
    <cellStyle name="Millares 8 2 2 4 2 2 2 3 2" xfId="11920" xr:uid="{E7860E7B-7F26-4FCF-B809-F9931656E0C9}"/>
    <cellStyle name="Millares 8 2 2 4 2 2 2 4" xfId="4645" xr:uid="{1416650B-35CC-47FB-BA1D-34DFAC6EC1AF}"/>
    <cellStyle name="Millares 8 2 2 4 2 2 2 4 2" xfId="9499" xr:uid="{F8355E29-C167-4DF3-AF24-4E4F9087BE26}"/>
    <cellStyle name="Millares 8 2 2 4 2 2 2 5" xfId="3433" xr:uid="{01B64817-6BAA-41F9-9EBF-5A3047D9BA21}"/>
    <cellStyle name="Millares 8 2 2 4 2 2 2 6" xfId="8289" xr:uid="{7870763B-8F7D-4CDF-A8E1-15DB3268BEFF}"/>
    <cellStyle name="Millares 8 2 2 4 2 2 3" xfId="5251" xr:uid="{05DF19FD-EE6C-4EE4-88E8-0E33E8F85528}"/>
    <cellStyle name="Millares 8 2 2 4 2 2 3 2" xfId="10103" xr:uid="{6933A730-139F-409B-8B1D-3A2C04165285}"/>
    <cellStyle name="Millares 8 2 2 4 2 2 4" xfId="6465" xr:uid="{C383C724-B14D-432A-B664-08F6CCBB2130}"/>
    <cellStyle name="Millares 8 2 2 4 2 2 4 2" xfId="11314" xr:uid="{0BC1C16D-A651-4568-8811-0BC0C76570ED}"/>
    <cellStyle name="Millares 8 2 2 4 2 2 5" xfId="4041" xr:uid="{8794C5FA-2865-4E1E-9221-3A8B22C4AC43}"/>
    <cellStyle name="Millares 8 2 2 4 2 2 5 2" xfId="8895" xr:uid="{1F8B337F-4D13-41DB-8D58-D720892D6718}"/>
    <cellStyle name="Millares 8 2 2 4 2 2 6" xfId="2828" xr:uid="{AE60872D-59CC-4C80-9460-103B20C9FE29}"/>
    <cellStyle name="Millares 8 2 2 4 2 2 7" xfId="7684" xr:uid="{F4C8D208-983A-4511-B9AE-2FCBBBB5C78F}"/>
    <cellStyle name="Millares 8 2 2 4 2 3" xfId="2209" xr:uid="{14470A2C-6EB5-4319-8C37-6D81F11F0B81}"/>
    <cellStyle name="Millares 8 2 2 4 2 3 2" xfId="5855" xr:uid="{2F5E8EF8-F849-4AE5-8096-78395AE92880}"/>
    <cellStyle name="Millares 8 2 2 4 2 3 2 2" xfId="10707" xr:uid="{BA9A9D1F-36BE-4825-8BD9-41146F673057}"/>
    <cellStyle name="Millares 8 2 2 4 2 3 3" xfId="7071" xr:uid="{DCB425AA-EBE0-4D5E-B833-B770D6F2C4AC}"/>
    <cellStyle name="Millares 8 2 2 4 2 3 3 2" xfId="11919" xr:uid="{2CF24091-780C-4CA3-9295-8F24CC30D79E}"/>
    <cellStyle name="Millares 8 2 2 4 2 3 4" xfId="4644" xr:uid="{4FC0D3BF-FE31-45E1-85DB-E650897C118E}"/>
    <cellStyle name="Millares 8 2 2 4 2 3 4 2" xfId="9498" xr:uid="{47A5A1B9-86AD-4F5A-8C43-CF4A239EDB76}"/>
    <cellStyle name="Millares 8 2 2 4 2 3 5" xfId="3432" xr:uid="{F8E0D5A7-6013-4E48-8CEB-BE03936B3FE2}"/>
    <cellStyle name="Millares 8 2 2 4 2 3 6" xfId="8288" xr:uid="{DE1F2185-41B1-4883-9DF0-DB3B051147F8}"/>
    <cellStyle name="Millares 8 2 2 4 2 4" xfId="5250" xr:uid="{16B73EDD-F96F-445E-8FB8-C546217060DE}"/>
    <cellStyle name="Millares 8 2 2 4 2 4 2" xfId="10102" xr:uid="{A4C63A5E-58D8-4288-A303-16F5C472E744}"/>
    <cellStyle name="Millares 8 2 2 4 2 5" xfId="6464" xr:uid="{5CA1F12C-BF84-43BD-AAFF-077FDAFD6CE0}"/>
    <cellStyle name="Millares 8 2 2 4 2 5 2" xfId="11313" xr:uid="{55043B69-7D21-4CAC-BB29-2B5ED501B976}"/>
    <cellStyle name="Millares 8 2 2 4 2 6" xfId="4040" xr:uid="{22F1DAD6-5C66-43DC-A993-33AD2D8F8F84}"/>
    <cellStyle name="Millares 8 2 2 4 2 6 2" xfId="8894" xr:uid="{D90E3F73-1E81-4E6D-BE18-D935FD9B1373}"/>
    <cellStyle name="Millares 8 2 2 4 2 7" xfId="2827" xr:uid="{819FF4CD-4F2B-47C3-BECF-979BBF4456FF}"/>
    <cellStyle name="Millares 8 2 2 4 2 8" xfId="7683" xr:uid="{3CF89FC7-DACF-4D5C-B568-0127F391F11F}"/>
    <cellStyle name="Millares 8 2 2 4 3" xfId="1542" xr:uid="{87D4BC67-82E3-423B-91C8-F82C3D852AB0}"/>
    <cellStyle name="Millares 8 2 2 4 3 2" xfId="2211" xr:uid="{3D50F3D7-B768-4F2B-B2BE-D0898F06E6A7}"/>
    <cellStyle name="Millares 8 2 2 4 3 2 2" xfId="5857" xr:uid="{D0F7AA38-5E70-41F9-B747-6D8FD2C37555}"/>
    <cellStyle name="Millares 8 2 2 4 3 2 2 2" xfId="10709" xr:uid="{47DD22A5-FB67-4D98-95AD-70B90ED65AB1}"/>
    <cellStyle name="Millares 8 2 2 4 3 2 3" xfId="7073" xr:uid="{9A9345BC-D783-4746-AA53-EABFCE5CFB93}"/>
    <cellStyle name="Millares 8 2 2 4 3 2 3 2" xfId="11921" xr:uid="{318A4893-3700-4662-A448-F7B3D1D4C323}"/>
    <cellStyle name="Millares 8 2 2 4 3 2 4" xfId="4646" xr:uid="{90C988AA-A1D6-44E7-A750-9C3CAAFDB18D}"/>
    <cellStyle name="Millares 8 2 2 4 3 2 4 2" xfId="9500" xr:uid="{B9AB1F70-188D-45DF-A93F-D189888D3349}"/>
    <cellStyle name="Millares 8 2 2 4 3 2 5" xfId="3434" xr:uid="{C3761464-F20E-46D5-A22A-F8E5028DC6F6}"/>
    <cellStyle name="Millares 8 2 2 4 3 2 6" xfId="8290" xr:uid="{B3D14D13-F5A9-4669-AE48-43FFEA4A4A7D}"/>
    <cellStyle name="Millares 8 2 2 4 3 3" xfId="5252" xr:uid="{2F77BD55-C27F-46A5-B320-C76FF389A355}"/>
    <cellStyle name="Millares 8 2 2 4 3 3 2" xfId="10104" xr:uid="{CDC66755-67F7-433C-8E55-3DE1DFE60373}"/>
    <cellStyle name="Millares 8 2 2 4 3 4" xfId="6466" xr:uid="{1264DD9A-940C-441A-B5E7-601E2745B3F5}"/>
    <cellStyle name="Millares 8 2 2 4 3 4 2" xfId="11315" xr:uid="{8E8287A9-CABB-4C6F-B714-297BFFD2CE30}"/>
    <cellStyle name="Millares 8 2 2 4 3 5" xfId="4042" xr:uid="{51BBC422-8C96-4EC3-9B39-FC0161CA5083}"/>
    <cellStyle name="Millares 8 2 2 4 3 5 2" xfId="8896" xr:uid="{B554289C-11FE-4C55-9F3E-93667F024211}"/>
    <cellStyle name="Millares 8 2 2 4 3 6" xfId="2829" xr:uid="{AFE6D8CD-F840-4016-9D26-17144E092170}"/>
    <cellStyle name="Millares 8 2 2 4 3 7" xfId="7685" xr:uid="{494ED565-A1B3-4CCA-93CE-8A7F30A4483B}"/>
    <cellStyle name="Millares 8 2 2 4 4" xfId="2208" xr:uid="{99A1A5CD-5951-4B73-8633-6450CC145C96}"/>
    <cellStyle name="Millares 8 2 2 4 4 2" xfId="5854" xr:uid="{32834791-BFAD-4F1A-9835-DF6DD3195305}"/>
    <cellStyle name="Millares 8 2 2 4 4 2 2" xfId="10706" xr:uid="{E027E856-FD70-4682-9C45-7323A5F3261C}"/>
    <cellStyle name="Millares 8 2 2 4 4 3" xfId="7070" xr:uid="{F9F44C87-4047-4EE6-B1D7-06EAA32C731F}"/>
    <cellStyle name="Millares 8 2 2 4 4 3 2" xfId="11918" xr:uid="{80F26BF1-9820-4868-B0EF-2CC72357558C}"/>
    <cellStyle name="Millares 8 2 2 4 4 4" xfId="4643" xr:uid="{3F24FB94-F54D-4186-93B6-1784C91841E6}"/>
    <cellStyle name="Millares 8 2 2 4 4 4 2" xfId="9497" xr:uid="{835D738B-8D6E-460C-9870-9AA6E31C8D02}"/>
    <cellStyle name="Millares 8 2 2 4 4 5" xfId="3431" xr:uid="{280AC038-8FF7-4051-A991-E35D4B377321}"/>
    <cellStyle name="Millares 8 2 2 4 4 6" xfId="8287" xr:uid="{7FF9A8E6-56BC-49EB-8528-CD955965CC91}"/>
    <cellStyle name="Millares 8 2 2 4 5" xfId="5249" xr:uid="{7F1D9E18-42A2-4441-B869-C0C73E7921D8}"/>
    <cellStyle name="Millares 8 2 2 4 5 2" xfId="10101" xr:uid="{D10B6715-9F5A-42CA-9AA9-2820BA59DC6B}"/>
    <cellStyle name="Millares 8 2 2 4 6" xfId="6463" xr:uid="{0EB2E1B6-6A37-46E9-8154-DE4D22D151F3}"/>
    <cellStyle name="Millares 8 2 2 4 6 2" xfId="11312" xr:uid="{72A7D910-1795-407C-8022-3D441D2D5BCE}"/>
    <cellStyle name="Millares 8 2 2 4 7" xfId="4039" xr:uid="{BAE3566E-D238-4AC4-9830-F6F911CF53D3}"/>
    <cellStyle name="Millares 8 2 2 4 7 2" xfId="8893" xr:uid="{A3030EF5-7B65-407F-9A54-7440BF6650D7}"/>
    <cellStyle name="Millares 8 2 2 4 8" xfId="2826" xr:uid="{9EECD9D9-34FD-485F-B668-B2C26DF24226}"/>
    <cellStyle name="Millares 8 2 2 4 9" xfId="7682" xr:uid="{10295853-DF7D-4CB7-90D6-4BC91E94F64B}"/>
    <cellStyle name="Millares 8 2 2 5" xfId="1543" xr:uid="{6FD87E9A-CFC3-4FF5-9F77-42099E1068A7}"/>
    <cellStyle name="Millares 8 2 2 5 2" xfId="1544" xr:uid="{9144CF61-01B8-4305-9DDA-35F015F1527C}"/>
    <cellStyle name="Millares 8 2 2 5 2 2" xfId="2213" xr:uid="{80B73310-7FBF-4525-BDDF-C2F5F27720DB}"/>
    <cellStyle name="Millares 8 2 2 5 2 2 2" xfId="5859" xr:uid="{2F865972-E2FA-456A-89E6-8EFAE2E1F045}"/>
    <cellStyle name="Millares 8 2 2 5 2 2 2 2" xfId="10711" xr:uid="{E30EAC1F-B469-434B-9722-BB48EF05C48E}"/>
    <cellStyle name="Millares 8 2 2 5 2 2 3" xfId="7075" xr:uid="{0270ED3C-264C-408C-970F-C4E6ADED5A5B}"/>
    <cellStyle name="Millares 8 2 2 5 2 2 3 2" xfId="11923" xr:uid="{F4E9A91D-F3A5-49AC-B122-8D6151A5CCA3}"/>
    <cellStyle name="Millares 8 2 2 5 2 2 4" xfId="4648" xr:uid="{FD2CA987-A8F0-4EEE-B167-CD54E2BB68C7}"/>
    <cellStyle name="Millares 8 2 2 5 2 2 4 2" xfId="9502" xr:uid="{63C59634-CD96-48AD-BD28-C91D6DF5B7EB}"/>
    <cellStyle name="Millares 8 2 2 5 2 2 5" xfId="3436" xr:uid="{10CAB752-4E1B-491C-8D9A-D04BE44BDFF9}"/>
    <cellStyle name="Millares 8 2 2 5 2 2 6" xfId="8292" xr:uid="{A16EFF24-F58E-4B1B-85B5-0C8301BDC8C9}"/>
    <cellStyle name="Millares 8 2 2 5 2 3" xfId="5254" xr:uid="{AFCBC66D-7720-47BD-8F1C-834CDEA4FD4F}"/>
    <cellStyle name="Millares 8 2 2 5 2 3 2" xfId="10106" xr:uid="{0D513C0D-2950-4516-917A-9956020178E8}"/>
    <cellStyle name="Millares 8 2 2 5 2 4" xfId="6468" xr:uid="{739189A3-AA04-4C7D-9BAF-5CCB24AF9BEE}"/>
    <cellStyle name="Millares 8 2 2 5 2 4 2" xfId="11317" xr:uid="{C7CB70F7-2926-4DB6-9148-7F9EFEDB9EE1}"/>
    <cellStyle name="Millares 8 2 2 5 2 5" xfId="4044" xr:uid="{D4440720-2144-4AD4-997A-3E12A7864130}"/>
    <cellStyle name="Millares 8 2 2 5 2 5 2" xfId="8898" xr:uid="{18D43939-62B1-4EF5-AC42-0A58724B90AF}"/>
    <cellStyle name="Millares 8 2 2 5 2 6" xfId="2831" xr:uid="{DFD0F073-6C00-4121-8DA0-BA2C94FCC164}"/>
    <cellStyle name="Millares 8 2 2 5 2 7" xfId="7687" xr:uid="{6AAE1AFD-2E54-4D46-8406-FC746560164F}"/>
    <cellStyle name="Millares 8 2 2 5 3" xfId="2212" xr:uid="{250A03D0-567C-43E4-9739-D0055ACE3AFD}"/>
    <cellStyle name="Millares 8 2 2 5 3 2" xfId="5858" xr:uid="{9E15B8F1-D59B-4BF7-8801-F45CFEF2B8F5}"/>
    <cellStyle name="Millares 8 2 2 5 3 2 2" xfId="10710" xr:uid="{DD1389E4-82D8-4B0C-BDB5-E4BE6B78A59D}"/>
    <cellStyle name="Millares 8 2 2 5 3 3" xfId="7074" xr:uid="{46C8E381-A517-486A-9BB0-EE57F9ADB7DF}"/>
    <cellStyle name="Millares 8 2 2 5 3 3 2" xfId="11922" xr:uid="{E81F63C6-306A-4133-8DF7-D344F748C929}"/>
    <cellStyle name="Millares 8 2 2 5 3 4" xfId="4647" xr:uid="{9FC65E53-9266-4E47-992C-11956216D92B}"/>
    <cellStyle name="Millares 8 2 2 5 3 4 2" xfId="9501" xr:uid="{A16BB65D-7FAB-4E3C-B338-2561E1607BB8}"/>
    <cellStyle name="Millares 8 2 2 5 3 5" xfId="3435" xr:uid="{7B2D1713-1873-463C-A9A0-93D855EB57D4}"/>
    <cellStyle name="Millares 8 2 2 5 3 6" xfId="8291" xr:uid="{AF72DACF-1F1A-4740-A67C-4FE80E693FB8}"/>
    <cellStyle name="Millares 8 2 2 5 4" xfId="5253" xr:uid="{A1E6D97E-722A-4DEC-9D66-C663536B27BB}"/>
    <cellStyle name="Millares 8 2 2 5 4 2" xfId="10105" xr:uid="{9FA36873-5D0F-443A-8AF6-D724E8C5FB77}"/>
    <cellStyle name="Millares 8 2 2 5 5" xfId="6467" xr:uid="{4653B052-02D9-4AED-A1DD-15548A0176C5}"/>
    <cellStyle name="Millares 8 2 2 5 5 2" xfId="11316" xr:uid="{310602F5-528E-4DF0-8D82-E0018EE8E3C8}"/>
    <cellStyle name="Millares 8 2 2 5 6" xfId="4043" xr:uid="{9533F06B-D41F-47AA-A9E6-76F0F81B8E67}"/>
    <cellStyle name="Millares 8 2 2 5 6 2" xfId="8897" xr:uid="{D62036DA-629A-4221-BC19-DC6D3B17CACD}"/>
    <cellStyle name="Millares 8 2 2 5 7" xfId="2830" xr:uid="{F7B47C4F-FEFC-4BBD-829C-055F8D9EE8C2}"/>
    <cellStyle name="Millares 8 2 2 5 8" xfId="7686" xr:uid="{B48EE6C9-397F-435C-A21F-3C28496402C6}"/>
    <cellStyle name="Millares 8 2 2 6" xfId="1545" xr:uid="{BA4A297F-29E1-495C-A81C-BC5245498B54}"/>
    <cellStyle name="Millares 8 2 2 6 2" xfId="2214" xr:uid="{6E4FA0DB-BDC3-4415-A698-5224F0A45688}"/>
    <cellStyle name="Millares 8 2 2 6 2 2" xfId="5860" xr:uid="{A524B629-36F4-4CDD-9E1F-1566BAD0C7B5}"/>
    <cellStyle name="Millares 8 2 2 6 2 2 2" xfId="10712" xr:uid="{B490E661-A48B-4C32-B91F-FD0354E4A2A0}"/>
    <cellStyle name="Millares 8 2 2 6 2 3" xfId="7076" xr:uid="{2F678092-C6E6-4982-BDBE-F7D3598ED150}"/>
    <cellStyle name="Millares 8 2 2 6 2 3 2" xfId="11924" xr:uid="{F897FC23-3A65-4282-90D6-540519DE52EC}"/>
    <cellStyle name="Millares 8 2 2 6 2 4" xfId="4649" xr:uid="{F19F96BB-494B-4DA7-8A7C-6FA359CD53AA}"/>
    <cellStyle name="Millares 8 2 2 6 2 4 2" xfId="9503" xr:uid="{E077D698-CDCD-41EA-B91F-76A0DEA5E53C}"/>
    <cellStyle name="Millares 8 2 2 6 2 5" xfId="3437" xr:uid="{10D26C1F-C995-4C99-AEBA-03363606218E}"/>
    <cellStyle name="Millares 8 2 2 6 2 6" xfId="8293" xr:uid="{1C007615-71B2-4745-ACCA-1E2290D0D0D7}"/>
    <cellStyle name="Millares 8 2 2 6 3" xfId="5255" xr:uid="{5558E9A5-04D9-4558-A81A-7D23F7937810}"/>
    <cellStyle name="Millares 8 2 2 6 3 2" xfId="10107" xr:uid="{F28B537A-DF50-4C0B-844B-547169125617}"/>
    <cellStyle name="Millares 8 2 2 6 4" xfId="6469" xr:uid="{8B0E7E71-64D7-4FC9-8B31-C0F2F40FB1E2}"/>
    <cellStyle name="Millares 8 2 2 6 4 2" xfId="11318" xr:uid="{D224343F-1098-4AA4-B4DB-02CFEE61B36F}"/>
    <cellStyle name="Millares 8 2 2 6 5" xfId="4045" xr:uid="{EDB31A35-D0B1-4694-B3C0-F9E79312931E}"/>
    <cellStyle name="Millares 8 2 2 6 5 2" xfId="8899" xr:uid="{154D741A-82A2-46B7-BA7E-C27559532CD4}"/>
    <cellStyle name="Millares 8 2 2 6 6" xfId="2832" xr:uid="{6C5F8D02-CEAF-46A9-A163-5AF9433DCD0C}"/>
    <cellStyle name="Millares 8 2 2 6 7" xfId="7688" xr:uid="{C8804903-73D2-43EC-9138-18E986F46A07}"/>
    <cellStyle name="Millares 8 2 2 7" xfId="2191" xr:uid="{440AC03D-3093-4D7B-88F8-BD128D506096}"/>
    <cellStyle name="Millares 8 2 2 7 2" xfId="5837" xr:uid="{CE065DD2-104D-48FA-8BA9-44AA753E96DC}"/>
    <cellStyle name="Millares 8 2 2 7 2 2" xfId="10689" xr:uid="{ADC25AEC-4ED6-43E6-B70F-7AB4F573A29F}"/>
    <cellStyle name="Millares 8 2 2 7 3" xfId="7053" xr:uid="{D68C2984-1D86-4C26-9511-8819633FCE81}"/>
    <cellStyle name="Millares 8 2 2 7 3 2" xfId="11901" xr:uid="{0EA1BB50-9649-49BB-BEB1-3052FD2238E7}"/>
    <cellStyle name="Millares 8 2 2 7 4" xfId="4626" xr:uid="{CBB58C19-0B0F-4D29-947C-8AB714B85A62}"/>
    <cellStyle name="Millares 8 2 2 7 4 2" xfId="9480" xr:uid="{0C761B21-6442-4A6A-B9B1-B0974C06A91F}"/>
    <cellStyle name="Millares 8 2 2 7 5" xfId="3414" xr:uid="{4EAF930F-0172-4BF0-8A67-55517C61336C}"/>
    <cellStyle name="Millares 8 2 2 7 6" xfId="8270" xr:uid="{7D4E9ACE-DBBA-4C2C-829C-986DCC024635}"/>
    <cellStyle name="Millares 8 2 2 8" xfId="5232" xr:uid="{81B6110D-A396-42BA-9CC1-8BDB3CBAC242}"/>
    <cellStyle name="Millares 8 2 2 8 2" xfId="10084" xr:uid="{C6DE114D-9FE8-4ED9-9490-D248AB7265D8}"/>
    <cellStyle name="Millares 8 2 2 9" xfId="6446" xr:uid="{CBCF8C0C-BEE3-436F-9F0E-9C494CBAD4D2}"/>
    <cellStyle name="Millares 8 2 2 9 2" xfId="11295" xr:uid="{C75B4459-BEBD-4A7D-9EE2-0FE8028B7416}"/>
    <cellStyle name="Millares 8 2 3" xfId="1546" xr:uid="{0A5EC523-6F25-4117-8F0D-86253B06C144}"/>
    <cellStyle name="Millares 8 2 3 10" xfId="2833" xr:uid="{0413EE5D-ACF7-4849-ACDF-4A3ECF4E9B0E}"/>
    <cellStyle name="Millares 8 2 3 11" xfId="7689" xr:uid="{E1664946-7FF1-4F96-B1C3-AE4DD26DC586}"/>
    <cellStyle name="Millares 8 2 3 2" xfId="1547" xr:uid="{54043D40-96CA-451B-B156-AD6CAFAC60CF}"/>
    <cellStyle name="Millares 8 2 3 2 2" xfId="1548" xr:uid="{8BA421E6-3436-4875-868E-CDC1CE4E95AF}"/>
    <cellStyle name="Millares 8 2 3 2 2 2" xfId="1549" xr:uid="{329A4021-3625-4E77-AC4A-C342129CEBC0}"/>
    <cellStyle name="Millares 8 2 3 2 2 2 2" xfId="2218" xr:uid="{89A59846-FCAB-4C5C-AE85-1C4598B89F28}"/>
    <cellStyle name="Millares 8 2 3 2 2 2 2 2" xfId="5864" xr:uid="{4560B115-DCDF-4BF8-8365-ED69C7E894C2}"/>
    <cellStyle name="Millares 8 2 3 2 2 2 2 2 2" xfId="10716" xr:uid="{69A501A8-6B90-424C-816C-3D3C3BFEE750}"/>
    <cellStyle name="Millares 8 2 3 2 2 2 2 3" xfId="7080" xr:uid="{E5B54E01-07A9-4E9F-90BA-2C9D93BF2A68}"/>
    <cellStyle name="Millares 8 2 3 2 2 2 2 3 2" xfId="11928" xr:uid="{9D68C18C-0BE5-492C-8033-5545C7A96020}"/>
    <cellStyle name="Millares 8 2 3 2 2 2 2 4" xfId="4653" xr:uid="{3C9873A7-2C23-4C84-B2C1-04C7F1E18E91}"/>
    <cellStyle name="Millares 8 2 3 2 2 2 2 4 2" xfId="9507" xr:uid="{A084BEA1-49D7-44DC-A1A2-4650ED7545BF}"/>
    <cellStyle name="Millares 8 2 3 2 2 2 2 5" xfId="3441" xr:uid="{33FAD6A3-7BDB-4459-A2E1-7CAA8FD11574}"/>
    <cellStyle name="Millares 8 2 3 2 2 2 2 6" xfId="8297" xr:uid="{07601237-ECD3-4E10-9ACD-B9A3D2B11D76}"/>
    <cellStyle name="Millares 8 2 3 2 2 2 3" xfId="5259" xr:uid="{3D52ED51-BCE3-4372-8ACF-DEF83FFA37ED}"/>
    <cellStyle name="Millares 8 2 3 2 2 2 3 2" xfId="10111" xr:uid="{FFCC5094-55ED-4DAF-9FD2-D7CE2C672F28}"/>
    <cellStyle name="Millares 8 2 3 2 2 2 4" xfId="6473" xr:uid="{52E140B2-E8E3-4AEA-9F79-B0D229BA9862}"/>
    <cellStyle name="Millares 8 2 3 2 2 2 4 2" xfId="11322" xr:uid="{AD41B009-CD21-425E-9120-FC9849796E65}"/>
    <cellStyle name="Millares 8 2 3 2 2 2 5" xfId="4049" xr:uid="{86D3DAAE-B55C-4BC7-AF36-F9C0F6C3C8B0}"/>
    <cellStyle name="Millares 8 2 3 2 2 2 5 2" xfId="8903" xr:uid="{A36F8E5D-D44E-48E1-BF27-AF5894A70F9D}"/>
    <cellStyle name="Millares 8 2 3 2 2 2 6" xfId="2836" xr:uid="{D0A4C4D4-3B6C-409B-ACC2-D081BCB09035}"/>
    <cellStyle name="Millares 8 2 3 2 2 2 7" xfId="7692" xr:uid="{96A8EC9F-0662-4967-97F6-3083B368D8E7}"/>
    <cellStyle name="Millares 8 2 3 2 2 3" xfId="2217" xr:uid="{15631584-6C3E-49FA-A9AA-CFAD64A54212}"/>
    <cellStyle name="Millares 8 2 3 2 2 3 2" xfId="5863" xr:uid="{0E6C0DDE-C8E4-4540-A13F-B2D0C61FDED0}"/>
    <cellStyle name="Millares 8 2 3 2 2 3 2 2" xfId="10715" xr:uid="{2D41875F-CB69-45F2-82DF-7C54A3DD1F15}"/>
    <cellStyle name="Millares 8 2 3 2 2 3 3" xfId="7079" xr:uid="{5D274235-1429-45C7-A701-C80CB713541E}"/>
    <cellStyle name="Millares 8 2 3 2 2 3 3 2" xfId="11927" xr:uid="{29C3D63C-2706-45A1-990D-D0AE0D8C972D}"/>
    <cellStyle name="Millares 8 2 3 2 2 3 4" xfId="4652" xr:uid="{DEDFD237-1ABD-4017-8805-F0966CFF91BF}"/>
    <cellStyle name="Millares 8 2 3 2 2 3 4 2" xfId="9506" xr:uid="{C8269AED-FC52-40AA-8656-9010903022E3}"/>
    <cellStyle name="Millares 8 2 3 2 2 3 5" xfId="3440" xr:uid="{5BC79F0A-BDFB-40EE-9E2E-F41C7A03542A}"/>
    <cellStyle name="Millares 8 2 3 2 2 3 6" xfId="8296" xr:uid="{DFF2E93F-C84E-4941-8B6E-1E376FAD47F3}"/>
    <cellStyle name="Millares 8 2 3 2 2 4" xfId="5258" xr:uid="{6D15CBC3-4A9D-4AEE-A63F-D0BB36EA272C}"/>
    <cellStyle name="Millares 8 2 3 2 2 4 2" xfId="10110" xr:uid="{B4E0B78A-EBF1-468A-A7C4-A74F6CF0DA58}"/>
    <cellStyle name="Millares 8 2 3 2 2 5" xfId="6472" xr:uid="{2A3FC7B3-50AF-44CD-9203-38432C8ACC59}"/>
    <cellStyle name="Millares 8 2 3 2 2 5 2" xfId="11321" xr:uid="{041CBEC3-B526-4E0C-BEE7-585E96032189}"/>
    <cellStyle name="Millares 8 2 3 2 2 6" xfId="4048" xr:uid="{B8E62711-A202-49F0-ABB5-D16FC82E1C3E}"/>
    <cellStyle name="Millares 8 2 3 2 2 6 2" xfId="8902" xr:uid="{6D8260B9-34A9-4458-BAC4-D320ECCED2EA}"/>
    <cellStyle name="Millares 8 2 3 2 2 7" xfId="2835" xr:uid="{453C95FB-2137-4B4F-9D5A-C2FA5A95CAC6}"/>
    <cellStyle name="Millares 8 2 3 2 2 8" xfId="7691" xr:uid="{55A8D3ED-AF1E-4420-9413-F758E5421624}"/>
    <cellStyle name="Millares 8 2 3 2 3" xfId="1550" xr:uid="{8D8D5B0A-7ADF-40AE-9CAD-32591AC63ED0}"/>
    <cellStyle name="Millares 8 2 3 2 3 2" xfId="2219" xr:uid="{6AF16568-BD52-487B-A9EB-5CDEA8ACF0E5}"/>
    <cellStyle name="Millares 8 2 3 2 3 2 2" xfId="5865" xr:uid="{ED6FAA7D-764E-46A6-BEF9-22A75EA45615}"/>
    <cellStyle name="Millares 8 2 3 2 3 2 2 2" xfId="10717" xr:uid="{8DA0BBBB-B26A-42B5-BDAE-1FF860437F2D}"/>
    <cellStyle name="Millares 8 2 3 2 3 2 3" xfId="7081" xr:uid="{F329AEA9-D2BE-4ADF-B4D6-4B8FB12FB0A3}"/>
    <cellStyle name="Millares 8 2 3 2 3 2 3 2" xfId="11929" xr:uid="{B9BF3033-7724-4328-BB15-F6A3FAD03F73}"/>
    <cellStyle name="Millares 8 2 3 2 3 2 4" xfId="4654" xr:uid="{E06B610A-D037-46D3-8A9C-3E5F7E1127CB}"/>
    <cellStyle name="Millares 8 2 3 2 3 2 4 2" xfId="9508" xr:uid="{98813A59-9EDC-4F50-94A7-B47AFF600C87}"/>
    <cellStyle name="Millares 8 2 3 2 3 2 5" xfId="3442" xr:uid="{F3A5DD90-2C90-49BA-8FD6-EFD3FFADFB24}"/>
    <cellStyle name="Millares 8 2 3 2 3 2 6" xfId="8298" xr:uid="{6A885AB9-179F-4ED7-AD75-64661C05E19E}"/>
    <cellStyle name="Millares 8 2 3 2 3 3" xfId="5260" xr:uid="{61CB2853-2F92-41C2-9DFC-DC026DC04F52}"/>
    <cellStyle name="Millares 8 2 3 2 3 3 2" xfId="10112" xr:uid="{930B1695-334B-4E32-9D24-6CF22B0580CF}"/>
    <cellStyle name="Millares 8 2 3 2 3 4" xfId="6474" xr:uid="{06348F4E-2352-49E2-A7A6-1790EC2EE298}"/>
    <cellStyle name="Millares 8 2 3 2 3 4 2" xfId="11323" xr:uid="{CF59EE1A-2B0B-42EF-A194-B539DE4F5602}"/>
    <cellStyle name="Millares 8 2 3 2 3 5" xfId="4050" xr:uid="{50046488-DDCE-43F4-A6A0-B5EFA8DA6016}"/>
    <cellStyle name="Millares 8 2 3 2 3 5 2" xfId="8904" xr:uid="{43584A39-FC6B-4EBE-BE97-CED7945CD606}"/>
    <cellStyle name="Millares 8 2 3 2 3 6" xfId="2837" xr:uid="{BA8827FB-2621-4FCC-B467-0B4DD617DFFA}"/>
    <cellStyle name="Millares 8 2 3 2 3 7" xfId="7693" xr:uid="{36DE3075-BCE5-4EAF-B2E3-E51BA8D986AC}"/>
    <cellStyle name="Millares 8 2 3 2 4" xfId="2216" xr:uid="{A6F7E3F8-4C8A-431A-A160-AE914AB77586}"/>
    <cellStyle name="Millares 8 2 3 2 4 2" xfId="5862" xr:uid="{15435B46-460B-4429-854F-0CDFFBE5A27E}"/>
    <cellStyle name="Millares 8 2 3 2 4 2 2" xfId="10714" xr:uid="{C5B754E0-51A6-4AC1-B91A-061D5FCA7535}"/>
    <cellStyle name="Millares 8 2 3 2 4 3" xfId="7078" xr:uid="{08EBE32A-4905-419E-8063-6D3D18FB00C8}"/>
    <cellStyle name="Millares 8 2 3 2 4 3 2" xfId="11926" xr:uid="{08E75E86-D024-4568-A5F7-5897ACDD6F2B}"/>
    <cellStyle name="Millares 8 2 3 2 4 4" xfId="4651" xr:uid="{DA65C4D3-FAEB-43CA-A1AD-2E25CD0CF0CC}"/>
    <cellStyle name="Millares 8 2 3 2 4 4 2" xfId="9505" xr:uid="{B4B9D5DE-E17A-442D-B2D8-C4C7F9B1E0E9}"/>
    <cellStyle name="Millares 8 2 3 2 4 5" xfId="3439" xr:uid="{F027649B-3182-4DC0-A11D-CF7D30E95F0C}"/>
    <cellStyle name="Millares 8 2 3 2 4 6" xfId="8295" xr:uid="{8E018874-F4E9-46A1-8B1D-E759AFD9003C}"/>
    <cellStyle name="Millares 8 2 3 2 5" xfId="5257" xr:uid="{C13A85F7-FC9C-406E-B740-3347B9D43DC1}"/>
    <cellStyle name="Millares 8 2 3 2 5 2" xfId="10109" xr:uid="{EE9FD291-C13A-4C04-A58E-71CB2EC2FD2C}"/>
    <cellStyle name="Millares 8 2 3 2 6" xfId="6471" xr:uid="{5C3B49F7-48B3-4909-84DB-73EE0982A1C2}"/>
    <cellStyle name="Millares 8 2 3 2 6 2" xfId="11320" xr:uid="{08E30ED2-3044-4E5B-9452-7E9527437CAD}"/>
    <cellStyle name="Millares 8 2 3 2 7" xfId="4047" xr:uid="{33A69F38-4DEB-4F8A-BEF1-09BD80A71740}"/>
    <cellStyle name="Millares 8 2 3 2 7 2" xfId="8901" xr:uid="{C6FC3A74-7C78-4C28-9614-CEA995C529CB}"/>
    <cellStyle name="Millares 8 2 3 2 8" xfId="2834" xr:uid="{A56A00AA-CCD6-4D71-B903-74DDEF136D46}"/>
    <cellStyle name="Millares 8 2 3 2 9" xfId="7690" xr:uid="{6D5F2868-26D0-417D-A3A8-231B2B28B82B}"/>
    <cellStyle name="Millares 8 2 3 3" xfId="1551" xr:uid="{178E54A2-0E95-4B0D-8FB2-6B3ADBAB8B14}"/>
    <cellStyle name="Millares 8 2 3 3 2" xfId="1552" xr:uid="{735A8307-E5F8-4ADD-BD63-662760A8EAD3}"/>
    <cellStyle name="Millares 8 2 3 3 2 2" xfId="1553" xr:uid="{687E2079-1133-48E2-B491-83F29AD9A80D}"/>
    <cellStyle name="Millares 8 2 3 3 2 2 2" xfId="2222" xr:uid="{B9ADDEBF-ED2C-4742-85F3-8D462F5529EF}"/>
    <cellStyle name="Millares 8 2 3 3 2 2 2 2" xfId="5868" xr:uid="{B2387F39-6B80-480A-BC9A-231F7629D594}"/>
    <cellStyle name="Millares 8 2 3 3 2 2 2 2 2" xfId="10720" xr:uid="{98BEB46D-0FE4-4DB5-AA75-58EBDE7F85D2}"/>
    <cellStyle name="Millares 8 2 3 3 2 2 2 3" xfId="7084" xr:uid="{6DA11926-AF4E-4C3C-8E0F-E1F76F96885B}"/>
    <cellStyle name="Millares 8 2 3 3 2 2 2 3 2" xfId="11932" xr:uid="{234BDA9D-893F-4912-ABC3-0212D6E4225B}"/>
    <cellStyle name="Millares 8 2 3 3 2 2 2 4" xfId="4657" xr:uid="{60173F66-B0F6-4E18-81DB-08A1F617387B}"/>
    <cellStyle name="Millares 8 2 3 3 2 2 2 4 2" xfId="9511" xr:uid="{A3AC4581-2533-437E-8E70-E4527F7EDBFC}"/>
    <cellStyle name="Millares 8 2 3 3 2 2 2 5" xfId="3445" xr:uid="{56CA8CE0-3827-4E05-9E37-71E14325FD8C}"/>
    <cellStyle name="Millares 8 2 3 3 2 2 2 6" xfId="8301" xr:uid="{F05FC88C-0419-4340-8766-037B4551B67A}"/>
    <cellStyle name="Millares 8 2 3 3 2 2 3" xfId="5263" xr:uid="{2128E0E4-E13D-4754-BBB8-565EB23D3055}"/>
    <cellStyle name="Millares 8 2 3 3 2 2 3 2" xfId="10115" xr:uid="{85644EE1-4B91-46F3-B141-927F70D729BB}"/>
    <cellStyle name="Millares 8 2 3 3 2 2 4" xfId="6477" xr:uid="{026EDD4B-9DA9-42FB-8ABA-D4EC0005159A}"/>
    <cellStyle name="Millares 8 2 3 3 2 2 4 2" xfId="11326" xr:uid="{D0599EDE-5078-4468-BF78-CFC31B176272}"/>
    <cellStyle name="Millares 8 2 3 3 2 2 5" xfId="4053" xr:uid="{7B9F8A96-C21A-43A7-9109-2FD66FB06D2E}"/>
    <cellStyle name="Millares 8 2 3 3 2 2 5 2" xfId="8907" xr:uid="{E9725EAC-E269-4195-B8D6-CB539CAA55F8}"/>
    <cellStyle name="Millares 8 2 3 3 2 2 6" xfId="2840" xr:uid="{3A2AB8A5-A38B-42D3-A12C-1372847E7CB1}"/>
    <cellStyle name="Millares 8 2 3 3 2 2 7" xfId="7696" xr:uid="{66D578DA-B8D6-46CF-8EEE-729B29DF14D5}"/>
    <cellStyle name="Millares 8 2 3 3 2 3" xfId="2221" xr:uid="{CB1A6FBD-5F38-4CF7-A811-D2856F753304}"/>
    <cellStyle name="Millares 8 2 3 3 2 3 2" xfId="5867" xr:uid="{E3D8C262-145F-4365-8D9E-4F4BF850B73E}"/>
    <cellStyle name="Millares 8 2 3 3 2 3 2 2" xfId="10719" xr:uid="{475C8BD4-D666-4E1B-82C5-807812F40631}"/>
    <cellStyle name="Millares 8 2 3 3 2 3 3" xfId="7083" xr:uid="{8D8E6FC5-81F6-491C-BA35-F7B1FBA369A8}"/>
    <cellStyle name="Millares 8 2 3 3 2 3 3 2" xfId="11931" xr:uid="{C6B20FC7-BCCB-4346-B2BF-4F9BCBEC4667}"/>
    <cellStyle name="Millares 8 2 3 3 2 3 4" xfId="4656" xr:uid="{C8C31ACB-C3B8-4545-A838-ACE660799933}"/>
    <cellStyle name="Millares 8 2 3 3 2 3 4 2" xfId="9510" xr:uid="{3CB8F387-0DEE-4803-9198-9CF44641A3DA}"/>
    <cellStyle name="Millares 8 2 3 3 2 3 5" xfId="3444" xr:uid="{095CE524-C74B-41DA-AEB5-E061B3BF6F9A}"/>
    <cellStyle name="Millares 8 2 3 3 2 3 6" xfId="8300" xr:uid="{ACB3128D-6294-4A73-85B0-3F7252AFA1D6}"/>
    <cellStyle name="Millares 8 2 3 3 2 4" xfId="5262" xr:uid="{4C5B6507-A4AF-472D-9203-353747F3FBD7}"/>
    <cellStyle name="Millares 8 2 3 3 2 4 2" xfId="10114" xr:uid="{8EB62851-DA91-44E5-8AFC-FFF38D9D4110}"/>
    <cellStyle name="Millares 8 2 3 3 2 5" xfId="6476" xr:uid="{815512F4-3E66-427D-B47A-A4696F4791FD}"/>
    <cellStyle name="Millares 8 2 3 3 2 5 2" xfId="11325" xr:uid="{B37A0E19-8DBC-4944-BD42-E474280ED449}"/>
    <cellStyle name="Millares 8 2 3 3 2 6" xfId="4052" xr:uid="{01B8EF9A-969C-451F-AC54-E6153D4CC1AE}"/>
    <cellStyle name="Millares 8 2 3 3 2 6 2" xfId="8906" xr:uid="{37B0D038-095D-40E0-AC21-D863673BFEC6}"/>
    <cellStyle name="Millares 8 2 3 3 2 7" xfId="2839" xr:uid="{0531860C-503E-4880-BA06-C257A5A260FB}"/>
    <cellStyle name="Millares 8 2 3 3 2 8" xfId="7695" xr:uid="{FB5C1DC0-9EA0-4C24-81DE-7D648FB1AA49}"/>
    <cellStyle name="Millares 8 2 3 3 3" xfId="1554" xr:uid="{DEBBB696-20E0-4DEE-8FBB-4E89DF1CB6C0}"/>
    <cellStyle name="Millares 8 2 3 3 3 2" xfId="2223" xr:uid="{7D1D5EAF-F718-422B-8B81-F651B54F31A5}"/>
    <cellStyle name="Millares 8 2 3 3 3 2 2" xfId="5869" xr:uid="{86FE2589-690A-4155-A8FC-8F4A0148E629}"/>
    <cellStyle name="Millares 8 2 3 3 3 2 2 2" xfId="10721" xr:uid="{83CCE187-CEE8-42B1-984B-FF33486939D8}"/>
    <cellStyle name="Millares 8 2 3 3 3 2 3" xfId="7085" xr:uid="{5E238DD8-D6BF-4889-85C2-66BF80ED8F74}"/>
    <cellStyle name="Millares 8 2 3 3 3 2 3 2" xfId="11933" xr:uid="{55CE2CDA-4ACF-43C3-887E-986CD40C2C6A}"/>
    <cellStyle name="Millares 8 2 3 3 3 2 4" xfId="4658" xr:uid="{C2DB77C3-B1B1-4731-B59E-DA5751B770E2}"/>
    <cellStyle name="Millares 8 2 3 3 3 2 4 2" xfId="9512" xr:uid="{9F6CC97D-FC1D-41FB-8C1E-A1EAA3DF6498}"/>
    <cellStyle name="Millares 8 2 3 3 3 2 5" xfId="3446" xr:uid="{85421B29-36B2-42C7-806C-3AB65FFF7FD9}"/>
    <cellStyle name="Millares 8 2 3 3 3 2 6" xfId="8302" xr:uid="{6B9F8193-5145-42B3-84A1-24D1A098C5C4}"/>
    <cellStyle name="Millares 8 2 3 3 3 3" xfId="5264" xr:uid="{582ED258-F5C7-4E13-922C-F9047A4374E3}"/>
    <cellStyle name="Millares 8 2 3 3 3 3 2" xfId="10116" xr:uid="{A825E92A-259C-4C84-9175-DA74A2C82B3D}"/>
    <cellStyle name="Millares 8 2 3 3 3 4" xfId="6478" xr:uid="{9E09692E-9028-43F8-A64A-A3127A69074E}"/>
    <cellStyle name="Millares 8 2 3 3 3 4 2" xfId="11327" xr:uid="{06B90538-3438-4D2E-A37F-FAA75E8F611B}"/>
    <cellStyle name="Millares 8 2 3 3 3 5" xfId="4054" xr:uid="{2231AA62-E7B4-4C52-BD2F-AEE2C886A38B}"/>
    <cellStyle name="Millares 8 2 3 3 3 5 2" xfId="8908" xr:uid="{A2C15D7F-F0ED-47EA-B116-FC897C0076DB}"/>
    <cellStyle name="Millares 8 2 3 3 3 6" xfId="2841" xr:uid="{64840FF9-42B7-4045-8A6D-F5D371340A57}"/>
    <cellStyle name="Millares 8 2 3 3 3 7" xfId="7697" xr:uid="{DF3A55E6-F1B2-4D3E-ABCE-C81DF22CC5E9}"/>
    <cellStyle name="Millares 8 2 3 3 4" xfId="2220" xr:uid="{5B01A68D-A2D8-4C2E-9336-64CCF1311E3B}"/>
    <cellStyle name="Millares 8 2 3 3 4 2" xfId="5866" xr:uid="{03A66798-11E6-4A28-949C-36D4E2EA6E4E}"/>
    <cellStyle name="Millares 8 2 3 3 4 2 2" xfId="10718" xr:uid="{E71A7609-E711-44CE-A84D-5B8E55915B57}"/>
    <cellStyle name="Millares 8 2 3 3 4 3" xfId="7082" xr:uid="{07C0F017-A70F-42FE-B09F-8144E3BA0A64}"/>
    <cellStyle name="Millares 8 2 3 3 4 3 2" xfId="11930" xr:uid="{81C3CB82-504A-4F98-A6B4-3CCA7F449228}"/>
    <cellStyle name="Millares 8 2 3 3 4 4" xfId="4655" xr:uid="{D4845B6B-B7FC-4BE3-9246-18BED01EF2D3}"/>
    <cellStyle name="Millares 8 2 3 3 4 4 2" xfId="9509" xr:uid="{B19ABE25-9D87-439F-9C63-25BD48C3692F}"/>
    <cellStyle name="Millares 8 2 3 3 4 5" xfId="3443" xr:uid="{69098637-2B0E-46A7-92F0-F5D5E4E44DE4}"/>
    <cellStyle name="Millares 8 2 3 3 4 6" xfId="8299" xr:uid="{872084DE-669C-44D5-8026-3F122C56C26E}"/>
    <cellStyle name="Millares 8 2 3 3 5" xfId="5261" xr:uid="{96EB2ED4-5830-4E2E-BDFC-499916464393}"/>
    <cellStyle name="Millares 8 2 3 3 5 2" xfId="10113" xr:uid="{6785FBD8-A3E2-4FD8-8EC8-68794CE6BF36}"/>
    <cellStyle name="Millares 8 2 3 3 6" xfId="6475" xr:uid="{5719B5D8-3BF1-45B0-8D7D-C967C928789C}"/>
    <cellStyle name="Millares 8 2 3 3 6 2" xfId="11324" xr:uid="{EAFCDD7B-6420-45F7-AA65-A381EE28F424}"/>
    <cellStyle name="Millares 8 2 3 3 7" xfId="4051" xr:uid="{55B4C6AE-5FE0-4CC8-8666-D9BAA0A188C8}"/>
    <cellStyle name="Millares 8 2 3 3 7 2" xfId="8905" xr:uid="{C5DA2E6C-7038-4D1C-A05E-8961A577D618}"/>
    <cellStyle name="Millares 8 2 3 3 8" xfId="2838" xr:uid="{1209F5D6-67B2-49C6-9DEE-AA45CD579B2E}"/>
    <cellStyle name="Millares 8 2 3 3 9" xfId="7694" xr:uid="{0CCE66A8-5CB2-4741-A7F1-F2B4345C5789}"/>
    <cellStyle name="Millares 8 2 3 4" xfId="1555" xr:uid="{B57A62AA-704B-47F8-A44D-C84D3DA6E510}"/>
    <cellStyle name="Millares 8 2 3 4 2" xfId="1556" xr:uid="{8702D240-9329-4AE0-B10C-2D23BF87EF15}"/>
    <cellStyle name="Millares 8 2 3 4 2 2" xfId="2225" xr:uid="{3439D2C2-E160-45F3-AC8B-A4B22EEA33F5}"/>
    <cellStyle name="Millares 8 2 3 4 2 2 2" xfId="5871" xr:uid="{E2D2C197-47E0-4405-9504-E693A422C8D3}"/>
    <cellStyle name="Millares 8 2 3 4 2 2 2 2" xfId="10723" xr:uid="{D9FDF01B-EB60-4C66-9E8B-A85060871C97}"/>
    <cellStyle name="Millares 8 2 3 4 2 2 3" xfId="7087" xr:uid="{816C6169-AD0B-4B12-B9EE-BC031CFB8588}"/>
    <cellStyle name="Millares 8 2 3 4 2 2 3 2" xfId="11935" xr:uid="{FA35BBE5-0F64-44B9-AEA9-5F306412E066}"/>
    <cellStyle name="Millares 8 2 3 4 2 2 4" xfId="4660" xr:uid="{7C1D5E04-F9E9-44D9-ADAB-5DD2E47B977A}"/>
    <cellStyle name="Millares 8 2 3 4 2 2 4 2" xfId="9514" xr:uid="{92AD6BCD-2523-4341-A39E-622A082ACEFB}"/>
    <cellStyle name="Millares 8 2 3 4 2 2 5" xfId="3448" xr:uid="{7B53F058-9893-4AB8-A6A4-9443CA01B82C}"/>
    <cellStyle name="Millares 8 2 3 4 2 2 6" xfId="8304" xr:uid="{5897FF3E-B7C9-4EB9-AE95-3ACBAEAB0C42}"/>
    <cellStyle name="Millares 8 2 3 4 2 3" xfId="5266" xr:uid="{D3C2D582-F7FC-4ACC-B4C2-937E6638D6EC}"/>
    <cellStyle name="Millares 8 2 3 4 2 3 2" xfId="10118" xr:uid="{B28DEDD8-8538-4C3F-B063-EC3922137D9C}"/>
    <cellStyle name="Millares 8 2 3 4 2 4" xfId="6480" xr:uid="{316DE001-10D7-4980-8707-5C3622573985}"/>
    <cellStyle name="Millares 8 2 3 4 2 4 2" xfId="11329" xr:uid="{CA569CCD-1CC1-4F4B-BA8D-E3FB549AB665}"/>
    <cellStyle name="Millares 8 2 3 4 2 5" xfId="4056" xr:uid="{8316DB03-6B4B-47C1-BFF1-6A686654C3A7}"/>
    <cellStyle name="Millares 8 2 3 4 2 5 2" xfId="8910" xr:uid="{92278A0F-709B-438F-8FE8-DD0A762C9F16}"/>
    <cellStyle name="Millares 8 2 3 4 2 6" xfId="2843" xr:uid="{48749A2D-4400-4AA0-9724-3ABD2EF29687}"/>
    <cellStyle name="Millares 8 2 3 4 2 7" xfId="7699" xr:uid="{0D6E5161-EC66-4E85-844D-83BA885325F9}"/>
    <cellStyle name="Millares 8 2 3 4 3" xfId="2224" xr:uid="{3D194B77-B52F-4706-9D52-72DCB1034F77}"/>
    <cellStyle name="Millares 8 2 3 4 3 2" xfId="5870" xr:uid="{6AB52726-CCF6-4E9E-BB45-5FAE0D9DD7BA}"/>
    <cellStyle name="Millares 8 2 3 4 3 2 2" xfId="10722" xr:uid="{6BA35C9B-210D-4188-9014-7BA42DE47237}"/>
    <cellStyle name="Millares 8 2 3 4 3 3" xfId="7086" xr:uid="{5CF8E4AB-C1E3-4BDC-A268-22BBA056268D}"/>
    <cellStyle name="Millares 8 2 3 4 3 3 2" xfId="11934" xr:uid="{9D4B7A15-27AC-4A16-9967-3BE26E20584D}"/>
    <cellStyle name="Millares 8 2 3 4 3 4" xfId="4659" xr:uid="{DBAA03DB-4BEA-4EFC-8B15-02CB8608A729}"/>
    <cellStyle name="Millares 8 2 3 4 3 4 2" xfId="9513" xr:uid="{25F5D224-E43E-45F7-983B-EC0D9C77FCE2}"/>
    <cellStyle name="Millares 8 2 3 4 3 5" xfId="3447" xr:uid="{4F24D356-5077-4C37-862B-F11DC6957070}"/>
    <cellStyle name="Millares 8 2 3 4 3 6" xfId="8303" xr:uid="{AA257B8A-7166-49CA-82AB-CED0DAC6526A}"/>
    <cellStyle name="Millares 8 2 3 4 4" xfId="5265" xr:uid="{0A02CC16-CEA3-4E35-B472-F8261BFBB187}"/>
    <cellStyle name="Millares 8 2 3 4 4 2" xfId="10117" xr:uid="{65D23956-8B20-40F5-985D-49956C89D1B5}"/>
    <cellStyle name="Millares 8 2 3 4 5" xfId="6479" xr:uid="{BAEAFBB3-9E9E-4593-8B21-E31BD7CB3D71}"/>
    <cellStyle name="Millares 8 2 3 4 5 2" xfId="11328" xr:uid="{58E4F31F-44E0-4DA5-9383-B364AFD1BE2F}"/>
    <cellStyle name="Millares 8 2 3 4 6" xfId="4055" xr:uid="{5BD78F7D-7A1D-47AD-8A84-5055DE2835EF}"/>
    <cellStyle name="Millares 8 2 3 4 6 2" xfId="8909" xr:uid="{372C03C2-8A06-4CB3-9FDD-FADCD836E3D9}"/>
    <cellStyle name="Millares 8 2 3 4 7" xfId="2842" xr:uid="{0E1B7D55-4D46-441E-A5A0-7F5E82C99FF8}"/>
    <cellStyle name="Millares 8 2 3 4 8" xfId="7698" xr:uid="{CD5424D1-8532-4DB3-B7BD-E74538736A80}"/>
    <cellStyle name="Millares 8 2 3 5" xfId="1557" xr:uid="{58162C55-F93B-4F45-B766-D8E8B652DF5E}"/>
    <cellStyle name="Millares 8 2 3 5 2" xfId="2226" xr:uid="{6D4C4865-0B80-4550-B78D-E4CEFFAF6D82}"/>
    <cellStyle name="Millares 8 2 3 5 2 2" xfId="5872" xr:uid="{99DF9A7C-B7E0-482B-9AC1-258CE8F5D725}"/>
    <cellStyle name="Millares 8 2 3 5 2 2 2" xfId="10724" xr:uid="{7EDFA769-E114-4F83-AC54-68FF38C7C5FF}"/>
    <cellStyle name="Millares 8 2 3 5 2 3" xfId="7088" xr:uid="{1963CBE6-27A3-4A2C-8DA4-4030F63C7651}"/>
    <cellStyle name="Millares 8 2 3 5 2 3 2" xfId="11936" xr:uid="{E3D0448F-30DC-4A59-90E6-D4260A86C9C6}"/>
    <cellStyle name="Millares 8 2 3 5 2 4" xfId="4661" xr:uid="{7DB67232-B5B0-414E-9114-3CD26713EF98}"/>
    <cellStyle name="Millares 8 2 3 5 2 4 2" xfId="9515" xr:uid="{DEFAE3E2-A949-4A4F-B07A-B7FCF876FA7B}"/>
    <cellStyle name="Millares 8 2 3 5 2 5" xfId="3449" xr:uid="{72572F60-56AF-4324-8252-80075A95708B}"/>
    <cellStyle name="Millares 8 2 3 5 2 6" xfId="8305" xr:uid="{4B36D457-22C4-4FB2-9A45-2E19725C4E3A}"/>
    <cellStyle name="Millares 8 2 3 5 3" xfId="5267" xr:uid="{199AAB47-B383-4327-8783-64136DC86F2C}"/>
    <cellStyle name="Millares 8 2 3 5 3 2" xfId="10119" xr:uid="{A1FE2880-413F-4BC8-B937-ECD1373932B2}"/>
    <cellStyle name="Millares 8 2 3 5 4" xfId="6481" xr:uid="{E5D4446B-E0F0-4BF4-8B94-F5A0889A738F}"/>
    <cellStyle name="Millares 8 2 3 5 4 2" xfId="11330" xr:uid="{1EEA1BAE-3AB0-4B0C-845A-51435E77B5C8}"/>
    <cellStyle name="Millares 8 2 3 5 5" xfId="4057" xr:uid="{25CF4AA4-471A-493C-9D6C-2DDFEAB97FB4}"/>
    <cellStyle name="Millares 8 2 3 5 5 2" xfId="8911" xr:uid="{4E676B67-15F4-4A90-8A9D-305ABB6448AA}"/>
    <cellStyle name="Millares 8 2 3 5 6" xfId="2844" xr:uid="{34C3EB47-23AC-41D1-A056-E01484AE5F16}"/>
    <cellStyle name="Millares 8 2 3 5 7" xfId="7700" xr:uid="{86C6F998-57E4-452C-B1F1-BCD278CE0AA4}"/>
    <cellStyle name="Millares 8 2 3 6" xfId="2215" xr:uid="{5603BD3D-A500-40AD-8BA3-133E5F1D87CB}"/>
    <cellStyle name="Millares 8 2 3 6 2" xfId="5861" xr:uid="{9D025247-9789-4F30-B5D8-4D6806C0A3FA}"/>
    <cellStyle name="Millares 8 2 3 6 2 2" xfId="10713" xr:uid="{ACCB32A3-E0C1-432E-9079-F8A5A9A02F4D}"/>
    <cellStyle name="Millares 8 2 3 6 3" xfId="7077" xr:uid="{27615931-854F-420C-8215-688357D96F8E}"/>
    <cellStyle name="Millares 8 2 3 6 3 2" xfId="11925" xr:uid="{8EAF5121-A0E6-4F1D-B631-A5E5015377DB}"/>
    <cellStyle name="Millares 8 2 3 6 4" xfId="4650" xr:uid="{FB54D1D7-4FA1-45A2-B904-13A0A98E804D}"/>
    <cellStyle name="Millares 8 2 3 6 4 2" xfId="9504" xr:uid="{67B7D307-AB53-44B9-9CBC-B201609389C7}"/>
    <cellStyle name="Millares 8 2 3 6 5" xfId="3438" xr:uid="{749BFBF1-530C-4F1C-AA4F-52FDC9D5C9CB}"/>
    <cellStyle name="Millares 8 2 3 6 6" xfId="8294" xr:uid="{31CE2ADE-6317-4F41-8DF3-4642B3B2768F}"/>
    <cellStyle name="Millares 8 2 3 7" xfId="5256" xr:uid="{B9BF7933-C392-4590-BD03-E52C65BD0201}"/>
    <cellStyle name="Millares 8 2 3 7 2" xfId="10108" xr:uid="{B200E236-4F46-47DB-9B2E-B1931B17A0C6}"/>
    <cellStyle name="Millares 8 2 3 8" xfId="6470" xr:uid="{415AEADE-1185-417B-BDF4-9673C4BACEA8}"/>
    <cellStyle name="Millares 8 2 3 8 2" xfId="11319" xr:uid="{30687EA2-9A8A-48F2-A869-89B268DC45EF}"/>
    <cellStyle name="Millares 8 2 3 9" xfId="4046" xr:uid="{EB14990D-1B0D-468A-8B2C-D180427B66BF}"/>
    <cellStyle name="Millares 8 2 3 9 2" xfId="8900" xr:uid="{B6C79D5F-00FE-40F2-85D4-B7DCA801D2E8}"/>
    <cellStyle name="Millares 8 2 4" xfId="1558" xr:uid="{65F016CC-5950-463C-8B2B-35BEBB016F1A}"/>
    <cellStyle name="Millares 8 2 4 2" xfId="1559" xr:uid="{13C9254D-28AE-4E4E-82EC-40D6AB9EDBF9}"/>
    <cellStyle name="Millares 8 2 4 2 2" xfId="1560" xr:uid="{5F8E7EBB-2DB6-4BD5-8401-B09B593A01F1}"/>
    <cellStyle name="Millares 8 2 4 2 2 2" xfId="2229" xr:uid="{0398ED95-AF0B-43FA-A8FE-34E83EBE5BC0}"/>
    <cellStyle name="Millares 8 2 4 2 2 2 2" xfId="5875" xr:uid="{16AE9ED9-7B85-4F42-B516-8A6437FFF04B}"/>
    <cellStyle name="Millares 8 2 4 2 2 2 2 2" xfId="10727" xr:uid="{E5349F88-C7B4-402C-B2ED-FC9878505E3E}"/>
    <cellStyle name="Millares 8 2 4 2 2 2 3" xfId="7091" xr:uid="{5AFFC469-18B8-4CBA-AFE7-9F9AD6FF70FB}"/>
    <cellStyle name="Millares 8 2 4 2 2 2 3 2" xfId="11939" xr:uid="{715972C3-6FE5-40B1-B727-10AE7AC391F3}"/>
    <cellStyle name="Millares 8 2 4 2 2 2 4" xfId="4664" xr:uid="{EF1B1711-3636-4AFB-9191-38E960E49BBF}"/>
    <cellStyle name="Millares 8 2 4 2 2 2 4 2" xfId="9518" xr:uid="{16F3405C-981B-4BB0-A6F5-7E0B373D5075}"/>
    <cellStyle name="Millares 8 2 4 2 2 2 5" xfId="3452" xr:uid="{604B3DC1-1E66-4DB5-9B5E-4E50679BEEFF}"/>
    <cellStyle name="Millares 8 2 4 2 2 2 6" xfId="8308" xr:uid="{52770D82-EEE4-4AE4-9BDB-DF5411DFE7B3}"/>
    <cellStyle name="Millares 8 2 4 2 2 3" xfId="5270" xr:uid="{D843E506-F73C-4E29-A33F-3E303C605305}"/>
    <cellStyle name="Millares 8 2 4 2 2 3 2" xfId="10122" xr:uid="{86B4B58D-2314-4051-90E9-9765374F2CDE}"/>
    <cellStyle name="Millares 8 2 4 2 2 4" xfId="6484" xr:uid="{FDDAD5E0-2EF7-48F3-A6A1-235E4812DBB2}"/>
    <cellStyle name="Millares 8 2 4 2 2 4 2" xfId="11333" xr:uid="{5A4FBA17-E2B7-4FB4-B6BB-63749C90FC51}"/>
    <cellStyle name="Millares 8 2 4 2 2 5" xfId="4060" xr:uid="{A5FD6A07-B812-41F0-8E36-7AE521B55A81}"/>
    <cellStyle name="Millares 8 2 4 2 2 5 2" xfId="8914" xr:uid="{05F40219-3E6C-49F0-9EB6-D1FB55A69362}"/>
    <cellStyle name="Millares 8 2 4 2 2 6" xfId="2847" xr:uid="{FED39092-830E-41BE-8D90-9522A63EFEA9}"/>
    <cellStyle name="Millares 8 2 4 2 2 7" xfId="7703" xr:uid="{EDA8CBE1-E1BF-4C00-A59E-602B1F800C21}"/>
    <cellStyle name="Millares 8 2 4 2 3" xfId="2228" xr:uid="{DF6A395D-1AB4-41AD-8438-4887F926C58F}"/>
    <cellStyle name="Millares 8 2 4 2 3 2" xfId="5874" xr:uid="{8F37DDFA-AD78-4ED5-AFFF-903F87B3C964}"/>
    <cellStyle name="Millares 8 2 4 2 3 2 2" xfId="10726" xr:uid="{433109BB-B38E-488B-8B19-484399F98515}"/>
    <cellStyle name="Millares 8 2 4 2 3 3" xfId="7090" xr:uid="{19D4622E-EBFF-4605-BD54-C911AA107BB8}"/>
    <cellStyle name="Millares 8 2 4 2 3 3 2" xfId="11938" xr:uid="{545CACBF-7293-409E-B520-D0CEE4D350E1}"/>
    <cellStyle name="Millares 8 2 4 2 3 4" xfId="4663" xr:uid="{5CFFAF9D-0ED2-4D88-AC6C-56730A1B7287}"/>
    <cellStyle name="Millares 8 2 4 2 3 4 2" xfId="9517" xr:uid="{4D8896A9-D205-4486-BEFC-94B8A7EE878F}"/>
    <cellStyle name="Millares 8 2 4 2 3 5" xfId="3451" xr:uid="{3C3A0BCF-B52B-4202-9AA3-583A650F418C}"/>
    <cellStyle name="Millares 8 2 4 2 3 6" xfId="8307" xr:uid="{627AB062-EEC6-4252-8379-3C7F7FD105C4}"/>
    <cellStyle name="Millares 8 2 4 2 4" xfId="5269" xr:uid="{0B2595C9-68B0-4715-AF09-83FABFB639DC}"/>
    <cellStyle name="Millares 8 2 4 2 4 2" xfId="10121" xr:uid="{BCDF3A75-BCC7-454F-84D8-41FA5D6D89CB}"/>
    <cellStyle name="Millares 8 2 4 2 5" xfId="6483" xr:uid="{89258CDD-FEA9-4690-85A9-3978D8ED38E5}"/>
    <cellStyle name="Millares 8 2 4 2 5 2" xfId="11332" xr:uid="{AFB7C88E-D4D7-4FE8-934D-90FCCEEAA25F}"/>
    <cellStyle name="Millares 8 2 4 2 6" xfId="4059" xr:uid="{84BBEC83-2A07-4209-9183-D6A60CB532EF}"/>
    <cellStyle name="Millares 8 2 4 2 6 2" xfId="8913" xr:uid="{34C287C9-D6C6-4EDB-83FF-CD116E0CC383}"/>
    <cellStyle name="Millares 8 2 4 2 7" xfId="2846" xr:uid="{D5D6C2EE-D17A-4439-902C-50E8D49F62EF}"/>
    <cellStyle name="Millares 8 2 4 2 8" xfId="7702" xr:uid="{225ED55F-B151-4F6F-B80F-7F75B107BACF}"/>
    <cellStyle name="Millares 8 2 4 3" xfId="1561" xr:uid="{C643A3B7-D328-4786-ABCE-73C70A37A39C}"/>
    <cellStyle name="Millares 8 2 4 3 2" xfId="2230" xr:uid="{53D08A63-4334-46D1-976E-8BD802720EDD}"/>
    <cellStyle name="Millares 8 2 4 3 2 2" xfId="5876" xr:uid="{824FDBDC-D00F-45CC-AC7B-3BFA097D8BAE}"/>
    <cellStyle name="Millares 8 2 4 3 2 2 2" xfId="10728" xr:uid="{87CD7EB9-C800-484E-828F-05DF5552C573}"/>
    <cellStyle name="Millares 8 2 4 3 2 3" xfId="7092" xr:uid="{6C1D3D13-3A08-432D-9FD7-344FCCD1FF3F}"/>
    <cellStyle name="Millares 8 2 4 3 2 3 2" xfId="11940" xr:uid="{B8A3CA7E-58D3-42D8-A452-C46CD46478CC}"/>
    <cellStyle name="Millares 8 2 4 3 2 4" xfId="4665" xr:uid="{A887484C-C2B9-484B-AABA-53322086F6C9}"/>
    <cellStyle name="Millares 8 2 4 3 2 4 2" xfId="9519" xr:uid="{9114904F-9DFC-464D-B15C-9358F7D1A024}"/>
    <cellStyle name="Millares 8 2 4 3 2 5" xfId="3453" xr:uid="{5E3360DC-A4AD-4867-AEE9-063662189AC3}"/>
    <cellStyle name="Millares 8 2 4 3 2 6" xfId="8309" xr:uid="{6C211FE7-F2FB-4A9E-BAB4-6192D8129356}"/>
    <cellStyle name="Millares 8 2 4 3 3" xfId="5271" xr:uid="{63972E6A-AFF4-4D3B-A92F-CF379777AE68}"/>
    <cellStyle name="Millares 8 2 4 3 3 2" xfId="10123" xr:uid="{02EBBAA9-A777-462C-B1B5-2E892F7FA2DA}"/>
    <cellStyle name="Millares 8 2 4 3 4" xfId="6485" xr:uid="{2FE33996-C1DC-4D43-919C-F81EF816D41C}"/>
    <cellStyle name="Millares 8 2 4 3 4 2" xfId="11334" xr:uid="{4E4B0163-9599-4CF4-9A1B-E11E06C88046}"/>
    <cellStyle name="Millares 8 2 4 3 5" xfId="4061" xr:uid="{4CB0A49B-2C26-4BA8-887E-4AC8F145CCA8}"/>
    <cellStyle name="Millares 8 2 4 3 5 2" xfId="8915" xr:uid="{AFC5AE51-6EBA-45DB-A0EB-870A6D65FE9B}"/>
    <cellStyle name="Millares 8 2 4 3 6" xfId="2848" xr:uid="{66EE980B-DCAD-43A4-8560-FC4D635D5A18}"/>
    <cellStyle name="Millares 8 2 4 3 7" xfId="7704" xr:uid="{14BA3660-DD35-4986-807F-31AE547A4932}"/>
    <cellStyle name="Millares 8 2 4 4" xfId="2227" xr:uid="{585198BA-C014-44D0-87D0-39797BC5FCCA}"/>
    <cellStyle name="Millares 8 2 4 4 2" xfId="5873" xr:uid="{0664FFB0-7983-4F7B-A199-2B4EA5DF5C72}"/>
    <cellStyle name="Millares 8 2 4 4 2 2" xfId="10725" xr:uid="{3B5E46FF-0A93-48EF-8ED8-BC0390769E99}"/>
    <cellStyle name="Millares 8 2 4 4 3" xfId="7089" xr:uid="{E00332E2-D8C4-4DB3-9D47-30B0CFD3919B}"/>
    <cellStyle name="Millares 8 2 4 4 3 2" xfId="11937" xr:uid="{2862E9A9-0011-40E0-AE52-72EB536C0BDC}"/>
    <cellStyle name="Millares 8 2 4 4 4" xfId="4662" xr:uid="{A7DEAC2F-05F1-48F3-BA92-D8C01D73042C}"/>
    <cellStyle name="Millares 8 2 4 4 4 2" xfId="9516" xr:uid="{51A408DE-4FAC-4FF3-B9D1-917DA7A88040}"/>
    <cellStyle name="Millares 8 2 4 4 5" xfId="3450" xr:uid="{FC23783D-A1CF-441D-9E70-B94701755CBD}"/>
    <cellStyle name="Millares 8 2 4 4 6" xfId="8306" xr:uid="{D15533BB-7EFF-48A6-AA2E-394B5A18166C}"/>
    <cellStyle name="Millares 8 2 4 5" xfId="5268" xr:uid="{35BE8066-2B5E-420E-B686-AD9D520C9063}"/>
    <cellStyle name="Millares 8 2 4 5 2" xfId="10120" xr:uid="{0E960CFD-7F3E-48E8-9821-9E99157BBD56}"/>
    <cellStyle name="Millares 8 2 4 6" xfId="6482" xr:uid="{ABBDD5EC-B0B3-4389-9E92-8F220AAD4DAF}"/>
    <cellStyle name="Millares 8 2 4 6 2" xfId="11331" xr:uid="{C6A79964-723B-448D-958D-DF057CDD3046}"/>
    <cellStyle name="Millares 8 2 4 7" xfId="4058" xr:uid="{D6BB57A9-48B4-4F76-9FF5-497E7DCC5DC7}"/>
    <cellStyle name="Millares 8 2 4 7 2" xfId="8912" xr:uid="{7695B853-E9F8-4017-BDCA-8D161845D4E3}"/>
    <cellStyle name="Millares 8 2 4 8" xfId="2845" xr:uid="{54C616C7-D542-4ECF-8840-DD42F3376B7B}"/>
    <cellStyle name="Millares 8 2 4 9" xfId="7701" xr:uid="{0AAF77B5-C325-4A2B-A5A8-2D003F03CD08}"/>
    <cellStyle name="Millares 8 2 5" xfId="1562" xr:uid="{A631D3CB-71FE-4D20-AD01-D05BA6FBDAF0}"/>
    <cellStyle name="Millares 8 2 5 2" xfId="1563" xr:uid="{8670A6EA-6E8A-4CDB-8C2F-59A5B1D16FB6}"/>
    <cellStyle name="Millares 8 2 5 2 2" xfId="1564" xr:uid="{7729C840-81D0-4017-BB00-C1CE36A3DCAE}"/>
    <cellStyle name="Millares 8 2 5 2 2 2" xfId="2233" xr:uid="{2D4EB316-E600-4C72-89DE-2D165ADC37A6}"/>
    <cellStyle name="Millares 8 2 5 2 2 2 2" xfId="5879" xr:uid="{79C65A26-5817-4473-87B3-CDDE543446E3}"/>
    <cellStyle name="Millares 8 2 5 2 2 2 2 2" xfId="10731" xr:uid="{00E985D3-2B22-4942-945F-7A305135D7E8}"/>
    <cellStyle name="Millares 8 2 5 2 2 2 3" xfId="7095" xr:uid="{97A9056F-10BE-4250-A4A5-018F5DE101C4}"/>
    <cellStyle name="Millares 8 2 5 2 2 2 3 2" xfId="11943" xr:uid="{8E4E847E-8B78-4CC2-9818-C7E368DD1002}"/>
    <cellStyle name="Millares 8 2 5 2 2 2 4" xfId="4668" xr:uid="{B34C75C6-E106-4289-B2FD-B58E443749E6}"/>
    <cellStyle name="Millares 8 2 5 2 2 2 4 2" xfId="9522" xr:uid="{E5A33FCA-EB76-4671-ADA4-67DB5DB57977}"/>
    <cellStyle name="Millares 8 2 5 2 2 2 5" xfId="3456" xr:uid="{EB66BFD1-376C-446D-9D73-DA257A077971}"/>
    <cellStyle name="Millares 8 2 5 2 2 2 6" xfId="8312" xr:uid="{83B24679-1CB0-4354-AB6D-581601CB6A17}"/>
    <cellStyle name="Millares 8 2 5 2 2 3" xfId="5274" xr:uid="{715564AB-2558-4C19-8882-ABEC268B069D}"/>
    <cellStyle name="Millares 8 2 5 2 2 3 2" xfId="10126" xr:uid="{720F8530-D5A9-4F7D-9E59-6F71CB01F008}"/>
    <cellStyle name="Millares 8 2 5 2 2 4" xfId="6488" xr:uid="{77A7970E-94C0-4ADE-BEFB-7A2478CFF9A0}"/>
    <cellStyle name="Millares 8 2 5 2 2 4 2" xfId="11337" xr:uid="{541139F6-B585-44F0-9199-3CF331EAB86F}"/>
    <cellStyle name="Millares 8 2 5 2 2 5" xfId="4064" xr:uid="{00B2F255-7501-407F-A622-ED9DDE4D9391}"/>
    <cellStyle name="Millares 8 2 5 2 2 5 2" xfId="8918" xr:uid="{D148D036-59D0-4B9B-885B-57CC6B37F5FF}"/>
    <cellStyle name="Millares 8 2 5 2 2 6" xfId="2851" xr:uid="{FA758933-AD79-478F-A33B-68A55743B9C3}"/>
    <cellStyle name="Millares 8 2 5 2 2 7" xfId="7707" xr:uid="{668705EE-58D9-4808-8632-82B78701E6B0}"/>
    <cellStyle name="Millares 8 2 5 2 3" xfId="2232" xr:uid="{0421567E-9796-45EC-B620-293A56C01F85}"/>
    <cellStyle name="Millares 8 2 5 2 3 2" xfId="5878" xr:uid="{7D938B87-8FEE-48A3-B090-EE9A5A630909}"/>
    <cellStyle name="Millares 8 2 5 2 3 2 2" xfId="10730" xr:uid="{A083FDE8-709A-4C91-9B0A-76E583D3459B}"/>
    <cellStyle name="Millares 8 2 5 2 3 3" xfId="7094" xr:uid="{26227F18-9CAE-488C-95E5-9BD2D9C63C08}"/>
    <cellStyle name="Millares 8 2 5 2 3 3 2" xfId="11942" xr:uid="{3595CC24-F01D-4298-8411-CA6DAAFDCBF7}"/>
    <cellStyle name="Millares 8 2 5 2 3 4" xfId="4667" xr:uid="{07D84033-D342-48B7-BB05-8A9E967728E2}"/>
    <cellStyle name="Millares 8 2 5 2 3 4 2" xfId="9521" xr:uid="{28D8B61C-041B-4C8E-BA46-B3164CDBD5BD}"/>
    <cellStyle name="Millares 8 2 5 2 3 5" xfId="3455" xr:uid="{110222B9-08A7-4F2A-9961-460FF5C880E4}"/>
    <cellStyle name="Millares 8 2 5 2 3 6" xfId="8311" xr:uid="{22FDE9D2-1105-4E8C-B310-282AA1602907}"/>
    <cellStyle name="Millares 8 2 5 2 4" xfId="5273" xr:uid="{29C2D759-5A29-4BC8-A0AE-39F3BD5BC6E5}"/>
    <cellStyle name="Millares 8 2 5 2 4 2" xfId="10125" xr:uid="{B18B4C73-233E-4010-AE22-FF9489757927}"/>
    <cellStyle name="Millares 8 2 5 2 5" xfId="6487" xr:uid="{2ADB801B-2E1E-4AA9-8EA0-0F4674CCA95B}"/>
    <cellStyle name="Millares 8 2 5 2 5 2" xfId="11336" xr:uid="{947C8EB5-E5BE-4304-9488-B64493FD7AB3}"/>
    <cellStyle name="Millares 8 2 5 2 6" xfId="4063" xr:uid="{722142D9-10FD-43EB-991A-476820E1F1F6}"/>
    <cellStyle name="Millares 8 2 5 2 6 2" xfId="8917" xr:uid="{97DA1792-5574-4E39-9610-A5974A90D46E}"/>
    <cellStyle name="Millares 8 2 5 2 7" xfId="2850" xr:uid="{25195A61-F1DE-4DAB-B27E-F7209E8357C7}"/>
    <cellStyle name="Millares 8 2 5 2 8" xfId="7706" xr:uid="{A99C3FE9-B306-4B3C-BE08-510684EE0CD7}"/>
    <cellStyle name="Millares 8 2 5 3" xfId="1565" xr:uid="{75323C36-3CCB-4034-B38D-274498BCDBF8}"/>
    <cellStyle name="Millares 8 2 5 3 2" xfId="2234" xr:uid="{24BAA114-9686-430A-A806-9173C6967021}"/>
    <cellStyle name="Millares 8 2 5 3 2 2" xfId="5880" xr:uid="{5A063D05-CEDB-4EFE-9B45-EBFE75661B61}"/>
    <cellStyle name="Millares 8 2 5 3 2 2 2" xfId="10732" xr:uid="{D5957F72-DA8D-4A59-B175-B21B904D2979}"/>
    <cellStyle name="Millares 8 2 5 3 2 3" xfId="7096" xr:uid="{951CDE04-26AE-46FA-B3AE-72393357E9A2}"/>
    <cellStyle name="Millares 8 2 5 3 2 3 2" xfId="11944" xr:uid="{D502551A-29BD-4E7E-BD52-77E655679FDF}"/>
    <cellStyle name="Millares 8 2 5 3 2 4" xfId="4669" xr:uid="{62A9E280-68AF-4DB2-9EF3-CE5ED3438D61}"/>
    <cellStyle name="Millares 8 2 5 3 2 4 2" xfId="9523" xr:uid="{7E167E1A-387A-483B-AE9A-FA6215688101}"/>
    <cellStyle name="Millares 8 2 5 3 2 5" xfId="3457" xr:uid="{A165DDAD-5D6E-46D2-BD13-E206AF64D289}"/>
    <cellStyle name="Millares 8 2 5 3 2 6" xfId="8313" xr:uid="{CB76CEB6-DE71-4F33-A5E6-44561D88C96B}"/>
    <cellStyle name="Millares 8 2 5 3 3" xfId="5275" xr:uid="{6091189A-590B-4F4C-BFB8-AA2D3FC509CA}"/>
    <cellStyle name="Millares 8 2 5 3 3 2" xfId="10127" xr:uid="{2B71A273-B809-4BC3-B4B8-FFA131F1E2D3}"/>
    <cellStyle name="Millares 8 2 5 3 4" xfId="6489" xr:uid="{0C0AFE9E-F01E-4626-9CF2-1D86F5D4EE5E}"/>
    <cellStyle name="Millares 8 2 5 3 4 2" xfId="11338" xr:uid="{017CAE88-A718-4820-AB0F-73B8A195D997}"/>
    <cellStyle name="Millares 8 2 5 3 5" xfId="4065" xr:uid="{4E4C4C1B-DB19-4055-8B58-FE2CB7A61764}"/>
    <cellStyle name="Millares 8 2 5 3 5 2" xfId="8919" xr:uid="{875C34EA-5A0F-4FDA-AB0A-3EBFFCAD0C20}"/>
    <cellStyle name="Millares 8 2 5 3 6" xfId="2852" xr:uid="{F5E10EBF-3533-4693-A2B7-F2AD41227596}"/>
    <cellStyle name="Millares 8 2 5 3 7" xfId="7708" xr:uid="{8717B872-1576-40EA-A292-DDE175CCFE8D}"/>
    <cellStyle name="Millares 8 2 5 4" xfId="2231" xr:uid="{30031078-6D8D-43C6-B40A-7CFB3C60070D}"/>
    <cellStyle name="Millares 8 2 5 4 2" xfId="5877" xr:uid="{5CF70DEE-5073-4298-9FFA-077E73DFEFB0}"/>
    <cellStyle name="Millares 8 2 5 4 2 2" xfId="10729" xr:uid="{288EF41F-8E26-441D-ABA2-50DADD30401C}"/>
    <cellStyle name="Millares 8 2 5 4 3" xfId="7093" xr:uid="{0BEC1DFE-CF73-4A28-B49D-2DD895FF01EE}"/>
    <cellStyle name="Millares 8 2 5 4 3 2" xfId="11941" xr:uid="{560170D7-764C-45FC-8926-AB6DD08B0F38}"/>
    <cellStyle name="Millares 8 2 5 4 4" xfId="4666" xr:uid="{F6CA48B6-6FA7-402C-A94E-E5A1CD5040E3}"/>
    <cellStyle name="Millares 8 2 5 4 4 2" xfId="9520" xr:uid="{E2AF82E8-F843-4088-8328-EA6EE173BE55}"/>
    <cellStyle name="Millares 8 2 5 4 5" xfId="3454" xr:uid="{39D95839-3B6A-422A-A57E-61A08AA29221}"/>
    <cellStyle name="Millares 8 2 5 4 6" xfId="8310" xr:uid="{B8581B0A-1E5A-42BD-B846-A10D14737481}"/>
    <cellStyle name="Millares 8 2 5 5" xfId="5272" xr:uid="{51409387-48BA-4B86-BB61-07FB0D53BE98}"/>
    <cellStyle name="Millares 8 2 5 5 2" xfId="10124" xr:uid="{35075B09-29E5-464B-B0E5-F3952443F31A}"/>
    <cellStyle name="Millares 8 2 5 6" xfId="6486" xr:uid="{38481F6E-A642-4FE4-AD27-9102D09093CC}"/>
    <cellStyle name="Millares 8 2 5 6 2" xfId="11335" xr:uid="{D0D19EF8-FF4F-4316-8735-7C294EB605C0}"/>
    <cellStyle name="Millares 8 2 5 7" xfId="4062" xr:uid="{276C0CC4-00D2-4E34-8A21-6442E672D280}"/>
    <cellStyle name="Millares 8 2 5 7 2" xfId="8916" xr:uid="{5E0A53F8-69C1-4ADA-B48C-FC3CAD94345C}"/>
    <cellStyle name="Millares 8 2 5 8" xfId="2849" xr:uid="{63694367-E56E-4C1F-A493-9A400D4C9618}"/>
    <cellStyle name="Millares 8 2 5 9" xfId="7705" xr:uid="{A6E5099A-A972-41C0-89C3-F0BE34304977}"/>
    <cellStyle name="Millares 8 2 6" xfId="1566" xr:uid="{B1F1AD78-F3AF-4FC6-A9FF-7D014FBB7584}"/>
    <cellStyle name="Millares 8 2 6 2" xfId="1567" xr:uid="{7D597ECD-6592-4955-92B1-E1C7583E8347}"/>
    <cellStyle name="Millares 8 2 6 2 2" xfId="2236" xr:uid="{A3AEBF63-DC07-4D49-A478-2979FD11F237}"/>
    <cellStyle name="Millares 8 2 6 2 2 2" xfId="5882" xr:uid="{595EB19D-872D-4480-89EC-053E44FAFD9C}"/>
    <cellStyle name="Millares 8 2 6 2 2 2 2" xfId="10734" xr:uid="{68C58E47-04A9-4CC1-9FA3-BA2B48174A4C}"/>
    <cellStyle name="Millares 8 2 6 2 2 3" xfId="7098" xr:uid="{D6F5ACE1-5C5C-4ED1-8E27-E5C1FE97CA6C}"/>
    <cellStyle name="Millares 8 2 6 2 2 3 2" xfId="11946" xr:uid="{E13C018D-7393-48AE-8EC0-0F79723815A1}"/>
    <cellStyle name="Millares 8 2 6 2 2 4" xfId="4671" xr:uid="{A470A42A-7A78-4F10-B8B3-25A94E6DA29B}"/>
    <cellStyle name="Millares 8 2 6 2 2 4 2" xfId="9525" xr:uid="{8FB519F2-9533-450B-9F32-E13874164A4B}"/>
    <cellStyle name="Millares 8 2 6 2 2 5" xfId="3459" xr:uid="{FFC0FEA2-7B73-4481-8E3E-4990B81D8FF5}"/>
    <cellStyle name="Millares 8 2 6 2 2 6" xfId="8315" xr:uid="{27E8E3FE-73A4-4CFC-AD24-0F56B78AAB3C}"/>
    <cellStyle name="Millares 8 2 6 2 3" xfId="5277" xr:uid="{0F35447E-EAE7-4D8E-A7F8-54F6B85007A9}"/>
    <cellStyle name="Millares 8 2 6 2 3 2" xfId="10129" xr:uid="{DA218758-7062-4080-8492-6FCF7719B1FA}"/>
    <cellStyle name="Millares 8 2 6 2 4" xfId="6491" xr:uid="{12423234-0D1B-4274-9176-AC95951CEF1D}"/>
    <cellStyle name="Millares 8 2 6 2 4 2" xfId="11340" xr:uid="{F52C267C-165A-447A-84DB-622D79F303EF}"/>
    <cellStyle name="Millares 8 2 6 2 5" xfId="4067" xr:uid="{039E3349-F77D-4EA8-A7F9-451DB94B17F0}"/>
    <cellStyle name="Millares 8 2 6 2 5 2" xfId="8921" xr:uid="{00E2B29F-AF43-4159-B94E-44E0264D970A}"/>
    <cellStyle name="Millares 8 2 6 2 6" xfId="2854" xr:uid="{B2AA7FB9-D1B8-4C1D-AEAA-9DC2B4204570}"/>
    <cellStyle name="Millares 8 2 6 2 7" xfId="7710" xr:uid="{9B87B9BA-B30A-4EEB-96AA-B6A4D9301E91}"/>
    <cellStyle name="Millares 8 2 6 3" xfId="2235" xr:uid="{107510F8-2C7F-4681-AE8A-50A9ECBDA2CE}"/>
    <cellStyle name="Millares 8 2 6 3 2" xfId="5881" xr:uid="{9039CDCD-32BE-48EF-9760-1BB9DC3E1798}"/>
    <cellStyle name="Millares 8 2 6 3 2 2" xfId="10733" xr:uid="{6A465C13-F903-4D10-9A12-A2B5BC5C3AD1}"/>
    <cellStyle name="Millares 8 2 6 3 3" xfId="7097" xr:uid="{FDDD80BF-7C27-46AB-8396-50F138FC3BF7}"/>
    <cellStyle name="Millares 8 2 6 3 3 2" xfId="11945" xr:uid="{69C8FD63-3573-462A-ACDC-A0ADFE58A9B8}"/>
    <cellStyle name="Millares 8 2 6 3 4" xfId="4670" xr:uid="{0FFEED9B-106A-499E-81A7-E936148F4890}"/>
    <cellStyle name="Millares 8 2 6 3 4 2" xfId="9524" xr:uid="{83728B70-67F1-45BB-B7E3-DF8C617161CF}"/>
    <cellStyle name="Millares 8 2 6 3 5" xfId="3458" xr:uid="{5289D7E0-EEFB-40A2-BAE9-19A2D57EBC6A}"/>
    <cellStyle name="Millares 8 2 6 3 6" xfId="8314" xr:uid="{CDF808A8-FB31-4E07-8316-063658A99496}"/>
    <cellStyle name="Millares 8 2 6 4" xfId="5276" xr:uid="{C5F9D944-B511-44D8-B470-B2F36C2C3B91}"/>
    <cellStyle name="Millares 8 2 6 4 2" xfId="10128" xr:uid="{32C5910F-0145-45F7-B71F-AED8B64422E5}"/>
    <cellStyle name="Millares 8 2 6 5" xfId="6490" xr:uid="{DF98D220-1AC1-4B20-BE28-BC8AA49A58C4}"/>
    <cellStyle name="Millares 8 2 6 5 2" xfId="11339" xr:uid="{75032C58-1672-4FEB-BAB4-F3B6ACD6CE02}"/>
    <cellStyle name="Millares 8 2 6 6" xfId="4066" xr:uid="{784CB34B-960A-4A83-84F4-5A5EE9BBA5E0}"/>
    <cellStyle name="Millares 8 2 6 6 2" xfId="8920" xr:uid="{54606880-A20D-47D4-B49F-C599A5315B46}"/>
    <cellStyle name="Millares 8 2 6 7" xfId="2853" xr:uid="{71A249F7-4336-4B61-9EB1-D60B102FB3AA}"/>
    <cellStyle name="Millares 8 2 6 8" xfId="7709" xr:uid="{FFD9CDD9-92F7-4E83-AF76-405E20B96CDC}"/>
    <cellStyle name="Millares 8 2 7" xfId="1568" xr:uid="{E33F5762-C15D-4957-BD8C-CE7DEC7E6680}"/>
    <cellStyle name="Millares 8 2 7 2" xfId="2237" xr:uid="{5B08D357-8DC6-4F9D-87FF-92978DC0E93D}"/>
    <cellStyle name="Millares 8 2 7 2 2" xfId="5883" xr:uid="{B7D6051F-C9E1-427C-9ACD-4F7A5BB3630E}"/>
    <cellStyle name="Millares 8 2 7 2 2 2" xfId="10735" xr:uid="{3C7CDF06-E9D3-47CE-8005-6D0696E3D739}"/>
    <cellStyle name="Millares 8 2 7 2 3" xfId="7099" xr:uid="{A2DA1184-D71D-4B3A-A499-1EEF3CE3D5D4}"/>
    <cellStyle name="Millares 8 2 7 2 3 2" xfId="11947" xr:uid="{2C1EB469-9499-467C-A89D-8DA61CD80A00}"/>
    <cellStyle name="Millares 8 2 7 2 4" xfId="4672" xr:uid="{51CAA217-56FD-4B5D-B762-7817A15F288E}"/>
    <cellStyle name="Millares 8 2 7 2 4 2" xfId="9526" xr:uid="{F7BE8694-6FC0-4985-AF6D-2C746B2F60EB}"/>
    <cellStyle name="Millares 8 2 7 2 5" xfId="3460" xr:uid="{E3B501B0-A4A2-43AE-A3A7-641324F5F2BE}"/>
    <cellStyle name="Millares 8 2 7 2 6" xfId="8316" xr:uid="{C173C6CE-BB60-44E2-80D6-4F8FA37CE4D4}"/>
    <cellStyle name="Millares 8 2 7 3" xfId="5278" xr:uid="{90F3ECFA-2C42-42D1-9049-701EBA372BDB}"/>
    <cellStyle name="Millares 8 2 7 3 2" xfId="10130" xr:uid="{443992C5-7FE6-4069-9BCC-6047CEF23B29}"/>
    <cellStyle name="Millares 8 2 7 4" xfId="6492" xr:uid="{4D9A8297-B912-4064-93E9-FDD351C97EBD}"/>
    <cellStyle name="Millares 8 2 7 4 2" xfId="11341" xr:uid="{E7904A84-8DB4-449E-B4D4-EA7EB2DA4871}"/>
    <cellStyle name="Millares 8 2 7 5" xfId="4068" xr:uid="{7C4B1B45-5B36-44AD-BF48-4B3E88EA7648}"/>
    <cellStyle name="Millares 8 2 7 5 2" xfId="8922" xr:uid="{A7119CD7-19C3-4310-8974-37135AA20270}"/>
    <cellStyle name="Millares 8 2 7 6" xfId="2855" xr:uid="{FF749838-7859-476C-AE4E-0C9575BAE062}"/>
    <cellStyle name="Millares 8 2 7 7" xfId="7711" xr:uid="{AB2DF343-CC41-4875-93F0-14765C89D2C0}"/>
    <cellStyle name="Millares 8 2 8" xfId="2190" xr:uid="{039C5049-1C12-4015-9210-E04A6F38170B}"/>
    <cellStyle name="Millares 8 2 8 2" xfId="5836" xr:uid="{99E35314-CA7D-4160-87FD-F1D746B3EBF5}"/>
    <cellStyle name="Millares 8 2 8 2 2" xfId="10688" xr:uid="{37EAE7AD-D309-4E0F-90AD-AF4D4A58B39E}"/>
    <cellStyle name="Millares 8 2 8 3" xfId="7052" xr:uid="{CB52B817-E32F-4DD9-943C-42E2B6334EED}"/>
    <cellStyle name="Millares 8 2 8 3 2" xfId="11900" xr:uid="{A6C24FFF-DEE3-4866-B535-8AFF91D2EDD6}"/>
    <cellStyle name="Millares 8 2 8 4" xfId="4625" xr:uid="{BCE3BB77-4190-4E64-B862-1931ADD711B0}"/>
    <cellStyle name="Millares 8 2 8 4 2" xfId="9479" xr:uid="{A6AE8B18-51B2-42C9-A568-DD6524573D0F}"/>
    <cellStyle name="Millares 8 2 8 5" xfId="3413" xr:uid="{5E5A2DE0-C14C-41F0-A3C8-01B8B7FCEF73}"/>
    <cellStyle name="Millares 8 2 8 6" xfId="8269" xr:uid="{65A8D3CC-2D2E-4EAF-8468-D79FFFB68CAB}"/>
    <cellStyle name="Millares 8 2 9" xfId="5231" xr:uid="{C4A8481C-DCD5-4BF5-B0D4-5377BF283F98}"/>
    <cellStyle name="Millares 8 2 9 2" xfId="10083" xr:uid="{A6800090-B9C7-4F27-B9DC-AAB8218432BB}"/>
    <cellStyle name="Millares 8 3" xfId="1569" xr:uid="{6AB9983D-C8AA-47FD-A83D-A38EE575843F}"/>
    <cellStyle name="Millares 8 3 10" xfId="4069" xr:uid="{A1E46EBD-5B78-42D3-8634-312B389CC6C3}"/>
    <cellStyle name="Millares 8 3 10 2" xfId="8923" xr:uid="{E2A8F050-C518-4430-90AA-889C139543DB}"/>
    <cellStyle name="Millares 8 3 11" xfId="2856" xr:uid="{20E5C5BD-C6CE-42C0-9C00-37293C14C01B}"/>
    <cellStyle name="Millares 8 3 12" xfId="7712" xr:uid="{BA79E79F-2D31-4733-BC19-966766801F7B}"/>
    <cellStyle name="Millares 8 3 2" xfId="1570" xr:uid="{82AD9350-37A5-47D3-89F9-99E21ED919DC}"/>
    <cellStyle name="Millares 8 3 2 10" xfId="2857" xr:uid="{EA0F06B2-6315-448E-B701-EF2343FACEE4}"/>
    <cellStyle name="Millares 8 3 2 11" xfId="7713" xr:uid="{B07AFD56-9BA6-4724-94A1-EC98A7BE3F80}"/>
    <cellStyle name="Millares 8 3 2 2" xfId="1571" xr:uid="{7A368BAE-79A2-48F4-8554-F54431373C61}"/>
    <cellStyle name="Millares 8 3 2 2 2" xfId="1572" xr:uid="{CC692237-5231-4A59-ADD2-324318328AB1}"/>
    <cellStyle name="Millares 8 3 2 2 2 2" xfId="1573" xr:uid="{FEE69444-EBDC-4248-A177-AB3FF6A8EC7E}"/>
    <cellStyle name="Millares 8 3 2 2 2 2 2" xfId="2242" xr:uid="{B16BB449-6FFA-46E8-A156-8BFECCABF509}"/>
    <cellStyle name="Millares 8 3 2 2 2 2 2 2" xfId="5888" xr:uid="{5CADBBAB-7466-4FD0-8D65-235F0265FDB2}"/>
    <cellStyle name="Millares 8 3 2 2 2 2 2 2 2" xfId="10740" xr:uid="{7BA29120-1A4E-4A61-AC1E-3B25AD793F1F}"/>
    <cellStyle name="Millares 8 3 2 2 2 2 2 3" xfId="7104" xr:uid="{877B6F2A-857B-4452-ABC1-22D10AAF40C1}"/>
    <cellStyle name="Millares 8 3 2 2 2 2 2 3 2" xfId="11952" xr:uid="{814367ED-8D68-477A-8390-1884DB8C8F97}"/>
    <cellStyle name="Millares 8 3 2 2 2 2 2 4" xfId="4677" xr:uid="{39B3BB07-7A17-4D58-9999-A4624B24BE66}"/>
    <cellStyle name="Millares 8 3 2 2 2 2 2 4 2" xfId="9531" xr:uid="{90BC9EEC-5DE2-4276-9907-5A1892769A7D}"/>
    <cellStyle name="Millares 8 3 2 2 2 2 2 5" xfId="3465" xr:uid="{CFC59A35-3D73-41CC-975E-5E79F024CA42}"/>
    <cellStyle name="Millares 8 3 2 2 2 2 2 6" xfId="8321" xr:uid="{ABB5A0D9-D4F6-4A4C-A892-BC561F1ED743}"/>
    <cellStyle name="Millares 8 3 2 2 2 2 3" xfId="5283" xr:uid="{8C7AD0BA-ACF4-44AC-BEE9-82A189919078}"/>
    <cellStyle name="Millares 8 3 2 2 2 2 3 2" xfId="10135" xr:uid="{06DB1611-8194-495D-921D-8FC268EFA1D9}"/>
    <cellStyle name="Millares 8 3 2 2 2 2 4" xfId="6497" xr:uid="{625E0F3B-33FD-4312-8B19-05885DD53989}"/>
    <cellStyle name="Millares 8 3 2 2 2 2 4 2" xfId="11346" xr:uid="{0069B58B-D7C1-4D27-BD70-98F3AB88DD12}"/>
    <cellStyle name="Millares 8 3 2 2 2 2 5" xfId="4073" xr:uid="{F5CBCC40-D2B3-406A-B78F-E305FE5E29FD}"/>
    <cellStyle name="Millares 8 3 2 2 2 2 5 2" xfId="8927" xr:uid="{1E57627E-5334-4FB3-AF98-7A412CA5A8C0}"/>
    <cellStyle name="Millares 8 3 2 2 2 2 6" xfId="2860" xr:uid="{F7054B2B-ADF5-433E-9E3B-1C5B6FCBC6E4}"/>
    <cellStyle name="Millares 8 3 2 2 2 2 7" xfId="7716" xr:uid="{A0E5E3D4-8269-4324-A233-0A7508858C26}"/>
    <cellStyle name="Millares 8 3 2 2 2 3" xfId="2241" xr:uid="{D9FFE399-DB05-43EB-93AA-7F837DE14DF6}"/>
    <cellStyle name="Millares 8 3 2 2 2 3 2" xfId="5887" xr:uid="{9EFB5E19-1DAC-42D3-8941-578ACC5C054E}"/>
    <cellStyle name="Millares 8 3 2 2 2 3 2 2" xfId="10739" xr:uid="{41912135-3CCD-4B3B-B67B-D2BBF3B5BB2C}"/>
    <cellStyle name="Millares 8 3 2 2 2 3 3" xfId="7103" xr:uid="{053373AB-B303-4174-ABAE-A0B61C0CBFBE}"/>
    <cellStyle name="Millares 8 3 2 2 2 3 3 2" xfId="11951" xr:uid="{0E42523C-7245-4217-92D8-3BA38C1489C8}"/>
    <cellStyle name="Millares 8 3 2 2 2 3 4" xfId="4676" xr:uid="{00449F82-8EF6-48C5-98FE-5F5769D15FF7}"/>
    <cellStyle name="Millares 8 3 2 2 2 3 4 2" xfId="9530" xr:uid="{755D338E-1CDB-4621-A92C-4933BD7BED16}"/>
    <cellStyle name="Millares 8 3 2 2 2 3 5" xfId="3464" xr:uid="{F026174D-6309-413C-B87C-4DE049E2975D}"/>
    <cellStyle name="Millares 8 3 2 2 2 3 6" xfId="8320" xr:uid="{BD29354A-DA7F-498F-A529-B25D91C49780}"/>
    <cellStyle name="Millares 8 3 2 2 2 4" xfId="5282" xr:uid="{6C6C5415-B848-47BD-813B-88E6764D3319}"/>
    <cellStyle name="Millares 8 3 2 2 2 4 2" xfId="10134" xr:uid="{1292767C-F4DE-4FED-8F44-A97830034CA4}"/>
    <cellStyle name="Millares 8 3 2 2 2 5" xfId="6496" xr:uid="{E240FF8D-41BE-47D0-9F54-D70135AB1795}"/>
    <cellStyle name="Millares 8 3 2 2 2 5 2" xfId="11345" xr:uid="{8CFA5386-1858-4AF6-BF05-902B03193734}"/>
    <cellStyle name="Millares 8 3 2 2 2 6" xfId="4072" xr:uid="{3118C99F-4A94-4A87-8392-A6B2B4334CA5}"/>
    <cellStyle name="Millares 8 3 2 2 2 6 2" xfId="8926" xr:uid="{CA46A3CD-BD3B-452A-B0AE-74C96EC0198C}"/>
    <cellStyle name="Millares 8 3 2 2 2 7" xfId="2859" xr:uid="{225CCBD4-7532-46D5-B32E-D6841FF033AB}"/>
    <cellStyle name="Millares 8 3 2 2 2 8" xfId="7715" xr:uid="{22D6F1C3-3D1B-47BA-B861-B77FB419D42B}"/>
    <cellStyle name="Millares 8 3 2 2 3" xfId="1574" xr:uid="{346155D9-6A6C-406A-9DD4-7CE738E8DEE1}"/>
    <cellStyle name="Millares 8 3 2 2 3 2" xfId="2243" xr:uid="{C2AA570C-D548-405B-BBB3-413C806EBCF2}"/>
    <cellStyle name="Millares 8 3 2 2 3 2 2" xfId="5889" xr:uid="{CDA7EEAF-0BF0-4CFA-BF49-AF63C3A47AB5}"/>
    <cellStyle name="Millares 8 3 2 2 3 2 2 2" xfId="10741" xr:uid="{399A2D62-4241-4B55-ABA8-337A00A3D99B}"/>
    <cellStyle name="Millares 8 3 2 2 3 2 3" xfId="7105" xr:uid="{159B67DA-9529-4EC7-986B-46E528F9FDAD}"/>
    <cellStyle name="Millares 8 3 2 2 3 2 3 2" xfId="11953" xr:uid="{3AA49A94-227B-43F5-9A11-2CAF52AE17C1}"/>
    <cellStyle name="Millares 8 3 2 2 3 2 4" xfId="4678" xr:uid="{53D629FB-B1C2-42B9-BC9C-AECC53FD0201}"/>
    <cellStyle name="Millares 8 3 2 2 3 2 4 2" xfId="9532" xr:uid="{501E763F-8BCB-4AF7-82A1-6E2F11FCCC30}"/>
    <cellStyle name="Millares 8 3 2 2 3 2 5" xfId="3466" xr:uid="{E6CA3724-8B62-4CDB-AFB9-1D462E48838C}"/>
    <cellStyle name="Millares 8 3 2 2 3 2 6" xfId="8322" xr:uid="{A018A764-5B54-4870-AB8B-A90A60C97DBC}"/>
    <cellStyle name="Millares 8 3 2 2 3 3" xfId="5284" xr:uid="{8FA8BFEF-84D8-4097-8C5C-B72D85FC19D3}"/>
    <cellStyle name="Millares 8 3 2 2 3 3 2" xfId="10136" xr:uid="{B4408661-D362-4100-A430-42AB93564F82}"/>
    <cellStyle name="Millares 8 3 2 2 3 4" xfId="6498" xr:uid="{BFB3F105-235E-4E09-BCCB-BAD7B7FD3EE1}"/>
    <cellStyle name="Millares 8 3 2 2 3 4 2" xfId="11347" xr:uid="{896D54D8-6C3C-44D5-A950-5FC6B8C6BE46}"/>
    <cellStyle name="Millares 8 3 2 2 3 5" xfId="4074" xr:uid="{C36A9FFB-148F-4ECC-8010-507759B50ACA}"/>
    <cellStyle name="Millares 8 3 2 2 3 5 2" xfId="8928" xr:uid="{5D51DBDB-03A2-4B3D-BAE4-5D2AA934711F}"/>
    <cellStyle name="Millares 8 3 2 2 3 6" xfId="2861" xr:uid="{AAD371A0-675D-420D-B25D-3D689DF27DA6}"/>
    <cellStyle name="Millares 8 3 2 2 3 7" xfId="7717" xr:uid="{7F7459B8-7A8A-4041-AECF-D458D54E0E08}"/>
    <cellStyle name="Millares 8 3 2 2 4" xfId="2240" xr:uid="{2B9AA4B0-FAC9-4B05-86D9-93F1D5F33A22}"/>
    <cellStyle name="Millares 8 3 2 2 4 2" xfId="5886" xr:uid="{37559657-8E98-420B-825B-8EC8F6734D28}"/>
    <cellStyle name="Millares 8 3 2 2 4 2 2" xfId="10738" xr:uid="{F6D6321B-B4F5-4515-9222-2135A9A004AE}"/>
    <cellStyle name="Millares 8 3 2 2 4 3" xfId="7102" xr:uid="{532E7D61-0B9F-4586-A03B-6C73F16BF7B9}"/>
    <cellStyle name="Millares 8 3 2 2 4 3 2" xfId="11950" xr:uid="{67FE2733-0528-4F7C-BCE4-A54B27B99E48}"/>
    <cellStyle name="Millares 8 3 2 2 4 4" xfId="4675" xr:uid="{8E656F14-7591-4B88-AC51-8677AF64388F}"/>
    <cellStyle name="Millares 8 3 2 2 4 4 2" xfId="9529" xr:uid="{FAAD95CB-D1D5-4A71-9780-2B21567048FF}"/>
    <cellStyle name="Millares 8 3 2 2 4 5" xfId="3463" xr:uid="{90D121C0-774E-440E-9A7A-65AC0DDBACD9}"/>
    <cellStyle name="Millares 8 3 2 2 4 6" xfId="8319" xr:uid="{00F278FB-E39F-4737-A963-17C2E0BEF310}"/>
    <cellStyle name="Millares 8 3 2 2 5" xfId="5281" xr:uid="{59CC963F-F2EA-4676-823E-5BAA61CB863E}"/>
    <cellStyle name="Millares 8 3 2 2 5 2" xfId="10133" xr:uid="{CAF64219-C0AD-4773-88C4-BA827EB75EBF}"/>
    <cellStyle name="Millares 8 3 2 2 6" xfId="6495" xr:uid="{F66B75F2-7AA2-45D8-9C31-31E5F8687EA1}"/>
    <cellStyle name="Millares 8 3 2 2 6 2" xfId="11344" xr:uid="{70BDDA53-ECBD-40A2-921D-394BB2B8B348}"/>
    <cellStyle name="Millares 8 3 2 2 7" xfId="4071" xr:uid="{24331591-1E38-40CB-A8B9-CEF71540E427}"/>
    <cellStyle name="Millares 8 3 2 2 7 2" xfId="8925" xr:uid="{74C51908-A288-4F18-9C22-0EDA0B860AFA}"/>
    <cellStyle name="Millares 8 3 2 2 8" xfId="2858" xr:uid="{FB4A3490-9D0C-416B-A224-81E1EEB64E22}"/>
    <cellStyle name="Millares 8 3 2 2 9" xfId="7714" xr:uid="{7B4CBB80-4658-4A0E-B232-6ACCA26785A5}"/>
    <cellStyle name="Millares 8 3 2 3" xfId="1575" xr:uid="{D3CCF07F-ABA7-4E15-9482-7DED71E2FDAB}"/>
    <cellStyle name="Millares 8 3 2 3 2" xfId="1576" xr:uid="{92E895AD-8D23-4F26-8C57-EE04192190A4}"/>
    <cellStyle name="Millares 8 3 2 3 2 2" xfId="1577" xr:uid="{C1D741A7-5254-45A6-8CAB-48D90BF3E3E9}"/>
    <cellStyle name="Millares 8 3 2 3 2 2 2" xfId="2246" xr:uid="{1E204BC4-DF9A-4E61-958F-5291517931A0}"/>
    <cellStyle name="Millares 8 3 2 3 2 2 2 2" xfId="5892" xr:uid="{4737252A-5EB7-49F8-85CE-B3D6429B7949}"/>
    <cellStyle name="Millares 8 3 2 3 2 2 2 2 2" xfId="10744" xr:uid="{F51F2C01-67EA-4915-82F5-47DFC02244D4}"/>
    <cellStyle name="Millares 8 3 2 3 2 2 2 3" xfId="7108" xr:uid="{EB69CF78-FF87-446B-AD89-6B2AE9FB59BA}"/>
    <cellStyle name="Millares 8 3 2 3 2 2 2 3 2" xfId="11956" xr:uid="{17D6F54C-223C-499D-B1F6-E7D56BE243B2}"/>
    <cellStyle name="Millares 8 3 2 3 2 2 2 4" xfId="4681" xr:uid="{F564E415-D803-4C9B-A24B-D6F07DEC1AD2}"/>
    <cellStyle name="Millares 8 3 2 3 2 2 2 4 2" xfId="9535" xr:uid="{5C5BBC0D-1086-42AC-BE74-E98D4DE9B362}"/>
    <cellStyle name="Millares 8 3 2 3 2 2 2 5" xfId="3469" xr:uid="{3F8BB4BE-CAD9-4628-BBEC-864CF6F4BC80}"/>
    <cellStyle name="Millares 8 3 2 3 2 2 2 6" xfId="8325" xr:uid="{4873E072-C533-4BF4-8521-0BA92AEAE0A4}"/>
    <cellStyle name="Millares 8 3 2 3 2 2 3" xfId="5287" xr:uid="{2357C584-B10C-44AB-B9CF-98B8A7BD3202}"/>
    <cellStyle name="Millares 8 3 2 3 2 2 3 2" xfId="10139" xr:uid="{D491C099-1668-4901-A725-BAAA0E0B7142}"/>
    <cellStyle name="Millares 8 3 2 3 2 2 4" xfId="6501" xr:uid="{E11950C8-EB79-40BE-A033-20A4536E4529}"/>
    <cellStyle name="Millares 8 3 2 3 2 2 4 2" xfId="11350" xr:uid="{BBF0CAFF-BEFD-4D21-8992-D277B2206676}"/>
    <cellStyle name="Millares 8 3 2 3 2 2 5" xfId="4077" xr:uid="{D41BB123-5929-4B6E-9722-D2475ED0D629}"/>
    <cellStyle name="Millares 8 3 2 3 2 2 5 2" xfId="8931" xr:uid="{F8329CAF-63BB-46FB-9426-DA120C82FCDF}"/>
    <cellStyle name="Millares 8 3 2 3 2 2 6" xfId="2864" xr:uid="{09134E96-E125-42E7-A629-BABA71F657EA}"/>
    <cellStyle name="Millares 8 3 2 3 2 2 7" xfId="7720" xr:uid="{0322DAEC-3DFE-4034-BFC6-0B82E1321EBB}"/>
    <cellStyle name="Millares 8 3 2 3 2 3" xfId="2245" xr:uid="{D15E32D9-58AB-4FD3-A978-DB9848902A41}"/>
    <cellStyle name="Millares 8 3 2 3 2 3 2" xfId="5891" xr:uid="{90F1AC1B-3C4F-44E9-B204-02092C3150E8}"/>
    <cellStyle name="Millares 8 3 2 3 2 3 2 2" xfId="10743" xr:uid="{09719DCF-88B5-4546-8770-60ADB2DF9C3E}"/>
    <cellStyle name="Millares 8 3 2 3 2 3 3" xfId="7107" xr:uid="{9C14A264-8A1D-4B09-9057-002F21594694}"/>
    <cellStyle name="Millares 8 3 2 3 2 3 3 2" xfId="11955" xr:uid="{D2FC9E2E-4444-4206-BCBB-DCFA488D6649}"/>
    <cellStyle name="Millares 8 3 2 3 2 3 4" xfId="4680" xr:uid="{649DF39F-D1E4-4586-8B5A-4642D6AFA845}"/>
    <cellStyle name="Millares 8 3 2 3 2 3 4 2" xfId="9534" xr:uid="{C7436794-7E54-40FC-98DF-041E5C65FA91}"/>
    <cellStyle name="Millares 8 3 2 3 2 3 5" xfId="3468" xr:uid="{E7D9C979-E8E5-453B-8C11-DC7F95FBBD7F}"/>
    <cellStyle name="Millares 8 3 2 3 2 3 6" xfId="8324" xr:uid="{B482C7BE-609F-4244-AAE3-E1E0DD147FC0}"/>
    <cellStyle name="Millares 8 3 2 3 2 4" xfId="5286" xr:uid="{BCA6A84B-2921-49FE-9D94-5BBAC19F0F98}"/>
    <cellStyle name="Millares 8 3 2 3 2 4 2" xfId="10138" xr:uid="{561FE172-E9D5-49AE-A935-49AA522A124A}"/>
    <cellStyle name="Millares 8 3 2 3 2 5" xfId="6500" xr:uid="{3DEAC168-51DE-4F4E-8018-26487A44E0C6}"/>
    <cellStyle name="Millares 8 3 2 3 2 5 2" xfId="11349" xr:uid="{106E5BD5-C676-497E-86EA-CEFAA8B71DD5}"/>
    <cellStyle name="Millares 8 3 2 3 2 6" xfId="4076" xr:uid="{0652F3B9-96B0-45D2-A383-DB3B91332C92}"/>
    <cellStyle name="Millares 8 3 2 3 2 6 2" xfId="8930" xr:uid="{F6928C06-B1DB-4654-95CB-EC8A37F2BD10}"/>
    <cellStyle name="Millares 8 3 2 3 2 7" xfId="2863" xr:uid="{B2F93740-AA5C-42BC-894C-B83C74C6F566}"/>
    <cellStyle name="Millares 8 3 2 3 2 8" xfId="7719" xr:uid="{78B4BFBA-6B54-4EAE-B658-E1DD09B8B91F}"/>
    <cellStyle name="Millares 8 3 2 3 3" xfId="1578" xr:uid="{43234EC3-424D-404B-9EB5-852B467A32CE}"/>
    <cellStyle name="Millares 8 3 2 3 3 2" xfId="2247" xr:uid="{C5F57226-AD9C-4038-AAB7-65C6C64B5FF0}"/>
    <cellStyle name="Millares 8 3 2 3 3 2 2" xfId="5893" xr:uid="{3C4665D6-ECD4-42C9-9E76-AE6180ADA4BD}"/>
    <cellStyle name="Millares 8 3 2 3 3 2 2 2" xfId="10745" xr:uid="{B6E725A7-A9F3-43E8-9A25-52C170FD20F3}"/>
    <cellStyle name="Millares 8 3 2 3 3 2 3" xfId="7109" xr:uid="{77325241-196D-41D9-B344-38C20CBEE4A9}"/>
    <cellStyle name="Millares 8 3 2 3 3 2 3 2" xfId="11957" xr:uid="{9C73344B-CC36-4275-B0A1-42888BB35BEB}"/>
    <cellStyle name="Millares 8 3 2 3 3 2 4" xfId="4682" xr:uid="{A0E915DF-9ED0-4DD2-AB77-02212550256B}"/>
    <cellStyle name="Millares 8 3 2 3 3 2 4 2" xfId="9536" xr:uid="{5B2B8345-092C-42D1-BEA4-2079EA45B65B}"/>
    <cellStyle name="Millares 8 3 2 3 3 2 5" xfId="3470" xr:uid="{63802BDD-0359-419B-980B-8F07D31B8638}"/>
    <cellStyle name="Millares 8 3 2 3 3 2 6" xfId="8326" xr:uid="{06741DF9-8302-45CC-92B7-9033A58A10F5}"/>
    <cellStyle name="Millares 8 3 2 3 3 3" xfId="5288" xr:uid="{BE4B88DC-6ACA-4504-8321-DC6CC8573E46}"/>
    <cellStyle name="Millares 8 3 2 3 3 3 2" xfId="10140" xr:uid="{8F05510D-9DDD-43D0-AA11-6196AF38CD7F}"/>
    <cellStyle name="Millares 8 3 2 3 3 4" xfId="6502" xr:uid="{BA655CAD-45E4-4014-AEBF-153A20805775}"/>
    <cellStyle name="Millares 8 3 2 3 3 4 2" xfId="11351" xr:uid="{96B09547-11F2-42FD-88DC-7A8513CEE69C}"/>
    <cellStyle name="Millares 8 3 2 3 3 5" xfId="4078" xr:uid="{0875AA7B-5720-45AE-9B9D-07692D1D233C}"/>
    <cellStyle name="Millares 8 3 2 3 3 5 2" xfId="8932" xr:uid="{CC12E401-0AED-49CC-880E-E0B3BE002C9E}"/>
    <cellStyle name="Millares 8 3 2 3 3 6" xfId="2865" xr:uid="{AD11C4A9-0967-4752-A2BB-6F1ABB62B96A}"/>
    <cellStyle name="Millares 8 3 2 3 3 7" xfId="7721" xr:uid="{AC3071A1-1091-44C0-9DCD-F2FE9909047C}"/>
    <cellStyle name="Millares 8 3 2 3 4" xfId="2244" xr:uid="{18AAF006-71BC-460D-AB3F-9AB9EA6D005B}"/>
    <cellStyle name="Millares 8 3 2 3 4 2" xfId="5890" xr:uid="{7CEBCA59-FC7B-4A49-B542-9908B94A6D53}"/>
    <cellStyle name="Millares 8 3 2 3 4 2 2" xfId="10742" xr:uid="{F7C2CA02-0E97-444D-BC9F-7875AE979767}"/>
    <cellStyle name="Millares 8 3 2 3 4 3" xfId="7106" xr:uid="{C09E1D66-CFC3-4D80-846A-761EA8C8A39C}"/>
    <cellStyle name="Millares 8 3 2 3 4 3 2" xfId="11954" xr:uid="{DB03925E-C420-42DC-8326-2EEE82296B23}"/>
    <cellStyle name="Millares 8 3 2 3 4 4" xfId="4679" xr:uid="{563291C2-4C44-40D8-B100-E2E98FD02096}"/>
    <cellStyle name="Millares 8 3 2 3 4 4 2" xfId="9533" xr:uid="{7B641676-710E-48CF-9BEA-D79BC04E7A7B}"/>
    <cellStyle name="Millares 8 3 2 3 4 5" xfId="3467" xr:uid="{98055268-561B-403C-BA37-ED104B09D428}"/>
    <cellStyle name="Millares 8 3 2 3 4 6" xfId="8323" xr:uid="{C0E5947A-2672-4EB8-A525-96301D7E5B8D}"/>
    <cellStyle name="Millares 8 3 2 3 5" xfId="5285" xr:uid="{48B399F2-5E12-4B74-8A9A-2C56BC6FB10A}"/>
    <cellStyle name="Millares 8 3 2 3 5 2" xfId="10137" xr:uid="{2F845460-5A0A-46ED-9868-5517B47374B1}"/>
    <cellStyle name="Millares 8 3 2 3 6" xfId="6499" xr:uid="{35EA5750-DA02-47F4-A7A8-AF6BD3FCDDC0}"/>
    <cellStyle name="Millares 8 3 2 3 6 2" xfId="11348" xr:uid="{D9045E18-1CEF-4EDE-BE53-4F76BADBC24A}"/>
    <cellStyle name="Millares 8 3 2 3 7" xfId="4075" xr:uid="{11D66EC7-3BF8-4B09-82EF-237BF076B4C8}"/>
    <cellStyle name="Millares 8 3 2 3 7 2" xfId="8929" xr:uid="{04FF9E4C-4520-406A-8E35-1010E2A0AB38}"/>
    <cellStyle name="Millares 8 3 2 3 8" xfId="2862" xr:uid="{300A2FFB-2162-41BC-85E7-5BB07517B072}"/>
    <cellStyle name="Millares 8 3 2 3 9" xfId="7718" xr:uid="{B71AB4F7-CA06-497B-B56A-E9DBFB9746D3}"/>
    <cellStyle name="Millares 8 3 2 4" xfId="1579" xr:uid="{5FE468E1-7732-4DB7-9E13-2CD45DD51562}"/>
    <cellStyle name="Millares 8 3 2 4 2" xfId="1580" xr:uid="{95CE2A85-50C5-4EA5-BE1A-60A21569675A}"/>
    <cellStyle name="Millares 8 3 2 4 2 2" xfId="2249" xr:uid="{EE71A73D-E13B-4C89-BAEA-8666ED2FF7D0}"/>
    <cellStyle name="Millares 8 3 2 4 2 2 2" xfId="5895" xr:uid="{7B29DDB6-0B8F-4985-B19E-73D01B11BEAE}"/>
    <cellStyle name="Millares 8 3 2 4 2 2 2 2" xfId="10747" xr:uid="{D58FE599-3C1E-4DEB-8BC5-F26B8A39B635}"/>
    <cellStyle name="Millares 8 3 2 4 2 2 3" xfId="7111" xr:uid="{6E1C9789-0B14-405B-88C7-E8A7BEDB9626}"/>
    <cellStyle name="Millares 8 3 2 4 2 2 3 2" xfId="11959" xr:uid="{5CEB800E-832C-4FCF-A5FC-74130E898C0B}"/>
    <cellStyle name="Millares 8 3 2 4 2 2 4" xfId="4684" xr:uid="{E7C1F65D-0BFC-42FD-9FDC-F2A63286FD3D}"/>
    <cellStyle name="Millares 8 3 2 4 2 2 4 2" xfId="9538" xr:uid="{AFF294AA-DCC7-408D-B83C-5B31F5495264}"/>
    <cellStyle name="Millares 8 3 2 4 2 2 5" xfId="3472" xr:uid="{03C4DDDF-29FE-4269-855F-ABDB9C2B16F3}"/>
    <cellStyle name="Millares 8 3 2 4 2 2 6" xfId="8328" xr:uid="{24BCE8B7-8737-4E9C-9DC4-0305C3A2E1FD}"/>
    <cellStyle name="Millares 8 3 2 4 2 3" xfId="5290" xr:uid="{5B01B5A9-B50C-47D1-9CB9-A8AA3218A342}"/>
    <cellStyle name="Millares 8 3 2 4 2 3 2" xfId="10142" xr:uid="{0B02ED53-0385-46A6-A056-29DE5ED7DA3A}"/>
    <cellStyle name="Millares 8 3 2 4 2 4" xfId="6504" xr:uid="{DB08FA14-4588-4857-BF13-714CC7B8D64D}"/>
    <cellStyle name="Millares 8 3 2 4 2 4 2" xfId="11353" xr:uid="{8C6D2E96-33F2-42C3-87E3-F8ABB05F68DB}"/>
    <cellStyle name="Millares 8 3 2 4 2 5" xfId="4080" xr:uid="{B2DFD080-6CA0-4445-A3BC-E6027A8E6732}"/>
    <cellStyle name="Millares 8 3 2 4 2 5 2" xfId="8934" xr:uid="{C7049732-024F-4C64-A074-A155DCD23D43}"/>
    <cellStyle name="Millares 8 3 2 4 2 6" xfId="2867" xr:uid="{C91EFDDA-5E41-4FDD-AFD7-021452B5797D}"/>
    <cellStyle name="Millares 8 3 2 4 2 7" xfId="7723" xr:uid="{9DA8A85D-6493-40B8-993B-40EA6C10E7E1}"/>
    <cellStyle name="Millares 8 3 2 4 3" xfId="2248" xr:uid="{D270DC20-D434-4D4B-9D0E-09B782BC5374}"/>
    <cellStyle name="Millares 8 3 2 4 3 2" xfId="5894" xr:uid="{80BF9D3B-9C56-455C-8BE9-885C53294C8A}"/>
    <cellStyle name="Millares 8 3 2 4 3 2 2" xfId="10746" xr:uid="{19795C9C-1611-4FAD-A4B0-AC5F8B772B82}"/>
    <cellStyle name="Millares 8 3 2 4 3 3" xfId="7110" xr:uid="{8EC8C0B9-1EB2-4269-BC77-DA588FB4575C}"/>
    <cellStyle name="Millares 8 3 2 4 3 3 2" xfId="11958" xr:uid="{0DEA1887-EC81-4A17-B8FA-5723BDB2FA64}"/>
    <cellStyle name="Millares 8 3 2 4 3 4" xfId="4683" xr:uid="{5B4954EF-5B6A-4FDF-B348-DED1891F00A3}"/>
    <cellStyle name="Millares 8 3 2 4 3 4 2" xfId="9537" xr:uid="{4AB89B85-68CB-4FDC-8736-FD590644C6C7}"/>
    <cellStyle name="Millares 8 3 2 4 3 5" xfId="3471" xr:uid="{BB8F060E-11AE-453E-AFF2-91CCAC2C1A66}"/>
    <cellStyle name="Millares 8 3 2 4 3 6" xfId="8327" xr:uid="{024F7393-0AC8-457C-B283-4190086B101B}"/>
    <cellStyle name="Millares 8 3 2 4 4" xfId="5289" xr:uid="{65E50963-240E-478E-AEFB-994C0E0B3586}"/>
    <cellStyle name="Millares 8 3 2 4 4 2" xfId="10141" xr:uid="{926D1257-7704-4A1F-BB46-FC2FF8850CC9}"/>
    <cellStyle name="Millares 8 3 2 4 5" xfId="6503" xr:uid="{0294847F-7F37-474A-BEDE-E94F7B0481F1}"/>
    <cellStyle name="Millares 8 3 2 4 5 2" xfId="11352" xr:uid="{CCD854DB-6E40-4960-A46A-37692482E6D1}"/>
    <cellStyle name="Millares 8 3 2 4 6" xfId="4079" xr:uid="{842D0039-7D2D-40A3-8C99-ADA6CC681B7B}"/>
    <cellStyle name="Millares 8 3 2 4 6 2" xfId="8933" xr:uid="{EC0E5584-AA16-4477-8A86-CA9AF1487BEB}"/>
    <cellStyle name="Millares 8 3 2 4 7" xfId="2866" xr:uid="{6F001EE1-0C9F-43BE-BA84-FC923719A463}"/>
    <cellStyle name="Millares 8 3 2 4 8" xfId="7722" xr:uid="{856D0873-DCA8-497E-AE89-C069D4412562}"/>
    <cellStyle name="Millares 8 3 2 5" xfId="1581" xr:uid="{D249916F-E54C-4F96-B755-A76572BB2ABC}"/>
    <cellStyle name="Millares 8 3 2 5 2" xfId="2250" xr:uid="{F5535E42-ECB8-4DA8-835B-3321BC670747}"/>
    <cellStyle name="Millares 8 3 2 5 2 2" xfId="5896" xr:uid="{700DC243-A80F-4148-B996-B78657D5FD8A}"/>
    <cellStyle name="Millares 8 3 2 5 2 2 2" xfId="10748" xr:uid="{106036D3-7A67-449F-BD5D-ABBDAAFAA34E}"/>
    <cellStyle name="Millares 8 3 2 5 2 3" xfId="7112" xr:uid="{2E91E102-B124-4BAF-BC47-BCDFE7A642D6}"/>
    <cellStyle name="Millares 8 3 2 5 2 3 2" xfId="11960" xr:uid="{DE598BFE-DF72-4214-ABE0-C6B1EC860649}"/>
    <cellStyle name="Millares 8 3 2 5 2 4" xfId="4685" xr:uid="{1A1EFA9A-12C1-4E96-BA7E-91391F614E5A}"/>
    <cellStyle name="Millares 8 3 2 5 2 4 2" xfId="9539" xr:uid="{ED0F9509-24F9-4921-8626-813FBBA3560E}"/>
    <cellStyle name="Millares 8 3 2 5 2 5" xfId="3473" xr:uid="{96E73E55-5795-4AF0-B192-DC9A8131DE00}"/>
    <cellStyle name="Millares 8 3 2 5 2 6" xfId="8329" xr:uid="{C3A2E5D4-8C48-4CD7-BA69-7E822F99D935}"/>
    <cellStyle name="Millares 8 3 2 5 3" xfId="5291" xr:uid="{497AB609-4368-45AF-9A2F-1EAE53CBE91E}"/>
    <cellStyle name="Millares 8 3 2 5 3 2" xfId="10143" xr:uid="{8ADCFFAF-361F-4503-921D-FB8E30765530}"/>
    <cellStyle name="Millares 8 3 2 5 4" xfId="6505" xr:uid="{AC97C8F5-AF1C-493A-87AE-85110C5056CB}"/>
    <cellStyle name="Millares 8 3 2 5 4 2" xfId="11354" xr:uid="{9DA19ED7-F2D7-483C-9673-3DF7A3377AE0}"/>
    <cellStyle name="Millares 8 3 2 5 5" xfId="4081" xr:uid="{4BD4BC6E-CAA5-43C1-851A-86347C938963}"/>
    <cellStyle name="Millares 8 3 2 5 5 2" xfId="8935" xr:uid="{821B37F9-6FAC-45CE-AD3C-096C5F5F0069}"/>
    <cellStyle name="Millares 8 3 2 5 6" xfId="2868" xr:uid="{F8790D77-936F-4256-B520-103C019AFBDB}"/>
    <cellStyle name="Millares 8 3 2 5 7" xfId="7724" xr:uid="{31977F72-A76B-49FC-85E6-8E2BBA563F70}"/>
    <cellStyle name="Millares 8 3 2 6" xfId="2239" xr:uid="{D4769E1D-3DA1-430C-AE41-5ACC3A7A72AD}"/>
    <cellStyle name="Millares 8 3 2 6 2" xfId="5885" xr:uid="{E952F702-70AE-4DF2-8481-012186D6105F}"/>
    <cellStyle name="Millares 8 3 2 6 2 2" xfId="10737" xr:uid="{DE38F457-96FB-46E7-AAD5-13B5779B3941}"/>
    <cellStyle name="Millares 8 3 2 6 3" xfId="7101" xr:uid="{6B8D63A8-8D93-4D5B-A622-DEC81E18BBDA}"/>
    <cellStyle name="Millares 8 3 2 6 3 2" xfId="11949" xr:uid="{7769DBDE-F9AB-4DB5-B08C-4A2341E749C4}"/>
    <cellStyle name="Millares 8 3 2 6 4" xfId="4674" xr:uid="{007DC5CB-68B6-49FE-9E79-473EEF9F11B8}"/>
    <cellStyle name="Millares 8 3 2 6 4 2" xfId="9528" xr:uid="{841467FF-6710-436E-9101-E4E5C3DBC9DC}"/>
    <cellStyle name="Millares 8 3 2 6 5" xfId="3462" xr:uid="{C9351C6F-5ECD-4D07-93B4-AD5AA9723231}"/>
    <cellStyle name="Millares 8 3 2 6 6" xfId="8318" xr:uid="{3DA7E7C8-5AEF-46BD-894A-677D54644F21}"/>
    <cellStyle name="Millares 8 3 2 7" xfId="5280" xr:uid="{DF5D7767-EC68-4F24-B703-793D9551AC22}"/>
    <cellStyle name="Millares 8 3 2 7 2" xfId="10132" xr:uid="{D6A37823-831E-4B03-9A3D-BD48099E2F06}"/>
    <cellStyle name="Millares 8 3 2 8" xfId="6494" xr:uid="{98DFD3EA-CF2D-4C89-817B-04BCA6B2FD55}"/>
    <cellStyle name="Millares 8 3 2 8 2" xfId="11343" xr:uid="{7FB0F697-B4D0-4EA6-BC38-B2B17C69A27B}"/>
    <cellStyle name="Millares 8 3 2 9" xfId="4070" xr:uid="{E77F6878-3875-4F69-85C6-7992635441BA}"/>
    <cellStyle name="Millares 8 3 2 9 2" xfId="8924" xr:uid="{3B90B11E-3BC3-4A46-AB7C-A15DAF927B67}"/>
    <cellStyle name="Millares 8 3 3" xfId="1582" xr:uid="{37F28AAE-3F02-4459-8DE0-D0AF97B96946}"/>
    <cellStyle name="Millares 8 3 3 2" xfId="1583" xr:uid="{DC1DD6E3-4A1D-418E-95D3-1A1BE4C9FE27}"/>
    <cellStyle name="Millares 8 3 3 2 2" xfId="1584" xr:uid="{F330DCEE-D9DC-400B-9A77-1F4405239FF8}"/>
    <cellStyle name="Millares 8 3 3 2 2 2" xfId="2253" xr:uid="{E5AE1CEE-6A9B-44A4-B247-AF6256659D86}"/>
    <cellStyle name="Millares 8 3 3 2 2 2 2" xfId="5899" xr:uid="{DCA68A73-24BA-4F84-9A9D-8C92D2EE5E72}"/>
    <cellStyle name="Millares 8 3 3 2 2 2 2 2" xfId="10751" xr:uid="{07274F7D-4376-4F89-8E77-80F003AE6605}"/>
    <cellStyle name="Millares 8 3 3 2 2 2 3" xfId="7115" xr:uid="{D5D54511-FDB2-4D3F-AE5A-E8EB789AD931}"/>
    <cellStyle name="Millares 8 3 3 2 2 2 3 2" xfId="11963" xr:uid="{21FB3C5C-D17E-4B40-9D77-BE05CEA28B8C}"/>
    <cellStyle name="Millares 8 3 3 2 2 2 4" xfId="4688" xr:uid="{9F297356-23C8-4C19-9941-18AA8102973E}"/>
    <cellStyle name="Millares 8 3 3 2 2 2 4 2" xfId="9542" xr:uid="{FF0B51D7-A591-405C-8E5C-D7AA288CC7FD}"/>
    <cellStyle name="Millares 8 3 3 2 2 2 5" xfId="3476" xr:uid="{12B735AE-FC85-43ED-97A2-52DABDA4F130}"/>
    <cellStyle name="Millares 8 3 3 2 2 2 6" xfId="8332" xr:uid="{A0A2689C-E86D-4493-9DB9-CDB7DE004AF5}"/>
    <cellStyle name="Millares 8 3 3 2 2 3" xfId="5294" xr:uid="{07D3639C-4386-44A0-80CE-85C2E264A77E}"/>
    <cellStyle name="Millares 8 3 3 2 2 3 2" xfId="10146" xr:uid="{DDCA9ED1-AAF9-46BD-BD9F-53475E5FB5AB}"/>
    <cellStyle name="Millares 8 3 3 2 2 4" xfId="6508" xr:uid="{98674E0C-14FE-4869-B243-3D1387A1E3DB}"/>
    <cellStyle name="Millares 8 3 3 2 2 4 2" xfId="11357" xr:uid="{13AB9E00-4725-48FA-9A01-A372A89C1192}"/>
    <cellStyle name="Millares 8 3 3 2 2 5" xfId="4084" xr:uid="{07D695B8-B199-4457-9FCC-F7F08B679A92}"/>
    <cellStyle name="Millares 8 3 3 2 2 5 2" xfId="8938" xr:uid="{48D6B8B5-C7F1-459A-B86D-B30A4347973A}"/>
    <cellStyle name="Millares 8 3 3 2 2 6" xfId="2871" xr:uid="{1CB97A40-F560-4E32-BEB1-DFB913E24EBA}"/>
    <cellStyle name="Millares 8 3 3 2 2 7" xfId="7727" xr:uid="{90C88267-C850-415B-926A-99B14CCA5274}"/>
    <cellStyle name="Millares 8 3 3 2 3" xfId="2252" xr:uid="{772391AF-9176-44ED-BA2A-C4740A3C56E5}"/>
    <cellStyle name="Millares 8 3 3 2 3 2" xfId="5898" xr:uid="{6E0454F3-90AA-4D73-B4E6-C2656BFEFF24}"/>
    <cellStyle name="Millares 8 3 3 2 3 2 2" xfId="10750" xr:uid="{16F165B4-5A31-425C-A348-878F2B669BCA}"/>
    <cellStyle name="Millares 8 3 3 2 3 3" xfId="7114" xr:uid="{BFDD69D0-516B-4109-A762-05F3D900F3B9}"/>
    <cellStyle name="Millares 8 3 3 2 3 3 2" xfId="11962" xr:uid="{22EFD635-0A89-4C4A-BF49-F345EDAEDF58}"/>
    <cellStyle name="Millares 8 3 3 2 3 4" xfId="4687" xr:uid="{B70B4F28-0944-4206-8BD0-F62B153AA72D}"/>
    <cellStyle name="Millares 8 3 3 2 3 4 2" xfId="9541" xr:uid="{29236933-0AAD-40BC-9DBF-5AE096662909}"/>
    <cellStyle name="Millares 8 3 3 2 3 5" xfId="3475" xr:uid="{B16FADF7-24CF-4B9D-A6A3-12E2BFCC07BE}"/>
    <cellStyle name="Millares 8 3 3 2 3 6" xfId="8331" xr:uid="{3F3AF17B-7227-4C42-945A-0B5DF027FA41}"/>
    <cellStyle name="Millares 8 3 3 2 4" xfId="5293" xr:uid="{41602542-2C4B-40F7-A6AD-F4578DFD770C}"/>
    <cellStyle name="Millares 8 3 3 2 4 2" xfId="10145" xr:uid="{691054FE-1A8A-4B9F-A91D-102E174103C2}"/>
    <cellStyle name="Millares 8 3 3 2 5" xfId="6507" xr:uid="{E64BF673-028B-4DA7-8B48-F494F17D8D69}"/>
    <cellStyle name="Millares 8 3 3 2 5 2" xfId="11356" xr:uid="{7457B803-4089-4581-A314-87CE58CDBA78}"/>
    <cellStyle name="Millares 8 3 3 2 6" xfId="4083" xr:uid="{D37B1772-24C8-4C4C-B7A4-D6EA6677B53D}"/>
    <cellStyle name="Millares 8 3 3 2 6 2" xfId="8937" xr:uid="{DBD5ABB3-7F12-4451-8461-A0F6854CD9FE}"/>
    <cellStyle name="Millares 8 3 3 2 7" xfId="2870" xr:uid="{468F4D72-1B3B-4518-AD18-FC255507BEA2}"/>
    <cellStyle name="Millares 8 3 3 2 8" xfId="7726" xr:uid="{D1298234-F48E-4490-A27A-19B0F71B3C77}"/>
    <cellStyle name="Millares 8 3 3 3" xfId="1585" xr:uid="{58423565-3D1F-413B-9C51-EB33B7E6807B}"/>
    <cellStyle name="Millares 8 3 3 3 2" xfId="2254" xr:uid="{07D74724-731A-42AF-B236-7015FF582961}"/>
    <cellStyle name="Millares 8 3 3 3 2 2" xfId="5900" xr:uid="{58C60FD4-ADE7-4F62-97F2-297819ED84F8}"/>
    <cellStyle name="Millares 8 3 3 3 2 2 2" xfId="10752" xr:uid="{3558E55E-B4C4-46AE-83BC-21F1839B7835}"/>
    <cellStyle name="Millares 8 3 3 3 2 3" xfId="7116" xr:uid="{ED01ED6F-F7DF-42D7-9D04-C96316463889}"/>
    <cellStyle name="Millares 8 3 3 3 2 3 2" xfId="11964" xr:uid="{3647682A-48AB-494D-9823-8177BF3CAA5D}"/>
    <cellStyle name="Millares 8 3 3 3 2 4" xfId="4689" xr:uid="{1D4518B9-33E9-4266-BC3F-C3EBBD049372}"/>
    <cellStyle name="Millares 8 3 3 3 2 4 2" xfId="9543" xr:uid="{70EEFFF6-0D5F-4779-83E5-1AFE91181DFE}"/>
    <cellStyle name="Millares 8 3 3 3 2 5" xfId="3477" xr:uid="{AFD2DC66-1FC5-440B-8901-15EF9587256A}"/>
    <cellStyle name="Millares 8 3 3 3 2 6" xfId="8333" xr:uid="{0F4D0137-6378-4FD6-BB65-BD874BFA114D}"/>
    <cellStyle name="Millares 8 3 3 3 3" xfId="5295" xr:uid="{F4C4FC75-6026-4C54-BE6E-C9A3E49F5CBA}"/>
    <cellStyle name="Millares 8 3 3 3 3 2" xfId="10147" xr:uid="{B7657FB6-2C83-4375-B288-18F1E3ACA5DB}"/>
    <cellStyle name="Millares 8 3 3 3 4" xfId="6509" xr:uid="{7BF4976F-ED79-4A98-94DD-C9E16CF934F5}"/>
    <cellStyle name="Millares 8 3 3 3 4 2" xfId="11358" xr:uid="{41AEF035-DA13-4A01-9077-21E47BBEC6D3}"/>
    <cellStyle name="Millares 8 3 3 3 5" xfId="4085" xr:uid="{9CB04124-858E-4A5E-AE54-3F53EBD43487}"/>
    <cellStyle name="Millares 8 3 3 3 5 2" xfId="8939" xr:uid="{8F30B0B9-8A01-4505-AA4A-408480C53B37}"/>
    <cellStyle name="Millares 8 3 3 3 6" xfId="2872" xr:uid="{D49B849C-A1CE-4C59-ABDA-38BAB3AE6DB9}"/>
    <cellStyle name="Millares 8 3 3 3 7" xfId="7728" xr:uid="{01579157-3E35-4051-9084-62D5CE5DC366}"/>
    <cellStyle name="Millares 8 3 3 4" xfId="2251" xr:uid="{FB4C93DC-2D9E-4EDC-8B40-203F5FF74955}"/>
    <cellStyle name="Millares 8 3 3 4 2" xfId="5897" xr:uid="{A21CD1DE-3F67-4A56-9CB2-002386BCD152}"/>
    <cellStyle name="Millares 8 3 3 4 2 2" xfId="10749" xr:uid="{6BF190E2-66A3-4B7A-8D78-96B9555AAFBB}"/>
    <cellStyle name="Millares 8 3 3 4 3" xfId="7113" xr:uid="{77F5F8A7-8399-4F08-B403-C9278B998532}"/>
    <cellStyle name="Millares 8 3 3 4 3 2" xfId="11961" xr:uid="{B8E141C8-1814-4D6F-B685-2C49AEE5A949}"/>
    <cellStyle name="Millares 8 3 3 4 4" xfId="4686" xr:uid="{31D937D8-F7A9-47E6-BAC0-F2A7D81C1372}"/>
    <cellStyle name="Millares 8 3 3 4 4 2" xfId="9540" xr:uid="{498EBBBF-DF70-4EED-AC67-9CA63E8DDED8}"/>
    <cellStyle name="Millares 8 3 3 4 5" xfId="3474" xr:uid="{EE2BA42D-7208-4DDA-9064-2ECF5B3953A3}"/>
    <cellStyle name="Millares 8 3 3 4 6" xfId="8330" xr:uid="{12370A44-59B3-4E6C-B94F-ED4882D71796}"/>
    <cellStyle name="Millares 8 3 3 5" xfId="5292" xr:uid="{242D2EF1-5111-40F7-9AC1-47722B87E5B1}"/>
    <cellStyle name="Millares 8 3 3 5 2" xfId="10144" xr:uid="{4ADC8A2E-60B3-4659-B9A1-A246D8832DC2}"/>
    <cellStyle name="Millares 8 3 3 6" xfId="6506" xr:uid="{885E0D3D-A159-42DB-BBD6-6CDC654631C7}"/>
    <cellStyle name="Millares 8 3 3 6 2" xfId="11355" xr:uid="{47BD5E97-7269-4881-A5CD-8028F8E32310}"/>
    <cellStyle name="Millares 8 3 3 7" xfId="4082" xr:uid="{3D0263AA-B1B8-415C-BBF9-2263C46E10CA}"/>
    <cellStyle name="Millares 8 3 3 7 2" xfId="8936" xr:uid="{28CDB20F-4775-4619-8958-166EFABB3732}"/>
    <cellStyle name="Millares 8 3 3 8" xfId="2869" xr:uid="{254DD127-F5A4-4CD9-AEE6-D3D6AFAD4236}"/>
    <cellStyle name="Millares 8 3 3 9" xfId="7725" xr:uid="{F9E47068-FBAD-4C0D-92F8-961D58BF4D4E}"/>
    <cellStyle name="Millares 8 3 4" xfId="1586" xr:uid="{8EACA7BD-1507-4FB5-A6B8-76C258CC4EC5}"/>
    <cellStyle name="Millares 8 3 4 2" xfId="1587" xr:uid="{289321EC-EB61-44C4-9E1D-0B66287A768C}"/>
    <cellStyle name="Millares 8 3 4 2 2" xfId="1588" xr:uid="{40490F82-3A47-41EF-9264-C5C4B2DFD413}"/>
    <cellStyle name="Millares 8 3 4 2 2 2" xfId="2257" xr:uid="{2E35B9A7-2EA1-481C-9633-75FE44351C38}"/>
    <cellStyle name="Millares 8 3 4 2 2 2 2" xfId="5903" xr:uid="{D6F7CD4E-4B74-4030-A3AD-5603C2069B46}"/>
    <cellStyle name="Millares 8 3 4 2 2 2 2 2" xfId="10755" xr:uid="{66C3123C-E125-46A9-9142-F00440B38DD7}"/>
    <cellStyle name="Millares 8 3 4 2 2 2 3" xfId="7119" xr:uid="{29D1C645-CF25-4062-AD76-6EDF9B2D02C1}"/>
    <cellStyle name="Millares 8 3 4 2 2 2 3 2" xfId="11967" xr:uid="{D564C824-12D0-4D67-BE8C-C7C545BE4066}"/>
    <cellStyle name="Millares 8 3 4 2 2 2 4" xfId="4692" xr:uid="{A7CE5E0B-810F-4BFF-8F38-E89DEC1A9C91}"/>
    <cellStyle name="Millares 8 3 4 2 2 2 4 2" xfId="9546" xr:uid="{12A697F3-2D18-443D-A41B-D8D4C42988E0}"/>
    <cellStyle name="Millares 8 3 4 2 2 2 5" xfId="3480" xr:uid="{DC78C16E-F64B-4589-B29A-70020E273F55}"/>
    <cellStyle name="Millares 8 3 4 2 2 2 6" xfId="8336" xr:uid="{94360B25-3838-40F1-BA5D-18AC28BEB852}"/>
    <cellStyle name="Millares 8 3 4 2 2 3" xfId="5298" xr:uid="{E3963949-D708-4024-AE1F-A33D3BDEA1EA}"/>
    <cellStyle name="Millares 8 3 4 2 2 3 2" xfId="10150" xr:uid="{9B406B02-1193-43AB-8989-C7A1A797E6B2}"/>
    <cellStyle name="Millares 8 3 4 2 2 4" xfId="6512" xr:uid="{41897FE0-69ED-49E8-A726-E7093626B8C3}"/>
    <cellStyle name="Millares 8 3 4 2 2 4 2" xfId="11361" xr:uid="{B943547B-201D-4790-A57E-C611190BC773}"/>
    <cellStyle name="Millares 8 3 4 2 2 5" xfId="4088" xr:uid="{78220A89-DFD2-4BEE-A74B-88C5C67E30C2}"/>
    <cellStyle name="Millares 8 3 4 2 2 5 2" xfId="8942" xr:uid="{EED77123-16D7-4BBE-9398-7509C02DC998}"/>
    <cellStyle name="Millares 8 3 4 2 2 6" xfId="2875" xr:uid="{D765D181-5F37-42D1-9CE1-EABA74C18E9C}"/>
    <cellStyle name="Millares 8 3 4 2 2 7" xfId="7731" xr:uid="{FA0BE464-EEB6-4CEE-99FD-008222A82E6A}"/>
    <cellStyle name="Millares 8 3 4 2 3" xfId="2256" xr:uid="{E0D8FBE2-373D-487C-806B-F6CA21DB540D}"/>
    <cellStyle name="Millares 8 3 4 2 3 2" xfId="5902" xr:uid="{22AD4CF5-F4F1-400D-9337-011479F5BAE2}"/>
    <cellStyle name="Millares 8 3 4 2 3 2 2" xfId="10754" xr:uid="{DD8DD406-D766-4EA5-B5E6-C860FD64B3D8}"/>
    <cellStyle name="Millares 8 3 4 2 3 3" xfId="7118" xr:uid="{B8BF0B35-264A-49C0-8DEA-DF0819262C4B}"/>
    <cellStyle name="Millares 8 3 4 2 3 3 2" xfId="11966" xr:uid="{94FFAEE5-0104-4B03-8AF4-F59FEA871E2C}"/>
    <cellStyle name="Millares 8 3 4 2 3 4" xfId="4691" xr:uid="{B9211D53-A993-428E-BB43-1E09C88FEB3D}"/>
    <cellStyle name="Millares 8 3 4 2 3 4 2" xfId="9545" xr:uid="{8E00A099-60E5-43F8-A537-E3C26E6BA655}"/>
    <cellStyle name="Millares 8 3 4 2 3 5" xfId="3479" xr:uid="{AE6FA0D7-F3A9-4E52-8AE8-85B81BBF7AA6}"/>
    <cellStyle name="Millares 8 3 4 2 3 6" xfId="8335" xr:uid="{1BC515EC-1A0F-45B2-B947-9E4597458517}"/>
    <cellStyle name="Millares 8 3 4 2 4" xfId="5297" xr:uid="{87F28185-711A-4804-8D3F-CC8CBC8938A1}"/>
    <cellStyle name="Millares 8 3 4 2 4 2" xfId="10149" xr:uid="{760A6731-FA2E-4B0C-8C8E-BD174C06D232}"/>
    <cellStyle name="Millares 8 3 4 2 5" xfId="6511" xr:uid="{B24EBAC0-ECF4-4211-BDCA-ED9F72701F64}"/>
    <cellStyle name="Millares 8 3 4 2 5 2" xfId="11360" xr:uid="{1D710FDD-0655-42CC-B1C9-3B71E81EA0EE}"/>
    <cellStyle name="Millares 8 3 4 2 6" xfId="4087" xr:uid="{31BB335E-4DDE-418B-9535-BA16EB56CB83}"/>
    <cellStyle name="Millares 8 3 4 2 6 2" xfId="8941" xr:uid="{76A1FB71-EFFB-4FC8-8AB2-51C9257514B0}"/>
    <cellStyle name="Millares 8 3 4 2 7" xfId="2874" xr:uid="{1DDF7490-4F46-45AF-B5BE-93D9C23FA8D1}"/>
    <cellStyle name="Millares 8 3 4 2 8" xfId="7730" xr:uid="{95776A60-32DB-4ED2-9D70-AD7411E5946C}"/>
    <cellStyle name="Millares 8 3 4 3" xfId="1589" xr:uid="{6649136E-FBF3-4C8E-8887-4896E449C1E3}"/>
    <cellStyle name="Millares 8 3 4 3 2" xfId="2258" xr:uid="{9AF56612-51EC-42A9-A034-A180C54ABC5C}"/>
    <cellStyle name="Millares 8 3 4 3 2 2" xfId="5904" xr:uid="{BA1EBB15-FE9E-4291-BBC3-D82469A12991}"/>
    <cellStyle name="Millares 8 3 4 3 2 2 2" xfId="10756" xr:uid="{65CC7472-3D21-48CF-B231-536F840216CB}"/>
    <cellStyle name="Millares 8 3 4 3 2 3" xfId="7120" xr:uid="{EBCEF298-4C89-435B-8B00-C596008412AF}"/>
    <cellStyle name="Millares 8 3 4 3 2 3 2" xfId="11968" xr:uid="{A357E5E7-0DCB-4495-B8CC-2BA8178229B2}"/>
    <cellStyle name="Millares 8 3 4 3 2 4" xfId="4693" xr:uid="{2DF5D2AB-8E12-4A2D-A1B8-C134DF2D9308}"/>
    <cellStyle name="Millares 8 3 4 3 2 4 2" xfId="9547" xr:uid="{4F9F079E-C6E2-4EB8-A722-60DCB97E4D5F}"/>
    <cellStyle name="Millares 8 3 4 3 2 5" xfId="3481" xr:uid="{D50A69BC-D727-41E9-AF58-54A34E760D31}"/>
    <cellStyle name="Millares 8 3 4 3 2 6" xfId="8337" xr:uid="{6D214D03-0EC7-4178-ABF6-D811DF3E96C2}"/>
    <cellStyle name="Millares 8 3 4 3 3" xfId="5299" xr:uid="{A5F6CDA4-4448-4AC4-B8AA-DF5135CFEE6F}"/>
    <cellStyle name="Millares 8 3 4 3 3 2" xfId="10151" xr:uid="{810C3862-D16D-417C-AE49-41D4EAB4B59E}"/>
    <cellStyle name="Millares 8 3 4 3 4" xfId="6513" xr:uid="{67E0125C-C1DC-4EB7-94A1-9FDE80D8478F}"/>
    <cellStyle name="Millares 8 3 4 3 4 2" xfId="11362" xr:uid="{8F7B0011-CD91-49C1-A827-DE8EC467CF81}"/>
    <cellStyle name="Millares 8 3 4 3 5" xfId="4089" xr:uid="{C55FB9E8-C5AD-4943-9994-CA5ACC525E5D}"/>
    <cellStyle name="Millares 8 3 4 3 5 2" xfId="8943" xr:uid="{82EEDEF2-15A3-4557-9A69-29A7F4DD191F}"/>
    <cellStyle name="Millares 8 3 4 3 6" xfId="2876" xr:uid="{E00A95E1-B6AE-4B19-B69E-D14A7290C1FF}"/>
    <cellStyle name="Millares 8 3 4 3 7" xfId="7732" xr:uid="{88C2C459-A6B7-4C35-B86C-2D6183649F00}"/>
    <cellStyle name="Millares 8 3 4 4" xfId="2255" xr:uid="{24F8BD12-0145-4001-89C4-C7FB3145B551}"/>
    <cellStyle name="Millares 8 3 4 4 2" xfId="5901" xr:uid="{B974A895-5E98-4E1B-B7A1-F2FA8B471506}"/>
    <cellStyle name="Millares 8 3 4 4 2 2" xfId="10753" xr:uid="{9B42558B-15F7-4CA2-9FE0-65201B7B7480}"/>
    <cellStyle name="Millares 8 3 4 4 3" xfId="7117" xr:uid="{31342610-AC72-41A5-85B9-15CAC88DA022}"/>
    <cellStyle name="Millares 8 3 4 4 3 2" xfId="11965" xr:uid="{F41024DB-9F9F-4577-B06D-B2BAEA69EDF8}"/>
    <cellStyle name="Millares 8 3 4 4 4" xfId="4690" xr:uid="{A310D871-6B54-4ABD-AD5D-50BDF0CF95B2}"/>
    <cellStyle name="Millares 8 3 4 4 4 2" xfId="9544" xr:uid="{126443F4-F30F-470B-AE35-CFA43D07D259}"/>
    <cellStyle name="Millares 8 3 4 4 5" xfId="3478" xr:uid="{6FFDA181-2C9A-47E8-826C-6A6E2BFDD947}"/>
    <cellStyle name="Millares 8 3 4 4 6" xfId="8334" xr:uid="{7AA6DAFE-BFE9-44DC-A3C0-CF72C45F4067}"/>
    <cellStyle name="Millares 8 3 4 5" xfId="5296" xr:uid="{77D76A54-C398-4C54-B739-463AE8651145}"/>
    <cellStyle name="Millares 8 3 4 5 2" xfId="10148" xr:uid="{2D13C954-7F92-43F1-AE01-1E50702CC668}"/>
    <cellStyle name="Millares 8 3 4 6" xfId="6510" xr:uid="{712D0E00-C603-4F3E-AE55-62F1A4994A94}"/>
    <cellStyle name="Millares 8 3 4 6 2" xfId="11359" xr:uid="{A806CC88-1BF0-4170-814D-65D8F7D54CA6}"/>
    <cellStyle name="Millares 8 3 4 7" xfId="4086" xr:uid="{EAA84CD4-9DD8-4064-B205-3BAFCE643E03}"/>
    <cellStyle name="Millares 8 3 4 7 2" xfId="8940" xr:uid="{E475644F-4D34-439B-9C04-F242ED79CCFC}"/>
    <cellStyle name="Millares 8 3 4 8" xfId="2873" xr:uid="{8AF22BF6-349C-4661-97FB-8BBC076EDE28}"/>
    <cellStyle name="Millares 8 3 4 9" xfId="7729" xr:uid="{F634B254-D227-4562-BD41-E17BB4BABE73}"/>
    <cellStyle name="Millares 8 3 5" xfId="1590" xr:uid="{32FE45E1-C426-4E4A-9D3E-E57A2CF50B76}"/>
    <cellStyle name="Millares 8 3 5 2" xfId="1591" xr:uid="{3D405CF4-585D-4FAD-B89D-19BB14ADEBCA}"/>
    <cellStyle name="Millares 8 3 5 2 2" xfId="2260" xr:uid="{CD9EF910-6603-42BC-9C1E-1121AA9C6D4F}"/>
    <cellStyle name="Millares 8 3 5 2 2 2" xfId="5906" xr:uid="{51521AC5-3213-4473-9EA4-30A1492D506D}"/>
    <cellStyle name="Millares 8 3 5 2 2 2 2" xfId="10758" xr:uid="{0F63E3B1-E07D-4D7C-B5E8-10BE28B87BB9}"/>
    <cellStyle name="Millares 8 3 5 2 2 3" xfId="7122" xr:uid="{783E330D-9417-46DE-9F86-FB998943A625}"/>
    <cellStyle name="Millares 8 3 5 2 2 3 2" xfId="11970" xr:uid="{08238AAA-48B9-424C-8DCA-F45D44082105}"/>
    <cellStyle name="Millares 8 3 5 2 2 4" xfId="4695" xr:uid="{09392357-13BB-412F-B38A-929BC1BD5674}"/>
    <cellStyle name="Millares 8 3 5 2 2 4 2" xfId="9549" xr:uid="{B3B80856-7862-4BF8-AEC4-4E62CF99154B}"/>
    <cellStyle name="Millares 8 3 5 2 2 5" xfId="3483" xr:uid="{8B1887E7-A513-4468-ABA6-6E6C4498F302}"/>
    <cellStyle name="Millares 8 3 5 2 2 6" xfId="8339" xr:uid="{F4B07473-25EA-4BB5-8591-02EE4F9BFBAC}"/>
    <cellStyle name="Millares 8 3 5 2 3" xfId="5301" xr:uid="{59A99B1C-36BB-4BFE-B490-B74CD56E5221}"/>
    <cellStyle name="Millares 8 3 5 2 3 2" xfId="10153" xr:uid="{E9CA6338-4A5B-4073-A8B2-8DF46E81277C}"/>
    <cellStyle name="Millares 8 3 5 2 4" xfId="6515" xr:uid="{37F69090-C220-48FB-AD48-C4AF605F397C}"/>
    <cellStyle name="Millares 8 3 5 2 4 2" xfId="11364" xr:uid="{B3326B7E-9704-47B8-9456-360131A7DBFA}"/>
    <cellStyle name="Millares 8 3 5 2 5" xfId="4091" xr:uid="{E41AB0D3-7578-4B5A-AA3E-8EA2C0408890}"/>
    <cellStyle name="Millares 8 3 5 2 5 2" xfId="8945" xr:uid="{26ABFE28-E371-496A-B14E-52D733A27097}"/>
    <cellStyle name="Millares 8 3 5 2 6" xfId="2878" xr:uid="{B77068E8-F37A-491C-BCFA-80041A414184}"/>
    <cellStyle name="Millares 8 3 5 2 7" xfId="7734" xr:uid="{AD8A616D-6A51-4242-B95F-FA7B6FEF2002}"/>
    <cellStyle name="Millares 8 3 5 3" xfId="2259" xr:uid="{250F889F-FAC6-4AEC-B9C2-BDBA3D1DD810}"/>
    <cellStyle name="Millares 8 3 5 3 2" xfId="5905" xr:uid="{473A78AF-AF15-4FA8-94EA-FEED418B12A7}"/>
    <cellStyle name="Millares 8 3 5 3 2 2" xfId="10757" xr:uid="{D3D18C14-AF1B-4A07-A607-72099F1E8CC7}"/>
    <cellStyle name="Millares 8 3 5 3 3" xfId="7121" xr:uid="{688C7666-40D0-4BAF-8606-31842A6CF93F}"/>
    <cellStyle name="Millares 8 3 5 3 3 2" xfId="11969" xr:uid="{52A09D67-BCA4-45DA-A049-145C1F2252FB}"/>
    <cellStyle name="Millares 8 3 5 3 4" xfId="4694" xr:uid="{FAE0F791-3FA0-47EB-9B0F-058AAF4D8290}"/>
    <cellStyle name="Millares 8 3 5 3 4 2" xfId="9548" xr:uid="{7E35D48A-278D-45A1-8EC7-45C8F5C06A0F}"/>
    <cellStyle name="Millares 8 3 5 3 5" xfId="3482" xr:uid="{5BD49EB5-57C7-446D-A377-7F545DEC9636}"/>
    <cellStyle name="Millares 8 3 5 3 6" xfId="8338" xr:uid="{C197AFBE-ED61-4AD9-BBC8-8CC7ECDA62E5}"/>
    <cellStyle name="Millares 8 3 5 4" xfId="5300" xr:uid="{30165090-935B-4131-903C-4C8A741AD226}"/>
    <cellStyle name="Millares 8 3 5 4 2" xfId="10152" xr:uid="{27585BDA-E10B-45E2-B196-A8FD07FC46F4}"/>
    <cellStyle name="Millares 8 3 5 5" xfId="6514" xr:uid="{C357153D-44BB-4BB8-9C30-340F8D89E399}"/>
    <cellStyle name="Millares 8 3 5 5 2" xfId="11363" xr:uid="{E18B374A-A1A4-4C52-BD85-BDD367B53879}"/>
    <cellStyle name="Millares 8 3 5 6" xfId="4090" xr:uid="{1ED7C160-7D0C-4D7A-B713-04A17449E190}"/>
    <cellStyle name="Millares 8 3 5 6 2" xfId="8944" xr:uid="{94DDBAE9-783F-47D8-B038-A6B55D260485}"/>
    <cellStyle name="Millares 8 3 5 7" xfId="2877" xr:uid="{22BCA034-2A0E-4DA7-9566-E6DE04E7EAE1}"/>
    <cellStyle name="Millares 8 3 5 8" xfId="7733" xr:uid="{CFECE3DE-6B59-486D-B0C0-872DB7CC524C}"/>
    <cellStyle name="Millares 8 3 6" xfId="1592" xr:uid="{9395D753-CFD2-4E90-AE7A-E48BE3245E3B}"/>
    <cellStyle name="Millares 8 3 6 2" xfId="2261" xr:uid="{C559F00C-2F44-4014-8DA0-5B0DAFE82E1F}"/>
    <cellStyle name="Millares 8 3 6 2 2" xfId="5907" xr:uid="{9EFF6FEC-A11A-4157-BF88-2C7F06ACF295}"/>
    <cellStyle name="Millares 8 3 6 2 2 2" xfId="10759" xr:uid="{D747C812-7A64-410F-86D1-D8795C8829EC}"/>
    <cellStyle name="Millares 8 3 6 2 3" xfId="7123" xr:uid="{87F4772C-4BB9-4C41-AB90-91714C6ECBBC}"/>
    <cellStyle name="Millares 8 3 6 2 3 2" xfId="11971" xr:uid="{B4E1FDD6-D38D-4EA4-9053-4AAF3C7EADE0}"/>
    <cellStyle name="Millares 8 3 6 2 4" xfId="4696" xr:uid="{15551DBF-4414-412A-A7B4-7D1295946F1F}"/>
    <cellStyle name="Millares 8 3 6 2 4 2" xfId="9550" xr:uid="{CBB4EDC6-82AE-4713-8CFF-3644DD54B8DE}"/>
    <cellStyle name="Millares 8 3 6 2 5" xfId="3484" xr:uid="{5A0664E7-3B4B-43E8-BB0A-191727025118}"/>
    <cellStyle name="Millares 8 3 6 2 6" xfId="8340" xr:uid="{4271F426-801A-446C-8E9F-77C6DB6F6765}"/>
    <cellStyle name="Millares 8 3 6 3" xfId="5302" xr:uid="{010A6E07-1CAA-4957-849B-6FFB43FF9C85}"/>
    <cellStyle name="Millares 8 3 6 3 2" xfId="10154" xr:uid="{F5819A06-85E3-489A-8750-886F17F6C554}"/>
    <cellStyle name="Millares 8 3 6 4" xfId="6516" xr:uid="{7ACDD42E-8DED-4719-A63D-2D84E91192C9}"/>
    <cellStyle name="Millares 8 3 6 4 2" xfId="11365" xr:uid="{CF6B9F14-B826-4292-A934-5386C52A8408}"/>
    <cellStyle name="Millares 8 3 6 5" xfId="4092" xr:uid="{8ED826D7-C0A0-4220-B3A5-7B00DBA3A40F}"/>
    <cellStyle name="Millares 8 3 6 5 2" xfId="8946" xr:uid="{BFF9CDF6-DFF0-47BC-A65F-B1FAF3F7FC4C}"/>
    <cellStyle name="Millares 8 3 6 6" xfId="2879" xr:uid="{0C271801-4A01-42C6-96B8-843F3AE48E0E}"/>
    <cellStyle name="Millares 8 3 6 7" xfId="7735" xr:uid="{4B5A513A-175F-4B4C-9270-68F2B0949CC2}"/>
    <cellStyle name="Millares 8 3 7" xfId="2238" xr:uid="{D4431E2E-D788-4FE0-A726-CECABBCFC01F}"/>
    <cellStyle name="Millares 8 3 7 2" xfId="5884" xr:uid="{FB55CE14-CA3D-4E75-B7A5-C022D39FC94A}"/>
    <cellStyle name="Millares 8 3 7 2 2" xfId="10736" xr:uid="{25E3E40D-816C-4ED7-AA74-EF95098ACD16}"/>
    <cellStyle name="Millares 8 3 7 3" xfId="7100" xr:uid="{CCD631C4-25BA-4DC0-8394-C9A53734FC54}"/>
    <cellStyle name="Millares 8 3 7 3 2" xfId="11948" xr:uid="{CEE52623-D595-4BF2-B68E-5EB88281A2D4}"/>
    <cellStyle name="Millares 8 3 7 4" xfId="4673" xr:uid="{4606660C-E81C-4F84-A58C-C4E51E66F9A1}"/>
    <cellStyle name="Millares 8 3 7 4 2" xfId="9527" xr:uid="{72C10B3B-F7C9-4073-BB83-0F2B392C8660}"/>
    <cellStyle name="Millares 8 3 7 5" xfId="3461" xr:uid="{FD531B96-C93D-4BE7-8557-C8696C288F6E}"/>
    <cellStyle name="Millares 8 3 7 6" xfId="8317" xr:uid="{CE150BCB-8F4A-454A-985A-FBF8E6AC00D6}"/>
    <cellStyle name="Millares 8 3 8" xfId="5279" xr:uid="{4D5B434B-5781-4F8B-802E-AE6191CCA5A0}"/>
    <cellStyle name="Millares 8 3 8 2" xfId="10131" xr:uid="{C2F6B408-C5FD-454F-A53D-445AB46809AE}"/>
    <cellStyle name="Millares 8 3 9" xfId="6493" xr:uid="{4577F82A-E31E-4478-AB1D-F9322E3C0097}"/>
    <cellStyle name="Millares 8 3 9 2" xfId="11342" xr:uid="{C558D751-14A0-4887-A2F3-E9B50FA8EBAA}"/>
    <cellStyle name="Millares 8 4" xfId="1593" xr:uid="{7589934B-0A44-42E9-BD21-218BE84DE61B}"/>
    <cellStyle name="Millares 8 4 10" xfId="4093" xr:uid="{AFE273ED-781B-42D9-87AA-79D784862C6F}"/>
    <cellStyle name="Millares 8 4 10 2" xfId="8947" xr:uid="{85DA5B79-48F1-441B-A40D-09B246A7F688}"/>
    <cellStyle name="Millares 8 4 11" xfId="2880" xr:uid="{6B5A6857-E00A-4ED4-86D2-AC1BEA51D6D5}"/>
    <cellStyle name="Millares 8 4 12" xfId="7736" xr:uid="{8058CB51-A5CF-4AEC-93A7-55E032E9FE5C}"/>
    <cellStyle name="Millares 8 4 2" xfId="1594" xr:uid="{ED740864-AB0F-440A-8AA0-DC6B1C52B55E}"/>
    <cellStyle name="Millares 8 4 2 10" xfId="2881" xr:uid="{D42C18F8-1907-481C-AAF6-37C12D22456D}"/>
    <cellStyle name="Millares 8 4 2 11" xfId="7737" xr:uid="{7912D3A3-29FA-49D6-AC3B-3BE6690C341F}"/>
    <cellStyle name="Millares 8 4 2 2" xfId="1595" xr:uid="{CF077990-8889-4EC0-B772-3FFFC27C85D6}"/>
    <cellStyle name="Millares 8 4 2 2 2" xfId="1596" xr:uid="{11DEA3BC-7400-44E8-8AF7-3C36E1A0C58A}"/>
    <cellStyle name="Millares 8 4 2 2 2 2" xfId="1597" xr:uid="{CA39D98B-2167-46B4-8994-58836ECC1113}"/>
    <cellStyle name="Millares 8 4 2 2 2 2 2" xfId="2266" xr:uid="{EAFFF759-9E67-4A30-9020-F916763D2307}"/>
    <cellStyle name="Millares 8 4 2 2 2 2 2 2" xfId="5912" xr:uid="{60344CA2-75CF-4D8C-BD09-3E503AF61F8D}"/>
    <cellStyle name="Millares 8 4 2 2 2 2 2 2 2" xfId="10764" xr:uid="{1D7C7126-AAF6-42BC-A28B-FF5BC7E8B881}"/>
    <cellStyle name="Millares 8 4 2 2 2 2 2 3" xfId="7128" xr:uid="{949B0C0A-84D6-4500-9B2A-5641B1DF8C33}"/>
    <cellStyle name="Millares 8 4 2 2 2 2 2 3 2" xfId="11976" xr:uid="{0B742B10-EFEE-493F-B94A-03CD8F07912C}"/>
    <cellStyle name="Millares 8 4 2 2 2 2 2 4" xfId="4701" xr:uid="{662CFB94-1DFF-4872-9D50-D365561E3446}"/>
    <cellStyle name="Millares 8 4 2 2 2 2 2 4 2" xfId="9555" xr:uid="{E38E9F4C-D567-4360-80AB-189434B60ECD}"/>
    <cellStyle name="Millares 8 4 2 2 2 2 2 5" xfId="3489" xr:uid="{62E86A21-ED97-41F9-A38E-670DCD68C760}"/>
    <cellStyle name="Millares 8 4 2 2 2 2 2 6" xfId="8345" xr:uid="{A297FD54-C20E-4F30-B80E-3BB895F381AB}"/>
    <cellStyle name="Millares 8 4 2 2 2 2 3" xfId="5307" xr:uid="{9B286A67-8929-4257-9DB2-6C532E38A8A2}"/>
    <cellStyle name="Millares 8 4 2 2 2 2 3 2" xfId="10159" xr:uid="{7D6DF05F-FBC1-4FA8-A1D0-E7D5799BD86F}"/>
    <cellStyle name="Millares 8 4 2 2 2 2 4" xfId="6521" xr:uid="{63B3494C-3070-4D90-8826-1B43DD6C4AE6}"/>
    <cellStyle name="Millares 8 4 2 2 2 2 4 2" xfId="11370" xr:uid="{8A1B6166-10A1-4E1B-B14E-5C4957C70D06}"/>
    <cellStyle name="Millares 8 4 2 2 2 2 5" xfId="4097" xr:uid="{2C7C775B-25BA-46CA-968F-51ADC950D30C}"/>
    <cellStyle name="Millares 8 4 2 2 2 2 5 2" xfId="8951" xr:uid="{0A48395C-B0B3-4447-A77D-DCFF6EF189FE}"/>
    <cellStyle name="Millares 8 4 2 2 2 2 6" xfId="2884" xr:uid="{04011868-C1E9-4380-BF5D-36CD7D74C558}"/>
    <cellStyle name="Millares 8 4 2 2 2 2 7" xfId="7740" xr:uid="{555C65EE-53B7-4B21-BC7B-BC45390122D4}"/>
    <cellStyle name="Millares 8 4 2 2 2 3" xfId="2265" xr:uid="{895A9AEF-7377-4FCE-B9C1-F0099DCC6B8E}"/>
    <cellStyle name="Millares 8 4 2 2 2 3 2" xfId="5911" xr:uid="{69CA68F5-B426-46DD-8F04-CA6FAC62356C}"/>
    <cellStyle name="Millares 8 4 2 2 2 3 2 2" xfId="10763" xr:uid="{97D645A5-467F-4D62-94A8-D58D32364182}"/>
    <cellStyle name="Millares 8 4 2 2 2 3 3" xfId="7127" xr:uid="{BF45F338-4465-4EC7-A665-ED57A6B5D107}"/>
    <cellStyle name="Millares 8 4 2 2 2 3 3 2" xfId="11975" xr:uid="{240A82AD-8EAF-4947-968A-203C35DC992D}"/>
    <cellStyle name="Millares 8 4 2 2 2 3 4" xfId="4700" xr:uid="{C370D03A-ADF4-4ADE-A4C6-3FF2CB13C4FB}"/>
    <cellStyle name="Millares 8 4 2 2 2 3 4 2" xfId="9554" xr:uid="{A203B416-ED7F-4471-B6ED-B75E5D72C66D}"/>
    <cellStyle name="Millares 8 4 2 2 2 3 5" xfId="3488" xr:uid="{C2BE747A-79FE-4C6A-A5BE-38C237DDDA7B}"/>
    <cellStyle name="Millares 8 4 2 2 2 3 6" xfId="8344" xr:uid="{A04CE0CE-F812-481A-A77E-CD77C72F872A}"/>
    <cellStyle name="Millares 8 4 2 2 2 4" xfId="5306" xr:uid="{74911AEC-B836-4A7D-B883-E5C498F852E9}"/>
    <cellStyle name="Millares 8 4 2 2 2 4 2" xfId="10158" xr:uid="{E32E82E0-A616-4F3A-AAEA-DD05607560EB}"/>
    <cellStyle name="Millares 8 4 2 2 2 5" xfId="6520" xr:uid="{EADAA351-AC1D-4371-A089-A09C328DFADA}"/>
    <cellStyle name="Millares 8 4 2 2 2 5 2" xfId="11369" xr:uid="{5E7B0BCD-09EB-4376-9488-528D29A44415}"/>
    <cellStyle name="Millares 8 4 2 2 2 6" xfId="4096" xr:uid="{8A7112A3-E36B-4552-A582-D4F713EE565A}"/>
    <cellStyle name="Millares 8 4 2 2 2 6 2" xfId="8950" xr:uid="{A318DD9D-6B90-456F-B99D-D8840F24FCB7}"/>
    <cellStyle name="Millares 8 4 2 2 2 7" xfId="2883" xr:uid="{9FFE2BB4-7920-42A6-A7A8-2484B73A729A}"/>
    <cellStyle name="Millares 8 4 2 2 2 8" xfId="7739" xr:uid="{0423B31C-0803-43BA-9A7C-F25B0D56ED78}"/>
    <cellStyle name="Millares 8 4 2 2 3" xfId="1598" xr:uid="{E0CE4E39-A9CA-4343-907A-57E11A937835}"/>
    <cellStyle name="Millares 8 4 2 2 3 2" xfId="2267" xr:uid="{97D08EED-16E0-4F95-BE4C-1B18EAEB547C}"/>
    <cellStyle name="Millares 8 4 2 2 3 2 2" xfId="5913" xr:uid="{60C57D6F-0545-4146-A70F-B216583172A8}"/>
    <cellStyle name="Millares 8 4 2 2 3 2 2 2" xfId="10765" xr:uid="{620204FC-D563-42D6-99EA-F56402070F33}"/>
    <cellStyle name="Millares 8 4 2 2 3 2 3" xfId="7129" xr:uid="{39CDC3B0-0F45-4303-A23A-F5685F9430C3}"/>
    <cellStyle name="Millares 8 4 2 2 3 2 3 2" xfId="11977" xr:uid="{77ED5422-9EE3-4529-AC2D-47D23CF632EA}"/>
    <cellStyle name="Millares 8 4 2 2 3 2 4" xfId="4702" xr:uid="{3F3EC056-E84E-4AA3-A76C-E656A9DAD978}"/>
    <cellStyle name="Millares 8 4 2 2 3 2 4 2" xfId="9556" xr:uid="{84EC5646-43EE-4313-B17D-FA9FE40B7686}"/>
    <cellStyle name="Millares 8 4 2 2 3 2 5" xfId="3490" xr:uid="{9A7EAD77-F2DC-4C71-870D-6DF53CB3E478}"/>
    <cellStyle name="Millares 8 4 2 2 3 2 6" xfId="8346" xr:uid="{DCA5DF14-CFDD-4DF2-BA01-0F61AA682AE8}"/>
    <cellStyle name="Millares 8 4 2 2 3 3" xfId="5308" xr:uid="{EB721514-9568-4379-9235-6DF7861AD6AC}"/>
    <cellStyle name="Millares 8 4 2 2 3 3 2" xfId="10160" xr:uid="{42BC7497-F240-4803-B0C3-B71A591E5B1C}"/>
    <cellStyle name="Millares 8 4 2 2 3 4" xfId="6522" xr:uid="{6E9D474C-9E25-4600-B9B3-02EE47762329}"/>
    <cellStyle name="Millares 8 4 2 2 3 4 2" xfId="11371" xr:uid="{BC4B8623-4CD1-4303-8382-995C9C90D22D}"/>
    <cellStyle name="Millares 8 4 2 2 3 5" xfId="4098" xr:uid="{1195A110-A322-4DB1-A14F-8A5CDCCE6139}"/>
    <cellStyle name="Millares 8 4 2 2 3 5 2" xfId="8952" xr:uid="{7B423D3E-B147-40D8-8F90-A593E6903018}"/>
    <cellStyle name="Millares 8 4 2 2 3 6" xfId="2885" xr:uid="{3BC08C3C-6BC6-426E-BD98-DB7231F8F810}"/>
    <cellStyle name="Millares 8 4 2 2 3 7" xfId="7741" xr:uid="{C8AC8A28-3F7B-439B-9722-F565EF031C34}"/>
    <cellStyle name="Millares 8 4 2 2 4" xfId="2264" xr:uid="{AF2005A3-A1EA-4FAD-9397-01BE001DB0C8}"/>
    <cellStyle name="Millares 8 4 2 2 4 2" xfId="5910" xr:uid="{636499F9-31F5-404A-BD62-95EA0D56BC72}"/>
    <cellStyle name="Millares 8 4 2 2 4 2 2" xfId="10762" xr:uid="{2437897A-BC6F-4E50-B1C8-FCCF02DF4B59}"/>
    <cellStyle name="Millares 8 4 2 2 4 3" xfId="7126" xr:uid="{9F1FC89E-FA95-49E2-8DDD-6B1D12D3ABC1}"/>
    <cellStyle name="Millares 8 4 2 2 4 3 2" xfId="11974" xr:uid="{D19CEE1A-F646-4028-9E97-B7E79BF7AD30}"/>
    <cellStyle name="Millares 8 4 2 2 4 4" xfId="4699" xr:uid="{5C0BACA2-FA9B-46BE-AAA5-2EE224B9FA25}"/>
    <cellStyle name="Millares 8 4 2 2 4 4 2" xfId="9553" xr:uid="{57ADC5CF-533C-48AE-9B91-7B2E1C04E933}"/>
    <cellStyle name="Millares 8 4 2 2 4 5" xfId="3487" xr:uid="{1308246E-CFEB-454E-A505-B3FC00760B21}"/>
    <cellStyle name="Millares 8 4 2 2 4 6" xfId="8343" xr:uid="{3DDB837B-D49E-497F-B1AB-08F956D95722}"/>
    <cellStyle name="Millares 8 4 2 2 5" xfId="5305" xr:uid="{E9D80FF7-04E3-4AD0-8C67-7D5EE88A9345}"/>
    <cellStyle name="Millares 8 4 2 2 5 2" xfId="10157" xr:uid="{ABA07470-C907-44A3-B66E-B24B37393027}"/>
    <cellStyle name="Millares 8 4 2 2 6" xfId="6519" xr:uid="{7A09FDF8-D533-4A2E-AD53-24400F26F53C}"/>
    <cellStyle name="Millares 8 4 2 2 6 2" xfId="11368" xr:uid="{E519FB0D-1B5A-4CDB-85E4-C995A7677F91}"/>
    <cellStyle name="Millares 8 4 2 2 7" xfId="4095" xr:uid="{D889E2EE-5312-4458-BEA0-06F545BDB91C}"/>
    <cellStyle name="Millares 8 4 2 2 7 2" xfId="8949" xr:uid="{913D27E2-1266-443F-A60A-33945C178FD6}"/>
    <cellStyle name="Millares 8 4 2 2 8" xfId="2882" xr:uid="{1333068D-1FEF-4831-A96A-23C34A74C768}"/>
    <cellStyle name="Millares 8 4 2 2 9" xfId="7738" xr:uid="{FEAE5372-64D8-41AB-965E-2E8FA017FB54}"/>
    <cellStyle name="Millares 8 4 2 3" xfId="1599" xr:uid="{CF999C2F-EF92-4BF0-ACA8-1579BD5D52DE}"/>
    <cellStyle name="Millares 8 4 2 3 2" xfId="1600" xr:uid="{15D31A6F-CA2D-4C19-AB86-E6540A03C046}"/>
    <cellStyle name="Millares 8 4 2 3 2 2" xfId="1601" xr:uid="{8D0D10DB-82B1-4DCF-AC8C-0B185462378F}"/>
    <cellStyle name="Millares 8 4 2 3 2 2 2" xfId="2270" xr:uid="{FAFD22AE-1111-4276-B0A1-25CC9734C3A4}"/>
    <cellStyle name="Millares 8 4 2 3 2 2 2 2" xfId="5916" xr:uid="{A60207CE-B284-4F22-8F89-4AFBAB012852}"/>
    <cellStyle name="Millares 8 4 2 3 2 2 2 2 2" xfId="10768" xr:uid="{A62DD2C6-F6B9-4E86-903C-EBB1DA049FD2}"/>
    <cellStyle name="Millares 8 4 2 3 2 2 2 3" xfId="7132" xr:uid="{436B77EE-F115-4895-BAB1-7D24F4F424AA}"/>
    <cellStyle name="Millares 8 4 2 3 2 2 2 3 2" xfId="11980" xr:uid="{F66AC9D9-D8CE-488A-9B19-2B13662E2D22}"/>
    <cellStyle name="Millares 8 4 2 3 2 2 2 4" xfId="4705" xr:uid="{694356D2-A5E0-4C92-8838-3B94EACE1E94}"/>
    <cellStyle name="Millares 8 4 2 3 2 2 2 4 2" xfId="9559" xr:uid="{EA96C22E-B91A-4931-8A7D-C57627D9C821}"/>
    <cellStyle name="Millares 8 4 2 3 2 2 2 5" xfId="3493" xr:uid="{8AA2662E-FFB9-4753-979C-C3F7373C0C59}"/>
    <cellStyle name="Millares 8 4 2 3 2 2 2 6" xfId="8349" xr:uid="{5337AD49-B2BE-48AE-8ACA-8123BBF7095C}"/>
    <cellStyle name="Millares 8 4 2 3 2 2 3" xfId="5311" xr:uid="{FFB434C2-9CBE-4A26-9C83-9B284BC38124}"/>
    <cellStyle name="Millares 8 4 2 3 2 2 3 2" xfId="10163" xr:uid="{232A62D7-CC2C-4B41-87A5-E1D24551611D}"/>
    <cellStyle name="Millares 8 4 2 3 2 2 4" xfId="6525" xr:uid="{4E5BEC1B-F9D9-423A-840E-C8C4CBED4D28}"/>
    <cellStyle name="Millares 8 4 2 3 2 2 4 2" xfId="11374" xr:uid="{3F8322A2-771A-4261-BBEE-0866A0ACEEC0}"/>
    <cellStyle name="Millares 8 4 2 3 2 2 5" xfId="4101" xr:uid="{9DD0DF36-6565-461F-B3FD-DF4A175DEA07}"/>
    <cellStyle name="Millares 8 4 2 3 2 2 5 2" xfId="8955" xr:uid="{4753FC15-A1DD-4EC8-B4D0-778536AAAD2A}"/>
    <cellStyle name="Millares 8 4 2 3 2 2 6" xfId="2888" xr:uid="{2A60D24E-6237-4448-BCAD-3E5AE6C83583}"/>
    <cellStyle name="Millares 8 4 2 3 2 2 7" xfId="7744" xr:uid="{9EFFB4C0-98CD-4120-B2B5-92DB41D7CE8D}"/>
    <cellStyle name="Millares 8 4 2 3 2 3" xfId="2269" xr:uid="{E5CAA72F-C140-4E11-BAC2-7425CAF2F46B}"/>
    <cellStyle name="Millares 8 4 2 3 2 3 2" xfId="5915" xr:uid="{5B35668F-92B3-4F9D-B732-4806C409D77C}"/>
    <cellStyle name="Millares 8 4 2 3 2 3 2 2" xfId="10767" xr:uid="{642AEBBC-AEEB-49F4-8407-83659F8ABEE6}"/>
    <cellStyle name="Millares 8 4 2 3 2 3 3" xfId="7131" xr:uid="{1F37FBE0-E06E-4FFF-86FB-88D21D5C1F53}"/>
    <cellStyle name="Millares 8 4 2 3 2 3 3 2" xfId="11979" xr:uid="{25FAD62D-5DD7-45BE-92D1-154032852B66}"/>
    <cellStyle name="Millares 8 4 2 3 2 3 4" xfId="4704" xr:uid="{A5FF6C83-2879-4C35-8C89-031F71ADA122}"/>
    <cellStyle name="Millares 8 4 2 3 2 3 4 2" xfId="9558" xr:uid="{3724751B-3082-44C8-9BAF-317B8CDC937F}"/>
    <cellStyle name="Millares 8 4 2 3 2 3 5" xfId="3492" xr:uid="{F733B217-B4B7-466B-8405-51525D2C6AAC}"/>
    <cellStyle name="Millares 8 4 2 3 2 3 6" xfId="8348" xr:uid="{ACEBA559-9BA7-451C-A82F-CC58A22D1397}"/>
    <cellStyle name="Millares 8 4 2 3 2 4" xfId="5310" xr:uid="{20B53E98-B42C-44B7-B7B1-8296E29A2062}"/>
    <cellStyle name="Millares 8 4 2 3 2 4 2" xfId="10162" xr:uid="{2435F6B6-AAE5-4F4D-A946-4F1F9FA5BA34}"/>
    <cellStyle name="Millares 8 4 2 3 2 5" xfId="6524" xr:uid="{991EA574-8BA9-4BF3-B593-F49BDB9EE1AA}"/>
    <cellStyle name="Millares 8 4 2 3 2 5 2" xfId="11373" xr:uid="{E0523E48-54BD-46A2-80DC-FAB97799746A}"/>
    <cellStyle name="Millares 8 4 2 3 2 6" xfId="4100" xr:uid="{A0E4DC63-6A22-48CC-A780-CA245C8D30E5}"/>
    <cellStyle name="Millares 8 4 2 3 2 6 2" xfId="8954" xr:uid="{18579E80-5848-402C-ACE3-2322FAC7D71B}"/>
    <cellStyle name="Millares 8 4 2 3 2 7" xfId="2887" xr:uid="{81B4A8FA-773C-4BD4-BA3C-2D962DEDC0AE}"/>
    <cellStyle name="Millares 8 4 2 3 2 8" xfId="7743" xr:uid="{7C2968F3-AFA1-4D01-A20F-A925AED7669A}"/>
    <cellStyle name="Millares 8 4 2 3 3" xfId="1602" xr:uid="{A6DEF82A-AD53-4B51-B5B4-BE40B8CD256B}"/>
    <cellStyle name="Millares 8 4 2 3 3 2" xfId="2271" xr:uid="{16B6D956-C27C-401A-9641-F41F6B74D1A2}"/>
    <cellStyle name="Millares 8 4 2 3 3 2 2" xfId="5917" xr:uid="{A390B1C8-6D8D-4817-A017-E413D4F94825}"/>
    <cellStyle name="Millares 8 4 2 3 3 2 2 2" xfId="10769" xr:uid="{8C8F19EC-97B3-47B3-9F3C-AAD15920B303}"/>
    <cellStyle name="Millares 8 4 2 3 3 2 3" xfId="7133" xr:uid="{9077C26A-F7ED-4BD1-887C-193D266A2116}"/>
    <cellStyle name="Millares 8 4 2 3 3 2 3 2" xfId="11981" xr:uid="{E741BE40-37AF-4EB4-93C9-948EE054C663}"/>
    <cellStyle name="Millares 8 4 2 3 3 2 4" xfId="4706" xr:uid="{C32F4DEC-39F6-46BA-B5DC-5A61EC505941}"/>
    <cellStyle name="Millares 8 4 2 3 3 2 4 2" xfId="9560" xr:uid="{2A30A768-9E27-4453-AE0E-6528F858AEFC}"/>
    <cellStyle name="Millares 8 4 2 3 3 2 5" xfId="3494" xr:uid="{68B7D3DE-DF01-4A03-90BC-BDE8F69C6B3C}"/>
    <cellStyle name="Millares 8 4 2 3 3 2 6" xfId="8350" xr:uid="{11E64C51-5B07-45FF-B343-920F18E823E8}"/>
    <cellStyle name="Millares 8 4 2 3 3 3" xfId="5312" xr:uid="{2B5DE287-4505-42F5-AFB1-9A30708F4AF9}"/>
    <cellStyle name="Millares 8 4 2 3 3 3 2" xfId="10164" xr:uid="{39BD3BE2-7BBF-4738-8030-8E9942C6C80F}"/>
    <cellStyle name="Millares 8 4 2 3 3 4" xfId="6526" xr:uid="{2B187CC7-858A-495F-B7B8-AEF417873302}"/>
    <cellStyle name="Millares 8 4 2 3 3 4 2" xfId="11375" xr:uid="{A16FC92C-6FA6-4119-A23F-CCFABF80BD5E}"/>
    <cellStyle name="Millares 8 4 2 3 3 5" xfId="4102" xr:uid="{E12C49DA-FCF0-4C80-A3B7-3DF4D7234BD6}"/>
    <cellStyle name="Millares 8 4 2 3 3 5 2" xfId="8956" xr:uid="{7FA7B353-4EE5-4BCF-AFD1-F953DEAE19E3}"/>
    <cellStyle name="Millares 8 4 2 3 3 6" xfId="2889" xr:uid="{7AB5A00A-4110-4AA9-B987-D48B57957304}"/>
    <cellStyle name="Millares 8 4 2 3 3 7" xfId="7745" xr:uid="{020F28FB-67F0-48BC-9A5E-556DFA10CA61}"/>
    <cellStyle name="Millares 8 4 2 3 4" xfId="2268" xr:uid="{4B434163-A1AA-49FB-AD85-DAE372C995B5}"/>
    <cellStyle name="Millares 8 4 2 3 4 2" xfId="5914" xr:uid="{12DAC2C1-D7AE-427C-B905-EE966E653A4E}"/>
    <cellStyle name="Millares 8 4 2 3 4 2 2" xfId="10766" xr:uid="{85B2ADA6-7CE1-4F1E-8AF2-BAFE4EFE0988}"/>
    <cellStyle name="Millares 8 4 2 3 4 3" xfId="7130" xr:uid="{E7EFE38F-D101-40F1-8880-4F2935971F78}"/>
    <cellStyle name="Millares 8 4 2 3 4 3 2" xfId="11978" xr:uid="{D716E99C-5EF4-4C21-87E8-CFBDD7164F9B}"/>
    <cellStyle name="Millares 8 4 2 3 4 4" xfId="4703" xr:uid="{8CE9F958-5A07-4F3B-A342-4499223EB9B1}"/>
    <cellStyle name="Millares 8 4 2 3 4 4 2" xfId="9557" xr:uid="{BD82A70C-A184-4027-A581-8102427E2EB1}"/>
    <cellStyle name="Millares 8 4 2 3 4 5" xfId="3491" xr:uid="{0D1D8D10-1488-417C-8A2A-48AB2925A7E6}"/>
    <cellStyle name="Millares 8 4 2 3 4 6" xfId="8347" xr:uid="{5EF6A144-C406-402D-9649-251D1D783387}"/>
    <cellStyle name="Millares 8 4 2 3 5" xfId="5309" xr:uid="{EE0AA640-7C75-4236-9FF1-7BB6774AF3A5}"/>
    <cellStyle name="Millares 8 4 2 3 5 2" xfId="10161" xr:uid="{2EBA0B45-1C76-4979-92E8-FE5AF6DBD87C}"/>
    <cellStyle name="Millares 8 4 2 3 6" xfId="6523" xr:uid="{617244AC-22CD-4C5D-B5D1-D8DB782D0C30}"/>
    <cellStyle name="Millares 8 4 2 3 6 2" xfId="11372" xr:uid="{62479591-A3A6-4BC3-82B7-3BBC51050C49}"/>
    <cellStyle name="Millares 8 4 2 3 7" xfId="4099" xr:uid="{4E77E17B-06A2-4C7B-B29F-9E32C4809984}"/>
    <cellStyle name="Millares 8 4 2 3 7 2" xfId="8953" xr:uid="{3FF2AAB5-E150-44BC-9FF5-A7F6D2698420}"/>
    <cellStyle name="Millares 8 4 2 3 8" xfId="2886" xr:uid="{904D1EF4-42A5-46F2-AE82-8D61AA50CC5A}"/>
    <cellStyle name="Millares 8 4 2 3 9" xfId="7742" xr:uid="{4DAD9C56-2DDA-451E-9EDB-08F85F7BF24B}"/>
    <cellStyle name="Millares 8 4 2 4" xfId="1603" xr:uid="{18CECE29-06A1-407F-A7EA-1E0D59A426C0}"/>
    <cellStyle name="Millares 8 4 2 4 2" xfId="1604" xr:uid="{07D7D7DF-F92C-47CE-ACA2-24EEFD3318B9}"/>
    <cellStyle name="Millares 8 4 2 4 2 2" xfId="2273" xr:uid="{03ADC47C-D441-4870-9C8B-C67873B27D9D}"/>
    <cellStyle name="Millares 8 4 2 4 2 2 2" xfId="5919" xr:uid="{8CF63D97-5E84-4F37-B67D-D04C221D11D6}"/>
    <cellStyle name="Millares 8 4 2 4 2 2 2 2" xfId="10771" xr:uid="{87057546-BA63-4A77-8BB2-FA4965E0E627}"/>
    <cellStyle name="Millares 8 4 2 4 2 2 3" xfId="7135" xr:uid="{B0DD5D90-F531-46DC-8654-3D21C04C77FE}"/>
    <cellStyle name="Millares 8 4 2 4 2 2 3 2" xfId="11983" xr:uid="{EBE723FA-9EA4-4EE8-B488-C6087495D966}"/>
    <cellStyle name="Millares 8 4 2 4 2 2 4" xfId="4708" xr:uid="{E1389A6C-F1DF-4C79-B756-CAA3744EF7C5}"/>
    <cellStyle name="Millares 8 4 2 4 2 2 4 2" xfId="9562" xr:uid="{24EA7D5D-CA05-46FE-84D0-DEBF04DA48D1}"/>
    <cellStyle name="Millares 8 4 2 4 2 2 5" xfId="3496" xr:uid="{86E11127-7793-4BC9-9093-C71BDC91A6DC}"/>
    <cellStyle name="Millares 8 4 2 4 2 2 6" xfId="8352" xr:uid="{4F08FEB7-518D-4164-882A-DC72262E02CA}"/>
    <cellStyle name="Millares 8 4 2 4 2 3" xfId="5314" xr:uid="{25596E50-1664-4275-91EB-FB58A56D99CC}"/>
    <cellStyle name="Millares 8 4 2 4 2 3 2" xfId="10166" xr:uid="{FB244F0B-CA39-4ECE-A3E0-FDEFEEAA67CF}"/>
    <cellStyle name="Millares 8 4 2 4 2 4" xfId="6528" xr:uid="{0226B68C-A4A4-4F31-8E34-18FDE326644D}"/>
    <cellStyle name="Millares 8 4 2 4 2 4 2" xfId="11377" xr:uid="{CB502788-8C0A-4111-A2E8-8729CF9353CE}"/>
    <cellStyle name="Millares 8 4 2 4 2 5" xfId="4104" xr:uid="{022E2B5C-639A-4301-A7E7-1AB38DAD52F5}"/>
    <cellStyle name="Millares 8 4 2 4 2 5 2" xfId="8958" xr:uid="{FED9BD16-030B-49D0-B9B8-E446AD3D7262}"/>
    <cellStyle name="Millares 8 4 2 4 2 6" xfId="2891" xr:uid="{1FFE2F50-6CC7-40C2-9B73-2AAB5DB3502F}"/>
    <cellStyle name="Millares 8 4 2 4 2 7" xfId="7747" xr:uid="{FF128FC9-C2A4-4EB9-BA6C-F8050746FB40}"/>
    <cellStyle name="Millares 8 4 2 4 3" xfId="2272" xr:uid="{42289F53-0C05-499B-B1D6-2327DD65E6DE}"/>
    <cellStyle name="Millares 8 4 2 4 3 2" xfId="5918" xr:uid="{861BA69B-D007-4A76-BCA6-7B127447C524}"/>
    <cellStyle name="Millares 8 4 2 4 3 2 2" xfId="10770" xr:uid="{B3F269E9-8372-4CB1-A364-3FF43262E7C7}"/>
    <cellStyle name="Millares 8 4 2 4 3 3" xfId="7134" xr:uid="{CE2DA9E6-45C8-4319-AA0B-20CD0BB079D2}"/>
    <cellStyle name="Millares 8 4 2 4 3 3 2" xfId="11982" xr:uid="{041A6952-2B55-449E-9F4D-22228C7B1236}"/>
    <cellStyle name="Millares 8 4 2 4 3 4" xfId="4707" xr:uid="{7AEE7053-F2A8-4DDA-B6AD-198A351D3110}"/>
    <cellStyle name="Millares 8 4 2 4 3 4 2" xfId="9561" xr:uid="{760CB044-16B9-4BB7-A07A-5B91703990CC}"/>
    <cellStyle name="Millares 8 4 2 4 3 5" xfId="3495" xr:uid="{F87BA61E-CC3F-4A63-AFCF-58F172E31740}"/>
    <cellStyle name="Millares 8 4 2 4 3 6" xfId="8351" xr:uid="{9A9840ED-37CB-4340-83D8-853990764FDD}"/>
    <cellStyle name="Millares 8 4 2 4 4" xfId="5313" xr:uid="{981F909B-E353-40E3-8860-EB751233ECDC}"/>
    <cellStyle name="Millares 8 4 2 4 4 2" xfId="10165" xr:uid="{715DB92B-77A5-4F69-B2ED-7A83A2ABF8FC}"/>
    <cellStyle name="Millares 8 4 2 4 5" xfId="6527" xr:uid="{784822D5-B9BD-4168-A09B-747CAFDC6899}"/>
    <cellStyle name="Millares 8 4 2 4 5 2" xfId="11376" xr:uid="{1078253C-A8E2-4A7D-9F69-F8BD37EEA326}"/>
    <cellStyle name="Millares 8 4 2 4 6" xfId="4103" xr:uid="{95FBCE71-F090-4FEA-AF49-79B215978797}"/>
    <cellStyle name="Millares 8 4 2 4 6 2" xfId="8957" xr:uid="{FCBE9D2E-C11D-4915-9B58-9E2F07C2E4E2}"/>
    <cellStyle name="Millares 8 4 2 4 7" xfId="2890" xr:uid="{015628F8-B49D-4E03-AE6D-DDA7F3C1FED8}"/>
    <cellStyle name="Millares 8 4 2 4 8" xfId="7746" xr:uid="{11161CD4-68A0-4234-A6AF-CF19359454DC}"/>
    <cellStyle name="Millares 8 4 2 5" xfId="1605" xr:uid="{DC46851D-3A88-4AF6-9997-A776A4110D20}"/>
    <cellStyle name="Millares 8 4 2 5 2" xfId="2274" xr:uid="{14E1A40E-7410-4D67-86C5-F2FD5EBB3D02}"/>
    <cellStyle name="Millares 8 4 2 5 2 2" xfId="5920" xr:uid="{2CFE6933-1193-482D-8701-AB809F8645C5}"/>
    <cellStyle name="Millares 8 4 2 5 2 2 2" xfId="10772" xr:uid="{E5D883D9-FAB8-4FCB-9F07-177C9C530B47}"/>
    <cellStyle name="Millares 8 4 2 5 2 3" xfId="7136" xr:uid="{4B982449-23F5-407F-8E39-85D86F03EE33}"/>
    <cellStyle name="Millares 8 4 2 5 2 3 2" xfId="11984" xr:uid="{DFC964CD-D161-4BCC-AA58-FC0CB3677B33}"/>
    <cellStyle name="Millares 8 4 2 5 2 4" xfId="4709" xr:uid="{9790483B-9974-4E39-9B09-8978F49564B6}"/>
    <cellStyle name="Millares 8 4 2 5 2 4 2" xfId="9563" xr:uid="{8E75F0ED-8F77-47B9-8E98-09FD37C5B2BE}"/>
    <cellStyle name="Millares 8 4 2 5 2 5" xfId="3497" xr:uid="{2D53E3BB-B0F8-49E1-8378-3013A378FA0D}"/>
    <cellStyle name="Millares 8 4 2 5 2 6" xfId="8353" xr:uid="{F99F6E8B-1C3B-46D7-B096-4ED08DFB5C23}"/>
    <cellStyle name="Millares 8 4 2 5 3" xfId="5315" xr:uid="{A37EC2B3-42C4-4DCB-BDD4-E0DAC1952938}"/>
    <cellStyle name="Millares 8 4 2 5 3 2" xfId="10167" xr:uid="{E253F7E3-14CE-42B7-8A2D-0770BBCDDF8A}"/>
    <cellStyle name="Millares 8 4 2 5 4" xfId="6529" xr:uid="{8C09749A-3631-4BC2-B6F1-EE90581908A6}"/>
    <cellStyle name="Millares 8 4 2 5 4 2" xfId="11378" xr:uid="{F07D9120-D118-42FF-B987-175988A34628}"/>
    <cellStyle name="Millares 8 4 2 5 5" xfId="4105" xr:uid="{9CF00A8F-B050-4AC2-A017-4D4C0142417F}"/>
    <cellStyle name="Millares 8 4 2 5 5 2" xfId="8959" xr:uid="{B271B899-B401-45FF-8B19-C5D9513F6C78}"/>
    <cellStyle name="Millares 8 4 2 5 6" xfId="2892" xr:uid="{4C5DA782-2498-437E-857A-75AAB30781F3}"/>
    <cellStyle name="Millares 8 4 2 5 7" xfId="7748" xr:uid="{86ADBC3B-7708-441A-BB96-7D1375F20726}"/>
    <cellStyle name="Millares 8 4 2 6" xfId="2263" xr:uid="{980282E9-53BF-4FBF-BB1D-04D7F7B180A7}"/>
    <cellStyle name="Millares 8 4 2 6 2" xfId="5909" xr:uid="{80F24434-6610-4751-99A5-DF4F37883684}"/>
    <cellStyle name="Millares 8 4 2 6 2 2" xfId="10761" xr:uid="{F20235D7-B207-416C-A253-6262CC696E3F}"/>
    <cellStyle name="Millares 8 4 2 6 3" xfId="7125" xr:uid="{C862D17B-7F6E-4796-B718-104426F24818}"/>
    <cellStyle name="Millares 8 4 2 6 3 2" xfId="11973" xr:uid="{0D5703E5-C97F-4575-BDC3-ECA47C8B01EC}"/>
    <cellStyle name="Millares 8 4 2 6 4" xfId="4698" xr:uid="{5EC6D5E1-9833-4570-BE62-7922EC8A1914}"/>
    <cellStyle name="Millares 8 4 2 6 4 2" xfId="9552" xr:uid="{D2B658D8-6BDA-4C4F-B141-CC5302306BBF}"/>
    <cellStyle name="Millares 8 4 2 6 5" xfId="3486" xr:uid="{39135928-D022-45BF-8922-92FCFCF6FE4E}"/>
    <cellStyle name="Millares 8 4 2 6 6" xfId="8342" xr:uid="{96B86857-9443-49D0-ADBE-42A051405247}"/>
    <cellStyle name="Millares 8 4 2 7" xfId="5304" xr:uid="{112D694E-A649-4A16-8BF7-2BD7EA8CA584}"/>
    <cellStyle name="Millares 8 4 2 7 2" xfId="10156" xr:uid="{0C6105BE-A0C1-4208-8227-5001D2A3E334}"/>
    <cellStyle name="Millares 8 4 2 8" xfId="6518" xr:uid="{F57BDADB-3990-45F3-A069-667F34D0811D}"/>
    <cellStyle name="Millares 8 4 2 8 2" xfId="11367" xr:uid="{E74F0196-9A6F-4A06-A8E9-9157658A7CC0}"/>
    <cellStyle name="Millares 8 4 2 9" xfId="4094" xr:uid="{C5F3803E-2C7C-44FE-92F4-FE70C620BEFA}"/>
    <cellStyle name="Millares 8 4 2 9 2" xfId="8948" xr:uid="{88E12274-E6B7-4995-A96E-38C2AB299003}"/>
    <cellStyle name="Millares 8 4 3" xfId="1606" xr:uid="{D7006C19-72C6-4423-9F9A-83E7AA08ED1E}"/>
    <cellStyle name="Millares 8 4 3 2" xfId="1607" xr:uid="{60EA3CE3-7806-4F23-B92B-CB52C98E99BB}"/>
    <cellStyle name="Millares 8 4 3 2 2" xfId="1608" xr:uid="{45F2587B-2E75-4899-985D-23D75854360F}"/>
    <cellStyle name="Millares 8 4 3 2 2 2" xfId="2277" xr:uid="{F895848C-6821-4092-BB71-F81D698943C8}"/>
    <cellStyle name="Millares 8 4 3 2 2 2 2" xfId="5923" xr:uid="{F7F75A99-FE83-496D-8C7B-11B59094222E}"/>
    <cellStyle name="Millares 8 4 3 2 2 2 2 2" xfId="10775" xr:uid="{81331C1A-7B6B-4D33-B977-BA345CD5420B}"/>
    <cellStyle name="Millares 8 4 3 2 2 2 3" xfId="7139" xr:uid="{1FBCF88E-DB6C-4136-ADB2-F1F54BC87869}"/>
    <cellStyle name="Millares 8 4 3 2 2 2 3 2" xfId="11987" xr:uid="{45CAC2C3-927E-4ECF-BDF5-56920CD0B8AB}"/>
    <cellStyle name="Millares 8 4 3 2 2 2 4" xfId="4712" xr:uid="{FC8DCC74-F383-446A-B343-966236E05D2C}"/>
    <cellStyle name="Millares 8 4 3 2 2 2 4 2" xfId="9566" xr:uid="{F5AF472B-434E-4648-97BA-57F53C57DE4C}"/>
    <cellStyle name="Millares 8 4 3 2 2 2 5" xfId="3500" xr:uid="{31E24035-FBC6-4B57-96E8-E2C753CBE3A8}"/>
    <cellStyle name="Millares 8 4 3 2 2 2 6" xfId="8356" xr:uid="{8961CF23-5E3B-4736-BF19-136CD849BF71}"/>
    <cellStyle name="Millares 8 4 3 2 2 3" xfId="5318" xr:uid="{7C32F2B6-BB71-4082-B750-AD1CB02EAC9F}"/>
    <cellStyle name="Millares 8 4 3 2 2 3 2" xfId="10170" xr:uid="{9A69993A-AB5E-4123-8F7B-9DE9F6F6BAD5}"/>
    <cellStyle name="Millares 8 4 3 2 2 4" xfId="6532" xr:uid="{41E7A10A-A7FC-417E-8D5E-F44A922B4451}"/>
    <cellStyle name="Millares 8 4 3 2 2 4 2" xfId="11381" xr:uid="{AB743033-4E88-4EFF-8D6D-6C203D05CF8B}"/>
    <cellStyle name="Millares 8 4 3 2 2 5" xfId="4108" xr:uid="{688EEFB2-2128-43A6-843C-A69B7D5FB474}"/>
    <cellStyle name="Millares 8 4 3 2 2 5 2" xfId="8962" xr:uid="{983DB840-B5B8-4315-9257-19AEAE1132AE}"/>
    <cellStyle name="Millares 8 4 3 2 2 6" xfId="2895" xr:uid="{014740C5-CC84-4DC6-B790-92C449A8B918}"/>
    <cellStyle name="Millares 8 4 3 2 2 7" xfId="7751" xr:uid="{2768F0CB-81A6-4376-AE75-C4AD65DC2A0E}"/>
    <cellStyle name="Millares 8 4 3 2 3" xfId="2276" xr:uid="{39690E05-912B-4FD2-B739-27F82A2DDA4B}"/>
    <cellStyle name="Millares 8 4 3 2 3 2" xfId="5922" xr:uid="{0E9FE299-9AC8-444E-A2B2-D3DC2ED01990}"/>
    <cellStyle name="Millares 8 4 3 2 3 2 2" xfId="10774" xr:uid="{B5D32316-3489-40AC-A7E4-01822ED88A73}"/>
    <cellStyle name="Millares 8 4 3 2 3 3" xfId="7138" xr:uid="{B303AC0A-6534-4707-BC9C-487AD11E46D7}"/>
    <cellStyle name="Millares 8 4 3 2 3 3 2" xfId="11986" xr:uid="{2C79FDEE-4BD8-41B8-9D0F-BE67CF22C9EE}"/>
    <cellStyle name="Millares 8 4 3 2 3 4" xfId="4711" xr:uid="{2079C76A-5199-472C-9A76-3EF790358FB9}"/>
    <cellStyle name="Millares 8 4 3 2 3 4 2" xfId="9565" xr:uid="{FEC30383-2738-4048-A395-DB7C76360A00}"/>
    <cellStyle name="Millares 8 4 3 2 3 5" xfId="3499" xr:uid="{E089D1BD-165D-48B6-ACD7-1C6CC779C8DA}"/>
    <cellStyle name="Millares 8 4 3 2 3 6" xfId="8355" xr:uid="{263655A2-8EFB-4948-9AC1-FFAFD84A8435}"/>
    <cellStyle name="Millares 8 4 3 2 4" xfId="5317" xr:uid="{0DE6E2EA-F177-4230-99E1-69FA1A608461}"/>
    <cellStyle name="Millares 8 4 3 2 4 2" xfId="10169" xr:uid="{E088BF50-7A82-4CF8-8A53-9F2B4E55D7B9}"/>
    <cellStyle name="Millares 8 4 3 2 5" xfId="6531" xr:uid="{BD6FE55E-79A5-4516-85A6-994EA0354DF5}"/>
    <cellStyle name="Millares 8 4 3 2 5 2" xfId="11380" xr:uid="{E6513E28-BF34-4639-856F-0E050D33AF46}"/>
    <cellStyle name="Millares 8 4 3 2 6" xfId="4107" xr:uid="{BBC8AB2E-DFB4-43A8-84AD-2D285910BC11}"/>
    <cellStyle name="Millares 8 4 3 2 6 2" xfId="8961" xr:uid="{6B2E9FF7-2ACE-4CFF-A460-1C0EDD3C68C7}"/>
    <cellStyle name="Millares 8 4 3 2 7" xfId="2894" xr:uid="{7419F15F-1FBA-4745-9A56-86F75DAF8CC8}"/>
    <cellStyle name="Millares 8 4 3 2 8" xfId="7750" xr:uid="{C8C4E7C5-6FB4-4475-AC69-B2AD7A8125EC}"/>
    <cellStyle name="Millares 8 4 3 3" xfId="1609" xr:uid="{5CF92011-2CF4-4FC0-A655-06FFB10BC012}"/>
    <cellStyle name="Millares 8 4 3 3 2" xfId="2278" xr:uid="{CEEC0337-E4AF-4C6D-8789-45754261F955}"/>
    <cellStyle name="Millares 8 4 3 3 2 2" xfId="5924" xr:uid="{952077BE-7E95-4E45-8311-2AEB5F77533D}"/>
    <cellStyle name="Millares 8 4 3 3 2 2 2" xfId="10776" xr:uid="{3EF53755-9990-4AF8-8ACE-169E3E07C66C}"/>
    <cellStyle name="Millares 8 4 3 3 2 3" xfId="7140" xr:uid="{F8A79CD7-8C97-49BD-89F3-0EC91F072D4A}"/>
    <cellStyle name="Millares 8 4 3 3 2 3 2" xfId="11988" xr:uid="{720B9EFC-9C3D-439E-855C-79FDF39A40B2}"/>
    <cellStyle name="Millares 8 4 3 3 2 4" xfId="4713" xr:uid="{50FD2097-0E05-4BF0-8606-39961237CB11}"/>
    <cellStyle name="Millares 8 4 3 3 2 4 2" xfId="9567" xr:uid="{72B455C4-0D99-4F69-A1A0-629BD32715BE}"/>
    <cellStyle name="Millares 8 4 3 3 2 5" xfId="3501" xr:uid="{D66DA00E-9240-4101-B2BB-B57489D79F7A}"/>
    <cellStyle name="Millares 8 4 3 3 2 6" xfId="8357" xr:uid="{1DBA463D-9663-4AEE-AE66-8A0AA6E7B7B8}"/>
    <cellStyle name="Millares 8 4 3 3 3" xfId="5319" xr:uid="{8BF0B363-25EF-4E20-A52C-2634EA7D576C}"/>
    <cellStyle name="Millares 8 4 3 3 3 2" xfId="10171" xr:uid="{66BE2B54-66D4-4B75-8B3D-52A1BA44C3E7}"/>
    <cellStyle name="Millares 8 4 3 3 4" xfId="6533" xr:uid="{A160027D-5D74-4EC6-B5B6-1F0AC40D01FC}"/>
    <cellStyle name="Millares 8 4 3 3 4 2" xfId="11382" xr:uid="{DF7EC495-3E46-421D-A1AE-BAAEFC63ECC4}"/>
    <cellStyle name="Millares 8 4 3 3 5" xfId="4109" xr:uid="{9333697B-5BC9-4281-BEAC-E22EB5DCF86C}"/>
    <cellStyle name="Millares 8 4 3 3 5 2" xfId="8963" xr:uid="{AA28D15B-A3C4-4E1D-B7FD-8F9BCA6B2475}"/>
    <cellStyle name="Millares 8 4 3 3 6" xfId="2896" xr:uid="{24B58570-750F-4FD2-9FDF-28527D30A838}"/>
    <cellStyle name="Millares 8 4 3 3 7" xfId="7752" xr:uid="{751E9446-3CFD-4541-8802-1A41A4BAA48E}"/>
    <cellStyle name="Millares 8 4 3 4" xfId="2275" xr:uid="{099EDB42-F464-46E2-8392-C3F0513A2186}"/>
    <cellStyle name="Millares 8 4 3 4 2" xfId="5921" xr:uid="{7074BA8E-672C-4E51-AC84-603C3545AF4A}"/>
    <cellStyle name="Millares 8 4 3 4 2 2" xfId="10773" xr:uid="{7E610BFF-643E-4F75-85C5-5D61C042DB81}"/>
    <cellStyle name="Millares 8 4 3 4 3" xfId="7137" xr:uid="{43DC316C-ED96-4ACD-9614-2E1C8F471344}"/>
    <cellStyle name="Millares 8 4 3 4 3 2" xfId="11985" xr:uid="{8F752EA9-C5B1-4E91-B6C2-BEFC4EAAD333}"/>
    <cellStyle name="Millares 8 4 3 4 4" xfId="4710" xr:uid="{16281082-6DC5-4972-BB01-3AA21797431C}"/>
    <cellStyle name="Millares 8 4 3 4 4 2" xfId="9564" xr:uid="{E4110653-1DB2-43C0-A401-4A68360571EF}"/>
    <cellStyle name="Millares 8 4 3 4 5" xfId="3498" xr:uid="{1FEFE46C-A7AF-4D18-87A6-055AF7EDB5DA}"/>
    <cellStyle name="Millares 8 4 3 4 6" xfId="8354" xr:uid="{E91F1576-1045-44A3-9433-7D63DF7D42B5}"/>
    <cellStyle name="Millares 8 4 3 5" xfId="5316" xr:uid="{8A4C31D4-6A59-4D06-83EE-C8ECD06C416B}"/>
    <cellStyle name="Millares 8 4 3 5 2" xfId="10168" xr:uid="{C416E341-DDE0-4C5A-B150-A2B6E6F1EF33}"/>
    <cellStyle name="Millares 8 4 3 6" xfId="6530" xr:uid="{E9BDEEF3-5EEE-4BC6-B9B5-7AEB1D384285}"/>
    <cellStyle name="Millares 8 4 3 6 2" xfId="11379" xr:uid="{D1AE36D0-3101-4FAF-B788-5EE481A36269}"/>
    <cellStyle name="Millares 8 4 3 7" xfId="4106" xr:uid="{2AD2FC69-98C2-46D4-BD30-186C8EEEFB85}"/>
    <cellStyle name="Millares 8 4 3 7 2" xfId="8960" xr:uid="{A3DAE70D-F4E7-46C4-8BA2-88D9255F901B}"/>
    <cellStyle name="Millares 8 4 3 8" xfId="2893" xr:uid="{41A43915-3748-41A0-AB36-5E24AA4E99BD}"/>
    <cellStyle name="Millares 8 4 3 9" xfId="7749" xr:uid="{4B7C3F2C-343D-421C-BBFD-BA2B91C2C45D}"/>
    <cellStyle name="Millares 8 4 4" xfId="1610" xr:uid="{21FDF04F-8545-49DA-B256-45F5F437806F}"/>
    <cellStyle name="Millares 8 4 4 2" xfId="1611" xr:uid="{110132FD-A6E6-4E97-AAF8-1C65958BCE42}"/>
    <cellStyle name="Millares 8 4 4 2 2" xfId="1612" xr:uid="{000E3E7C-5202-4D2B-AC24-F2CA380CBAB4}"/>
    <cellStyle name="Millares 8 4 4 2 2 2" xfId="2281" xr:uid="{B497AADC-6A0C-4352-A789-DB78CA4979CA}"/>
    <cellStyle name="Millares 8 4 4 2 2 2 2" xfId="5927" xr:uid="{07A176DC-2D2E-4870-A135-65E38C2BF754}"/>
    <cellStyle name="Millares 8 4 4 2 2 2 2 2" xfId="10779" xr:uid="{E6F52C28-8381-4976-91D5-E25FA72C7297}"/>
    <cellStyle name="Millares 8 4 4 2 2 2 3" xfId="7143" xr:uid="{0A37704F-20F8-4C67-BD8B-9578F4E6EB49}"/>
    <cellStyle name="Millares 8 4 4 2 2 2 3 2" xfId="11991" xr:uid="{BC09C1FF-4B38-4F04-854F-602EE340783A}"/>
    <cellStyle name="Millares 8 4 4 2 2 2 4" xfId="4716" xr:uid="{209A1C8A-9F71-4D03-97CD-690EB76D2ACB}"/>
    <cellStyle name="Millares 8 4 4 2 2 2 4 2" xfId="9570" xr:uid="{49423ABF-3A5F-4A5D-B602-23B0135AC754}"/>
    <cellStyle name="Millares 8 4 4 2 2 2 5" xfId="3504" xr:uid="{0399406C-8791-4663-9037-030C62F950A7}"/>
    <cellStyle name="Millares 8 4 4 2 2 2 6" xfId="8360" xr:uid="{A6E3AD8B-7F68-4EBE-8FF8-D93477793545}"/>
    <cellStyle name="Millares 8 4 4 2 2 3" xfId="5322" xr:uid="{E63D0088-E341-4A73-8696-923CDB8A5F94}"/>
    <cellStyle name="Millares 8 4 4 2 2 3 2" xfId="10174" xr:uid="{6E042E08-9A5A-490D-B8A1-EBB6ED7A69BA}"/>
    <cellStyle name="Millares 8 4 4 2 2 4" xfId="6536" xr:uid="{E51676D5-BE06-4D52-BCBA-FCD035A53EE2}"/>
    <cellStyle name="Millares 8 4 4 2 2 4 2" xfId="11385" xr:uid="{F0C1E00E-E2E1-48F4-A6B1-1C1789FD31BB}"/>
    <cellStyle name="Millares 8 4 4 2 2 5" xfId="4112" xr:uid="{0CEB7FED-DC70-49ED-A6CE-0085F63DB0AF}"/>
    <cellStyle name="Millares 8 4 4 2 2 5 2" xfId="8966" xr:uid="{4DB94316-6607-4CD2-B27B-BA0023A6D0EB}"/>
    <cellStyle name="Millares 8 4 4 2 2 6" xfId="2899" xr:uid="{0D0ABFD8-4C3E-4BC2-9F3C-56994535D137}"/>
    <cellStyle name="Millares 8 4 4 2 2 7" xfId="7755" xr:uid="{B71E3471-CFC8-420B-8A02-BFF14216D5CB}"/>
    <cellStyle name="Millares 8 4 4 2 3" xfId="2280" xr:uid="{D0BCC3AF-06D9-485B-A648-49FB27FFA7B9}"/>
    <cellStyle name="Millares 8 4 4 2 3 2" xfId="5926" xr:uid="{B694365C-7538-4E4F-8EBF-72AA6B89ACFC}"/>
    <cellStyle name="Millares 8 4 4 2 3 2 2" xfId="10778" xr:uid="{3072B36A-D6CE-4CDF-8B09-E36FCEABB528}"/>
    <cellStyle name="Millares 8 4 4 2 3 3" xfId="7142" xr:uid="{09652F6B-759D-45BF-9D69-9B57F027274B}"/>
    <cellStyle name="Millares 8 4 4 2 3 3 2" xfId="11990" xr:uid="{7898EBCC-258F-4BB3-AA93-D6B192C2A340}"/>
    <cellStyle name="Millares 8 4 4 2 3 4" xfId="4715" xr:uid="{3894B986-2BAF-448E-894F-D3A360F990A7}"/>
    <cellStyle name="Millares 8 4 4 2 3 4 2" xfId="9569" xr:uid="{C8ABD3FA-8C52-46CB-8B68-F89789068761}"/>
    <cellStyle name="Millares 8 4 4 2 3 5" xfId="3503" xr:uid="{143A3DB4-2616-4B90-8046-E7E3D8C36234}"/>
    <cellStyle name="Millares 8 4 4 2 3 6" xfId="8359" xr:uid="{6128FA0D-0E08-49BC-A884-58F0B2D00BE7}"/>
    <cellStyle name="Millares 8 4 4 2 4" xfId="5321" xr:uid="{2A05B246-9087-456C-B498-4F023E3F67F2}"/>
    <cellStyle name="Millares 8 4 4 2 4 2" xfId="10173" xr:uid="{050E047F-A957-4601-B39D-8E98EBD2E398}"/>
    <cellStyle name="Millares 8 4 4 2 5" xfId="6535" xr:uid="{2AD845BE-E2F7-420A-9D56-D9CCF30460B4}"/>
    <cellStyle name="Millares 8 4 4 2 5 2" xfId="11384" xr:uid="{70CDD8B5-B8D4-4342-9A38-10B8C86C70B3}"/>
    <cellStyle name="Millares 8 4 4 2 6" xfId="4111" xr:uid="{D6A08F31-E67D-42A2-8579-06AC0F106E89}"/>
    <cellStyle name="Millares 8 4 4 2 6 2" xfId="8965" xr:uid="{732BF67E-E32C-474D-AF81-0D46FC3FCB32}"/>
    <cellStyle name="Millares 8 4 4 2 7" xfId="2898" xr:uid="{EA11E4A6-FD49-47CD-A8AE-6927BF4F5A90}"/>
    <cellStyle name="Millares 8 4 4 2 8" xfId="7754" xr:uid="{8ADC1B54-3193-49F8-A2D3-EC9A541E3813}"/>
    <cellStyle name="Millares 8 4 4 3" xfId="1613" xr:uid="{2368B2BF-5B13-4962-A725-AE52096B3A4C}"/>
    <cellStyle name="Millares 8 4 4 3 2" xfId="2282" xr:uid="{5342FB95-17B9-4B4D-8FEC-C29E760894A4}"/>
    <cellStyle name="Millares 8 4 4 3 2 2" xfId="5928" xr:uid="{42AF06E9-29F4-4E3D-9337-B2C15D0E7277}"/>
    <cellStyle name="Millares 8 4 4 3 2 2 2" xfId="10780" xr:uid="{518FDF99-B79C-4908-BC92-D8D93E0DC548}"/>
    <cellStyle name="Millares 8 4 4 3 2 3" xfId="7144" xr:uid="{7105A5AC-4607-455F-8D43-3672E8F87315}"/>
    <cellStyle name="Millares 8 4 4 3 2 3 2" xfId="11992" xr:uid="{9642E4F0-1D97-4CBF-8A0B-54A6EC963FB3}"/>
    <cellStyle name="Millares 8 4 4 3 2 4" xfId="4717" xr:uid="{74F1CE95-4199-4332-9E13-8BFACCC50D51}"/>
    <cellStyle name="Millares 8 4 4 3 2 4 2" xfId="9571" xr:uid="{0B193FE0-38C1-481D-BB29-F88AD1BF1B48}"/>
    <cellStyle name="Millares 8 4 4 3 2 5" xfId="3505" xr:uid="{A0EB37A9-F4E9-4FFE-A693-DBECC85951FA}"/>
    <cellStyle name="Millares 8 4 4 3 2 6" xfId="8361" xr:uid="{D1392F62-1A60-4205-A5DE-827BE50ADD4A}"/>
    <cellStyle name="Millares 8 4 4 3 3" xfId="5323" xr:uid="{C54A5FC2-A73A-41AE-90DE-2C0C3A95495D}"/>
    <cellStyle name="Millares 8 4 4 3 3 2" xfId="10175" xr:uid="{8B5136DB-1646-420C-B0A6-1F2E87123CFF}"/>
    <cellStyle name="Millares 8 4 4 3 4" xfId="6537" xr:uid="{8B240C31-83CC-4795-8F01-D77A7D353D7E}"/>
    <cellStyle name="Millares 8 4 4 3 4 2" xfId="11386" xr:uid="{F95A148F-3F7B-4EC2-9138-25E0E5DFBAC4}"/>
    <cellStyle name="Millares 8 4 4 3 5" xfId="4113" xr:uid="{47828E3F-1905-4A57-9589-63EC7B903529}"/>
    <cellStyle name="Millares 8 4 4 3 5 2" xfId="8967" xr:uid="{BBD385AA-77C6-41B9-822D-136CE59FB55D}"/>
    <cellStyle name="Millares 8 4 4 3 6" xfId="2900" xr:uid="{EE25699F-7ABF-4C63-85AC-58CABF4F4D28}"/>
    <cellStyle name="Millares 8 4 4 3 7" xfId="7756" xr:uid="{AAFA8261-D4A7-426E-A2EB-C336A6A6F598}"/>
    <cellStyle name="Millares 8 4 4 4" xfId="2279" xr:uid="{527C87C6-F9B1-4E77-BF20-CEA8C7D6DB97}"/>
    <cellStyle name="Millares 8 4 4 4 2" xfId="5925" xr:uid="{A1CFCBB9-0B52-469C-B784-4F2BAF7929CC}"/>
    <cellStyle name="Millares 8 4 4 4 2 2" xfId="10777" xr:uid="{43ADBD11-0DA6-433C-879D-50FBC66D62D5}"/>
    <cellStyle name="Millares 8 4 4 4 3" xfId="7141" xr:uid="{11A07616-904A-434E-AFC1-10BC678CC05B}"/>
    <cellStyle name="Millares 8 4 4 4 3 2" xfId="11989" xr:uid="{B4EA5724-8390-407A-99E4-D941478F5A1C}"/>
    <cellStyle name="Millares 8 4 4 4 4" xfId="4714" xr:uid="{48352974-B4C6-4F37-A780-6B29125CC851}"/>
    <cellStyle name="Millares 8 4 4 4 4 2" xfId="9568" xr:uid="{0BA9DAC8-EF98-48F3-B732-1ED90BFEFD00}"/>
    <cellStyle name="Millares 8 4 4 4 5" xfId="3502" xr:uid="{E4601ED2-D7F5-4219-B4C6-51B5E82B1466}"/>
    <cellStyle name="Millares 8 4 4 4 6" xfId="8358" xr:uid="{65493054-CAAA-49E4-8314-F9F2A1BFF47C}"/>
    <cellStyle name="Millares 8 4 4 5" xfId="5320" xr:uid="{F9F03366-9091-43CE-8753-14FA84F28BA5}"/>
    <cellStyle name="Millares 8 4 4 5 2" xfId="10172" xr:uid="{5BDA2BD9-5ACD-4545-AB94-6E31E5604BBE}"/>
    <cellStyle name="Millares 8 4 4 6" xfId="6534" xr:uid="{6CDDCA2F-45F3-4454-9668-E33D04DED346}"/>
    <cellStyle name="Millares 8 4 4 6 2" xfId="11383" xr:uid="{DB376BDA-1DB5-4DD9-B57A-D8FB3764CD18}"/>
    <cellStyle name="Millares 8 4 4 7" xfId="4110" xr:uid="{25C5E321-9872-4372-97D1-6A99BB9C7461}"/>
    <cellStyle name="Millares 8 4 4 7 2" xfId="8964" xr:uid="{B1BA549D-4CB0-47F4-AE42-61705E16C808}"/>
    <cellStyle name="Millares 8 4 4 8" xfId="2897" xr:uid="{3E751F98-7276-43BD-B9F3-94E8E3820E5B}"/>
    <cellStyle name="Millares 8 4 4 9" xfId="7753" xr:uid="{F9841B96-7E28-4530-823F-8FBA919649EE}"/>
    <cellStyle name="Millares 8 4 5" xfId="1614" xr:uid="{A0B2DD79-7079-4641-A99A-F76E818EAE3A}"/>
    <cellStyle name="Millares 8 4 5 2" xfId="1615" xr:uid="{2CDB7020-FDEC-41E9-89FC-BE9DA63DF044}"/>
    <cellStyle name="Millares 8 4 5 2 2" xfId="2284" xr:uid="{E1F7DEA2-1B5C-47CA-A893-34B0170A07F6}"/>
    <cellStyle name="Millares 8 4 5 2 2 2" xfId="5930" xr:uid="{386DAAD1-3BE8-4D51-9C45-00159322D27D}"/>
    <cellStyle name="Millares 8 4 5 2 2 2 2" xfId="10782" xr:uid="{42B22116-1E03-4868-9B4E-168E40B4266E}"/>
    <cellStyle name="Millares 8 4 5 2 2 3" xfId="7146" xr:uid="{A8DC1CE8-94C5-4818-B339-ACC3C602F9CE}"/>
    <cellStyle name="Millares 8 4 5 2 2 3 2" xfId="11994" xr:uid="{B1FA6EBF-D102-4DC9-867C-9CD66E7A57F6}"/>
    <cellStyle name="Millares 8 4 5 2 2 4" xfId="4719" xr:uid="{FD67B6B6-2AEA-4252-A21D-F9C89693ACB0}"/>
    <cellStyle name="Millares 8 4 5 2 2 4 2" xfId="9573" xr:uid="{E3C3FB67-EA14-4569-BB9B-05F3F9F6794F}"/>
    <cellStyle name="Millares 8 4 5 2 2 5" xfId="3507" xr:uid="{2369F187-BC74-4A29-AA12-2D2FDCD601D5}"/>
    <cellStyle name="Millares 8 4 5 2 2 6" xfId="8363" xr:uid="{A58E27BF-7CB4-4EE5-8C9C-A8327910C47D}"/>
    <cellStyle name="Millares 8 4 5 2 3" xfId="5325" xr:uid="{90F6B2C5-DF35-4D38-B34F-F3E16B9197CC}"/>
    <cellStyle name="Millares 8 4 5 2 3 2" xfId="10177" xr:uid="{5AC45B12-8A41-45CA-8C10-FB14ACED2661}"/>
    <cellStyle name="Millares 8 4 5 2 4" xfId="6539" xr:uid="{BBE7C967-0433-451C-B382-29C3714F1D0D}"/>
    <cellStyle name="Millares 8 4 5 2 4 2" xfId="11388" xr:uid="{702817C3-9585-4C74-B90A-DDEA9512CC89}"/>
    <cellStyle name="Millares 8 4 5 2 5" xfId="4115" xr:uid="{1D4E5BC0-1B6F-49B5-82B3-48AACE6BA344}"/>
    <cellStyle name="Millares 8 4 5 2 5 2" xfId="8969" xr:uid="{63608C80-4C44-4F20-9EFE-7777DC996213}"/>
    <cellStyle name="Millares 8 4 5 2 6" xfId="2902" xr:uid="{A6160D7E-40F4-408C-BC34-B642DD095E4F}"/>
    <cellStyle name="Millares 8 4 5 2 7" xfId="7758" xr:uid="{DEF83378-3329-439D-896C-BEFDD5FB41D2}"/>
    <cellStyle name="Millares 8 4 5 3" xfId="2283" xr:uid="{B369D36A-55AA-40CB-B0B9-90EDCD10A7DE}"/>
    <cellStyle name="Millares 8 4 5 3 2" xfId="5929" xr:uid="{73EF5B6C-B968-440B-8F45-33A702C55FFF}"/>
    <cellStyle name="Millares 8 4 5 3 2 2" xfId="10781" xr:uid="{42BDD394-EFC4-4B67-A43F-CD56367C3163}"/>
    <cellStyle name="Millares 8 4 5 3 3" xfId="7145" xr:uid="{38E67D50-AF19-4A74-8F92-5B89BBB413B3}"/>
    <cellStyle name="Millares 8 4 5 3 3 2" xfId="11993" xr:uid="{D0B559DE-E8CB-4830-88A6-BD0BD952E105}"/>
    <cellStyle name="Millares 8 4 5 3 4" xfId="4718" xr:uid="{9B41FC54-60BB-435A-82A7-962955D99279}"/>
    <cellStyle name="Millares 8 4 5 3 4 2" xfId="9572" xr:uid="{02AA5645-A5B0-4792-A3F7-E53504649F1B}"/>
    <cellStyle name="Millares 8 4 5 3 5" xfId="3506" xr:uid="{2EA5E081-A99D-46DA-AE67-6177E6DED870}"/>
    <cellStyle name="Millares 8 4 5 3 6" xfId="8362" xr:uid="{43395EFE-0C5E-46E8-8298-26099DDE647F}"/>
    <cellStyle name="Millares 8 4 5 4" xfId="5324" xr:uid="{1E7987FF-A410-4A70-8FB6-77EF082439EB}"/>
    <cellStyle name="Millares 8 4 5 4 2" xfId="10176" xr:uid="{0C02F43C-830A-4499-AEDE-B7FF0A7EAAED}"/>
    <cellStyle name="Millares 8 4 5 5" xfId="6538" xr:uid="{8FAFADC6-18C7-494F-B396-AB5BC9D63006}"/>
    <cellStyle name="Millares 8 4 5 5 2" xfId="11387" xr:uid="{4945C6E9-32B2-4134-98FE-6636D367698D}"/>
    <cellStyle name="Millares 8 4 5 6" xfId="4114" xr:uid="{FDECA4E9-163D-4504-9319-EEBCCFBF3608}"/>
    <cellStyle name="Millares 8 4 5 6 2" xfId="8968" xr:uid="{5EA4A21A-0242-4996-AFD6-F8997D87532E}"/>
    <cellStyle name="Millares 8 4 5 7" xfId="2901" xr:uid="{A8D12139-DD1A-4570-B4CD-96D471189CAC}"/>
    <cellStyle name="Millares 8 4 5 8" xfId="7757" xr:uid="{C784DE4A-C64E-42EF-8F9D-ED8BE9EA53AF}"/>
    <cellStyle name="Millares 8 4 6" xfId="1616" xr:uid="{2286D92F-FE99-4DFD-ADDE-678D0D398451}"/>
    <cellStyle name="Millares 8 4 6 2" xfId="2285" xr:uid="{A14A5615-5406-4BB8-8C42-BE0D7067782A}"/>
    <cellStyle name="Millares 8 4 6 2 2" xfId="5931" xr:uid="{F8B8254C-797D-4B99-84CB-B53E0836ED17}"/>
    <cellStyle name="Millares 8 4 6 2 2 2" xfId="10783" xr:uid="{DCC6B21E-C578-4C60-BA20-7C637E83505C}"/>
    <cellStyle name="Millares 8 4 6 2 3" xfId="7147" xr:uid="{F0271386-A1A6-4A31-A24F-E21030F18EC4}"/>
    <cellStyle name="Millares 8 4 6 2 3 2" xfId="11995" xr:uid="{6DF0BDC0-86AF-4EFA-BCA4-E7C8C49839DE}"/>
    <cellStyle name="Millares 8 4 6 2 4" xfId="4720" xr:uid="{2BD5725E-60DC-49B3-941C-3609B143144F}"/>
    <cellStyle name="Millares 8 4 6 2 4 2" xfId="9574" xr:uid="{930FB6CE-CBA8-4DF0-8AB9-F36D6C07C3EA}"/>
    <cellStyle name="Millares 8 4 6 2 5" xfId="3508" xr:uid="{04B97630-4FF7-4935-8A4C-259B53B528B1}"/>
    <cellStyle name="Millares 8 4 6 2 6" xfId="8364" xr:uid="{F91EB3AC-C481-4AD4-A78E-ED2F1A3FDEAF}"/>
    <cellStyle name="Millares 8 4 6 3" xfId="5326" xr:uid="{86979BCB-5CA8-41BB-B68B-7F0A691A0267}"/>
    <cellStyle name="Millares 8 4 6 3 2" xfId="10178" xr:uid="{2D326A49-77F8-4B4C-8EEC-B152AF2ACDB3}"/>
    <cellStyle name="Millares 8 4 6 4" xfId="6540" xr:uid="{6627FC19-FB82-47BE-BF6D-B77CA6B757CE}"/>
    <cellStyle name="Millares 8 4 6 4 2" xfId="11389" xr:uid="{54B78BCD-8F63-4404-8DB4-8FEE9D0DC28F}"/>
    <cellStyle name="Millares 8 4 6 5" xfId="4116" xr:uid="{0AAF2502-33F1-4D19-B53C-547430BE3FB9}"/>
    <cellStyle name="Millares 8 4 6 5 2" xfId="8970" xr:uid="{9EEFB3AD-6CD4-49E7-9CD7-91DE07B5E5B8}"/>
    <cellStyle name="Millares 8 4 6 6" xfId="2903" xr:uid="{7EBD9E9F-2120-4CCB-B1A8-F826D1B23373}"/>
    <cellStyle name="Millares 8 4 6 7" xfId="7759" xr:uid="{D601BE92-CD55-4C6B-8BC0-0ADA6E2D23FC}"/>
    <cellStyle name="Millares 8 4 7" xfId="2262" xr:uid="{B57655E3-B224-41DF-85E8-3A5FD8378619}"/>
    <cellStyle name="Millares 8 4 7 2" xfId="5908" xr:uid="{EC4B93CD-B8BE-4F34-94A0-DCBC3F86E47D}"/>
    <cellStyle name="Millares 8 4 7 2 2" xfId="10760" xr:uid="{0E2DE7D3-1D54-40CA-9900-44EC26F56A62}"/>
    <cellStyle name="Millares 8 4 7 3" xfId="7124" xr:uid="{EC41320A-79DD-44BE-831F-BC336E22B003}"/>
    <cellStyle name="Millares 8 4 7 3 2" xfId="11972" xr:uid="{C4A4D016-8905-4633-B9FD-00483B2C61D6}"/>
    <cellStyle name="Millares 8 4 7 4" xfId="4697" xr:uid="{91DED2C8-3C30-416C-91BE-DCD6950B13C7}"/>
    <cellStyle name="Millares 8 4 7 4 2" xfId="9551" xr:uid="{310CE084-E602-4536-8E7A-692BE12A4663}"/>
    <cellStyle name="Millares 8 4 7 5" xfId="3485" xr:uid="{74A36D8C-2C8B-4C2E-92F8-710B76175400}"/>
    <cellStyle name="Millares 8 4 7 6" xfId="8341" xr:uid="{1F1BB783-DB84-4E6A-8917-88141A8AAF76}"/>
    <cellStyle name="Millares 8 4 8" xfId="5303" xr:uid="{ED244393-A463-4722-A2AE-DC3C71C074B0}"/>
    <cellStyle name="Millares 8 4 8 2" xfId="10155" xr:uid="{8BA10DBB-16CC-402A-9AF9-3FE12F0AC390}"/>
    <cellStyle name="Millares 8 4 9" xfId="6517" xr:uid="{DBAF6C8A-9CF8-4736-9FCF-E35656030838}"/>
    <cellStyle name="Millares 8 4 9 2" xfId="11366" xr:uid="{2BF9AD9F-F83A-4240-A85E-5DAD82FC7A52}"/>
    <cellStyle name="Millares 8 5" xfId="1617" xr:uid="{08EDA41A-E487-48CD-B3B9-16B1FFDF6702}"/>
    <cellStyle name="Millares 8 5 10" xfId="4117" xr:uid="{9DF6AD8C-31D9-4FF0-A88C-671622A4591A}"/>
    <cellStyle name="Millares 8 5 10 2" xfId="8971" xr:uid="{0F894897-E2CA-4D4C-AC4B-BEF4F3610030}"/>
    <cellStyle name="Millares 8 5 11" xfId="2904" xr:uid="{B6BE681A-53D7-4C7A-B182-9FAC5EA2C5A1}"/>
    <cellStyle name="Millares 8 5 12" xfId="7760" xr:uid="{7EBF49EC-7453-4A62-BB51-7F9568749964}"/>
    <cellStyle name="Millares 8 5 2" xfId="1618" xr:uid="{12CBEBCC-0C1B-45A1-9861-555C63B8D2A8}"/>
    <cellStyle name="Millares 8 5 2 10" xfId="2905" xr:uid="{F5AB1D87-9208-4F97-8235-D8855E2A5EEA}"/>
    <cellStyle name="Millares 8 5 2 11" xfId="7761" xr:uid="{F6E217DA-9278-453E-AC72-626D8C4433D3}"/>
    <cellStyle name="Millares 8 5 2 2" xfId="1619" xr:uid="{3B50EC85-DC60-4EF9-9297-C4EFF1F49901}"/>
    <cellStyle name="Millares 8 5 2 2 2" xfId="1620" xr:uid="{B8F526D3-1143-4413-A3C3-5B44BCDE5D46}"/>
    <cellStyle name="Millares 8 5 2 2 2 2" xfId="1621" xr:uid="{6C273839-F50E-46A7-AAB1-8B7CD3D6FA40}"/>
    <cellStyle name="Millares 8 5 2 2 2 2 2" xfId="2290" xr:uid="{4CE32E23-BD3D-4898-A68A-0E9279298628}"/>
    <cellStyle name="Millares 8 5 2 2 2 2 2 2" xfId="5936" xr:uid="{CF5828AE-7C72-4360-9515-CD6E328C080C}"/>
    <cellStyle name="Millares 8 5 2 2 2 2 2 2 2" xfId="10788" xr:uid="{44C8B1D0-7B04-43DB-BCF5-CCE49262D61E}"/>
    <cellStyle name="Millares 8 5 2 2 2 2 2 3" xfId="7152" xr:uid="{10BFA743-58DA-4AEC-81B7-76044ABCAEE5}"/>
    <cellStyle name="Millares 8 5 2 2 2 2 2 3 2" xfId="12000" xr:uid="{D75CF831-35A5-4A74-B280-696437E05141}"/>
    <cellStyle name="Millares 8 5 2 2 2 2 2 4" xfId="4725" xr:uid="{0A8D429E-2081-4D8A-BC09-C3F22795427D}"/>
    <cellStyle name="Millares 8 5 2 2 2 2 2 4 2" xfId="9579" xr:uid="{67593A58-033E-4EA2-B237-1DDD73469A93}"/>
    <cellStyle name="Millares 8 5 2 2 2 2 2 5" xfId="3513" xr:uid="{166AF777-56B8-4400-BAC3-4531264D41AA}"/>
    <cellStyle name="Millares 8 5 2 2 2 2 2 6" xfId="8369" xr:uid="{8F87A95A-010C-472C-A706-4AB77C86DFF9}"/>
    <cellStyle name="Millares 8 5 2 2 2 2 3" xfId="5331" xr:uid="{2479F89F-9463-4062-8E0A-00D496060EA5}"/>
    <cellStyle name="Millares 8 5 2 2 2 2 3 2" xfId="10183" xr:uid="{DB853DFE-3C12-4E28-A9BD-D67EBDF57977}"/>
    <cellStyle name="Millares 8 5 2 2 2 2 4" xfId="6545" xr:uid="{E5071C90-CA67-4A6F-BC41-C460ACC615D0}"/>
    <cellStyle name="Millares 8 5 2 2 2 2 4 2" xfId="11394" xr:uid="{D7B293C3-B0EA-40B3-AE1C-53F9DFF32799}"/>
    <cellStyle name="Millares 8 5 2 2 2 2 5" xfId="4121" xr:uid="{DDD1E931-8F54-4E95-8918-A3EBC798B80D}"/>
    <cellStyle name="Millares 8 5 2 2 2 2 5 2" xfId="8975" xr:uid="{2B922C88-D7A1-4D3F-956F-E9D2C46B9D40}"/>
    <cellStyle name="Millares 8 5 2 2 2 2 6" xfId="2908" xr:uid="{C44F4696-A5C8-4F69-AA62-ABD4D62E9341}"/>
    <cellStyle name="Millares 8 5 2 2 2 2 7" xfId="7764" xr:uid="{FA75921E-01D5-4FF5-BD1C-D441AA9F5A23}"/>
    <cellStyle name="Millares 8 5 2 2 2 3" xfId="2289" xr:uid="{CC62D054-D96C-4181-BE7B-6F6CA6FE65F3}"/>
    <cellStyle name="Millares 8 5 2 2 2 3 2" xfId="5935" xr:uid="{FAD96C1B-71AD-4905-BA41-FEB86E26110F}"/>
    <cellStyle name="Millares 8 5 2 2 2 3 2 2" xfId="10787" xr:uid="{A4F3A9B0-9DC2-4A5D-A422-5BD589A1F588}"/>
    <cellStyle name="Millares 8 5 2 2 2 3 3" xfId="7151" xr:uid="{D61C6B23-D7B3-4E2B-90F2-64AC007225E4}"/>
    <cellStyle name="Millares 8 5 2 2 2 3 3 2" xfId="11999" xr:uid="{C3758FFC-DED4-46E6-9F7B-87B14C35BC18}"/>
    <cellStyle name="Millares 8 5 2 2 2 3 4" xfId="4724" xr:uid="{58942C91-581B-4C27-BB00-D6E594FF1E64}"/>
    <cellStyle name="Millares 8 5 2 2 2 3 4 2" xfId="9578" xr:uid="{9B0A5A16-B824-4AF6-8450-9962B3B161DF}"/>
    <cellStyle name="Millares 8 5 2 2 2 3 5" xfId="3512" xr:uid="{4C9096A9-BB97-4C3D-ABE7-695B10A06965}"/>
    <cellStyle name="Millares 8 5 2 2 2 3 6" xfId="8368" xr:uid="{28DE5B5B-6844-4CBA-A4FB-EB2141C2AF1B}"/>
    <cellStyle name="Millares 8 5 2 2 2 4" xfId="5330" xr:uid="{ECD64722-7AAC-4720-B197-6DE1AC68BDFF}"/>
    <cellStyle name="Millares 8 5 2 2 2 4 2" xfId="10182" xr:uid="{7F3AA536-E2AC-498E-806A-B47102EE17D9}"/>
    <cellStyle name="Millares 8 5 2 2 2 5" xfId="6544" xr:uid="{71174AC1-E757-4E9E-8E70-DAAA416F56E3}"/>
    <cellStyle name="Millares 8 5 2 2 2 5 2" xfId="11393" xr:uid="{011B4B67-E22D-4A17-AF2D-DFCADB372B82}"/>
    <cellStyle name="Millares 8 5 2 2 2 6" xfId="4120" xr:uid="{56BCFC41-1289-4708-85A3-C5CC3FF9073F}"/>
    <cellStyle name="Millares 8 5 2 2 2 6 2" xfId="8974" xr:uid="{D12F1E35-85F5-4204-A4CC-A6B49E4D6802}"/>
    <cellStyle name="Millares 8 5 2 2 2 7" xfId="2907" xr:uid="{79176543-08BA-44A1-956E-38E05447E76D}"/>
    <cellStyle name="Millares 8 5 2 2 2 8" xfId="7763" xr:uid="{69DBB968-BC34-48E6-BFBE-6B3862A7FD4E}"/>
    <cellStyle name="Millares 8 5 2 2 3" xfId="1622" xr:uid="{7AA1A629-94C6-42E7-9DC3-F24BC19A3C12}"/>
    <cellStyle name="Millares 8 5 2 2 3 2" xfId="2291" xr:uid="{12284C5D-84C6-41BD-A195-0FEEA09CEDE5}"/>
    <cellStyle name="Millares 8 5 2 2 3 2 2" xfId="5937" xr:uid="{C4DA07F6-334A-4482-AC51-CAEE16644800}"/>
    <cellStyle name="Millares 8 5 2 2 3 2 2 2" xfId="10789" xr:uid="{13338A28-F4FA-4691-970D-C41973853C97}"/>
    <cellStyle name="Millares 8 5 2 2 3 2 3" xfId="7153" xr:uid="{0F67F893-0FD6-41AA-A3B2-22FB1A545865}"/>
    <cellStyle name="Millares 8 5 2 2 3 2 3 2" xfId="12001" xr:uid="{D8205F3B-BEF1-4040-978F-55D616CB6CA6}"/>
    <cellStyle name="Millares 8 5 2 2 3 2 4" xfId="4726" xr:uid="{AA272D89-5244-4C6E-9C5F-4DA5B223E139}"/>
    <cellStyle name="Millares 8 5 2 2 3 2 4 2" xfId="9580" xr:uid="{E0C8F5CB-ECF6-4F82-BB71-C5E82E5ECB4F}"/>
    <cellStyle name="Millares 8 5 2 2 3 2 5" xfId="3514" xr:uid="{A835D666-4008-491D-BE51-77D7D9DF068E}"/>
    <cellStyle name="Millares 8 5 2 2 3 2 6" xfId="8370" xr:uid="{651165FA-B3C5-4A8F-B2E6-F01A35C1D6B1}"/>
    <cellStyle name="Millares 8 5 2 2 3 3" xfId="5332" xr:uid="{05329808-7143-4B06-ABE6-F13B32BD3EFD}"/>
    <cellStyle name="Millares 8 5 2 2 3 3 2" xfId="10184" xr:uid="{8C3EB3CB-0F4D-406C-94F9-461BD5516C7E}"/>
    <cellStyle name="Millares 8 5 2 2 3 4" xfId="6546" xr:uid="{303658FF-9316-409E-9C82-196CD3B427BD}"/>
    <cellStyle name="Millares 8 5 2 2 3 4 2" xfId="11395" xr:uid="{2A4AD975-FA72-4957-9505-867C3F29CBE4}"/>
    <cellStyle name="Millares 8 5 2 2 3 5" xfId="4122" xr:uid="{FAEB617D-51CB-4879-B2C4-5C0521C0EA28}"/>
    <cellStyle name="Millares 8 5 2 2 3 5 2" xfId="8976" xr:uid="{14A40157-E0A5-4C98-8645-5FE54780277B}"/>
    <cellStyle name="Millares 8 5 2 2 3 6" xfId="2909" xr:uid="{961A1288-0ABB-4FDB-8B64-592CE67672B4}"/>
    <cellStyle name="Millares 8 5 2 2 3 7" xfId="7765" xr:uid="{3921FA36-351F-4FA7-8833-C5EAB7935C9C}"/>
    <cellStyle name="Millares 8 5 2 2 4" xfId="2288" xr:uid="{05B39331-138F-4688-A508-5D0850675C28}"/>
    <cellStyle name="Millares 8 5 2 2 4 2" xfId="5934" xr:uid="{BEB3BA18-E26E-472A-80AC-0DE335E49959}"/>
    <cellStyle name="Millares 8 5 2 2 4 2 2" xfId="10786" xr:uid="{24C785AA-97DA-4192-B5D1-7EDA2FF4BE20}"/>
    <cellStyle name="Millares 8 5 2 2 4 3" xfId="7150" xr:uid="{03752AB9-658B-4ECB-B9BA-FA95F8881D65}"/>
    <cellStyle name="Millares 8 5 2 2 4 3 2" xfId="11998" xr:uid="{61506D0A-7521-4B86-B0E6-DC2E745CD3B3}"/>
    <cellStyle name="Millares 8 5 2 2 4 4" xfId="4723" xr:uid="{5C6B68FB-F861-4F17-BC3C-96F3A9B5B89E}"/>
    <cellStyle name="Millares 8 5 2 2 4 4 2" xfId="9577" xr:uid="{C0B3BF70-4477-406D-B4E8-C0C646AE5EA6}"/>
    <cellStyle name="Millares 8 5 2 2 4 5" xfId="3511" xr:uid="{D003E4E1-433D-4420-A8E9-D3D1CF899B5E}"/>
    <cellStyle name="Millares 8 5 2 2 4 6" xfId="8367" xr:uid="{16F067D6-64DA-4E7A-9E8A-529B3AF8B54A}"/>
    <cellStyle name="Millares 8 5 2 2 5" xfId="5329" xr:uid="{4112814E-5F08-47ED-B542-22A9879FD07A}"/>
    <cellStyle name="Millares 8 5 2 2 5 2" xfId="10181" xr:uid="{8A8ECCAE-1CEC-4C64-8C95-A801FB169B3E}"/>
    <cellStyle name="Millares 8 5 2 2 6" xfId="6543" xr:uid="{CA575E44-5905-4417-A185-E0097F22DBB6}"/>
    <cellStyle name="Millares 8 5 2 2 6 2" xfId="11392" xr:uid="{70EF6A35-C914-41D7-AD27-380C1805FBD9}"/>
    <cellStyle name="Millares 8 5 2 2 7" xfId="4119" xr:uid="{DB8C0907-2F84-42AD-8346-E510EF79A823}"/>
    <cellStyle name="Millares 8 5 2 2 7 2" xfId="8973" xr:uid="{193EEF5D-D3F5-41EA-A006-FC1BD8EBFDA6}"/>
    <cellStyle name="Millares 8 5 2 2 8" xfId="2906" xr:uid="{70DAC5C6-0CAF-4D9D-A467-7511A46B9D8F}"/>
    <cellStyle name="Millares 8 5 2 2 9" xfId="7762" xr:uid="{72361E93-FB46-4BD7-A3B8-00BAD51035BB}"/>
    <cellStyle name="Millares 8 5 2 3" xfId="1623" xr:uid="{177A0841-160F-4C13-9C52-DB977A8BAEE1}"/>
    <cellStyle name="Millares 8 5 2 3 2" xfId="1624" xr:uid="{C9ADD2CD-DEBA-4BF8-AE79-EC6D18D164CA}"/>
    <cellStyle name="Millares 8 5 2 3 2 2" xfId="1625" xr:uid="{E70EC402-D7D0-41F9-865D-A0EDB4D60565}"/>
    <cellStyle name="Millares 8 5 2 3 2 2 2" xfId="2294" xr:uid="{6E1580BA-2F5F-448B-ACF9-24BE43F45235}"/>
    <cellStyle name="Millares 8 5 2 3 2 2 2 2" xfId="5940" xr:uid="{659C2942-4BDA-415B-930E-52C782A94379}"/>
    <cellStyle name="Millares 8 5 2 3 2 2 2 2 2" xfId="10792" xr:uid="{3B6840D5-B6CA-4C8B-A042-D6EF72002769}"/>
    <cellStyle name="Millares 8 5 2 3 2 2 2 3" xfId="7156" xr:uid="{72512F8F-6B16-4793-87D4-CCB8AFB78213}"/>
    <cellStyle name="Millares 8 5 2 3 2 2 2 3 2" xfId="12004" xr:uid="{FB756DDD-A4DD-4D47-9A2D-AB01C39F2D79}"/>
    <cellStyle name="Millares 8 5 2 3 2 2 2 4" xfId="4729" xr:uid="{0FDC0075-062F-4CB9-A3CC-5A64A9B9DFF5}"/>
    <cellStyle name="Millares 8 5 2 3 2 2 2 4 2" xfId="9583" xr:uid="{B0AC0DAA-1738-4F1B-8FC8-8AABF184ACF8}"/>
    <cellStyle name="Millares 8 5 2 3 2 2 2 5" xfId="3517" xr:uid="{BCEBE27D-40AF-47EB-8160-B89CBC84B52F}"/>
    <cellStyle name="Millares 8 5 2 3 2 2 2 6" xfId="8373" xr:uid="{B53A8C71-F970-4DD2-A2E9-356C7C42930B}"/>
    <cellStyle name="Millares 8 5 2 3 2 2 3" xfId="5335" xr:uid="{F65EF76D-CBA7-405D-A717-2D1B548FF318}"/>
    <cellStyle name="Millares 8 5 2 3 2 2 3 2" xfId="10187" xr:uid="{87B5C8A6-AA2F-4250-8991-F8E844CAFA61}"/>
    <cellStyle name="Millares 8 5 2 3 2 2 4" xfId="6549" xr:uid="{4612455E-BD30-4E84-A8F6-D7A5E4C28AF2}"/>
    <cellStyle name="Millares 8 5 2 3 2 2 4 2" xfId="11398" xr:uid="{9B2D7EC8-3E95-4D06-B90F-10367A614D56}"/>
    <cellStyle name="Millares 8 5 2 3 2 2 5" xfId="4125" xr:uid="{150BEFB8-A010-4011-AF82-5FB65D0A592D}"/>
    <cellStyle name="Millares 8 5 2 3 2 2 5 2" xfId="8979" xr:uid="{5B84076F-B068-4548-B3DC-CF1290C02DBB}"/>
    <cellStyle name="Millares 8 5 2 3 2 2 6" xfId="2912" xr:uid="{006A1F01-AAC4-461B-B875-5975B458BBF3}"/>
    <cellStyle name="Millares 8 5 2 3 2 2 7" xfId="7768" xr:uid="{4F4FFDC2-5F65-4BB0-BABA-E6CADA37C936}"/>
    <cellStyle name="Millares 8 5 2 3 2 3" xfId="2293" xr:uid="{703D3FDB-00B2-44C9-9852-FC9A50CD09B6}"/>
    <cellStyle name="Millares 8 5 2 3 2 3 2" xfId="5939" xr:uid="{163F3EC0-79BF-40E8-9CEF-45C9F2C03904}"/>
    <cellStyle name="Millares 8 5 2 3 2 3 2 2" xfId="10791" xr:uid="{CFA087D2-F3D4-41AA-9A67-295489E26269}"/>
    <cellStyle name="Millares 8 5 2 3 2 3 3" xfId="7155" xr:uid="{B5F6C43F-5EF8-426D-9315-F6FE3B36854D}"/>
    <cellStyle name="Millares 8 5 2 3 2 3 3 2" xfId="12003" xr:uid="{EF442187-91B0-480C-97BC-12387BA6E50D}"/>
    <cellStyle name="Millares 8 5 2 3 2 3 4" xfId="4728" xr:uid="{02FFC5A6-2317-4ADC-9BA3-C0B999F5BDDC}"/>
    <cellStyle name="Millares 8 5 2 3 2 3 4 2" xfId="9582" xr:uid="{A28D0882-FEDA-47B5-A7ED-8CCC576814E7}"/>
    <cellStyle name="Millares 8 5 2 3 2 3 5" xfId="3516" xr:uid="{B375183A-8025-40DA-8464-A4FE1E0932DF}"/>
    <cellStyle name="Millares 8 5 2 3 2 3 6" xfId="8372" xr:uid="{E9481AD0-9F87-488C-888D-F4CC075C0C7A}"/>
    <cellStyle name="Millares 8 5 2 3 2 4" xfId="5334" xr:uid="{6B5AAA01-27A2-41A8-9AA6-F5F99B9C9FF1}"/>
    <cellStyle name="Millares 8 5 2 3 2 4 2" xfId="10186" xr:uid="{C236B53D-A192-4E6D-B248-E394FA451320}"/>
    <cellStyle name="Millares 8 5 2 3 2 5" xfId="6548" xr:uid="{1F0CAD59-8ECD-458A-8431-4EB44A484A31}"/>
    <cellStyle name="Millares 8 5 2 3 2 5 2" xfId="11397" xr:uid="{B54650BA-434B-467E-B76D-9365FF57A71C}"/>
    <cellStyle name="Millares 8 5 2 3 2 6" xfId="4124" xr:uid="{33CBD8FF-A5FA-4A00-AF12-9047F643DFD8}"/>
    <cellStyle name="Millares 8 5 2 3 2 6 2" xfId="8978" xr:uid="{27274B52-D990-4DBD-BC29-0B7E7EDD3E11}"/>
    <cellStyle name="Millares 8 5 2 3 2 7" xfId="2911" xr:uid="{872A907B-8D2F-45B0-8A3B-0DD65243E145}"/>
    <cellStyle name="Millares 8 5 2 3 2 8" xfId="7767" xr:uid="{A5CB675B-AACF-4658-AA46-576753A92B0E}"/>
    <cellStyle name="Millares 8 5 2 3 3" xfId="1626" xr:uid="{25150E41-454D-4C9F-8863-A7C0D2B4C0FB}"/>
    <cellStyle name="Millares 8 5 2 3 3 2" xfId="2295" xr:uid="{BCF3B445-CD43-4EFF-9E43-B2C21665EC84}"/>
    <cellStyle name="Millares 8 5 2 3 3 2 2" xfId="5941" xr:uid="{1783C87B-6E0E-4327-9A40-7F290600115A}"/>
    <cellStyle name="Millares 8 5 2 3 3 2 2 2" xfId="10793" xr:uid="{A4F1D548-4FE6-43DD-9DB7-3E440D0FE86E}"/>
    <cellStyle name="Millares 8 5 2 3 3 2 3" xfId="7157" xr:uid="{EDD9F4AF-E121-49AB-BE6C-87F1D939FE31}"/>
    <cellStyle name="Millares 8 5 2 3 3 2 3 2" xfId="12005" xr:uid="{6F06B111-EFA4-4F37-9235-654D4D320F0B}"/>
    <cellStyle name="Millares 8 5 2 3 3 2 4" xfId="4730" xr:uid="{5DC65F95-D8E5-41EB-9D88-01315A8F1FA9}"/>
    <cellStyle name="Millares 8 5 2 3 3 2 4 2" xfId="9584" xr:uid="{A0A029F1-4AFA-4AFB-8C03-DEF6704CA21E}"/>
    <cellStyle name="Millares 8 5 2 3 3 2 5" xfId="3518" xr:uid="{F61AE404-BF8A-4A46-A8D0-57E4080406F1}"/>
    <cellStyle name="Millares 8 5 2 3 3 2 6" xfId="8374" xr:uid="{D8D686CF-A8A9-4C59-B359-F80494975E90}"/>
    <cellStyle name="Millares 8 5 2 3 3 3" xfId="5336" xr:uid="{B7C07AD4-42DA-4648-B7F7-82B747FDE9CD}"/>
    <cellStyle name="Millares 8 5 2 3 3 3 2" xfId="10188" xr:uid="{555CF0DD-B183-4908-8DE5-FCC9435D39F0}"/>
    <cellStyle name="Millares 8 5 2 3 3 4" xfId="6550" xr:uid="{5A192B63-B4CB-41E3-968E-EE08679809F2}"/>
    <cellStyle name="Millares 8 5 2 3 3 4 2" xfId="11399" xr:uid="{B770F761-95E5-48FF-9FE4-D8206E622DF8}"/>
    <cellStyle name="Millares 8 5 2 3 3 5" xfId="4126" xr:uid="{85784500-E9CF-4E6A-8931-B6384C9F8098}"/>
    <cellStyle name="Millares 8 5 2 3 3 5 2" xfId="8980" xr:uid="{4A04BCA6-9132-43D4-9BA3-E98F21E47AA3}"/>
    <cellStyle name="Millares 8 5 2 3 3 6" xfId="2913" xr:uid="{384BF4C7-1F6A-487E-B994-5BBEC4598059}"/>
    <cellStyle name="Millares 8 5 2 3 3 7" xfId="7769" xr:uid="{8D721AB6-C1D6-4780-9043-EDB475307DFB}"/>
    <cellStyle name="Millares 8 5 2 3 4" xfId="2292" xr:uid="{64643BEF-A093-43A3-BC3F-28DBF28F7A06}"/>
    <cellStyle name="Millares 8 5 2 3 4 2" xfId="5938" xr:uid="{9363819A-87BB-4BCF-B719-B583B2FA01C2}"/>
    <cellStyle name="Millares 8 5 2 3 4 2 2" xfId="10790" xr:uid="{18E5F823-AB56-43CB-9F58-BC20B8906970}"/>
    <cellStyle name="Millares 8 5 2 3 4 3" xfId="7154" xr:uid="{7A8FD7F6-8A4D-4A3E-A5A1-FE1A416740C0}"/>
    <cellStyle name="Millares 8 5 2 3 4 3 2" xfId="12002" xr:uid="{A94A37B2-A623-4268-A16A-C88BC06C607D}"/>
    <cellStyle name="Millares 8 5 2 3 4 4" xfId="4727" xr:uid="{ABB6EED9-C9EF-4EB2-859C-0C2D02DC6D66}"/>
    <cellStyle name="Millares 8 5 2 3 4 4 2" xfId="9581" xr:uid="{92FAE3A7-2D08-486A-A0EA-DB1F815064ED}"/>
    <cellStyle name="Millares 8 5 2 3 4 5" xfId="3515" xr:uid="{6D9F3BD6-86E1-49FB-A79F-6A7C65903910}"/>
    <cellStyle name="Millares 8 5 2 3 4 6" xfId="8371" xr:uid="{A442C240-BFEF-44E9-A655-A012966F6414}"/>
    <cellStyle name="Millares 8 5 2 3 5" xfId="5333" xr:uid="{A87FA4F8-8E6A-4B9F-8D51-3E0E8C3FE971}"/>
    <cellStyle name="Millares 8 5 2 3 5 2" xfId="10185" xr:uid="{2D8DE46A-CC58-4D20-8824-DF71BF92EDBF}"/>
    <cellStyle name="Millares 8 5 2 3 6" xfId="6547" xr:uid="{5135208D-2B94-46FD-91C4-6B45CE0107C8}"/>
    <cellStyle name="Millares 8 5 2 3 6 2" xfId="11396" xr:uid="{766D3CCC-7C45-4D8F-B185-193141FF9450}"/>
    <cellStyle name="Millares 8 5 2 3 7" xfId="4123" xr:uid="{1D3E7981-8A6F-4402-95BF-C90C1033923C}"/>
    <cellStyle name="Millares 8 5 2 3 7 2" xfId="8977" xr:uid="{39BF61F4-F096-47DD-BCA7-0C07E0C67E37}"/>
    <cellStyle name="Millares 8 5 2 3 8" xfId="2910" xr:uid="{E5636738-66DB-4035-87F4-22D1976F54B5}"/>
    <cellStyle name="Millares 8 5 2 3 9" xfId="7766" xr:uid="{3532065C-7DAA-4A13-B8A0-6CA51024BC00}"/>
    <cellStyle name="Millares 8 5 2 4" xfId="1627" xr:uid="{0ADF95EE-904D-4178-B65D-4D86F15D585F}"/>
    <cellStyle name="Millares 8 5 2 4 2" xfId="1628" xr:uid="{157D42A1-17CB-4594-A781-827F492FA8AE}"/>
    <cellStyle name="Millares 8 5 2 4 2 2" xfId="2297" xr:uid="{3DBDAF9B-EBBB-4390-A7EC-DFD14137EFC8}"/>
    <cellStyle name="Millares 8 5 2 4 2 2 2" xfId="5943" xr:uid="{A5843D03-8F7A-443E-8DD2-D85B2DA547F8}"/>
    <cellStyle name="Millares 8 5 2 4 2 2 2 2" xfId="10795" xr:uid="{2BAC89E5-3A39-4659-B652-C21D5FAD2081}"/>
    <cellStyle name="Millares 8 5 2 4 2 2 3" xfId="7159" xr:uid="{0C0A6A3B-918D-427F-A8F7-31F5F7158933}"/>
    <cellStyle name="Millares 8 5 2 4 2 2 3 2" xfId="12007" xr:uid="{184BD552-9F9D-4677-BC46-BF00D50A4C23}"/>
    <cellStyle name="Millares 8 5 2 4 2 2 4" xfId="4732" xr:uid="{32C0862B-703D-4FD2-81CB-A9B492DDCC99}"/>
    <cellStyle name="Millares 8 5 2 4 2 2 4 2" xfId="9586" xr:uid="{1BEA63E5-B26C-4B78-90B0-AEBB0FD986AA}"/>
    <cellStyle name="Millares 8 5 2 4 2 2 5" xfId="3520" xr:uid="{36FAD04B-FFF6-47C6-A541-27FF28D6B8DD}"/>
    <cellStyle name="Millares 8 5 2 4 2 2 6" xfId="8376" xr:uid="{94E803E6-48FC-4E0D-9ED6-54F186E01184}"/>
    <cellStyle name="Millares 8 5 2 4 2 3" xfId="5338" xr:uid="{DF98E5F8-7A1C-486E-8EE4-9930CB17265B}"/>
    <cellStyle name="Millares 8 5 2 4 2 3 2" xfId="10190" xr:uid="{7AB55AD7-D26E-4EFB-B87C-C9DC6E301230}"/>
    <cellStyle name="Millares 8 5 2 4 2 4" xfId="6552" xr:uid="{6A1E979E-ED63-4BFA-960F-EF4FFFFE5E72}"/>
    <cellStyle name="Millares 8 5 2 4 2 4 2" xfId="11401" xr:uid="{995593D3-3926-480D-A65A-B89E05CDD4B0}"/>
    <cellStyle name="Millares 8 5 2 4 2 5" xfId="4128" xr:uid="{CEA5B0ED-0064-4415-8480-8E3F46092E75}"/>
    <cellStyle name="Millares 8 5 2 4 2 5 2" xfId="8982" xr:uid="{71C00172-632E-4066-AAF4-2E6539AEAB8B}"/>
    <cellStyle name="Millares 8 5 2 4 2 6" xfId="2915" xr:uid="{53669E94-CBA0-4FE4-8AD6-CD09C163D3A7}"/>
    <cellStyle name="Millares 8 5 2 4 2 7" xfId="7771" xr:uid="{74908967-9B4C-46EE-B172-867FB84A6165}"/>
    <cellStyle name="Millares 8 5 2 4 3" xfId="2296" xr:uid="{F5419EDB-FB14-4847-BCCB-2CF83B8F2E81}"/>
    <cellStyle name="Millares 8 5 2 4 3 2" xfId="5942" xr:uid="{11729FF1-463A-4DE8-867B-220972617938}"/>
    <cellStyle name="Millares 8 5 2 4 3 2 2" xfId="10794" xr:uid="{A006AD57-1454-401C-A8A9-F7714877B4BD}"/>
    <cellStyle name="Millares 8 5 2 4 3 3" xfId="7158" xr:uid="{6D5724FE-978D-41C5-8EB2-98330AF84A1F}"/>
    <cellStyle name="Millares 8 5 2 4 3 3 2" xfId="12006" xr:uid="{1F73CC32-757C-4773-B5B7-C3F8A0A7426D}"/>
    <cellStyle name="Millares 8 5 2 4 3 4" xfId="4731" xr:uid="{6B66453E-CAB8-4D6E-876A-69509439B093}"/>
    <cellStyle name="Millares 8 5 2 4 3 4 2" xfId="9585" xr:uid="{2050690F-C0BD-400A-B64C-078348F41482}"/>
    <cellStyle name="Millares 8 5 2 4 3 5" xfId="3519" xr:uid="{37193B3C-46FA-4274-887C-5790E69C8DDA}"/>
    <cellStyle name="Millares 8 5 2 4 3 6" xfId="8375" xr:uid="{E7E92344-DAA2-4958-AEB0-3024C684725F}"/>
    <cellStyle name="Millares 8 5 2 4 4" xfId="5337" xr:uid="{CE1B97D0-1868-4E75-B839-16DEFCC2CB8F}"/>
    <cellStyle name="Millares 8 5 2 4 4 2" xfId="10189" xr:uid="{5A726289-4A14-49AB-A937-178B79056708}"/>
    <cellStyle name="Millares 8 5 2 4 5" xfId="6551" xr:uid="{1A61630D-BD9C-483E-993C-637DB5194FCE}"/>
    <cellStyle name="Millares 8 5 2 4 5 2" xfId="11400" xr:uid="{F8D3F001-ADC3-4F18-8D72-DE5CDA260E24}"/>
    <cellStyle name="Millares 8 5 2 4 6" xfId="4127" xr:uid="{C4FD3E87-71D4-493A-8D17-F317E92ED3F0}"/>
    <cellStyle name="Millares 8 5 2 4 6 2" xfId="8981" xr:uid="{5897A971-BA88-461E-9BD7-EF4FAFB914B4}"/>
    <cellStyle name="Millares 8 5 2 4 7" xfId="2914" xr:uid="{645199C4-9FF9-40AA-9D1E-F2411D370AFA}"/>
    <cellStyle name="Millares 8 5 2 4 8" xfId="7770" xr:uid="{32789BF5-C1E5-4E84-8AE6-091DA45AA968}"/>
    <cellStyle name="Millares 8 5 2 5" xfId="1629" xr:uid="{68E6B355-CA94-4084-B699-84CD3A242053}"/>
    <cellStyle name="Millares 8 5 2 5 2" xfId="2298" xr:uid="{73054C28-7A9D-4134-807F-D4FB31223E8E}"/>
    <cellStyle name="Millares 8 5 2 5 2 2" xfId="5944" xr:uid="{B6F13905-1973-449B-9349-4FB266D01BB4}"/>
    <cellStyle name="Millares 8 5 2 5 2 2 2" xfId="10796" xr:uid="{232BC539-7324-4462-88EA-551761741D4E}"/>
    <cellStyle name="Millares 8 5 2 5 2 3" xfId="7160" xr:uid="{D2C4CD64-69AC-46DA-9B0D-011981968C37}"/>
    <cellStyle name="Millares 8 5 2 5 2 3 2" xfId="12008" xr:uid="{0161321F-A11C-4841-A407-CA237F70E36B}"/>
    <cellStyle name="Millares 8 5 2 5 2 4" xfId="4733" xr:uid="{5027C17F-FAB5-48D2-BC63-22167AD522C4}"/>
    <cellStyle name="Millares 8 5 2 5 2 4 2" xfId="9587" xr:uid="{B6347B02-FB73-487F-9A32-E4AC729CBD17}"/>
    <cellStyle name="Millares 8 5 2 5 2 5" xfId="3521" xr:uid="{2AB5A2DF-656F-40FA-A44B-78FEF7ED8C8F}"/>
    <cellStyle name="Millares 8 5 2 5 2 6" xfId="8377" xr:uid="{EB31E108-5ACE-4112-84C4-5EDC5FC51E23}"/>
    <cellStyle name="Millares 8 5 2 5 3" xfId="5339" xr:uid="{1859A846-F780-4F64-828D-F2DC0809A67D}"/>
    <cellStyle name="Millares 8 5 2 5 3 2" xfId="10191" xr:uid="{E87C357E-744A-434D-800D-C905A1573D9A}"/>
    <cellStyle name="Millares 8 5 2 5 4" xfId="6553" xr:uid="{40E20A03-CE5E-4740-8144-C23105887364}"/>
    <cellStyle name="Millares 8 5 2 5 4 2" xfId="11402" xr:uid="{41CA534E-2F4A-4696-994E-F05BCF284470}"/>
    <cellStyle name="Millares 8 5 2 5 5" xfId="4129" xr:uid="{53D64461-1E50-4DBE-A5E3-27529516FE16}"/>
    <cellStyle name="Millares 8 5 2 5 5 2" xfId="8983" xr:uid="{146C5AF7-1B34-4818-94DF-CCC21297FB3E}"/>
    <cellStyle name="Millares 8 5 2 5 6" xfId="2916" xr:uid="{AF986947-E904-494F-8CC9-4F861B0B9B82}"/>
    <cellStyle name="Millares 8 5 2 5 7" xfId="7772" xr:uid="{FA0B4E69-AD74-4536-8CDD-3864AF2A030F}"/>
    <cellStyle name="Millares 8 5 2 6" xfId="2287" xr:uid="{916A1F34-F233-4EA3-9128-C883E567200C}"/>
    <cellStyle name="Millares 8 5 2 6 2" xfId="5933" xr:uid="{EC143B5B-88AD-4C00-A4EA-F298905EF63C}"/>
    <cellStyle name="Millares 8 5 2 6 2 2" xfId="10785" xr:uid="{CC4C4C89-A998-4C1B-9F40-5D0826B65DC1}"/>
    <cellStyle name="Millares 8 5 2 6 3" xfId="7149" xr:uid="{680474FF-508A-4030-9CBE-BC3F59F0B92E}"/>
    <cellStyle name="Millares 8 5 2 6 3 2" xfId="11997" xr:uid="{BE76D7A5-F97B-4851-9BDC-07C893A0C58A}"/>
    <cellStyle name="Millares 8 5 2 6 4" xfId="4722" xr:uid="{76D9CEC9-FD0C-4253-99E0-60B9B3C06F6A}"/>
    <cellStyle name="Millares 8 5 2 6 4 2" xfId="9576" xr:uid="{D1CFEA94-02A1-427E-9BAA-BE3BA6BF6F7F}"/>
    <cellStyle name="Millares 8 5 2 6 5" xfId="3510" xr:uid="{24778933-3557-4D6E-A4C9-FAE684775678}"/>
    <cellStyle name="Millares 8 5 2 6 6" xfId="8366" xr:uid="{E263B89E-A27D-441D-9B81-375ECC9AAF8A}"/>
    <cellStyle name="Millares 8 5 2 7" xfId="5328" xr:uid="{B70A2395-CD03-43F2-8E03-9BD1CF2CC4A3}"/>
    <cellStyle name="Millares 8 5 2 7 2" xfId="10180" xr:uid="{7880D50E-C16C-432C-92AE-BF3896E5479A}"/>
    <cellStyle name="Millares 8 5 2 8" xfId="6542" xr:uid="{D1C261F6-702D-49B1-8692-258DD8997C48}"/>
    <cellStyle name="Millares 8 5 2 8 2" xfId="11391" xr:uid="{4CBDE2D6-C759-4103-A198-2F9D0D97F856}"/>
    <cellStyle name="Millares 8 5 2 9" xfId="4118" xr:uid="{A86CC316-F2C5-45BB-AE05-386F2B22904B}"/>
    <cellStyle name="Millares 8 5 2 9 2" xfId="8972" xr:uid="{EAFEB32A-DC88-4929-BCDD-04DE4FDA9233}"/>
    <cellStyle name="Millares 8 5 3" xfId="1630" xr:uid="{2C77622E-C756-4F80-8758-DE976D4EDC16}"/>
    <cellStyle name="Millares 8 5 3 2" xfId="1631" xr:uid="{DEEFAC33-D2EE-4123-A849-90AE09E4C7A9}"/>
    <cellStyle name="Millares 8 5 3 2 2" xfId="1632" xr:uid="{74B416A7-255A-44CB-B3E9-7EE679B26895}"/>
    <cellStyle name="Millares 8 5 3 2 2 2" xfId="2301" xr:uid="{D13F5690-7914-4892-82F8-6D3B6D962C92}"/>
    <cellStyle name="Millares 8 5 3 2 2 2 2" xfId="5947" xr:uid="{4CC2EC35-8F64-4B15-A5C5-6ABFAD1FBCB0}"/>
    <cellStyle name="Millares 8 5 3 2 2 2 2 2" xfId="10799" xr:uid="{EA2B14CA-7044-47EF-A70D-D2A33A285FDE}"/>
    <cellStyle name="Millares 8 5 3 2 2 2 3" xfId="7163" xr:uid="{F9EB3B4A-1542-43C0-9FDF-81814CDBBF64}"/>
    <cellStyle name="Millares 8 5 3 2 2 2 3 2" xfId="12011" xr:uid="{32535BAD-42D4-431A-95FE-6F1109C3C137}"/>
    <cellStyle name="Millares 8 5 3 2 2 2 4" xfId="4736" xr:uid="{23545303-6D36-4766-AB00-334BADBB5C67}"/>
    <cellStyle name="Millares 8 5 3 2 2 2 4 2" xfId="9590" xr:uid="{0E426C88-B684-4DCD-837A-CA1571B1D960}"/>
    <cellStyle name="Millares 8 5 3 2 2 2 5" xfId="3524" xr:uid="{9B515735-32E8-4075-A88B-F7205EE320AA}"/>
    <cellStyle name="Millares 8 5 3 2 2 2 6" xfId="8380" xr:uid="{A8F3892C-C788-4FB1-BEF3-3474BAFB6668}"/>
    <cellStyle name="Millares 8 5 3 2 2 3" xfId="5342" xr:uid="{355CC638-5B2E-42D1-A8F9-E24115A7557A}"/>
    <cellStyle name="Millares 8 5 3 2 2 3 2" xfId="10194" xr:uid="{2D21848F-6084-4FCA-BCA3-70DBE3475AEE}"/>
    <cellStyle name="Millares 8 5 3 2 2 4" xfId="6556" xr:uid="{A3786895-D931-49CC-A1BE-5C66BBE13B0D}"/>
    <cellStyle name="Millares 8 5 3 2 2 4 2" xfId="11405" xr:uid="{02BE95F3-C650-4665-B785-313589B4B575}"/>
    <cellStyle name="Millares 8 5 3 2 2 5" xfId="4132" xr:uid="{5044F9BC-1C11-4824-B9D0-9CF5FC53D1B4}"/>
    <cellStyle name="Millares 8 5 3 2 2 5 2" xfId="8986" xr:uid="{0D5A9F46-3FCC-4075-B113-33D7DD4E6875}"/>
    <cellStyle name="Millares 8 5 3 2 2 6" xfId="2919" xr:uid="{9782F511-58BD-436B-8557-902720C7CD5D}"/>
    <cellStyle name="Millares 8 5 3 2 2 7" xfId="7775" xr:uid="{7832764A-0B46-4D25-AF5B-9C172C033169}"/>
    <cellStyle name="Millares 8 5 3 2 3" xfId="2300" xr:uid="{D29C0D2E-B5DF-4454-979E-BC804F9BBE4E}"/>
    <cellStyle name="Millares 8 5 3 2 3 2" xfId="5946" xr:uid="{39B9388B-7917-4621-84E2-B2A499E46914}"/>
    <cellStyle name="Millares 8 5 3 2 3 2 2" xfId="10798" xr:uid="{87CFF2E2-CC63-4862-B224-EED854E33E7A}"/>
    <cellStyle name="Millares 8 5 3 2 3 3" xfId="7162" xr:uid="{E726B68A-AB32-454A-AFF1-07A25E4ACC0E}"/>
    <cellStyle name="Millares 8 5 3 2 3 3 2" xfId="12010" xr:uid="{84551A9C-52D8-4C31-A35E-00960CEF11CA}"/>
    <cellStyle name="Millares 8 5 3 2 3 4" xfId="4735" xr:uid="{6649955B-C746-4DF6-966A-569F75BF7AAB}"/>
    <cellStyle name="Millares 8 5 3 2 3 4 2" xfId="9589" xr:uid="{5B13CFD5-637E-49A5-8F69-CE3807F3339B}"/>
    <cellStyle name="Millares 8 5 3 2 3 5" xfId="3523" xr:uid="{09924A09-719C-4B2C-A5B6-E0A902AF6BEB}"/>
    <cellStyle name="Millares 8 5 3 2 3 6" xfId="8379" xr:uid="{C15966E8-FC66-4032-92AD-19FC7B9E0B24}"/>
    <cellStyle name="Millares 8 5 3 2 4" xfId="5341" xr:uid="{71F2E65E-DB34-4AEA-B043-D4CC6246A133}"/>
    <cellStyle name="Millares 8 5 3 2 4 2" xfId="10193" xr:uid="{A111909D-1C94-45A6-9F3D-44DFD62F725C}"/>
    <cellStyle name="Millares 8 5 3 2 5" xfId="6555" xr:uid="{CCB7B67A-0D8B-4075-9DC9-B5FE0CD046E7}"/>
    <cellStyle name="Millares 8 5 3 2 5 2" xfId="11404" xr:uid="{53BF5798-7B6C-4C93-B437-2DAE2F620A73}"/>
    <cellStyle name="Millares 8 5 3 2 6" xfId="4131" xr:uid="{13B00C70-A31F-48AA-B88F-1C2092A5F5CE}"/>
    <cellStyle name="Millares 8 5 3 2 6 2" xfId="8985" xr:uid="{BCF03243-C29E-4AAD-9CCA-D7ECC3236134}"/>
    <cellStyle name="Millares 8 5 3 2 7" xfId="2918" xr:uid="{10C85BC7-9E13-48AD-ABDA-552950B60661}"/>
    <cellStyle name="Millares 8 5 3 2 8" xfId="7774" xr:uid="{E593253F-29F4-4EAC-A550-D86AFC37D9DE}"/>
    <cellStyle name="Millares 8 5 3 3" xfId="1633" xr:uid="{F112A0BD-356C-4152-9E55-6C3CEC63EFB6}"/>
    <cellStyle name="Millares 8 5 3 3 2" xfId="2302" xr:uid="{A2CCBC34-EADB-421B-A52D-F6E16303A456}"/>
    <cellStyle name="Millares 8 5 3 3 2 2" xfId="5948" xr:uid="{4EA25323-3CAA-4E41-881A-4C554A186701}"/>
    <cellStyle name="Millares 8 5 3 3 2 2 2" xfId="10800" xr:uid="{148F4F36-390E-424E-BD15-6E74969CBBDA}"/>
    <cellStyle name="Millares 8 5 3 3 2 3" xfId="7164" xr:uid="{9495C18F-A342-4D86-BCE1-C533906FF952}"/>
    <cellStyle name="Millares 8 5 3 3 2 3 2" xfId="12012" xr:uid="{3841AC3D-E7B8-46B0-BA9A-F6C911D08110}"/>
    <cellStyle name="Millares 8 5 3 3 2 4" xfId="4737" xr:uid="{B0034453-8824-4563-A780-B2B35DD134BB}"/>
    <cellStyle name="Millares 8 5 3 3 2 4 2" xfId="9591" xr:uid="{3E0FBBA7-D24A-443A-898A-6AE20655BBB0}"/>
    <cellStyle name="Millares 8 5 3 3 2 5" xfId="3525" xr:uid="{F2DE254E-93C3-4611-8D9B-EF5000EFA02C}"/>
    <cellStyle name="Millares 8 5 3 3 2 6" xfId="8381" xr:uid="{D5D1EDB2-9A1D-4837-AE62-EF3F1F07D00C}"/>
    <cellStyle name="Millares 8 5 3 3 3" xfId="5343" xr:uid="{5F72D23A-69AC-4B5C-8B7C-6D1194ED5794}"/>
    <cellStyle name="Millares 8 5 3 3 3 2" xfId="10195" xr:uid="{E56FE0F6-28F9-4B26-B53B-E10368FFBA25}"/>
    <cellStyle name="Millares 8 5 3 3 4" xfId="6557" xr:uid="{E6DA4BCA-F0A0-4D86-96EB-3CC4E7168EBC}"/>
    <cellStyle name="Millares 8 5 3 3 4 2" xfId="11406" xr:uid="{7FCE71A1-E707-4664-BFBF-2F34A6DA93EB}"/>
    <cellStyle name="Millares 8 5 3 3 5" xfId="4133" xr:uid="{0BA759A5-10F5-45B6-B393-BCD9C51DDC2C}"/>
    <cellStyle name="Millares 8 5 3 3 5 2" xfId="8987" xr:uid="{890D82D3-8FEF-443E-BE61-3FB1A48FA921}"/>
    <cellStyle name="Millares 8 5 3 3 6" xfId="2920" xr:uid="{0D8BEA1C-5EAD-4CFC-896A-3823D8AF92B2}"/>
    <cellStyle name="Millares 8 5 3 3 7" xfId="7776" xr:uid="{086B4441-C43D-443E-8C5D-77C7971604F7}"/>
    <cellStyle name="Millares 8 5 3 4" xfId="2299" xr:uid="{5D71EEC5-57B2-4F09-B3F7-7FC7A33BE24A}"/>
    <cellStyle name="Millares 8 5 3 4 2" xfId="5945" xr:uid="{9B169D79-189E-4868-A113-2E0C56C6F2D6}"/>
    <cellStyle name="Millares 8 5 3 4 2 2" xfId="10797" xr:uid="{B493F81C-663B-44E3-94BD-868FC4D632F4}"/>
    <cellStyle name="Millares 8 5 3 4 3" xfId="7161" xr:uid="{25023F66-767C-48ED-A04D-3EC001F416A9}"/>
    <cellStyle name="Millares 8 5 3 4 3 2" xfId="12009" xr:uid="{27E26CF7-8A78-4914-8807-2C085CEAB586}"/>
    <cellStyle name="Millares 8 5 3 4 4" xfId="4734" xr:uid="{68D02206-69B3-4082-A5A3-D83EEBF118A7}"/>
    <cellStyle name="Millares 8 5 3 4 4 2" xfId="9588" xr:uid="{74B5A1CD-9C65-4D67-9A33-21EBA4274665}"/>
    <cellStyle name="Millares 8 5 3 4 5" xfId="3522" xr:uid="{277AA1A2-554F-45DA-929B-22DDF0466DC0}"/>
    <cellStyle name="Millares 8 5 3 4 6" xfId="8378" xr:uid="{CC27B7E8-9B8F-4537-A4AD-9A802037E4E6}"/>
    <cellStyle name="Millares 8 5 3 5" xfId="5340" xr:uid="{2CF96AC7-4A27-49DD-AD71-6221812A9259}"/>
    <cellStyle name="Millares 8 5 3 5 2" xfId="10192" xr:uid="{16917592-248D-448D-9B91-DF264E8523B6}"/>
    <cellStyle name="Millares 8 5 3 6" xfId="6554" xr:uid="{E03E70FA-56FF-4BF4-A1E6-458A50E33266}"/>
    <cellStyle name="Millares 8 5 3 6 2" xfId="11403" xr:uid="{4617A693-7A05-406B-A34C-9D40E83B400F}"/>
    <cellStyle name="Millares 8 5 3 7" xfId="4130" xr:uid="{D5127195-61C8-4906-A282-AF4B3B4D9157}"/>
    <cellStyle name="Millares 8 5 3 7 2" xfId="8984" xr:uid="{639293BD-D666-463D-A273-90587C99C7BB}"/>
    <cellStyle name="Millares 8 5 3 8" xfId="2917" xr:uid="{7B98138D-2CE0-443D-B653-BAD7076FE2CB}"/>
    <cellStyle name="Millares 8 5 3 9" xfId="7773" xr:uid="{96BF83F3-FE0B-458B-A55A-820FCBB2F4C7}"/>
    <cellStyle name="Millares 8 5 4" xfId="1634" xr:uid="{486EF29D-B3B6-4F9D-8EC5-E04F1D63E26E}"/>
    <cellStyle name="Millares 8 5 4 2" xfId="1635" xr:uid="{41AD0552-EE49-4E92-90B9-000B2D9CB269}"/>
    <cellStyle name="Millares 8 5 4 2 2" xfId="1636" xr:uid="{78C8D58A-97F2-4889-9A5E-F59ACFF69F43}"/>
    <cellStyle name="Millares 8 5 4 2 2 2" xfId="2305" xr:uid="{5A55C7EF-D7A4-49E1-93C5-A5033E961F62}"/>
    <cellStyle name="Millares 8 5 4 2 2 2 2" xfId="5951" xr:uid="{16314D37-5B4B-4823-984B-3D47488D4251}"/>
    <cellStyle name="Millares 8 5 4 2 2 2 2 2" xfId="10803" xr:uid="{CA661CAE-2830-43E3-96F2-281DF95B7F66}"/>
    <cellStyle name="Millares 8 5 4 2 2 2 3" xfId="7167" xr:uid="{D0532723-CB82-413D-A5BD-1B4AB53D2621}"/>
    <cellStyle name="Millares 8 5 4 2 2 2 3 2" xfId="12015" xr:uid="{F605385F-0775-4BEB-BCE0-B7FCA15D6601}"/>
    <cellStyle name="Millares 8 5 4 2 2 2 4" xfId="4740" xr:uid="{A07412BE-EF2E-4397-B6C2-B5271BBC1428}"/>
    <cellStyle name="Millares 8 5 4 2 2 2 4 2" xfId="9594" xr:uid="{CB8E018D-8CCD-4A93-9431-8FDCA4ADEABF}"/>
    <cellStyle name="Millares 8 5 4 2 2 2 5" xfId="3528" xr:uid="{15A3CF15-48F6-4407-AFE2-D85EE09F993E}"/>
    <cellStyle name="Millares 8 5 4 2 2 2 6" xfId="8384" xr:uid="{A073CA13-3332-4948-9D09-C7729F2F3E1C}"/>
    <cellStyle name="Millares 8 5 4 2 2 3" xfId="5346" xr:uid="{93FBDB4C-FCCE-4CC2-A961-D1FDEF12C92A}"/>
    <cellStyle name="Millares 8 5 4 2 2 3 2" xfId="10198" xr:uid="{396CD474-4181-403E-85D5-09A78A0BEA64}"/>
    <cellStyle name="Millares 8 5 4 2 2 4" xfId="6560" xr:uid="{EEB165A7-B4AC-4C6D-A65A-8D6B05452400}"/>
    <cellStyle name="Millares 8 5 4 2 2 4 2" xfId="11409" xr:uid="{D2F86C49-642C-4FFD-B15A-80014B5791B9}"/>
    <cellStyle name="Millares 8 5 4 2 2 5" xfId="4136" xr:uid="{6A94206F-49F3-4D25-849A-772A7F70B7CE}"/>
    <cellStyle name="Millares 8 5 4 2 2 5 2" xfId="8990" xr:uid="{32DB57DD-6E32-4DA3-9E6D-4BE5DC0490EA}"/>
    <cellStyle name="Millares 8 5 4 2 2 6" xfId="2923" xr:uid="{836486A4-BE44-4843-BCDD-615078FB57F3}"/>
    <cellStyle name="Millares 8 5 4 2 2 7" xfId="7779" xr:uid="{8E2F6EFF-0E80-4A12-8172-98F2AF13B37C}"/>
    <cellStyle name="Millares 8 5 4 2 3" xfId="2304" xr:uid="{FC077DCD-9889-4A0D-B894-45410BA6E7AB}"/>
    <cellStyle name="Millares 8 5 4 2 3 2" xfId="5950" xr:uid="{641244C7-93E5-41AE-8350-98FDE09F24C4}"/>
    <cellStyle name="Millares 8 5 4 2 3 2 2" xfId="10802" xr:uid="{7693CE79-2864-4F0C-B21D-472BBAB6F24B}"/>
    <cellStyle name="Millares 8 5 4 2 3 3" xfId="7166" xr:uid="{FE17D227-9BE5-4F6E-A553-C6545DBE5263}"/>
    <cellStyle name="Millares 8 5 4 2 3 3 2" xfId="12014" xr:uid="{0BF4A445-166A-4783-BD1B-A63726CBA1F8}"/>
    <cellStyle name="Millares 8 5 4 2 3 4" xfId="4739" xr:uid="{2D51C367-C55A-400D-8992-B0D501C6B292}"/>
    <cellStyle name="Millares 8 5 4 2 3 4 2" xfId="9593" xr:uid="{65BDEBFB-EABF-4F29-BB2E-AEC5BD0B5F85}"/>
    <cellStyle name="Millares 8 5 4 2 3 5" xfId="3527" xr:uid="{7D422338-2884-4D81-9EC7-2744F36B56B2}"/>
    <cellStyle name="Millares 8 5 4 2 3 6" xfId="8383" xr:uid="{DDCE8C52-A756-4AE8-A419-BB678D809416}"/>
    <cellStyle name="Millares 8 5 4 2 4" xfId="5345" xr:uid="{B5492F2E-D252-47AA-9545-45D779F4FF9B}"/>
    <cellStyle name="Millares 8 5 4 2 4 2" xfId="10197" xr:uid="{BF5E6874-D2F1-4899-BFC3-A7DA6A077130}"/>
    <cellStyle name="Millares 8 5 4 2 5" xfId="6559" xr:uid="{3AA43D3F-504B-46D4-8662-C1B878F1B08F}"/>
    <cellStyle name="Millares 8 5 4 2 5 2" xfId="11408" xr:uid="{EC567002-7AEF-4BC2-8188-56CE2E4F5041}"/>
    <cellStyle name="Millares 8 5 4 2 6" xfId="4135" xr:uid="{B675078A-D08B-427A-9013-39EC70E33838}"/>
    <cellStyle name="Millares 8 5 4 2 6 2" xfId="8989" xr:uid="{06F4E486-CC8C-41E8-ABF5-C5ABFA921D8F}"/>
    <cellStyle name="Millares 8 5 4 2 7" xfId="2922" xr:uid="{DF61037D-149B-496F-A6B0-1B88C92C1A3C}"/>
    <cellStyle name="Millares 8 5 4 2 8" xfId="7778" xr:uid="{5E27660C-F51D-4388-9C05-63E0A7C6C735}"/>
    <cellStyle name="Millares 8 5 4 3" xfId="1637" xr:uid="{95D53A2D-B405-4002-890B-6A36656E832B}"/>
    <cellStyle name="Millares 8 5 4 3 2" xfId="2306" xr:uid="{88DDCAD6-381A-4B3F-AB51-16551D86034B}"/>
    <cellStyle name="Millares 8 5 4 3 2 2" xfId="5952" xr:uid="{E94F281F-C547-4A17-A8BE-3C17EB887982}"/>
    <cellStyle name="Millares 8 5 4 3 2 2 2" xfId="10804" xr:uid="{F14C1B65-7FCA-400B-A000-EE233C8CF7E8}"/>
    <cellStyle name="Millares 8 5 4 3 2 3" xfId="7168" xr:uid="{4D54ABBC-35DC-486F-9997-575B29A950B6}"/>
    <cellStyle name="Millares 8 5 4 3 2 3 2" xfId="12016" xr:uid="{71E0CDD2-4A2E-40C6-AF11-5F390A29EAD3}"/>
    <cellStyle name="Millares 8 5 4 3 2 4" xfId="4741" xr:uid="{F278C0B9-1E0E-4415-B7F2-F9FAB451567F}"/>
    <cellStyle name="Millares 8 5 4 3 2 4 2" xfId="9595" xr:uid="{23209C2C-A131-46C0-B9D7-9A042CABE067}"/>
    <cellStyle name="Millares 8 5 4 3 2 5" xfId="3529" xr:uid="{07B00D0D-3679-49C9-8D11-C86B46F13E95}"/>
    <cellStyle name="Millares 8 5 4 3 2 6" xfId="8385" xr:uid="{0DDEC1A5-8F7C-4CBF-B181-46417419E42B}"/>
    <cellStyle name="Millares 8 5 4 3 3" xfId="5347" xr:uid="{18167355-A319-4A58-ABA6-6DC3F4BAF284}"/>
    <cellStyle name="Millares 8 5 4 3 3 2" xfId="10199" xr:uid="{DD66D056-5AE1-492F-A362-2EA6CEF82DFA}"/>
    <cellStyle name="Millares 8 5 4 3 4" xfId="6561" xr:uid="{4AABEC43-1DD0-4545-BCF2-669D1394AF64}"/>
    <cellStyle name="Millares 8 5 4 3 4 2" xfId="11410" xr:uid="{047EB7DF-0080-449F-8016-0D747547637B}"/>
    <cellStyle name="Millares 8 5 4 3 5" xfId="4137" xr:uid="{80288449-2D48-4740-A9CB-538D7FF769E9}"/>
    <cellStyle name="Millares 8 5 4 3 5 2" xfId="8991" xr:uid="{5FB4D5FD-E889-4065-A85E-DAC0B40CFE86}"/>
    <cellStyle name="Millares 8 5 4 3 6" xfId="2924" xr:uid="{C7C862BC-6AB7-4193-AF57-4E154433AFD1}"/>
    <cellStyle name="Millares 8 5 4 3 7" xfId="7780" xr:uid="{15E98EFF-3219-4E9E-AFF7-EA81D72D84D8}"/>
    <cellStyle name="Millares 8 5 4 4" xfId="2303" xr:uid="{F0851B67-A4E9-4528-A8A9-2E030CBF0DEA}"/>
    <cellStyle name="Millares 8 5 4 4 2" xfId="5949" xr:uid="{E1CCAD0E-3226-4B17-A214-7EF920648FA5}"/>
    <cellStyle name="Millares 8 5 4 4 2 2" xfId="10801" xr:uid="{605719C5-BE73-48D4-ADC7-0F4C3ACABDD0}"/>
    <cellStyle name="Millares 8 5 4 4 3" xfId="7165" xr:uid="{EDCF6D7C-493B-49B6-BBEE-76D0856D69CD}"/>
    <cellStyle name="Millares 8 5 4 4 3 2" xfId="12013" xr:uid="{3ACD17F7-9EC1-482A-A7F5-2B18D4EB2634}"/>
    <cellStyle name="Millares 8 5 4 4 4" xfId="4738" xr:uid="{AEA146B6-4386-413A-B733-402A1CACFECA}"/>
    <cellStyle name="Millares 8 5 4 4 4 2" xfId="9592" xr:uid="{15073F36-1B1B-4C67-8E07-3A0A3E40C6B5}"/>
    <cellStyle name="Millares 8 5 4 4 5" xfId="3526" xr:uid="{3A475683-4AF2-4F85-B410-A83FEFA542C8}"/>
    <cellStyle name="Millares 8 5 4 4 6" xfId="8382" xr:uid="{AD77EF9C-E398-4B09-A60F-F74356ABEBFB}"/>
    <cellStyle name="Millares 8 5 4 5" xfId="5344" xr:uid="{8E6B9FF6-0B88-4383-A014-86BC5B8B945D}"/>
    <cellStyle name="Millares 8 5 4 5 2" xfId="10196" xr:uid="{21EE43DC-C920-4593-A730-0D3FF08F02A5}"/>
    <cellStyle name="Millares 8 5 4 6" xfId="6558" xr:uid="{DEAAF985-D98F-477F-9E93-30A4FD7B79B7}"/>
    <cellStyle name="Millares 8 5 4 6 2" xfId="11407" xr:uid="{E5CD10E1-27F7-4F22-9EF6-5D0B9DC22C4B}"/>
    <cellStyle name="Millares 8 5 4 7" xfId="4134" xr:uid="{A91EF24F-9B68-4917-9882-B93021C06301}"/>
    <cellStyle name="Millares 8 5 4 7 2" xfId="8988" xr:uid="{83D94A8A-9911-4ECB-9DE1-DF03F7637422}"/>
    <cellStyle name="Millares 8 5 4 8" xfId="2921" xr:uid="{76391656-AE84-44ED-B952-DDA4EA64CAF8}"/>
    <cellStyle name="Millares 8 5 4 9" xfId="7777" xr:uid="{3E9BD3D4-3174-4850-9EB9-793B4B72BF09}"/>
    <cellStyle name="Millares 8 5 5" xfId="1638" xr:uid="{3C90F7E1-50B3-49DA-8F72-C7DA46B40FEF}"/>
    <cellStyle name="Millares 8 5 5 2" xfId="1639" xr:uid="{8DCC881C-AD55-45D2-9006-1536A69FA641}"/>
    <cellStyle name="Millares 8 5 5 2 2" xfId="2308" xr:uid="{6DD4B88F-EAF6-4B39-94B1-BADC5A536997}"/>
    <cellStyle name="Millares 8 5 5 2 2 2" xfId="5954" xr:uid="{BC700D7F-FA32-4217-A8B3-0AE0F57D0322}"/>
    <cellStyle name="Millares 8 5 5 2 2 2 2" xfId="10806" xr:uid="{0BE4B890-33D3-4F6B-A14B-560278364B7D}"/>
    <cellStyle name="Millares 8 5 5 2 2 3" xfId="7170" xr:uid="{EDE5900E-4EA7-4F01-80FE-A65954F7DA4D}"/>
    <cellStyle name="Millares 8 5 5 2 2 3 2" xfId="12018" xr:uid="{C8AF4093-83CA-405F-A9EC-72BFC6315147}"/>
    <cellStyle name="Millares 8 5 5 2 2 4" xfId="4743" xr:uid="{56F91C0A-4ACF-4C25-AA6F-6FB91CF7BB7D}"/>
    <cellStyle name="Millares 8 5 5 2 2 4 2" xfId="9597" xr:uid="{2757EAF3-7266-4577-B66E-F6A19AD9D5D9}"/>
    <cellStyle name="Millares 8 5 5 2 2 5" xfId="3531" xr:uid="{073F0A86-7A9E-4E84-AF05-9E356CF14AEF}"/>
    <cellStyle name="Millares 8 5 5 2 2 6" xfId="8387" xr:uid="{05010434-FC65-4B60-8E51-EB929EB0FC93}"/>
    <cellStyle name="Millares 8 5 5 2 3" xfId="5349" xr:uid="{AD17DB23-3917-43C8-B74D-1E35D0D6CF6E}"/>
    <cellStyle name="Millares 8 5 5 2 3 2" xfId="10201" xr:uid="{E0F65704-32B6-4B7F-AB1D-85DE96795AC3}"/>
    <cellStyle name="Millares 8 5 5 2 4" xfId="6563" xr:uid="{D9903909-AFB0-4930-B465-6ABBF872F888}"/>
    <cellStyle name="Millares 8 5 5 2 4 2" xfId="11412" xr:uid="{9E69F0BC-EF29-4067-BA8E-3E62111E27D6}"/>
    <cellStyle name="Millares 8 5 5 2 5" xfId="4139" xr:uid="{41646EEF-C1A1-46F7-AFB3-15C8B1209473}"/>
    <cellStyle name="Millares 8 5 5 2 5 2" xfId="8993" xr:uid="{E721A473-78D5-469F-B67E-6569CC2F8338}"/>
    <cellStyle name="Millares 8 5 5 2 6" xfId="2926" xr:uid="{271CDEB6-E503-45B3-950E-100548181941}"/>
    <cellStyle name="Millares 8 5 5 2 7" xfId="7782" xr:uid="{898A0CB7-4BC4-4FC6-9AF1-917904FB5FAC}"/>
    <cellStyle name="Millares 8 5 5 3" xfId="2307" xr:uid="{A947E6F5-A05C-4759-AFDE-F76CFF912E5F}"/>
    <cellStyle name="Millares 8 5 5 3 2" xfId="5953" xr:uid="{FE77C10A-9400-48D8-99D0-67D52FF906F0}"/>
    <cellStyle name="Millares 8 5 5 3 2 2" xfId="10805" xr:uid="{56E6BDBF-646F-449B-AE60-8B41CFA17AEF}"/>
    <cellStyle name="Millares 8 5 5 3 3" xfId="7169" xr:uid="{994B1E88-3EA0-40B3-8B95-162B1472F80E}"/>
    <cellStyle name="Millares 8 5 5 3 3 2" xfId="12017" xr:uid="{CAB5D870-0B86-49CE-BD9D-91C1E09B349F}"/>
    <cellStyle name="Millares 8 5 5 3 4" xfId="4742" xr:uid="{ECB445D7-642F-443D-9513-F82068FCCE53}"/>
    <cellStyle name="Millares 8 5 5 3 4 2" xfId="9596" xr:uid="{0902278E-F747-44A2-B800-035BBD8338D6}"/>
    <cellStyle name="Millares 8 5 5 3 5" xfId="3530" xr:uid="{B3163592-07E3-4B7D-8E1D-8600E71E9028}"/>
    <cellStyle name="Millares 8 5 5 3 6" xfId="8386" xr:uid="{320EAEE2-BB0D-491F-9BDB-04BD2826B1AD}"/>
    <cellStyle name="Millares 8 5 5 4" xfId="5348" xr:uid="{7DE1ED6B-3764-401C-8090-90D5813EFEA5}"/>
    <cellStyle name="Millares 8 5 5 4 2" xfId="10200" xr:uid="{52958980-424D-4D19-9249-40D3789697A8}"/>
    <cellStyle name="Millares 8 5 5 5" xfId="6562" xr:uid="{B33173F0-BDF9-4E75-A190-92F91F08C828}"/>
    <cellStyle name="Millares 8 5 5 5 2" xfId="11411" xr:uid="{A5DEAE67-14A8-41B2-BD93-1EBA0C6B5CF6}"/>
    <cellStyle name="Millares 8 5 5 6" xfId="4138" xr:uid="{757C6A55-3AF5-4CC0-A81A-67D33A11984F}"/>
    <cellStyle name="Millares 8 5 5 6 2" xfId="8992" xr:uid="{9F63AAAC-3281-40DC-AD90-96991636E0F2}"/>
    <cellStyle name="Millares 8 5 5 7" xfId="2925" xr:uid="{0C0765CB-7508-4819-952A-EB37B236BB31}"/>
    <cellStyle name="Millares 8 5 5 8" xfId="7781" xr:uid="{B7648A72-38D9-40B4-9DBD-06D7BD38078F}"/>
    <cellStyle name="Millares 8 5 6" xfId="1640" xr:uid="{C0AB3944-43F0-4B19-841E-7A5D28B54004}"/>
    <cellStyle name="Millares 8 5 6 2" xfId="2309" xr:uid="{62E44B75-ABFD-4A11-A780-4C9D42D82256}"/>
    <cellStyle name="Millares 8 5 6 2 2" xfId="5955" xr:uid="{E9280677-2FE7-4474-A879-1825E3509D97}"/>
    <cellStyle name="Millares 8 5 6 2 2 2" xfId="10807" xr:uid="{F94040BD-EDF1-48E6-AA38-13F7D99E2012}"/>
    <cellStyle name="Millares 8 5 6 2 3" xfId="7171" xr:uid="{15DBACF6-F51E-40A9-A3CA-7ADA1B006503}"/>
    <cellStyle name="Millares 8 5 6 2 3 2" xfId="12019" xr:uid="{2263DC93-C99C-4614-86A4-1967A4A9D54F}"/>
    <cellStyle name="Millares 8 5 6 2 4" xfId="4744" xr:uid="{64ED7289-D746-46D0-B7DB-F600688F0A23}"/>
    <cellStyle name="Millares 8 5 6 2 4 2" xfId="9598" xr:uid="{54CF3F24-81B4-412C-86C9-05F6BAE7F675}"/>
    <cellStyle name="Millares 8 5 6 2 5" xfId="3532" xr:uid="{2FFC591C-694E-4342-B56A-83A4C0F20CD1}"/>
    <cellStyle name="Millares 8 5 6 2 6" xfId="8388" xr:uid="{B4D219C1-8AC8-4643-BBCB-C31C81AC35D4}"/>
    <cellStyle name="Millares 8 5 6 3" xfId="5350" xr:uid="{53B3F18E-6698-4D73-A029-922F184A044A}"/>
    <cellStyle name="Millares 8 5 6 3 2" xfId="10202" xr:uid="{3276E195-864F-48A6-8D63-0DE8C8BBD84E}"/>
    <cellStyle name="Millares 8 5 6 4" xfId="6564" xr:uid="{02828DF8-2138-4820-A970-96E4CD5DFF57}"/>
    <cellStyle name="Millares 8 5 6 4 2" xfId="11413" xr:uid="{563A9014-61FB-4C5D-B58B-4B8D3FCE245B}"/>
    <cellStyle name="Millares 8 5 6 5" xfId="4140" xr:uid="{96044324-B9E3-4F8F-8875-7CFFFB0198F2}"/>
    <cellStyle name="Millares 8 5 6 5 2" xfId="8994" xr:uid="{4F4F52A2-BF6D-425E-B0A1-27990931E2FC}"/>
    <cellStyle name="Millares 8 5 6 6" xfId="2927" xr:uid="{E75904EF-21D9-4DD2-AD6D-8F7EF822B841}"/>
    <cellStyle name="Millares 8 5 6 7" xfId="7783" xr:uid="{7EDC97B6-0BCB-4018-BE6F-CEFBAD84BF48}"/>
    <cellStyle name="Millares 8 5 7" xfId="2286" xr:uid="{70C498DF-63A0-4E0D-872B-A8A5478FA42B}"/>
    <cellStyle name="Millares 8 5 7 2" xfId="5932" xr:uid="{509DBCB7-2EDB-4318-97F5-83125334C9E1}"/>
    <cellStyle name="Millares 8 5 7 2 2" xfId="10784" xr:uid="{CF648B2C-9E23-4032-A34C-1000813A964F}"/>
    <cellStyle name="Millares 8 5 7 3" xfId="7148" xr:uid="{5D630179-D714-4FE3-B65F-903BC9D34A98}"/>
    <cellStyle name="Millares 8 5 7 3 2" xfId="11996" xr:uid="{60841AC5-6FB7-4CD0-8137-EEE2DFD601C4}"/>
    <cellStyle name="Millares 8 5 7 4" xfId="4721" xr:uid="{EB3C5C92-932F-483A-BD9C-F1CD0B566B46}"/>
    <cellStyle name="Millares 8 5 7 4 2" xfId="9575" xr:uid="{76C08E5E-B9E4-4CC6-8634-130F02032DBB}"/>
    <cellStyle name="Millares 8 5 7 5" xfId="3509" xr:uid="{DE319CA0-0A48-4AC9-8736-B67FB10483D9}"/>
    <cellStyle name="Millares 8 5 7 6" xfId="8365" xr:uid="{778D1342-1B65-41FD-9F43-A827B73EC1AE}"/>
    <cellStyle name="Millares 8 5 8" xfId="5327" xr:uid="{B66A78A1-54E3-452D-A154-B08EB214BC66}"/>
    <cellStyle name="Millares 8 5 8 2" xfId="10179" xr:uid="{1C705B91-EF08-420C-915E-15ADDF6C8D74}"/>
    <cellStyle name="Millares 8 5 9" xfId="6541" xr:uid="{BC42E19B-EA81-4EA8-ABE7-B9FBFC65C8FC}"/>
    <cellStyle name="Millares 8 5 9 2" xfId="11390" xr:uid="{FCE76B90-4036-4ADC-AFEB-8442A031286A}"/>
    <cellStyle name="Millares 8 6" xfId="1641" xr:uid="{EAC29C00-8845-4EA3-85C0-ED1F71806247}"/>
    <cellStyle name="Millares 8 6 10" xfId="2928" xr:uid="{7B88E4DB-0D52-4528-9959-0A8A20FE59CC}"/>
    <cellStyle name="Millares 8 6 11" xfId="7784" xr:uid="{1BA42C0A-78E6-4973-8475-327401E57E22}"/>
    <cellStyle name="Millares 8 6 2" xfId="1642" xr:uid="{7AA2B1B0-D59F-452F-BAFE-AD51D11AAAF8}"/>
    <cellStyle name="Millares 8 6 2 2" xfId="1643" xr:uid="{FBA9BD84-A6A2-497F-9E40-76825811C68B}"/>
    <cellStyle name="Millares 8 6 2 2 2" xfId="1644" xr:uid="{0BD88D0B-6D0B-44E1-B950-453CD4676511}"/>
    <cellStyle name="Millares 8 6 2 2 2 2" xfId="2313" xr:uid="{133B26DE-44D2-42C5-9C8A-8E43A0DFBBE9}"/>
    <cellStyle name="Millares 8 6 2 2 2 2 2" xfId="5959" xr:uid="{F0F7137F-1199-49D5-9BCD-274144C8128C}"/>
    <cellStyle name="Millares 8 6 2 2 2 2 2 2" xfId="10811" xr:uid="{A2733067-0A92-4F86-8145-B4D6782665FE}"/>
    <cellStyle name="Millares 8 6 2 2 2 2 3" xfId="7175" xr:uid="{51B41061-97A2-4AB4-84ED-86280EC3A068}"/>
    <cellStyle name="Millares 8 6 2 2 2 2 3 2" xfId="12023" xr:uid="{AC7B1F96-39C6-4267-9D32-0707DC39A1C4}"/>
    <cellStyle name="Millares 8 6 2 2 2 2 4" xfId="4748" xr:uid="{0A8C5BE0-14A8-4F2D-B532-2D429FC54FE7}"/>
    <cellStyle name="Millares 8 6 2 2 2 2 4 2" xfId="9602" xr:uid="{317BCB06-2BEE-40BE-AED2-C2BE752ABDF6}"/>
    <cellStyle name="Millares 8 6 2 2 2 2 5" xfId="3536" xr:uid="{C8B490B4-23A3-4DBE-B6AE-DF5BFDDE65EB}"/>
    <cellStyle name="Millares 8 6 2 2 2 2 6" xfId="8392" xr:uid="{EE95EEFD-AF92-43D9-BFA5-8BA1AF2C9E84}"/>
    <cellStyle name="Millares 8 6 2 2 2 3" xfId="5354" xr:uid="{EF6D010A-B50B-4041-8CC9-C446AADFBE9C}"/>
    <cellStyle name="Millares 8 6 2 2 2 3 2" xfId="10206" xr:uid="{943CEA8A-1300-4338-87BB-48582751C6AC}"/>
    <cellStyle name="Millares 8 6 2 2 2 4" xfId="6568" xr:uid="{D8033733-7928-40FC-AE2A-F58D7E967E02}"/>
    <cellStyle name="Millares 8 6 2 2 2 4 2" xfId="11417" xr:uid="{E9D3BB17-9AA4-4223-9703-B30A60D89C44}"/>
    <cellStyle name="Millares 8 6 2 2 2 5" xfId="4144" xr:uid="{71FB8FDA-A997-45D4-A05E-413930902CDB}"/>
    <cellStyle name="Millares 8 6 2 2 2 5 2" xfId="8998" xr:uid="{6B623066-0F88-4383-9412-4DDA3EA60173}"/>
    <cellStyle name="Millares 8 6 2 2 2 6" xfId="2931" xr:uid="{0DC18CCB-2220-4386-93AB-4A63AF12BECB}"/>
    <cellStyle name="Millares 8 6 2 2 2 7" xfId="7787" xr:uid="{42F54B9F-C73F-41DF-89C4-5C98B8A19090}"/>
    <cellStyle name="Millares 8 6 2 2 3" xfId="2312" xr:uid="{86A1AFFB-F609-46E6-BE92-7C3A0223E925}"/>
    <cellStyle name="Millares 8 6 2 2 3 2" xfId="5958" xr:uid="{985441B1-26D6-4812-AF0D-F29AD82ABBCC}"/>
    <cellStyle name="Millares 8 6 2 2 3 2 2" xfId="10810" xr:uid="{4EE1BD93-E476-49C7-9322-640ECC25118A}"/>
    <cellStyle name="Millares 8 6 2 2 3 3" xfId="7174" xr:uid="{783E59A1-28B2-45E0-812D-78B77971D6BA}"/>
    <cellStyle name="Millares 8 6 2 2 3 3 2" xfId="12022" xr:uid="{7FF3D248-4E78-47A4-9A82-C5DE27EF050D}"/>
    <cellStyle name="Millares 8 6 2 2 3 4" xfId="4747" xr:uid="{3F1BD862-0333-47F2-91D8-C96C1DCD38B9}"/>
    <cellStyle name="Millares 8 6 2 2 3 4 2" xfId="9601" xr:uid="{61B7ADD2-7F01-46FA-A7B3-74E957B9AC3E}"/>
    <cellStyle name="Millares 8 6 2 2 3 5" xfId="3535" xr:uid="{DB76DDA0-B434-4C2C-B6C1-EB3A265889D2}"/>
    <cellStyle name="Millares 8 6 2 2 3 6" xfId="8391" xr:uid="{9FC0BCBE-FBD2-41F0-BBC6-503A7A08148B}"/>
    <cellStyle name="Millares 8 6 2 2 4" xfId="5353" xr:uid="{0633A9A5-0A5D-4396-9899-10227B63C8ED}"/>
    <cellStyle name="Millares 8 6 2 2 4 2" xfId="10205" xr:uid="{0D38F789-0331-4AF4-9ABD-759C6083FCB3}"/>
    <cellStyle name="Millares 8 6 2 2 5" xfId="6567" xr:uid="{84E72E49-47EB-4F1A-B37B-4A54CA8701E9}"/>
    <cellStyle name="Millares 8 6 2 2 5 2" xfId="11416" xr:uid="{BF20434F-E186-441E-AE46-75A188EB9753}"/>
    <cellStyle name="Millares 8 6 2 2 6" xfId="4143" xr:uid="{3FDB454C-0C0D-4B00-A18E-E6854187B529}"/>
    <cellStyle name="Millares 8 6 2 2 6 2" xfId="8997" xr:uid="{E796CDB3-AAFE-4DEB-9E47-F94778B4FA4F}"/>
    <cellStyle name="Millares 8 6 2 2 7" xfId="2930" xr:uid="{3B23E09C-396A-4A32-A29E-173D435C8813}"/>
    <cellStyle name="Millares 8 6 2 2 8" xfId="7786" xr:uid="{BD20888B-53E8-4122-8A70-B1E87A16DBEF}"/>
    <cellStyle name="Millares 8 6 2 3" xfId="1645" xr:uid="{6E035953-471B-4A47-83F8-B12F2E508A22}"/>
    <cellStyle name="Millares 8 6 2 3 2" xfId="2314" xr:uid="{A83E4FF1-EAC5-4DD9-B600-D4FF7E53E77D}"/>
    <cellStyle name="Millares 8 6 2 3 2 2" xfId="5960" xr:uid="{1936215E-C7EA-4DDE-9083-971097AD6D94}"/>
    <cellStyle name="Millares 8 6 2 3 2 2 2" xfId="10812" xr:uid="{C70849D7-987A-4E72-AD8C-E84706910AE5}"/>
    <cellStyle name="Millares 8 6 2 3 2 3" xfId="7176" xr:uid="{053F1E31-97B4-4F90-86A1-9748A3E38E6B}"/>
    <cellStyle name="Millares 8 6 2 3 2 3 2" xfId="12024" xr:uid="{D498D818-9EDF-48C0-8B67-C3A2BE08139E}"/>
    <cellStyle name="Millares 8 6 2 3 2 4" xfId="4749" xr:uid="{F1A090EE-A4BC-476C-9FDF-B090A66D9279}"/>
    <cellStyle name="Millares 8 6 2 3 2 4 2" xfId="9603" xr:uid="{E082A386-F9DC-4A52-A9EB-D5AA5FF5A957}"/>
    <cellStyle name="Millares 8 6 2 3 2 5" xfId="3537" xr:uid="{0B25173C-B8E5-4C68-B98D-F8A7BD9C4B21}"/>
    <cellStyle name="Millares 8 6 2 3 2 6" xfId="8393" xr:uid="{1FBABD09-04B7-482B-8B6E-1EC657348EF0}"/>
    <cellStyle name="Millares 8 6 2 3 3" xfId="5355" xr:uid="{D6133FC2-3C11-4690-BC73-774B4440ACFE}"/>
    <cellStyle name="Millares 8 6 2 3 3 2" xfId="10207" xr:uid="{41B7F03F-C51C-412B-AF37-0557ACF19B97}"/>
    <cellStyle name="Millares 8 6 2 3 4" xfId="6569" xr:uid="{73F726A3-2DE5-41A4-A27D-61426E12A7FC}"/>
    <cellStyle name="Millares 8 6 2 3 4 2" xfId="11418" xr:uid="{EB3DDA30-FB26-440F-8F51-54D99E79579B}"/>
    <cellStyle name="Millares 8 6 2 3 5" xfId="4145" xr:uid="{C94D69C3-2C80-4A75-B3AE-A0F4CBAE3E70}"/>
    <cellStyle name="Millares 8 6 2 3 5 2" xfId="8999" xr:uid="{74483E34-E26C-49A0-ABB2-6632DC7D6368}"/>
    <cellStyle name="Millares 8 6 2 3 6" xfId="2932" xr:uid="{3F8DD8D5-0CB8-49EB-822C-2FCF4E395D71}"/>
    <cellStyle name="Millares 8 6 2 3 7" xfId="7788" xr:uid="{B1B2A612-BF7F-40F4-9699-BACF119221C5}"/>
    <cellStyle name="Millares 8 6 2 4" xfId="2311" xr:uid="{5C3A9C0A-8FD8-4A13-94D9-D633E87CAFE5}"/>
    <cellStyle name="Millares 8 6 2 4 2" xfId="5957" xr:uid="{0E2F1A69-48CC-4B16-A3F9-FCC3A18EB7B6}"/>
    <cellStyle name="Millares 8 6 2 4 2 2" xfId="10809" xr:uid="{E60AF14D-E558-4531-B46A-99704749BA3F}"/>
    <cellStyle name="Millares 8 6 2 4 3" xfId="7173" xr:uid="{9A2A740B-D2C5-4CC3-8B98-C342DC9E07FA}"/>
    <cellStyle name="Millares 8 6 2 4 3 2" xfId="12021" xr:uid="{F06E9EEE-660C-4652-A342-BB4EA96A369E}"/>
    <cellStyle name="Millares 8 6 2 4 4" xfId="4746" xr:uid="{D8AC7C97-91CE-487C-A669-10603A39AA8C}"/>
    <cellStyle name="Millares 8 6 2 4 4 2" xfId="9600" xr:uid="{573ED8E1-009B-4A9E-87A5-62EB3681CD42}"/>
    <cellStyle name="Millares 8 6 2 4 5" xfId="3534" xr:uid="{9E5AE0ED-E4AA-483F-B4FD-4EB016B285BB}"/>
    <cellStyle name="Millares 8 6 2 4 6" xfId="8390" xr:uid="{1561010B-12C8-47BC-944C-15A6D9D40019}"/>
    <cellStyle name="Millares 8 6 2 5" xfId="5352" xr:uid="{6EA67126-F211-4326-AD69-D5E2D5CDBB5E}"/>
    <cellStyle name="Millares 8 6 2 5 2" xfId="10204" xr:uid="{CB83A646-A451-4EF8-ADC0-9A707285AB40}"/>
    <cellStyle name="Millares 8 6 2 6" xfId="6566" xr:uid="{B348A9E0-57C2-4201-874E-E7A65C3D813E}"/>
    <cellStyle name="Millares 8 6 2 6 2" xfId="11415" xr:uid="{69F741AB-F8DF-4266-9E2D-E7FCC39C2E65}"/>
    <cellStyle name="Millares 8 6 2 7" xfId="4142" xr:uid="{FEA66EDA-CFE0-486F-B302-B40ACEFF5599}"/>
    <cellStyle name="Millares 8 6 2 7 2" xfId="8996" xr:uid="{A7F3BF6D-612C-4F9F-9F67-327CCE826EE2}"/>
    <cellStyle name="Millares 8 6 2 8" xfId="2929" xr:uid="{BBAA5AB4-502E-4C66-9D2E-CA475EB800D9}"/>
    <cellStyle name="Millares 8 6 2 9" xfId="7785" xr:uid="{74C2B1DE-9269-47EB-99EE-D483E369DEC6}"/>
    <cellStyle name="Millares 8 6 3" xfId="1646" xr:uid="{1A4CE7B6-B4B0-4AEA-A816-45D05E5618CD}"/>
    <cellStyle name="Millares 8 6 3 2" xfId="1647" xr:uid="{8DC16182-9ACB-4C01-9594-10D768789236}"/>
    <cellStyle name="Millares 8 6 3 2 2" xfId="1648" xr:uid="{5215E1E2-49DA-49D1-AD05-C9F441444BFB}"/>
    <cellStyle name="Millares 8 6 3 2 2 2" xfId="2317" xr:uid="{6F139F4D-97AF-47F4-A266-D4A1A44CF077}"/>
    <cellStyle name="Millares 8 6 3 2 2 2 2" xfId="5963" xr:uid="{A249079C-59F6-4F4A-B94D-D061D018AB07}"/>
    <cellStyle name="Millares 8 6 3 2 2 2 2 2" xfId="10815" xr:uid="{9EB77ED1-7A35-4DA9-9143-8688758D1A89}"/>
    <cellStyle name="Millares 8 6 3 2 2 2 3" xfId="7179" xr:uid="{CA4FE513-76DB-457A-AB1B-A18598543D36}"/>
    <cellStyle name="Millares 8 6 3 2 2 2 3 2" xfId="12027" xr:uid="{C12CD724-4201-4D5F-8671-9779682C1315}"/>
    <cellStyle name="Millares 8 6 3 2 2 2 4" xfId="4752" xr:uid="{7605948F-3F42-4192-AB79-4807AB6EDCBC}"/>
    <cellStyle name="Millares 8 6 3 2 2 2 4 2" xfId="9606" xr:uid="{B8CF338A-8A58-4472-83AF-739703839460}"/>
    <cellStyle name="Millares 8 6 3 2 2 2 5" xfId="3540" xr:uid="{7C2C65E1-6A4D-4AE5-8405-DFD63D67D200}"/>
    <cellStyle name="Millares 8 6 3 2 2 2 6" xfId="8396" xr:uid="{A5808E88-FB0E-45AD-AB5F-082A52308830}"/>
    <cellStyle name="Millares 8 6 3 2 2 3" xfId="5358" xr:uid="{D3C98971-C2D7-4BA1-AA67-8565CD9AC9DF}"/>
    <cellStyle name="Millares 8 6 3 2 2 3 2" xfId="10210" xr:uid="{02D3BB14-0287-4497-B655-B147428B415E}"/>
    <cellStyle name="Millares 8 6 3 2 2 4" xfId="6572" xr:uid="{EE4E78B9-F35C-4F63-B237-1218D80A98C2}"/>
    <cellStyle name="Millares 8 6 3 2 2 4 2" xfId="11421" xr:uid="{CC7A6D9B-67B1-458A-AD94-A92E757E812F}"/>
    <cellStyle name="Millares 8 6 3 2 2 5" xfId="4148" xr:uid="{664F22CE-301A-456A-8AA5-2BFC5EE966B4}"/>
    <cellStyle name="Millares 8 6 3 2 2 5 2" xfId="9002" xr:uid="{392FB41A-F555-4051-847A-1237FE76AACB}"/>
    <cellStyle name="Millares 8 6 3 2 2 6" xfId="2935" xr:uid="{43B49B39-8227-4B7A-85AC-E2A85500107A}"/>
    <cellStyle name="Millares 8 6 3 2 2 7" xfId="7791" xr:uid="{0482A46C-7A7A-4C88-BBAC-7F176AD0577F}"/>
    <cellStyle name="Millares 8 6 3 2 3" xfId="2316" xr:uid="{17822471-B222-479D-8758-CB6588BC3932}"/>
    <cellStyle name="Millares 8 6 3 2 3 2" xfId="5962" xr:uid="{17705293-1802-4A91-8CFF-F16714D923E0}"/>
    <cellStyle name="Millares 8 6 3 2 3 2 2" xfId="10814" xr:uid="{4CF16CBA-5138-48BF-BE94-2CA6AFB09D8B}"/>
    <cellStyle name="Millares 8 6 3 2 3 3" xfId="7178" xr:uid="{235BCC6B-A64C-422D-B936-CF0384ED567F}"/>
    <cellStyle name="Millares 8 6 3 2 3 3 2" xfId="12026" xr:uid="{0C6A75E0-3689-48C5-98B3-D1F27D60FF7F}"/>
    <cellStyle name="Millares 8 6 3 2 3 4" xfId="4751" xr:uid="{9D4058B3-F942-4875-A8DB-FE0737D4B7BC}"/>
    <cellStyle name="Millares 8 6 3 2 3 4 2" xfId="9605" xr:uid="{74176411-9836-4322-B8F0-D3ECB9D35327}"/>
    <cellStyle name="Millares 8 6 3 2 3 5" xfId="3539" xr:uid="{386EE89C-0D08-44AD-84B2-EDE225DFFD65}"/>
    <cellStyle name="Millares 8 6 3 2 3 6" xfId="8395" xr:uid="{444197ED-9E8D-45E2-A09E-22F01B80F80D}"/>
    <cellStyle name="Millares 8 6 3 2 4" xfId="5357" xr:uid="{A84C39EC-44A9-4938-9B44-572F87A7CFB2}"/>
    <cellStyle name="Millares 8 6 3 2 4 2" xfId="10209" xr:uid="{428E3EA6-4ADD-497D-8242-FB8703E56018}"/>
    <cellStyle name="Millares 8 6 3 2 5" xfId="6571" xr:uid="{4A0E0205-61B5-453C-A16E-57C7DB3B0DE1}"/>
    <cellStyle name="Millares 8 6 3 2 5 2" xfId="11420" xr:uid="{4B54978B-C4FA-452F-839C-7E8F8E4906D3}"/>
    <cellStyle name="Millares 8 6 3 2 6" xfId="4147" xr:uid="{CCED3B64-F7DF-44F9-A053-EC5419656E03}"/>
    <cellStyle name="Millares 8 6 3 2 6 2" xfId="9001" xr:uid="{21821231-AD92-4F5F-B590-578E134C9B91}"/>
    <cellStyle name="Millares 8 6 3 2 7" xfId="2934" xr:uid="{4ECDABE2-CF36-41CA-98CC-B6F2E80C175C}"/>
    <cellStyle name="Millares 8 6 3 2 8" xfId="7790" xr:uid="{B05FE8B7-E9B8-456B-900F-17696376947C}"/>
    <cellStyle name="Millares 8 6 3 3" xfId="1649" xr:uid="{88AFFDE4-8D81-4793-9B05-155CC781501C}"/>
    <cellStyle name="Millares 8 6 3 3 2" xfId="2318" xr:uid="{C11479DD-8E47-465A-A501-25FF57768057}"/>
    <cellStyle name="Millares 8 6 3 3 2 2" xfId="5964" xr:uid="{5881EA3A-C808-43DC-BBF5-B6C81273B6F3}"/>
    <cellStyle name="Millares 8 6 3 3 2 2 2" xfId="10816" xr:uid="{912E63FC-9B66-4884-8376-1149603AB5AE}"/>
    <cellStyle name="Millares 8 6 3 3 2 3" xfId="7180" xr:uid="{F3427B33-C047-43FE-B78D-83F7960EBE98}"/>
    <cellStyle name="Millares 8 6 3 3 2 3 2" xfId="12028" xr:uid="{B44A54D8-D27E-4F2B-B231-EA2DFA5647F6}"/>
    <cellStyle name="Millares 8 6 3 3 2 4" xfId="4753" xr:uid="{1B445ACA-38BE-4D63-B00E-69BC7682DAAB}"/>
    <cellStyle name="Millares 8 6 3 3 2 4 2" xfId="9607" xr:uid="{6892C03E-CCE7-4283-A479-D5C38187295A}"/>
    <cellStyle name="Millares 8 6 3 3 2 5" xfId="3541" xr:uid="{01850F65-A08C-4F1B-934D-98BEFCFC8DB5}"/>
    <cellStyle name="Millares 8 6 3 3 2 6" xfId="8397" xr:uid="{AF9E4FBC-5064-4556-A30F-A0D2866173D0}"/>
    <cellStyle name="Millares 8 6 3 3 3" xfId="5359" xr:uid="{B52031C2-4B65-4D4A-86F0-9ACC5F8DA03C}"/>
    <cellStyle name="Millares 8 6 3 3 3 2" xfId="10211" xr:uid="{692C045E-FC66-4F07-B9C1-77938788E77B}"/>
    <cellStyle name="Millares 8 6 3 3 4" xfId="6573" xr:uid="{D3281AF6-8486-49B5-8F0B-2577ADA37208}"/>
    <cellStyle name="Millares 8 6 3 3 4 2" xfId="11422" xr:uid="{7788E361-A7C9-4396-8C4D-E213439E0A34}"/>
    <cellStyle name="Millares 8 6 3 3 5" xfId="4149" xr:uid="{51D99A6D-E2BF-4531-82C4-6C7D3F039A5A}"/>
    <cellStyle name="Millares 8 6 3 3 5 2" xfId="9003" xr:uid="{C902D4D8-4C17-4BFC-94AE-C33F4CD9FD34}"/>
    <cellStyle name="Millares 8 6 3 3 6" xfId="2936" xr:uid="{9A1E0DE5-45E4-407D-BB04-97515542DD26}"/>
    <cellStyle name="Millares 8 6 3 3 7" xfId="7792" xr:uid="{A659B829-49F6-4040-892A-91DB23ED2536}"/>
    <cellStyle name="Millares 8 6 3 4" xfId="2315" xr:uid="{0407D3DC-F1A9-489B-9417-5B015907CC7A}"/>
    <cellStyle name="Millares 8 6 3 4 2" xfId="5961" xr:uid="{6CA6A10E-2DA6-4AF7-936E-28F6B0F5698F}"/>
    <cellStyle name="Millares 8 6 3 4 2 2" xfId="10813" xr:uid="{9D5DE3A0-838E-4F83-87E9-4D2FCBA1F0CC}"/>
    <cellStyle name="Millares 8 6 3 4 3" xfId="7177" xr:uid="{F6D1C3B6-E9D3-4CC9-A82B-21EBD0459F16}"/>
    <cellStyle name="Millares 8 6 3 4 3 2" xfId="12025" xr:uid="{5F034DFF-BD01-4E54-BBED-FA501873E606}"/>
    <cellStyle name="Millares 8 6 3 4 4" xfId="4750" xr:uid="{F6F09175-F6FC-4352-9C85-E997B102E3B5}"/>
    <cellStyle name="Millares 8 6 3 4 4 2" xfId="9604" xr:uid="{09B13EA0-2E00-4067-998B-497952180863}"/>
    <cellStyle name="Millares 8 6 3 4 5" xfId="3538" xr:uid="{D99CFC54-2B54-4A71-9CAE-3CDCD93BE864}"/>
    <cellStyle name="Millares 8 6 3 4 6" xfId="8394" xr:uid="{BF0C47C7-C542-4B72-82BD-6CA4BD65AA47}"/>
    <cellStyle name="Millares 8 6 3 5" xfId="5356" xr:uid="{E13DAE89-5BA2-4240-89A0-16F963DC09DE}"/>
    <cellStyle name="Millares 8 6 3 5 2" xfId="10208" xr:uid="{EDDE72BD-1ED5-44B1-A3B8-B9C472C073DF}"/>
    <cellStyle name="Millares 8 6 3 6" xfId="6570" xr:uid="{497DCD12-1A9F-4CB5-B377-22E29FB12E77}"/>
    <cellStyle name="Millares 8 6 3 6 2" xfId="11419" xr:uid="{446C7967-D04A-455C-8541-B2CC6090E7FA}"/>
    <cellStyle name="Millares 8 6 3 7" xfId="4146" xr:uid="{6237240E-97E0-4553-9D0C-B326F3BAE932}"/>
    <cellStyle name="Millares 8 6 3 7 2" xfId="9000" xr:uid="{0E77F303-A765-48B8-83EB-C8B864FEEE75}"/>
    <cellStyle name="Millares 8 6 3 8" xfId="2933" xr:uid="{4352E3D3-A664-4D88-BCE1-86D0AC1D2DA0}"/>
    <cellStyle name="Millares 8 6 3 9" xfId="7789" xr:uid="{4014BFB1-E5A2-413B-BFB5-910EA4EA04BB}"/>
    <cellStyle name="Millares 8 6 4" xfId="1650" xr:uid="{263067B1-EA58-4793-BF0F-1DE6EE200DD5}"/>
    <cellStyle name="Millares 8 6 4 2" xfId="1651" xr:uid="{AC2A109C-1152-4023-B748-CCF7630BB3CA}"/>
    <cellStyle name="Millares 8 6 4 2 2" xfId="2320" xr:uid="{D3C9ED56-CCE2-4CDF-8582-F086267F86D4}"/>
    <cellStyle name="Millares 8 6 4 2 2 2" xfId="5966" xr:uid="{9C6B1976-2BA1-416F-8D5B-7AE66B45612A}"/>
    <cellStyle name="Millares 8 6 4 2 2 2 2" xfId="10818" xr:uid="{F3AC148F-A600-4166-A6F1-DA5C5D2E63D5}"/>
    <cellStyle name="Millares 8 6 4 2 2 3" xfId="7182" xr:uid="{C48C9B2E-4AC1-49B5-87BB-F22FFD899F9F}"/>
    <cellStyle name="Millares 8 6 4 2 2 3 2" xfId="12030" xr:uid="{686C1590-3532-42EE-ACE4-D030D2670FE1}"/>
    <cellStyle name="Millares 8 6 4 2 2 4" xfId="4755" xr:uid="{F0E74E91-FD08-4370-A513-FDEEF1967F4A}"/>
    <cellStyle name="Millares 8 6 4 2 2 4 2" xfId="9609" xr:uid="{D3015D82-F333-46DE-B056-951F7ADAC10E}"/>
    <cellStyle name="Millares 8 6 4 2 2 5" xfId="3543" xr:uid="{F5054DCA-9CC8-4AE5-8CAD-AEDA63ACED8C}"/>
    <cellStyle name="Millares 8 6 4 2 2 6" xfId="8399" xr:uid="{C82BA793-3F7D-4701-969F-6E25BC25E6B0}"/>
    <cellStyle name="Millares 8 6 4 2 3" xfId="5361" xr:uid="{3802F3E0-F030-4E47-AAE3-26CDFF172887}"/>
    <cellStyle name="Millares 8 6 4 2 3 2" xfId="10213" xr:uid="{CAA12055-CC89-484D-A37B-8EDBF44D07EC}"/>
    <cellStyle name="Millares 8 6 4 2 4" xfId="6575" xr:uid="{E25E9892-77E8-4AB4-91F1-95D6DE669F9D}"/>
    <cellStyle name="Millares 8 6 4 2 4 2" xfId="11424" xr:uid="{68045E20-1ABE-4744-9DEB-B8B2A07583CF}"/>
    <cellStyle name="Millares 8 6 4 2 5" xfId="4151" xr:uid="{D87C064E-A2F0-47DA-A623-130C8A660C5A}"/>
    <cellStyle name="Millares 8 6 4 2 5 2" xfId="9005" xr:uid="{5AFA479E-7885-4AB1-B06E-2262E741A0B1}"/>
    <cellStyle name="Millares 8 6 4 2 6" xfId="2938" xr:uid="{9D324467-B68F-4ACC-9579-6562E1161587}"/>
    <cellStyle name="Millares 8 6 4 2 7" xfId="7794" xr:uid="{5F99FB60-AF41-42E7-8DDF-2DAA00B1A4F2}"/>
    <cellStyle name="Millares 8 6 4 3" xfId="2319" xr:uid="{5175F25F-2C94-4077-9874-D78498916EAA}"/>
    <cellStyle name="Millares 8 6 4 3 2" xfId="5965" xr:uid="{32E6CF63-AFE9-429B-91E2-3928CF1E0139}"/>
    <cellStyle name="Millares 8 6 4 3 2 2" xfId="10817" xr:uid="{08CD9C63-6275-44AD-BA50-8BAE25BF6DEE}"/>
    <cellStyle name="Millares 8 6 4 3 3" xfId="7181" xr:uid="{05DA785A-75AE-4E32-A71C-EB7F33B60511}"/>
    <cellStyle name="Millares 8 6 4 3 3 2" xfId="12029" xr:uid="{36F4863D-C8FF-470C-832B-434D94A10323}"/>
    <cellStyle name="Millares 8 6 4 3 4" xfId="4754" xr:uid="{281F29F7-EDBC-4F41-B32F-F1E11A131615}"/>
    <cellStyle name="Millares 8 6 4 3 4 2" xfId="9608" xr:uid="{9F84EE71-F298-4CF1-B78D-3B45650769B7}"/>
    <cellStyle name="Millares 8 6 4 3 5" xfId="3542" xr:uid="{DB43E17A-7CB3-4B4C-8761-BD87FEB45DA6}"/>
    <cellStyle name="Millares 8 6 4 3 6" xfId="8398" xr:uid="{34394C3F-3517-49F4-9E89-1EC57CCC3A2D}"/>
    <cellStyle name="Millares 8 6 4 4" xfId="5360" xr:uid="{9A8D9A15-BBA7-4902-A38D-99EFB341BB1A}"/>
    <cellStyle name="Millares 8 6 4 4 2" xfId="10212" xr:uid="{BD988720-692C-46EE-85BB-32CAEEFF9E66}"/>
    <cellStyle name="Millares 8 6 4 5" xfId="6574" xr:uid="{797D113F-7C96-425E-8C95-8C6941521985}"/>
    <cellStyle name="Millares 8 6 4 5 2" xfId="11423" xr:uid="{02B2E406-89B7-4098-B6C8-ABF81D5D4BDE}"/>
    <cellStyle name="Millares 8 6 4 6" xfId="4150" xr:uid="{23A944FB-4DD5-44FB-A73A-2116B7091888}"/>
    <cellStyle name="Millares 8 6 4 6 2" xfId="9004" xr:uid="{D8221C50-D844-4E8C-93D7-6A3F3BC47C44}"/>
    <cellStyle name="Millares 8 6 4 7" xfId="2937" xr:uid="{384B1F46-1253-4259-AD9D-D643EEAB6167}"/>
    <cellStyle name="Millares 8 6 4 8" xfId="7793" xr:uid="{A27DCA3C-2947-44C8-ACB3-96E4F1AE2F81}"/>
    <cellStyle name="Millares 8 6 5" xfId="1652" xr:uid="{94115EDC-D213-4BE5-AF16-68972FC8F9DF}"/>
    <cellStyle name="Millares 8 6 5 2" xfId="2321" xr:uid="{BF59E935-81B9-486F-A3DC-872331E3E596}"/>
    <cellStyle name="Millares 8 6 5 2 2" xfId="5967" xr:uid="{97B66D7C-2E5F-456D-B3F1-F1289A6D9958}"/>
    <cellStyle name="Millares 8 6 5 2 2 2" xfId="10819" xr:uid="{803DBB9E-201F-45B1-96A8-97F228044E5B}"/>
    <cellStyle name="Millares 8 6 5 2 3" xfId="7183" xr:uid="{276A9F64-EAE6-43E7-8D8C-B6576D77682E}"/>
    <cellStyle name="Millares 8 6 5 2 3 2" xfId="12031" xr:uid="{990CC0CD-E808-40E5-A663-9A130C61D577}"/>
    <cellStyle name="Millares 8 6 5 2 4" xfId="4756" xr:uid="{3ADDF49F-D0AB-41DC-9908-DC6158F4F7FE}"/>
    <cellStyle name="Millares 8 6 5 2 4 2" xfId="9610" xr:uid="{14C6ACDB-8B74-4AEC-97BF-DCE0A406ADAB}"/>
    <cellStyle name="Millares 8 6 5 2 5" xfId="3544" xr:uid="{D75CB71F-51E8-49F0-BC0F-B76F0CBCEC5F}"/>
    <cellStyle name="Millares 8 6 5 2 6" xfId="8400" xr:uid="{B503349E-E165-4309-9ECA-20BFAFB1CC48}"/>
    <cellStyle name="Millares 8 6 5 3" xfId="5362" xr:uid="{787D719D-70CE-4339-9AD7-AE4AEFF85308}"/>
    <cellStyle name="Millares 8 6 5 3 2" xfId="10214" xr:uid="{43C0AA7D-AD00-4EE8-A6EB-E3BEBC8456DA}"/>
    <cellStyle name="Millares 8 6 5 4" xfId="6576" xr:uid="{00392C0E-53C0-406B-882F-3AEDD753EC6E}"/>
    <cellStyle name="Millares 8 6 5 4 2" xfId="11425" xr:uid="{A95D9D97-0315-4172-85BA-9E3C8E54C08B}"/>
    <cellStyle name="Millares 8 6 5 5" xfId="4152" xr:uid="{07970B35-32F4-4C6C-A82D-E1B74A114763}"/>
    <cellStyle name="Millares 8 6 5 5 2" xfId="9006" xr:uid="{EF61A9C2-389F-431E-B417-51C38DD1B6EE}"/>
    <cellStyle name="Millares 8 6 5 6" xfId="2939" xr:uid="{E6652231-1747-437C-894B-D1F390848AF8}"/>
    <cellStyle name="Millares 8 6 5 7" xfId="7795" xr:uid="{FB3649A0-D5F5-4035-A15F-8F4408D2ABF7}"/>
    <cellStyle name="Millares 8 6 6" xfId="2310" xr:uid="{C3D288F0-BAFF-440A-B82F-6B83D2F8351C}"/>
    <cellStyle name="Millares 8 6 6 2" xfId="5956" xr:uid="{F20A4AA5-85A5-42A1-B19B-99A8BA510652}"/>
    <cellStyle name="Millares 8 6 6 2 2" xfId="10808" xr:uid="{F637A3B6-A74F-4B36-A2E2-AA8374B14D51}"/>
    <cellStyle name="Millares 8 6 6 3" xfId="7172" xr:uid="{372E0C28-6B6D-4688-A51C-FD3B2C1DD344}"/>
    <cellStyle name="Millares 8 6 6 3 2" xfId="12020" xr:uid="{52D7293D-9998-4C2A-B38F-4D55EA0794C2}"/>
    <cellStyle name="Millares 8 6 6 4" xfId="4745" xr:uid="{906C5D95-3231-44F1-BC32-604309F7F569}"/>
    <cellStyle name="Millares 8 6 6 4 2" xfId="9599" xr:uid="{9DBBD5D0-220C-4BDD-A3C2-D4D83FBC6914}"/>
    <cellStyle name="Millares 8 6 6 5" xfId="3533" xr:uid="{860DC2E6-95FA-4650-9DDA-3D7904E7B3AE}"/>
    <cellStyle name="Millares 8 6 6 6" xfId="8389" xr:uid="{08BBF60C-C5B0-4E80-8D80-32A37D1E56C4}"/>
    <cellStyle name="Millares 8 6 7" xfId="5351" xr:uid="{6847F87A-CB6B-4B38-A0DE-D14AD99BE3AA}"/>
    <cellStyle name="Millares 8 6 7 2" xfId="10203" xr:uid="{7811A11C-9988-4451-A484-CDA1A9C5B30C}"/>
    <cellStyle name="Millares 8 6 8" xfId="6565" xr:uid="{3A61B16F-B475-4993-B99E-C47126A7F9DA}"/>
    <cellStyle name="Millares 8 6 8 2" xfId="11414" xr:uid="{F99D1E10-3BE0-4402-BDD4-341D31E1AD5C}"/>
    <cellStyle name="Millares 8 6 9" xfId="4141" xr:uid="{6E469FC0-6E36-4A44-9722-796844608B01}"/>
    <cellStyle name="Millares 8 6 9 2" xfId="8995" xr:uid="{534A74B9-CE26-443C-9222-5BAE4F988290}"/>
    <cellStyle name="Millares 8 7" xfId="1653" xr:uid="{11CD4E10-422D-4079-B74E-7E4FA9AEE82E}"/>
    <cellStyle name="Millares 8 7 2" xfId="1654" xr:uid="{34702BCA-F7B7-4A02-B55C-E85A518C47B8}"/>
    <cellStyle name="Millares 8 7 2 2" xfId="1655" xr:uid="{6064EE2F-12E5-456F-B40F-2C52E171E03A}"/>
    <cellStyle name="Millares 8 7 2 2 2" xfId="2324" xr:uid="{DC579140-6940-4347-88C2-43CB9DE4A225}"/>
    <cellStyle name="Millares 8 7 2 2 2 2" xfId="5970" xr:uid="{05896ABC-7FEA-4B7C-A1E0-FBEC3E7688DA}"/>
    <cellStyle name="Millares 8 7 2 2 2 2 2" xfId="10822" xr:uid="{F54A2FAA-3887-49CE-A637-684919DBBEFF}"/>
    <cellStyle name="Millares 8 7 2 2 2 3" xfId="7186" xr:uid="{012B096C-B3B2-4675-907A-0DE9D776584F}"/>
    <cellStyle name="Millares 8 7 2 2 2 3 2" xfId="12034" xr:uid="{0ABA6CE4-9655-48B1-BCCD-F29C4E07FD0B}"/>
    <cellStyle name="Millares 8 7 2 2 2 4" xfId="4759" xr:uid="{C2EDC948-A839-4067-9B77-7A958D11F00D}"/>
    <cellStyle name="Millares 8 7 2 2 2 4 2" xfId="9613" xr:uid="{413C46AA-1D72-482F-8F84-19437CB83992}"/>
    <cellStyle name="Millares 8 7 2 2 2 5" xfId="3547" xr:uid="{9914EBC5-DB67-41E5-B082-B99FC36CE41E}"/>
    <cellStyle name="Millares 8 7 2 2 2 6" xfId="8403" xr:uid="{D7957A26-C3AC-4089-B4EC-8B20A8422956}"/>
    <cellStyle name="Millares 8 7 2 2 3" xfId="5365" xr:uid="{1D745B34-8E4F-468E-9030-EDE4BB9E2BF2}"/>
    <cellStyle name="Millares 8 7 2 2 3 2" xfId="10217" xr:uid="{B981F7D2-84EC-4A3B-970E-B4E8414EC4D6}"/>
    <cellStyle name="Millares 8 7 2 2 4" xfId="6579" xr:uid="{D3CD45D4-D16F-4568-A7B9-BCF0D57F1D33}"/>
    <cellStyle name="Millares 8 7 2 2 4 2" xfId="11428" xr:uid="{CAEF1F32-7343-4206-8EB5-CAAAE35AA958}"/>
    <cellStyle name="Millares 8 7 2 2 5" xfId="4155" xr:uid="{B69B80B4-64B5-4FC6-AEB7-6B2037BB4C11}"/>
    <cellStyle name="Millares 8 7 2 2 5 2" xfId="9009" xr:uid="{A6932285-1586-458B-8A9C-FE85DAF003BE}"/>
    <cellStyle name="Millares 8 7 2 2 6" xfId="2942" xr:uid="{5D57A533-1EAE-4543-A2DB-FB2E97E19B86}"/>
    <cellStyle name="Millares 8 7 2 2 7" xfId="7798" xr:uid="{721530CF-2159-4AAF-A665-1D4DD40AF28C}"/>
    <cellStyle name="Millares 8 7 2 3" xfId="2323" xr:uid="{B7EE6371-0783-405A-8B52-E2A7823348D6}"/>
    <cellStyle name="Millares 8 7 2 3 2" xfId="5969" xr:uid="{C9E300DA-D5BE-4164-B3D8-CE711336FB02}"/>
    <cellStyle name="Millares 8 7 2 3 2 2" xfId="10821" xr:uid="{BFBD6580-D911-4C0A-89A6-9200F9CF8C10}"/>
    <cellStyle name="Millares 8 7 2 3 3" xfId="7185" xr:uid="{52EFD948-F2DD-4611-B3EC-FE31788AFA50}"/>
    <cellStyle name="Millares 8 7 2 3 3 2" xfId="12033" xr:uid="{A931A06B-55AC-4C4A-9735-6FA8F514184F}"/>
    <cellStyle name="Millares 8 7 2 3 4" xfId="4758" xr:uid="{BDEA9B25-C2B8-41A4-8F4C-0303CFD40F0A}"/>
    <cellStyle name="Millares 8 7 2 3 4 2" xfId="9612" xr:uid="{1EB69D52-C046-4FDB-AE7F-9453DBE282AC}"/>
    <cellStyle name="Millares 8 7 2 3 5" xfId="3546" xr:uid="{5B47C82E-0244-4A8E-9092-6AF30BCF8CB7}"/>
    <cellStyle name="Millares 8 7 2 3 6" xfId="8402" xr:uid="{DA104383-DC9B-4226-B1CC-515F0716BD65}"/>
    <cellStyle name="Millares 8 7 2 4" xfId="5364" xr:uid="{AFA2D070-F610-468D-998F-3446FAD9909A}"/>
    <cellStyle name="Millares 8 7 2 4 2" xfId="10216" xr:uid="{7146FE0A-C8A8-46A2-BBCD-7A9419E3BAA1}"/>
    <cellStyle name="Millares 8 7 2 5" xfId="6578" xr:uid="{4F332501-BFD2-4F98-B154-CA1840376BCA}"/>
    <cellStyle name="Millares 8 7 2 5 2" xfId="11427" xr:uid="{E85CA170-13AB-4D11-93DC-3BEA9A094282}"/>
    <cellStyle name="Millares 8 7 2 6" xfId="4154" xr:uid="{D873F44D-D3FB-4EF6-922F-57FABA567EA1}"/>
    <cellStyle name="Millares 8 7 2 6 2" xfId="9008" xr:uid="{A3EE7759-3989-4FF1-B8BE-C500EBE51CD7}"/>
    <cellStyle name="Millares 8 7 2 7" xfId="2941" xr:uid="{CBB5BD5B-DB8B-4293-ACE5-B4D090CF8948}"/>
    <cellStyle name="Millares 8 7 2 8" xfId="7797" xr:uid="{09A89F9F-275A-44D2-93B8-359C44CC2CBC}"/>
    <cellStyle name="Millares 8 7 3" xfId="1656" xr:uid="{7FD9AD72-D6D2-4D46-AADE-DFCA5376FB7F}"/>
    <cellStyle name="Millares 8 7 3 2" xfId="2325" xr:uid="{D620150A-2BC8-430D-A11D-027BB9D90239}"/>
    <cellStyle name="Millares 8 7 3 2 2" xfId="5971" xr:uid="{30FBC1F6-6E29-48F7-A56A-20DE918A76EC}"/>
    <cellStyle name="Millares 8 7 3 2 2 2" xfId="10823" xr:uid="{259ED039-F8B7-4D47-86EC-C5B065F59FDC}"/>
    <cellStyle name="Millares 8 7 3 2 3" xfId="7187" xr:uid="{5743C171-8836-4EE6-9F5A-EC7F3FD33425}"/>
    <cellStyle name="Millares 8 7 3 2 3 2" xfId="12035" xr:uid="{EED4D704-B645-4DA0-BA7D-DAC31E176AFE}"/>
    <cellStyle name="Millares 8 7 3 2 4" xfId="4760" xr:uid="{74106292-5CAA-4B27-8905-E94D7015D88A}"/>
    <cellStyle name="Millares 8 7 3 2 4 2" xfId="9614" xr:uid="{411697D5-2417-4584-B7CC-F21C184483FA}"/>
    <cellStyle name="Millares 8 7 3 2 5" xfId="3548" xr:uid="{C24D9054-3207-4E02-A55F-54651E413403}"/>
    <cellStyle name="Millares 8 7 3 2 6" xfId="8404" xr:uid="{32FBAE7A-EA86-43A7-BBDE-F63EA1D8D905}"/>
    <cellStyle name="Millares 8 7 3 3" xfId="5366" xr:uid="{CF5B6368-99E3-47F4-B581-BD9F19330CF7}"/>
    <cellStyle name="Millares 8 7 3 3 2" xfId="10218" xr:uid="{DA0EF991-3E2C-45FA-8921-2C563B8D967E}"/>
    <cellStyle name="Millares 8 7 3 4" xfId="6580" xr:uid="{5741AF94-A70F-4FA5-AC49-12A06150213D}"/>
    <cellStyle name="Millares 8 7 3 4 2" xfId="11429" xr:uid="{2FA2954D-E377-44D3-8CE1-6AD309C26141}"/>
    <cellStyle name="Millares 8 7 3 5" xfId="4156" xr:uid="{73ACAE12-2A50-48AC-A5BA-4F1A130065F6}"/>
    <cellStyle name="Millares 8 7 3 5 2" xfId="9010" xr:uid="{6C8AA2CD-13C2-45CA-B70D-DEF330866A56}"/>
    <cellStyle name="Millares 8 7 3 6" xfId="2943" xr:uid="{39FC2ED7-D779-407E-B472-B9008EDC1392}"/>
    <cellStyle name="Millares 8 7 3 7" xfId="7799" xr:uid="{1AF6D702-3DC0-4084-857F-2AB860727BC4}"/>
    <cellStyle name="Millares 8 7 4" xfId="2322" xr:uid="{3B459245-A256-4B7E-9E72-040A8B71854F}"/>
    <cellStyle name="Millares 8 7 4 2" xfId="5968" xr:uid="{C31A8165-AC0A-486D-82CA-E3D4D6185F59}"/>
    <cellStyle name="Millares 8 7 4 2 2" xfId="10820" xr:uid="{07851229-1F27-47C9-9D18-F47490E53C77}"/>
    <cellStyle name="Millares 8 7 4 3" xfId="7184" xr:uid="{BF12B6CA-B286-4B5C-A252-D634654B578B}"/>
    <cellStyle name="Millares 8 7 4 3 2" xfId="12032" xr:uid="{E336CDE9-80A2-4852-92E0-41D8BAE5FBAD}"/>
    <cellStyle name="Millares 8 7 4 4" xfId="4757" xr:uid="{27455631-1475-4FF4-B7D2-47A55DF3DF4F}"/>
    <cellStyle name="Millares 8 7 4 4 2" xfId="9611" xr:uid="{3D26877F-7B45-46A1-A435-F2E0084CE31C}"/>
    <cellStyle name="Millares 8 7 4 5" xfId="3545" xr:uid="{A2D91254-267E-4137-8255-2FA76694F625}"/>
    <cellStyle name="Millares 8 7 4 6" xfId="8401" xr:uid="{62EB8AF0-76CB-4403-B5D7-4CD86F6AA91C}"/>
    <cellStyle name="Millares 8 7 5" xfId="5363" xr:uid="{86A29789-7E21-4216-8931-8029F5380D68}"/>
    <cellStyle name="Millares 8 7 5 2" xfId="10215" xr:uid="{1E8E94D0-3C9F-462B-83DC-907BD7EC47B0}"/>
    <cellStyle name="Millares 8 7 6" xfId="6577" xr:uid="{A4E175FF-DA00-4118-847C-41B02CFBAF4A}"/>
    <cellStyle name="Millares 8 7 6 2" xfId="11426" xr:uid="{CF4A82A9-C419-448E-9DB4-4A1F111727F3}"/>
    <cellStyle name="Millares 8 7 7" xfId="4153" xr:uid="{27B53D39-6A02-4918-BFF1-AB2BD87EEC0A}"/>
    <cellStyle name="Millares 8 7 7 2" xfId="9007" xr:uid="{F8AED654-74AB-4522-AA3C-532516D7F5CF}"/>
    <cellStyle name="Millares 8 7 8" xfId="2940" xr:uid="{1E9EA2F0-AFE8-4BE1-8C33-62D98A4AD950}"/>
    <cellStyle name="Millares 8 7 9" xfId="7796" xr:uid="{6CC6B561-8D18-42AB-B3CE-4EF56835E493}"/>
    <cellStyle name="Millares 8 8" xfId="1657" xr:uid="{18C01814-C8C8-483F-86C7-4FCC9127CCA2}"/>
    <cellStyle name="Millares 8 8 2" xfId="1658" xr:uid="{65E28971-5B64-4B1B-A3FA-12B6A67809DE}"/>
    <cellStyle name="Millares 8 8 2 2" xfId="1659" xr:uid="{A76D5525-C4DB-4DA0-8DA4-BF7706232CB3}"/>
    <cellStyle name="Millares 8 8 2 2 2" xfId="2328" xr:uid="{43249CEE-FC16-448E-8147-4C61DF5651F5}"/>
    <cellStyle name="Millares 8 8 2 2 2 2" xfId="5974" xr:uid="{44487680-E5AD-4F7F-9B86-BB90BACB6341}"/>
    <cellStyle name="Millares 8 8 2 2 2 2 2" xfId="10826" xr:uid="{D264BA47-1A04-42F2-9F6E-D2C11673C2C6}"/>
    <cellStyle name="Millares 8 8 2 2 2 3" xfId="7190" xr:uid="{553C11C8-3549-48C2-A82B-96EB65DA32A0}"/>
    <cellStyle name="Millares 8 8 2 2 2 3 2" xfId="12038" xr:uid="{8E95355C-922E-4C6C-B18F-919FA20AB8C0}"/>
    <cellStyle name="Millares 8 8 2 2 2 4" xfId="4763" xr:uid="{CF288449-D1F5-4018-98AE-23FAA93623F3}"/>
    <cellStyle name="Millares 8 8 2 2 2 4 2" xfId="9617" xr:uid="{13D3E205-623C-4C39-8292-F81D5CCC937B}"/>
    <cellStyle name="Millares 8 8 2 2 2 5" xfId="3551" xr:uid="{E41F8A38-8E63-435B-B0DC-01FEACE9B386}"/>
    <cellStyle name="Millares 8 8 2 2 2 6" xfId="8407" xr:uid="{D93DD173-6708-4314-913E-1467E04D661C}"/>
    <cellStyle name="Millares 8 8 2 2 3" xfId="5369" xr:uid="{342C0FED-8CD4-4BC7-B030-0A750666FABF}"/>
    <cellStyle name="Millares 8 8 2 2 3 2" xfId="10221" xr:uid="{A7D63F46-79A8-4BCA-A4AF-3C99663E59B3}"/>
    <cellStyle name="Millares 8 8 2 2 4" xfId="6583" xr:uid="{54786D1B-3F20-4E17-BB31-0795587B8CEC}"/>
    <cellStyle name="Millares 8 8 2 2 4 2" xfId="11432" xr:uid="{897766CE-B108-41CD-918B-8D5A7E8EC3D1}"/>
    <cellStyle name="Millares 8 8 2 2 5" xfId="4159" xr:uid="{C7336663-8628-422C-81BD-A1791EAABF26}"/>
    <cellStyle name="Millares 8 8 2 2 5 2" xfId="9013" xr:uid="{C38359DB-8319-426B-A9D1-3AC1BF8575F1}"/>
    <cellStyle name="Millares 8 8 2 2 6" xfId="2946" xr:uid="{60734A44-3525-4835-AE4B-61306CCDAF4B}"/>
    <cellStyle name="Millares 8 8 2 2 7" xfId="7802" xr:uid="{DF633F35-1376-4296-AA51-ECDE75687D3F}"/>
    <cellStyle name="Millares 8 8 2 3" xfId="2327" xr:uid="{F32679C2-AD19-4A98-9280-3091E44C9315}"/>
    <cellStyle name="Millares 8 8 2 3 2" xfId="5973" xr:uid="{233CD3F6-E037-4B8D-804D-09A42EFFDDFA}"/>
    <cellStyle name="Millares 8 8 2 3 2 2" xfId="10825" xr:uid="{C0DAF182-3A00-4D86-B078-C8EC3A33DB92}"/>
    <cellStyle name="Millares 8 8 2 3 3" xfId="7189" xr:uid="{45452DB3-A63E-4617-BE96-A5EED1513ED1}"/>
    <cellStyle name="Millares 8 8 2 3 3 2" xfId="12037" xr:uid="{8EBB2D8E-5926-48E1-897B-8CB5452CE79B}"/>
    <cellStyle name="Millares 8 8 2 3 4" xfId="4762" xr:uid="{54B283F0-8ADA-4A3C-B735-38D01274364E}"/>
    <cellStyle name="Millares 8 8 2 3 4 2" xfId="9616" xr:uid="{3AC2CE4C-D427-4D1B-A31D-E9D24138AF6B}"/>
    <cellStyle name="Millares 8 8 2 3 5" xfId="3550" xr:uid="{32EEC51D-9909-43E3-B0BA-E3EBE3803AE4}"/>
    <cellStyle name="Millares 8 8 2 3 6" xfId="8406" xr:uid="{8C7303D4-3158-40A8-8DEC-E34BDDE16D11}"/>
    <cellStyle name="Millares 8 8 2 4" xfId="5368" xr:uid="{F82A2C53-B76C-43A8-A60F-E71C12471D89}"/>
    <cellStyle name="Millares 8 8 2 4 2" xfId="10220" xr:uid="{D82732F6-8D08-46E2-97C0-70E36FFB9447}"/>
    <cellStyle name="Millares 8 8 2 5" xfId="6582" xr:uid="{2865DA64-3B30-4037-B510-7076F958D700}"/>
    <cellStyle name="Millares 8 8 2 5 2" xfId="11431" xr:uid="{09EA9951-9009-4596-9CE8-F05E672D506F}"/>
    <cellStyle name="Millares 8 8 2 6" xfId="4158" xr:uid="{D37BF9C3-C4C5-4E37-AABD-AB3055FD1817}"/>
    <cellStyle name="Millares 8 8 2 6 2" xfId="9012" xr:uid="{A4B6C814-5696-4599-A396-DCC3348E89AA}"/>
    <cellStyle name="Millares 8 8 2 7" xfId="2945" xr:uid="{61B0B952-56DB-4359-B3FE-FEA7C4DB5EC9}"/>
    <cellStyle name="Millares 8 8 2 8" xfId="7801" xr:uid="{94181087-59DB-4845-BBF3-4FEC51F4FAD8}"/>
    <cellStyle name="Millares 8 8 3" xfId="1660" xr:uid="{8831F656-1678-4D82-B7E3-AB75243DE76A}"/>
    <cellStyle name="Millares 8 8 3 2" xfId="2329" xr:uid="{492976FB-8AA6-4A38-AB7E-72909D29C5A7}"/>
    <cellStyle name="Millares 8 8 3 2 2" xfId="5975" xr:uid="{2853B423-4952-47E6-8B77-BEC4E2C7A633}"/>
    <cellStyle name="Millares 8 8 3 2 2 2" xfId="10827" xr:uid="{CE61AE0A-B826-45A4-874A-3423FEDA5778}"/>
    <cellStyle name="Millares 8 8 3 2 3" xfId="7191" xr:uid="{9004A986-47B1-4FCF-A091-473E5AC78DB9}"/>
    <cellStyle name="Millares 8 8 3 2 3 2" xfId="12039" xr:uid="{3E98692E-2C9B-4A55-A24E-5A00E77A4AEB}"/>
    <cellStyle name="Millares 8 8 3 2 4" xfId="4764" xr:uid="{43FF712F-D3BE-4957-A129-66AAB235A4CD}"/>
    <cellStyle name="Millares 8 8 3 2 4 2" xfId="9618" xr:uid="{C2DE18B0-D6C6-4761-85FD-247ED79B04FE}"/>
    <cellStyle name="Millares 8 8 3 2 5" xfId="3552" xr:uid="{BB1B3763-B7ED-4E0C-B57A-6BBE4A190207}"/>
    <cellStyle name="Millares 8 8 3 2 6" xfId="8408" xr:uid="{A19918DA-7985-49ED-B3BB-9D87B6584320}"/>
    <cellStyle name="Millares 8 8 3 3" xfId="5370" xr:uid="{22EBF6B2-A540-464C-A050-6C4264E28CB4}"/>
    <cellStyle name="Millares 8 8 3 3 2" xfId="10222" xr:uid="{0C9C6317-80E0-424F-9D10-EE1FB53F3E8D}"/>
    <cellStyle name="Millares 8 8 3 4" xfId="6584" xr:uid="{DC203C99-5B34-4325-84BF-802C780F71B1}"/>
    <cellStyle name="Millares 8 8 3 4 2" xfId="11433" xr:uid="{62D485CF-E6BF-41DF-84F8-938C9CA0FE3C}"/>
    <cellStyle name="Millares 8 8 3 5" xfId="4160" xr:uid="{B8149ABE-C554-4208-BA48-4A79D0EF1272}"/>
    <cellStyle name="Millares 8 8 3 5 2" xfId="9014" xr:uid="{82C158E8-29A8-4FE3-B1D1-4C8D84FC1D61}"/>
    <cellStyle name="Millares 8 8 3 6" xfId="2947" xr:uid="{760314B9-76D7-4774-BBC0-396888B582F3}"/>
    <cellStyle name="Millares 8 8 3 7" xfId="7803" xr:uid="{BB4416E0-5216-4194-B774-0378097C2B70}"/>
    <cellStyle name="Millares 8 8 4" xfId="2326" xr:uid="{89213AE5-B821-4429-8495-18E80A72993E}"/>
    <cellStyle name="Millares 8 8 4 2" xfId="5972" xr:uid="{B27AED17-58D1-4667-9B83-662B12000271}"/>
    <cellStyle name="Millares 8 8 4 2 2" xfId="10824" xr:uid="{4B65D651-E07D-4A6D-99C3-53F5E0214FEF}"/>
    <cellStyle name="Millares 8 8 4 3" xfId="7188" xr:uid="{41E2603A-7BF1-4EE0-8E5C-C18CE1022723}"/>
    <cellStyle name="Millares 8 8 4 3 2" xfId="12036" xr:uid="{E696C697-215C-4F44-932C-EE2755D8FF36}"/>
    <cellStyle name="Millares 8 8 4 4" xfId="4761" xr:uid="{C4F273FD-9E35-4E7E-B970-18975389027E}"/>
    <cellStyle name="Millares 8 8 4 4 2" xfId="9615" xr:uid="{86F431E1-2A21-4186-A11D-46D7E2C3E26C}"/>
    <cellStyle name="Millares 8 8 4 5" xfId="3549" xr:uid="{74B7E00C-1CB6-4D45-B8F0-6DA5B2A9F7B6}"/>
    <cellStyle name="Millares 8 8 4 6" xfId="8405" xr:uid="{0D4A2F4C-5560-4D29-89FF-CF3486A8D5E5}"/>
    <cellStyle name="Millares 8 8 5" xfId="5367" xr:uid="{6F8B0BC4-5A96-42B8-9363-8459948CECFB}"/>
    <cellStyle name="Millares 8 8 5 2" xfId="10219" xr:uid="{B5FDC413-8672-4596-94F1-2BD16418F922}"/>
    <cellStyle name="Millares 8 8 6" xfId="6581" xr:uid="{E59D33F4-37F9-4D6B-ACAD-BFB633E9928A}"/>
    <cellStyle name="Millares 8 8 6 2" xfId="11430" xr:uid="{9175D08E-A7CE-4743-A3CC-4B5032808809}"/>
    <cellStyle name="Millares 8 8 7" xfId="4157" xr:uid="{4D4D4A03-501D-4EFE-9FFC-08C3716FF810}"/>
    <cellStyle name="Millares 8 8 7 2" xfId="9011" xr:uid="{B9BE5E83-077A-4BB8-994C-AA664C5D8F8B}"/>
    <cellStyle name="Millares 8 8 8" xfId="2944" xr:uid="{10EA0A64-F174-45E0-A955-DC90BC234805}"/>
    <cellStyle name="Millares 8 8 9" xfId="7800" xr:uid="{774DFC75-A3F2-4FBF-8ED1-6FEBD6906C73}"/>
    <cellStyle name="Millares 8 9" xfId="1661" xr:uid="{20E6E338-942E-40EB-9391-54F2D49776FE}"/>
    <cellStyle name="Millares 8 9 2" xfId="1662" xr:uid="{2ED392B5-49B7-4B9D-B684-05D3312531B3}"/>
    <cellStyle name="Millares 8 9 2 2" xfId="2331" xr:uid="{2505FFF2-A709-4D6E-92EC-F67F8AFCC600}"/>
    <cellStyle name="Millares 8 9 2 2 2" xfId="5977" xr:uid="{525A52B9-88C3-4849-A12C-5430A63CF0FC}"/>
    <cellStyle name="Millares 8 9 2 2 2 2" xfId="10829" xr:uid="{F4F4325F-E1D6-49E5-81F3-8ABCCC98B02F}"/>
    <cellStyle name="Millares 8 9 2 2 3" xfId="7193" xr:uid="{320A3879-9B0B-4241-987C-CD028DB52E77}"/>
    <cellStyle name="Millares 8 9 2 2 3 2" xfId="12041" xr:uid="{68953A09-B78C-4C0F-9362-15B75749587C}"/>
    <cellStyle name="Millares 8 9 2 2 4" xfId="4766" xr:uid="{1987C2B3-0E71-4F56-BCB2-8677AFB1DEE6}"/>
    <cellStyle name="Millares 8 9 2 2 4 2" xfId="9620" xr:uid="{E08DF260-6EAE-4404-83D9-DCE148E91425}"/>
    <cellStyle name="Millares 8 9 2 2 5" xfId="3554" xr:uid="{A20C145B-13D4-4AE4-9F12-BBECD71F7B76}"/>
    <cellStyle name="Millares 8 9 2 2 6" xfId="8410" xr:uid="{6E005308-D27C-47AA-80D6-475C1153CEBF}"/>
    <cellStyle name="Millares 8 9 2 3" xfId="5372" xr:uid="{99DC2C76-3F74-4144-9652-F28777EA0CDC}"/>
    <cellStyle name="Millares 8 9 2 3 2" xfId="10224" xr:uid="{CAE94040-6244-432F-87AA-CBA3B69D87EB}"/>
    <cellStyle name="Millares 8 9 2 4" xfId="6586" xr:uid="{CCDE2450-EB1C-419A-9965-A04882BFF2C3}"/>
    <cellStyle name="Millares 8 9 2 4 2" xfId="11435" xr:uid="{028FEEA8-B800-4F7D-9C32-B15C5FA6A841}"/>
    <cellStyle name="Millares 8 9 2 5" xfId="4162" xr:uid="{26C0BA07-7C0B-4055-90D0-1E5D0AD0FA77}"/>
    <cellStyle name="Millares 8 9 2 5 2" xfId="9016" xr:uid="{94A13C82-5CF2-4B29-9C1A-157C9906DD9C}"/>
    <cellStyle name="Millares 8 9 2 6" xfId="2949" xr:uid="{8EA0F7A4-C935-4EF0-B1B5-A47BF59EDC82}"/>
    <cellStyle name="Millares 8 9 2 7" xfId="7805" xr:uid="{D00FF9C3-C279-48A6-AEB5-6382DE827EFC}"/>
    <cellStyle name="Millares 8 9 3" xfId="2330" xr:uid="{D44D6B7D-6A7D-4716-AA07-FF160E2A61C3}"/>
    <cellStyle name="Millares 8 9 3 2" xfId="5976" xr:uid="{BA560D46-0A7D-4BBF-AD7B-65B1C55D22E9}"/>
    <cellStyle name="Millares 8 9 3 2 2" xfId="10828" xr:uid="{90FF4E63-9463-4679-91F1-FC1921232E3D}"/>
    <cellStyle name="Millares 8 9 3 3" xfId="7192" xr:uid="{2FD95FC6-2DDF-4AD5-946F-F70A57969FE9}"/>
    <cellStyle name="Millares 8 9 3 3 2" xfId="12040" xr:uid="{22387F5F-3CBA-471B-BDD6-8E13D55855B9}"/>
    <cellStyle name="Millares 8 9 3 4" xfId="4765" xr:uid="{B701ED50-D484-4F2B-B107-C765C05E5555}"/>
    <cellStyle name="Millares 8 9 3 4 2" xfId="9619" xr:uid="{CA1F8A7F-3C13-4AF7-BBA5-C4AB72E57EA5}"/>
    <cellStyle name="Millares 8 9 3 5" xfId="3553" xr:uid="{09D4E5D9-0DFE-4331-A253-E42FAAA56BF4}"/>
    <cellStyle name="Millares 8 9 3 6" xfId="8409" xr:uid="{230A9F42-DCA6-4B2E-8987-187773EBA20E}"/>
    <cellStyle name="Millares 8 9 4" xfId="5371" xr:uid="{BB11DA29-1B7D-4A27-9F57-9AF28C793AA0}"/>
    <cellStyle name="Millares 8 9 4 2" xfId="10223" xr:uid="{10D3D0E1-0E0A-4957-8553-E5EB32876356}"/>
    <cellStyle name="Millares 8 9 5" xfId="6585" xr:uid="{9C7E309A-2D51-4242-B667-E87D4A4380EF}"/>
    <cellStyle name="Millares 8 9 5 2" xfId="11434" xr:uid="{EAAA7F91-279D-4CA9-A011-87570F549696}"/>
    <cellStyle name="Millares 8 9 6" xfId="4161" xr:uid="{912121BC-3175-43FA-ABF7-9479A6DF3CD3}"/>
    <cellStyle name="Millares 8 9 6 2" xfId="9015" xr:uid="{CBEC3AB1-AF4F-4F1B-9C1E-6F002938CAD8}"/>
    <cellStyle name="Millares 8 9 7" xfId="2948" xr:uid="{705246CA-CEEA-497D-A813-2C3FE2F870F0}"/>
    <cellStyle name="Millares 8 9 8" xfId="7804" xr:uid="{FE734C74-A99B-4538-970C-A7B9E02B3E9C}"/>
    <cellStyle name="Millares 9" xfId="1663" xr:uid="{01A1EAC7-6467-4FAC-8A2F-F8BDA523E797}"/>
    <cellStyle name="Millares 9 10" xfId="6587" xr:uid="{D6DC7E41-01CC-4A46-A8FF-701EEB8AA97C}"/>
    <cellStyle name="Millares 9 10 2" xfId="11436" xr:uid="{8A3A2DEF-4561-4C62-8B0F-B500225FB35C}"/>
    <cellStyle name="Millares 9 11" xfId="4163" xr:uid="{43DA5651-7FA0-425C-9672-365E44676B96}"/>
    <cellStyle name="Millares 9 11 2" xfId="9017" xr:uid="{B9D477DA-AFC8-4265-A461-13AFEDE456EB}"/>
    <cellStyle name="Millares 9 12" xfId="2950" xr:uid="{B4F2D0ED-4D46-4C0A-BC8E-AE1BD9DA537F}"/>
    <cellStyle name="Millares 9 13" xfId="7806" xr:uid="{7DD73420-050B-4EFC-AA65-10DB3C3FC651}"/>
    <cellStyle name="Millares 9 2" xfId="1664" xr:uid="{9FB81F5C-3B39-4A10-9745-CA018159B604}"/>
    <cellStyle name="Millares 9 2 10" xfId="4164" xr:uid="{F514D031-873B-4A47-8ECB-1D303FB58434}"/>
    <cellStyle name="Millares 9 2 10 2" xfId="9018" xr:uid="{76F8E758-E0A2-4267-BB21-B8CD256F4B8C}"/>
    <cellStyle name="Millares 9 2 11" xfId="2951" xr:uid="{7676A56E-6B84-4478-83F1-3AA309623774}"/>
    <cellStyle name="Millares 9 2 12" xfId="7807" xr:uid="{A4467576-A532-481D-8EA5-EFC5665EF866}"/>
    <cellStyle name="Millares 9 2 2" xfId="1665" xr:uid="{950E54A8-5B61-4D57-9AED-6458DC1A83DD}"/>
    <cellStyle name="Millares 9 2 2 10" xfId="2952" xr:uid="{E31109EA-964D-478B-B650-B932FA9EA6D2}"/>
    <cellStyle name="Millares 9 2 2 11" xfId="7808" xr:uid="{C679FB56-230E-437F-AB0A-61DD3E812205}"/>
    <cellStyle name="Millares 9 2 2 2" xfId="1666" xr:uid="{2FB5A9E2-40C6-40F4-8E63-689DA5E5BF79}"/>
    <cellStyle name="Millares 9 2 2 2 2" xfId="1667" xr:uid="{8F9C47FA-A95C-43BD-9F53-A681282DAD1B}"/>
    <cellStyle name="Millares 9 2 2 2 2 2" xfId="1668" xr:uid="{C5C6206B-89DF-4364-AC34-856E9900A126}"/>
    <cellStyle name="Millares 9 2 2 2 2 2 2" xfId="2337" xr:uid="{98FB2F49-1F20-4527-803D-055420A1EC2A}"/>
    <cellStyle name="Millares 9 2 2 2 2 2 2 2" xfId="5983" xr:uid="{9938EB43-5E93-4394-A40C-A64177BBCFB0}"/>
    <cellStyle name="Millares 9 2 2 2 2 2 2 2 2" xfId="10835" xr:uid="{F6CC0664-7058-45F5-BCEC-5CEE7A6250F8}"/>
    <cellStyle name="Millares 9 2 2 2 2 2 2 3" xfId="7199" xr:uid="{03C2B732-71B9-48F5-8B13-45A6EB57C5FB}"/>
    <cellStyle name="Millares 9 2 2 2 2 2 2 3 2" xfId="12047" xr:uid="{20FF4449-3F47-40A3-98BF-1BD722C4404A}"/>
    <cellStyle name="Millares 9 2 2 2 2 2 2 4" xfId="4772" xr:uid="{95C0EB7D-DDC9-4147-BA91-03FBB24F919C}"/>
    <cellStyle name="Millares 9 2 2 2 2 2 2 4 2" xfId="9626" xr:uid="{E1D4E503-9E11-4499-84F2-BFFD9435562C}"/>
    <cellStyle name="Millares 9 2 2 2 2 2 2 5" xfId="3560" xr:uid="{648FD0B2-71E4-4B97-B450-82DAC4396BB1}"/>
    <cellStyle name="Millares 9 2 2 2 2 2 2 6" xfId="8416" xr:uid="{F5C6F594-E8EC-4C69-865A-74FA30FE5F14}"/>
    <cellStyle name="Millares 9 2 2 2 2 2 3" xfId="5378" xr:uid="{435CFC38-9D77-4270-A403-F2B1A8CEC8BA}"/>
    <cellStyle name="Millares 9 2 2 2 2 2 3 2" xfId="10230" xr:uid="{6253B88F-F6E8-4BAE-A5E6-32C7C6413F91}"/>
    <cellStyle name="Millares 9 2 2 2 2 2 4" xfId="6592" xr:uid="{DE875BCE-BA16-49B8-80B7-1B3212560FEE}"/>
    <cellStyle name="Millares 9 2 2 2 2 2 4 2" xfId="11441" xr:uid="{5FDB1E71-DF62-45EE-9010-0F7AD2D6A34F}"/>
    <cellStyle name="Millares 9 2 2 2 2 2 5" xfId="4168" xr:uid="{57D43903-EF5D-4572-96BB-161F9684D7B1}"/>
    <cellStyle name="Millares 9 2 2 2 2 2 5 2" xfId="9022" xr:uid="{98C0A90F-07AF-42F5-89FB-72A9F696D049}"/>
    <cellStyle name="Millares 9 2 2 2 2 2 6" xfId="2955" xr:uid="{1100BADD-589E-469E-AFDA-0CA8904E3666}"/>
    <cellStyle name="Millares 9 2 2 2 2 2 7" xfId="7811" xr:uid="{4F406683-5136-4415-A908-6491A3E94697}"/>
    <cellStyle name="Millares 9 2 2 2 2 3" xfId="2336" xr:uid="{3398C1D1-1E66-4F57-B242-25C69440AC72}"/>
    <cellStyle name="Millares 9 2 2 2 2 3 2" xfId="5982" xr:uid="{BDC28A37-E738-4CCC-9046-C2D567759CE8}"/>
    <cellStyle name="Millares 9 2 2 2 2 3 2 2" xfId="10834" xr:uid="{B06ACA6B-8344-47A0-BD7C-4A5DE23E00B2}"/>
    <cellStyle name="Millares 9 2 2 2 2 3 3" xfId="7198" xr:uid="{D32B43A8-F5DD-4519-B2AE-4F78DE64A5A9}"/>
    <cellStyle name="Millares 9 2 2 2 2 3 3 2" xfId="12046" xr:uid="{90551F18-978B-4402-B4EB-6C5D6FF53749}"/>
    <cellStyle name="Millares 9 2 2 2 2 3 4" xfId="4771" xr:uid="{FE9700F5-5D89-404B-8478-A07A386B0CAD}"/>
    <cellStyle name="Millares 9 2 2 2 2 3 4 2" xfId="9625" xr:uid="{8EEEE90A-B3AC-4A13-B861-7783DCA428A6}"/>
    <cellStyle name="Millares 9 2 2 2 2 3 5" xfId="3559" xr:uid="{4C3C8271-9E58-43A6-A6B0-B077407FD2FE}"/>
    <cellStyle name="Millares 9 2 2 2 2 3 6" xfId="8415" xr:uid="{0B32C582-DDEB-403D-800F-20307D7DA0BD}"/>
    <cellStyle name="Millares 9 2 2 2 2 4" xfId="5377" xr:uid="{7A3B0D2C-75AF-451A-B19E-7E80FD19044A}"/>
    <cellStyle name="Millares 9 2 2 2 2 4 2" xfId="10229" xr:uid="{AB3E3243-24C5-4020-9479-61812DABF673}"/>
    <cellStyle name="Millares 9 2 2 2 2 5" xfId="6591" xr:uid="{27C568CA-4F5B-4D1A-BF1C-70D0DD72026B}"/>
    <cellStyle name="Millares 9 2 2 2 2 5 2" xfId="11440" xr:uid="{28E3A8C6-011B-4B67-9D06-C462C1B54E70}"/>
    <cellStyle name="Millares 9 2 2 2 2 6" xfId="4167" xr:uid="{8D450152-2344-4957-94F7-BD158BD99D06}"/>
    <cellStyle name="Millares 9 2 2 2 2 6 2" xfId="9021" xr:uid="{418D852D-6C0D-4F6A-A92D-066B1035D943}"/>
    <cellStyle name="Millares 9 2 2 2 2 7" xfId="2954" xr:uid="{23BC99A6-DA85-4B81-9DD3-D9C1CFF399FD}"/>
    <cellStyle name="Millares 9 2 2 2 2 8" xfId="7810" xr:uid="{A173249E-E93C-48C3-A676-A775618DDAA8}"/>
    <cellStyle name="Millares 9 2 2 2 3" xfId="1669" xr:uid="{5C2A6EFE-75F9-4815-8F27-6D4116E2C9D8}"/>
    <cellStyle name="Millares 9 2 2 2 3 2" xfId="2338" xr:uid="{60B0EB6C-EE69-4F23-AC9F-9DA943C65D24}"/>
    <cellStyle name="Millares 9 2 2 2 3 2 2" xfId="5984" xr:uid="{B93F6C05-54D2-4FBE-978D-E56EC999A3C1}"/>
    <cellStyle name="Millares 9 2 2 2 3 2 2 2" xfId="10836" xr:uid="{2E3DA1ED-17F6-49B6-B4CE-938D89821ED5}"/>
    <cellStyle name="Millares 9 2 2 2 3 2 3" xfId="7200" xr:uid="{0F468003-1C05-4E66-A724-D580B578C6A4}"/>
    <cellStyle name="Millares 9 2 2 2 3 2 3 2" xfId="12048" xr:uid="{14419FC0-3B35-4181-BE9C-59F65FFF1078}"/>
    <cellStyle name="Millares 9 2 2 2 3 2 4" xfId="4773" xr:uid="{86BB2EDB-098F-4F1F-8CC8-961E0626FE1F}"/>
    <cellStyle name="Millares 9 2 2 2 3 2 4 2" xfId="9627" xr:uid="{44A960C7-9E6B-49D5-9794-2F2634C8EB9D}"/>
    <cellStyle name="Millares 9 2 2 2 3 2 5" xfId="3561" xr:uid="{96DC3320-4F9F-454F-BBCF-F9B7440D4168}"/>
    <cellStyle name="Millares 9 2 2 2 3 2 6" xfId="8417" xr:uid="{FA7909D7-4AB8-410B-BE50-488421DD37FE}"/>
    <cellStyle name="Millares 9 2 2 2 3 3" xfId="5379" xr:uid="{9B35F021-A4E5-48F3-B45D-9D7967FA9EA2}"/>
    <cellStyle name="Millares 9 2 2 2 3 3 2" xfId="10231" xr:uid="{096253F0-ADD9-4959-927A-C57A94D430B4}"/>
    <cellStyle name="Millares 9 2 2 2 3 4" xfId="6593" xr:uid="{2C862683-26E2-4D7C-88DC-6A35C7F8A0CC}"/>
    <cellStyle name="Millares 9 2 2 2 3 4 2" xfId="11442" xr:uid="{9321BC42-9945-4D84-A212-106C33E36EBE}"/>
    <cellStyle name="Millares 9 2 2 2 3 5" xfId="4169" xr:uid="{12F7C5FF-71D6-4BEB-9A37-FA8F90D442DC}"/>
    <cellStyle name="Millares 9 2 2 2 3 5 2" xfId="9023" xr:uid="{D7488765-497B-4A13-BBFC-846FC00BE131}"/>
    <cellStyle name="Millares 9 2 2 2 3 6" xfId="2956" xr:uid="{052350DD-0F17-4CE1-BFA8-F58FA1742311}"/>
    <cellStyle name="Millares 9 2 2 2 3 7" xfId="7812" xr:uid="{0E8383A3-5B11-4C47-BCA4-DF2C165513F2}"/>
    <cellStyle name="Millares 9 2 2 2 4" xfId="2335" xr:uid="{A71E9AF5-794A-4C6B-AB18-4C87ACD115DF}"/>
    <cellStyle name="Millares 9 2 2 2 4 2" xfId="5981" xr:uid="{67A5ADB0-AC8F-474C-967B-AB1EBAA3BEDB}"/>
    <cellStyle name="Millares 9 2 2 2 4 2 2" xfId="10833" xr:uid="{551AAF66-0E80-4E30-9309-CDA725172FCA}"/>
    <cellStyle name="Millares 9 2 2 2 4 3" xfId="7197" xr:uid="{B48BF7F1-C6DE-4567-8C67-6BFEDB29BE86}"/>
    <cellStyle name="Millares 9 2 2 2 4 3 2" xfId="12045" xr:uid="{189A3B87-CA9C-4160-998E-390AD4A490FA}"/>
    <cellStyle name="Millares 9 2 2 2 4 4" xfId="4770" xr:uid="{DA5AE5F8-F679-4EF0-805A-C0BE8CF76DF0}"/>
    <cellStyle name="Millares 9 2 2 2 4 4 2" xfId="9624" xr:uid="{9DBBDB93-FE2C-44DF-A1E2-3168DFA96280}"/>
    <cellStyle name="Millares 9 2 2 2 4 5" xfId="3558" xr:uid="{6D27814D-D7D0-4A27-A77C-0E4751824D48}"/>
    <cellStyle name="Millares 9 2 2 2 4 6" xfId="8414" xr:uid="{21D5309E-3AFD-4E16-974A-FEF516A87835}"/>
    <cellStyle name="Millares 9 2 2 2 5" xfId="5376" xr:uid="{A94BAA88-D218-456A-BBEF-C1F00A128AC1}"/>
    <cellStyle name="Millares 9 2 2 2 5 2" xfId="10228" xr:uid="{ABD5A56A-14DD-4B35-8C9B-5C30A467EA99}"/>
    <cellStyle name="Millares 9 2 2 2 6" xfId="6590" xr:uid="{471F058D-7F14-4A45-BDDE-91FA6E2725F8}"/>
    <cellStyle name="Millares 9 2 2 2 6 2" xfId="11439" xr:uid="{BF30AC98-79FF-4BEC-B6C3-8EBC42DA4951}"/>
    <cellStyle name="Millares 9 2 2 2 7" xfId="4166" xr:uid="{8393F20E-6ACE-4EE0-930B-23761C35C112}"/>
    <cellStyle name="Millares 9 2 2 2 7 2" xfId="9020" xr:uid="{348A6AC6-DE03-42F7-99A4-9E1EC562606F}"/>
    <cellStyle name="Millares 9 2 2 2 8" xfId="2953" xr:uid="{EB4896A9-E488-4DB2-8CBA-DAAF52092D30}"/>
    <cellStyle name="Millares 9 2 2 2 9" xfId="7809" xr:uid="{A19324B0-A634-4492-ABAC-C7AD9027955B}"/>
    <cellStyle name="Millares 9 2 2 3" xfId="1670" xr:uid="{495A3855-6712-4B58-99EF-EB89EDBADB2F}"/>
    <cellStyle name="Millares 9 2 2 3 2" xfId="1671" xr:uid="{79F94563-637D-43C4-96F2-C0541F5E4CB0}"/>
    <cellStyle name="Millares 9 2 2 3 2 2" xfId="1672" xr:uid="{DAF17006-739A-4116-9C3A-39BA1969FB14}"/>
    <cellStyle name="Millares 9 2 2 3 2 2 2" xfId="2341" xr:uid="{71C83F77-113E-4453-B539-D58A9069BE81}"/>
    <cellStyle name="Millares 9 2 2 3 2 2 2 2" xfId="5987" xr:uid="{3AADFB2D-FD09-4815-8BB1-00184B1F4A9F}"/>
    <cellStyle name="Millares 9 2 2 3 2 2 2 2 2" xfId="10839" xr:uid="{A42149B3-0D79-4FD4-8BC3-F6231DE04BBA}"/>
    <cellStyle name="Millares 9 2 2 3 2 2 2 3" xfId="7203" xr:uid="{411CBE10-21FC-44E6-9816-61BCB31ACB53}"/>
    <cellStyle name="Millares 9 2 2 3 2 2 2 3 2" xfId="12051" xr:uid="{31264542-294B-4293-98BF-BB5481228771}"/>
    <cellStyle name="Millares 9 2 2 3 2 2 2 4" xfId="4776" xr:uid="{C9C0192A-19B1-4CF7-9630-145DF3132437}"/>
    <cellStyle name="Millares 9 2 2 3 2 2 2 4 2" xfId="9630" xr:uid="{429BF949-9FE7-4FAC-B702-A9825811EA1F}"/>
    <cellStyle name="Millares 9 2 2 3 2 2 2 5" xfId="3564" xr:uid="{EFFD46C2-0984-4846-B02E-5F742515BB9B}"/>
    <cellStyle name="Millares 9 2 2 3 2 2 2 6" xfId="8420" xr:uid="{8D56FB77-DDF2-41EC-BAF8-53D0F7198E0C}"/>
    <cellStyle name="Millares 9 2 2 3 2 2 3" xfId="5382" xr:uid="{49C90CF1-39D1-458A-945E-830C33BF05B9}"/>
    <cellStyle name="Millares 9 2 2 3 2 2 3 2" xfId="10234" xr:uid="{BD592682-AF31-4F9F-98FE-3CFFE4E7A915}"/>
    <cellStyle name="Millares 9 2 2 3 2 2 4" xfId="6596" xr:uid="{8E650AE2-4B7C-4ABD-92F4-7482611569D1}"/>
    <cellStyle name="Millares 9 2 2 3 2 2 4 2" xfId="11445" xr:uid="{716F988A-608E-4272-B559-BF7C507410AC}"/>
    <cellStyle name="Millares 9 2 2 3 2 2 5" xfId="4172" xr:uid="{4B257013-521F-46E4-83DF-5ADD2E51419A}"/>
    <cellStyle name="Millares 9 2 2 3 2 2 5 2" xfId="9026" xr:uid="{7E69DEC3-8AFF-4EC1-9F2F-12979AB4F689}"/>
    <cellStyle name="Millares 9 2 2 3 2 2 6" xfId="2959" xr:uid="{F7ECBBE7-CFFA-4526-A77E-85C26831C48F}"/>
    <cellStyle name="Millares 9 2 2 3 2 2 7" xfId="7815" xr:uid="{3E7D2D40-ADFB-4E38-9D4F-08F24E29ABC0}"/>
    <cellStyle name="Millares 9 2 2 3 2 3" xfId="2340" xr:uid="{052F16BA-51C2-4893-847F-3546E5FEE05C}"/>
    <cellStyle name="Millares 9 2 2 3 2 3 2" xfId="5986" xr:uid="{58FAD0AD-01A9-4BA5-96B8-6F8F6E523AE4}"/>
    <cellStyle name="Millares 9 2 2 3 2 3 2 2" xfId="10838" xr:uid="{B7D2648C-4036-4961-BEB5-15C341D4FD13}"/>
    <cellStyle name="Millares 9 2 2 3 2 3 3" xfId="7202" xr:uid="{8F145C2A-8414-489A-9819-42DB864E4248}"/>
    <cellStyle name="Millares 9 2 2 3 2 3 3 2" xfId="12050" xr:uid="{2B734211-6537-4E17-9713-237AA9F25ECB}"/>
    <cellStyle name="Millares 9 2 2 3 2 3 4" xfId="4775" xr:uid="{1C166A4A-E12F-46F7-91F0-78EC72959592}"/>
    <cellStyle name="Millares 9 2 2 3 2 3 4 2" xfId="9629" xr:uid="{7D5408DA-6E73-4EB6-BD71-918DA1DAB612}"/>
    <cellStyle name="Millares 9 2 2 3 2 3 5" xfId="3563" xr:uid="{91915D16-C475-445F-9F55-C997ACEEC2A1}"/>
    <cellStyle name="Millares 9 2 2 3 2 3 6" xfId="8419" xr:uid="{CA249899-1C2E-4FD2-B764-DCF4BB0F68B4}"/>
    <cellStyle name="Millares 9 2 2 3 2 4" xfId="5381" xr:uid="{371ED6A2-AA95-4DF2-8227-C6C1F322FC51}"/>
    <cellStyle name="Millares 9 2 2 3 2 4 2" xfId="10233" xr:uid="{B72A45DB-A191-4C7B-84E9-C8EEBEACA689}"/>
    <cellStyle name="Millares 9 2 2 3 2 5" xfId="6595" xr:uid="{83168A78-6A5C-4673-8A27-DE8EE0BC5B7B}"/>
    <cellStyle name="Millares 9 2 2 3 2 5 2" xfId="11444" xr:uid="{9ECC2725-E0DA-4BB9-BB0B-282A44BBBECA}"/>
    <cellStyle name="Millares 9 2 2 3 2 6" xfId="4171" xr:uid="{54051823-AA9F-4268-84CA-F8496572DE11}"/>
    <cellStyle name="Millares 9 2 2 3 2 6 2" xfId="9025" xr:uid="{10433484-AF56-4DDC-9597-ABD945FCCE56}"/>
    <cellStyle name="Millares 9 2 2 3 2 7" xfId="2958" xr:uid="{D5F0AD40-5A29-4975-800A-C461F2C49936}"/>
    <cellStyle name="Millares 9 2 2 3 2 8" xfId="7814" xr:uid="{B3537412-5BD5-474D-948A-22EFF96AF9F7}"/>
    <cellStyle name="Millares 9 2 2 3 3" xfId="1673" xr:uid="{A0B6D381-6094-42E6-A1E2-17B5A85D5631}"/>
    <cellStyle name="Millares 9 2 2 3 3 2" xfId="2342" xr:uid="{3BCD3981-3614-4B9A-904C-8D8B648EA7B2}"/>
    <cellStyle name="Millares 9 2 2 3 3 2 2" xfId="5988" xr:uid="{7BA02C85-7952-45AF-9DC7-8BAE810BAF7A}"/>
    <cellStyle name="Millares 9 2 2 3 3 2 2 2" xfId="10840" xr:uid="{472E43DD-C885-4CFE-886C-5D8AE434120E}"/>
    <cellStyle name="Millares 9 2 2 3 3 2 3" xfId="7204" xr:uid="{CA73A69B-98A3-4D83-984E-801B79CB814A}"/>
    <cellStyle name="Millares 9 2 2 3 3 2 3 2" xfId="12052" xr:uid="{FA100D04-AC8C-4F1B-B592-99177AB98321}"/>
    <cellStyle name="Millares 9 2 2 3 3 2 4" xfId="4777" xr:uid="{383C5655-215C-4E5B-909A-41B7C16D74C3}"/>
    <cellStyle name="Millares 9 2 2 3 3 2 4 2" xfId="9631" xr:uid="{B2423AA9-99FA-4838-80A5-8156C84BA4BD}"/>
    <cellStyle name="Millares 9 2 2 3 3 2 5" xfId="3565" xr:uid="{0E706C33-74CF-4788-A4F2-E97C4308501A}"/>
    <cellStyle name="Millares 9 2 2 3 3 2 6" xfId="8421" xr:uid="{26749249-847E-4352-A027-056281ED1417}"/>
    <cellStyle name="Millares 9 2 2 3 3 3" xfId="5383" xr:uid="{E4018C4C-3330-45E1-9691-CA0AA7C9B142}"/>
    <cellStyle name="Millares 9 2 2 3 3 3 2" xfId="10235" xr:uid="{4528DC91-F093-4C60-A838-3A42F84DC8B6}"/>
    <cellStyle name="Millares 9 2 2 3 3 4" xfId="6597" xr:uid="{AD8BF1DC-B9B4-435E-BD5C-50600C5EFB8D}"/>
    <cellStyle name="Millares 9 2 2 3 3 4 2" xfId="11446" xr:uid="{5B60B16B-0FF0-448D-8A2B-B37A71A6B7E0}"/>
    <cellStyle name="Millares 9 2 2 3 3 5" xfId="4173" xr:uid="{33684CB0-B700-40CC-B7BD-E3CCB12596A1}"/>
    <cellStyle name="Millares 9 2 2 3 3 5 2" xfId="9027" xr:uid="{6F02EE4C-04B2-45DB-A87E-70D26B2532A9}"/>
    <cellStyle name="Millares 9 2 2 3 3 6" xfId="2960" xr:uid="{29A51A1E-6452-40EC-9D8D-A6855F058638}"/>
    <cellStyle name="Millares 9 2 2 3 3 7" xfId="7816" xr:uid="{E77B1C17-EDD8-4038-A04C-B0BB4B23AE54}"/>
    <cellStyle name="Millares 9 2 2 3 4" xfId="2339" xr:uid="{86DC3410-3534-432E-88B5-B95069A001BB}"/>
    <cellStyle name="Millares 9 2 2 3 4 2" xfId="5985" xr:uid="{41ABEC35-F138-4E8E-98CE-ADEBD93A6616}"/>
    <cellStyle name="Millares 9 2 2 3 4 2 2" xfId="10837" xr:uid="{80E4FF00-4486-4671-AA70-11DEC5AC1101}"/>
    <cellStyle name="Millares 9 2 2 3 4 3" xfId="7201" xr:uid="{A943148C-9E94-4E7E-9CFB-C87A707EB479}"/>
    <cellStyle name="Millares 9 2 2 3 4 3 2" xfId="12049" xr:uid="{B8EE18F8-2340-4331-9840-56D0E3C21AC2}"/>
    <cellStyle name="Millares 9 2 2 3 4 4" xfId="4774" xr:uid="{BD9EBAC0-B94C-47CD-8C48-E2AF5F1DAA11}"/>
    <cellStyle name="Millares 9 2 2 3 4 4 2" xfId="9628" xr:uid="{D54DDC18-0E06-450F-A10C-A3F58A8B248E}"/>
    <cellStyle name="Millares 9 2 2 3 4 5" xfId="3562" xr:uid="{D487F1D4-69DC-4C4D-AC22-D27339311176}"/>
    <cellStyle name="Millares 9 2 2 3 4 6" xfId="8418" xr:uid="{53383C34-B1E1-4B73-89B2-6967986DA44A}"/>
    <cellStyle name="Millares 9 2 2 3 5" xfId="5380" xr:uid="{280F56B8-272B-4973-BDFB-C706D95DDD8E}"/>
    <cellStyle name="Millares 9 2 2 3 5 2" xfId="10232" xr:uid="{C5F104E4-6763-4035-B142-8B73E8FDBEC5}"/>
    <cellStyle name="Millares 9 2 2 3 6" xfId="6594" xr:uid="{223B86E7-6A21-4DCE-9669-0BAEA52F6EFB}"/>
    <cellStyle name="Millares 9 2 2 3 6 2" xfId="11443" xr:uid="{BB45D9C2-5A8A-4237-809A-3772EC903C0A}"/>
    <cellStyle name="Millares 9 2 2 3 7" xfId="4170" xr:uid="{1DC8233A-385D-4583-93F1-9EFF6D84A0E6}"/>
    <cellStyle name="Millares 9 2 2 3 7 2" xfId="9024" xr:uid="{641B79C5-6B28-45B3-B389-87F0A751B365}"/>
    <cellStyle name="Millares 9 2 2 3 8" xfId="2957" xr:uid="{74779424-188A-4903-B517-158FAABD0E6C}"/>
    <cellStyle name="Millares 9 2 2 3 9" xfId="7813" xr:uid="{E80AD1AB-ED19-4EE0-AB7C-90E662E8B8CD}"/>
    <cellStyle name="Millares 9 2 2 4" xfId="1674" xr:uid="{CBB2F01F-BB30-4FC2-BD27-4FCB76135886}"/>
    <cellStyle name="Millares 9 2 2 4 2" xfId="1675" xr:uid="{182E84A3-227F-4629-B895-9A93FD02A618}"/>
    <cellStyle name="Millares 9 2 2 4 2 2" xfId="2344" xr:uid="{7EA03C8D-276D-424C-9D9F-C1310C0714D5}"/>
    <cellStyle name="Millares 9 2 2 4 2 2 2" xfId="5990" xr:uid="{F4CC5FF1-9F1E-491D-9907-66B3B889A28A}"/>
    <cellStyle name="Millares 9 2 2 4 2 2 2 2" xfId="10842" xr:uid="{2EA640EA-F362-42FE-B23B-5366C8E916D7}"/>
    <cellStyle name="Millares 9 2 2 4 2 2 3" xfId="7206" xr:uid="{55E05418-9A20-41BC-A7FE-F96A4673342C}"/>
    <cellStyle name="Millares 9 2 2 4 2 2 3 2" xfId="12054" xr:uid="{D6AFA603-9F9C-4AE0-997C-C374A4A657BB}"/>
    <cellStyle name="Millares 9 2 2 4 2 2 4" xfId="4779" xr:uid="{86C2287F-D4CD-44B6-A3BD-AC2052151B89}"/>
    <cellStyle name="Millares 9 2 2 4 2 2 4 2" xfId="9633" xr:uid="{A8DDBBEB-E8A9-4ED7-9414-63BFF3B724B6}"/>
    <cellStyle name="Millares 9 2 2 4 2 2 5" xfId="3567" xr:uid="{2F1973F8-C0F9-46E9-B6BB-5B2B45A5E3EB}"/>
    <cellStyle name="Millares 9 2 2 4 2 2 6" xfId="8423" xr:uid="{7FED22FF-1166-46BA-BE8B-F6C24BFDFF3A}"/>
    <cellStyle name="Millares 9 2 2 4 2 3" xfId="5385" xr:uid="{1A2A0D67-A021-4BE5-BBB4-8A176BCECDCD}"/>
    <cellStyle name="Millares 9 2 2 4 2 3 2" xfId="10237" xr:uid="{FC477C11-718B-4C7C-8921-A4B67EBD2F56}"/>
    <cellStyle name="Millares 9 2 2 4 2 4" xfId="6599" xr:uid="{235701E4-FB82-406E-B5C4-4A9FD8FEADCD}"/>
    <cellStyle name="Millares 9 2 2 4 2 4 2" xfId="11448" xr:uid="{28889F11-A826-4969-B156-D83BB6539F93}"/>
    <cellStyle name="Millares 9 2 2 4 2 5" xfId="4175" xr:uid="{C7BC066C-E26A-430D-8C30-A7F33BBDBC81}"/>
    <cellStyle name="Millares 9 2 2 4 2 5 2" xfId="9029" xr:uid="{AC4FA188-4714-41DD-B067-E9113B307813}"/>
    <cellStyle name="Millares 9 2 2 4 2 6" xfId="2962" xr:uid="{09362B20-9E33-4517-A7EB-7F194B29C1BF}"/>
    <cellStyle name="Millares 9 2 2 4 2 7" xfId="7818" xr:uid="{DE2C876D-C552-45C5-B2AD-6B9BF3E77CFD}"/>
    <cellStyle name="Millares 9 2 2 4 3" xfId="2343" xr:uid="{C19208E5-621B-448E-A5CA-0EE697793E05}"/>
    <cellStyle name="Millares 9 2 2 4 3 2" xfId="5989" xr:uid="{DA68A810-55A1-47D6-A617-2F78FCDBF52A}"/>
    <cellStyle name="Millares 9 2 2 4 3 2 2" xfId="10841" xr:uid="{085CDF29-23AF-48BC-B507-12573C07BD3A}"/>
    <cellStyle name="Millares 9 2 2 4 3 3" xfId="7205" xr:uid="{312EF99F-DC32-4DF9-A4B1-53E5640B96E4}"/>
    <cellStyle name="Millares 9 2 2 4 3 3 2" xfId="12053" xr:uid="{F11E5C0F-AD9A-4F74-8A75-F41F9AB74C33}"/>
    <cellStyle name="Millares 9 2 2 4 3 4" xfId="4778" xr:uid="{6C041844-B0AE-42F2-A91C-AFC7D941AB60}"/>
    <cellStyle name="Millares 9 2 2 4 3 4 2" xfId="9632" xr:uid="{0B05023F-7A1D-4C44-8295-5AF1FD4FAD0C}"/>
    <cellStyle name="Millares 9 2 2 4 3 5" xfId="3566" xr:uid="{3ABBBDF9-F8DE-4633-A750-007769DEB7D6}"/>
    <cellStyle name="Millares 9 2 2 4 3 6" xfId="8422" xr:uid="{14564AD3-2383-4D27-978A-1E334963887A}"/>
    <cellStyle name="Millares 9 2 2 4 4" xfId="5384" xr:uid="{631D5E0C-74D2-4DB4-93AA-A88BBA820E70}"/>
    <cellStyle name="Millares 9 2 2 4 4 2" xfId="10236" xr:uid="{DFB0E026-8EC2-4DC3-945C-8EEE5E520FEE}"/>
    <cellStyle name="Millares 9 2 2 4 5" xfId="6598" xr:uid="{241FC7B4-FB67-4500-9AA7-AEAD8102EF64}"/>
    <cellStyle name="Millares 9 2 2 4 5 2" xfId="11447" xr:uid="{3D1EE640-F469-4ECE-8CA8-C8CDC3F3814B}"/>
    <cellStyle name="Millares 9 2 2 4 6" xfId="4174" xr:uid="{42CF8854-635A-4543-8ABA-94D39589EB35}"/>
    <cellStyle name="Millares 9 2 2 4 6 2" xfId="9028" xr:uid="{FD441C5F-C01F-43D6-A6B7-FF2B1DB67CB3}"/>
    <cellStyle name="Millares 9 2 2 4 7" xfId="2961" xr:uid="{2449AAC3-41D9-4C8E-83D7-D7A0B845B33C}"/>
    <cellStyle name="Millares 9 2 2 4 8" xfId="7817" xr:uid="{6AA63314-11A3-459E-840C-4B8A0FE3CF7E}"/>
    <cellStyle name="Millares 9 2 2 5" xfId="1676" xr:uid="{A3C5B0B7-B624-4A90-A97C-16E013E95CD5}"/>
    <cellStyle name="Millares 9 2 2 5 2" xfId="2345" xr:uid="{8487D5D9-0AE2-47A8-B66E-AB5D151BD7C5}"/>
    <cellStyle name="Millares 9 2 2 5 2 2" xfId="5991" xr:uid="{5A33E3DC-8A83-4697-BABA-D92FE0296B3E}"/>
    <cellStyle name="Millares 9 2 2 5 2 2 2" xfId="10843" xr:uid="{32036235-84CE-4FD1-8F05-E027509396D3}"/>
    <cellStyle name="Millares 9 2 2 5 2 3" xfId="7207" xr:uid="{195614F1-187D-47FE-9111-122CCAC7C0D5}"/>
    <cellStyle name="Millares 9 2 2 5 2 3 2" xfId="12055" xr:uid="{3143BABC-79EF-48DD-82DE-4C57040120CF}"/>
    <cellStyle name="Millares 9 2 2 5 2 4" xfId="4780" xr:uid="{26C64C59-9B52-4F9E-91E2-24402CDB4836}"/>
    <cellStyle name="Millares 9 2 2 5 2 4 2" xfId="9634" xr:uid="{A02807D9-E688-4947-9F8B-826D455BB1F9}"/>
    <cellStyle name="Millares 9 2 2 5 2 5" xfId="3568" xr:uid="{016988D3-FF03-4318-8FCF-15CCAB649F2F}"/>
    <cellStyle name="Millares 9 2 2 5 2 6" xfId="8424" xr:uid="{58BFA7C7-9D01-40FA-9B8C-6C2467821EB7}"/>
    <cellStyle name="Millares 9 2 2 5 3" xfId="5386" xr:uid="{083D5064-35F4-4CD9-84ED-FFA2BA07546D}"/>
    <cellStyle name="Millares 9 2 2 5 3 2" xfId="10238" xr:uid="{3F839A9F-D38A-4BB9-835D-F27BC0044164}"/>
    <cellStyle name="Millares 9 2 2 5 4" xfId="6600" xr:uid="{83F52424-B801-4DA3-A856-08719525C186}"/>
    <cellStyle name="Millares 9 2 2 5 4 2" xfId="11449" xr:uid="{23DD7649-25AE-4307-9A78-FD000AA28D9C}"/>
    <cellStyle name="Millares 9 2 2 5 5" xfId="4176" xr:uid="{F6EEEA89-8275-4454-9C31-6B819AE3D1F1}"/>
    <cellStyle name="Millares 9 2 2 5 5 2" xfId="9030" xr:uid="{CE47639F-6C20-4F98-81C8-DFB546CE946D}"/>
    <cellStyle name="Millares 9 2 2 5 6" xfId="2963" xr:uid="{2C42ECF5-FD33-40AB-B1D7-672655D53A0A}"/>
    <cellStyle name="Millares 9 2 2 5 7" xfId="7819" xr:uid="{A42D9C33-A625-4A97-A143-8C14C7C59FE8}"/>
    <cellStyle name="Millares 9 2 2 6" xfId="2334" xr:uid="{E239602F-59CA-40EA-9D3D-5EEAF9AA80DE}"/>
    <cellStyle name="Millares 9 2 2 6 2" xfId="5980" xr:uid="{72D0ABAE-72EA-4CE5-B65B-37E024AB75EC}"/>
    <cellStyle name="Millares 9 2 2 6 2 2" xfId="10832" xr:uid="{DF52AE46-F863-489A-875B-886F5058CFD4}"/>
    <cellStyle name="Millares 9 2 2 6 3" xfId="7196" xr:uid="{F2CC842E-8A31-46E8-90C3-F16DF3E2F707}"/>
    <cellStyle name="Millares 9 2 2 6 3 2" xfId="12044" xr:uid="{F042EF06-0EA2-4178-BCBE-664E1BAF0764}"/>
    <cellStyle name="Millares 9 2 2 6 4" xfId="4769" xr:uid="{AB85D53D-3AC8-4094-97C5-32A4F9BE7C85}"/>
    <cellStyle name="Millares 9 2 2 6 4 2" xfId="9623" xr:uid="{A0EBBE22-306C-41BE-8383-51766B629347}"/>
    <cellStyle name="Millares 9 2 2 6 5" xfId="3557" xr:uid="{C52A162F-7688-4007-BE31-B92A2D3B8B18}"/>
    <cellStyle name="Millares 9 2 2 6 6" xfId="8413" xr:uid="{D0E1C42D-1CA9-4E14-BBA6-0CA9FE760F8D}"/>
    <cellStyle name="Millares 9 2 2 7" xfId="5375" xr:uid="{F1DE352B-2C0A-40AE-AA98-32EA4DF750B2}"/>
    <cellStyle name="Millares 9 2 2 7 2" xfId="10227" xr:uid="{D31A3E2B-3CF1-4B6D-9B76-B803F8743FB5}"/>
    <cellStyle name="Millares 9 2 2 8" xfId="6589" xr:uid="{773B9CE0-2E51-426E-A8E0-ACFEA0E5C186}"/>
    <cellStyle name="Millares 9 2 2 8 2" xfId="11438" xr:uid="{CC149F86-D88A-4411-B035-7573CF0C9A7B}"/>
    <cellStyle name="Millares 9 2 2 9" xfId="4165" xr:uid="{9F838042-7CCB-4ED1-96A8-5681E4167102}"/>
    <cellStyle name="Millares 9 2 2 9 2" xfId="9019" xr:uid="{AE956FB0-EE21-4E99-AEF9-6897AFE8A292}"/>
    <cellStyle name="Millares 9 2 3" xfId="1677" xr:uid="{853AB954-E7EF-410A-B40C-157279D6E3FC}"/>
    <cellStyle name="Millares 9 2 3 2" xfId="1678" xr:uid="{D37BB5CE-3B40-42D7-A8F3-E3FB469EAC5E}"/>
    <cellStyle name="Millares 9 2 3 2 2" xfId="1679" xr:uid="{067F059D-B9A0-4649-A07B-335D57FCD525}"/>
    <cellStyle name="Millares 9 2 3 2 2 2" xfId="2348" xr:uid="{E847C913-AE53-4A24-BB69-CCDE9B6BC338}"/>
    <cellStyle name="Millares 9 2 3 2 2 2 2" xfId="5994" xr:uid="{B7F8005C-E670-46B5-8273-7404DA43E672}"/>
    <cellStyle name="Millares 9 2 3 2 2 2 2 2" xfId="10846" xr:uid="{5739CEBE-2F07-4DED-9D85-A4FB921BA67D}"/>
    <cellStyle name="Millares 9 2 3 2 2 2 3" xfId="7210" xr:uid="{D6B11070-5060-4BA2-B746-88577766DB70}"/>
    <cellStyle name="Millares 9 2 3 2 2 2 3 2" xfId="12058" xr:uid="{5D73E257-0B00-43EB-8DDE-18DC17BB5C0D}"/>
    <cellStyle name="Millares 9 2 3 2 2 2 4" xfId="4783" xr:uid="{EF414F4C-A3A0-4495-803F-A870D1832370}"/>
    <cellStyle name="Millares 9 2 3 2 2 2 4 2" xfId="9637" xr:uid="{EABBA99F-2BE2-411B-A344-DFCDC13BA36C}"/>
    <cellStyle name="Millares 9 2 3 2 2 2 5" xfId="3571" xr:uid="{9D909C49-FF28-46BB-9121-003D5C138987}"/>
    <cellStyle name="Millares 9 2 3 2 2 2 6" xfId="8427" xr:uid="{C7C4D056-0ED1-4FAD-A3A7-BEC1D688C12F}"/>
    <cellStyle name="Millares 9 2 3 2 2 3" xfId="5389" xr:uid="{0620A569-22F9-43C7-BE3C-A1AFCBE12A9A}"/>
    <cellStyle name="Millares 9 2 3 2 2 3 2" xfId="10241" xr:uid="{802C6EF7-464B-4378-888E-1A2849EB15B4}"/>
    <cellStyle name="Millares 9 2 3 2 2 4" xfId="6603" xr:uid="{41CFB3D8-021D-4584-8C65-47AA3C656826}"/>
    <cellStyle name="Millares 9 2 3 2 2 4 2" xfId="11452" xr:uid="{31F77EED-8C9A-4439-B5E2-9EE73F7CE3F5}"/>
    <cellStyle name="Millares 9 2 3 2 2 5" xfId="4179" xr:uid="{D1E1AD16-190A-4B8C-AE6E-3F47EF378CB9}"/>
    <cellStyle name="Millares 9 2 3 2 2 5 2" xfId="9033" xr:uid="{2D93E1A6-A4F7-4E4B-AE1B-1304D7E37DF4}"/>
    <cellStyle name="Millares 9 2 3 2 2 6" xfId="2966" xr:uid="{CAFDCF81-51D4-48F0-8181-966171B7E241}"/>
    <cellStyle name="Millares 9 2 3 2 2 7" xfId="7822" xr:uid="{850C0B01-F68E-4FB3-89BB-B25A6485E5C0}"/>
    <cellStyle name="Millares 9 2 3 2 3" xfId="2347" xr:uid="{9146B7EB-1B68-4321-BB41-ECCB95D8585D}"/>
    <cellStyle name="Millares 9 2 3 2 3 2" xfId="5993" xr:uid="{83EDD245-24EF-4BD6-89BF-E0792F0959F3}"/>
    <cellStyle name="Millares 9 2 3 2 3 2 2" xfId="10845" xr:uid="{AB8BEFF4-CEB9-414F-A45C-5AFAD7BD8B21}"/>
    <cellStyle name="Millares 9 2 3 2 3 3" xfId="7209" xr:uid="{79B05D9B-6AB5-4125-83E7-1E05AC9BCC17}"/>
    <cellStyle name="Millares 9 2 3 2 3 3 2" xfId="12057" xr:uid="{E33CD017-FE90-4A84-9FCF-1891B90CC3D7}"/>
    <cellStyle name="Millares 9 2 3 2 3 4" xfId="4782" xr:uid="{7B3D70D3-1FB8-48EB-BB41-37D0BE30D92B}"/>
    <cellStyle name="Millares 9 2 3 2 3 4 2" xfId="9636" xr:uid="{77E17A7E-CF09-49A1-BD54-CBA8897AC4F9}"/>
    <cellStyle name="Millares 9 2 3 2 3 5" xfId="3570" xr:uid="{6A8071C9-90E6-450E-8100-2564ACC9349A}"/>
    <cellStyle name="Millares 9 2 3 2 3 6" xfId="8426" xr:uid="{DD1A1044-C143-4C57-B43C-A6F12A8B92C6}"/>
    <cellStyle name="Millares 9 2 3 2 4" xfId="5388" xr:uid="{7A845E83-B73F-47A0-A460-4AE9B04F8064}"/>
    <cellStyle name="Millares 9 2 3 2 4 2" xfId="10240" xr:uid="{BA8421FC-FCF5-4709-862D-B6FBECA0D0B3}"/>
    <cellStyle name="Millares 9 2 3 2 5" xfId="6602" xr:uid="{02A89BA7-B071-4D17-A3BD-73C042D4D2E9}"/>
    <cellStyle name="Millares 9 2 3 2 5 2" xfId="11451" xr:uid="{AF47AC59-E409-4BB6-AB16-E57A294553FD}"/>
    <cellStyle name="Millares 9 2 3 2 6" xfId="4178" xr:uid="{65040B01-631D-400C-AC9C-B0D426BF2A9E}"/>
    <cellStyle name="Millares 9 2 3 2 6 2" xfId="9032" xr:uid="{F272AF90-5E7E-474E-90E6-4CF1291AACE4}"/>
    <cellStyle name="Millares 9 2 3 2 7" xfId="2965" xr:uid="{BFF3DCA6-EF02-4C22-A555-3A5DCCB6B4E6}"/>
    <cellStyle name="Millares 9 2 3 2 8" xfId="7821" xr:uid="{632F4F2D-565C-43D6-AB61-2A62873E14D9}"/>
    <cellStyle name="Millares 9 2 3 3" xfId="1680" xr:uid="{C43C63FF-4B44-4064-9462-55FEDD0CD1A4}"/>
    <cellStyle name="Millares 9 2 3 3 2" xfId="2349" xr:uid="{552150AA-1777-4BA6-BA6D-A5CC6AD9C382}"/>
    <cellStyle name="Millares 9 2 3 3 2 2" xfId="5995" xr:uid="{D9EEE967-C5A9-4EE6-999E-FBC7F3B0F7F9}"/>
    <cellStyle name="Millares 9 2 3 3 2 2 2" xfId="10847" xr:uid="{30A6B7B4-74D5-49DA-9FB2-1B134E2C5546}"/>
    <cellStyle name="Millares 9 2 3 3 2 3" xfId="7211" xr:uid="{FF72B7AF-4692-4B25-86D3-A5BBB57650C3}"/>
    <cellStyle name="Millares 9 2 3 3 2 3 2" xfId="12059" xr:uid="{19A2D2EC-4344-4F03-AF6E-A256192A78F6}"/>
    <cellStyle name="Millares 9 2 3 3 2 4" xfId="4784" xr:uid="{9B744A25-B133-4190-B733-62163AF15DA1}"/>
    <cellStyle name="Millares 9 2 3 3 2 4 2" xfId="9638" xr:uid="{E24CD519-5C09-472A-A478-98CD425331EF}"/>
    <cellStyle name="Millares 9 2 3 3 2 5" xfId="3572" xr:uid="{5A20EA60-BAF1-41E0-9EFA-496E2B3273B9}"/>
    <cellStyle name="Millares 9 2 3 3 2 6" xfId="8428" xr:uid="{6B2792D9-73F6-4D43-80FE-97D04DB38C31}"/>
    <cellStyle name="Millares 9 2 3 3 3" xfId="5390" xr:uid="{C4973B8F-8480-4D74-8C35-385103A9F1BD}"/>
    <cellStyle name="Millares 9 2 3 3 3 2" xfId="10242" xr:uid="{2841CE04-0CF3-4692-8C10-54512E02AD57}"/>
    <cellStyle name="Millares 9 2 3 3 4" xfId="6604" xr:uid="{8DDEF10E-E8DC-4149-9673-6A99BFE41932}"/>
    <cellStyle name="Millares 9 2 3 3 4 2" xfId="11453" xr:uid="{DECB9A77-D668-465A-A787-65C69FF715FA}"/>
    <cellStyle name="Millares 9 2 3 3 5" xfId="4180" xr:uid="{6D282AB7-B4E6-47EC-B269-FC98743F4BE7}"/>
    <cellStyle name="Millares 9 2 3 3 5 2" xfId="9034" xr:uid="{3401A1A2-61A7-4466-846C-FAFF52148971}"/>
    <cellStyle name="Millares 9 2 3 3 6" xfId="2967" xr:uid="{A2E0D1FA-2E31-49EA-860B-8C8A1A2423E8}"/>
    <cellStyle name="Millares 9 2 3 3 7" xfId="7823" xr:uid="{A7D97D6C-BA53-4313-B552-4B41E332C076}"/>
    <cellStyle name="Millares 9 2 3 4" xfId="2346" xr:uid="{A262001D-007E-4070-9E8D-FA302EF6193C}"/>
    <cellStyle name="Millares 9 2 3 4 2" xfId="5992" xr:uid="{939A1E78-2DFF-41B5-8A7F-118152B70481}"/>
    <cellStyle name="Millares 9 2 3 4 2 2" xfId="10844" xr:uid="{6661B59A-030C-4753-BB8F-72DDFC5EFBA0}"/>
    <cellStyle name="Millares 9 2 3 4 3" xfId="7208" xr:uid="{CA79BFA7-C359-4406-AE15-24D5C8D338C5}"/>
    <cellStyle name="Millares 9 2 3 4 3 2" xfId="12056" xr:uid="{C7EAF92A-EA30-4DAE-BAC9-2C395B4FE79F}"/>
    <cellStyle name="Millares 9 2 3 4 4" xfId="4781" xr:uid="{73D054B8-AE6B-40E4-B95C-D4DDB3B2F0EC}"/>
    <cellStyle name="Millares 9 2 3 4 4 2" xfId="9635" xr:uid="{C35FF18C-4DE1-4856-B3EB-9CF185AAEF83}"/>
    <cellStyle name="Millares 9 2 3 4 5" xfId="3569" xr:uid="{53A1CB1F-FB2D-47EB-8691-20848FAA4049}"/>
    <cellStyle name="Millares 9 2 3 4 6" xfId="8425" xr:uid="{8BBEE916-5E64-458A-B975-50022019513C}"/>
    <cellStyle name="Millares 9 2 3 5" xfId="5387" xr:uid="{94C20763-72EA-4D8C-9130-3EFF6538B9D0}"/>
    <cellStyle name="Millares 9 2 3 5 2" xfId="10239" xr:uid="{61BA830B-5465-4185-AD22-6AA142C4F0ED}"/>
    <cellStyle name="Millares 9 2 3 6" xfId="6601" xr:uid="{3E01EA77-EA7C-49A1-AA94-A0C86FD3A686}"/>
    <cellStyle name="Millares 9 2 3 6 2" xfId="11450" xr:uid="{AAC981F4-D69B-4B32-B2EB-FC8829DDB006}"/>
    <cellStyle name="Millares 9 2 3 7" xfId="4177" xr:uid="{ED4B6846-A189-4894-ADBA-D35D8E445892}"/>
    <cellStyle name="Millares 9 2 3 7 2" xfId="9031" xr:uid="{D7A648D4-B431-4363-B4E2-A99E17E7A3B9}"/>
    <cellStyle name="Millares 9 2 3 8" xfId="2964" xr:uid="{8947B662-C772-45D1-A523-94163E81AE1E}"/>
    <cellStyle name="Millares 9 2 3 9" xfId="7820" xr:uid="{0A54E348-15E5-4C85-A82F-04152FD00582}"/>
    <cellStyle name="Millares 9 2 4" xfId="1681" xr:uid="{482726D2-8C0C-4E6E-B3EA-66136D14E724}"/>
    <cellStyle name="Millares 9 2 4 2" xfId="1682" xr:uid="{E6850AA1-338D-4E79-92D3-7767602732EF}"/>
    <cellStyle name="Millares 9 2 4 2 2" xfId="1683" xr:uid="{A7F9B35D-DD3C-41CE-8CFF-B5D3D3F9386F}"/>
    <cellStyle name="Millares 9 2 4 2 2 2" xfId="2352" xr:uid="{51CB3B38-D72F-441D-8300-2D5E11E0355F}"/>
    <cellStyle name="Millares 9 2 4 2 2 2 2" xfId="5998" xr:uid="{4625C23E-28A2-4914-8424-89D2AD530B24}"/>
    <cellStyle name="Millares 9 2 4 2 2 2 2 2" xfId="10850" xr:uid="{B70A6DAE-3ACF-47BE-A0A7-8BFCD7E6A595}"/>
    <cellStyle name="Millares 9 2 4 2 2 2 3" xfId="7214" xr:uid="{9FF6E88F-F03E-4B00-8D78-6C39D2E5C024}"/>
    <cellStyle name="Millares 9 2 4 2 2 2 3 2" xfId="12062" xr:uid="{6EE6FD0C-8921-4E50-9395-2A62EAE35BCC}"/>
    <cellStyle name="Millares 9 2 4 2 2 2 4" xfId="4787" xr:uid="{160A8459-CB58-43B4-9311-7EA19D0242E9}"/>
    <cellStyle name="Millares 9 2 4 2 2 2 4 2" xfId="9641" xr:uid="{024F11C4-B739-4CCE-A35B-8A407EC9EE20}"/>
    <cellStyle name="Millares 9 2 4 2 2 2 5" xfId="3575" xr:uid="{050932D3-AC15-4A9F-933E-2006CD20F2A4}"/>
    <cellStyle name="Millares 9 2 4 2 2 2 6" xfId="8431" xr:uid="{B253FF59-88EB-4FC0-9F21-3FCEA43B1516}"/>
    <cellStyle name="Millares 9 2 4 2 2 3" xfId="5393" xr:uid="{0B9B5E33-D488-4F7F-97C6-63858A447191}"/>
    <cellStyle name="Millares 9 2 4 2 2 3 2" xfId="10245" xr:uid="{7FC7FD6E-91A5-40AE-9864-8CC8BD5B68D2}"/>
    <cellStyle name="Millares 9 2 4 2 2 4" xfId="6607" xr:uid="{0291A22D-3359-4FE0-B034-78116B258FC6}"/>
    <cellStyle name="Millares 9 2 4 2 2 4 2" xfId="11456" xr:uid="{03385BC6-62FB-4D6E-8D3A-48AD0022F56C}"/>
    <cellStyle name="Millares 9 2 4 2 2 5" xfId="4183" xr:uid="{6C019CBC-ABC9-4FF3-85B0-861ACDB589EB}"/>
    <cellStyle name="Millares 9 2 4 2 2 5 2" xfId="9037" xr:uid="{C96D579B-05BB-4A02-8FE7-1A4DDFBFCE27}"/>
    <cellStyle name="Millares 9 2 4 2 2 6" xfId="2970" xr:uid="{DC7DD567-A3EF-498B-BE3C-83BFC36BDF65}"/>
    <cellStyle name="Millares 9 2 4 2 2 7" xfId="7826" xr:uid="{BC0813DD-F9F2-4D28-8DA5-7D70CF6D2B54}"/>
    <cellStyle name="Millares 9 2 4 2 3" xfId="2351" xr:uid="{330A965A-F401-42D3-B320-2C62204C1514}"/>
    <cellStyle name="Millares 9 2 4 2 3 2" xfId="5997" xr:uid="{8C95D7E2-6771-49D4-8FDB-7954F1871B74}"/>
    <cellStyle name="Millares 9 2 4 2 3 2 2" xfId="10849" xr:uid="{F32871CC-F5EA-4242-9025-1A8032211777}"/>
    <cellStyle name="Millares 9 2 4 2 3 3" xfId="7213" xr:uid="{88E3D846-7512-4361-884E-C66A03B6DC87}"/>
    <cellStyle name="Millares 9 2 4 2 3 3 2" xfId="12061" xr:uid="{34785747-C10B-43FD-A3E0-A5221F9945E7}"/>
    <cellStyle name="Millares 9 2 4 2 3 4" xfId="4786" xr:uid="{B7C6D0C3-838B-43AD-AA0E-9222D2E19FBF}"/>
    <cellStyle name="Millares 9 2 4 2 3 4 2" xfId="9640" xr:uid="{D20D9A47-0915-4D33-A212-FDABBB354B90}"/>
    <cellStyle name="Millares 9 2 4 2 3 5" xfId="3574" xr:uid="{23C02BA4-7298-4FD0-AC9D-7BD412F9422F}"/>
    <cellStyle name="Millares 9 2 4 2 3 6" xfId="8430" xr:uid="{B7AC9D1F-A432-4F19-8A93-39469045FD6B}"/>
    <cellStyle name="Millares 9 2 4 2 4" xfId="5392" xr:uid="{00748464-88C2-4B42-A54F-73D422BA67BC}"/>
    <cellStyle name="Millares 9 2 4 2 4 2" xfId="10244" xr:uid="{694E6C80-BADD-4099-A34C-A4E5BB0F5624}"/>
    <cellStyle name="Millares 9 2 4 2 5" xfId="6606" xr:uid="{F8D7309E-E91A-4C5E-88A6-6BF52F02DE37}"/>
    <cellStyle name="Millares 9 2 4 2 5 2" xfId="11455" xr:uid="{71EBFEF2-996A-4564-8589-AC7EC7AC7DBC}"/>
    <cellStyle name="Millares 9 2 4 2 6" xfId="4182" xr:uid="{20396A4F-2079-44B0-B1C8-F0D99301BF9B}"/>
    <cellStyle name="Millares 9 2 4 2 6 2" xfId="9036" xr:uid="{FFB6E49E-6CB0-4410-9B7E-DE19E852EDA2}"/>
    <cellStyle name="Millares 9 2 4 2 7" xfId="2969" xr:uid="{B3013672-55FD-4413-9819-59366792BD02}"/>
    <cellStyle name="Millares 9 2 4 2 8" xfId="7825" xr:uid="{1133462A-2AAF-44DA-B925-3A19B6DC92AD}"/>
    <cellStyle name="Millares 9 2 4 3" xfId="1684" xr:uid="{E5CCCB1D-5A64-4640-9B6C-9296161C07D4}"/>
    <cellStyle name="Millares 9 2 4 3 2" xfId="2353" xr:uid="{5FFB9E74-0EC8-48F4-9B60-F1C1A3E23632}"/>
    <cellStyle name="Millares 9 2 4 3 2 2" xfId="5999" xr:uid="{4B96C2A5-CE6E-4E68-8382-AD668AF19EAD}"/>
    <cellStyle name="Millares 9 2 4 3 2 2 2" xfId="10851" xr:uid="{ACFE3FC5-440D-4307-88E5-CD4DF3DE68FB}"/>
    <cellStyle name="Millares 9 2 4 3 2 3" xfId="7215" xr:uid="{982FF5DB-CADD-4672-96F6-5E7696C05633}"/>
    <cellStyle name="Millares 9 2 4 3 2 3 2" xfId="12063" xr:uid="{7EF1569F-D86C-4F8E-A524-18C5F1A68BDA}"/>
    <cellStyle name="Millares 9 2 4 3 2 4" xfId="4788" xr:uid="{BE781F6C-2919-4B5E-9C40-0C3BE3035557}"/>
    <cellStyle name="Millares 9 2 4 3 2 4 2" xfId="9642" xr:uid="{8BCE0044-1B50-4960-A8C4-91D5200F6297}"/>
    <cellStyle name="Millares 9 2 4 3 2 5" xfId="3576" xr:uid="{8BA8085A-6DDE-4CF4-A040-4A1855F59A42}"/>
    <cellStyle name="Millares 9 2 4 3 2 6" xfId="8432" xr:uid="{5E1BFC0A-7C41-40AD-8FDF-880E280CAF48}"/>
    <cellStyle name="Millares 9 2 4 3 3" xfId="5394" xr:uid="{0E58B659-4A3F-4636-B8BE-5C0CB0C9F916}"/>
    <cellStyle name="Millares 9 2 4 3 3 2" xfId="10246" xr:uid="{C62012ED-4B61-4094-8FE9-602D5A1DB46E}"/>
    <cellStyle name="Millares 9 2 4 3 4" xfId="6608" xr:uid="{B226D166-A3F1-4F2D-B55C-C462A0A9F82D}"/>
    <cellStyle name="Millares 9 2 4 3 4 2" xfId="11457" xr:uid="{317CBE39-3D52-46E1-BF68-05527470915C}"/>
    <cellStyle name="Millares 9 2 4 3 5" xfId="4184" xr:uid="{83B4BA33-B1FB-4541-A312-776D3F2D8F6D}"/>
    <cellStyle name="Millares 9 2 4 3 5 2" xfId="9038" xr:uid="{318D1DB8-55CB-4B76-8B82-F70D11879F53}"/>
    <cellStyle name="Millares 9 2 4 3 6" xfId="2971" xr:uid="{3710E8B2-6B50-4ACA-A2C7-2AEAEE7C9214}"/>
    <cellStyle name="Millares 9 2 4 3 7" xfId="7827" xr:uid="{49245116-FD08-46ED-A6F1-ED0245F1AC0E}"/>
    <cellStyle name="Millares 9 2 4 4" xfId="2350" xr:uid="{3F72E1E7-DD08-47D0-B0CC-6D7C3ED58EE1}"/>
    <cellStyle name="Millares 9 2 4 4 2" xfId="5996" xr:uid="{9AF34099-2AF7-461E-B7B7-0DC13A483FA5}"/>
    <cellStyle name="Millares 9 2 4 4 2 2" xfId="10848" xr:uid="{4D3CC348-D2C5-4095-9ABE-B6689B1D166C}"/>
    <cellStyle name="Millares 9 2 4 4 3" xfId="7212" xr:uid="{8796FD73-E4A7-49FE-ADAD-018A31F131CC}"/>
    <cellStyle name="Millares 9 2 4 4 3 2" xfId="12060" xr:uid="{9153FB6B-4CFD-478D-8258-EFE21BEC6602}"/>
    <cellStyle name="Millares 9 2 4 4 4" xfId="4785" xr:uid="{937595FC-DF77-410E-8FFC-91E90D66A557}"/>
    <cellStyle name="Millares 9 2 4 4 4 2" xfId="9639" xr:uid="{C9F25FE7-2907-4434-A590-F0F53B4510BB}"/>
    <cellStyle name="Millares 9 2 4 4 5" xfId="3573" xr:uid="{DCA011D8-43D1-469A-BFBE-41DE3EBD4634}"/>
    <cellStyle name="Millares 9 2 4 4 6" xfId="8429" xr:uid="{9342FC09-0FF9-4469-AD48-1581D1B2B53E}"/>
    <cellStyle name="Millares 9 2 4 5" xfId="5391" xr:uid="{7DD039D0-D3E3-4432-AB45-AC689046FE1D}"/>
    <cellStyle name="Millares 9 2 4 5 2" xfId="10243" xr:uid="{BC2252D3-C3FB-49D2-8D9D-3C9BE98AF7ED}"/>
    <cellStyle name="Millares 9 2 4 6" xfId="6605" xr:uid="{33ACB682-A80E-4859-BCA6-156924B8D4C6}"/>
    <cellStyle name="Millares 9 2 4 6 2" xfId="11454" xr:uid="{A3FAE55A-0A0A-4E0A-855F-F4AADFCE05A6}"/>
    <cellStyle name="Millares 9 2 4 7" xfId="4181" xr:uid="{144704E8-6DAB-4D6B-AC91-34E8D8A86124}"/>
    <cellStyle name="Millares 9 2 4 7 2" xfId="9035" xr:uid="{8F6C4CE0-B883-42C4-B98B-B35CED908441}"/>
    <cellStyle name="Millares 9 2 4 8" xfId="2968" xr:uid="{4F74C9E1-4E10-4E13-A053-4FE13D2695A0}"/>
    <cellStyle name="Millares 9 2 4 9" xfId="7824" xr:uid="{42F827AB-05B8-4C81-A353-245408905D54}"/>
    <cellStyle name="Millares 9 2 5" xfId="1685" xr:uid="{2BDEF514-8054-4F21-838A-CD501CA4EE66}"/>
    <cellStyle name="Millares 9 2 5 2" xfId="1686" xr:uid="{FF233819-D7E1-463C-B009-B0F2A3B795D0}"/>
    <cellStyle name="Millares 9 2 5 2 2" xfId="2355" xr:uid="{C288CB59-8FF5-4EBD-84E0-363C09B0D4B9}"/>
    <cellStyle name="Millares 9 2 5 2 2 2" xfId="6001" xr:uid="{72597F0C-EE51-431C-8794-285C058237E8}"/>
    <cellStyle name="Millares 9 2 5 2 2 2 2" xfId="10853" xr:uid="{E5C8A111-F5D4-404D-ADB5-E299D8D180D2}"/>
    <cellStyle name="Millares 9 2 5 2 2 3" xfId="7217" xr:uid="{DFDB328C-CA20-422F-8D5D-8FA35046A44F}"/>
    <cellStyle name="Millares 9 2 5 2 2 3 2" xfId="12065" xr:uid="{C352F1C7-792B-4B20-B435-B577F1D5810A}"/>
    <cellStyle name="Millares 9 2 5 2 2 4" xfId="4790" xr:uid="{9895A5EB-5216-42DB-AC9C-5F25C099C09F}"/>
    <cellStyle name="Millares 9 2 5 2 2 4 2" xfId="9644" xr:uid="{1EB8A107-D796-4E3A-BD09-AFDEF06EB1B8}"/>
    <cellStyle name="Millares 9 2 5 2 2 5" xfId="3578" xr:uid="{942DD6BE-D863-462E-933A-2431061E85A4}"/>
    <cellStyle name="Millares 9 2 5 2 2 6" xfId="8434" xr:uid="{910B874B-3601-4F5D-8FE4-6F86D52FA67B}"/>
    <cellStyle name="Millares 9 2 5 2 3" xfId="5396" xr:uid="{E6DD2283-34F0-4C6C-97FE-4E4A99DDE123}"/>
    <cellStyle name="Millares 9 2 5 2 3 2" xfId="10248" xr:uid="{549DE3E9-E5F3-410F-BCC8-3865684F134F}"/>
    <cellStyle name="Millares 9 2 5 2 4" xfId="6610" xr:uid="{CF4309E1-D16B-4691-B2FF-3B8D29030E57}"/>
    <cellStyle name="Millares 9 2 5 2 4 2" xfId="11459" xr:uid="{D98DDDA4-0355-4E46-92D1-9AEF260A85FB}"/>
    <cellStyle name="Millares 9 2 5 2 5" xfId="4186" xr:uid="{CDA8D1D1-613E-4756-A022-4DF1613B3E8E}"/>
    <cellStyle name="Millares 9 2 5 2 5 2" xfId="9040" xr:uid="{36205F77-A84A-4D61-90AE-EA271FD8BF67}"/>
    <cellStyle name="Millares 9 2 5 2 6" xfId="2973" xr:uid="{4A6B064C-B6A8-4F81-A86E-239D55F88599}"/>
    <cellStyle name="Millares 9 2 5 2 7" xfId="7829" xr:uid="{303F7518-2FCA-4B2D-80FD-FE9557624948}"/>
    <cellStyle name="Millares 9 2 5 3" xfId="2354" xr:uid="{B4266FA5-14B2-4FC4-BF3E-51F7379260E5}"/>
    <cellStyle name="Millares 9 2 5 3 2" xfId="6000" xr:uid="{33CEC233-6663-4CF0-AB72-36FFA46C7D09}"/>
    <cellStyle name="Millares 9 2 5 3 2 2" xfId="10852" xr:uid="{8784FE3C-E01A-4F85-9313-F068CA162FD9}"/>
    <cellStyle name="Millares 9 2 5 3 3" xfId="7216" xr:uid="{4356E440-4297-49F3-8A8A-0D5510EAF707}"/>
    <cellStyle name="Millares 9 2 5 3 3 2" xfId="12064" xr:uid="{5A5F8064-45E0-4C15-9FFA-FB530EE2314B}"/>
    <cellStyle name="Millares 9 2 5 3 4" xfId="4789" xr:uid="{A61AEE4B-207C-467E-9345-E06E7D6CEA46}"/>
    <cellStyle name="Millares 9 2 5 3 4 2" xfId="9643" xr:uid="{B6D8BCCC-C750-4CD1-93DA-7C15A211E85C}"/>
    <cellStyle name="Millares 9 2 5 3 5" xfId="3577" xr:uid="{D61C5C88-BC07-420C-BD1F-A3D7C25248FF}"/>
    <cellStyle name="Millares 9 2 5 3 6" xfId="8433" xr:uid="{D672E00F-37DF-4422-A7A6-C4E25057CE4A}"/>
    <cellStyle name="Millares 9 2 5 4" xfId="5395" xr:uid="{89300F08-088B-4D30-825C-732E9A93DA9B}"/>
    <cellStyle name="Millares 9 2 5 4 2" xfId="10247" xr:uid="{55382C6F-4A96-46C9-97C6-21AB5EA309F7}"/>
    <cellStyle name="Millares 9 2 5 5" xfId="6609" xr:uid="{4FFDAF9A-5314-42C9-9BF8-E3FC44AD71F8}"/>
    <cellStyle name="Millares 9 2 5 5 2" xfId="11458" xr:uid="{17004DAC-567D-4688-B045-F24BE90C30EE}"/>
    <cellStyle name="Millares 9 2 5 6" xfId="4185" xr:uid="{DBFF9AEE-EC15-48A5-8AC5-083E9A644CA6}"/>
    <cellStyle name="Millares 9 2 5 6 2" xfId="9039" xr:uid="{99C1DFA8-A1EF-4BA9-A901-F9DFC80E0B88}"/>
    <cellStyle name="Millares 9 2 5 7" xfId="2972" xr:uid="{E198FBDC-E6A0-46F4-8DE5-8B7E6FCC65E9}"/>
    <cellStyle name="Millares 9 2 5 8" xfId="7828" xr:uid="{1CEA41E6-2185-4051-8514-8EC19EA338C0}"/>
    <cellStyle name="Millares 9 2 6" xfId="1687" xr:uid="{0C908B1A-654C-4865-B386-AFDC2C240E64}"/>
    <cellStyle name="Millares 9 2 6 2" xfId="1688" xr:uid="{40ADEBBA-7685-4518-9B1D-D780CC809967}"/>
    <cellStyle name="Millares 9 2 6 2 2" xfId="2357" xr:uid="{8BB23CAA-5976-4CB0-8BD0-16DC28562F06}"/>
    <cellStyle name="Millares 9 2 6 2 2 2" xfId="6003" xr:uid="{BC6E365A-C3D8-43A9-9DD3-EF7AA6C9D419}"/>
    <cellStyle name="Millares 9 2 6 2 2 2 2" xfId="10855" xr:uid="{829873B0-49A4-478B-931B-355CB3F8F2D6}"/>
    <cellStyle name="Millares 9 2 6 2 2 3" xfId="7219" xr:uid="{784A53F5-8A6A-4379-B7F7-9E282DF3E1EE}"/>
    <cellStyle name="Millares 9 2 6 2 2 3 2" xfId="12067" xr:uid="{CD08A43D-5CC8-487C-BBC5-568EFDA90E22}"/>
    <cellStyle name="Millares 9 2 6 2 2 4" xfId="4792" xr:uid="{12B63979-F0E4-4086-8446-3433CC6D232C}"/>
    <cellStyle name="Millares 9 2 6 2 2 4 2" xfId="9646" xr:uid="{8E77732B-688B-4E15-B0E6-5ADE1436C5C0}"/>
    <cellStyle name="Millares 9 2 6 2 2 5" xfId="3580" xr:uid="{499D038A-0F63-48BA-AACD-D04284D6907F}"/>
    <cellStyle name="Millares 9 2 6 2 2 6" xfId="8436" xr:uid="{6B3B7462-AC04-4A96-BE78-E4BA2CA68EE6}"/>
    <cellStyle name="Millares 9 2 6 2 3" xfId="5398" xr:uid="{61E768C1-9B94-4C9A-91D7-60F488446883}"/>
    <cellStyle name="Millares 9 2 6 2 3 2" xfId="10250" xr:uid="{DA0223F8-4A52-4E13-8B7E-81D7E4292B75}"/>
    <cellStyle name="Millares 9 2 6 2 4" xfId="6612" xr:uid="{870FC2D5-2EC7-4FAF-A35B-B7FF25BEEABE}"/>
    <cellStyle name="Millares 9 2 6 2 4 2" xfId="11461" xr:uid="{AAD7A894-4FAC-44D9-A9FF-19ACCE241483}"/>
    <cellStyle name="Millares 9 2 6 2 5" xfId="4188" xr:uid="{5B85D9F6-83B4-407B-A40F-75986EF9A8BB}"/>
    <cellStyle name="Millares 9 2 6 2 5 2" xfId="9042" xr:uid="{EA7169E0-EE24-4918-83FE-46B8A3521127}"/>
    <cellStyle name="Millares 9 2 6 2 6" xfId="2975" xr:uid="{DD051D6B-17C3-4144-8CE6-7F4C7E51D0BE}"/>
    <cellStyle name="Millares 9 2 6 2 7" xfId="7831" xr:uid="{EBEC9DA4-FB84-4C59-98AA-99C4B77160E3}"/>
    <cellStyle name="Millares 9 2 6 3" xfId="2356" xr:uid="{7C13EA15-D640-4DB8-B569-82F84A8C2481}"/>
    <cellStyle name="Millares 9 2 6 3 2" xfId="6002" xr:uid="{D3E5A43D-2659-46BE-9E4F-C553652579B0}"/>
    <cellStyle name="Millares 9 2 6 3 2 2" xfId="10854" xr:uid="{DD5A440E-9A47-4959-9220-2A7603B730AC}"/>
    <cellStyle name="Millares 9 2 6 3 3" xfId="7218" xr:uid="{A9A5BBD6-0A3F-40E0-A2C7-BFEF30BA147F}"/>
    <cellStyle name="Millares 9 2 6 3 3 2" xfId="12066" xr:uid="{2D93508D-84E8-4353-BC3A-9593F5C7CF0F}"/>
    <cellStyle name="Millares 9 2 6 3 4" xfId="4791" xr:uid="{1DAA6FC3-0538-4C9A-9FA1-17B6CDF1FCB7}"/>
    <cellStyle name="Millares 9 2 6 3 4 2" xfId="9645" xr:uid="{B450EF8F-ADC7-4FFF-A98B-06543AA7251B}"/>
    <cellStyle name="Millares 9 2 6 3 5" xfId="3579" xr:uid="{620661D5-F1B8-45A0-A0B0-286967D77BB4}"/>
    <cellStyle name="Millares 9 2 6 3 6" xfId="8435" xr:uid="{7FC713D8-C2DE-4AF3-B593-F029255A1D6F}"/>
    <cellStyle name="Millares 9 2 6 4" xfId="5397" xr:uid="{EE868462-D796-4B55-8B23-5C42F8546B98}"/>
    <cellStyle name="Millares 9 2 6 4 2" xfId="10249" xr:uid="{B7251910-CF62-4DF5-83EC-6BD233792242}"/>
    <cellStyle name="Millares 9 2 6 5" xfId="6611" xr:uid="{C71F88AB-D878-4839-864E-F02D497E49AD}"/>
    <cellStyle name="Millares 9 2 6 5 2" xfId="11460" xr:uid="{CAB845BE-742B-43B6-9D11-98069D4AE9E9}"/>
    <cellStyle name="Millares 9 2 6 6" xfId="4187" xr:uid="{7302F5B8-E8D2-4E2A-AA9F-2C350DC0CDD0}"/>
    <cellStyle name="Millares 9 2 6 6 2" xfId="9041" xr:uid="{5FE68882-35B3-4892-8758-95C28B3A1E82}"/>
    <cellStyle name="Millares 9 2 6 7" xfId="2974" xr:uid="{BCCA1650-8FB4-4C92-9F6B-8A7CF2F98FD9}"/>
    <cellStyle name="Millares 9 2 6 8" xfId="7830" xr:uid="{D72C49A5-5184-4B9D-A6F1-F4BC9573982A}"/>
    <cellStyle name="Millares 9 2 7" xfId="2333" xr:uid="{778C26AC-8984-4750-89A8-E4DDC011E61D}"/>
    <cellStyle name="Millares 9 2 7 2" xfId="5979" xr:uid="{EA4DFD25-1CC7-459E-ABAC-7016415D1505}"/>
    <cellStyle name="Millares 9 2 7 2 2" xfId="10831" xr:uid="{6EF7A7AF-BAD7-4E3B-BBE4-3A8B146D2087}"/>
    <cellStyle name="Millares 9 2 7 3" xfId="7195" xr:uid="{816676BB-6581-4607-90C7-F3DBEF8E1087}"/>
    <cellStyle name="Millares 9 2 7 3 2" xfId="12043" xr:uid="{94FA6261-78CA-49B9-A0A7-8B3259D46C60}"/>
    <cellStyle name="Millares 9 2 7 4" xfId="4768" xr:uid="{0BEADD20-6030-4106-97A0-168C34DC113A}"/>
    <cellStyle name="Millares 9 2 7 4 2" xfId="9622" xr:uid="{CD7B3076-4662-48CE-8D94-AD8C7B64C596}"/>
    <cellStyle name="Millares 9 2 7 5" xfId="3556" xr:uid="{2569A3C7-D252-4D66-BEDB-6836A13BE356}"/>
    <cellStyle name="Millares 9 2 7 6" xfId="8412" xr:uid="{48250FD8-A9A6-4913-AC91-C3DA20F8DF6E}"/>
    <cellStyle name="Millares 9 2 8" xfId="5374" xr:uid="{92A56788-CD29-48F6-9100-B337B4F3CF5C}"/>
    <cellStyle name="Millares 9 2 8 2" xfId="10226" xr:uid="{9BECE208-E4DC-4E6F-AC2E-CBC21E5F988D}"/>
    <cellStyle name="Millares 9 2 9" xfId="6588" xr:uid="{7DC47191-BEB3-47D1-A9A6-18048368039C}"/>
    <cellStyle name="Millares 9 2 9 2" xfId="11437" xr:uid="{E5856BBB-C358-4978-AF0D-AA2D9C66617E}"/>
    <cellStyle name="Millares 9 3" xfId="1689" xr:uid="{FC7E2C16-84E9-453D-86F8-B47EDEAC7F94}"/>
    <cellStyle name="Millares 9 3 10" xfId="2976" xr:uid="{B409A2CF-7F7F-4510-9105-48BF6FA063BA}"/>
    <cellStyle name="Millares 9 3 11" xfId="7832" xr:uid="{F6F77F81-4256-4C12-AA53-1ADF2943BEC7}"/>
    <cellStyle name="Millares 9 3 2" xfId="1690" xr:uid="{D45755A9-AC8E-4735-8392-25F2D104DC6D}"/>
    <cellStyle name="Millares 9 3 2 2" xfId="1691" xr:uid="{44AE4B43-3090-4486-84F0-FF2859967771}"/>
    <cellStyle name="Millares 9 3 2 2 2" xfId="1692" xr:uid="{62D9AD94-F791-4E94-9A7F-94966EFAE511}"/>
    <cellStyle name="Millares 9 3 2 2 2 2" xfId="2361" xr:uid="{0C45596D-1989-469A-AB06-698E30D2AE3B}"/>
    <cellStyle name="Millares 9 3 2 2 2 2 2" xfId="6007" xr:uid="{13ED2E04-DA78-4A21-A034-1A1D86D1B11D}"/>
    <cellStyle name="Millares 9 3 2 2 2 2 2 2" xfId="10859" xr:uid="{003750C3-3986-4FC3-95AB-AC03E1B06B5F}"/>
    <cellStyle name="Millares 9 3 2 2 2 2 3" xfId="7223" xr:uid="{435AF3AA-A49A-4E53-8673-5213E4688DB2}"/>
    <cellStyle name="Millares 9 3 2 2 2 2 3 2" xfId="12071" xr:uid="{6EB76AC2-0EC1-4A72-B03E-F6DFF77D3573}"/>
    <cellStyle name="Millares 9 3 2 2 2 2 4" xfId="4796" xr:uid="{C8513D0D-BD83-4FE4-B37C-C65F6D2BE433}"/>
    <cellStyle name="Millares 9 3 2 2 2 2 4 2" xfId="9650" xr:uid="{FC610676-DE9A-4CF7-80C8-4454D0F9E9F9}"/>
    <cellStyle name="Millares 9 3 2 2 2 2 5" xfId="3584" xr:uid="{F2AD530B-B375-45B2-ACAE-6BA62958F83F}"/>
    <cellStyle name="Millares 9 3 2 2 2 2 6" xfId="8440" xr:uid="{1EA1CD26-EAD5-4649-9479-BBACCF401C15}"/>
    <cellStyle name="Millares 9 3 2 2 2 3" xfId="5402" xr:uid="{449526A5-A323-42C8-B6C7-9AB618B5C4AB}"/>
    <cellStyle name="Millares 9 3 2 2 2 3 2" xfId="10254" xr:uid="{DD08CF8E-F505-4B20-AF72-E947211650C9}"/>
    <cellStyle name="Millares 9 3 2 2 2 4" xfId="6616" xr:uid="{036903BB-1DAF-4679-B841-86FCE7561070}"/>
    <cellStyle name="Millares 9 3 2 2 2 4 2" xfId="11465" xr:uid="{05315723-358C-4685-B5DB-129763939675}"/>
    <cellStyle name="Millares 9 3 2 2 2 5" xfId="4192" xr:uid="{0ED88DE5-8E2B-4D94-9058-BB252A6D0752}"/>
    <cellStyle name="Millares 9 3 2 2 2 5 2" xfId="9046" xr:uid="{E4C37B24-34B5-42FC-B6B2-25384EF2D74C}"/>
    <cellStyle name="Millares 9 3 2 2 2 6" xfId="2979" xr:uid="{06CDE89B-E549-49C7-92FE-5FDEA932BDBD}"/>
    <cellStyle name="Millares 9 3 2 2 2 7" xfId="7835" xr:uid="{A72999DD-1A56-4725-86AA-D9F0C4ACA950}"/>
    <cellStyle name="Millares 9 3 2 2 3" xfId="2360" xr:uid="{112556B8-1A66-4BCA-A825-5132EAC80965}"/>
    <cellStyle name="Millares 9 3 2 2 3 2" xfId="6006" xr:uid="{D37D817D-B287-4319-9363-594AD1164F61}"/>
    <cellStyle name="Millares 9 3 2 2 3 2 2" xfId="10858" xr:uid="{0A3FB233-78D5-43F5-B838-EFC0C02D0460}"/>
    <cellStyle name="Millares 9 3 2 2 3 3" xfId="7222" xr:uid="{7047E0AA-027C-4B09-9C67-D55755C03137}"/>
    <cellStyle name="Millares 9 3 2 2 3 3 2" xfId="12070" xr:uid="{32D10DF7-1DEE-4B5F-A0EC-5CA2E642103F}"/>
    <cellStyle name="Millares 9 3 2 2 3 4" xfId="4795" xr:uid="{1D0F5465-CC12-4E30-8443-2D2F080A0588}"/>
    <cellStyle name="Millares 9 3 2 2 3 4 2" xfId="9649" xr:uid="{49DFBF95-8489-470E-805D-F7C47D494E65}"/>
    <cellStyle name="Millares 9 3 2 2 3 5" xfId="3583" xr:uid="{270A44D4-0DC6-41FB-9FF6-DD53DFBA1D64}"/>
    <cellStyle name="Millares 9 3 2 2 3 6" xfId="8439" xr:uid="{EA37D583-80AB-4F72-81F2-E87A944AA839}"/>
    <cellStyle name="Millares 9 3 2 2 4" xfId="5401" xr:uid="{C0BE54E5-7FD2-41FE-8F7E-1CDA2CFE7A6C}"/>
    <cellStyle name="Millares 9 3 2 2 4 2" xfId="10253" xr:uid="{55A4390E-9E4D-490A-BE23-2B9F667E13DE}"/>
    <cellStyle name="Millares 9 3 2 2 5" xfId="6615" xr:uid="{965B8B59-764E-47BA-BAFE-0480D8209C45}"/>
    <cellStyle name="Millares 9 3 2 2 5 2" xfId="11464" xr:uid="{34FA8928-833D-4A5C-B3F2-3FAB42B8A35F}"/>
    <cellStyle name="Millares 9 3 2 2 6" xfId="4191" xr:uid="{6D6DC5BA-E94B-4DD6-A176-9218407B8EF0}"/>
    <cellStyle name="Millares 9 3 2 2 6 2" xfId="9045" xr:uid="{55DA3FA4-DE12-4DCC-A5A7-9126E767B7BE}"/>
    <cellStyle name="Millares 9 3 2 2 7" xfId="2978" xr:uid="{00EEB184-3852-48A3-8F22-ED6C6411137C}"/>
    <cellStyle name="Millares 9 3 2 2 8" xfId="7834" xr:uid="{93C4F529-E3CD-4788-B3A2-02EBC509C1BC}"/>
    <cellStyle name="Millares 9 3 2 3" xfId="1693" xr:uid="{F8500FD1-5807-47CB-8DE3-E997E517B2E1}"/>
    <cellStyle name="Millares 9 3 2 3 2" xfId="2362" xr:uid="{438BD4CF-0787-4DAF-9E64-38E491137697}"/>
    <cellStyle name="Millares 9 3 2 3 2 2" xfId="6008" xr:uid="{5A897116-0B7F-4046-9816-FA748199E1AC}"/>
    <cellStyle name="Millares 9 3 2 3 2 2 2" xfId="10860" xr:uid="{F0D48EDE-9A4E-4200-ADD5-0C4253309101}"/>
    <cellStyle name="Millares 9 3 2 3 2 3" xfId="7224" xr:uid="{7A26DB8A-5034-4910-A156-07D6F1878A23}"/>
    <cellStyle name="Millares 9 3 2 3 2 3 2" xfId="12072" xr:uid="{ECDCED49-E6B3-4682-B28C-F79EC44A81E7}"/>
    <cellStyle name="Millares 9 3 2 3 2 4" xfId="4797" xr:uid="{73A152AA-FF75-435C-9A7B-F65B26602F06}"/>
    <cellStyle name="Millares 9 3 2 3 2 4 2" xfId="9651" xr:uid="{B4FBEF9C-C9A3-471F-8EF7-2D6736D444AF}"/>
    <cellStyle name="Millares 9 3 2 3 2 5" xfId="3585" xr:uid="{9829A512-8B28-43F6-9B95-71A2635700A1}"/>
    <cellStyle name="Millares 9 3 2 3 2 6" xfId="8441" xr:uid="{108103C2-3750-41CB-9439-C0641FF5628C}"/>
    <cellStyle name="Millares 9 3 2 3 3" xfId="5403" xr:uid="{257ECD6E-D2E2-46C6-8D0C-35F04E654A53}"/>
    <cellStyle name="Millares 9 3 2 3 3 2" xfId="10255" xr:uid="{1EE13755-6440-4B12-829B-B1ED0F3493AE}"/>
    <cellStyle name="Millares 9 3 2 3 4" xfId="6617" xr:uid="{82EC7638-08CA-4617-A470-FB0107550044}"/>
    <cellStyle name="Millares 9 3 2 3 4 2" xfId="11466" xr:uid="{1C35AC80-5F83-432C-AAB6-005779E4CEF2}"/>
    <cellStyle name="Millares 9 3 2 3 5" xfId="4193" xr:uid="{ACD712A7-DBBF-48B6-A743-2AA07B7AA17E}"/>
    <cellStyle name="Millares 9 3 2 3 5 2" xfId="9047" xr:uid="{AD09593E-F04F-4F73-A3AD-8C6151BF69E3}"/>
    <cellStyle name="Millares 9 3 2 3 6" xfId="2980" xr:uid="{2B3901B5-8881-4B02-ABD8-BD247A4FEEB7}"/>
    <cellStyle name="Millares 9 3 2 3 7" xfId="7836" xr:uid="{C09E93CA-E37C-4251-89F3-7244061D6627}"/>
    <cellStyle name="Millares 9 3 2 4" xfId="2359" xr:uid="{5F92F803-DB6C-433B-A697-361D6843C11E}"/>
    <cellStyle name="Millares 9 3 2 4 2" xfId="6005" xr:uid="{7D684BE7-6774-4788-A339-CAC3A6CC0E30}"/>
    <cellStyle name="Millares 9 3 2 4 2 2" xfId="10857" xr:uid="{5AEC644F-3BEB-4868-AD61-079D50D2F101}"/>
    <cellStyle name="Millares 9 3 2 4 3" xfId="7221" xr:uid="{B3002FFE-EA2C-470A-AEC2-D52D0CB4BF3F}"/>
    <cellStyle name="Millares 9 3 2 4 3 2" xfId="12069" xr:uid="{80B3B19F-48C9-49A8-AF2C-AA232584362F}"/>
    <cellStyle name="Millares 9 3 2 4 4" xfId="4794" xr:uid="{4E5017AB-6BC7-46AF-A82C-001BC3E750D6}"/>
    <cellStyle name="Millares 9 3 2 4 4 2" xfId="9648" xr:uid="{F07B341E-FCBD-4BBB-B87B-138D1DA352C4}"/>
    <cellStyle name="Millares 9 3 2 4 5" xfId="3582" xr:uid="{EF5BA01B-0137-4F1D-BCE6-DA4380E6CE31}"/>
    <cellStyle name="Millares 9 3 2 4 6" xfId="8438" xr:uid="{173DF306-6D7B-49DB-A5D7-4A0C18E8F0A9}"/>
    <cellStyle name="Millares 9 3 2 5" xfId="5400" xr:uid="{39C85048-BE2C-4776-8A62-D1416AD7BD8A}"/>
    <cellStyle name="Millares 9 3 2 5 2" xfId="10252" xr:uid="{6359D05B-C994-4B73-BF1F-432FF41DA1B7}"/>
    <cellStyle name="Millares 9 3 2 6" xfId="6614" xr:uid="{05608EA3-3CE4-4924-8B68-16685C1270AC}"/>
    <cellStyle name="Millares 9 3 2 6 2" xfId="11463" xr:uid="{7BE38DCC-EB53-4AD5-9039-E4C795EEC298}"/>
    <cellStyle name="Millares 9 3 2 7" xfId="4190" xr:uid="{64C69A38-E76C-45E1-859F-49BDA8503137}"/>
    <cellStyle name="Millares 9 3 2 7 2" xfId="9044" xr:uid="{926E3343-55FF-434E-AC86-78BD54A34FF0}"/>
    <cellStyle name="Millares 9 3 2 8" xfId="2977" xr:uid="{FF0C1DB2-7B30-4C56-90C0-1257BA79B922}"/>
    <cellStyle name="Millares 9 3 2 9" xfId="7833" xr:uid="{F53B81B6-87C6-47E5-8854-A22FFE5BC29A}"/>
    <cellStyle name="Millares 9 3 3" xfId="1694" xr:uid="{38FAA249-2F8D-4C3C-98F2-07A3BDA49DFE}"/>
    <cellStyle name="Millares 9 3 3 2" xfId="1695" xr:uid="{D6FEE939-BD71-46B4-9D4A-005F1317D5E5}"/>
    <cellStyle name="Millares 9 3 3 2 2" xfId="1696" xr:uid="{0A9B8BC7-F435-4976-B3EA-609F99A3EC0D}"/>
    <cellStyle name="Millares 9 3 3 2 2 2" xfId="2365" xr:uid="{4F5C4D76-274B-4A34-BB11-C0FFE1B28368}"/>
    <cellStyle name="Millares 9 3 3 2 2 2 2" xfId="6011" xr:uid="{4760CE4C-CDF7-4477-A258-4E83686686EF}"/>
    <cellStyle name="Millares 9 3 3 2 2 2 2 2" xfId="10863" xr:uid="{164CAC4C-BAFC-4A0F-9525-DC046C155C05}"/>
    <cellStyle name="Millares 9 3 3 2 2 2 3" xfId="7227" xr:uid="{3D1F1999-A1DE-4879-ABB5-3D6BBE97E93F}"/>
    <cellStyle name="Millares 9 3 3 2 2 2 3 2" xfId="12075" xr:uid="{4D75FC8F-690D-4604-97DC-4DD8759B7833}"/>
    <cellStyle name="Millares 9 3 3 2 2 2 4" xfId="4800" xr:uid="{5AD91CF4-EE3C-41EF-85FC-BE30163EE4AE}"/>
    <cellStyle name="Millares 9 3 3 2 2 2 4 2" xfId="9654" xr:uid="{30C908C9-76AF-44BD-B562-CFFD2255B18C}"/>
    <cellStyle name="Millares 9 3 3 2 2 2 5" xfId="3588" xr:uid="{F944140C-8951-4DE7-947E-623AC42DA795}"/>
    <cellStyle name="Millares 9 3 3 2 2 2 6" xfId="8444" xr:uid="{12E1D9AB-4521-4A01-890B-5109EBA721E4}"/>
    <cellStyle name="Millares 9 3 3 2 2 3" xfId="5406" xr:uid="{1DF8307F-9905-4700-88E1-E8478D6B6458}"/>
    <cellStyle name="Millares 9 3 3 2 2 3 2" xfId="10258" xr:uid="{54702131-7262-48B0-A044-7E5E6862F4C5}"/>
    <cellStyle name="Millares 9 3 3 2 2 4" xfId="6620" xr:uid="{80F8FE65-4FF3-4831-A6F2-84E30CD48F85}"/>
    <cellStyle name="Millares 9 3 3 2 2 4 2" xfId="11469" xr:uid="{685E933A-0AF7-4804-A23B-726FA5633463}"/>
    <cellStyle name="Millares 9 3 3 2 2 5" xfId="4196" xr:uid="{151CE89C-37B1-48D2-B7D1-325B62DE2696}"/>
    <cellStyle name="Millares 9 3 3 2 2 5 2" xfId="9050" xr:uid="{54E58DCD-A08C-451C-A500-11CE2D6E7A74}"/>
    <cellStyle name="Millares 9 3 3 2 2 6" xfId="2983" xr:uid="{AEE387AE-14BC-4C8A-A7F6-38B9EBD4001D}"/>
    <cellStyle name="Millares 9 3 3 2 2 7" xfId="7839" xr:uid="{FAAB2BA9-BD5A-4E7D-A0F5-E772F299BD5F}"/>
    <cellStyle name="Millares 9 3 3 2 3" xfId="2364" xr:uid="{728CB0B1-8585-41F5-AC21-827A1AFC7694}"/>
    <cellStyle name="Millares 9 3 3 2 3 2" xfId="6010" xr:uid="{ACAA189E-C237-4AFF-B369-875D95BA4DDA}"/>
    <cellStyle name="Millares 9 3 3 2 3 2 2" xfId="10862" xr:uid="{828946C7-519E-4446-AF4E-6845AB6D4160}"/>
    <cellStyle name="Millares 9 3 3 2 3 3" xfId="7226" xr:uid="{5B65B8BA-C5F7-4E62-A27C-061D097F6C4A}"/>
    <cellStyle name="Millares 9 3 3 2 3 3 2" xfId="12074" xr:uid="{C29ABA9E-1575-40B2-8C73-615D04834EE1}"/>
    <cellStyle name="Millares 9 3 3 2 3 4" xfId="4799" xr:uid="{B888B6C7-2057-4BC5-87A6-001707E5063C}"/>
    <cellStyle name="Millares 9 3 3 2 3 4 2" xfId="9653" xr:uid="{D18C429D-A6D2-4FFE-951A-5EAB2D10F026}"/>
    <cellStyle name="Millares 9 3 3 2 3 5" xfId="3587" xr:uid="{A9E8E071-6D53-4FA0-8DFB-E909CAD2064D}"/>
    <cellStyle name="Millares 9 3 3 2 3 6" xfId="8443" xr:uid="{EF2EFE99-2196-4688-8E71-D15E952D9C49}"/>
    <cellStyle name="Millares 9 3 3 2 4" xfId="5405" xr:uid="{86987882-475A-468E-8F87-39BD12D39769}"/>
    <cellStyle name="Millares 9 3 3 2 4 2" xfId="10257" xr:uid="{0C7C180D-5A3D-4A3F-B423-1D6B6475F356}"/>
    <cellStyle name="Millares 9 3 3 2 5" xfId="6619" xr:uid="{355E2026-94E6-4359-99FD-F972EBD9CB8C}"/>
    <cellStyle name="Millares 9 3 3 2 5 2" xfId="11468" xr:uid="{8865C914-0A1E-4344-97BD-47B0646457F9}"/>
    <cellStyle name="Millares 9 3 3 2 6" xfId="4195" xr:uid="{B1AF7AD8-81E0-48DD-B782-AFC760881ABC}"/>
    <cellStyle name="Millares 9 3 3 2 6 2" xfId="9049" xr:uid="{83740678-7AD6-497C-AA54-F88AE38A1176}"/>
    <cellStyle name="Millares 9 3 3 2 7" xfId="2982" xr:uid="{7D8AE863-CBA3-4ED6-AEEE-837A8F85CAC6}"/>
    <cellStyle name="Millares 9 3 3 2 8" xfId="7838" xr:uid="{99920D9D-3C0E-4141-AE5C-0928DDAB3C82}"/>
    <cellStyle name="Millares 9 3 3 3" xfId="1697" xr:uid="{1DCA0A54-2456-4A6D-8EB5-5EF453308D79}"/>
    <cellStyle name="Millares 9 3 3 3 2" xfId="2366" xr:uid="{7B0A8CB3-4E18-4047-97D2-703556523ABD}"/>
    <cellStyle name="Millares 9 3 3 3 2 2" xfId="6012" xr:uid="{68E19FEF-B75E-4F96-B444-1E963AF5882F}"/>
    <cellStyle name="Millares 9 3 3 3 2 2 2" xfId="10864" xr:uid="{BC010EAD-3D2A-41EB-A1F2-614B90537796}"/>
    <cellStyle name="Millares 9 3 3 3 2 3" xfId="7228" xr:uid="{2C086BFF-900B-430E-99AD-FF5D9877463D}"/>
    <cellStyle name="Millares 9 3 3 3 2 3 2" xfId="12076" xr:uid="{D67FB765-A6ED-4947-9092-AED382BC27FD}"/>
    <cellStyle name="Millares 9 3 3 3 2 4" xfId="4801" xr:uid="{2538D17F-554C-4B76-8AC1-4AB04946EC71}"/>
    <cellStyle name="Millares 9 3 3 3 2 4 2" xfId="9655" xr:uid="{79C42DB0-7730-4B84-A1A6-E4A850D57756}"/>
    <cellStyle name="Millares 9 3 3 3 2 5" xfId="3589" xr:uid="{1CBB3E55-7FFD-4230-85EE-C14A23E5FF28}"/>
    <cellStyle name="Millares 9 3 3 3 2 6" xfId="8445" xr:uid="{0318B16D-13A6-44DD-80DB-553720C6C37C}"/>
    <cellStyle name="Millares 9 3 3 3 3" xfId="5407" xr:uid="{E9EFBDDE-F0EA-4167-B4F8-96C6EDF55A4E}"/>
    <cellStyle name="Millares 9 3 3 3 3 2" xfId="10259" xr:uid="{54A47C53-948E-425F-80B7-594EDFEB11F1}"/>
    <cellStyle name="Millares 9 3 3 3 4" xfId="6621" xr:uid="{CA9E299F-C259-453F-92A4-CDF76023306B}"/>
    <cellStyle name="Millares 9 3 3 3 4 2" xfId="11470" xr:uid="{E00D7E64-97F4-4372-B6A9-3C8AAFDE7640}"/>
    <cellStyle name="Millares 9 3 3 3 5" xfId="4197" xr:uid="{3F2EAE2B-C92F-479B-9E2F-E02D84449AA1}"/>
    <cellStyle name="Millares 9 3 3 3 5 2" xfId="9051" xr:uid="{19D3B5DF-6B12-427D-9C3F-2E3ED266D871}"/>
    <cellStyle name="Millares 9 3 3 3 6" xfId="2984" xr:uid="{842C2549-7853-4BBA-815E-BCFB4C44477A}"/>
    <cellStyle name="Millares 9 3 3 3 7" xfId="7840" xr:uid="{050C4543-BBE3-4EEE-9B6D-EDBE0AA75FED}"/>
    <cellStyle name="Millares 9 3 3 4" xfId="2363" xr:uid="{17CF98A0-6824-4D89-A504-C7741BD5A2C8}"/>
    <cellStyle name="Millares 9 3 3 4 2" xfId="6009" xr:uid="{C75D9479-C53E-4B76-9AEB-FFE25FE51156}"/>
    <cellStyle name="Millares 9 3 3 4 2 2" xfId="10861" xr:uid="{797C445C-DCB8-417A-8691-3DDB54CE4E7E}"/>
    <cellStyle name="Millares 9 3 3 4 3" xfId="7225" xr:uid="{6BC3FE2A-3D20-4146-AEE1-0FA58BB26BB9}"/>
    <cellStyle name="Millares 9 3 3 4 3 2" xfId="12073" xr:uid="{528D9F34-7A54-49F4-8C30-5F7264077C2E}"/>
    <cellStyle name="Millares 9 3 3 4 4" xfId="4798" xr:uid="{58A7652C-34CB-4A8C-BD95-6C7632113EF3}"/>
    <cellStyle name="Millares 9 3 3 4 4 2" xfId="9652" xr:uid="{1F2FEEF7-62E3-4F69-81CF-932B38C0F5AA}"/>
    <cellStyle name="Millares 9 3 3 4 5" xfId="3586" xr:uid="{EDD26B14-444D-43B6-B206-D2B9B996E564}"/>
    <cellStyle name="Millares 9 3 3 4 6" xfId="8442" xr:uid="{621CCA3A-864E-4860-AA90-0F74FD0C69B2}"/>
    <cellStyle name="Millares 9 3 3 5" xfId="5404" xr:uid="{5EBA202D-CC1A-4EE6-98C0-6A0A35AC615B}"/>
    <cellStyle name="Millares 9 3 3 5 2" xfId="10256" xr:uid="{347391A5-3286-42C7-A34D-FC32E035D260}"/>
    <cellStyle name="Millares 9 3 3 6" xfId="6618" xr:uid="{A9DD5710-AFFB-47CE-BC07-94F075FB4613}"/>
    <cellStyle name="Millares 9 3 3 6 2" xfId="11467" xr:uid="{6ADE153A-A6F7-4C66-B878-B277ACC21238}"/>
    <cellStyle name="Millares 9 3 3 7" xfId="4194" xr:uid="{E49809ED-8F2D-478D-A107-D2FF9CB5E9AE}"/>
    <cellStyle name="Millares 9 3 3 7 2" xfId="9048" xr:uid="{4816A270-23B7-45BC-8AEE-4ABC4E6499F2}"/>
    <cellStyle name="Millares 9 3 3 8" xfId="2981" xr:uid="{0C9EB4D1-922E-48BA-AE29-6474AF3AD11F}"/>
    <cellStyle name="Millares 9 3 3 9" xfId="7837" xr:uid="{8DFB86DD-7342-451B-844C-71F0A82F34F5}"/>
    <cellStyle name="Millares 9 3 4" xfId="1698" xr:uid="{0ABD611C-EFD2-490F-A20F-24D3193D0AF2}"/>
    <cellStyle name="Millares 9 3 4 2" xfId="1699" xr:uid="{B5720EC5-9A28-4AC3-9829-9541784BEB5F}"/>
    <cellStyle name="Millares 9 3 4 2 2" xfId="2368" xr:uid="{90145B47-3D7C-45B5-B04C-95102B9AB7D9}"/>
    <cellStyle name="Millares 9 3 4 2 2 2" xfId="6014" xr:uid="{F80EF0B2-4189-4BF0-8FC4-6BCF061221EA}"/>
    <cellStyle name="Millares 9 3 4 2 2 2 2" xfId="10866" xr:uid="{B7F30038-6CE8-4F33-8CAE-5D791BFE8AB2}"/>
    <cellStyle name="Millares 9 3 4 2 2 3" xfId="7230" xr:uid="{5FB21662-31EA-40BC-AACF-A1739CC92268}"/>
    <cellStyle name="Millares 9 3 4 2 2 3 2" xfId="12078" xr:uid="{18F00AC3-F5F0-4B04-BE8E-833C805E3987}"/>
    <cellStyle name="Millares 9 3 4 2 2 4" xfId="4803" xr:uid="{9CCA6506-B8B7-4667-B679-63F2E010A721}"/>
    <cellStyle name="Millares 9 3 4 2 2 4 2" xfId="9657" xr:uid="{2CB4DEEA-E22B-48C3-9F66-F48333DE1025}"/>
    <cellStyle name="Millares 9 3 4 2 2 5" xfId="3591" xr:uid="{D6E35046-04DB-4AB8-B6DA-11E5F59228F0}"/>
    <cellStyle name="Millares 9 3 4 2 2 6" xfId="8447" xr:uid="{A0CC76B6-77CC-47F2-BB2E-E463EE1332C2}"/>
    <cellStyle name="Millares 9 3 4 2 3" xfId="5409" xr:uid="{8E3B6DFE-F1B2-456E-A264-844029457D4D}"/>
    <cellStyle name="Millares 9 3 4 2 3 2" xfId="10261" xr:uid="{808C7BD1-B23D-4676-A624-333D4BC33682}"/>
    <cellStyle name="Millares 9 3 4 2 4" xfId="6623" xr:uid="{C91A5F6D-26CB-40F0-972E-462157240915}"/>
    <cellStyle name="Millares 9 3 4 2 4 2" xfId="11472" xr:uid="{BA9CB248-2DFF-4F52-B1F9-926ACD82E830}"/>
    <cellStyle name="Millares 9 3 4 2 5" xfId="4199" xr:uid="{504BB335-4E55-4D4A-881A-663C4A10FA95}"/>
    <cellStyle name="Millares 9 3 4 2 5 2" xfId="9053" xr:uid="{BE0BA587-9FD6-4186-9FE3-8D2460F54D9A}"/>
    <cellStyle name="Millares 9 3 4 2 6" xfId="2986" xr:uid="{6F02B327-4848-48C3-AAE3-9C41E8657E0E}"/>
    <cellStyle name="Millares 9 3 4 2 7" xfId="7842" xr:uid="{C3B34D27-59EB-44D6-8EE2-26DA4313FEF7}"/>
    <cellStyle name="Millares 9 3 4 3" xfId="2367" xr:uid="{5529F3C9-A609-4839-A5D1-070699699DC2}"/>
    <cellStyle name="Millares 9 3 4 3 2" xfId="6013" xr:uid="{19CC3E28-57AD-41B7-A1F8-588072EC02FF}"/>
    <cellStyle name="Millares 9 3 4 3 2 2" xfId="10865" xr:uid="{871EECFA-0223-41A5-8090-75657310DC70}"/>
    <cellStyle name="Millares 9 3 4 3 3" xfId="7229" xr:uid="{38BCEBBE-F037-411D-8D2E-6ACA658297B8}"/>
    <cellStyle name="Millares 9 3 4 3 3 2" xfId="12077" xr:uid="{7781B7A1-8FB2-49C9-B17B-96708978FDC9}"/>
    <cellStyle name="Millares 9 3 4 3 4" xfId="4802" xr:uid="{4DC52995-F52F-4B0E-830E-2890875CFEB2}"/>
    <cellStyle name="Millares 9 3 4 3 4 2" xfId="9656" xr:uid="{1BE46A41-FE19-44F1-8C75-5703EF9A3A71}"/>
    <cellStyle name="Millares 9 3 4 3 5" xfId="3590" xr:uid="{E88A8FB1-9D92-48A1-AD48-CA025718BA8D}"/>
    <cellStyle name="Millares 9 3 4 3 6" xfId="8446" xr:uid="{BAEAA81C-6517-4B33-BF22-B6A8C360D4CE}"/>
    <cellStyle name="Millares 9 3 4 4" xfId="5408" xr:uid="{AC038ED6-D95B-47B0-8143-1CE4D4B522A3}"/>
    <cellStyle name="Millares 9 3 4 4 2" xfId="10260" xr:uid="{3BA48EEA-5C5E-42E8-8239-FC80AB43CBB4}"/>
    <cellStyle name="Millares 9 3 4 5" xfId="6622" xr:uid="{ED890AA2-8317-4AF9-9003-353CF03CF644}"/>
    <cellStyle name="Millares 9 3 4 5 2" xfId="11471" xr:uid="{3EE52B54-7230-4871-ADD6-1378EB4A8D55}"/>
    <cellStyle name="Millares 9 3 4 6" xfId="4198" xr:uid="{6DDD991B-7E60-40C1-BF47-4F03F5B9F2DB}"/>
    <cellStyle name="Millares 9 3 4 6 2" xfId="9052" xr:uid="{752F0901-7A4C-4757-AACE-DD2CAC488F39}"/>
    <cellStyle name="Millares 9 3 4 7" xfId="2985" xr:uid="{D663E7F4-9251-4667-BFEF-D300553AD3B1}"/>
    <cellStyle name="Millares 9 3 4 8" xfId="7841" xr:uid="{4FA255AB-D81F-4E94-93DB-32DCD2CF1338}"/>
    <cellStyle name="Millares 9 3 5" xfId="1700" xr:uid="{07FB56E3-DCF8-4EE7-9E2A-C3ECC6DEE3B2}"/>
    <cellStyle name="Millares 9 3 5 2" xfId="2369" xr:uid="{528C7F3E-0F79-43C7-8212-CFC172A1DDF0}"/>
    <cellStyle name="Millares 9 3 5 2 2" xfId="6015" xr:uid="{7BCD4B16-CF8A-476F-BFD4-057DFCB295B9}"/>
    <cellStyle name="Millares 9 3 5 2 2 2" xfId="10867" xr:uid="{A166AE54-FF8D-4B80-9C16-4EA57891572F}"/>
    <cellStyle name="Millares 9 3 5 2 3" xfId="7231" xr:uid="{AC0FA32E-3AC5-4FBF-BD93-529C1B651014}"/>
    <cellStyle name="Millares 9 3 5 2 3 2" xfId="12079" xr:uid="{29CC41EC-E505-486D-BF05-CA958DF7A199}"/>
    <cellStyle name="Millares 9 3 5 2 4" xfId="4804" xr:uid="{D66D3324-C1C5-4E4B-A6B6-52F7D87141E9}"/>
    <cellStyle name="Millares 9 3 5 2 4 2" xfId="9658" xr:uid="{0A2685B4-DD38-41CD-859B-8BE8D84F629B}"/>
    <cellStyle name="Millares 9 3 5 2 5" xfId="3592" xr:uid="{942D9C02-ADED-4F19-BC31-F8FE1DB2F079}"/>
    <cellStyle name="Millares 9 3 5 2 6" xfId="8448" xr:uid="{86198C63-B19D-4752-BCB9-04CAE7EF6D30}"/>
    <cellStyle name="Millares 9 3 5 3" xfId="5410" xr:uid="{2DE1762A-5BDC-4DD8-9E2C-799BE75D8C7C}"/>
    <cellStyle name="Millares 9 3 5 3 2" xfId="10262" xr:uid="{47BBA3E6-2FDD-452A-B168-27E7C85C05B9}"/>
    <cellStyle name="Millares 9 3 5 4" xfId="6624" xr:uid="{28179F0B-232D-459F-B01E-0CA2FD6D16CA}"/>
    <cellStyle name="Millares 9 3 5 4 2" xfId="11473" xr:uid="{59DC5F27-AD53-4D1F-BF39-B5846E8BBB88}"/>
    <cellStyle name="Millares 9 3 5 5" xfId="4200" xr:uid="{165DF305-8FE4-43D7-BDF0-5CBA14DD79D7}"/>
    <cellStyle name="Millares 9 3 5 5 2" xfId="9054" xr:uid="{16C4F6B1-C519-4358-A1FB-60D8A7C97FBA}"/>
    <cellStyle name="Millares 9 3 5 6" xfId="2987" xr:uid="{40607821-E196-47AA-B86F-33948FC98292}"/>
    <cellStyle name="Millares 9 3 5 7" xfId="7843" xr:uid="{1E9E704D-AF37-42C8-AF77-2CCB7323D166}"/>
    <cellStyle name="Millares 9 3 6" xfId="2358" xr:uid="{9FFCCE13-2FDA-423A-8A7B-1CE1374F8579}"/>
    <cellStyle name="Millares 9 3 6 2" xfId="6004" xr:uid="{FEC7850F-5FE3-4A60-A6EC-A9857C91886C}"/>
    <cellStyle name="Millares 9 3 6 2 2" xfId="10856" xr:uid="{A658D5BC-B4B6-4306-89E9-F3C9CAA2E3A5}"/>
    <cellStyle name="Millares 9 3 6 3" xfId="7220" xr:uid="{A7202586-B0B2-4F06-9673-6AAB2040052E}"/>
    <cellStyle name="Millares 9 3 6 3 2" xfId="12068" xr:uid="{8422C398-B32F-4C2C-9CDE-E0BBAB29A0E8}"/>
    <cellStyle name="Millares 9 3 6 4" xfId="4793" xr:uid="{BED3F9A3-FB5F-4A95-A55E-9C75705EA3BD}"/>
    <cellStyle name="Millares 9 3 6 4 2" xfId="9647" xr:uid="{A60957F0-E051-4D4E-8DA9-336724982B49}"/>
    <cellStyle name="Millares 9 3 6 5" xfId="3581" xr:uid="{B0A05251-CE1F-4AA4-BDF3-715EBB5405C1}"/>
    <cellStyle name="Millares 9 3 6 6" xfId="8437" xr:uid="{8CEBA9C4-DCBC-4A4B-B7BC-449F29A2C99C}"/>
    <cellStyle name="Millares 9 3 7" xfId="5399" xr:uid="{6E105F62-EC59-484B-BB56-D22D1D91C2C2}"/>
    <cellStyle name="Millares 9 3 7 2" xfId="10251" xr:uid="{8BD25488-14ED-47B0-BB42-81EACF6F5F9D}"/>
    <cellStyle name="Millares 9 3 8" xfId="6613" xr:uid="{D4928380-B5D3-4332-8D4B-D776C3428DEA}"/>
    <cellStyle name="Millares 9 3 8 2" xfId="11462" xr:uid="{4A11416A-8D94-4A77-A290-EDA66CAA69FC}"/>
    <cellStyle name="Millares 9 3 9" xfId="4189" xr:uid="{8B4085BD-9520-4A43-BEA7-91BF2CBB11BA}"/>
    <cellStyle name="Millares 9 3 9 2" xfId="9043" xr:uid="{85BFB799-F125-40D5-A4F3-A0800E99EC9D}"/>
    <cellStyle name="Millares 9 4" xfId="1701" xr:uid="{9D285250-9409-45AC-9F5A-7412AD1DB5AC}"/>
    <cellStyle name="Millares 9 4 2" xfId="1702" xr:uid="{81037AE6-7D3D-4592-8006-4D5E59CB8A0D}"/>
    <cellStyle name="Millares 9 4 2 2" xfId="1703" xr:uid="{4CFAEBBE-8E25-4090-8B85-0C9B76CFF3AB}"/>
    <cellStyle name="Millares 9 4 2 2 2" xfId="2372" xr:uid="{F832FF16-C76B-4682-8123-AAA32638B7DB}"/>
    <cellStyle name="Millares 9 4 2 2 2 2" xfId="6018" xr:uid="{DCF26001-C513-427E-AB76-C7FFF753E19E}"/>
    <cellStyle name="Millares 9 4 2 2 2 2 2" xfId="10870" xr:uid="{0BB2EED1-470C-4C47-BFB5-52BE691C64D3}"/>
    <cellStyle name="Millares 9 4 2 2 2 3" xfId="7234" xr:uid="{DE35E4AC-E966-4F5E-9F88-8B8BCF9F246A}"/>
    <cellStyle name="Millares 9 4 2 2 2 3 2" xfId="12082" xr:uid="{78123331-EAEE-435C-8BFD-E360554B7A46}"/>
    <cellStyle name="Millares 9 4 2 2 2 4" xfId="4807" xr:uid="{7D62C622-3718-4C43-A715-54161B6321F9}"/>
    <cellStyle name="Millares 9 4 2 2 2 4 2" xfId="9661" xr:uid="{0F15FC0E-ACCF-4E75-B79E-07624B3FE75E}"/>
    <cellStyle name="Millares 9 4 2 2 2 5" xfId="3595" xr:uid="{8A5E953D-01C7-4B63-957A-D223BC30691E}"/>
    <cellStyle name="Millares 9 4 2 2 2 6" xfId="8451" xr:uid="{E6D74FBA-9415-45E0-BB76-9A063207F21F}"/>
    <cellStyle name="Millares 9 4 2 2 3" xfId="5413" xr:uid="{771157E7-9097-4C88-BFE6-1DCD09E86243}"/>
    <cellStyle name="Millares 9 4 2 2 3 2" xfId="10265" xr:uid="{BA19C58C-0EC4-4DB5-9A1C-18013E05B4B4}"/>
    <cellStyle name="Millares 9 4 2 2 4" xfId="6627" xr:uid="{BFAD9FCF-F24A-4C8F-8822-7390A9B7BE15}"/>
    <cellStyle name="Millares 9 4 2 2 4 2" xfId="11476" xr:uid="{B1355068-A920-409E-84E4-7DD7C1952D5D}"/>
    <cellStyle name="Millares 9 4 2 2 5" xfId="4203" xr:uid="{566B8B7E-AA1A-484C-9376-234AD4F79B1C}"/>
    <cellStyle name="Millares 9 4 2 2 5 2" xfId="9057" xr:uid="{73F0D834-7EBD-4D61-B96A-5CBAA1988405}"/>
    <cellStyle name="Millares 9 4 2 2 6" xfId="2990" xr:uid="{E258C5BE-8EE1-4AF0-9EBA-C2E50FDA72EC}"/>
    <cellStyle name="Millares 9 4 2 2 7" xfId="7846" xr:uid="{40DB0427-623E-4697-93BB-F1581B9E093B}"/>
    <cellStyle name="Millares 9 4 2 3" xfId="2371" xr:uid="{08924E30-30E6-409C-A5CD-A25178B72871}"/>
    <cellStyle name="Millares 9 4 2 3 2" xfId="6017" xr:uid="{E6EE5F16-6558-44F0-AB51-A0A9EF89A8B2}"/>
    <cellStyle name="Millares 9 4 2 3 2 2" xfId="10869" xr:uid="{237A48D3-543D-4096-8FBF-A952DD8436C6}"/>
    <cellStyle name="Millares 9 4 2 3 3" xfId="7233" xr:uid="{0562AD9D-AA44-46F4-A5CF-94CE749E3F78}"/>
    <cellStyle name="Millares 9 4 2 3 3 2" xfId="12081" xr:uid="{6A50F8D8-3202-4674-A0E4-21EF065A0612}"/>
    <cellStyle name="Millares 9 4 2 3 4" xfId="4806" xr:uid="{34E4331F-AF26-4527-8F2B-78C0AB4F77FF}"/>
    <cellStyle name="Millares 9 4 2 3 4 2" xfId="9660" xr:uid="{1A4C4DFB-AAC9-4A21-89E6-F4EC2A2E807A}"/>
    <cellStyle name="Millares 9 4 2 3 5" xfId="3594" xr:uid="{F0A9F27D-CDF8-4599-96E6-ABA27F29DAD9}"/>
    <cellStyle name="Millares 9 4 2 3 6" xfId="8450" xr:uid="{6D30A505-181B-452D-850B-E4DC09367A57}"/>
    <cellStyle name="Millares 9 4 2 4" xfId="5412" xr:uid="{1165AC56-359F-4133-B360-E7ECAE9CB4F3}"/>
    <cellStyle name="Millares 9 4 2 4 2" xfId="10264" xr:uid="{B6E3402D-098A-486C-858B-92571FEC68AD}"/>
    <cellStyle name="Millares 9 4 2 5" xfId="6626" xr:uid="{3EC04F2D-347E-41F8-AA9C-5AA4E4CF4678}"/>
    <cellStyle name="Millares 9 4 2 5 2" xfId="11475" xr:uid="{1EEBEAF4-E9F7-4175-BE75-F66C332152F5}"/>
    <cellStyle name="Millares 9 4 2 6" xfId="4202" xr:uid="{DB74E997-CC5C-49FA-B18A-9FF63A69DAF4}"/>
    <cellStyle name="Millares 9 4 2 6 2" xfId="9056" xr:uid="{8881D1B8-375A-45CB-B406-61CFD1E4A9EC}"/>
    <cellStyle name="Millares 9 4 2 7" xfId="2989" xr:uid="{C9E53228-2A17-402D-86ED-D4926C2133D8}"/>
    <cellStyle name="Millares 9 4 2 8" xfId="7845" xr:uid="{7081E72B-6B8B-4683-B474-CA8F463009DB}"/>
    <cellStyle name="Millares 9 4 3" xfId="1704" xr:uid="{C865077B-ACA2-4FA0-B20D-25B44DD69076}"/>
    <cellStyle name="Millares 9 4 3 2" xfId="2373" xr:uid="{67143FB7-37F8-4406-B9D0-5B4485679A0D}"/>
    <cellStyle name="Millares 9 4 3 2 2" xfId="6019" xr:uid="{C9912F32-7492-4D0F-B52F-8751977C27CB}"/>
    <cellStyle name="Millares 9 4 3 2 2 2" xfId="10871" xr:uid="{C2CD835C-8C63-4C74-B70F-A762BA34038D}"/>
    <cellStyle name="Millares 9 4 3 2 3" xfId="7235" xr:uid="{6DAE62CE-9A62-4797-917B-D93D52F4048A}"/>
    <cellStyle name="Millares 9 4 3 2 3 2" xfId="12083" xr:uid="{341F68F5-3DBA-4A3E-B174-A52561FB3B7F}"/>
    <cellStyle name="Millares 9 4 3 2 4" xfId="4808" xr:uid="{400EB15A-5EF7-4BDD-96FD-8E1443827E7A}"/>
    <cellStyle name="Millares 9 4 3 2 4 2" xfId="9662" xr:uid="{D550596D-DDE6-4FDF-9CB3-93F2CA5799C8}"/>
    <cellStyle name="Millares 9 4 3 2 5" xfId="3596" xr:uid="{25214D7F-0D37-460B-BFE4-2F1E41D99AD2}"/>
    <cellStyle name="Millares 9 4 3 2 6" xfId="8452" xr:uid="{F6BD746E-3532-466D-9948-F7F1C4323A2F}"/>
    <cellStyle name="Millares 9 4 3 3" xfId="5414" xr:uid="{0291AD17-737A-4F61-8830-1A32EDA28150}"/>
    <cellStyle name="Millares 9 4 3 3 2" xfId="10266" xr:uid="{1CE17A67-6C5F-455B-8E9B-6EFCFFC4F3A7}"/>
    <cellStyle name="Millares 9 4 3 4" xfId="6628" xr:uid="{7CC526D1-BB49-4403-BCEB-980CBEE6CCF2}"/>
    <cellStyle name="Millares 9 4 3 4 2" xfId="11477" xr:uid="{77E236CC-F979-4F9E-A848-EF6C882ADC88}"/>
    <cellStyle name="Millares 9 4 3 5" xfId="4204" xr:uid="{468A25A4-8811-4DC6-AAA2-ABD544F915CA}"/>
    <cellStyle name="Millares 9 4 3 5 2" xfId="9058" xr:uid="{E41A3B70-7526-4142-9335-E058E9500A82}"/>
    <cellStyle name="Millares 9 4 3 6" xfId="2991" xr:uid="{A7B4FA71-E1FE-4F50-A9AA-E8C39805C768}"/>
    <cellStyle name="Millares 9 4 3 7" xfId="7847" xr:uid="{045A7EA4-90FC-4EB1-8490-CD44693F924B}"/>
    <cellStyle name="Millares 9 4 4" xfId="2370" xr:uid="{76F3A1F8-AC95-4A9E-848B-5EEED2FAB12D}"/>
    <cellStyle name="Millares 9 4 4 2" xfId="6016" xr:uid="{309744A0-B1B2-4A74-8FB4-41312579DDDD}"/>
    <cellStyle name="Millares 9 4 4 2 2" xfId="10868" xr:uid="{D7F0F607-1902-480D-93A5-D2158B088052}"/>
    <cellStyle name="Millares 9 4 4 3" xfId="7232" xr:uid="{1A344226-032E-46C6-9941-971B64F6324F}"/>
    <cellStyle name="Millares 9 4 4 3 2" xfId="12080" xr:uid="{682CB685-B88D-4E12-B5AA-DA31DA0D8AB6}"/>
    <cellStyle name="Millares 9 4 4 4" xfId="4805" xr:uid="{12BCEDE2-9289-48AB-8F8F-9C023A59F24B}"/>
    <cellStyle name="Millares 9 4 4 4 2" xfId="9659" xr:uid="{FE946B65-2F41-4610-8F97-69B31F09C418}"/>
    <cellStyle name="Millares 9 4 4 5" xfId="3593" xr:uid="{2A4F96D6-F55C-4696-87E2-F7A3E8C5D5B6}"/>
    <cellStyle name="Millares 9 4 4 6" xfId="8449" xr:uid="{E53E9002-73D8-4D48-BDDC-B1CB958FA0E7}"/>
    <cellStyle name="Millares 9 4 5" xfId="5411" xr:uid="{F1A91AC7-79EC-4258-99D5-B9B47FDD9BF5}"/>
    <cellStyle name="Millares 9 4 5 2" xfId="10263" xr:uid="{B4DB1AF7-E80F-46C0-847B-ABB1D3E3529B}"/>
    <cellStyle name="Millares 9 4 6" xfId="6625" xr:uid="{BA9516F3-4DC4-48D3-AA94-B86064D8E9D6}"/>
    <cellStyle name="Millares 9 4 6 2" xfId="11474" xr:uid="{35D8136A-3F4E-4762-A963-9392B8D97A8B}"/>
    <cellStyle name="Millares 9 4 7" xfId="4201" xr:uid="{5572BCB4-1AE5-449C-9C03-7404B6181646}"/>
    <cellStyle name="Millares 9 4 7 2" xfId="9055" xr:uid="{3D44B56C-7797-478B-9CEC-6D3421D08666}"/>
    <cellStyle name="Millares 9 4 8" xfId="2988" xr:uid="{E0ED72E8-02F0-4829-9696-0DBEC3E75052}"/>
    <cellStyle name="Millares 9 4 9" xfId="7844" xr:uid="{DF25AF08-6322-436E-96A6-0C981F23D263}"/>
    <cellStyle name="Millares 9 5" xfId="1705" xr:uid="{C6DB295F-84C3-4ECB-A29C-BAA149D122DC}"/>
    <cellStyle name="Millares 9 5 2" xfId="1706" xr:uid="{462F79A7-AD1E-4922-96D4-27F72522B8F6}"/>
    <cellStyle name="Millares 9 5 2 2" xfId="1707" xr:uid="{2953B375-AEB0-4F9B-A75A-DFE9FD8F09EB}"/>
    <cellStyle name="Millares 9 5 2 2 2" xfId="2376" xr:uid="{F6F3529A-134A-48A6-BB34-0A1136F2DEFE}"/>
    <cellStyle name="Millares 9 5 2 2 2 2" xfId="6022" xr:uid="{116D7FB3-23E2-424D-8155-67177170AED4}"/>
    <cellStyle name="Millares 9 5 2 2 2 2 2" xfId="10874" xr:uid="{C19A4E8F-3CD8-472A-949E-467269AA3B2B}"/>
    <cellStyle name="Millares 9 5 2 2 2 3" xfId="7238" xr:uid="{04555CDE-084C-4708-A205-C95AF1F0BD58}"/>
    <cellStyle name="Millares 9 5 2 2 2 3 2" xfId="12086" xr:uid="{ED7E41E1-9A0A-4D2F-A0B5-C3C47FF8AC46}"/>
    <cellStyle name="Millares 9 5 2 2 2 4" xfId="4811" xr:uid="{4FCE385C-6621-4825-A05D-49593DB603B6}"/>
    <cellStyle name="Millares 9 5 2 2 2 4 2" xfId="9665" xr:uid="{6BEA69B0-BF25-4AD5-9C7A-FED82BAFE5D7}"/>
    <cellStyle name="Millares 9 5 2 2 2 5" xfId="3599" xr:uid="{13C8754B-60F6-40BA-8672-6DDB9A44F84E}"/>
    <cellStyle name="Millares 9 5 2 2 2 6" xfId="8455" xr:uid="{17892964-72E2-4869-B2D5-D4C882BC6AD6}"/>
    <cellStyle name="Millares 9 5 2 2 3" xfId="5417" xr:uid="{07BED12C-C8D3-4D31-83A8-5109BECE41CD}"/>
    <cellStyle name="Millares 9 5 2 2 3 2" xfId="10269" xr:uid="{002A498A-63D1-4952-A92F-A4F8878860ED}"/>
    <cellStyle name="Millares 9 5 2 2 4" xfId="6631" xr:uid="{43E99889-3AD4-4280-8F1D-DF392F2CFDC4}"/>
    <cellStyle name="Millares 9 5 2 2 4 2" xfId="11480" xr:uid="{9A2A8430-D8F7-486B-A621-E5430035FC43}"/>
    <cellStyle name="Millares 9 5 2 2 5" xfId="4207" xr:uid="{321EFEC7-A68D-4635-B34A-E4F5DF94C2D3}"/>
    <cellStyle name="Millares 9 5 2 2 5 2" xfId="9061" xr:uid="{C934483E-73BF-4AA3-BD63-864D7F5D13D6}"/>
    <cellStyle name="Millares 9 5 2 2 6" xfId="2994" xr:uid="{688CFF90-F07D-4426-A346-C6FCC52658C0}"/>
    <cellStyle name="Millares 9 5 2 2 7" xfId="7850" xr:uid="{47A4B152-9130-492C-AC9E-FBAEFF315FC4}"/>
    <cellStyle name="Millares 9 5 2 3" xfId="2375" xr:uid="{2594F7E6-633A-48AD-AA46-BD4FED8E069F}"/>
    <cellStyle name="Millares 9 5 2 3 2" xfId="6021" xr:uid="{26DEBCBF-5325-499B-B5C2-125ABCFCD967}"/>
    <cellStyle name="Millares 9 5 2 3 2 2" xfId="10873" xr:uid="{4BC595DD-9D09-4006-8984-39E50A5BCBE9}"/>
    <cellStyle name="Millares 9 5 2 3 3" xfId="7237" xr:uid="{7A8E126D-287B-4A84-A1E1-2481B0AF3A4E}"/>
    <cellStyle name="Millares 9 5 2 3 3 2" xfId="12085" xr:uid="{33F3A742-52A7-4856-8F89-9377A83EB1E8}"/>
    <cellStyle name="Millares 9 5 2 3 4" xfId="4810" xr:uid="{28EE2874-D976-4847-9C88-4C307C47005F}"/>
    <cellStyle name="Millares 9 5 2 3 4 2" xfId="9664" xr:uid="{CC9807CF-602A-4F8D-AFAB-C5BD70ACEC5C}"/>
    <cellStyle name="Millares 9 5 2 3 5" xfId="3598" xr:uid="{A6AEECE1-8452-4387-9C56-C42372E78AEE}"/>
    <cellStyle name="Millares 9 5 2 3 6" xfId="8454" xr:uid="{132167A0-EE60-4E5F-A2CE-F5B38D7F72BD}"/>
    <cellStyle name="Millares 9 5 2 4" xfId="5416" xr:uid="{96C96468-2EC6-4882-9E1A-204153345D43}"/>
    <cellStyle name="Millares 9 5 2 4 2" xfId="10268" xr:uid="{DC7CE27B-C4EA-4C09-AB95-FB010D30E27F}"/>
    <cellStyle name="Millares 9 5 2 5" xfId="6630" xr:uid="{435C685C-B8E4-4972-971A-074DD6F8F100}"/>
    <cellStyle name="Millares 9 5 2 5 2" xfId="11479" xr:uid="{EB1313A7-0402-4F1C-B150-CD377089478E}"/>
    <cellStyle name="Millares 9 5 2 6" xfId="4206" xr:uid="{610D8BEF-D322-4A65-9F78-8B08942C77A0}"/>
    <cellStyle name="Millares 9 5 2 6 2" xfId="9060" xr:uid="{9885D10C-627F-4A38-BE37-DAC62AC13DCB}"/>
    <cellStyle name="Millares 9 5 2 7" xfId="2993" xr:uid="{8BB6549E-C46C-4540-99BB-6A3B00DFD137}"/>
    <cellStyle name="Millares 9 5 2 8" xfId="7849" xr:uid="{FD8672CE-44AB-4422-A580-56FE9572C98F}"/>
    <cellStyle name="Millares 9 5 3" xfId="1708" xr:uid="{9057E2C0-3049-48A7-B28C-601421AED713}"/>
    <cellStyle name="Millares 9 5 3 2" xfId="2377" xr:uid="{569D03D4-91A2-4289-B8E1-3E965C181D16}"/>
    <cellStyle name="Millares 9 5 3 2 2" xfId="6023" xr:uid="{8353F71A-0D21-4AC8-BC7E-CE8B3E5284DB}"/>
    <cellStyle name="Millares 9 5 3 2 2 2" xfId="10875" xr:uid="{3A25A15A-210B-4575-9D31-E89A887958B0}"/>
    <cellStyle name="Millares 9 5 3 2 3" xfId="7239" xr:uid="{5B3057B7-A99C-4C82-889B-E17702E5F0B1}"/>
    <cellStyle name="Millares 9 5 3 2 3 2" xfId="12087" xr:uid="{CB48673F-B75A-4A6C-BA46-273F8A7152F9}"/>
    <cellStyle name="Millares 9 5 3 2 4" xfId="4812" xr:uid="{7F175E38-99FD-4B2F-923E-C643C5DD47CC}"/>
    <cellStyle name="Millares 9 5 3 2 4 2" xfId="9666" xr:uid="{3C024A57-126A-413A-BE7D-5A8FE30AAACB}"/>
    <cellStyle name="Millares 9 5 3 2 5" xfId="3600" xr:uid="{C302FB5B-55BE-4B22-AC5E-A378F99E8906}"/>
    <cellStyle name="Millares 9 5 3 2 6" xfId="8456" xr:uid="{DC3616CD-5ED7-42B9-B0FA-00FC47117A2A}"/>
    <cellStyle name="Millares 9 5 3 3" xfId="5418" xr:uid="{7E79CA3B-3885-4514-9680-9EC48A81AAFF}"/>
    <cellStyle name="Millares 9 5 3 3 2" xfId="10270" xr:uid="{D2D53DB9-DD1F-49D1-AE24-6098E0E9AC09}"/>
    <cellStyle name="Millares 9 5 3 4" xfId="6632" xr:uid="{1A4BD2BD-42B5-4A25-A726-F156DCC14337}"/>
    <cellStyle name="Millares 9 5 3 4 2" xfId="11481" xr:uid="{4376F085-D5DF-47B3-8DAC-07E74E3A0C26}"/>
    <cellStyle name="Millares 9 5 3 5" xfId="4208" xr:uid="{59DCBBA8-8677-4354-BA26-EC2B81209388}"/>
    <cellStyle name="Millares 9 5 3 5 2" xfId="9062" xr:uid="{62013BB6-65D6-4FCF-8671-05B563C7B39C}"/>
    <cellStyle name="Millares 9 5 3 6" xfId="2995" xr:uid="{4FDD5B8C-2C50-437C-A262-D63E4C365021}"/>
    <cellStyle name="Millares 9 5 3 7" xfId="7851" xr:uid="{99F8CFD7-F4D6-44FC-9CAD-5259D1C90156}"/>
    <cellStyle name="Millares 9 5 4" xfId="2374" xr:uid="{E2F1D100-7C00-4EE7-893E-CE74B861A994}"/>
    <cellStyle name="Millares 9 5 4 2" xfId="6020" xr:uid="{2972E32E-2F9C-405C-85E6-FAB19808CE75}"/>
    <cellStyle name="Millares 9 5 4 2 2" xfId="10872" xr:uid="{C3B0AEE2-7AC4-4F4E-AC92-5690D8B98683}"/>
    <cellStyle name="Millares 9 5 4 3" xfId="7236" xr:uid="{FDE00203-1631-47F7-9757-E197A08590E1}"/>
    <cellStyle name="Millares 9 5 4 3 2" xfId="12084" xr:uid="{FF5B5FE2-B774-48E4-9453-54A501518587}"/>
    <cellStyle name="Millares 9 5 4 4" xfId="4809" xr:uid="{02A54255-0EA1-40E4-9C8F-4561CCFC2F84}"/>
    <cellStyle name="Millares 9 5 4 4 2" xfId="9663" xr:uid="{50EA9A4B-A55F-455C-A5A7-8A1A5C98DB83}"/>
    <cellStyle name="Millares 9 5 4 5" xfId="3597" xr:uid="{2DAE6A54-9FA1-452C-A7EE-ADCF15A737CD}"/>
    <cellStyle name="Millares 9 5 4 6" xfId="8453" xr:uid="{DE9F0D17-0DA6-4219-AF5D-C9C1D2CB5073}"/>
    <cellStyle name="Millares 9 5 5" xfId="5415" xr:uid="{92D94C69-07D2-41E5-941B-9D26F6C9AF14}"/>
    <cellStyle name="Millares 9 5 5 2" xfId="10267" xr:uid="{160D2B36-9C98-40E6-8D45-DF57C2E66559}"/>
    <cellStyle name="Millares 9 5 6" xfId="6629" xr:uid="{3527B287-1B76-45D2-B422-ACF55C4BA65B}"/>
    <cellStyle name="Millares 9 5 6 2" xfId="11478" xr:uid="{1E7FC797-554F-4239-8BE5-2FF2F925ED35}"/>
    <cellStyle name="Millares 9 5 7" xfId="4205" xr:uid="{58E92014-981C-43BB-83A5-B9105F8BE629}"/>
    <cellStyle name="Millares 9 5 7 2" xfId="9059" xr:uid="{09F653AA-6FF8-4DE1-9BC6-138EBCF9027D}"/>
    <cellStyle name="Millares 9 5 8" xfId="2992" xr:uid="{F66DC406-AC76-4742-A9EB-B27D22272E2C}"/>
    <cellStyle name="Millares 9 5 9" xfId="7848" xr:uid="{D4D569D1-DBB6-4301-9273-C822BD6126A5}"/>
    <cellStyle name="Millares 9 6" xfId="1709" xr:uid="{6240CB4C-4D14-4E1F-86C2-D211E5100BF2}"/>
    <cellStyle name="Millares 9 6 2" xfId="1710" xr:uid="{2AC05202-9144-4E42-B356-13451FA0A975}"/>
    <cellStyle name="Millares 9 6 2 2" xfId="2379" xr:uid="{D5A87A75-5E9E-4765-991B-770CEBF0369F}"/>
    <cellStyle name="Millares 9 6 2 2 2" xfId="6025" xr:uid="{EF9E4F74-B71D-41B8-BA78-78EC4B0D5027}"/>
    <cellStyle name="Millares 9 6 2 2 2 2" xfId="10877" xr:uid="{779466C2-F798-4B5B-9F4C-3F2BF2F02319}"/>
    <cellStyle name="Millares 9 6 2 2 3" xfId="7241" xr:uid="{D736C7AC-F53C-450E-B12C-49BE008E5D23}"/>
    <cellStyle name="Millares 9 6 2 2 3 2" xfId="12089" xr:uid="{BCD79D1C-B76F-473C-B1D3-4D1CD2446E6F}"/>
    <cellStyle name="Millares 9 6 2 2 4" xfId="4814" xr:uid="{115EAE5C-4A98-4E40-B58E-FCEEA1BFFE43}"/>
    <cellStyle name="Millares 9 6 2 2 4 2" xfId="9668" xr:uid="{6FCFA80E-E69E-4F99-A3BC-D37FEC15C46C}"/>
    <cellStyle name="Millares 9 6 2 2 5" xfId="3602" xr:uid="{C6E1015E-2127-4DF1-A81F-20D8206C7AE4}"/>
    <cellStyle name="Millares 9 6 2 2 6" xfId="8458" xr:uid="{DF6B01B9-6B9D-4040-8515-8BBAC953CA80}"/>
    <cellStyle name="Millares 9 6 2 3" xfId="5420" xr:uid="{AE33B04E-C020-45DE-8CDA-C26987D8680D}"/>
    <cellStyle name="Millares 9 6 2 3 2" xfId="10272" xr:uid="{C9AF0B22-06AA-41DB-B095-709DC954EF26}"/>
    <cellStyle name="Millares 9 6 2 4" xfId="6634" xr:uid="{A6BCDBC4-9796-4C19-96FF-3E895FB2D389}"/>
    <cellStyle name="Millares 9 6 2 4 2" xfId="11483" xr:uid="{96791EDA-BF52-4E85-88D3-4A445544556D}"/>
    <cellStyle name="Millares 9 6 2 5" xfId="4210" xr:uid="{481E24E2-192F-45B4-8A0E-92E72331CAE5}"/>
    <cellStyle name="Millares 9 6 2 5 2" xfId="9064" xr:uid="{D46DB028-E63C-4757-8DF8-6C804047DC1E}"/>
    <cellStyle name="Millares 9 6 2 6" xfId="2997" xr:uid="{7B4BEB47-BA61-437C-8BF1-D7B3EFDBFCF8}"/>
    <cellStyle name="Millares 9 6 2 7" xfId="7853" xr:uid="{C18B7C65-5981-4412-93CE-04BD5E2A76F1}"/>
    <cellStyle name="Millares 9 6 3" xfId="2378" xr:uid="{4469DD1F-9E81-47F4-9470-5FEB49825F0C}"/>
    <cellStyle name="Millares 9 6 3 2" xfId="6024" xr:uid="{EC647BAE-1496-4048-A9A8-C1FECADD82AB}"/>
    <cellStyle name="Millares 9 6 3 2 2" xfId="10876" xr:uid="{52F2E2E1-806D-4AA0-BB9D-025174151E3E}"/>
    <cellStyle name="Millares 9 6 3 3" xfId="7240" xr:uid="{C5BB53C0-A051-424B-B397-37506434DCFB}"/>
    <cellStyle name="Millares 9 6 3 3 2" xfId="12088" xr:uid="{EE3DD79D-B85C-4777-9322-26F0672FB9DB}"/>
    <cellStyle name="Millares 9 6 3 4" xfId="4813" xr:uid="{410E4CFF-23EE-4507-B773-40BA6AA2F55C}"/>
    <cellStyle name="Millares 9 6 3 4 2" xfId="9667" xr:uid="{2B96FA37-8810-4C18-84C0-1F6020EB02CD}"/>
    <cellStyle name="Millares 9 6 3 5" xfId="3601" xr:uid="{EC0D5329-F942-4EED-A2B1-78B58A689144}"/>
    <cellStyle name="Millares 9 6 3 6" xfId="8457" xr:uid="{3DF7EC99-7434-457E-A63C-98926319D561}"/>
    <cellStyle name="Millares 9 6 4" xfId="5419" xr:uid="{96925D11-40BF-4BBF-99DF-96A2BAC74940}"/>
    <cellStyle name="Millares 9 6 4 2" xfId="10271" xr:uid="{D487F3FA-BFDA-4ABD-8840-DA1D489E39F2}"/>
    <cellStyle name="Millares 9 6 5" xfId="6633" xr:uid="{83A78C6F-86D3-4F13-A648-DA8FA8B8C74F}"/>
    <cellStyle name="Millares 9 6 5 2" xfId="11482" xr:uid="{BF0D68A6-F3D4-4752-9038-9DC0660FA972}"/>
    <cellStyle name="Millares 9 6 6" xfId="4209" xr:uid="{A3E24D62-5A56-465C-97B0-573CE9E5E575}"/>
    <cellStyle name="Millares 9 6 6 2" xfId="9063" xr:uid="{D5BB3195-A212-4E56-A7C7-096DA5698109}"/>
    <cellStyle name="Millares 9 6 7" xfId="2996" xr:uid="{90679629-C3AB-41DF-A79C-90F4FD5EBE81}"/>
    <cellStyle name="Millares 9 6 8" xfId="7852" xr:uid="{437D73AD-1101-42B9-80F3-B272D019243C}"/>
    <cellStyle name="Millares 9 7" xfId="1711" xr:uid="{5CC14D15-8BF3-462F-AFCD-D334F1377FD6}"/>
    <cellStyle name="Millares 9 7 2" xfId="2380" xr:uid="{2D0E53A5-2EB6-4435-B251-B2809618B98D}"/>
    <cellStyle name="Millares 9 7 2 2" xfId="6026" xr:uid="{DCC5E405-E6A8-4257-9758-126B2ECE1ACE}"/>
    <cellStyle name="Millares 9 7 2 2 2" xfId="10878" xr:uid="{ECEB4514-41DA-4166-BA62-93D431AFBC39}"/>
    <cellStyle name="Millares 9 7 2 3" xfId="7242" xr:uid="{A01CC97B-5B32-422E-9A19-7B28C6BEDE4B}"/>
    <cellStyle name="Millares 9 7 2 3 2" xfId="12090" xr:uid="{3D324E3C-FC36-4080-B17A-DB1919501799}"/>
    <cellStyle name="Millares 9 7 2 4" xfId="4815" xr:uid="{49EA2801-3368-438D-B324-54C740AC6E8C}"/>
    <cellStyle name="Millares 9 7 2 4 2" xfId="9669" xr:uid="{B22E885D-7D4C-4144-B8A0-B98D25ED771C}"/>
    <cellStyle name="Millares 9 7 2 5" xfId="3603" xr:uid="{EAF2AA79-11A5-4C6C-83F0-750209E46022}"/>
    <cellStyle name="Millares 9 7 2 6" xfId="8459" xr:uid="{012E1733-4CBD-4611-B938-ED9BB1C4E4CF}"/>
    <cellStyle name="Millares 9 7 3" xfId="5421" xr:uid="{9756D682-8422-49BC-95E1-EF0031399660}"/>
    <cellStyle name="Millares 9 7 3 2" xfId="10273" xr:uid="{53ECD733-DB1C-46BC-96AB-945F43984FE1}"/>
    <cellStyle name="Millares 9 7 4" xfId="6635" xr:uid="{ADD922E4-6316-4C3D-915C-2D247FB823B6}"/>
    <cellStyle name="Millares 9 7 4 2" xfId="11484" xr:uid="{85C34703-A9E3-4A8D-B5CE-AAD57BD2526D}"/>
    <cellStyle name="Millares 9 7 5" xfId="4211" xr:uid="{912AB99F-EC04-4CD4-8657-B1B8BF8A9D85}"/>
    <cellStyle name="Millares 9 7 5 2" xfId="9065" xr:uid="{9B7B73D7-E1C8-4369-B6F5-F975D78EECA1}"/>
    <cellStyle name="Millares 9 7 6" xfId="2998" xr:uid="{67A82E3F-C5F4-4A3E-9B36-003CBA37ED07}"/>
    <cellStyle name="Millares 9 7 7" xfId="7854" xr:uid="{01D85329-D833-4461-8C04-82EEB213330A}"/>
    <cellStyle name="Millares 9 8" xfId="2332" xr:uid="{AD6A26EB-E1A1-4D23-BE60-688E501BE3D7}"/>
    <cellStyle name="Millares 9 8 2" xfId="5978" xr:uid="{3147A660-324D-42F5-B26C-D7CE469B6CC6}"/>
    <cellStyle name="Millares 9 8 2 2" xfId="10830" xr:uid="{3128EEBD-D923-4BD8-B950-0C27E6A8277E}"/>
    <cellStyle name="Millares 9 8 3" xfId="7194" xr:uid="{539A5447-C7FD-4D15-91D4-B00197B8D4B5}"/>
    <cellStyle name="Millares 9 8 3 2" xfId="12042" xr:uid="{07B9863A-9102-4563-880B-36970C62FDFB}"/>
    <cellStyle name="Millares 9 8 4" xfId="4767" xr:uid="{C1463B10-D0EB-41CA-9C4A-F7B19A9FB934}"/>
    <cellStyle name="Millares 9 8 4 2" xfId="9621" xr:uid="{AFC9A156-7211-4DB7-BDF9-595DDDDE7E4B}"/>
    <cellStyle name="Millares 9 8 5" xfId="3555" xr:uid="{59179617-EE97-4A53-9F22-E307C7F3047D}"/>
    <cellStyle name="Millares 9 8 6" xfId="8411" xr:uid="{5895A045-C5D2-4E57-AB26-38A21EA487CF}"/>
    <cellStyle name="Millares 9 9" xfId="5373" xr:uid="{35ACB8B8-3775-480E-9F7D-68DAF00CA69C}"/>
    <cellStyle name="Millares 9 9 2" xfId="10225" xr:uid="{A8D409B6-CFF3-4FD5-A1CA-EAD23BC36DE7}"/>
    <cellStyle name="Millares_TARJA GENERAL(1)" xfId="7" xr:uid="{94733248-59DC-4846-AE7E-5C9B1D09C38C}"/>
    <cellStyle name="Moneda [0] 2" xfId="107" xr:uid="{1584F79F-0D78-44F1-B780-9043492C403E}"/>
    <cellStyle name="Moneda [0] 2 2" xfId="12118" xr:uid="{5EC99DDF-553C-47CB-A717-96B6729277F7}"/>
    <cellStyle name="Moneda [0] 2 3" xfId="1714" xr:uid="{7D1A6586-D38B-4B82-9C3E-620677F84605}"/>
    <cellStyle name="Moneda [0] 3" xfId="1715" xr:uid="{5BA6AAD0-C5E8-4B82-807C-0AB72EB4C425}"/>
    <cellStyle name="Moneda [0] 3 2" xfId="1716" xr:uid="{7307922A-DAA6-4349-B345-A3EF4050B69C}"/>
    <cellStyle name="Moneda [0] 4" xfId="1717" xr:uid="{E66F2F41-110A-4443-ACE1-716434925B50}"/>
    <cellStyle name="Moneda [0] 4 2" xfId="1718" xr:uid="{C41A0907-E6A1-4F28-A5AD-C7C38F7680A1}"/>
    <cellStyle name="Moneda [0] 5" xfId="1719" xr:uid="{3A1EA5BA-8CD6-4E9F-874A-E7D2BFAA470D}"/>
    <cellStyle name="Moneda [0] 5 2" xfId="1720" xr:uid="{3F395290-438B-4223-921D-473046F2FE09}"/>
    <cellStyle name="Moneda [0] 6" xfId="1721" xr:uid="{32619D22-7CD7-4AF2-ACE6-91B3E4B8056D}"/>
    <cellStyle name="Moneda [0] 6 2" xfId="1722" xr:uid="{169DC348-7DC9-4054-967C-0A1B92246769}"/>
    <cellStyle name="Moneda [0] 7" xfId="1713" xr:uid="{118945BA-BE2B-45AA-B857-7BB9678E9F69}"/>
    <cellStyle name="Moneda 10" xfId="1723" xr:uid="{B2282C94-4221-4EC3-AB90-B8AE1BE5FC8E}"/>
    <cellStyle name="Moneda 11" xfId="1724" xr:uid="{767F0E2A-A7F5-4CF6-BAD5-B719CDFA4D62}"/>
    <cellStyle name="Moneda 11 2" xfId="1725" xr:uid="{F038B5BB-818B-41F4-834D-73478CBD3CC9}"/>
    <cellStyle name="Moneda 12" xfId="1726" xr:uid="{17007463-FEF8-4FD8-9371-CB5BA2B5E232}"/>
    <cellStyle name="Moneda 12 2" xfId="1727" xr:uid="{F82BCF86-95D2-4763-AA24-2790D8000D51}"/>
    <cellStyle name="Moneda 13" xfId="1728" xr:uid="{2EA6D518-500D-434E-92E0-6035AE4E2A7E}"/>
    <cellStyle name="Moneda 13 2" xfId="1729" xr:uid="{E4171EFE-E43C-4253-AEC1-1D924D76EB1A}"/>
    <cellStyle name="Moneda 14" xfId="1730" xr:uid="{6F306D68-A376-45FB-B561-990D1A833520}"/>
    <cellStyle name="Moneda 2" xfId="1712" xr:uid="{C96AE179-9FF7-4B8D-BBB8-91F6AA4D8AE1}"/>
    <cellStyle name="Moneda 2 2" xfId="1731" xr:uid="{DD804CEA-269C-4378-8C5B-CB457240D37D}"/>
    <cellStyle name="Moneda 2 3" xfId="1732" xr:uid="{BEC92FF9-85CC-4B05-BDC1-106DA14D8451}"/>
    <cellStyle name="Moneda 2 3 2" xfId="2382" xr:uid="{6B57A096-07C0-4F31-8D46-64DEAA05DAE6}"/>
    <cellStyle name="Moneda 2 3 2 2" xfId="6027" xr:uid="{06885EC6-A9A3-4C40-BCDA-1B7C4EADC9F1}"/>
    <cellStyle name="Moneda 2 3 2 2 2" xfId="10879" xr:uid="{FA0872F8-E93A-414F-9CD1-19FF72A642E5}"/>
    <cellStyle name="Moneda 2 3 2 3" xfId="7243" xr:uid="{FC5C8874-36D5-45A5-AA3C-199F0336FBD4}"/>
    <cellStyle name="Moneda 2 3 2 3 2" xfId="12091" xr:uid="{23E2C2DC-0CF9-4562-AC98-584F0EA54327}"/>
    <cellStyle name="Moneda 2 3 2 4" xfId="4816" xr:uid="{60939B8D-9BC1-4C34-9747-3B1D2440E64B}"/>
    <cellStyle name="Moneda 2 3 2 4 2" xfId="9670" xr:uid="{39048EA3-ACA2-41A0-BB22-C1CD2589BBCF}"/>
    <cellStyle name="Moneda 2 3 2 5" xfId="3604" xr:uid="{8EF0C5B8-533C-4A81-A1A0-EDC0A07CCD2E}"/>
    <cellStyle name="Moneda 2 3 2 6" xfId="8460" xr:uid="{80526942-B6B8-46EF-AEF7-F66CC846ACEE}"/>
    <cellStyle name="Moneda 2 3 3" xfId="5422" xr:uid="{F936CBB4-DE08-4E7C-9314-8B44A8591D7D}"/>
    <cellStyle name="Moneda 2 3 3 2" xfId="10274" xr:uid="{23BE9B13-7D31-4FBF-8424-1EA47AF85368}"/>
    <cellStyle name="Moneda 2 3 4" xfId="6636" xr:uid="{C832241B-AB70-4D57-9B9A-1658F548E041}"/>
    <cellStyle name="Moneda 2 3 4 2" xfId="11485" xr:uid="{03B3A40B-1F5D-4944-B6E8-3C0F222E1D32}"/>
    <cellStyle name="Moneda 2 3 5" xfId="4212" xr:uid="{147D05D0-501A-4F5A-84DB-34227EA199EB}"/>
    <cellStyle name="Moneda 2 3 5 2" xfId="9066" xr:uid="{5823EFAD-424F-4D2E-B976-83DFDD941924}"/>
    <cellStyle name="Moneda 2 3 6" xfId="2999" xr:uid="{96AF1750-3DD0-40EF-8E3D-BAEAD743094D}"/>
    <cellStyle name="Moneda 2 3 7" xfId="7855" xr:uid="{F19A7EDF-1F12-4EB5-964B-A3FD80D295D7}"/>
    <cellStyle name="Moneda 3" xfId="1786" xr:uid="{F63F00C8-68CA-4E85-A7C5-E4939281A583}"/>
    <cellStyle name="Moneda 3 2" xfId="1733" xr:uid="{1A1E6F82-8848-4CC7-8CA1-88C0B1C2CF2C}"/>
    <cellStyle name="Moneda 3 3" xfId="1734" xr:uid="{3EB91E64-9D59-4F38-99A0-DA79AC6A7662}"/>
    <cellStyle name="Moneda 3 3 2" xfId="1735" xr:uid="{954505F5-D2BC-4AA6-B91C-3778615304D8}"/>
    <cellStyle name="Moneda 4" xfId="1785" xr:uid="{8EAF16F6-D771-4AE7-9ABF-EFAA63FFD2C8}"/>
    <cellStyle name="Moneda 4 2" xfId="1736" xr:uid="{3259107D-ED57-446D-BF18-7EBDDDDA899B}"/>
    <cellStyle name="Moneda 5" xfId="2381" xr:uid="{68146E20-2CEE-4E8B-AEFB-946988679475}"/>
    <cellStyle name="Moneda 5 2" xfId="1737" xr:uid="{EE2E805F-3F59-431D-AD27-DB97F08F4650}"/>
    <cellStyle name="Moneda 6" xfId="56" xr:uid="{69B89E35-9EF3-40BC-875F-493CCE01D423}"/>
    <cellStyle name="Moneda 6 2" xfId="57" xr:uid="{3632D43B-9DC9-40EE-A636-86416FE0CB7A}"/>
    <cellStyle name="Moneda 6 3" xfId="1738" xr:uid="{9D681296-0CF0-46BB-8CEF-DA9EC0DFA04B}"/>
    <cellStyle name="Moneda 7" xfId="58" xr:uid="{A966CD22-F9DD-46EF-A2B0-98E52C4BB716}"/>
    <cellStyle name="Moneda 7 2" xfId="1739" xr:uid="{522EDD4D-58B4-48A2-8FEF-458112570374}"/>
    <cellStyle name="Moneda 7 2 2" xfId="1740" xr:uid="{072066A7-9746-4CB8-BF62-8520A0D32751}"/>
    <cellStyle name="Moneda 7 2 3" xfId="1741" xr:uid="{8FF27765-7F72-4216-A50A-9C4BAE6DD344}"/>
    <cellStyle name="Moneda 7 2 3 2" xfId="1742" xr:uid="{A4FA4EC0-2314-45D6-8254-5B5E40DE1382}"/>
    <cellStyle name="Moneda 8" xfId="1743" xr:uid="{4F18EB8D-C370-4587-84F9-D80CC3F501EA}"/>
    <cellStyle name="Moneda 8 2" xfId="1744" xr:uid="{F036087D-9F15-41EA-8BAD-C1E95743FCE8}"/>
    <cellStyle name="Moneda 9" xfId="1745" xr:uid="{FAA9BFBA-E8D2-4664-900A-F3EA5B97CC93}"/>
    <cellStyle name="Neutral 2" xfId="1746" xr:uid="{5D557D7C-BADF-4308-8158-3784AE1B4D9C}"/>
    <cellStyle name="Normal" xfId="0" builtinId="0"/>
    <cellStyle name="Normal 10" xfId="59" xr:uid="{DE9589B9-F3A5-4EDF-BA14-D37622BEC0C1}"/>
    <cellStyle name="Normal 10 2" xfId="3" xr:uid="{EA6D6275-7534-445C-8D5B-3A861EB3B045}"/>
    <cellStyle name="Normal 11" xfId="60" xr:uid="{C7CA78DA-834B-4955-BA73-D7857CCBADEA}"/>
    <cellStyle name="Normal 11 2" xfId="61" xr:uid="{911A0BB6-6B0C-4E76-87AE-3E187D0D29C9}"/>
    <cellStyle name="Normal 12" xfId="62" xr:uid="{8F19C25B-FA81-4361-96B9-D9162949E9D4}"/>
    <cellStyle name="Normal 12 2" xfId="1748" xr:uid="{AE5B3A1E-46F3-49D9-8A0D-57EE8A2B9D9E}"/>
    <cellStyle name="Normal 12 3" xfId="1749" xr:uid="{01148BBF-337A-4680-9B9B-DF63ED00D5CE}"/>
    <cellStyle name="Normal 12 3 2" xfId="1750" xr:uid="{684D9ACB-86DE-4135-A111-8F9CC6AAF1AB}"/>
    <cellStyle name="Normal 12 4" xfId="12116" xr:uid="{21362C7A-6D1B-4DC2-8EBD-05382B067ECC}"/>
    <cellStyle name="Normal 12 5" xfId="1747" xr:uid="{02C4CBC6-19B7-46DA-B507-F9DD730738CF}"/>
    <cellStyle name="Normal 13" xfId="2" xr:uid="{A6899266-B1D1-425D-8C40-DD954D599CEB}"/>
    <cellStyle name="Normal 13 2" xfId="63" xr:uid="{F0ACC73D-6CF8-4F3B-B5E4-F8985544D958}"/>
    <cellStyle name="Normal 13 2 2" xfId="6028" xr:uid="{CE9E9577-E840-4D2D-BC4F-B143182D0A7A}"/>
    <cellStyle name="Normal 13 2 2 2" xfId="10880" xr:uid="{06F10066-72DC-4FDB-93DC-6C7FFE5BD52E}"/>
    <cellStyle name="Normal 13 2 3" xfId="7244" xr:uid="{08A57785-0CF3-4799-9140-3F515D0D2E87}"/>
    <cellStyle name="Normal 13 2 3 2" xfId="12092" xr:uid="{9FE41B70-C155-4DEA-8D1B-855E19BD3973}"/>
    <cellStyle name="Normal 13 2 4" xfId="4817" xr:uid="{ECB12739-822C-43AF-AE09-DEB49A276E44}"/>
    <cellStyle name="Normal 13 2 4 2" xfId="9671" xr:uid="{3F6EC145-6974-44C4-901E-1AA295F36901}"/>
    <cellStyle name="Normal 13 2 5" xfId="3605" xr:uid="{FB3D27A4-4BE2-42BA-BAB2-C690EBE4A1E4}"/>
    <cellStyle name="Normal 13 2 6" xfId="8461" xr:uid="{B44A7C85-8E62-45D8-AD82-EE55118FAA25}"/>
    <cellStyle name="Normal 13 2 7" xfId="12117" xr:uid="{74E11148-C7E8-4F82-9B01-27FECF5527FB}"/>
    <cellStyle name="Normal 13 2 8" xfId="2383" xr:uid="{916D3B6F-D7E6-41DF-B614-06776A9DD819}"/>
    <cellStyle name="Normal 13 3" xfId="5423" xr:uid="{FF5FBAE5-B584-4FAB-9A54-CA31D25CAA18}"/>
    <cellStyle name="Normal 13 3 2" xfId="10275" xr:uid="{9ECB31BC-4D9E-411F-A112-AD6A497CC79F}"/>
    <cellStyle name="Normal 13 4" xfId="6638" xr:uid="{D8B40131-E6E2-4126-A6D2-241D86E00594}"/>
    <cellStyle name="Normal 13 4 2" xfId="11487" xr:uid="{B8E1A4B5-83B4-4BAB-AB59-0184D6E602F1}"/>
    <cellStyle name="Normal 13 5" xfId="4213" xr:uid="{04B9E590-49D4-4FB4-940C-925097AA3157}"/>
    <cellStyle name="Normal 13 5 2" xfId="9067" xr:uid="{69E2AC26-F172-4C85-820B-A26A3D4AD536}"/>
    <cellStyle name="Normal 13 6" xfId="3000" xr:uid="{823A49DA-CC5C-4756-8EF5-B7B995AFC383}"/>
    <cellStyle name="Normal 13 7" xfId="7856" xr:uid="{EC959082-338E-46FB-AFA9-B8EF5B67EB8F}"/>
    <cellStyle name="Normal 13 8" xfId="12108" xr:uid="{8AD58AA2-B8E8-4962-8A0E-33468DCD5C47}"/>
    <cellStyle name="Normal 14" xfId="108" xr:uid="{F1241FEF-3D11-4748-96BA-8C1D273AF989}"/>
    <cellStyle name="Normal 14 2" xfId="2384" xr:uid="{F1C38DB6-8E59-482B-A9DD-F28FD7BFD005}"/>
    <cellStyle name="Normal 14 2 2" xfId="6029" xr:uid="{CD540F34-C323-42AF-9FD6-8E6477809AA1}"/>
    <cellStyle name="Normal 14 2 2 2" xfId="10881" xr:uid="{CCD8BED5-76AA-4D20-BCA7-6BAF6EC399EB}"/>
    <cellStyle name="Normal 14 2 3" xfId="7245" xr:uid="{9627F3B2-3DD7-4306-9A7C-2CB7034E8214}"/>
    <cellStyle name="Normal 14 2 3 2" xfId="12093" xr:uid="{E75F02CC-3258-4169-ADE8-7A8B0A627658}"/>
    <cellStyle name="Normal 14 2 4" xfId="4818" xr:uid="{4FEE64B1-FDA3-47C2-979F-6926DDD7C884}"/>
    <cellStyle name="Normal 14 2 4 2" xfId="9672" xr:uid="{C0B5C618-55E7-4E80-9275-E18DF66E21AF}"/>
    <cellStyle name="Normal 14 2 5" xfId="3606" xr:uid="{E6A74940-CF7B-4767-9602-89EE39993E87}"/>
    <cellStyle name="Normal 14 2 6" xfId="8462" xr:uid="{2D2B7EC7-9F0A-4893-8E1B-C70B466121B2}"/>
    <cellStyle name="Normal 14 3" xfId="5424" xr:uid="{CB05BEBB-B573-4061-9994-524C7ACAD781}"/>
    <cellStyle name="Normal 14 3 2" xfId="10276" xr:uid="{075B7A95-5588-4123-BA84-5EA48D012554}"/>
    <cellStyle name="Normal 14 4" xfId="6639" xr:uid="{A2CFC49B-8DF1-4CE0-949B-F15321F9E3CD}"/>
    <cellStyle name="Normal 14 4 2" xfId="11488" xr:uid="{DB94569A-A0F2-4B56-BE09-6967467C2652}"/>
    <cellStyle name="Normal 14 5" xfId="4214" xr:uid="{3A90CECB-17EC-4C38-8BDB-CDCC0AB65FF1}"/>
    <cellStyle name="Normal 14 5 2" xfId="9068" xr:uid="{C5377E33-BC70-4BED-B979-BB7850BC2DC4}"/>
    <cellStyle name="Normal 14 6" xfId="3001" xr:uid="{DC33BAE5-C391-4B8A-A76C-18A73E3BCBC0}"/>
    <cellStyle name="Normal 14 7" xfId="7857" xr:uid="{93E1A07D-4087-4557-90C8-5D343CD4746E}"/>
    <cellStyle name="Normal 14 8" xfId="12119" xr:uid="{8FA2ECB2-FB2B-4888-8453-9811EEE9D791}"/>
    <cellStyle name="Normal 15" xfId="109" xr:uid="{18ACBEE5-9E48-4C18-964C-DE682ED6DA21}"/>
    <cellStyle name="Normal 15 2" xfId="2385" xr:uid="{DE6D26E4-FDB5-402C-AEC0-8BF84EE3D457}"/>
    <cellStyle name="Normal 15 2 2" xfId="6030" xr:uid="{982D145B-1C46-405A-BB6E-F3CBB7783E2C}"/>
    <cellStyle name="Normal 15 2 2 2" xfId="10882" xr:uid="{5150624A-7D27-48E2-9208-A13441793D3E}"/>
    <cellStyle name="Normal 15 2 3" xfId="7246" xr:uid="{11F97DEE-B04F-4769-AE9E-1D0A5E10F8A0}"/>
    <cellStyle name="Normal 15 2 3 2" xfId="12094" xr:uid="{D6CEFD57-DF24-47A4-9F14-E250D86BABF5}"/>
    <cellStyle name="Normal 15 2 4" xfId="4819" xr:uid="{B511BC20-ABF7-45F8-BF5A-7E1E0EC7AE6A}"/>
    <cellStyle name="Normal 15 2 4 2" xfId="9673" xr:uid="{EE9A5E9D-1D5A-43C6-96E9-D45A78E39448}"/>
    <cellStyle name="Normal 15 2 5" xfId="3607" xr:uid="{029F5A69-FABB-40B8-9E37-4167200674B6}"/>
    <cellStyle name="Normal 15 2 6" xfId="8463" xr:uid="{0076533E-55DD-4F67-A4B4-6148B1019ED3}"/>
    <cellStyle name="Normal 15 3" xfId="5425" xr:uid="{BF26F452-2DBA-4771-BE57-88685757B74C}"/>
    <cellStyle name="Normal 15 3 2" xfId="10277" xr:uid="{F4CC8220-DA25-4656-9D17-84FAAE85C1E2}"/>
    <cellStyle name="Normal 15 4" xfId="6640" xr:uid="{E5F981C0-C2FF-4B1F-AC37-2057CD6706BB}"/>
    <cellStyle name="Normal 15 4 2" xfId="11489" xr:uid="{30E4F840-E09E-4B16-AC21-ACF7E2A9F333}"/>
    <cellStyle name="Normal 15 5" xfId="4215" xr:uid="{4F2EE2FF-50E9-47FC-AB9E-4B5A53A0A902}"/>
    <cellStyle name="Normal 15 5 2" xfId="9069" xr:uid="{49121B00-3EC6-4999-BFC2-0F54B3CBDE40}"/>
    <cellStyle name="Normal 15 6" xfId="3002" xr:uid="{652A4F0B-B04B-41F0-8FAA-9DAF3470E8A5}"/>
    <cellStyle name="Normal 15 7" xfId="7858" xr:uid="{0B896A45-16EC-4232-B794-BA72811A88B8}"/>
    <cellStyle name="Normal 15 8" xfId="12120" xr:uid="{471092BF-4933-4265-BE07-C7AA25FFE8CF}"/>
    <cellStyle name="Normal 16" xfId="42" xr:uid="{B46DF9E8-11A3-4251-8E85-38B03F9C930E}"/>
    <cellStyle name="Normal 16 2" xfId="2386" xr:uid="{F3FC79A5-7547-4544-8B13-8F4E64A2513E}"/>
    <cellStyle name="Normal 16 2 2" xfId="6031" xr:uid="{FE0325AC-E2F5-490F-B1C1-1B5859BB40FF}"/>
    <cellStyle name="Normal 16 2 2 2" xfId="10883" xr:uid="{A93282A0-C7CD-440D-B1A7-59BC75A626D6}"/>
    <cellStyle name="Normal 16 2 3" xfId="7247" xr:uid="{2C016712-2C57-4909-A8E8-6AB4B50FC8A6}"/>
    <cellStyle name="Normal 16 2 3 2" xfId="12095" xr:uid="{8AF95D09-690A-47ED-A8DA-5284C0AA92CA}"/>
    <cellStyle name="Normal 16 2 4" xfId="4820" xr:uid="{A242E970-CBEE-4665-AFBE-10FA9B17ADBC}"/>
    <cellStyle name="Normal 16 2 4 2" xfId="9674" xr:uid="{55D8478E-C362-4BA6-BC77-EE182D655714}"/>
    <cellStyle name="Normal 16 2 5" xfId="3608" xr:uid="{3D7B872E-24BC-4998-B623-3D9DDCBA769C}"/>
    <cellStyle name="Normal 16 2 6" xfId="8464" xr:uid="{DFE3DDD1-CD9A-4342-924B-07B0851533DC}"/>
    <cellStyle name="Normal 16 3" xfId="5426" xr:uid="{563971BC-B812-4B5F-A882-75EEF4EAF0A4}"/>
    <cellStyle name="Normal 16 3 2" xfId="10278" xr:uid="{6C7592C1-6AB5-435B-8BF1-FFE9534A2348}"/>
    <cellStyle name="Normal 16 4" xfId="6641" xr:uid="{CEB7884F-7CAE-442E-A708-91242A247580}"/>
    <cellStyle name="Normal 16 4 2" xfId="11490" xr:uid="{264C726F-8C6D-46BE-BA96-CAAFCBCFDC8F}"/>
    <cellStyle name="Normal 16 5" xfId="4216" xr:uid="{C0291079-5DAA-4994-9C81-57C4C81F87F1}"/>
    <cellStyle name="Normal 16 5 2" xfId="9070" xr:uid="{BBAC9CAF-48DC-4A43-8C87-074ABC2CFE8D}"/>
    <cellStyle name="Normal 16 6" xfId="3003" xr:uid="{0E029E24-BC99-4F7B-9D33-496D608CBCF3}"/>
    <cellStyle name="Normal 16 7" xfId="7859" xr:uid="{EAAD60E4-FE85-413F-8535-94D943A07416}"/>
    <cellStyle name="Normal 16 8" xfId="12112" xr:uid="{B098663D-68B1-471A-8DA4-4383F24DB87F}"/>
    <cellStyle name="Normal 16 9" xfId="1751" xr:uid="{E0280EFD-1910-40D6-860F-3FDB0C219D93}"/>
    <cellStyle name="Normal 17" xfId="1752" xr:uid="{B178E148-2FDD-4674-AD5E-341D2249DBC3}"/>
    <cellStyle name="Normal 17 2" xfId="2387" xr:uid="{F556F2B2-CFB7-4B5E-93F1-A5B80EC08CA4}"/>
    <cellStyle name="Normal 17 2 2" xfId="6032" xr:uid="{1DD43C8E-0D87-46E8-8B21-3AECFA26575D}"/>
    <cellStyle name="Normal 17 2 2 2" xfId="10884" xr:uid="{08D79D2B-CD9C-4A22-BC0C-A7AAC5DC5944}"/>
    <cellStyle name="Normal 17 2 3" xfId="7248" xr:uid="{FAC9AAC1-455C-4FAC-ABA1-96BCD58D2BAD}"/>
    <cellStyle name="Normal 17 2 3 2" xfId="12096" xr:uid="{9C4DB195-139C-4303-A493-C4A7D002DA93}"/>
    <cellStyle name="Normal 17 2 4" xfId="4821" xr:uid="{227DD6F0-6DF7-461D-AABC-9B810F683E77}"/>
    <cellStyle name="Normal 17 2 4 2" xfId="9675" xr:uid="{F8873F10-39E5-48EA-BF3C-1BF387468F9B}"/>
    <cellStyle name="Normal 17 2 5" xfId="3609" xr:uid="{0EE8E889-BEAB-42A2-9B59-CC890B59E4F9}"/>
    <cellStyle name="Normal 17 2 6" xfId="8465" xr:uid="{9A929921-771F-4A29-A69B-E38BA8DB6F10}"/>
    <cellStyle name="Normal 17 3" xfId="5427" xr:uid="{498BC427-6334-4152-A400-C8902CEE3C46}"/>
    <cellStyle name="Normal 17 3 2" xfId="10279" xr:uid="{AA65A8BB-9288-4EEE-B20A-EAC40F435B15}"/>
    <cellStyle name="Normal 17 4" xfId="6642" xr:uid="{4974BBA5-9A5D-4F6D-BF43-63910F467E59}"/>
    <cellStyle name="Normal 17 4 2" xfId="11491" xr:uid="{8D49784B-6248-4DCC-AD93-B78C2133765B}"/>
    <cellStyle name="Normal 17 5" xfId="4217" xr:uid="{EC7FDFC8-17AD-4C49-AE48-ACF4D4CEA97C}"/>
    <cellStyle name="Normal 17 5 2" xfId="9071" xr:uid="{D66815B4-0C09-4069-972D-DA14D6F1D1A6}"/>
    <cellStyle name="Normal 17 6" xfId="3004" xr:uid="{17196AC8-0109-4307-8DAB-6EF0740BD2FF}"/>
    <cellStyle name="Normal 17 7" xfId="7860" xr:uid="{44EE5127-BE60-4C40-8EA4-ABACAF102202}"/>
    <cellStyle name="Normal 18" xfId="1753" xr:uid="{0B33560A-995D-49C9-A919-4E2FCB7F8007}"/>
    <cellStyle name="Normal 19" xfId="1754" xr:uid="{A6E97A9E-6C4B-45B8-8631-42F73B1783C4}"/>
    <cellStyle name="Normal 2" xfId="64" xr:uid="{96C9AD73-8C55-445D-825A-1005F00FF511}"/>
    <cellStyle name="Normal 2 2" xfId="1" xr:uid="{3D242E75-2A6B-4E1E-9417-AC577A24091F}"/>
    <cellStyle name="Normal 2 3" xfId="65" xr:uid="{116DF23E-A845-47D4-9D1C-AB374C2F98D0}"/>
    <cellStyle name="Normal 2 4" xfId="66" xr:uid="{E60234BD-40BA-495D-A703-8005449843EE}"/>
    <cellStyle name="Normal 2 5" xfId="67" xr:uid="{FFC58DDC-6E80-4614-8691-D78306F75CEE}"/>
    <cellStyle name="Normal 2 6" xfId="110" xr:uid="{948171F0-AB9D-4FA0-BA14-A779F84363FA}"/>
    <cellStyle name="Normal 20" xfId="3616" xr:uid="{E75C1980-2199-4704-8ADC-29AA141589F8}"/>
    <cellStyle name="Normal 20 10" xfId="9" xr:uid="{BC1246E5-1E15-47CF-A2B8-1C8A14AE1C57}"/>
    <cellStyle name="Normal 21" xfId="7256" xr:uid="{3355A470-AEB6-4A53-B8BC-36316B9CBA60}"/>
    <cellStyle name="Normal 21 2" xfId="12103" xr:uid="{AA29D97A-70AA-46E4-8CAC-8AFCB7C7CA94}"/>
    <cellStyle name="Normal 22" xfId="12106" xr:uid="{918892BA-BF6B-4C0D-AEB0-7A6697978578}"/>
    <cellStyle name="Normal 23" xfId="12107" xr:uid="{E097778E-B748-471F-AF4F-6DF66705EF2E}"/>
    <cellStyle name="Normal 3" xfId="4" xr:uid="{5BC25CBB-3EAE-4025-B816-8CDA804C59DD}"/>
    <cellStyle name="Normal 3 10" xfId="6040" xr:uid="{2E0CF2D7-F965-4660-84B0-C207E9449909}"/>
    <cellStyle name="Normal 3 10 2" xfId="10891" xr:uid="{9A89A675-833D-4844-86C1-E8FD9C1D85E8}"/>
    <cellStyle name="Normal 3 11" xfId="2404" xr:uid="{6F076963-5398-4C90-BBF0-234F2F171EE0}"/>
    <cellStyle name="Normal 3 12" xfId="7260" xr:uid="{604D20FA-BAED-433A-8CD9-4FB31DFC6EE8}"/>
    <cellStyle name="Normal 3 2" xfId="69" xr:uid="{484B137C-36F6-4E18-BC59-78AF3925DFA9}"/>
    <cellStyle name="Normal 3 3" xfId="70" xr:uid="{029668EC-A4B2-467E-A28F-932112FB7E09}"/>
    <cellStyle name="Normal 3 4" xfId="71" xr:uid="{A7838945-F188-447C-9257-8705BC15489C}"/>
    <cellStyle name="Normal 3 5" xfId="72" xr:uid="{752D2CFD-1AEE-49E3-A9DD-DA80CFB9FBBF}"/>
    <cellStyle name="Normal 3 6" xfId="1755" xr:uid="{BAD1AB32-ADEE-4E2F-93F7-5B84BBA81F3D}"/>
    <cellStyle name="Normal 3 7" xfId="2391" xr:uid="{8C26AA14-509C-47EC-91F1-0904D32D7213}"/>
    <cellStyle name="Normal 3 7 2" xfId="6038" xr:uid="{13CB8EDD-299E-452E-8D11-D9579D884FFF}"/>
    <cellStyle name="Normal 3 7 2 2" xfId="10890" xr:uid="{7A5F4959-4C9A-4F25-8AAE-D0C52A41F8F4}"/>
    <cellStyle name="Normal 3 7 3" xfId="7254" xr:uid="{619A43F0-4B1D-47A2-8B66-5EDFF19BCC95}"/>
    <cellStyle name="Normal 3 7 3 2" xfId="12102" xr:uid="{53B0E487-8C35-4D3F-8571-AC069311E051}"/>
    <cellStyle name="Normal 3 7 4" xfId="4825" xr:uid="{24171BC0-FFC5-48E4-913D-7BE1D9F07443}"/>
    <cellStyle name="Normal 3 7 4 2" xfId="9679" xr:uid="{3AD2EE9D-FD2F-44B9-8F79-257870566DA9}"/>
    <cellStyle name="Normal 3 7 5" xfId="3615" xr:uid="{BE258FF1-5863-4E50-865C-C8BCFE905B7A}"/>
    <cellStyle name="Normal 3 7 6" xfId="8471" xr:uid="{7A79FDBF-0651-416D-AE91-67E5C97DFC75}"/>
    <cellStyle name="Normal 3 8" xfId="105" xr:uid="{89302A17-B7E5-41C9-9F6A-C0A98A91A8B4}"/>
    <cellStyle name="Normal 3 8 2" xfId="6034" xr:uid="{0C0C5C6F-7A6B-4DED-8570-0CBDAB767077}"/>
    <cellStyle name="Normal 3 8 2 2" xfId="10886" xr:uid="{F31498C6-F07F-4355-AF47-CF101E021EA5}"/>
    <cellStyle name="Normal 3 8 3" xfId="7250" xr:uid="{44AE583D-4299-4EE9-87D3-2E561B7E3B4C}"/>
    <cellStyle name="Normal 3 8 3 2" xfId="12098" xr:uid="{DCF74EB2-B4E1-42E3-BCC7-24E2A841592A}"/>
    <cellStyle name="Normal 3 8 4" xfId="3630" xr:uid="{F7909B5A-49F0-4583-86CB-D5AC97588644}"/>
    <cellStyle name="Normal 3 8 4 2" xfId="8484" xr:uid="{46AD4B8A-097B-4641-8A22-5831D785C6FD}"/>
    <cellStyle name="Normal 3 8 5" xfId="3611" xr:uid="{512886DB-D0C3-4C52-8900-709CBC442AC1}"/>
    <cellStyle name="Normal 3 8 6" xfId="8467" xr:uid="{AC21E6C9-E9CA-4BC4-AAE1-7A14F84B87FF}"/>
    <cellStyle name="Normal 3 9" xfId="4827" xr:uid="{1067B705-EA12-41FA-AE70-10691D20FD13}"/>
    <cellStyle name="Normal 3 9 2" xfId="9680" xr:uid="{F57D8D01-DBE6-4B7F-9FA7-B99BD982C0A0}"/>
    <cellStyle name="Normal 39 3" xfId="106" xr:uid="{6E0B02C9-49C1-4781-9D4A-4FC2A2DEAAB2}"/>
    <cellStyle name="Normal 4" xfId="73" xr:uid="{25DCFE9C-67E3-45B5-B641-566F9D9E74F7}"/>
    <cellStyle name="Normal 4 2" xfId="74" xr:uid="{6244920B-0E65-4753-A179-599ACAD49AB7}"/>
    <cellStyle name="Normal 4 3" xfId="75" xr:uid="{09FFDAE5-9005-4878-BA5E-34700F817CFC}"/>
    <cellStyle name="Normal 4 4" xfId="76" xr:uid="{8914F694-AA40-4E82-A1FA-8B2C9FA0E208}"/>
    <cellStyle name="Normal 4 5" xfId="77" xr:uid="{2E45B8C0-2B59-4137-9610-AD549CECC5AF}"/>
    <cellStyle name="Normal 4 6" xfId="1756" xr:uid="{AA5A6FA0-9FC6-43FF-AD3A-DEC70C6B6219}"/>
    <cellStyle name="Normal 4 7" xfId="1757" xr:uid="{7487C9D4-0A64-47FD-85F2-7B2AC1E8BBB7}"/>
    <cellStyle name="Normal 4 7 2" xfId="2388" xr:uid="{6D2C79BF-EF86-442B-B982-C15A96B7B7E1}"/>
    <cellStyle name="Normal 4 7 2 2" xfId="6035" xr:uid="{EC9E0E99-7938-497E-9A66-C0631B206D1F}"/>
    <cellStyle name="Normal 4 7 2 2 2" xfId="10887" xr:uid="{2323AD0E-F326-4658-9AE1-83CCBDDF2FEA}"/>
    <cellStyle name="Normal 4 7 2 3" xfId="7251" xr:uid="{EF1E5E1D-E005-4275-8F08-80522932E87A}"/>
    <cellStyle name="Normal 4 7 2 3 2" xfId="12099" xr:uid="{4279F8C3-EA7D-4A81-BC06-5922E45CAE99}"/>
    <cellStyle name="Normal 4 7 2 4" xfId="4822" xr:uid="{39EFEDCD-125B-4A28-9071-D6B8E1F6211A}"/>
    <cellStyle name="Normal 4 7 2 4 2" xfId="9676" xr:uid="{124AF4C0-2175-4873-976D-AE2F8014B910}"/>
    <cellStyle name="Normal 4 7 2 5" xfId="3612" xr:uid="{B08CEFB6-C02B-4352-B5AA-8D9F85BEC9AC}"/>
    <cellStyle name="Normal 4 7 2 6" xfId="8468" xr:uid="{FA57BD88-1C67-43EA-B4C8-DED2B00F9348}"/>
    <cellStyle name="Normal 4 7 3" xfId="5428" xr:uid="{E2A3536B-26AB-457C-9551-243D6029D813}"/>
    <cellStyle name="Normal 4 7 3 2" xfId="10280" xr:uid="{35356907-AEC3-4BF2-99BB-E8F381421D95}"/>
    <cellStyle name="Normal 4 7 4" xfId="6643" xr:uid="{161101FA-E05B-4D3C-AE34-A48A8D0D12F6}"/>
    <cellStyle name="Normal 4 7 4 2" xfId="11492" xr:uid="{5CB8D24C-FFBD-4BD2-93F7-C79D9FE95A9A}"/>
    <cellStyle name="Normal 4 7 5" xfId="4218" xr:uid="{32DDEB43-8038-4927-AA2E-839833D1C410}"/>
    <cellStyle name="Normal 4 7 5 2" xfId="9072" xr:uid="{A2EA0BCF-9899-4654-9F68-E767C55585B7}"/>
    <cellStyle name="Normal 4 7 6" xfId="3005" xr:uid="{D9882E21-8AE2-43BB-802C-327084C72DD1}"/>
    <cellStyle name="Normal 4 7 7" xfId="7861" xr:uid="{65251FAE-B66B-41C9-AB89-4905400F1EE9}"/>
    <cellStyle name="Normal 5" xfId="78" xr:uid="{87278251-5865-4E66-974B-FD3C8631DE0C}"/>
    <cellStyle name="Normal 5 2" xfId="79" xr:uid="{9FE16746-5864-4AFD-9FB5-4CD4CCD53A9C}"/>
    <cellStyle name="Normal 5 3" xfId="80" xr:uid="{D293B778-08EE-49F8-AFC6-9B04951F72FF}"/>
    <cellStyle name="Normal 5 4" xfId="81" xr:uid="{2A0A2C58-E2C5-4E0E-B9B3-ABB7F6359F1F}"/>
    <cellStyle name="Normal 5 5" xfId="82" xr:uid="{F85F59D9-65BA-4599-A86D-D5D06E14AF1B}"/>
    <cellStyle name="Normal 5 6" xfId="1758" xr:uid="{D9F5B12A-5F7D-42B8-88C7-6892AB0C410A}"/>
    <cellStyle name="Normal 5 7" xfId="1759" xr:uid="{3228FD89-E2C8-47D0-BB00-17421964AA2C}"/>
    <cellStyle name="Normal 6" xfId="83" xr:uid="{44AAE818-835A-4767-9450-AD67D2EF56C4}"/>
    <cellStyle name="Normal 6 2" xfId="84" xr:uid="{D57E4CB0-76CF-4CAB-9930-16CFA69D002E}"/>
    <cellStyle name="Normal 6 3" xfId="85" xr:uid="{B5DC0B28-DB1B-43E3-A08A-2A5ED4D353A6}"/>
    <cellStyle name="Normal 6 4" xfId="86" xr:uid="{1CC64BA7-68EC-4E9D-98B9-0AEABB3C8113}"/>
    <cellStyle name="Normal 6 5" xfId="87" xr:uid="{24B46524-356C-4B7F-B4DB-431A801A66B5}"/>
    <cellStyle name="Normal 7" xfId="88" xr:uid="{A0B2B37D-2C1C-4333-B94C-3BF103076BF3}"/>
    <cellStyle name="Normal 7 2" xfId="89" xr:uid="{2FA2E623-32FD-4DA7-BEB0-FA919EC5576E}"/>
    <cellStyle name="Normal 7 3" xfId="90" xr:uid="{6E5B99F5-6096-4048-95E6-15D75960DB2C}"/>
    <cellStyle name="Normal 7 4" xfId="91" xr:uid="{0D6A0E0D-87FF-4832-8293-487219644E13}"/>
    <cellStyle name="Normal 7 5" xfId="92" xr:uid="{E303A1EC-4764-44C2-A45A-2D3FF1964B2E}"/>
    <cellStyle name="Normal 8" xfId="93" xr:uid="{EA440BED-7C50-4239-B843-E0F278A8F72A}"/>
    <cellStyle name="Normal 8 2" xfId="94" xr:uid="{140D6162-1BCE-4363-83F7-07A115039330}"/>
    <cellStyle name="Normal 8 3" xfId="95" xr:uid="{90C96BED-B172-44F8-B208-2FC2397A080D}"/>
    <cellStyle name="Normal 8 4" xfId="96" xr:uid="{642FBAFA-DB4B-40C7-AA14-E5C4BF9C7071}"/>
    <cellStyle name="Normal 8 5" xfId="97" xr:uid="{E36C0F6B-270D-42E6-923F-C9997A24370F}"/>
    <cellStyle name="Normal 9" xfId="98" xr:uid="{B7528077-E910-46D2-A290-2BC73ED75B56}"/>
    <cellStyle name="Normal 9 2" xfId="99" xr:uid="{B12245BC-5FFF-4AB4-B0DE-8E7A562E9F45}"/>
    <cellStyle name="Normal 9 3" xfId="100" xr:uid="{4FA5FB88-2D58-4A20-8A97-A8FDD1721F4D}"/>
    <cellStyle name="Normal 9 4" xfId="101" xr:uid="{86143441-09DA-4E10-8DB6-04FCF667A42C}"/>
    <cellStyle name="Normal 9 5" xfId="102" xr:uid="{010AA7D0-977F-4816-81FA-B87EB7A58FDB}"/>
    <cellStyle name="Notas 2" xfId="1760" xr:uid="{8402D28C-AAAF-4E45-AD9B-E6A87BC418C2}"/>
    <cellStyle name="Notas 2 2" xfId="2389" xr:uid="{8C1FE4A1-B75F-4FF6-BF66-D86A6724A824}"/>
    <cellStyle name="Notas 2 2 2" xfId="6036" xr:uid="{2478F3F9-630A-4464-9047-4CF919F4B841}"/>
    <cellStyle name="Notas 2 2 2 2" xfId="10888" xr:uid="{4A3DD311-2DBC-4AFA-87BD-1E60173F3D7B}"/>
    <cellStyle name="Notas 2 2 3" xfId="7252" xr:uid="{E65EB10D-B92A-4BF4-8456-10E4133B5106}"/>
    <cellStyle name="Notas 2 2 3 2" xfId="12100" xr:uid="{0A819AFF-56D5-493D-A502-B28B5C3682CE}"/>
    <cellStyle name="Notas 2 2 4" xfId="4823" xr:uid="{0F88CB92-E184-4A7D-A832-046F53AF7808}"/>
    <cellStyle name="Notas 2 2 4 2" xfId="9677" xr:uid="{6E444518-F7D9-4EAB-9DBD-63D17F41E36E}"/>
    <cellStyle name="Notas 2 2 5" xfId="3613" xr:uid="{BDA6067C-02CC-4798-A440-C7A97292D3D9}"/>
    <cellStyle name="Notas 2 2 6" xfId="8469" xr:uid="{DE91EC07-D35A-4473-8E2D-A6F0B356A73D}"/>
    <cellStyle name="Notas 2 3" xfId="5429" xr:uid="{8A62AA37-B6C9-4B66-8BBC-1F21553132A0}"/>
    <cellStyle name="Notas 2 3 2" xfId="10281" xr:uid="{3CCAE3B1-06B4-4794-BF6F-E1A6BA4A0B36}"/>
    <cellStyle name="Notas 2 4" xfId="6644" xr:uid="{78B9405C-DA2C-431C-930C-8E76874A9C85}"/>
    <cellStyle name="Notas 2 4 2" xfId="11493" xr:uid="{1882CA76-8864-458B-A560-B3DA6E7FF3AB}"/>
    <cellStyle name="Notas 2 5" xfId="4219" xr:uid="{66D662C8-463D-4BDC-A30A-C47513DBC372}"/>
    <cellStyle name="Notas 2 5 2" xfId="9073" xr:uid="{FA47FFD5-97B3-4A6C-AAA0-4D631BEAF58C}"/>
    <cellStyle name="Notas 2 6" xfId="3006" xr:uid="{2C9107CA-BB1E-4AA1-8654-8408B6219A17}"/>
    <cellStyle name="Notas 2 7" xfId="7862" xr:uid="{3447A0FC-76E4-4E81-A551-B1E970DC1ECC}"/>
    <cellStyle name="Porcentaje 10" xfId="132" xr:uid="{2B5283AD-7C2A-4241-9742-009C09060C85}"/>
    <cellStyle name="Porcentaje 2" xfId="103" xr:uid="{9ED44785-F0E6-4F79-82B9-0E241327A059}"/>
    <cellStyle name="Porcentaje 2 2" xfId="104" xr:uid="{A6CE3D52-176E-4C98-B399-27FC3BE579A0}"/>
    <cellStyle name="Porcentaje 2 3" xfId="1761" xr:uid="{4F4AD31C-13C0-466A-B7EC-38023712630C}"/>
    <cellStyle name="Porcentaje 2 4" xfId="1762" xr:uid="{D24D0DF7-6D32-4A95-8A58-F7875E68CDEC}"/>
    <cellStyle name="Porcentaje 2 4 2" xfId="2390" xr:uid="{04904221-41EA-423C-90FA-43B9CD34C2DC}"/>
    <cellStyle name="Porcentaje 2 4 2 2" xfId="6037" xr:uid="{28FB7C95-5EF2-46E1-8FA4-FC6452D9E8FA}"/>
    <cellStyle name="Porcentaje 2 4 2 2 2" xfId="10889" xr:uid="{BA8850FF-5478-45D5-A447-914B8DE9EF89}"/>
    <cellStyle name="Porcentaje 2 4 2 3" xfId="7253" xr:uid="{7CEFB7A8-2918-49C9-8F35-5D73C972EF3B}"/>
    <cellStyle name="Porcentaje 2 4 2 3 2" xfId="12101" xr:uid="{D37FCD54-5047-4E56-A17D-0F55A083F5D1}"/>
    <cellStyle name="Porcentaje 2 4 2 4" xfId="4824" xr:uid="{879DBB76-B158-485F-8881-E5AE7BD6A780}"/>
    <cellStyle name="Porcentaje 2 4 2 4 2" xfId="9678" xr:uid="{5723DAD3-CCB8-4D44-AC3B-B53224C37D92}"/>
    <cellStyle name="Porcentaje 2 4 2 5" xfId="3614" xr:uid="{3257072F-693A-443D-B161-5410EEE132E8}"/>
    <cellStyle name="Porcentaje 2 4 2 6" xfId="8470" xr:uid="{05493BFF-CA49-4B10-88C2-075B94D183D5}"/>
    <cellStyle name="Porcentaje 2 4 3" xfId="5430" xr:uid="{94A7A717-5477-4486-8432-0F558A52E158}"/>
    <cellStyle name="Porcentaje 2 4 3 2" xfId="10282" xr:uid="{341AAC0B-E6CF-4943-AE0A-D00457456DEA}"/>
    <cellStyle name="Porcentaje 2 4 4" xfId="6645" xr:uid="{BAF7D101-CBFF-4501-A6FE-017D4ED5A4F7}"/>
    <cellStyle name="Porcentaje 2 4 4 2" xfId="11494" xr:uid="{E7BF9A42-C086-4FED-9F91-18906B5E2862}"/>
    <cellStyle name="Porcentaje 2 4 5" xfId="4220" xr:uid="{5BC2C76B-5A49-48D8-AC05-26FEDD369326}"/>
    <cellStyle name="Porcentaje 2 4 5 2" xfId="9074" xr:uid="{B465D66C-2DCF-4CED-BE96-4505F562102C}"/>
    <cellStyle name="Porcentaje 2 4 6" xfId="3007" xr:uid="{BF65A4F4-A31F-4AB3-B3CE-4383D731D439}"/>
    <cellStyle name="Porcentaje 2 4 7" xfId="7863" xr:uid="{11DD551B-CCA7-48E4-8B5F-95B9D5C1D58B}"/>
    <cellStyle name="Porcentaje 3" xfId="1763" xr:uid="{49C5B892-5A41-4EC8-A38B-0047D1806E5B}"/>
    <cellStyle name="Porcentaje 3 2" xfId="1764" xr:uid="{63C4AF22-034E-4CC3-9863-5C2B8F3AA3F6}"/>
    <cellStyle name="Porcentaje 3 2 2" xfId="1765" xr:uid="{A8D508AD-4F94-4470-B837-43A30138DDA0}"/>
    <cellStyle name="Porcentaje 3 2 3" xfId="1766" xr:uid="{FCB86B10-CB72-4E6B-A4FA-C88038BD1E88}"/>
    <cellStyle name="Porcentaje 3 2 3 2" xfId="1767" xr:uid="{5A2CC0CE-7C04-4E67-814E-F22AD1BEAE73}"/>
    <cellStyle name="Porcentaje 3 3" xfId="1768" xr:uid="{B321266D-404D-4F7F-BD6C-784FE41766FC}"/>
    <cellStyle name="Porcentaje 4" xfId="1769" xr:uid="{E7C06B8A-4A91-4F4B-B802-A382C91748E0}"/>
    <cellStyle name="Porcentaje 4 2" xfId="1770" xr:uid="{15D97E7C-1F21-4C64-B676-7E3D4AD525BE}"/>
    <cellStyle name="Porcentaje 4 3" xfId="1771" xr:uid="{68AD87AC-DBF9-4B54-BD54-DE898EAF65DD}"/>
    <cellStyle name="Porcentaje 4 3 2" xfId="1772" xr:uid="{8E7260EC-951C-4BFB-9991-87D06A8C65DC}"/>
    <cellStyle name="Porcentaje 5" xfId="1773" xr:uid="{D49AADF3-8C5E-4773-A5CA-3112E3642325}"/>
    <cellStyle name="Porcentaje 5 2" xfId="1774" xr:uid="{21D42DB6-0288-4B85-9C09-196AC4CC8FDC}"/>
    <cellStyle name="Porcentaje 6" xfId="1775" xr:uid="{8D04E21F-F4CA-4EED-AC8B-7037B54AEBF9}"/>
    <cellStyle name="Porcentaje 6 2" xfId="1776" xr:uid="{D694ACBD-2F42-4D1C-A815-16CA727A2442}"/>
    <cellStyle name="Porcentaje 7" xfId="1777" xr:uid="{7EE80282-8F9A-426E-9864-73F4D673DBF6}"/>
    <cellStyle name="Porcentaje 7 2" xfId="1778" xr:uid="{5F6A2C4C-9E3C-4995-8756-747226544455}"/>
    <cellStyle name="Porcentaje 8" xfId="1779" xr:uid="{6F7848D0-2BB5-488F-A147-CBB57B2FF6BA}"/>
    <cellStyle name="Porcentaje 8 2" xfId="1780" xr:uid="{F5B3ED78-3257-43E7-96CF-B3284A8370CD}"/>
    <cellStyle name="Porcentaje 9" xfId="1781" xr:uid="{5E9151F9-286E-4A2A-9CE7-69761E506347}"/>
    <cellStyle name="Porcentaje 9 2" xfId="1782" xr:uid="{503335A8-5E3A-4A77-8CA4-6BCD4D914979}"/>
    <cellStyle name="Salida" xfId="17" builtinId="21" customBuiltin="1"/>
    <cellStyle name="Texto de advertencia" xfId="21" builtinId="11" customBuiltin="1"/>
    <cellStyle name="Texto explicativo" xfId="22" builtinId="53" customBuiltin="1"/>
    <cellStyle name="Título 2" xfId="11" builtinId="17" customBuiltin="1"/>
    <cellStyle name="Título 3" xfId="12" builtinId="18" customBuiltin="1"/>
    <cellStyle name="Título 4" xfId="1783" xr:uid="{DDFA877A-9867-4939-9EFB-5F50F5E74CC7}"/>
    <cellStyle name="Total" xfId="23" builtinId="25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DEFA13C-A01C-4B8A-B1B1-85ADA1ED3F4E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DFEA8B9-B940-45EC-87D2-394F250613B4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95250</xdr:colOff>
      <xdr:row>117</xdr:row>
      <xdr:rowOff>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FF51B24F-79F1-47D4-A2E3-2A7E7A6D2BDD}"/>
            </a:ext>
          </a:extLst>
        </xdr:cNvPr>
        <xdr:cNvSpPr txBox="1">
          <a:spLocks noChangeArrowheads="1"/>
        </xdr:cNvSpPr>
      </xdr:nvSpPr>
      <xdr:spPr bwMode="auto">
        <a:xfrm>
          <a:off x="9267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5" name="Text Box 26">
          <a:extLst>
            <a:ext uri="{FF2B5EF4-FFF2-40B4-BE49-F238E27FC236}">
              <a16:creationId xmlns:a16="http://schemas.microsoft.com/office/drawing/2014/main" id="{24ECEFCB-7FEA-449B-823D-B24279384AF9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83AC66D1-53D6-440E-842D-A8BDDC3849FA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1CA702D-76CB-4F31-B4F1-A548A0AF73FB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95250</xdr:colOff>
      <xdr:row>117</xdr:row>
      <xdr:rowOff>0</xdr:rowOff>
    </xdr:to>
    <xdr:sp macro="" textlink="">
      <xdr:nvSpPr>
        <xdr:cNvPr id="8" name="Text Box 4">
          <a:extLst>
            <a:ext uri="{FF2B5EF4-FFF2-40B4-BE49-F238E27FC236}">
              <a16:creationId xmlns:a16="http://schemas.microsoft.com/office/drawing/2014/main" id="{684D8507-ABD5-431C-918F-5EAF66A96303}"/>
            </a:ext>
          </a:extLst>
        </xdr:cNvPr>
        <xdr:cNvSpPr txBox="1">
          <a:spLocks noChangeArrowheads="1"/>
        </xdr:cNvSpPr>
      </xdr:nvSpPr>
      <xdr:spPr bwMode="auto">
        <a:xfrm>
          <a:off x="9267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id="{7FB4DB12-0DDB-42CC-8FB8-BB606CBB35D7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74CFE656-3B45-4F8D-BF7A-75AB202BAFF8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A8B2699E-22AC-4DD7-9760-3EA7EC97824C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95250</xdr:colOff>
      <xdr:row>117</xdr:row>
      <xdr:rowOff>0</xdr:rowOff>
    </xdr:to>
    <xdr:sp macro="" textlink="">
      <xdr:nvSpPr>
        <xdr:cNvPr id="12" name="Text Box 4">
          <a:extLst>
            <a:ext uri="{FF2B5EF4-FFF2-40B4-BE49-F238E27FC236}">
              <a16:creationId xmlns:a16="http://schemas.microsoft.com/office/drawing/2014/main" id="{B9105C9B-0A98-4A84-8CD7-97A0959DB0D0}"/>
            </a:ext>
          </a:extLst>
        </xdr:cNvPr>
        <xdr:cNvSpPr txBox="1">
          <a:spLocks noChangeArrowheads="1"/>
        </xdr:cNvSpPr>
      </xdr:nvSpPr>
      <xdr:spPr bwMode="auto">
        <a:xfrm>
          <a:off x="9267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13" name="Text Box 26">
          <a:extLst>
            <a:ext uri="{FF2B5EF4-FFF2-40B4-BE49-F238E27FC236}">
              <a16:creationId xmlns:a16="http://schemas.microsoft.com/office/drawing/2014/main" id="{096C7BEE-191A-4D15-89C1-4B7A2CB0172B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90E6FC91-43FD-46DC-9CEF-7ECF42A21F2A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EEAC1FB5-EB5D-44E3-B5C6-F64C5BF19B43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95250</xdr:colOff>
      <xdr:row>117</xdr:row>
      <xdr:rowOff>0</xdr:rowOff>
    </xdr:to>
    <xdr:sp macro="" textlink="">
      <xdr:nvSpPr>
        <xdr:cNvPr id="16" name="Text Box 4">
          <a:extLst>
            <a:ext uri="{FF2B5EF4-FFF2-40B4-BE49-F238E27FC236}">
              <a16:creationId xmlns:a16="http://schemas.microsoft.com/office/drawing/2014/main" id="{972931CC-C30B-47E6-A41B-4377E2B84BCD}"/>
            </a:ext>
          </a:extLst>
        </xdr:cNvPr>
        <xdr:cNvSpPr txBox="1">
          <a:spLocks noChangeArrowheads="1"/>
        </xdr:cNvSpPr>
      </xdr:nvSpPr>
      <xdr:spPr bwMode="auto">
        <a:xfrm>
          <a:off x="9267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95250</xdr:colOff>
      <xdr:row>117</xdr:row>
      <xdr:rowOff>0</xdr:rowOff>
    </xdr:to>
    <xdr:sp macro="" textlink="">
      <xdr:nvSpPr>
        <xdr:cNvPr id="17" name="Text Box 26">
          <a:extLst>
            <a:ext uri="{FF2B5EF4-FFF2-40B4-BE49-F238E27FC236}">
              <a16:creationId xmlns:a16="http://schemas.microsoft.com/office/drawing/2014/main" id="{1EF5B98A-3ADE-44A5-A4E6-3D01098D360F}"/>
            </a:ext>
          </a:extLst>
        </xdr:cNvPr>
        <xdr:cNvSpPr txBox="1">
          <a:spLocks noChangeArrowheads="1"/>
        </xdr:cNvSpPr>
      </xdr:nvSpPr>
      <xdr:spPr bwMode="auto">
        <a:xfrm>
          <a:off x="2028825" y="443293500"/>
          <a:ext cx="95250" cy="160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95250</xdr:colOff>
      <xdr:row>63</xdr:row>
      <xdr:rowOff>0</xdr:rowOff>
    </xdr:to>
    <xdr:sp macro="" textlink="">
      <xdr:nvSpPr>
        <xdr:cNvPr id="18" name="Text Box 4">
          <a:extLst>
            <a:ext uri="{FF2B5EF4-FFF2-40B4-BE49-F238E27FC236}">
              <a16:creationId xmlns:a16="http://schemas.microsoft.com/office/drawing/2014/main" id="{39BEBFFF-E319-4B65-8222-D9F76A5D9DB7}"/>
            </a:ext>
          </a:extLst>
        </xdr:cNvPr>
        <xdr:cNvSpPr txBox="1">
          <a:spLocks noChangeArrowheads="1"/>
        </xdr:cNvSpPr>
      </xdr:nvSpPr>
      <xdr:spPr bwMode="auto">
        <a:xfrm>
          <a:off x="9267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95250</xdr:colOff>
      <xdr:row>63</xdr:row>
      <xdr:rowOff>0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F9D2B870-D3A4-4549-84B2-5180FC1E1748}"/>
            </a:ext>
          </a:extLst>
        </xdr:cNvPr>
        <xdr:cNvSpPr txBox="1">
          <a:spLocks noChangeArrowheads="1"/>
        </xdr:cNvSpPr>
      </xdr:nvSpPr>
      <xdr:spPr bwMode="auto">
        <a:xfrm>
          <a:off x="2028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95250</xdr:colOff>
      <xdr:row>63</xdr:row>
      <xdr:rowOff>0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632E790D-4D0B-44F2-A6BE-78653AF456AC}"/>
            </a:ext>
          </a:extLst>
        </xdr:cNvPr>
        <xdr:cNvSpPr txBox="1">
          <a:spLocks noChangeArrowheads="1"/>
        </xdr:cNvSpPr>
      </xdr:nvSpPr>
      <xdr:spPr bwMode="auto">
        <a:xfrm>
          <a:off x="2028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95250</xdr:colOff>
      <xdr:row>63</xdr:row>
      <xdr:rowOff>0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9D20C206-5DA6-4FE1-9913-04B123D04B4E}"/>
            </a:ext>
          </a:extLst>
        </xdr:cNvPr>
        <xdr:cNvSpPr txBox="1">
          <a:spLocks noChangeArrowheads="1"/>
        </xdr:cNvSpPr>
      </xdr:nvSpPr>
      <xdr:spPr bwMode="auto">
        <a:xfrm>
          <a:off x="9267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95250</xdr:colOff>
      <xdr:row>63</xdr:row>
      <xdr:rowOff>0</xdr:rowOff>
    </xdr:to>
    <xdr:sp macro="" textlink="">
      <xdr:nvSpPr>
        <xdr:cNvPr id="22" name="Text Box 26">
          <a:extLst>
            <a:ext uri="{FF2B5EF4-FFF2-40B4-BE49-F238E27FC236}">
              <a16:creationId xmlns:a16="http://schemas.microsoft.com/office/drawing/2014/main" id="{2C58FA8D-2572-4B82-B721-1D784A1ED6FE}"/>
            </a:ext>
          </a:extLst>
        </xdr:cNvPr>
        <xdr:cNvSpPr txBox="1">
          <a:spLocks noChangeArrowheads="1"/>
        </xdr:cNvSpPr>
      </xdr:nvSpPr>
      <xdr:spPr bwMode="auto">
        <a:xfrm>
          <a:off x="2028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95250</xdr:colOff>
      <xdr:row>63</xdr:row>
      <xdr:rowOff>0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F8C48F6D-6310-4260-85F9-791ED67E1D2F}"/>
            </a:ext>
          </a:extLst>
        </xdr:cNvPr>
        <xdr:cNvSpPr txBox="1">
          <a:spLocks noChangeArrowheads="1"/>
        </xdr:cNvSpPr>
      </xdr:nvSpPr>
      <xdr:spPr bwMode="auto">
        <a:xfrm>
          <a:off x="2028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95250</xdr:colOff>
      <xdr:row>63</xdr:row>
      <xdr:rowOff>0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A7788CF1-1D72-4C5D-A59B-9078CB3DEC18}"/>
            </a:ext>
          </a:extLst>
        </xdr:cNvPr>
        <xdr:cNvSpPr txBox="1">
          <a:spLocks noChangeArrowheads="1"/>
        </xdr:cNvSpPr>
      </xdr:nvSpPr>
      <xdr:spPr bwMode="auto">
        <a:xfrm>
          <a:off x="2028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95250</xdr:colOff>
      <xdr:row>63</xdr:row>
      <xdr:rowOff>0</xdr:rowOff>
    </xdr:to>
    <xdr:sp macro="" textlink="">
      <xdr:nvSpPr>
        <xdr:cNvPr id="25" name="Text Box 4">
          <a:extLst>
            <a:ext uri="{FF2B5EF4-FFF2-40B4-BE49-F238E27FC236}">
              <a16:creationId xmlns:a16="http://schemas.microsoft.com/office/drawing/2014/main" id="{9483130A-D767-453D-90B4-A1B024363F2E}"/>
            </a:ext>
          </a:extLst>
        </xdr:cNvPr>
        <xdr:cNvSpPr txBox="1">
          <a:spLocks noChangeArrowheads="1"/>
        </xdr:cNvSpPr>
      </xdr:nvSpPr>
      <xdr:spPr bwMode="auto">
        <a:xfrm>
          <a:off x="9267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95250</xdr:colOff>
      <xdr:row>63</xdr:row>
      <xdr:rowOff>0</xdr:rowOff>
    </xdr:to>
    <xdr:sp macro="" textlink="">
      <xdr:nvSpPr>
        <xdr:cNvPr id="26" name="Text Box 26">
          <a:extLst>
            <a:ext uri="{FF2B5EF4-FFF2-40B4-BE49-F238E27FC236}">
              <a16:creationId xmlns:a16="http://schemas.microsoft.com/office/drawing/2014/main" id="{BB972D77-BC3B-4B48-BA3B-95205AC99D46}"/>
            </a:ext>
          </a:extLst>
        </xdr:cNvPr>
        <xdr:cNvSpPr txBox="1">
          <a:spLocks noChangeArrowheads="1"/>
        </xdr:cNvSpPr>
      </xdr:nvSpPr>
      <xdr:spPr bwMode="auto">
        <a:xfrm>
          <a:off x="2028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95250</xdr:colOff>
      <xdr:row>63</xdr:row>
      <xdr:rowOff>0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8AEC3ACC-6956-4DCA-8AE7-77A798373559}"/>
            </a:ext>
          </a:extLst>
        </xdr:cNvPr>
        <xdr:cNvSpPr txBox="1">
          <a:spLocks noChangeArrowheads="1"/>
        </xdr:cNvSpPr>
      </xdr:nvSpPr>
      <xdr:spPr bwMode="auto">
        <a:xfrm>
          <a:off x="2028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95250</xdr:colOff>
      <xdr:row>63</xdr:row>
      <xdr:rowOff>0</xdr:rowOff>
    </xdr:to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B37165FA-BDD0-4743-820C-82F49F02695A}"/>
            </a:ext>
          </a:extLst>
        </xdr:cNvPr>
        <xdr:cNvSpPr txBox="1">
          <a:spLocks noChangeArrowheads="1"/>
        </xdr:cNvSpPr>
      </xdr:nvSpPr>
      <xdr:spPr bwMode="auto">
        <a:xfrm>
          <a:off x="2028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95250</xdr:colOff>
      <xdr:row>63</xdr:row>
      <xdr:rowOff>0</xdr:rowOff>
    </xdr:to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2E608174-8F53-4670-94DA-D6712F96AED7}"/>
            </a:ext>
          </a:extLst>
        </xdr:cNvPr>
        <xdr:cNvSpPr txBox="1">
          <a:spLocks noChangeArrowheads="1"/>
        </xdr:cNvSpPr>
      </xdr:nvSpPr>
      <xdr:spPr bwMode="auto">
        <a:xfrm>
          <a:off x="9267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95250</xdr:colOff>
      <xdr:row>63</xdr:row>
      <xdr:rowOff>0</xdr:rowOff>
    </xdr:to>
    <xdr:sp macro="" textlink="">
      <xdr:nvSpPr>
        <xdr:cNvPr id="30" name="Text Box 26">
          <a:extLst>
            <a:ext uri="{FF2B5EF4-FFF2-40B4-BE49-F238E27FC236}">
              <a16:creationId xmlns:a16="http://schemas.microsoft.com/office/drawing/2014/main" id="{3A62DDB7-3520-4834-AC44-A5A192FE6C2E}"/>
            </a:ext>
          </a:extLst>
        </xdr:cNvPr>
        <xdr:cNvSpPr txBox="1">
          <a:spLocks noChangeArrowheads="1"/>
        </xdr:cNvSpPr>
      </xdr:nvSpPr>
      <xdr:spPr bwMode="auto">
        <a:xfrm>
          <a:off x="2028825" y="434540025"/>
          <a:ext cx="95250" cy="161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115449</xdr:colOff>
      <xdr:row>0</xdr:row>
      <xdr:rowOff>179798</xdr:rowOff>
    </xdr:from>
    <xdr:to>
      <xdr:col>4</xdr:col>
      <xdr:colOff>70205</xdr:colOff>
      <xdr:row>3</xdr:row>
      <xdr:rowOff>86929</xdr:rowOff>
    </xdr:to>
    <xdr:pic>
      <xdr:nvPicPr>
        <xdr:cNvPr id="31" name="Imagen 1" descr="Descripción: Descripción: Descripción: https://www.google.com/a/cpanel/eimontajes.cl/images/logo.gif?service=mail">
          <a:extLst>
            <a:ext uri="{FF2B5EF4-FFF2-40B4-BE49-F238E27FC236}">
              <a16:creationId xmlns:a16="http://schemas.microsoft.com/office/drawing/2014/main" id="{03EA77C3-60B0-4610-9E4C-0F2B2190E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24" y="179798"/>
          <a:ext cx="1193006" cy="640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heverriaizquierdo-my.sharepoint.com/personal/mavilac_eimontajes_cl/Documents/CC395/CC395/Remuneraciones/Vacaciones.xlsx" TargetMode="External"/><Relationship Id="rId1" Type="http://schemas.openxmlformats.org/officeDocument/2006/relationships/externalLinkPath" Target="https://echeverriaizquierdo-my.sharepoint.com/personal/mavilac_eimontajes_cl/Documents/CC395/CC395/Remuneraciones/Vaca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osto "/>
      <sheetName val="Septiembre"/>
      <sheetName val="Octubre"/>
      <sheetName val="Noviembre"/>
      <sheetName val="Diciembre"/>
      <sheetName val="Enero 2025"/>
      <sheetName val="Febrero"/>
      <sheetName val="Marzo"/>
      <sheetName val="Abril 2025"/>
      <sheetName val="Mayo 2025"/>
      <sheetName val="Junio 2025"/>
      <sheetName val="Jul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A7" t="str">
            <v>13383008-1</v>
          </cell>
          <cell r="B7" t="str">
            <v>Valdebenito</v>
          </cell>
          <cell r="C7" t="str">
            <v>Barra</v>
          </cell>
          <cell r="D7" t="str">
            <v>Alexis Michel</v>
          </cell>
          <cell r="E7">
            <v>30</v>
          </cell>
          <cell r="F7">
            <v>2000000</v>
          </cell>
          <cell r="G7">
            <v>915000</v>
          </cell>
          <cell r="H7">
            <v>55454</v>
          </cell>
          <cell r="I7">
            <v>0</v>
          </cell>
          <cell r="J7">
            <v>2970454</v>
          </cell>
        </row>
        <row r="8">
          <cell r="A8" t="str">
            <v>19140145-k</v>
          </cell>
          <cell r="B8" t="str">
            <v>Avila</v>
          </cell>
          <cell r="C8" t="str">
            <v>Carrillo</v>
          </cell>
          <cell r="D8" t="str">
            <v>Maria Fernanda</v>
          </cell>
          <cell r="E8">
            <v>30</v>
          </cell>
          <cell r="F8">
            <v>1300000</v>
          </cell>
          <cell r="G8">
            <v>450000</v>
          </cell>
          <cell r="H8">
            <v>171732</v>
          </cell>
          <cell r="I8">
            <v>0</v>
          </cell>
          <cell r="J8">
            <v>1921732</v>
          </cell>
        </row>
        <row r="9">
          <cell r="A9" t="str">
            <v>15184998-9</v>
          </cell>
          <cell r="B9" t="str">
            <v>Aburto</v>
          </cell>
          <cell r="C9" t="str">
            <v>Toledo</v>
          </cell>
          <cell r="D9" t="str">
            <v>Johny Eduardo</v>
          </cell>
          <cell r="E9">
            <v>30</v>
          </cell>
          <cell r="F9">
            <v>1200000</v>
          </cell>
          <cell r="G9">
            <v>600000</v>
          </cell>
          <cell r="H9">
            <v>249452</v>
          </cell>
          <cell r="I9">
            <v>0</v>
          </cell>
          <cell r="J9">
            <v>2049452</v>
          </cell>
        </row>
        <row r="10">
          <cell r="A10" t="str">
            <v>17000483-3</v>
          </cell>
          <cell r="B10" t="str">
            <v>Bustos</v>
          </cell>
          <cell r="C10" t="str">
            <v>Leal</v>
          </cell>
          <cell r="D10" t="str">
            <v>Yarithza Margarita</v>
          </cell>
          <cell r="E10">
            <v>30</v>
          </cell>
          <cell r="F10">
            <v>950000</v>
          </cell>
          <cell r="G10">
            <v>400000</v>
          </cell>
          <cell r="H10">
            <v>60860</v>
          </cell>
          <cell r="I10">
            <v>0</v>
          </cell>
          <cell r="J10">
            <v>1410860</v>
          </cell>
        </row>
        <row r="11">
          <cell r="A11" t="str">
            <v>13604818-k</v>
          </cell>
          <cell r="B11" t="str">
            <v>Carrasco</v>
          </cell>
          <cell r="C11" t="str">
            <v>Cordero</v>
          </cell>
          <cell r="D11" t="str">
            <v>Alexi Eduardo</v>
          </cell>
          <cell r="E11">
            <v>30</v>
          </cell>
          <cell r="F11">
            <v>1300000</v>
          </cell>
          <cell r="G11">
            <v>550000</v>
          </cell>
          <cell r="H11">
            <v>199452</v>
          </cell>
          <cell r="I11">
            <v>0</v>
          </cell>
          <cell r="J11">
            <v>2049452</v>
          </cell>
        </row>
        <row r="12">
          <cell r="A12" t="str">
            <v>9957976-5</v>
          </cell>
          <cell r="B12" t="str">
            <v>Carrasco</v>
          </cell>
          <cell r="C12" t="str">
            <v>Maldonado</v>
          </cell>
          <cell r="D12" t="str">
            <v>Luis Mauricio</v>
          </cell>
          <cell r="E12">
            <v>30</v>
          </cell>
          <cell r="F12">
            <v>1200000</v>
          </cell>
          <cell r="G12">
            <v>550000</v>
          </cell>
          <cell r="H12">
            <v>291747</v>
          </cell>
          <cell r="I12">
            <v>0</v>
          </cell>
          <cell r="J12">
            <v>2041747</v>
          </cell>
        </row>
        <row r="13">
          <cell r="A13" t="str">
            <v>13312411-k</v>
          </cell>
          <cell r="B13" t="str">
            <v>Acosta</v>
          </cell>
          <cell r="C13" t="str">
            <v>Zambrano</v>
          </cell>
          <cell r="D13" t="str">
            <v>Gloria Jeanette</v>
          </cell>
          <cell r="E13">
            <v>30</v>
          </cell>
          <cell r="F13">
            <v>1200000</v>
          </cell>
          <cell r="G13">
            <v>550000</v>
          </cell>
          <cell r="H13">
            <v>294768</v>
          </cell>
          <cell r="I13">
            <v>0</v>
          </cell>
          <cell r="J13">
            <v>2044768</v>
          </cell>
        </row>
        <row r="14">
          <cell r="A14" t="str">
            <v>18702963-5</v>
          </cell>
          <cell r="B14" t="str">
            <v>Velasquez</v>
          </cell>
          <cell r="C14" t="str">
            <v>Vergara</v>
          </cell>
          <cell r="D14" t="str">
            <v>Fernanda Millaray</v>
          </cell>
          <cell r="E14">
            <v>30</v>
          </cell>
          <cell r="F14">
            <v>1400000</v>
          </cell>
          <cell r="G14">
            <v>600000</v>
          </cell>
          <cell r="H14">
            <v>305192</v>
          </cell>
          <cell r="I14">
            <v>0</v>
          </cell>
          <cell r="J14">
            <v>2305192</v>
          </cell>
        </row>
        <row r="15">
          <cell r="A15" t="str">
            <v>15703223-2</v>
          </cell>
          <cell r="B15" t="str">
            <v>Duran</v>
          </cell>
          <cell r="C15" t="str">
            <v>Salvo</v>
          </cell>
          <cell r="D15" t="str">
            <v>Juan Andres</v>
          </cell>
          <cell r="E15">
            <v>30</v>
          </cell>
          <cell r="F15">
            <v>1500000</v>
          </cell>
          <cell r="G15">
            <v>700000</v>
          </cell>
          <cell r="H15">
            <v>104886</v>
          </cell>
          <cell r="I15">
            <v>0</v>
          </cell>
          <cell r="J15">
            <v>2304886</v>
          </cell>
        </row>
        <row r="16">
          <cell r="A16" t="str">
            <v>17616895-1</v>
          </cell>
          <cell r="B16" t="str">
            <v>Inostroza</v>
          </cell>
          <cell r="C16" t="str">
            <v>Castro</v>
          </cell>
          <cell r="D16" t="str">
            <v>Sergio Anibal</v>
          </cell>
          <cell r="E16">
            <v>30</v>
          </cell>
          <cell r="F16">
            <v>950000</v>
          </cell>
          <cell r="G16">
            <v>400000</v>
          </cell>
          <cell r="H16">
            <v>60860</v>
          </cell>
          <cell r="I16">
            <v>0</v>
          </cell>
          <cell r="J16">
            <v>1410860</v>
          </cell>
        </row>
        <row r="17">
          <cell r="A17" t="str">
            <v>8268674-6</v>
          </cell>
          <cell r="B17" t="str">
            <v>Gonzalez</v>
          </cell>
          <cell r="C17" t="str">
            <v>Mardones</v>
          </cell>
          <cell r="D17" t="str">
            <v>Jose Aladino</v>
          </cell>
          <cell r="E17">
            <v>30</v>
          </cell>
          <cell r="F17">
            <v>1200000</v>
          </cell>
          <cell r="G17">
            <v>490000</v>
          </cell>
          <cell r="H17">
            <v>354768</v>
          </cell>
          <cell r="I17">
            <v>0</v>
          </cell>
          <cell r="J17">
            <v>2044768</v>
          </cell>
        </row>
        <row r="18">
          <cell r="A18" t="str">
            <v>13281451-1</v>
          </cell>
          <cell r="B18" t="str">
            <v>Contreras</v>
          </cell>
          <cell r="C18" t="str">
            <v>Catalan</v>
          </cell>
          <cell r="D18" t="str">
            <v>Claudio Andres</v>
          </cell>
          <cell r="E18">
            <v>30</v>
          </cell>
          <cell r="F18">
            <v>1200000</v>
          </cell>
          <cell r="G18">
            <v>500000</v>
          </cell>
          <cell r="H18">
            <v>349727</v>
          </cell>
          <cell r="I18">
            <v>0</v>
          </cell>
          <cell r="J18">
            <v>2049727</v>
          </cell>
        </row>
        <row r="19">
          <cell r="A19" t="str">
            <v>17045641-6</v>
          </cell>
          <cell r="B19" t="str">
            <v>Cifuentes</v>
          </cell>
          <cell r="C19" t="str">
            <v>Caro</v>
          </cell>
          <cell r="D19" t="str">
            <v>Daniel Alejandro</v>
          </cell>
          <cell r="E19">
            <v>30</v>
          </cell>
          <cell r="F19">
            <v>1200000</v>
          </cell>
          <cell r="G19">
            <v>550000</v>
          </cell>
          <cell r="H19">
            <v>294768</v>
          </cell>
          <cell r="I19">
            <v>0</v>
          </cell>
          <cell r="J19">
            <v>2044768</v>
          </cell>
        </row>
        <row r="20">
          <cell r="A20" t="str">
            <v>15183471-k</v>
          </cell>
          <cell r="B20" t="str">
            <v>Navarrete</v>
          </cell>
          <cell r="C20" t="str">
            <v>Gomez</v>
          </cell>
          <cell r="D20" t="str">
            <v>Miguel Angel</v>
          </cell>
          <cell r="E20">
            <v>30</v>
          </cell>
          <cell r="F20">
            <v>700000</v>
          </cell>
          <cell r="G20">
            <v>580000</v>
          </cell>
          <cell r="H20">
            <v>141846</v>
          </cell>
          <cell r="I20">
            <v>150000</v>
          </cell>
          <cell r="J20">
            <v>1571846</v>
          </cell>
        </row>
        <row r="21">
          <cell r="A21" t="str">
            <v>19286864-5</v>
          </cell>
          <cell r="B21" t="str">
            <v>Velasquez</v>
          </cell>
          <cell r="C21" t="str">
            <v>Vidal</v>
          </cell>
          <cell r="D21" t="str">
            <v>Manuel Ignacio</v>
          </cell>
          <cell r="E21">
            <v>30</v>
          </cell>
          <cell r="F21">
            <v>600000</v>
          </cell>
          <cell r="G21">
            <v>380000</v>
          </cell>
          <cell r="H21">
            <v>129191</v>
          </cell>
          <cell r="I21">
            <v>150000</v>
          </cell>
          <cell r="J21">
            <v>1259191</v>
          </cell>
        </row>
        <row r="22">
          <cell r="A22" t="str">
            <v>12909151-7</v>
          </cell>
          <cell r="B22" t="str">
            <v>Lobos</v>
          </cell>
          <cell r="C22" t="str">
            <v>Carrasco</v>
          </cell>
          <cell r="D22" t="str">
            <v>Jeannette Del Carmen</v>
          </cell>
          <cell r="E22">
            <v>30</v>
          </cell>
          <cell r="F22">
            <v>500000</v>
          </cell>
          <cell r="G22">
            <v>30000</v>
          </cell>
          <cell r="H22">
            <v>71982</v>
          </cell>
          <cell r="I22">
            <v>150000</v>
          </cell>
          <cell r="J22">
            <v>751982</v>
          </cell>
        </row>
        <row r="23">
          <cell r="A23" t="str">
            <v>17377694-2</v>
          </cell>
          <cell r="B23" t="str">
            <v>Diaz</v>
          </cell>
          <cell r="C23" t="str">
            <v>Concha</v>
          </cell>
          <cell r="D23" t="str">
            <v>Danilo Antonio</v>
          </cell>
          <cell r="E23">
            <v>30</v>
          </cell>
          <cell r="F23">
            <v>550000</v>
          </cell>
          <cell r="G23">
            <v>210000</v>
          </cell>
          <cell r="H23">
            <v>117212</v>
          </cell>
          <cell r="I23">
            <v>150000</v>
          </cell>
          <cell r="J23">
            <v>1027212</v>
          </cell>
        </row>
        <row r="24">
          <cell r="A24" t="str">
            <v>17445607-0</v>
          </cell>
          <cell r="B24" t="str">
            <v>Araneda</v>
          </cell>
          <cell r="C24" t="str">
            <v>Saldaña</v>
          </cell>
          <cell r="D24" t="str">
            <v>Cesar Emmanuel</v>
          </cell>
          <cell r="E24">
            <v>30</v>
          </cell>
          <cell r="F24">
            <v>700000</v>
          </cell>
          <cell r="G24">
            <v>580000</v>
          </cell>
          <cell r="H24">
            <v>142044</v>
          </cell>
          <cell r="I24">
            <v>150000</v>
          </cell>
          <cell r="J24">
            <v>1572044</v>
          </cell>
        </row>
        <row r="25">
          <cell r="A25" t="str">
            <v>15211577-6</v>
          </cell>
          <cell r="B25" t="str">
            <v>Pereira</v>
          </cell>
          <cell r="C25" t="str">
            <v>Mendez</v>
          </cell>
          <cell r="D25" t="str">
            <v>Segundo David</v>
          </cell>
          <cell r="E25">
            <v>29</v>
          </cell>
          <cell r="F25">
            <v>580000</v>
          </cell>
          <cell r="G25">
            <v>183667</v>
          </cell>
          <cell r="H25">
            <v>134108</v>
          </cell>
          <cell r="I25">
            <v>145000</v>
          </cell>
          <cell r="J25">
            <v>1042775</v>
          </cell>
        </row>
        <row r="26">
          <cell r="A26" t="str">
            <v>19271200-9</v>
          </cell>
          <cell r="B26" t="str">
            <v>Chamorro</v>
          </cell>
          <cell r="C26" t="str">
            <v>Chamorro</v>
          </cell>
          <cell r="D26" t="str">
            <v>Michael Armando</v>
          </cell>
          <cell r="E26">
            <v>30</v>
          </cell>
          <cell r="F26">
            <v>550000</v>
          </cell>
          <cell r="G26">
            <v>280000</v>
          </cell>
          <cell r="H26">
            <v>96690</v>
          </cell>
          <cell r="I26">
            <v>150000</v>
          </cell>
          <cell r="J26">
            <v>1076690</v>
          </cell>
        </row>
        <row r="27">
          <cell r="A27" t="str">
            <v>18821121-6</v>
          </cell>
          <cell r="B27" t="str">
            <v>Zamora</v>
          </cell>
          <cell r="C27" t="str">
            <v>Meza</v>
          </cell>
          <cell r="D27" t="str">
            <v>Matias Nicolas</v>
          </cell>
          <cell r="E27">
            <v>30</v>
          </cell>
          <cell r="F27">
            <v>550000</v>
          </cell>
          <cell r="G27">
            <v>280000</v>
          </cell>
          <cell r="H27">
            <v>109977</v>
          </cell>
          <cell r="I27">
            <v>150000</v>
          </cell>
          <cell r="J27">
            <v>1089977</v>
          </cell>
        </row>
        <row r="28">
          <cell r="A28" t="str">
            <v>17570975-4</v>
          </cell>
          <cell r="B28" t="str">
            <v>Pastenes</v>
          </cell>
          <cell r="C28" t="str">
            <v>Fuentealba</v>
          </cell>
          <cell r="D28" t="str">
            <v>Jose Luis</v>
          </cell>
          <cell r="E28">
            <v>30</v>
          </cell>
          <cell r="F28">
            <v>700000</v>
          </cell>
          <cell r="G28">
            <v>150000</v>
          </cell>
          <cell r="H28">
            <v>572044</v>
          </cell>
          <cell r="I28">
            <v>150000</v>
          </cell>
          <cell r="J28">
            <v>1572044</v>
          </cell>
        </row>
        <row r="29">
          <cell r="A29" t="str">
            <v>13816122-6</v>
          </cell>
          <cell r="B29" t="str">
            <v>Contreras</v>
          </cell>
          <cell r="C29" t="str">
            <v>Dasse</v>
          </cell>
          <cell r="D29" t="str">
            <v>Roberto Carlos</v>
          </cell>
          <cell r="E29">
            <v>30</v>
          </cell>
          <cell r="F29">
            <v>550000</v>
          </cell>
          <cell r="G29">
            <v>210000</v>
          </cell>
          <cell r="H29">
            <v>117212</v>
          </cell>
          <cell r="I29">
            <v>150000</v>
          </cell>
          <cell r="J29">
            <v>1027212</v>
          </cell>
        </row>
        <row r="30">
          <cell r="A30" t="str">
            <v>17322382-k</v>
          </cell>
          <cell r="B30" t="str">
            <v>Opazo</v>
          </cell>
          <cell r="C30" t="str">
            <v>Reyes</v>
          </cell>
          <cell r="D30" t="str">
            <v>Cristofer Yonathan</v>
          </cell>
          <cell r="E30">
            <v>30</v>
          </cell>
          <cell r="F30">
            <v>1200000</v>
          </cell>
          <cell r="G30">
            <v>1050000</v>
          </cell>
          <cell r="H30">
            <v>179699</v>
          </cell>
          <cell r="I30">
            <v>150000</v>
          </cell>
          <cell r="J30">
            <v>2579699</v>
          </cell>
        </row>
        <row r="31">
          <cell r="A31" t="str">
            <v>13399631-1</v>
          </cell>
          <cell r="B31" t="str">
            <v>Cuadra</v>
          </cell>
          <cell r="C31" t="str">
            <v>Neira</v>
          </cell>
          <cell r="D31" t="str">
            <v>Patricio Alexis</v>
          </cell>
          <cell r="E31">
            <v>30</v>
          </cell>
          <cell r="F31">
            <v>1200000</v>
          </cell>
          <cell r="G31">
            <v>1050000</v>
          </cell>
          <cell r="H31">
            <v>173903</v>
          </cell>
          <cell r="I31">
            <v>150000</v>
          </cell>
          <cell r="J31">
            <v>2573903</v>
          </cell>
        </row>
        <row r="32">
          <cell r="A32" t="str">
            <v>10952948-6</v>
          </cell>
          <cell r="B32" t="str">
            <v>Cea</v>
          </cell>
          <cell r="C32" t="str">
            <v>Morales</v>
          </cell>
          <cell r="D32" t="str">
            <v>Juan Carlos</v>
          </cell>
          <cell r="E32">
            <v>30</v>
          </cell>
          <cell r="F32">
            <v>1200000</v>
          </cell>
          <cell r="G32">
            <v>1050000</v>
          </cell>
          <cell r="H32">
            <v>173903</v>
          </cell>
          <cell r="I32">
            <v>150000</v>
          </cell>
          <cell r="J32">
            <v>2573903</v>
          </cell>
        </row>
        <row r="33">
          <cell r="A33" t="str">
            <v>20527883-4</v>
          </cell>
          <cell r="B33" t="str">
            <v>Bustos</v>
          </cell>
          <cell r="C33" t="str">
            <v>Godoy</v>
          </cell>
          <cell r="D33" t="str">
            <v>Eduar Felipe</v>
          </cell>
          <cell r="E33">
            <v>30</v>
          </cell>
          <cell r="F33">
            <v>550000</v>
          </cell>
          <cell r="G33">
            <v>280000</v>
          </cell>
          <cell r="H33">
            <v>109839</v>
          </cell>
          <cell r="I33">
            <v>150000</v>
          </cell>
          <cell r="J33">
            <v>1089839</v>
          </cell>
        </row>
        <row r="34">
          <cell r="A34" t="str">
            <v>19217759-6</v>
          </cell>
          <cell r="B34" t="str">
            <v>Pinto</v>
          </cell>
          <cell r="C34" t="str">
            <v>Huichalao</v>
          </cell>
          <cell r="D34" t="str">
            <v>Wladimir Francisco</v>
          </cell>
          <cell r="E34">
            <v>30</v>
          </cell>
          <cell r="F34">
            <v>600000</v>
          </cell>
          <cell r="G34">
            <v>280000</v>
          </cell>
          <cell r="H34">
            <v>229353</v>
          </cell>
          <cell r="I34">
            <v>150000</v>
          </cell>
          <cell r="J34">
            <v>1259353</v>
          </cell>
        </row>
        <row r="35">
          <cell r="A35" t="str">
            <v>20956581-1</v>
          </cell>
          <cell r="B35" t="str">
            <v>Puentes</v>
          </cell>
          <cell r="C35" t="str">
            <v>Navarrete</v>
          </cell>
          <cell r="D35" t="str">
            <v>Cristopher Patricio</v>
          </cell>
          <cell r="E35">
            <v>30</v>
          </cell>
          <cell r="F35">
            <v>550000</v>
          </cell>
          <cell r="G35">
            <v>280000</v>
          </cell>
          <cell r="H35">
            <v>97923</v>
          </cell>
          <cell r="I35">
            <v>150000</v>
          </cell>
          <cell r="J35">
            <v>1077923</v>
          </cell>
        </row>
        <row r="36">
          <cell r="A36" t="str">
            <v>16905479-7</v>
          </cell>
          <cell r="B36" t="str">
            <v>Palma</v>
          </cell>
          <cell r="C36" t="str">
            <v>Esparza</v>
          </cell>
          <cell r="D36" t="str">
            <v>Luis Gabriel</v>
          </cell>
          <cell r="E36">
            <v>29</v>
          </cell>
          <cell r="F36">
            <v>531667</v>
          </cell>
          <cell r="G36">
            <v>270667</v>
          </cell>
          <cell r="H36">
            <v>99353</v>
          </cell>
          <cell r="I36">
            <v>145000</v>
          </cell>
          <cell r="J36">
            <v>1046687</v>
          </cell>
        </row>
        <row r="37">
          <cell r="A37" t="str">
            <v>18288718-8</v>
          </cell>
          <cell r="B37" t="str">
            <v>Delgado</v>
          </cell>
          <cell r="C37" t="str">
            <v>Cartes</v>
          </cell>
          <cell r="D37" t="str">
            <v>Alex Mauricio</v>
          </cell>
          <cell r="E37">
            <v>30</v>
          </cell>
          <cell r="F37">
            <v>500000</v>
          </cell>
          <cell r="G37">
            <v>245000</v>
          </cell>
          <cell r="H37">
            <v>353555</v>
          </cell>
          <cell r="I37">
            <v>150000</v>
          </cell>
          <cell r="J37">
            <v>1248555</v>
          </cell>
        </row>
        <row r="38">
          <cell r="A38" t="str">
            <v>11424342-6</v>
          </cell>
          <cell r="B38" t="str">
            <v>Palma</v>
          </cell>
          <cell r="C38" t="str">
            <v>Carrasco</v>
          </cell>
          <cell r="D38" t="str">
            <v>Belarmino Segundo</v>
          </cell>
          <cell r="E38">
            <v>23</v>
          </cell>
          <cell r="F38">
            <v>920000</v>
          </cell>
          <cell r="G38">
            <v>345000</v>
          </cell>
          <cell r="H38">
            <v>248035</v>
          </cell>
          <cell r="I38">
            <v>0</v>
          </cell>
          <cell r="J38">
            <v>1513035</v>
          </cell>
        </row>
        <row r="39">
          <cell r="A39" t="str">
            <v>10175556-8</v>
          </cell>
          <cell r="B39" t="str">
            <v>Hernandez</v>
          </cell>
          <cell r="C39" t="str">
            <v>Jara</v>
          </cell>
          <cell r="D39" t="str">
            <v>Rodrigo Mauricio</v>
          </cell>
          <cell r="E39">
            <v>16</v>
          </cell>
          <cell r="F39">
            <v>480000</v>
          </cell>
          <cell r="G39">
            <v>181333</v>
          </cell>
          <cell r="H39">
            <v>5985</v>
          </cell>
          <cell r="I39">
            <v>80000</v>
          </cell>
          <cell r="J39">
            <v>747318</v>
          </cell>
        </row>
        <row r="40">
          <cell r="A40" t="str">
            <v>19464944-4</v>
          </cell>
          <cell r="B40" t="str">
            <v>Morales</v>
          </cell>
          <cell r="C40" t="str">
            <v>Araneda</v>
          </cell>
          <cell r="D40" t="str">
            <v>Jose Daniel</v>
          </cell>
          <cell r="E40">
            <v>30</v>
          </cell>
          <cell r="F40">
            <v>600000</v>
          </cell>
          <cell r="G40">
            <v>190000</v>
          </cell>
          <cell r="H40">
            <v>145930</v>
          </cell>
          <cell r="I40">
            <v>150000</v>
          </cell>
          <cell r="J40">
            <v>1085930</v>
          </cell>
        </row>
        <row r="41">
          <cell r="A41" t="str">
            <v>15197569-0</v>
          </cell>
          <cell r="B41" t="str">
            <v>Guzman</v>
          </cell>
          <cell r="C41" t="str">
            <v>Loyola</v>
          </cell>
          <cell r="D41" t="str">
            <v>Javier Alonso</v>
          </cell>
          <cell r="E41">
            <v>30</v>
          </cell>
          <cell r="F41">
            <v>500000</v>
          </cell>
          <cell r="G41">
            <v>420000</v>
          </cell>
          <cell r="H41">
            <v>178717</v>
          </cell>
          <cell r="I41">
            <v>150000</v>
          </cell>
          <cell r="J41">
            <v>1248717</v>
          </cell>
        </row>
        <row r="42">
          <cell r="A42" t="str">
            <v>20194443-0</v>
          </cell>
          <cell r="B42" t="str">
            <v>Aburto</v>
          </cell>
          <cell r="C42" t="str">
            <v>Carrasco</v>
          </cell>
          <cell r="D42" t="str">
            <v>Johny Benjamin</v>
          </cell>
          <cell r="E42">
            <v>30</v>
          </cell>
          <cell r="F42">
            <v>550000</v>
          </cell>
          <cell r="G42">
            <v>280000</v>
          </cell>
          <cell r="H42">
            <v>109839</v>
          </cell>
          <cell r="I42">
            <v>150000</v>
          </cell>
          <cell r="J42">
            <v>1089839</v>
          </cell>
        </row>
        <row r="43">
          <cell r="A43" t="str">
            <v>15189517-4</v>
          </cell>
          <cell r="B43" t="str">
            <v>Concha</v>
          </cell>
          <cell r="C43" t="str">
            <v>Silva</v>
          </cell>
          <cell r="D43" t="str">
            <v>Ivan Omar</v>
          </cell>
          <cell r="E43">
            <v>30</v>
          </cell>
          <cell r="F43">
            <v>1200000</v>
          </cell>
          <cell r="G43">
            <v>450000</v>
          </cell>
          <cell r="H43">
            <v>144014</v>
          </cell>
          <cell r="I43">
            <v>0</v>
          </cell>
          <cell r="J43">
            <v>1794014</v>
          </cell>
        </row>
        <row r="44">
          <cell r="A44" t="str">
            <v>17319875-2</v>
          </cell>
          <cell r="B44" t="str">
            <v>Reyes</v>
          </cell>
          <cell r="C44" t="str">
            <v>Gutierrez</v>
          </cell>
          <cell r="D44" t="str">
            <v>Yonatan Alfonso</v>
          </cell>
          <cell r="E44">
            <v>30</v>
          </cell>
          <cell r="F44">
            <v>600000</v>
          </cell>
          <cell r="G44">
            <v>280000</v>
          </cell>
          <cell r="H44">
            <v>229353</v>
          </cell>
          <cell r="I44">
            <v>150000</v>
          </cell>
          <cell r="J44">
            <v>1259353</v>
          </cell>
        </row>
        <row r="45">
          <cell r="A45" t="str">
            <v>21680839-8</v>
          </cell>
          <cell r="B45" t="str">
            <v>Carrasco</v>
          </cell>
          <cell r="C45" t="str">
            <v>Pulgar</v>
          </cell>
          <cell r="D45" t="str">
            <v>Antonia Ignacia Catalina</v>
          </cell>
          <cell r="E45">
            <v>30</v>
          </cell>
          <cell r="F45">
            <v>500000</v>
          </cell>
          <cell r="G45">
            <v>200000</v>
          </cell>
          <cell r="H45">
            <v>154018</v>
          </cell>
          <cell r="I45">
            <v>150000</v>
          </cell>
          <cell r="J45">
            <v>1004018</v>
          </cell>
        </row>
        <row r="46">
          <cell r="A46" t="str">
            <v>17421117-5</v>
          </cell>
          <cell r="B46" t="str">
            <v>Tapia</v>
          </cell>
          <cell r="C46" t="str">
            <v>Becerra</v>
          </cell>
          <cell r="D46" t="str">
            <v>Angel Dario</v>
          </cell>
          <cell r="E46">
            <v>30</v>
          </cell>
          <cell r="F46">
            <v>1200000</v>
          </cell>
          <cell r="G46">
            <v>450000</v>
          </cell>
          <cell r="H46">
            <v>335590</v>
          </cell>
          <cell r="I46">
            <v>0</v>
          </cell>
          <cell r="J46">
            <v>1985590</v>
          </cell>
        </row>
        <row r="47">
          <cell r="A47" t="str">
            <v>20111874-3</v>
          </cell>
          <cell r="B47" t="str">
            <v>Del Valle</v>
          </cell>
          <cell r="C47" t="str">
            <v>Quezada</v>
          </cell>
          <cell r="D47" t="str">
            <v>Mario Alejandro</v>
          </cell>
          <cell r="E47">
            <v>30</v>
          </cell>
          <cell r="F47">
            <v>550000</v>
          </cell>
          <cell r="G47">
            <v>210000</v>
          </cell>
          <cell r="H47">
            <v>113387</v>
          </cell>
          <cell r="I47">
            <v>150000</v>
          </cell>
          <cell r="J47">
            <v>1023387</v>
          </cell>
        </row>
        <row r="48">
          <cell r="A48" t="str">
            <v>19725999-k</v>
          </cell>
          <cell r="B48" t="str">
            <v>Sepulveda</v>
          </cell>
          <cell r="C48" t="str">
            <v>Monsalves</v>
          </cell>
          <cell r="D48" t="str">
            <v>Juan Guillermo</v>
          </cell>
          <cell r="E48">
            <v>16</v>
          </cell>
          <cell r="F48">
            <v>320000</v>
          </cell>
          <cell r="G48">
            <v>202667</v>
          </cell>
          <cell r="H48">
            <v>28034</v>
          </cell>
          <cell r="I48">
            <v>80000</v>
          </cell>
          <cell r="J48">
            <v>630701</v>
          </cell>
        </row>
        <row r="49">
          <cell r="A49" t="str">
            <v>18941392-0</v>
          </cell>
          <cell r="B49" t="str">
            <v>Julio</v>
          </cell>
          <cell r="C49" t="str">
            <v>Farias</v>
          </cell>
          <cell r="D49" t="str">
            <v>Pablo Alexander</v>
          </cell>
          <cell r="E49">
            <v>29</v>
          </cell>
          <cell r="F49">
            <v>531667</v>
          </cell>
          <cell r="G49">
            <v>352833</v>
          </cell>
          <cell r="H49">
            <v>0</v>
          </cell>
          <cell r="I49">
            <v>145000</v>
          </cell>
          <cell r="J49">
            <v>1029500</v>
          </cell>
        </row>
        <row r="50">
          <cell r="A50" t="str">
            <v>15205099-2</v>
          </cell>
          <cell r="B50" t="str">
            <v>Barra</v>
          </cell>
          <cell r="C50" t="str">
            <v>Padilla</v>
          </cell>
          <cell r="D50" t="str">
            <v>Ruben Orlando</v>
          </cell>
          <cell r="E50">
            <v>29</v>
          </cell>
          <cell r="F50">
            <v>483333</v>
          </cell>
          <cell r="G50">
            <v>236833</v>
          </cell>
          <cell r="H50">
            <v>110658</v>
          </cell>
          <cell r="I50">
            <v>145000</v>
          </cell>
          <cell r="J50">
            <v>975824</v>
          </cell>
        </row>
        <row r="51">
          <cell r="A51" t="str">
            <v>10518521-9</v>
          </cell>
          <cell r="B51" t="str">
            <v>Vega</v>
          </cell>
          <cell r="C51" t="str">
            <v>Moraga</v>
          </cell>
          <cell r="D51" t="str">
            <v>Marcos Andres</v>
          </cell>
          <cell r="E51">
            <v>28</v>
          </cell>
          <cell r="F51">
            <v>560000</v>
          </cell>
          <cell r="G51">
            <v>354667</v>
          </cell>
          <cell r="H51">
            <v>103947</v>
          </cell>
          <cell r="I51">
            <v>140000</v>
          </cell>
          <cell r="J51">
            <v>1158614</v>
          </cell>
        </row>
        <row r="52">
          <cell r="A52" t="str">
            <v>12701671-2</v>
          </cell>
          <cell r="B52" t="str">
            <v>Ramirez</v>
          </cell>
          <cell r="C52" t="str">
            <v>Gonzalez</v>
          </cell>
          <cell r="D52" t="str">
            <v>Rodrigo Alejandro</v>
          </cell>
          <cell r="E52">
            <v>30</v>
          </cell>
          <cell r="F52">
            <v>1200000</v>
          </cell>
          <cell r="G52">
            <v>500000</v>
          </cell>
          <cell r="H52">
            <v>349452</v>
          </cell>
          <cell r="I52">
            <v>0</v>
          </cell>
          <cell r="J52">
            <v>2049452</v>
          </cell>
        </row>
        <row r="53">
          <cell r="A53" t="str">
            <v>15196124-k</v>
          </cell>
          <cell r="B53" t="str">
            <v>Sepulveda</v>
          </cell>
          <cell r="C53" t="str">
            <v>Pacheco</v>
          </cell>
          <cell r="D53" t="str">
            <v>Nelson Esteban</v>
          </cell>
          <cell r="E53">
            <v>30</v>
          </cell>
          <cell r="F53">
            <v>550000</v>
          </cell>
          <cell r="G53">
            <v>380000</v>
          </cell>
          <cell r="H53">
            <v>55577</v>
          </cell>
          <cell r="I53">
            <v>150000</v>
          </cell>
          <cell r="J53">
            <v>1135577</v>
          </cell>
        </row>
        <row r="54">
          <cell r="A54" t="str">
            <v>17207406-5</v>
          </cell>
          <cell r="B54" t="str">
            <v>Quiroz</v>
          </cell>
          <cell r="C54" t="str">
            <v>Arellano</v>
          </cell>
          <cell r="D54" t="str">
            <v>Pablo Rainiero</v>
          </cell>
          <cell r="E54">
            <v>30</v>
          </cell>
          <cell r="F54">
            <v>500000</v>
          </cell>
          <cell r="G54">
            <v>245000</v>
          </cell>
          <cell r="H54">
            <v>119198</v>
          </cell>
          <cell r="I54">
            <v>150000</v>
          </cell>
          <cell r="J54">
            <v>1014198</v>
          </cell>
        </row>
        <row r="55">
          <cell r="A55" t="str">
            <v>10483229-6</v>
          </cell>
          <cell r="B55" t="str">
            <v>Garrido</v>
          </cell>
          <cell r="C55" t="str">
            <v>Heredia</v>
          </cell>
          <cell r="D55" t="str">
            <v>Juan Carlos</v>
          </cell>
          <cell r="E55">
            <v>30</v>
          </cell>
          <cell r="F55">
            <v>500000</v>
          </cell>
          <cell r="G55">
            <v>245000</v>
          </cell>
          <cell r="H55">
            <v>121576</v>
          </cell>
          <cell r="I55">
            <v>150000</v>
          </cell>
          <cell r="J55">
            <v>1016576</v>
          </cell>
        </row>
        <row r="56">
          <cell r="A56" t="str">
            <v>18815787-4</v>
          </cell>
          <cell r="B56" t="str">
            <v>Briones</v>
          </cell>
          <cell r="C56" t="str">
            <v>Briones</v>
          </cell>
          <cell r="D56" t="str">
            <v>Francisco Ignacio</v>
          </cell>
          <cell r="E56">
            <v>1</v>
          </cell>
          <cell r="F56">
            <v>18333</v>
          </cell>
          <cell r="G56">
            <v>9333</v>
          </cell>
          <cell r="H56">
            <v>2780</v>
          </cell>
          <cell r="I56">
            <v>5000</v>
          </cell>
          <cell r="J56">
            <v>35446</v>
          </cell>
        </row>
        <row r="57">
          <cell r="A57" t="str">
            <v>14355909-2</v>
          </cell>
          <cell r="B57" t="str">
            <v>Castillo</v>
          </cell>
          <cell r="C57" t="str">
            <v>Toro</v>
          </cell>
          <cell r="D57" t="str">
            <v>Luis Andres</v>
          </cell>
          <cell r="E57">
            <v>30</v>
          </cell>
          <cell r="F57">
            <v>550000</v>
          </cell>
          <cell r="G57">
            <v>380000</v>
          </cell>
          <cell r="H57">
            <v>55577</v>
          </cell>
          <cell r="I57">
            <v>150000</v>
          </cell>
          <cell r="J57">
            <v>1135577</v>
          </cell>
        </row>
        <row r="58">
          <cell r="A58" t="str">
            <v>16156882-1</v>
          </cell>
          <cell r="B58" t="str">
            <v>Chaparro</v>
          </cell>
          <cell r="C58" t="str">
            <v>Santos</v>
          </cell>
          <cell r="D58" t="str">
            <v>Juan Carlos</v>
          </cell>
          <cell r="E58">
            <v>30</v>
          </cell>
          <cell r="F58">
            <v>600000</v>
          </cell>
          <cell r="G58">
            <v>380000</v>
          </cell>
          <cell r="H58">
            <v>129353</v>
          </cell>
          <cell r="I58">
            <v>150000</v>
          </cell>
          <cell r="J58">
            <v>1259353</v>
          </cell>
        </row>
        <row r="59">
          <cell r="A59" t="str">
            <v>13377699-0</v>
          </cell>
          <cell r="B59" t="str">
            <v>Suazo</v>
          </cell>
          <cell r="C59" t="str">
            <v>Gallegos</v>
          </cell>
          <cell r="D59" t="str">
            <v>Jose Javier</v>
          </cell>
          <cell r="E59">
            <v>30</v>
          </cell>
          <cell r="F59">
            <v>600000</v>
          </cell>
          <cell r="G59">
            <v>380000</v>
          </cell>
          <cell r="H59">
            <v>126463</v>
          </cell>
          <cell r="I59">
            <v>150000</v>
          </cell>
          <cell r="J59">
            <v>1256463</v>
          </cell>
        </row>
        <row r="60">
          <cell r="A60" t="str">
            <v>19694555-5</v>
          </cell>
          <cell r="B60" t="str">
            <v>Duran</v>
          </cell>
          <cell r="C60" t="str">
            <v>Chaparro</v>
          </cell>
          <cell r="D60" t="str">
            <v>Ignacio Nicolas</v>
          </cell>
          <cell r="E60">
            <v>30</v>
          </cell>
          <cell r="F60">
            <v>550000</v>
          </cell>
          <cell r="G60">
            <v>280000</v>
          </cell>
          <cell r="H60">
            <v>105930</v>
          </cell>
          <cell r="I60">
            <v>150000</v>
          </cell>
          <cell r="J60">
            <v>1085930</v>
          </cell>
        </row>
        <row r="61">
          <cell r="A61" t="str">
            <v>16852812-4</v>
          </cell>
          <cell r="B61" t="str">
            <v>Sanhueza</v>
          </cell>
          <cell r="C61" t="str">
            <v>Tribiños</v>
          </cell>
          <cell r="D61" t="str">
            <v>Fernando Andres</v>
          </cell>
          <cell r="E61">
            <v>30</v>
          </cell>
          <cell r="F61">
            <v>550000</v>
          </cell>
          <cell r="G61">
            <v>280000</v>
          </cell>
          <cell r="H61">
            <v>109977</v>
          </cell>
          <cell r="I61">
            <v>150000</v>
          </cell>
          <cell r="J61">
            <v>1089977</v>
          </cell>
        </row>
        <row r="62">
          <cell r="A62" t="str">
            <v>16601679-7</v>
          </cell>
          <cell r="B62" t="str">
            <v>Salazar</v>
          </cell>
          <cell r="C62" t="str">
            <v>Villagra</v>
          </cell>
          <cell r="D62" t="str">
            <v>Cristian Manuel</v>
          </cell>
          <cell r="E62">
            <v>30</v>
          </cell>
          <cell r="F62">
            <v>700000</v>
          </cell>
          <cell r="G62">
            <v>580000</v>
          </cell>
          <cell r="H62">
            <v>142044</v>
          </cell>
          <cell r="I62">
            <v>150000</v>
          </cell>
          <cell r="J62">
            <v>1572044</v>
          </cell>
        </row>
        <row r="63">
          <cell r="A63" t="str">
            <v>15520507-5</v>
          </cell>
          <cell r="B63" t="str">
            <v>Arevalo</v>
          </cell>
          <cell r="C63" t="str">
            <v>Arevalo</v>
          </cell>
          <cell r="D63" t="str">
            <v>Jose Luis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A64" t="str">
            <v>15235289-1</v>
          </cell>
          <cell r="B64" t="str">
            <v>Baeza</v>
          </cell>
          <cell r="C64" t="str">
            <v>Fuentes</v>
          </cell>
          <cell r="D64" t="str">
            <v>Cristian Gonzalo</v>
          </cell>
          <cell r="E64">
            <v>30</v>
          </cell>
          <cell r="F64">
            <v>550000</v>
          </cell>
          <cell r="G64">
            <v>280000</v>
          </cell>
          <cell r="H64">
            <v>109839</v>
          </cell>
          <cell r="I64">
            <v>150000</v>
          </cell>
          <cell r="J64">
            <v>1089839</v>
          </cell>
        </row>
        <row r="65">
          <cell r="A65" t="str">
            <v>15263365-3</v>
          </cell>
          <cell r="B65" t="str">
            <v>Berrocal</v>
          </cell>
          <cell r="C65" t="str">
            <v>Alvarez</v>
          </cell>
          <cell r="D65" t="str">
            <v>Oscar Gustavo</v>
          </cell>
          <cell r="E65">
            <v>6</v>
          </cell>
          <cell r="F65">
            <v>120000</v>
          </cell>
          <cell r="G65">
            <v>76000</v>
          </cell>
          <cell r="H65">
            <v>8022</v>
          </cell>
          <cell r="I65">
            <v>30000</v>
          </cell>
          <cell r="J65">
            <v>234022</v>
          </cell>
        </row>
        <row r="66">
          <cell r="A66" t="str">
            <v>12703288-2</v>
          </cell>
          <cell r="B66" t="str">
            <v>Burgos</v>
          </cell>
          <cell r="C66" t="str">
            <v>Hormazabal</v>
          </cell>
          <cell r="D66" t="str">
            <v>Moises Alejandro</v>
          </cell>
          <cell r="E66">
            <v>30</v>
          </cell>
          <cell r="F66">
            <v>500000</v>
          </cell>
          <cell r="G66">
            <v>245000</v>
          </cell>
          <cell r="H66">
            <v>121442</v>
          </cell>
          <cell r="I66">
            <v>150000</v>
          </cell>
          <cell r="J66">
            <v>1016442</v>
          </cell>
        </row>
        <row r="67">
          <cell r="A67" t="str">
            <v>12083468-1</v>
          </cell>
          <cell r="B67" t="str">
            <v>Cerda</v>
          </cell>
          <cell r="C67" t="str">
            <v>Leiva</v>
          </cell>
          <cell r="D67" t="str">
            <v>Marco Antonio</v>
          </cell>
          <cell r="E67">
            <v>30</v>
          </cell>
          <cell r="F67">
            <v>500000</v>
          </cell>
          <cell r="G67">
            <v>245000</v>
          </cell>
          <cell r="H67">
            <v>119198</v>
          </cell>
          <cell r="I67">
            <v>150000</v>
          </cell>
          <cell r="J67">
            <v>1014198</v>
          </cell>
        </row>
        <row r="68">
          <cell r="A68" t="str">
            <v>8557608-9</v>
          </cell>
          <cell r="B68" t="str">
            <v>Chavez</v>
          </cell>
          <cell r="C68" t="str">
            <v>Pincheira</v>
          </cell>
          <cell r="D68" t="str">
            <v>Segundo Osvaldo</v>
          </cell>
          <cell r="E68">
            <v>30</v>
          </cell>
          <cell r="F68">
            <v>650000</v>
          </cell>
          <cell r="G68">
            <v>535000</v>
          </cell>
          <cell r="H68">
            <v>152356</v>
          </cell>
          <cell r="I68">
            <v>150000</v>
          </cell>
          <cell r="J68">
            <v>1487356</v>
          </cell>
        </row>
        <row r="69">
          <cell r="A69" t="str">
            <v>13859494-7</v>
          </cell>
          <cell r="B69" t="str">
            <v>Constanzo</v>
          </cell>
          <cell r="C69" t="str">
            <v>Leon</v>
          </cell>
          <cell r="D69" t="str">
            <v>Alex Osvaldo</v>
          </cell>
          <cell r="E69">
            <v>23</v>
          </cell>
          <cell r="F69">
            <v>383333</v>
          </cell>
          <cell r="G69">
            <v>187833</v>
          </cell>
          <cell r="H69">
            <v>82593</v>
          </cell>
          <cell r="I69">
            <v>115000</v>
          </cell>
          <cell r="J69">
            <v>768759</v>
          </cell>
        </row>
        <row r="70">
          <cell r="A70" t="str">
            <v>18137304-0</v>
          </cell>
          <cell r="B70" t="str">
            <v>Cordova</v>
          </cell>
          <cell r="C70" t="str">
            <v>Aqueveque</v>
          </cell>
          <cell r="D70" t="str">
            <v>Sergio Andres</v>
          </cell>
          <cell r="E70">
            <v>30</v>
          </cell>
          <cell r="F70">
            <v>600000</v>
          </cell>
          <cell r="G70">
            <v>380000</v>
          </cell>
          <cell r="H70">
            <v>129191</v>
          </cell>
          <cell r="I70">
            <v>150000</v>
          </cell>
          <cell r="J70">
            <v>1259191</v>
          </cell>
        </row>
        <row r="71">
          <cell r="A71" t="str">
            <v>16854232-1</v>
          </cell>
          <cell r="B71" t="str">
            <v>Diaz</v>
          </cell>
          <cell r="C71" t="str">
            <v>Gomez</v>
          </cell>
          <cell r="D71" t="str">
            <v>Pablo Andres</v>
          </cell>
          <cell r="E71">
            <v>30</v>
          </cell>
          <cell r="F71">
            <v>700000</v>
          </cell>
          <cell r="G71">
            <v>380000</v>
          </cell>
          <cell r="H71">
            <v>342044</v>
          </cell>
          <cell r="I71">
            <v>150000</v>
          </cell>
          <cell r="J71">
            <v>1572044</v>
          </cell>
        </row>
        <row r="72">
          <cell r="A72" t="str">
            <v>10840672-0</v>
          </cell>
          <cell r="B72" t="str">
            <v>Hermosilla</v>
          </cell>
          <cell r="C72" t="str">
            <v>Valdebenito</v>
          </cell>
          <cell r="D72" t="str">
            <v>Leonel Esteban</v>
          </cell>
          <cell r="E72">
            <v>30</v>
          </cell>
          <cell r="F72">
            <v>500000</v>
          </cell>
          <cell r="G72">
            <v>245000</v>
          </cell>
          <cell r="H72">
            <v>121576</v>
          </cell>
          <cell r="I72">
            <v>150000</v>
          </cell>
          <cell r="J72">
            <v>1016576</v>
          </cell>
        </row>
        <row r="73">
          <cell r="A73" t="str">
            <v>13622905-2</v>
          </cell>
          <cell r="B73" t="str">
            <v>Jara</v>
          </cell>
          <cell r="C73" t="str">
            <v>Torres</v>
          </cell>
          <cell r="D73" t="str">
            <v>Daniel Isaias</v>
          </cell>
          <cell r="E73">
            <v>30</v>
          </cell>
          <cell r="F73">
            <v>550000</v>
          </cell>
          <cell r="G73">
            <v>280000</v>
          </cell>
          <cell r="H73">
            <v>109839</v>
          </cell>
          <cell r="I73">
            <v>150000</v>
          </cell>
          <cell r="J73">
            <v>1089839</v>
          </cell>
        </row>
        <row r="74">
          <cell r="A74" t="str">
            <v>18384021-5</v>
          </cell>
          <cell r="B74" t="str">
            <v>Lermanda</v>
          </cell>
          <cell r="C74" t="str">
            <v>Bascourt</v>
          </cell>
          <cell r="D74" t="str">
            <v>Gustavo Adolfo</v>
          </cell>
          <cell r="E74">
            <v>29</v>
          </cell>
          <cell r="F74">
            <v>580000</v>
          </cell>
          <cell r="G74">
            <v>367333</v>
          </cell>
          <cell r="H74">
            <v>116569</v>
          </cell>
          <cell r="I74">
            <v>145000</v>
          </cell>
          <cell r="J74">
            <v>1208902</v>
          </cell>
        </row>
        <row r="75">
          <cell r="A75" t="str">
            <v>17787057-9</v>
          </cell>
          <cell r="B75" t="str">
            <v>Lillo</v>
          </cell>
          <cell r="C75" t="str">
            <v>Villarroel</v>
          </cell>
          <cell r="D75" t="str">
            <v>Juan Pablo</v>
          </cell>
          <cell r="E75">
            <v>30</v>
          </cell>
          <cell r="F75">
            <v>600000</v>
          </cell>
          <cell r="G75">
            <v>380000</v>
          </cell>
          <cell r="H75">
            <v>129191</v>
          </cell>
          <cell r="I75">
            <v>150000</v>
          </cell>
          <cell r="J75">
            <v>1259191</v>
          </cell>
        </row>
        <row r="76">
          <cell r="A76" t="str">
            <v>16853144-3</v>
          </cell>
          <cell r="B76" t="str">
            <v>Medina</v>
          </cell>
          <cell r="C76" t="str">
            <v>Ramirez</v>
          </cell>
          <cell r="D76" t="str">
            <v>Faviola Alejandra</v>
          </cell>
          <cell r="E76">
            <v>29</v>
          </cell>
          <cell r="F76">
            <v>531667</v>
          </cell>
          <cell r="G76">
            <v>270667</v>
          </cell>
          <cell r="H76">
            <v>87701</v>
          </cell>
          <cell r="I76">
            <v>145000</v>
          </cell>
          <cell r="J76">
            <v>1035035</v>
          </cell>
        </row>
        <row r="77">
          <cell r="A77" t="str">
            <v>16284284-6</v>
          </cell>
          <cell r="B77" t="str">
            <v>Neira</v>
          </cell>
          <cell r="C77" t="str">
            <v>Iglesias</v>
          </cell>
          <cell r="D77" t="str">
            <v>Daniel Alejandro</v>
          </cell>
          <cell r="E77">
            <v>30</v>
          </cell>
          <cell r="F77">
            <v>550000</v>
          </cell>
          <cell r="G77">
            <v>380000</v>
          </cell>
          <cell r="H77">
            <v>52963</v>
          </cell>
          <cell r="I77">
            <v>150000</v>
          </cell>
          <cell r="J77">
            <v>1132963</v>
          </cell>
        </row>
        <row r="78">
          <cell r="A78" t="str">
            <v>17091871-1</v>
          </cell>
          <cell r="B78" t="str">
            <v>Palma</v>
          </cell>
          <cell r="C78" t="str">
            <v>Riquelme</v>
          </cell>
          <cell r="D78" t="str">
            <v>Nathaly Andrea</v>
          </cell>
          <cell r="E78">
            <v>30</v>
          </cell>
          <cell r="F78">
            <v>550000</v>
          </cell>
          <cell r="G78">
            <v>280000</v>
          </cell>
          <cell r="H78">
            <v>109839</v>
          </cell>
          <cell r="I78">
            <v>150000</v>
          </cell>
          <cell r="J78">
            <v>1089839</v>
          </cell>
        </row>
        <row r="79">
          <cell r="A79" t="str">
            <v>20936268-6</v>
          </cell>
          <cell r="B79" t="str">
            <v>Pino</v>
          </cell>
          <cell r="C79" t="str">
            <v>Montecino</v>
          </cell>
          <cell r="D79" t="str">
            <v>Diego Enrique</v>
          </cell>
          <cell r="E79">
            <v>30</v>
          </cell>
          <cell r="F79">
            <v>550000</v>
          </cell>
          <cell r="G79">
            <v>280000</v>
          </cell>
          <cell r="H79">
            <v>96690</v>
          </cell>
          <cell r="I79">
            <v>150000</v>
          </cell>
          <cell r="J79">
            <v>1076690</v>
          </cell>
        </row>
        <row r="80">
          <cell r="A80" t="str">
            <v>18142265-3</v>
          </cell>
          <cell r="B80" t="str">
            <v>Rodriguez</v>
          </cell>
          <cell r="C80" t="str">
            <v>Osses</v>
          </cell>
          <cell r="D80" t="str">
            <v>Joaquin Gabriel</v>
          </cell>
          <cell r="E80">
            <v>30</v>
          </cell>
          <cell r="F80">
            <v>500000</v>
          </cell>
          <cell r="G80">
            <v>245000</v>
          </cell>
          <cell r="H80">
            <v>119198</v>
          </cell>
          <cell r="I80">
            <v>150000</v>
          </cell>
          <cell r="J80">
            <v>1014198</v>
          </cell>
        </row>
        <row r="81">
          <cell r="A81" t="str">
            <v>11790139-4</v>
          </cell>
          <cell r="B81" t="str">
            <v>Rodriguez</v>
          </cell>
          <cell r="C81" t="str">
            <v>Pardo</v>
          </cell>
          <cell r="D81" t="str">
            <v>Mauricio Hernan</v>
          </cell>
          <cell r="E81">
            <v>30</v>
          </cell>
          <cell r="F81">
            <v>600000</v>
          </cell>
          <cell r="G81">
            <v>380000</v>
          </cell>
          <cell r="H81">
            <v>129353</v>
          </cell>
          <cell r="I81">
            <v>150000</v>
          </cell>
          <cell r="J81">
            <v>1259353</v>
          </cell>
        </row>
        <row r="82">
          <cell r="A82" t="str">
            <v>14059701-5</v>
          </cell>
          <cell r="B82" t="str">
            <v>Rubio</v>
          </cell>
          <cell r="C82" t="str">
            <v>Gallegos</v>
          </cell>
          <cell r="D82" t="str">
            <v>Haroldo Andres</v>
          </cell>
          <cell r="E82">
            <v>30</v>
          </cell>
          <cell r="F82">
            <v>550000</v>
          </cell>
          <cell r="G82">
            <v>200000</v>
          </cell>
          <cell r="H82">
            <v>124834</v>
          </cell>
          <cell r="I82">
            <v>150000</v>
          </cell>
          <cell r="J82">
            <v>1024834</v>
          </cell>
        </row>
        <row r="83">
          <cell r="A83" t="str">
            <v>10767293-1</v>
          </cell>
          <cell r="B83" t="str">
            <v>Sagredo</v>
          </cell>
          <cell r="C83" t="str">
            <v>Hernandez</v>
          </cell>
          <cell r="D83" t="str">
            <v>Trancito Teodomiro</v>
          </cell>
          <cell r="E83">
            <v>30</v>
          </cell>
          <cell r="F83">
            <v>550000</v>
          </cell>
          <cell r="G83">
            <v>380000</v>
          </cell>
          <cell r="H83">
            <v>0</v>
          </cell>
          <cell r="I83">
            <v>150000</v>
          </cell>
          <cell r="J83">
            <v>1080000</v>
          </cell>
        </row>
        <row r="84">
          <cell r="A84" t="str">
            <v>18416383-7</v>
          </cell>
          <cell r="B84" t="str">
            <v>Soto</v>
          </cell>
          <cell r="C84" t="str">
            <v>Concha</v>
          </cell>
          <cell r="D84" t="str">
            <v>Nicolas Alejandro</v>
          </cell>
          <cell r="E84">
            <v>23</v>
          </cell>
          <cell r="F84">
            <v>421667</v>
          </cell>
          <cell r="G84">
            <v>291333</v>
          </cell>
          <cell r="H84">
            <v>14200</v>
          </cell>
          <cell r="I84">
            <v>115000</v>
          </cell>
          <cell r="J84">
            <v>842200</v>
          </cell>
        </row>
        <row r="85">
          <cell r="A85" t="str">
            <v>20338689-3</v>
          </cell>
          <cell r="B85" t="str">
            <v>Ulloa</v>
          </cell>
          <cell r="C85" t="str">
            <v>Diaz</v>
          </cell>
          <cell r="D85" t="str">
            <v>Ignacio Eduardo</v>
          </cell>
          <cell r="E85">
            <v>23</v>
          </cell>
          <cell r="F85">
            <v>383333</v>
          </cell>
          <cell r="G85">
            <v>187833</v>
          </cell>
          <cell r="H85">
            <v>74972</v>
          </cell>
          <cell r="I85">
            <v>115000</v>
          </cell>
          <cell r="J85">
            <v>761138</v>
          </cell>
        </row>
        <row r="86">
          <cell r="A86" t="str">
            <v>20911193-4</v>
          </cell>
          <cell r="B86" t="str">
            <v>Urra</v>
          </cell>
          <cell r="C86" t="str">
            <v>Labraña</v>
          </cell>
          <cell r="D86" t="str">
            <v>Martin Nicolas</v>
          </cell>
          <cell r="E86">
            <v>30</v>
          </cell>
          <cell r="F86">
            <v>600000</v>
          </cell>
          <cell r="G86">
            <v>380000</v>
          </cell>
          <cell r="H86">
            <v>129191</v>
          </cell>
          <cell r="I86">
            <v>150000</v>
          </cell>
          <cell r="J86">
            <v>1259191</v>
          </cell>
        </row>
        <row r="87">
          <cell r="A87" t="str">
            <v>11773083-2</v>
          </cell>
          <cell r="B87" t="str">
            <v>Valdebenito</v>
          </cell>
          <cell r="C87" t="str">
            <v>Muñoz</v>
          </cell>
          <cell r="D87" t="str">
            <v>Juan Carlos</v>
          </cell>
          <cell r="E87">
            <v>23</v>
          </cell>
          <cell r="F87">
            <v>421667</v>
          </cell>
          <cell r="G87">
            <v>260667</v>
          </cell>
          <cell r="H87">
            <v>43264</v>
          </cell>
          <cell r="I87">
            <v>115000</v>
          </cell>
          <cell r="J87">
            <v>840598</v>
          </cell>
        </row>
        <row r="88">
          <cell r="A88" t="str">
            <v>15186324-8</v>
          </cell>
          <cell r="B88" t="str">
            <v>Vera</v>
          </cell>
          <cell r="C88" t="str">
            <v>Chamorro</v>
          </cell>
          <cell r="D88" t="str">
            <v>Elvis Paul</v>
          </cell>
          <cell r="E88">
            <v>30</v>
          </cell>
          <cell r="F88">
            <v>600000</v>
          </cell>
          <cell r="G88">
            <v>380000</v>
          </cell>
          <cell r="H88">
            <v>129191</v>
          </cell>
          <cell r="I88">
            <v>150000</v>
          </cell>
          <cell r="J88">
            <v>1259191</v>
          </cell>
        </row>
        <row r="89">
          <cell r="A89" t="str">
            <v>17593074-4</v>
          </cell>
          <cell r="B89" t="str">
            <v>Esparza</v>
          </cell>
          <cell r="C89" t="str">
            <v>Ruiz</v>
          </cell>
          <cell r="D89" t="str">
            <v>Dany Alberto</v>
          </cell>
          <cell r="E89">
            <v>30</v>
          </cell>
          <cell r="F89">
            <v>550000</v>
          </cell>
          <cell r="G89">
            <v>340000</v>
          </cell>
          <cell r="H89">
            <v>49977</v>
          </cell>
          <cell r="I89">
            <v>150000</v>
          </cell>
          <cell r="J89">
            <v>1089977</v>
          </cell>
        </row>
        <row r="90">
          <cell r="A90" t="str">
            <v>17213638-9</v>
          </cell>
          <cell r="B90" t="str">
            <v>Mesas</v>
          </cell>
          <cell r="C90" t="str">
            <v>Monsalvez</v>
          </cell>
          <cell r="D90" t="str">
            <v>Eduardo Javier</v>
          </cell>
          <cell r="E90">
            <v>30</v>
          </cell>
          <cell r="F90">
            <v>500000</v>
          </cell>
          <cell r="G90">
            <v>420000</v>
          </cell>
          <cell r="H90">
            <v>164874</v>
          </cell>
          <cell r="I90">
            <v>150000</v>
          </cell>
          <cell r="J90">
            <v>1234874</v>
          </cell>
        </row>
        <row r="91">
          <cell r="A91" t="str">
            <v>12302759-0</v>
          </cell>
          <cell r="B91" t="str">
            <v>Gajardo</v>
          </cell>
          <cell r="C91" t="str">
            <v>Leiva</v>
          </cell>
          <cell r="D91" t="str">
            <v>Oliver Guillermo</v>
          </cell>
          <cell r="E91">
            <v>30</v>
          </cell>
          <cell r="F91">
            <v>600000</v>
          </cell>
          <cell r="G91">
            <v>380000</v>
          </cell>
          <cell r="H91">
            <v>129353</v>
          </cell>
          <cell r="I91">
            <v>150000</v>
          </cell>
          <cell r="J91">
            <v>1259353</v>
          </cell>
        </row>
        <row r="92">
          <cell r="A92" t="str">
            <v>11782803-4</v>
          </cell>
          <cell r="B92" t="str">
            <v>Navarrete</v>
          </cell>
          <cell r="C92" t="str">
            <v>Alvarez</v>
          </cell>
          <cell r="D92" t="str">
            <v>Oscar Roberto</v>
          </cell>
          <cell r="E92">
            <v>30</v>
          </cell>
          <cell r="F92">
            <v>500000</v>
          </cell>
          <cell r="G92">
            <v>300000</v>
          </cell>
          <cell r="H92">
            <v>129203</v>
          </cell>
          <cell r="I92">
            <v>150000</v>
          </cell>
          <cell r="J92">
            <v>1079203</v>
          </cell>
        </row>
        <row r="93">
          <cell r="A93" t="str">
            <v>17322502-4</v>
          </cell>
          <cell r="B93" t="str">
            <v>Villalobos</v>
          </cell>
          <cell r="C93" t="str">
            <v>Espinoza</v>
          </cell>
          <cell r="D93" t="str">
            <v>Fabian Eduardo</v>
          </cell>
          <cell r="E93">
            <v>30</v>
          </cell>
          <cell r="F93">
            <v>500000</v>
          </cell>
          <cell r="G93">
            <v>150000</v>
          </cell>
          <cell r="H93">
            <v>91107</v>
          </cell>
          <cell r="I93">
            <v>150000</v>
          </cell>
          <cell r="J93">
            <v>891107</v>
          </cell>
        </row>
        <row r="94">
          <cell r="A94" t="str">
            <v>16829810-2</v>
          </cell>
          <cell r="B94" t="str">
            <v>Rios</v>
          </cell>
          <cell r="C94" t="str">
            <v>Jaramillo</v>
          </cell>
          <cell r="D94" t="str">
            <v>Valeria Paulette</v>
          </cell>
          <cell r="E94">
            <v>30</v>
          </cell>
          <cell r="F94">
            <v>900000</v>
          </cell>
          <cell r="G94">
            <v>400000</v>
          </cell>
          <cell r="H94">
            <v>110860</v>
          </cell>
          <cell r="I94">
            <v>0</v>
          </cell>
          <cell r="J94">
            <v>1410860</v>
          </cell>
        </row>
        <row r="95">
          <cell r="A95" t="str">
            <v>15449967-9</v>
          </cell>
          <cell r="B95" t="str">
            <v>Urra</v>
          </cell>
          <cell r="C95" t="str">
            <v>Fuentealba</v>
          </cell>
          <cell r="D95" t="str">
            <v>Rene Andres</v>
          </cell>
          <cell r="E95">
            <v>30</v>
          </cell>
          <cell r="F95">
            <v>1200000</v>
          </cell>
          <cell r="G95">
            <v>500000</v>
          </cell>
          <cell r="H95">
            <v>349452</v>
          </cell>
          <cell r="I95">
            <v>0</v>
          </cell>
          <cell r="J95">
            <v>2049452</v>
          </cell>
        </row>
        <row r="96">
          <cell r="A96" t="str">
            <v>19373524-k</v>
          </cell>
          <cell r="B96" t="str">
            <v>Romero</v>
          </cell>
          <cell r="C96" t="str">
            <v>Villanueva</v>
          </cell>
          <cell r="D96" t="str">
            <v>Geraldine Victoria</v>
          </cell>
          <cell r="E96">
            <v>30</v>
          </cell>
          <cell r="F96">
            <v>700000</v>
          </cell>
          <cell r="G96">
            <v>510000</v>
          </cell>
          <cell r="H96">
            <v>208468</v>
          </cell>
          <cell r="I96">
            <v>150000</v>
          </cell>
          <cell r="J96">
            <v>1568468</v>
          </cell>
        </row>
        <row r="97">
          <cell r="A97" t="str">
            <v>10254106-5</v>
          </cell>
          <cell r="B97" t="str">
            <v>Perez</v>
          </cell>
          <cell r="C97" t="str">
            <v>Cea</v>
          </cell>
          <cell r="D97" t="str">
            <v>Lazaro Julian</v>
          </cell>
          <cell r="E97">
            <v>30</v>
          </cell>
          <cell r="F97">
            <v>550000</v>
          </cell>
          <cell r="G97">
            <v>280000</v>
          </cell>
          <cell r="H97">
            <v>109839</v>
          </cell>
          <cell r="I97">
            <v>150000</v>
          </cell>
          <cell r="J97">
            <v>1089839</v>
          </cell>
        </row>
        <row r="98">
          <cell r="A98" t="str">
            <v>17862965-4</v>
          </cell>
          <cell r="B98" t="str">
            <v>Arellano</v>
          </cell>
          <cell r="C98" t="str">
            <v>Nova</v>
          </cell>
          <cell r="D98" t="str">
            <v>Victor Nicolas</v>
          </cell>
          <cell r="E98">
            <v>30</v>
          </cell>
          <cell r="F98">
            <v>550000</v>
          </cell>
          <cell r="G98">
            <v>280000</v>
          </cell>
          <cell r="H98">
            <v>109839</v>
          </cell>
          <cell r="I98">
            <v>150000</v>
          </cell>
          <cell r="J98">
            <v>1089839</v>
          </cell>
        </row>
        <row r="99">
          <cell r="A99" t="str">
            <v>10615332-9</v>
          </cell>
          <cell r="B99" t="str">
            <v>Contreras</v>
          </cell>
          <cell r="C99" t="str">
            <v>Dasse</v>
          </cell>
          <cell r="D99" t="str">
            <v>Rosa Evelina</v>
          </cell>
          <cell r="E99">
            <v>30</v>
          </cell>
          <cell r="F99">
            <v>500000</v>
          </cell>
          <cell r="G99">
            <v>30000</v>
          </cell>
          <cell r="H99">
            <v>61346</v>
          </cell>
          <cell r="I99">
            <v>150000</v>
          </cell>
          <cell r="J99">
            <v>741346</v>
          </cell>
        </row>
        <row r="100">
          <cell r="A100" t="str">
            <v>11458086-4</v>
          </cell>
          <cell r="B100" t="str">
            <v>Vasquez</v>
          </cell>
          <cell r="C100" t="str">
            <v>Salamanca</v>
          </cell>
          <cell r="D100" t="str">
            <v>Mario Enrique</v>
          </cell>
          <cell r="E100">
            <v>30</v>
          </cell>
          <cell r="F100">
            <v>900000</v>
          </cell>
          <cell r="G100">
            <v>420000</v>
          </cell>
          <cell r="H100">
            <v>101846</v>
          </cell>
          <cell r="I100">
            <v>150000</v>
          </cell>
          <cell r="J100">
            <v>1571846</v>
          </cell>
        </row>
        <row r="101">
          <cell r="A101" t="str">
            <v>12320635-5</v>
          </cell>
          <cell r="B101" t="str">
            <v>Bello</v>
          </cell>
          <cell r="C101" t="str">
            <v>Sanhueza</v>
          </cell>
          <cell r="D101" t="str">
            <v>Rodrigo Andres</v>
          </cell>
          <cell r="E101">
            <v>30</v>
          </cell>
          <cell r="F101">
            <v>550000</v>
          </cell>
          <cell r="G101">
            <v>280000</v>
          </cell>
          <cell r="H101">
            <v>109977</v>
          </cell>
          <cell r="I101">
            <v>150000</v>
          </cell>
          <cell r="J101">
            <v>1089977</v>
          </cell>
        </row>
        <row r="102">
          <cell r="A102" t="str">
            <v>17043475-7</v>
          </cell>
          <cell r="B102" t="str">
            <v>Parra</v>
          </cell>
          <cell r="C102" t="str">
            <v>Riffo</v>
          </cell>
          <cell r="D102" t="str">
            <v>Nicolas Ignacio</v>
          </cell>
          <cell r="E102">
            <v>30</v>
          </cell>
          <cell r="F102">
            <v>1300000</v>
          </cell>
          <cell r="G102">
            <v>600000</v>
          </cell>
          <cell r="H102">
            <v>213310</v>
          </cell>
          <cell r="I102">
            <v>0</v>
          </cell>
          <cell r="J102">
            <v>2113310</v>
          </cell>
        </row>
        <row r="103">
          <cell r="A103" t="str">
            <v>9828378-1</v>
          </cell>
          <cell r="B103" t="str">
            <v>Medel</v>
          </cell>
          <cell r="C103" t="str">
            <v>Silva</v>
          </cell>
          <cell r="D103" t="str">
            <v>Hector Antonio</v>
          </cell>
          <cell r="E103">
            <v>30</v>
          </cell>
          <cell r="F103">
            <v>500000</v>
          </cell>
          <cell r="G103">
            <v>420000</v>
          </cell>
          <cell r="H103">
            <v>178555</v>
          </cell>
          <cell r="I103">
            <v>150000</v>
          </cell>
          <cell r="J103">
            <v>1248555</v>
          </cell>
        </row>
        <row r="104">
          <cell r="A104" t="str">
            <v>15165207-7</v>
          </cell>
          <cell r="B104" t="str">
            <v>Padilla</v>
          </cell>
          <cell r="C104" t="str">
            <v>Gomez</v>
          </cell>
          <cell r="D104" t="str">
            <v>Stephans Patricio</v>
          </cell>
          <cell r="E104">
            <v>30</v>
          </cell>
          <cell r="F104">
            <v>600000</v>
          </cell>
          <cell r="G104">
            <v>380000</v>
          </cell>
          <cell r="H104">
            <v>129191</v>
          </cell>
          <cell r="I104">
            <v>150000</v>
          </cell>
          <cell r="J104">
            <v>1259191</v>
          </cell>
        </row>
        <row r="105">
          <cell r="A105" t="str">
            <v>18721067-4</v>
          </cell>
          <cell r="B105" t="str">
            <v>Fernandez</v>
          </cell>
          <cell r="C105" t="str">
            <v>Saez</v>
          </cell>
          <cell r="D105" t="str">
            <v>Sebastian Alejandro</v>
          </cell>
          <cell r="E105">
            <v>29</v>
          </cell>
          <cell r="F105">
            <v>580000</v>
          </cell>
          <cell r="G105">
            <v>183667</v>
          </cell>
          <cell r="H105">
            <v>138020</v>
          </cell>
          <cell r="I105">
            <v>145000</v>
          </cell>
          <cell r="J105">
            <v>1046687</v>
          </cell>
        </row>
        <row r="106">
          <cell r="A106" t="str">
            <v>12301799-4</v>
          </cell>
          <cell r="B106" t="str">
            <v>Santander</v>
          </cell>
          <cell r="C106" t="str">
            <v>Garrido</v>
          </cell>
          <cell r="D106" t="str">
            <v>Patricio Eduardo</v>
          </cell>
          <cell r="E106">
            <v>30</v>
          </cell>
          <cell r="F106">
            <v>1200000</v>
          </cell>
          <cell r="G106">
            <v>550000</v>
          </cell>
          <cell r="H106">
            <v>299727</v>
          </cell>
          <cell r="I106">
            <v>0</v>
          </cell>
          <cell r="J106">
            <v>2049727</v>
          </cell>
        </row>
        <row r="107">
          <cell r="A107" t="str">
            <v>16530909-k</v>
          </cell>
          <cell r="B107" t="str">
            <v>Aedo</v>
          </cell>
          <cell r="C107" t="str">
            <v>Gutierrez</v>
          </cell>
          <cell r="D107" t="str">
            <v>Manuel Felizario</v>
          </cell>
          <cell r="E107">
            <v>30</v>
          </cell>
          <cell r="F107">
            <v>900000</v>
          </cell>
          <cell r="G107">
            <v>720000</v>
          </cell>
          <cell r="H107">
            <v>218716</v>
          </cell>
          <cell r="I107">
            <v>150000</v>
          </cell>
          <cell r="J107">
            <v>1988716</v>
          </cell>
        </row>
        <row r="108">
          <cell r="A108" t="str">
            <v>15928270-8</v>
          </cell>
          <cell r="B108" t="str">
            <v>Vertiola</v>
          </cell>
          <cell r="C108" t="str">
            <v>Pinela</v>
          </cell>
          <cell r="D108" t="str">
            <v>Richard Fernando</v>
          </cell>
          <cell r="E108">
            <v>30</v>
          </cell>
          <cell r="F108">
            <v>900000</v>
          </cell>
          <cell r="G108">
            <v>720000</v>
          </cell>
          <cell r="H108">
            <v>218716</v>
          </cell>
          <cell r="I108">
            <v>150000</v>
          </cell>
          <cell r="J108">
            <v>1988716</v>
          </cell>
        </row>
        <row r="109">
          <cell r="A109" t="str">
            <v>17933561-1</v>
          </cell>
          <cell r="B109" t="str">
            <v>Diaz</v>
          </cell>
          <cell r="C109" t="str">
            <v>Araneda</v>
          </cell>
          <cell r="D109" t="str">
            <v>Erick Rodrigo</v>
          </cell>
          <cell r="E109">
            <v>30</v>
          </cell>
          <cell r="F109">
            <v>900000</v>
          </cell>
          <cell r="G109">
            <v>720000</v>
          </cell>
          <cell r="H109">
            <v>218716</v>
          </cell>
          <cell r="I109">
            <v>150000</v>
          </cell>
          <cell r="J109">
            <v>1988716</v>
          </cell>
        </row>
        <row r="110">
          <cell r="A110" t="str">
            <v>14625236-2</v>
          </cell>
          <cell r="B110" t="str">
            <v>Muñoz</v>
          </cell>
          <cell r="C110" t="str">
            <v>Espinoza</v>
          </cell>
          <cell r="D110" t="str">
            <v>Cristian Rodrigo</v>
          </cell>
          <cell r="E110">
            <v>30</v>
          </cell>
          <cell r="F110">
            <v>900000</v>
          </cell>
          <cell r="G110">
            <v>720000</v>
          </cell>
          <cell r="H110">
            <v>214471</v>
          </cell>
          <cell r="I110">
            <v>150000</v>
          </cell>
          <cell r="J110">
            <v>1984471</v>
          </cell>
        </row>
        <row r="111">
          <cell r="A111" t="str">
            <v>9068397-7</v>
          </cell>
          <cell r="B111" t="str">
            <v>Barra</v>
          </cell>
          <cell r="C111" t="str">
            <v>Barra</v>
          </cell>
          <cell r="D111" t="str">
            <v>Jose Israel</v>
          </cell>
          <cell r="E111">
            <v>30</v>
          </cell>
          <cell r="F111">
            <v>1200000</v>
          </cell>
          <cell r="G111">
            <v>1100000</v>
          </cell>
          <cell r="H111">
            <v>129699</v>
          </cell>
          <cell r="I111">
            <v>150000</v>
          </cell>
          <cell r="J111">
            <v>2579699</v>
          </cell>
        </row>
        <row r="112">
          <cell r="A112" t="str">
            <v>18854935-7</v>
          </cell>
          <cell r="B112" t="str">
            <v>Lillo</v>
          </cell>
          <cell r="D112" t="str">
            <v>Miguel Angel</v>
          </cell>
          <cell r="E112">
            <v>30</v>
          </cell>
          <cell r="F112">
            <v>550000</v>
          </cell>
          <cell r="G112">
            <v>280000</v>
          </cell>
          <cell r="H112">
            <v>109977</v>
          </cell>
          <cell r="I112">
            <v>150000</v>
          </cell>
          <cell r="J112">
            <v>1089977</v>
          </cell>
        </row>
        <row r="113">
          <cell r="A113" t="str">
            <v>21240625-2</v>
          </cell>
          <cell r="B113" t="str">
            <v>Reyes</v>
          </cell>
          <cell r="C113" t="str">
            <v>Rojas</v>
          </cell>
          <cell r="D113" t="str">
            <v>Luis David</v>
          </cell>
          <cell r="E113">
            <v>30</v>
          </cell>
          <cell r="F113">
            <v>550000</v>
          </cell>
          <cell r="G113">
            <v>280000</v>
          </cell>
          <cell r="H113">
            <v>96690</v>
          </cell>
          <cell r="I113">
            <v>150000</v>
          </cell>
          <cell r="J113">
            <v>1076690</v>
          </cell>
        </row>
        <row r="114">
          <cell r="A114" t="str">
            <v>11573595-0</v>
          </cell>
          <cell r="B114" t="str">
            <v>Cid</v>
          </cell>
          <cell r="C114" t="str">
            <v>Diaz</v>
          </cell>
          <cell r="D114" t="str">
            <v>Sergio Domingo</v>
          </cell>
          <cell r="E114">
            <v>30</v>
          </cell>
          <cell r="F114">
            <v>700000</v>
          </cell>
          <cell r="G114">
            <v>580000</v>
          </cell>
          <cell r="H114">
            <v>142044</v>
          </cell>
          <cell r="I114">
            <v>150000</v>
          </cell>
          <cell r="J114">
            <v>1572044</v>
          </cell>
        </row>
        <row r="115">
          <cell r="A115" t="str">
            <v>9826521-k</v>
          </cell>
          <cell r="B115" t="str">
            <v>Morales</v>
          </cell>
          <cell r="C115" t="str">
            <v>Leiva</v>
          </cell>
          <cell r="D115" t="str">
            <v>Sergio Alfredo</v>
          </cell>
          <cell r="E115">
            <v>30</v>
          </cell>
          <cell r="F115">
            <v>600000</v>
          </cell>
          <cell r="G115">
            <v>380000</v>
          </cell>
          <cell r="H115">
            <v>129191</v>
          </cell>
          <cell r="I115">
            <v>150000</v>
          </cell>
          <cell r="J115">
            <v>1259191</v>
          </cell>
        </row>
        <row r="116">
          <cell r="A116" t="str">
            <v>20195799-0</v>
          </cell>
          <cell r="B116" t="str">
            <v>Cid</v>
          </cell>
          <cell r="C116" t="str">
            <v>Hidalgo</v>
          </cell>
          <cell r="D116" t="str">
            <v>Leonardo Alfonso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17813272-5</v>
          </cell>
          <cell r="B117" t="str">
            <v>Jeldres</v>
          </cell>
          <cell r="C117" t="str">
            <v>Ibarra</v>
          </cell>
          <cell r="D117" t="str">
            <v>Jose Luis</v>
          </cell>
          <cell r="E117">
            <v>30</v>
          </cell>
          <cell r="F117">
            <v>550000</v>
          </cell>
          <cell r="G117">
            <v>280000</v>
          </cell>
          <cell r="H117">
            <v>109977</v>
          </cell>
          <cell r="I117">
            <v>150000</v>
          </cell>
          <cell r="J117">
            <v>1089977</v>
          </cell>
        </row>
        <row r="118">
          <cell r="A118" t="str">
            <v>16246082-k</v>
          </cell>
          <cell r="B118" t="str">
            <v>Huechante</v>
          </cell>
          <cell r="C118" t="str">
            <v>Araneda</v>
          </cell>
          <cell r="D118" t="str">
            <v>Victor Gerardo</v>
          </cell>
          <cell r="E118">
            <v>30</v>
          </cell>
          <cell r="F118">
            <v>550000</v>
          </cell>
          <cell r="G118">
            <v>280000</v>
          </cell>
          <cell r="H118">
            <v>109977</v>
          </cell>
          <cell r="I118">
            <v>150000</v>
          </cell>
          <cell r="J118">
            <v>1089977</v>
          </cell>
        </row>
        <row r="119">
          <cell r="A119" t="str">
            <v>10804194-3</v>
          </cell>
          <cell r="B119" t="str">
            <v>Sapiain</v>
          </cell>
          <cell r="C119" t="str">
            <v>Machuca</v>
          </cell>
          <cell r="D119" t="str">
            <v>Hernan Francisco</v>
          </cell>
          <cell r="E119">
            <v>30</v>
          </cell>
          <cell r="F119">
            <v>550000</v>
          </cell>
          <cell r="G119">
            <v>280000</v>
          </cell>
          <cell r="H119">
            <v>109977</v>
          </cell>
          <cell r="I119">
            <v>150000</v>
          </cell>
          <cell r="J119">
            <v>1089977</v>
          </cell>
        </row>
        <row r="120">
          <cell r="A120" t="str">
            <v>15614449-5</v>
          </cell>
          <cell r="B120" t="str">
            <v>Bustamante</v>
          </cell>
          <cell r="C120" t="str">
            <v>Lagos</v>
          </cell>
          <cell r="D120" t="str">
            <v>Vanessa Angelica</v>
          </cell>
          <cell r="E120">
            <v>30</v>
          </cell>
          <cell r="F120">
            <v>1300000</v>
          </cell>
          <cell r="G120">
            <v>550000</v>
          </cell>
          <cell r="H120">
            <v>47279</v>
          </cell>
          <cell r="I120">
            <v>0</v>
          </cell>
          <cell r="J120">
            <v>1897279</v>
          </cell>
        </row>
        <row r="121">
          <cell r="A121" t="str">
            <v>19110515-k</v>
          </cell>
          <cell r="B121" t="str">
            <v>Lagos</v>
          </cell>
          <cell r="C121" t="str">
            <v>Rivera</v>
          </cell>
          <cell r="D121" t="str">
            <v>Angelo Jesus</v>
          </cell>
          <cell r="E121">
            <v>30</v>
          </cell>
          <cell r="F121">
            <v>550000</v>
          </cell>
          <cell r="G121">
            <v>280000</v>
          </cell>
          <cell r="H121">
            <v>109839</v>
          </cell>
          <cell r="I121">
            <v>150000</v>
          </cell>
          <cell r="J121">
            <v>1089839</v>
          </cell>
        </row>
        <row r="122">
          <cell r="A122" t="str">
            <v>21863787-6</v>
          </cell>
          <cell r="B122" t="str">
            <v>Bello</v>
          </cell>
          <cell r="C122" t="str">
            <v>Sanhueza</v>
          </cell>
          <cell r="D122" t="str">
            <v>Nicolas Andres</v>
          </cell>
          <cell r="E122">
            <v>30</v>
          </cell>
          <cell r="F122">
            <v>550000</v>
          </cell>
          <cell r="G122">
            <v>280000</v>
          </cell>
          <cell r="H122">
            <v>96690</v>
          </cell>
          <cell r="I122">
            <v>150000</v>
          </cell>
          <cell r="J122">
            <v>1076690</v>
          </cell>
        </row>
        <row r="123">
          <cell r="A123" t="str">
            <v>16230053-9</v>
          </cell>
          <cell r="B123" t="str">
            <v>Jimenez</v>
          </cell>
          <cell r="C123" t="str">
            <v>Gutierrez</v>
          </cell>
          <cell r="D123" t="str">
            <v>Francisco Andres</v>
          </cell>
          <cell r="E123">
            <v>30</v>
          </cell>
          <cell r="F123">
            <v>600000</v>
          </cell>
          <cell r="G123">
            <v>280000</v>
          </cell>
          <cell r="H123">
            <v>229353</v>
          </cell>
          <cell r="I123">
            <v>150000</v>
          </cell>
          <cell r="J123">
            <v>1259353</v>
          </cell>
        </row>
        <row r="124">
          <cell r="A124" t="str">
            <v>12303589-5</v>
          </cell>
          <cell r="B124" t="str">
            <v>Valenzuela</v>
          </cell>
          <cell r="C124" t="str">
            <v>Borquez</v>
          </cell>
          <cell r="D124" t="str">
            <v>Boris Marcelo</v>
          </cell>
          <cell r="E124">
            <v>30</v>
          </cell>
          <cell r="F124">
            <v>550000</v>
          </cell>
          <cell r="G124">
            <v>280000</v>
          </cell>
          <cell r="H124">
            <v>109977</v>
          </cell>
          <cell r="I124">
            <v>150000</v>
          </cell>
          <cell r="J124">
            <v>1089977</v>
          </cell>
        </row>
        <row r="125">
          <cell r="A125" t="str">
            <v>13312902-2</v>
          </cell>
          <cell r="B125" t="str">
            <v>Vasquez</v>
          </cell>
          <cell r="C125" t="str">
            <v>Aravena</v>
          </cell>
          <cell r="D125" t="str">
            <v>Juan Carlos</v>
          </cell>
          <cell r="E125">
            <v>29</v>
          </cell>
          <cell r="F125">
            <v>531667</v>
          </cell>
          <cell r="G125">
            <v>270667</v>
          </cell>
          <cell r="H125">
            <v>99353</v>
          </cell>
          <cell r="I125">
            <v>145000</v>
          </cell>
          <cell r="J125">
            <v>1046687</v>
          </cell>
        </row>
        <row r="126">
          <cell r="A126" t="str">
            <v>13797415-0</v>
          </cell>
          <cell r="B126" t="str">
            <v>Alarcon</v>
          </cell>
          <cell r="C126" t="str">
            <v>Ulloa</v>
          </cell>
          <cell r="D126" t="str">
            <v>Alexis Armando</v>
          </cell>
          <cell r="E126">
            <v>30</v>
          </cell>
          <cell r="F126">
            <v>550000</v>
          </cell>
          <cell r="G126">
            <v>280000</v>
          </cell>
          <cell r="H126">
            <v>109977</v>
          </cell>
          <cell r="I126">
            <v>150000</v>
          </cell>
          <cell r="J126">
            <v>1089977</v>
          </cell>
        </row>
        <row r="127">
          <cell r="A127" t="str">
            <v>14905107-4</v>
          </cell>
          <cell r="B127" t="str">
            <v>Arriagada</v>
          </cell>
          <cell r="C127" t="str">
            <v>Muñoz</v>
          </cell>
          <cell r="D127" t="str">
            <v>Jose Alberto</v>
          </cell>
          <cell r="E127">
            <v>30</v>
          </cell>
          <cell r="F127">
            <v>600000</v>
          </cell>
          <cell r="G127">
            <v>380000</v>
          </cell>
          <cell r="H127">
            <v>129353</v>
          </cell>
          <cell r="I127">
            <v>150000</v>
          </cell>
          <cell r="J127">
            <v>1259353</v>
          </cell>
        </row>
        <row r="128">
          <cell r="A128" t="str">
            <v>19000526-7</v>
          </cell>
          <cell r="B128" t="str">
            <v>Pincheira</v>
          </cell>
          <cell r="C128" t="str">
            <v>Gonzalez</v>
          </cell>
          <cell r="D128" t="str">
            <v>Carlos Alfredo</v>
          </cell>
          <cell r="E128">
            <v>30</v>
          </cell>
          <cell r="F128">
            <v>550000</v>
          </cell>
          <cell r="G128">
            <v>280000</v>
          </cell>
          <cell r="H128">
            <v>97923</v>
          </cell>
          <cell r="I128">
            <v>150000</v>
          </cell>
          <cell r="J128">
            <v>1077923</v>
          </cell>
        </row>
        <row r="129">
          <cell r="A129" t="str">
            <v>19123156-2</v>
          </cell>
          <cell r="B129" t="str">
            <v>Toledo</v>
          </cell>
          <cell r="C129" t="str">
            <v>Gaete</v>
          </cell>
          <cell r="D129" t="str">
            <v>Erwin Gustavo</v>
          </cell>
          <cell r="E129">
            <v>30</v>
          </cell>
          <cell r="F129">
            <v>550000</v>
          </cell>
          <cell r="G129">
            <v>280000</v>
          </cell>
          <cell r="H129">
            <v>109977</v>
          </cell>
          <cell r="I129">
            <v>150000</v>
          </cell>
          <cell r="J129">
            <v>1089977</v>
          </cell>
        </row>
        <row r="130">
          <cell r="A130" t="str">
            <v>16328185-6</v>
          </cell>
          <cell r="B130" t="str">
            <v>Lizana</v>
          </cell>
          <cell r="C130" t="str">
            <v>Peña</v>
          </cell>
          <cell r="D130" t="str">
            <v>Juan Alberto</v>
          </cell>
          <cell r="E130">
            <v>30</v>
          </cell>
          <cell r="F130">
            <v>900000</v>
          </cell>
          <cell r="G130">
            <v>720000</v>
          </cell>
          <cell r="H130">
            <v>218716</v>
          </cell>
          <cell r="I130">
            <v>150000</v>
          </cell>
          <cell r="J130">
            <v>1988716</v>
          </cell>
        </row>
        <row r="131">
          <cell r="A131" t="str">
            <v>14391767-3</v>
          </cell>
          <cell r="B131" t="str">
            <v>Flores</v>
          </cell>
          <cell r="C131" t="str">
            <v>Hidalgo</v>
          </cell>
          <cell r="D131" t="str">
            <v>Jaime Enrique</v>
          </cell>
          <cell r="E131">
            <v>30</v>
          </cell>
          <cell r="F131">
            <v>900000</v>
          </cell>
          <cell r="G131">
            <v>720000</v>
          </cell>
          <cell r="H131">
            <v>218716</v>
          </cell>
          <cell r="I131">
            <v>150000</v>
          </cell>
          <cell r="J131">
            <v>1988716</v>
          </cell>
        </row>
        <row r="132">
          <cell r="A132" t="str">
            <v>16456016-3</v>
          </cell>
          <cell r="B132" t="str">
            <v>Lara</v>
          </cell>
          <cell r="C132" t="str">
            <v>Caceres</v>
          </cell>
          <cell r="D132" t="str">
            <v>Roberto Andres</v>
          </cell>
          <cell r="E132">
            <v>30</v>
          </cell>
          <cell r="F132">
            <v>1200000</v>
          </cell>
          <cell r="G132">
            <v>580000</v>
          </cell>
          <cell r="H132">
            <v>264768</v>
          </cell>
          <cell r="I132">
            <v>0</v>
          </cell>
          <cell r="J132">
            <v>2044768</v>
          </cell>
        </row>
        <row r="133">
          <cell r="A133" t="str">
            <v>12279016-9</v>
          </cell>
          <cell r="B133" t="str">
            <v>Toro-Moreno</v>
          </cell>
          <cell r="C133" t="str">
            <v>Gonzalez</v>
          </cell>
          <cell r="D133" t="str">
            <v>Marco Antonio</v>
          </cell>
          <cell r="E133">
            <v>30</v>
          </cell>
          <cell r="F133">
            <v>1200000</v>
          </cell>
          <cell r="G133">
            <v>580000</v>
          </cell>
          <cell r="H133">
            <v>269452</v>
          </cell>
          <cell r="I133">
            <v>0</v>
          </cell>
          <cell r="J133">
            <v>2049452</v>
          </cell>
        </row>
        <row r="134">
          <cell r="A134" t="str">
            <v>14183231-k</v>
          </cell>
          <cell r="B134" t="str">
            <v>Sáez</v>
          </cell>
          <cell r="C134" t="str">
            <v>Fuenzalida</v>
          </cell>
          <cell r="D134" t="str">
            <v>Jonathan Christopher</v>
          </cell>
          <cell r="E134">
            <v>29</v>
          </cell>
          <cell r="F134">
            <v>580000</v>
          </cell>
          <cell r="G134">
            <v>367333</v>
          </cell>
          <cell r="H134">
            <v>113937</v>
          </cell>
          <cell r="I134">
            <v>145000</v>
          </cell>
          <cell r="J134">
            <v>1206270</v>
          </cell>
        </row>
        <row r="135">
          <cell r="A135" t="str">
            <v>11403418-5</v>
          </cell>
          <cell r="B135" t="str">
            <v>Soto</v>
          </cell>
          <cell r="C135" t="str">
            <v>Mayorga</v>
          </cell>
          <cell r="D135" t="str">
            <v>Mauricio Hernan</v>
          </cell>
          <cell r="E135">
            <v>29</v>
          </cell>
          <cell r="F135">
            <v>531667</v>
          </cell>
          <cell r="G135">
            <v>270667</v>
          </cell>
          <cell r="H135">
            <v>99353</v>
          </cell>
          <cell r="I135">
            <v>145000</v>
          </cell>
          <cell r="J135">
            <v>1046687</v>
          </cell>
        </row>
        <row r="136">
          <cell r="A136" t="str">
            <v>19530956-6</v>
          </cell>
          <cell r="B136" t="str">
            <v>Semler</v>
          </cell>
          <cell r="C136" t="str">
            <v>Reyes</v>
          </cell>
          <cell r="D136" t="str">
            <v>Gerald Matias</v>
          </cell>
          <cell r="E136">
            <v>30</v>
          </cell>
          <cell r="F136">
            <v>700000</v>
          </cell>
          <cell r="G136">
            <v>380000</v>
          </cell>
          <cell r="H136">
            <v>341846</v>
          </cell>
          <cell r="I136">
            <v>150000</v>
          </cell>
          <cell r="J136">
            <v>1571846</v>
          </cell>
        </row>
        <row r="137">
          <cell r="A137" t="str">
            <v>12925051-8</v>
          </cell>
          <cell r="B137" t="str">
            <v>Chaparro</v>
          </cell>
          <cell r="C137" t="str">
            <v>Santos</v>
          </cell>
          <cell r="D137" t="str">
            <v>German Bernardino</v>
          </cell>
          <cell r="E137">
            <v>30</v>
          </cell>
          <cell r="F137">
            <v>1200000</v>
          </cell>
          <cell r="G137">
            <v>550000</v>
          </cell>
          <cell r="H137">
            <v>299452</v>
          </cell>
          <cell r="I137">
            <v>0</v>
          </cell>
          <cell r="J137">
            <v>2049452</v>
          </cell>
        </row>
        <row r="138">
          <cell r="A138" t="str">
            <v>12696922-8</v>
          </cell>
          <cell r="B138" t="str">
            <v>Castro</v>
          </cell>
          <cell r="C138" t="str">
            <v>Paredes</v>
          </cell>
          <cell r="D138" t="str">
            <v>Francisco Javier</v>
          </cell>
          <cell r="E138">
            <v>30</v>
          </cell>
          <cell r="F138">
            <v>700000</v>
          </cell>
          <cell r="G138">
            <v>380000</v>
          </cell>
          <cell r="H138">
            <v>341846</v>
          </cell>
          <cell r="I138">
            <v>150000</v>
          </cell>
          <cell r="J138">
            <v>1571846</v>
          </cell>
        </row>
        <row r="139">
          <cell r="A139" t="str">
            <v>16156867-8</v>
          </cell>
          <cell r="B139" t="str">
            <v>Salgado</v>
          </cell>
          <cell r="C139" t="str">
            <v>Flores</v>
          </cell>
          <cell r="D139" t="str">
            <v>Juan Andres</v>
          </cell>
          <cell r="E139">
            <v>30</v>
          </cell>
          <cell r="F139">
            <v>550000</v>
          </cell>
          <cell r="G139">
            <v>280000</v>
          </cell>
          <cell r="H139">
            <v>109977</v>
          </cell>
          <cell r="I139">
            <v>150000</v>
          </cell>
          <cell r="J139">
            <v>1089977</v>
          </cell>
        </row>
        <row r="140">
          <cell r="A140" t="str">
            <v>18888897-6</v>
          </cell>
          <cell r="B140" t="str">
            <v>Arriagada</v>
          </cell>
          <cell r="C140" t="str">
            <v>Henriquez</v>
          </cell>
          <cell r="D140" t="str">
            <v>Fabian Hermojes</v>
          </cell>
          <cell r="E140">
            <v>3</v>
          </cell>
          <cell r="F140">
            <v>50000</v>
          </cell>
          <cell r="G140">
            <v>15000</v>
          </cell>
          <cell r="H140">
            <v>7250</v>
          </cell>
          <cell r="I140">
            <v>15000</v>
          </cell>
          <cell r="J140">
            <v>87250</v>
          </cell>
        </row>
        <row r="141">
          <cell r="A141" t="str">
            <v>16395754-k</v>
          </cell>
          <cell r="B141" t="str">
            <v>Pacheco</v>
          </cell>
          <cell r="C141" t="str">
            <v>Pacheco</v>
          </cell>
          <cell r="D141" t="str">
            <v>Alexis Andres</v>
          </cell>
          <cell r="E141">
            <v>30</v>
          </cell>
          <cell r="F141">
            <v>600000</v>
          </cell>
          <cell r="G141">
            <v>220000</v>
          </cell>
          <cell r="H141">
            <v>284706</v>
          </cell>
          <cell r="I141">
            <v>150000</v>
          </cell>
          <cell r="J141">
            <v>1254706</v>
          </cell>
        </row>
        <row r="142">
          <cell r="A142" t="str">
            <v>16399554-9</v>
          </cell>
          <cell r="B142" t="str">
            <v>Azocar</v>
          </cell>
          <cell r="C142" t="str">
            <v>Larenas</v>
          </cell>
          <cell r="D142" t="str">
            <v>Daniel Esteban</v>
          </cell>
          <cell r="E142">
            <v>30</v>
          </cell>
          <cell r="F142">
            <v>700000</v>
          </cell>
          <cell r="G142">
            <v>580000</v>
          </cell>
          <cell r="H142">
            <v>141846</v>
          </cell>
          <cell r="I142">
            <v>150000</v>
          </cell>
          <cell r="J142">
            <v>1571846</v>
          </cell>
        </row>
        <row r="143">
          <cell r="A143" t="str">
            <v>18974895-7</v>
          </cell>
          <cell r="B143" t="str">
            <v>Catrinao</v>
          </cell>
          <cell r="C143" t="str">
            <v>Mariqueo</v>
          </cell>
          <cell r="D143" t="str">
            <v>Luis Enrique</v>
          </cell>
          <cell r="E143">
            <v>30</v>
          </cell>
          <cell r="F143">
            <v>600000</v>
          </cell>
          <cell r="G143">
            <v>380000</v>
          </cell>
          <cell r="H143">
            <v>129353</v>
          </cell>
          <cell r="I143">
            <v>150000</v>
          </cell>
          <cell r="J143">
            <v>1259353</v>
          </cell>
        </row>
        <row r="144">
          <cell r="A144" t="str">
            <v>17821401-2</v>
          </cell>
          <cell r="B144" t="str">
            <v>Veliz</v>
          </cell>
          <cell r="C144" t="str">
            <v>Acevedo</v>
          </cell>
          <cell r="D144" t="str">
            <v>Jose Luis</v>
          </cell>
          <cell r="E144">
            <v>30</v>
          </cell>
          <cell r="F144">
            <v>600000</v>
          </cell>
          <cell r="G144">
            <v>380000</v>
          </cell>
          <cell r="H144">
            <v>129353</v>
          </cell>
          <cell r="I144">
            <v>150000</v>
          </cell>
          <cell r="J144">
            <v>1259353</v>
          </cell>
        </row>
        <row r="145">
          <cell r="A145" t="str">
            <v>19520772-0</v>
          </cell>
          <cell r="B145" t="str">
            <v>Saez</v>
          </cell>
          <cell r="C145" t="str">
            <v>Araya</v>
          </cell>
          <cell r="D145" t="str">
            <v>Remigio Luis</v>
          </cell>
          <cell r="E145">
            <v>30</v>
          </cell>
          <cell r="F145">
            <v>550000</v>
          </cell>
          <cell r="G145">
            <v>280000</v>
          </cell>
          <cell r="H145">
            <v>97923</v>
          </cell>
          <cell r="I145">
            <v>150000</v>
          </cell>
          <cell r="J145">
            <v>1077923</v>
          </cell>
        </row>
        <row r="146">
          <cell r="A146" t="str">
            <v>11450064-k</v>
          </cell>
          <cell r="B146" t="str">
            <v>Rodriguez</v>
          </cell>
          <cell r="C146" t="str">
            <v>Henriquez</v>
          </cell>
          <cell r="D146" t="str">
            <v>Manuel Adolfo</v>
          </cell>
          <cell r="E146">
            <v>30</v>
          </cell>
          <cell r="F146">
            <v>1200000</v>
          </cell>
          <cell r="G146">
            <v>110000</v>
          </cell>
          <cell r="H146">
            <v>1113903</v>
          </cell>
          <cell r="I146">
            <v>150000</v>
          </cell>
          <cell r="J146">
            <v>2573903</v>
          </cell>
        </row>
        <row r="147">
          <cell r="A147" t="str">
            <v>16245917-1</v>
          </cell>
          <cell r="B147" t="str">
            <v>Tranaman</v>
          </cell>
          <cell r="C147" t="str">
            <v>Tranaman</v>
          </cell>
          <cell r="D147" t="str">
            <v>Juan Andres</v>
          </cell>
          <cell r="E147">
            <v>30</v>
          </cell>
          <cell r="F147">
            <v>600000</v>
          </cell>
          <cell r="G147">
            <v>380000</v>
          </cell>
          <cell r="H147">
            <v>126463</v>
          </cell>
          <cell r="I147">
            <v>150000</v>
          </cell>
          <cell r="J147">
            <v>1256463</v>
          </cell>
        </row>
        <row r="148">
          <cell r="A148" t="str">
            <v>16144812-5</v>
          </cell>
          <cell r="B148" t="str">
            <v>Jimenez</v>
          </cell>
          <cell r="C148" t="str">
            <v>Valerio</v>
          </cell>
          <cell r="D148" t="str">
            <v>Francisco</v>
          </cell>
          <cell r="E148">
            <v>30</v>
          </cell>
          <cell r="F148">
            <v>1500000</v>
          </cell>
          <cell r="G148">
            <v>800000</v>
          </cell>
          <cell r="H148">
            <v>530862</v>
          </cell>
          <cell r="I148">
            <v>0</v>
          </cell>
          <cell r="J148">
            <v>2830862</v>
          </cell>
        </row>
        <row r="149">
          <cell r="A149" t="str">
            <v>10460609-1</v>
          </cell>
          <cell r="B149" t="str">
            <v>Martinez</v>
          </cell>
          <cell r="C149" t="str">
            <v>Rivera</v>
          </cell>
          <cell r="D149" t="str">
            <v>Jaime Andres</v>
          </cell>
          <cell r="E149">
            <v>30</v>
          </cell>
          <cell r="F149">
            <v>1200000</v>
          </cell>
          <cell r="G149">
            <v>1050000</v>
          </cell>
          <cell r="H149">
            <v>179699</v>
          </cell>
          <cell r="I149">
            <v>150000</v>
          </cell>
          <cell r="J149">
            <v>2579699</v>
          </cell>
        </row>
        <row r="150">
          <cell r="A150" t="str">
            <v>11576238-9</v>
          </cell>
          <cell r="B150" t="str">
            <v>Cerda</v>
          </cell>
          <cell r="C150" t="str">
            <v>Panes</v>
          </cell>
          <cell r="D150" t="str">
            <v>Miguel Angel</v>
          </cell>
          <cell r="E150">
            <v>30</v>
          </cell>
          <cell r="F150">
            <v>1200000</v>
          </cell>
          <cell r="G150">
            <v>1050000</v>
          </cell>
          <cell r="H150">
            <v>179375</v>
          </cell>
          <cell r="I150">
            <v>150000</v>
          </cell>
          <cell r="J150">
            <v>2579375</v>
          </cell>
        </row>
        <row r="151">
          <cell r="A151" t="str">
            <v>14016538-7</v>
          </cell>
          <cell r="B151" t="str">
            <v>Cifuentes</v>
          </cell>
          <cell r="C151" t="str">
            <v>Caamaño</v>
          </cell>
          <cell r="D151" t="str">
            <v>Gerardo Patricio</v>
          </cell>
          <cell r="E151">
            <v>30</v>
          </cell>
          <cell r="F151">
            <v>2500000</v>
          </cell>
          <cell r="G151">
            <v>1100000</v>
          </cell>
          <cell r="H151">
            <v>492679</v>
          </cell>
          <cell r="I151">
            <v>0</v>
          </cell>
          <cell r="J151">
            <v>4092679</v>
          </cell>
        </row>
        <row r="152">
          <cell r="A152" t="str">
            <v>17885993-5</v>
          </cell>
          <cell r="B152" t="str">
            <v>Contreras</v>
          </cell>
          <cell r="C152" t="str">
            <v>Poblete</v>
          </cell>
          <cell r="D152" t="str">
            <v>Rodolfo Matias</v>
          </cell>
          <cell r="E152">
            <v>30</v>
          </cell>
          <cell r="F152">
            <v>1400000</v>
          </cell>
          <cell r="G152">
            <v>550000</v>
          </cell>
          <cell r="H152">
            <v>354886</v>
          </cell>
          <cell r="I152">
            <v>0</v>
          </cell>
          <cell r="J152">
            <v>2304886</v>
          </cell>
        </row>
        <row r="153">
          <cell r="A153" t="str">
            <v>17200337-0</v>
          </cell>
          <cell r="B153" t="str">
            <v>Gonzalez</v>
          </cell>
          <cell r="C153" t="str">
            <v>Gonzalez</v>
          </cell>
          <cell r="D153" t="str">
            <v>Esteban Alberto</v>
          </cell>
          <cell r="E153">
            <v>30</v>
          </cell>
          <cell r="F153">
            <v>550000</v>
          </cell>
          <cell r="G153">
            <v>280000</v>
          </cell>
          <cell r="H153">
            <v>109839</v>
          </cell>
          <cell r="I153">
            <v>150000</v>
          </cell>
          <cell r="J153">
            <v>1089839</v>
          </cell>
        </row>
        <row r="154">
          <cell r="A154" t="str">
            <v>11182598-k</v>
          </cell>
          <cell r="B154" t="str">
            <v>Robles</v>
          </cell>
          <cell r="C154" t="str">
            <v>Avila</v>
          </cell>
          <cell r="D154" t="str">
            <v>Lucas Leonardo</v>
          </cell>
          <cell r="E154">
            <v>26</v>
          </cell>
          <cell r="F154">
            <v>780000</v>
          </cell>
          <cell r="G154">
            <v>624000</v>
          </cell>
          <cell r="H154">
            <v>156507</v>
          </cell>
          <cell r="I154">
            <v>130000</v>
          </cell>
          <cell r="J154">
            <v>1690507</v>
          </cell>
        </row>
        <row r="155">
          <cell r="A155" t="str">
            <v>18644855-3</v>
          </cell>
          <cell r="B155" t="str">
            <v>Fernandez</v>
          </cell>
          <cell r="C155" t="str">
            <v>Vergara</v>
          </cell>
          <cell r="D155" t="str">
            <v>Ruben Hernan</v>
          </cell>
          <cell r="E155">
            <v>26</v>
          </cell>
          <cell r="F155">
            <v>476667</v>
          </cell>
          <cell r="G155">
            <v>242667</v>
          </cell>
          <cell r="H155">
            <v>64010</v>
          </cell>
          <cell r="I155">
            <v>130000</v>
          </cell>
          <cell r="J155">
            <v>913344</v>
          </cell>
        </row>
        <row r="156">
          <cell r="A156" t="str">
            <v>18995561-8</v>
          </cell>
          <cell r="B156" t="str">
            <v>Jara</v>
          </cell>
          <cell r="C156" t="str">
            <v>Parra</v>
          </cell>
          <cell r="D156" t="str">
            <v>Robinson Daniel</v>
          </cell>
          <cell r="E156">
            <v>26</v>
          </cell>
          <cell r="F156">
            <v>520000</v>
          </cell>
          <cell r="G156">
            <v>329333</v>
          </cell>
          <cell r="H156">
            <v>75080</v>
          </cell>
          <cell r="I156">
            <v>130000</v>
          </cell>
          <cell r="J156">
            <v>1054413</v>
          </cell>
        </row>
        <row r="157">
          <cell r="A157" t="str">
            <v>13151475-1</v>
          </cell>
          <cell r="B157" t="str">
            <v>Manriquez</v>
          </cell>
          <cell r="C157" t="str">
            <v>Monsalvez</v>
          </cell>
          <cell r="D157" t="str">
            <v>Antonio Isolino</v>
          </cell>
          <cell r="E157">
            <v>26</v>
          </cell>
          <cell r="F157">
            <v>520000</v>
          </cell>
          <cell r="G157">
            <v>329333</v>
          </cell>
          <cell r="H157">
            <v>79087</v>
          </cell>
          <cell r="I157">
            <v>130000</v>
          </cell>
          <cell r="J157">
            <v>1058420</v>
          </cell>
        </row>
        <row r="158">
          <cell r="A158" t="str">
            <v>20527477-4</v>
          </cell>
          <cell r="B158" t="str">
            <v>Galaz</v>
          </cell>
          <cell r="C158" t="str">
            <v>Conejeros</v>
          </cell>
          <cell r="D158" t="str">
            <v>Nelson Stivensson</v>
          </cell>
          <cell r="E158">
            <v>26</v>
          </cell>
          <cell r="F158">
            <v>476667</v>
          </cell>
          <cell r="G158">
            <v>242667</v>
          </cell>
          <cell r="H158">
            <v>72367</v>
          </cell>
          <cell r="I158">
            <v>130000</v>
          </cell>
          <cell r="J158">
            <v>921701</v>
          </cell>
        </row>
        <row r="159">
          <cell r="A159" t="str">
            <v>13842731-5</v>
          </cell>
          <cell r="B159" t="str">
            <v>Cuadra</v>
          </cell>
          <cell r="C159" t="str">
            <v>Cuadra</v>
          </cell>
          <cell r="D159" t="str">
            <v>Braulio Humberto</v>
          </cell>
          <cell r="E159">
            <v>26</v>
          </cell>
          <cell r="F159">
            <v>780000</v>
          </cell>
          <cell r="G159">
            <v>624000</v>
          </cell>
          <cell r="H159">
            <v>156290</v>
          </cell>
          <cell r="I159">
            <v>130000</v>
          </cell>
          <cell r="J159">
            <v>1690290</v>
          </cell>
        </row>
        <row r="160">
          <cell r="A160" t="str">
            <v>16666908-1</v>
          </cell>
          <cell r="B160" t="str">
            <v>Molina</v>
          </cell>
          <cell r="C160" t="str">
            <v>Cardenas</v>
          </cell>
          <cell r="D160" t="str">
            <v>Marcelino Jose</v>
          </cell>
          <cell r="E160">
            <v>25</v>
          </cell>
          <cell r="F160">
            <v>583333</v>
          </cell>
          <cell r="G160">
            <v>483333</v>
          </cell>
          <cell r="H160">
            <v>76625</v>
          </cell>
          <cell r="I160">
            <v>125000</v>
          </cell>
          <cell r="J160">
            <v>1268291</v>
          </cell>
        </row>
        <row r="161">
          <cell r="A161" t="str">
            <v>19410978-4</v>
          </cell>
          <cell r="B161" t="str">
            <v>Parada</v>
          </cell>
          <cell r="C161" t="str">
            <v>Laferte</v>
          </cell>
          <cell r="D161" t="str">
            <v>Claudio Alejandro</v>
          </cell>
          <cell r="E161">
            <v>25</v>
          </cell>
          <cell r="F161">
            <v>416667</v>
          </cell>
          <cell r="G161">
            <v>125000</v>
          </cell>
          <cell r="H161">
            <v>70679</v>
          </cell>
          <cell r="I161">
            <v>125000</v>
          </cell>
          <cell r="J161">
            <v>737346</v>
          </cell>
        </row>
        <row r="162">
          <cell r="A162" t="str">
            <v>17551169-5</v>
          </cell>
          <cell r="B162" t="str">
            <v>Silva</v>
          </cell>
          <cell r="C162" t="str">
            <v>Fierro</v>
          </cell>
          <cell r="D162" t="str">
            <v>Esteban Andres</v>
          </cell>
          <cell r="E162">
            <v>25</v>
          </cell>
          <cell r="F162">
            <v>416667</v>
          </cell>
          <cell r="G162">
            <v>125000</v>
          </cell>
          <cell r="H162">
            <v>77305</v>
          </cell>
          <cell r="I162">
            <v>125000</v>
          </cell>
          <cell r="J162">
            <v>743972</v>
          </cell>
        </row>
        <row r="163">
          <cell r="A163" t="str">
            <v>14273336-6</v>
          </cell>
          <cell r="B163" t="str">
            <v>Gonzalez</v>
          </cell>
          <cell r="C163" t="str">
            <v>Araneda</v>
          </cell>
          <cell r="D163" t="str">
            <v>Mario Eduardo</v>
          </cell>
          <cell r="E163">
            <v>20</v>
          </cell>
          <cell r="F163">
            <v>600000</v>
          </cell>
          <cell r="G163">
            <v>480000</v>
          </cell>
          <cell r="H163">
            <v>62653</v>
          </cell>
          <cell r="I163">
            <v>100000</v>
          </cell>
          <cell r="J163">
            <v>1242653</v>
          </cell>
        </row>
        <row r="164">
          <cell r="A164" t="str">
            <v>16512863-k</v>
          </cell>
          <cell r="B164" t="str">
            <v>Araneda</v>
          </cell>
          <cell r="C164" t="str">
            <v>Martinez</v>
          </cell>
          <cell r="D164" t="str">
            <v>Alexis Alfonso</v>
          </cell>
          <cell r="E164">
            <v>20</v>
          </cell>
          <cell r="F164">
            <v>333333</v>
          </cell>
          <cell r="G164">
            <v>120000</v>
          </cell>
          <cell r="H164">
            <v>40739</v>
          </cell>
          <cell r="I164">
            <v>100000</v>
          </cell>
          <cell r="J164">
            <v>594072</v>
          </cell>
        </row>
        <row r="165">
          <cell r="A165" t="str">
            <v>22180513-5</v>
          </cell>
          <cell r="B165" t="str">
            <v>Santander</v>
          </cell>
          <cell r="C165" t="str">
            <v>Nuñez</v>
          </cell>
          <cell r="D165" t="str">
            <v>Diego Patricio</v>
          </cell>
          <cell r="E165">
            <v>20</v>
          </cell>
          <cell r="F165">
            <v>333333</v>
          </cell>
          <cell r="G165">
            <v>120000</v>
          </cell>
          <cell r="H165">
            <v>36001</v>
          </cell>
          <cell r="I165">
            <v>100000</v>
          </cell>
          <cell r="J165">
            <v>589334</v>
          </cell>
        </row>
        <row r="166">
          <cell r="A166" t="str">
            <v>17224035-6</v>
          </cell>
          <cell r="B166" t="str">
            <v>Canales</v>
          </cell>
          <cell r="C166" t="str">
            <v>Gonzalez</v>
          </cell>
          <cell r="D166" t="str">
            <v>Jorge Ramon</v>
          </cell>
          <cell r="E166">
            <v>20</v>
          </cell>
          <cell r="F166">
            <v>333333</v>
          </cell>
          <cell r="G166">
            <v>80000</v>
          </cell>
          <cell r="H166">
            <v>153955</v>
          </cell>
          <cell r="I166">
            <v>100000</v>
          </cell>
          <cell r="J166">
            <v>667288</v>
          </cell>
        </row>
        <row r="167">
          <cell r="A167" t="str">
            <v>18135332-5</v>
          </cell>
          <cell r="B167" t="str">
            <v>Aravena</v>
          </cell>
          <cell r="C167" t="str">
            <v>Jimenez</v>
          </cell>
          <cell r="D167" t="str">
            <v>Antonio Edison</v>
          </cell>
          <cell r="E167">
            <v>19</v>
          </cell>
          <cell r="F167">
            <v>316667</v>
          </cell>
          <cell r="G167">
            <v>76000</v>
          </cell>
          <cell r="H167">
            <v>141689</v>
          </cell>
          <cell r="I167">
            <v>95000</v>
          </cell>
          <cell r="J167">
            <v>629356</v>
          </cell>
        </row>
        <row r="168">
          <cell r="A168" t="str">
            <v>13806002-0</v>
          </cell>
          <cell r="B168" t="str">
            <v>Gonzalez</v>
          </cell>
          <cell r="C168" t="str">
            <v>Jaque</v>
          </cell>
          <cell r="D168" t="str">
            <v>Juan Wilson</v>
          </cell>
          <cell r="E168">
            <v>23</v>
          </cell>
          <cell r="F168">
            <v>421667</v>
          </cell>
          <cell r="G168">
            <v>214667</v>
          </cell>
          <cell r="H168">
            <v>64016</v>
          </cell>
          <cell r="I168">
            <v>115000</v>
          </cell>
          <cell r="J168">
            <v>815350</v>
          </cell>
        </row>
        <row r="169">
          <cell r="A169" t="str">
            <v>14095920-0</v>
          </cell>
          <cell r="B169" t="str">
            <v>Oyarzun</v>
          </cell>
          <cell r="C169" t="str">
            <v>Palma</v>
          </cell>
          <cell r="D169" t="str">
            <v>Cristian Antonio</v>
          </cell>
          <cell r="E169">
            <v>20</v>
          </cell>
          <cell r="F169">
            <v>933333</v>
          </cell>
          <cell r="G169">
            <v>400000</v>
          </cell>
          <cell r="H169">
            <v>77527</v>
          </cell>
          <cell r="I169">
            <v>0</v>
          </cell>
          <cell r="J169">
            <v>1410860</v>
          </cell>
        </row>
        <row r="170">
          <cell r="A170" t="str">
            <v>18100936-5</v>
          </cell>
          <cell r="B170" t="str">
            <v>Viveros</v>
          </cell>
          <cell r="C170" t="str">
            <v>Retamal</v>
          </cell>
          <cell r="D170" t="str">
            <v>Esteban Nicolas</v>
          </cell>
          <cell r="E170">
            <v>10</v>
          </cell>
          <cell r="F170">
            <v>183333</v>
          </cell>
          <cell r="G170">
            <v>93333</v>
          </cell>
          <cell r="H170">
            <v>24620</v>
          </cell>
          <cell r="I170">
            <v>50000</v>
          </cell>
          <cell r="J170">
            <v>351286</v>
          </cell>
        </row>
      </sheetData>
      <sheetData sheetId="10">
        <row r="7">
          <cell r="A7" t="str">
            <v>21680839-8</v>
          </cell>
          <cell r="B7" t="str">
            <v>Carrasco Pulgar Antonia Ignacia Catalina</v>
          </cell>
          <cell r="C7">
            <v>30</v>
          </cell>
          <cell r="D7">
            <v>529000</v>
          </cell>
          <cell r="E7">
            <v>200000</v>
          </cell>
          <cell r="F7">
            <v>128385</v>
          </cell>
          <cell r="G7">
            <v>150000</v>
          </cell>
          <cell r="H7">
            <v>1007385</v>
          </cell>
        </row>
        <row r="8">
          <cell r="A8" t="str">
            <v>19694555-5</v>
          </cell>
          <cell r="B8" t="str">
            <v>Duran Chaparro Ignacio Nicolas</v>
          </cell>
          <cell r="C8">
            <v>30</v>
          </cell>
          <cell r="D8">
            <v>550000</v>
          </cell>
          <cell r="E8">
            <v>280000</v>
          </cell>
          <cell r="F8">
            <v>98569</v>
          </cell>
          <cell r="G8">
            <v>150000</v>
          </cell>
          <cell r="H8">
            <v>1078569</v>
          </cell>
        </row>
        <row r="9">
          <cell r="A9" t="str">
            <v>16852812-4</v>
          </cell>
          <cell r="B9" t="str">
            <v>Sanhueza Tribiños Fernando Andres</v>
          </cell>
          <cell r="C9">
            <v>30</v>
          </cell>
          <cell r="D9">
            <v>550000</v>
          </cell>
          <cell r="E9">
            <v>280000</v>
          </cell>
          <cell r="F9">
            <v>102615</v>
          </cell>
          <cell r="G9">
            <v>150000</v>
          </cell>
          <cell r="H9">
            <v>1082615</v>
          </cell>
        </row>
        <row r="10">
          <cell r="A10" t="str">
            <v>17213638-9</v>
          </cell>
          <cell r="B10" t="str">
            <v>Mesas Monsalvez Eduardo Javier</v>
          </cell>
          <cell r="C10">
            <v>30</v>
          </cell>
          <cell r="D10">
            <v>529000</v>
          </cell>
          <cell r="E10">
            <v>420000</v>
          </cell>
          <cell r="F10">
            <v>139146</v>
          </cell>
          <cell r="G10">
            <v>150000</v>
          </cell>
          <cell r="H10">
            <v>1238146</v>
          </cell>
        </row>
        <row r="11">
          <cell r="A11" t="str">
            <v>9068397-7</v>
          </cell>
          <cell r="B11" t="str">
            <v>Barra Barra Jose Israel</v>
          </cell>
          <cell r="C11">
            <v>30</v>
          </cell>
          <cell r="D11">
            <v>1200000</v>
          </cell>
          <cell r="E11">
            <v>400000</v>
          </cell>
          <cell r="F11">
            <v>822113</v>
          </cell>
          <cell r="G11">
            <v>150000</v>
          </cell>
          <cell r="H11">
            <v>2572113</v>
          </cell>
        </row>
        <row r="12">
          <cell r="A12" t="str">
            <v>11573595-0</v>
          </cell>
          <cell r="B12" t="str">
            <v>Cid Diaz Sergio Domingo</v>
          </cell>
          <cell r="C12">
            <v>30</v>
          </cell>
          <cell r="D12">
            <v>700000</v>
          </cell>
          <cell r="E12">
            <v>580000</v>
          </cell>
          <cell r="F12">
            <v>134680</v>
          </cell>
          <cell r="G12">
            <v>150000</v>
          </cell>
          <cell r="H12">
            <v>1564680</v>
          </cell>
        </row>
        <row r="13">
          <cell r="A13" t="str">
            <v>16246082-k</v>
          </cell>
          <cell r="B13" t="str">
            <v>Huechante Araneda Victor Gerardo</v>
          </cell>
          <cell r="C13">
            <v>30</v>
          </cell>
          <cell r="D13">
            <v>550000</v>
          </cell>
          <cell r="E13">
            <v>280000</v>
          </cell>
          <cell r="F13">
            <v>102615</v>
          </cell>
          <cell r="G13">
            <v>150000</v>
          </cell>
          <cell r="H13">
            <v>1082615</v>
          </cell>
        </row>
        <row r="14">
          <cell r="A14" t="str">
            <v>16456016-3</v>
          </cell>
          <cell r="B14" t="str">
            <v>Lara Caceres Roberto Andres</v>
          </cell>
          <cell r="C14">
            <v>30</v>
          </cell>
          <cell r="D14">
            <v>1200000</v>
          </cell>
          <cell r="E14">
            <v>580000</v>
          </cell>
          <cell r="F14">
            <v>257402</v>
          </cell>
          <cell r="G14">
            <v>0</v>
          </cell>
          <cell r="H14">
            <v>2037402</v>
          </cell>
        </row>
        <row r="15">
          <cell r="A15" t="str">
            <v>16399554-9</v>
          </cell>
          <cell r="B15" t="str">
            <v>Azocar Larenas Daniel Esteban</v>
          </cell>
          <cell r="C15">
            <v>29</v>
          </cell>
          <cell r="D15">
            <v>676667</v>
          </cell>
          <cell r="E15">
            <v>560667</v>
          </cell>
          <cell r="F15">
            <v>121437</v>
          </cell>
          <cell r="G15">
            <v>145000</v>
          </cell>
          <cell r="H15">
            <v>1503771</v>
          </cell>
        </row>
        <row r="16">
          <cell r="A16" t="str">
            <v>11450064-k</v>
          </cell>
          <cell r="B16" t="str">
            <v>Rodriguez Henriquez Manuel Adolfo</v>
          </cell>
          <cell r="C16">
            <v>30</v>
          </cell>
          <cell r="D16">
            <v>1200000</v>
          </cell>
          <cell r="E16">
            <v>400000</v>
          </cell>
          <cell r="F16">
            <v>816317</v>
          </cell>
          <cell r="G16">
            <v>150000</v>
          </cell>
          <cell r="H16">
            <v>2566317</v>
          </cell>
        </row>
        <row r="17">
          <cell r="A17" t="str">
            <v>16245917-1</v>
          </cell>
          <cell r="B17" t="str">
            <v>Tranaman Tranaman Juan Andres</v>
          </cell>
          <cell r="C17">
            <v>30</v>
          </cell>
          <cell r="D17">
            <v>600000</v>
          </cell>
          <cell r="E17">
            <v>380000</v>
          </cell>
          <cell r="F17">
            <v>119100</v>
          </cell>
          <cell r="G17">
            <v>150000</v>
          </cell>
          <cell r="H17">
            <v>1249100</v>
          </cell>
        </row>
        <row r="18">
          <cell r="A18" t="str">
            <v>10460609-1</v>
          </cell>
          <cell r="B18" t="str">
            <v>Martinez Rivera Jaime Andres</v>
          </cell>
          <cell r="C18">
            <v>30</v>
          </cell>
          <cell r="D18">
            <v>1200000</v>
          </cell>
          <cell r="E18">
            <v>1050000</v>
          </cell>
          <cell r="F18">
            <v>172113</v>
          </cell>
          <cell r="G18">
            <v>150000</v>
          </cell>
          <cell r="H18">
            <v>2572113</v>
          </cell>
        </row>
        <row r="19">
          <cell r="A19" t="str">
            <v>11576238-9</v>
          </cell>
          <cell r="B19" t="str">
            <v>Cerda Panes Miguel Angel</v>
          </cell>
          <cell r="C19">
            <v>30</v>
          </cell>
          <cell r="D19">
            <v>1200000</v>
          </cell>
          <cell r="E19">
            <v>1050000</v>
          </cell>
          <cell r="F19">
            <v>171789</v>
          </cell>
          <cell r="G19">
            <v>150000</v>
          </cell>
          <cell r="H19">
            <v>2571789</v>
          </cell>
        </row>
        <row r="20">
          <cell r="A20" t="str">
            <v>11182598-k</v>
          </cell>
          <cell r="B20" t="str">
            <v>Robles Avila Lucas Leonardo</v>
          </cell>
          <cell r="C20">
            <v>30</v>
          </cell>
          <cell r="D20">
            <v>900000</v>
          </cell>
          <cell r="E20">
            <v>720000</v>
          </cell>
          <cell r="F20">
            <v>211603</v>
          </cell>
          <cell r="G20">
            <v>150000</v>
          </cell>
          <cell r="H20">
            <v>1981603</v>
          </cell>
        </row>
        <row r="21">
          <cell r="A21" t="str">
            <v>18644855-3</v>
          </cell>
          <cell r="B21" t="str">
            <v>Fernandez Vergara Ruben Hernan</v>
          </cell>
          <cell r="C21">
            <v>30</v>
          </cell>
          <cell r="D21">
            <v>550000</v>
          </cell>
          <cell r="E21">
            <v>280000</v>
          </cell>
          <cell r="F21">
            <v>90560</v>
          </cell>
          <cell r="G21">
            <v>150000</v>
          </cell>
          <cell r="H21">
            <v>1070560</v>
          </cell>
        </row>
        <row r="22">
          <cell r="A22" t="str">
            <v>18995561-8</v>
          </cell>
          <cell r="B22" t="str">
            <v>Jara Parra Robinson Daniel</v>
          </cell>
          <cell r="C22">
            <v>30</v>
          </cell>
          <cell r="D22">
            <v>600000</v>
          </cell>
          <cell r="E22">
            <v>380000</v>
          </cell>
          <cell r="F22">
            <v>117341</v>
          </cell>
          <cell r="G22">
            <v>150000</v>
          </cell>
          <cell r="H22">
            <v>1247341</v>
          </cell>
        </row>
        <row r="23">
          <cell r="A23" t="str">
            <v>13151475-1</v>
          </cell>
          <cell r="B23" t="str">
            <v>Manriquez Monsalvez Antonio Isolino</v>
          </cell>
          <cell r="C23">
            <v>30</v>
          </cell>
          <cell r="D23">
            <v>600000</v>
          </cell>
          <cell r="E23">
            <v>380000</v>
          </cell>
          <cell r="F23">
            <v>121989</v>
          </cell>
          <cell r="G23">
            <v>150000</v>
          </cell>
          <cell r="H23">
            <v>1251989</v>
          </cell>
        </row>
        <row r="24">
          <cell r="A24" t="str">
            <v>20527477-4</v>
          </cell>
          <cell r="B24" t="str">
            <v>Galaz Conejeros Nelson Stivensson</v>
          </cell>
          <cell r="C24">
            <v>30</v>
          </cell>
          <cell r="D24">
            <v>550000</v>
          </cell>
          <cell r="E24">
            <v>280000</v>
          </cell>
          <cell r="F24">
            <v>102615</v>
          </cell>
          <cell r="G24">
            <v>150000</v>
          </cell>
          <cell r="H24">
            <v>1082615</v>
          </cell>
        </row>
        <row r="25">
          <cell r="A25" t="str">
            <v>13842731-5</v>
          </cell>
          <cell r="B25" t="str">
            <v>Cuadra Cuadra Braulio Humberto</v>
          </cell>
          <cell r="C25">
            <v>30</v>
          </cell>
          <cell r="D25">
            <v>900000</v>
          </cell>
          <cell r="E25">
            <v>720000</v>
          </cell>
          <cell r="F25">
            <v>211354</v>
          </cell>
          <cell r="G25">
            <v>150000</v>
          </cell>
          <cell r="H25">
            <v>1981354</v>
          </cell>
        </row>
        <row r="26">
          <cell r="A26" t="str">
            <v>16666908-1</v>
          </cell>
          <cell r="B26" t="str">
            <v>Molina Cardenas Marcelino Jose</v>
          </cell>
          <cell r="C26">
            <v>30</v>
          </cell>
          <cell r="D26">
            <v>700000</v>
          </cell>
          <cell r="E26">
            <v>580000</v>
          </cell>
          <cell r="F26">
            <v>134481</v>
          </cell>
          <cell r="G26">
            <v>150000</v>
          </cell>
          <cell r="H26">
            <v>1564481</v>
          </cell>
        </row>
        <row r="27">
          <cell r="A27" t="str">
            <v>19410978-4</v>
          </cell>
          <cell r="B27" t="str">
            <v>Parada Laferte Claudio Alejandro</v>
          </cell>
          <cell r="C27">
            <v>30</v>
          </cell>
          <cell r="D27">
            <v>529000</v>
          </cell>
          <cell r="E27">
            <v>150000</v>
          </cell>
          <cell r="F27">
            <v>66451</v>
          </cell>
          <cell r="G27">
            <v>150000</v>
          </cell>
          <cell r="H27">
            <v>895451</v>
          </cell>
        </row>
        <row r="28">
          <cell r="A28" t="str">
            <v>17551169-5</v>
          </cell>
          <cell r="B28" t="str">
            <v>Silva Fierro Esteban Andres</v>
          </cell>
          <cell r="C28">
            <v>30</v>
          </cell>
          <cell r="D28">
            <v>529000</v>
          </cell>
          <cell r="E28">
            <v>150000</v>
          </cell>
          <cell r="F28">
            <v>74402</v>
          </cell>
          <cell r="G28">
            <v>150000</v>
          </cell>
          <cell r="H28">
            <v>903402</v>
          </cell>
        </row>
        <row r="29">
          <cell r="A29" t="str">
            <v>13383008-1</v>
          </cell>
          <cell r="B29" t="str">
            <v>Valdebenito Barra Alexis Michel</v>
          </cell>
          <cell r="C29">
            <v>30</v>
          </cell>
          <cell r="D29">
            <v>2000000</v>
          </cell>
          <cell r="E29">
            <v>915000</v>
          </cell>
          <cell r="F29">
            <v>47869</v>
          </cell>
          <cell r="G29">
            <v>0</v>
          </cell>
          <cell r="H29">
            <v>2962869</v>
          </cell>
        </row>
        <row r="30">
          <cell r="A30" t="str">
            <v>19140145-k</v>
          </cell>
          <cell r="B30" t="str">
            <v>Avila Carrillo Maria Fernanda</v>
          </cell>
          <cell r="C30">
            <v>30</v>
          </cell>
          <cell r="D30">
            <v>1300000</v>
          </cell>
          <cell r="E30">
            <v>450000</v>
          </cell>
          <cell r="F30">
            <v>164370</v>
          </cell>
          <cell r="G30">
            <v>0</v>
          </cell>
          <cell r="H30">
            <v>1914370</v>
          </cell>
        </row>
        <row r="31">
          <cell r="A31" t="str">
            <v>12909151-7</v>
          </cell>
          <cell r="B31" t="str">
            <v>Lobos Carrasco Jeannette Del Carmen</v>
          </cell>
          <cell r="C31">
            <v>30</v>
          </cell>
          <cell r="D31">
            <v>529000</v>
          </cell>
          <cell r="E31">
            <v>30000</v>
          </cell>
          <cell r="F31">
            <v>42982</v>
          </cell>
          <cell r="G31">
            <v>150000</v>
          </cell>
          <cell r="H31">
            <v>751982</v>
          </cell>
        </row>
        <row r="32">
          <cell r="A32" t="str">
            <v>15184998-9</v>
          </cell>
          <cell r="B32" t="str">
            <v>Aburto Toledo Johny Eduardo</v>
          </cell>
          <cell r="C32">
            <v>30</v>
          </cell>
          <cell r="D32">
            <v>1200000</v>
          </cell>
          <cell r="E32">
            <v>600000</v>
          </cell>
          <cell r="F32">
            <v>242087</v>
          </cell>
          <cell r="G32">
            <v>0</v>
          </cell>
          <cell r="H32">
            <v>2042087</v>
          </cell>
        </row>
        <row r="33">
          <cell r="A33" t="str">
            <v>18384021-5</v>
          </cell>
          <cell r="B33" t="str">
            <v>Lermanda Bascourt Gustavo Adolfo</v>
          </cell>
          <cell r="C33">
            <v>30</v>
          </cell>
          <cell r="D33">
            <v>600000</v>
          </cell>
          <cell r="E33">
            <v>380000</v>
          </cell>
          <cell r="F33">
            <v>121827</v>
          </cell>
          <cell r="G33">
            <v>150000</v>
          </cell>
          <cell r="H33">
            <v>1251827</v>
          </cell>
        </row>
        <row r="34">
          <cell r="A34" t="str">
            <v>17445607-0</v>
          </cell>
          <cell r="B34" t="str">
            <v>Araneda Saldaña Cesar Emmanuel</v>
          </cell>
          <cell r="C34">
            <v>30</v>
          </cell>
          <cell r="D34">
            <v>700000</v>
          </cell>
          <cell r="E34">
            <v>580000</v>
          </cell>
          <cell r="F34">
            <v>134680</v>
          </cell>
          <cell r="G34">
            <v>150000</v>
          </cell>
          <cell r="H34">
            <v>1564680</v>
          </cell>
        </row>
        <row r="35">
          <cell r="A35" t="str">
            <v>17000483-3</v>
          </cell>
          <cell r="B35" t="str">
            <v>Bustos Leal Yarithza Margarita</v>
          </cell>
          <cell r="C35">
            <v>30</v>
          </cell>
          <cell r="D35">
            <v>950000</v>
          </cell>
          <cell r="E35">
            <v>400000</v>
          </cell>
          <cell r="F35">
            <v>53498</v>
          </cell>
          <cell r="G35">
            <v>0</v>
          </cell>
          <cell r="H35">
            <v>1403498</v>
          </cell>
        </row>
        <row r="36">
          <cell r="A36" t="str">
            <v>15211577-6</v>
          </cell>
          <cell r="B36" t="str">
            <v>Pereira Mendez Segundo David</v>
          </cell>
          <cell r="C36">
            <v>30</v>
          </cell>
          <cell r="D36">
            <v>600000</v>
          </cell>
          <cell r="E36">
            <v>190000</v>
          </cell>
          <cell r="F36">
            <v>307341</v>
          </cell>
          <cell r="G36">
            <v>150000</v>
          </cell>
          <cell r="H36">
            <v>1247341</v>
          </cell>
        </row>
        <row r="37">
          <cell r="A37" t="str">
            <v>19286864-5</v>
          </cell>
          <cell r="B37" t="str">
            <v>Velasquez Vidal Manuel Ignacio</v>
          </cell>
          <cell r="C37">
            <v>30</v>
          </cell>
          <cell r="D37">
            <v>600000</v>
          </cell>
          <cell r="E37">
            <v>380000</v>
          </cell>
          <cell r="F37">
            <v>121827</v>
          </cell>
          <cell r="G37">
            <v>150000</v>
          </cell>
          <cell r="H37">
            <v>1251827</v>
          </cell>
        </row>
        <row r="38">
          <cell r="A38" t="str">
            <v>15614449-5</v>
          </cell>
          <cell r="B38" t="str">
            <v>Bustamante Lagos Vanessa Angelica</v>
          </cell>
          <cell r="C38">
            <v>30</v>
          </cell>
          <cell r="D38">
            <v>1300000</v>
          </cell>
          <cell r="E38">
            <v>550000</v>
          </cell>
          <cell r="F38">
            <v>39917</v>
          </cell>
          <cell r="G38">
            <v>0</v>
          </cell>
          <cell r="H38">
            <v>1889917</v>
          </cell>
        </row>
        <row r="39">
          <cell r="A39" t="str">
            <v>19271200-9</v>
          </cell>
          <cell r="B39" t="str">
            <v>Chamorro Chamorro Michael Armando</v>
          </cell>
          <cell r="C39">
            <v>30</v>
          </cell>
          <cell r="D39">
            <v>550000</v>
          </cell>
          <cell r="E39">
            <v>280000</v>
          </cell>
          <cell r="F39">
            <v>89328</v>
          </cell>
          <cell r="G39">
            <v>150000</v>
          </cell>
          <cell r="H39">
            <v>1069328</v>
          </cell>
        </row>
        <row r="40">
          <cell r="A40" t="str">
            <v>18821121-6</v>
          </cell>
          <cell r="B40" t="str">
            <v>Zamora Meza Matias Nicolas</v>
          </cell>
          <cell r="C40">
            <v>30</v>
          </cell>
          <cell r="D40">
            <v>550000</v>
          </cell>
          <cell r="E40">
            <v>280000</v>
          </cell>
          <cell r="F40">
            <v>102615</v>
          </cell>
          <cell r="G40">
            <v>150000</v>
          </cell>
          <cell r="H40">
            <v>1082615</v>
          </cell>
        </row>
        <row r="41">
          <cell r="A41" t="str">
            <v>13604818-k</v>
          </cell>
          <cell r="B41" t="str">
            <v>Carrasco Cordero Alexi Eduardo</v>
          </cell>
          <cell r="C41">
            <v>30</v>
          </cell>
          <cell r="D41">
            <v>1300000</v>
          </cell>
          <cell r="E41">
            <v>550000</v>
          </cell>
          <cell r="F41">
            <v>192087</v>
          </cell>
          <cell r="G41">
            <v>0</v>
          </cell>
          <cell r="H41">
            <v>2042087</v>
          </cell>
        </row>
        <row r="42">
          <cell r="A42" t="str">
            <v>9957976-5</v>
          </cell>
          <cell r="B42" t="str">
            <v>Carrasco Maldonado Luis Mauricio</v>
          </cell>
          <cell r="C42">
            <v>30</v>
          </cell>
          <cell r="D42">
            <v>1200000</v>
          </cell>
          <cell r="E42">
            <v>550000</v>
          </cell>
          <cell r="F42">
            <v>284383</v>
          </cell>
          <cell r="G42">
            <v>0</v>
          </cell>
          <cell r="H42">
            <v>2034383</v>
          </cell>
        </row>
        <row r="43">
          <cell r="A43" t="str">
            <v>18702963-5</v>
          </cell>
          <cell r="B43" t="str">
            <v>Velasquez Vergara Fernanda Millaray</v>
          </cell>
          <cell r="C43">
            <v>30</v>
          </cell>
          <cell r="D43">
            <v>1400000</v>
          </cell>
          <cell r="E43">
            <v>600000</v>
          </cell>
          <cell r="F43">
            <v>297830</v>
          </cell>
          <cell r="G43">
            <v>0</v>
          </cell>
          <cell r="H43">
            <v>2297830</v>
          </cell>
        </row>
        <row r="44">
          <cell r="A44" t="str">
            <v>15703223-2</v>
          </cell>
          <cell r="B44" t="str">
            <v>Duran Salvo Juan Andres</v>
          </cell>
          <cell r="C44">
            <v>30</v>
          </cell>
          <cell r="D44">
            <v>1500000</v>
          </cell>
          <cell r="E44">
            <v>700000</v>
          </cell>
          <cell r="F44">
            <v>97523</v>
          </cell>
          <cell r="G44">
            <v>0</v>
          </cell>
          <cell r="H44">
            <v>2297523</v>
          </cell>
        </row>
        <row r="45">
          <cell r="A45" t="str">
            <v>17616895-1</v>
          </cell>
          <cell r="B45" t="str">
            <v>Inostroza Castro Sergio Anibal</v>
          </cell>
          <cell r="C45">
            <v>30</v>
          </cell>
          <cell r="D45">
            <v>950000</v>
          </cell>
          <cell r="E45">
            <v>400000</v>
          </cell>
          <cell r="F45">
            <v>53498</v>
          </cell>
          <cell r="G45">
            <v>0</v>
          </cell>
          <cell r="H45">
            <v>1403498</v>
          </cell>
        </row>
        <row r="46">
          <cell r="A46" t="str">
            <v>17322382-k</v>
          </cell>
          <cell r="B46" t="str">
            <v>Opazo Reyes Cristofer Yonathan</v>
          </cell>
          <cell r="C46">
            <v>30</v>
          </cell>
          <cell r="D46">
            <v>1200000</v>
          </cell>
          <cell r="E46">
            <v>1050000</v>
          </cell>
          <cell r="F46">
            <v>172113</v>
          </cell>
          <cell r="G46">
            <v>150000</v>
          </cell>
          <cell r="H46">
            <v>2572113</v>
          </cell>
        </row>
        <row r="47">
          <cell r="A47" t="str">
            <v>17787057-9</v>
          </cell>
          <cell r="B47" t="str">
            <v>Lillo Villarroel Juan Pablo</v>
          </cell>
          <cell r="C47">
            <v>30</v>
          </cell>
          <cell r="D47">
            <v>600000</v>
          </cell>
          <cell r="E47">
            <v>380000</v>
          </cell>
          <cell r="F47">
            <v>121827</v>
          </cell>
          <cell r="G47">
            <v>150000</v>
          </cell>
          <cell r="H47">
            <v>1251827</v>
          </cell>
        </row>
        <row r="48">
          <cell r="A48" t="str">
            <v>13399631-1</v>
          </cell>
          <cell r="B48" t="str">
            <v>Cuadra Neira Patricio Alexis</v>
          </cell>
          <cell r="C48">
            <v>30</v>
          </cell>
          <cell r="D48">
            <v>1200000</v>
          </cell>
          <cell r="E48">
            <v>1050000</v>
          </cell>
          <cell r="F48">
            <v>166317</v>
          </cell>
          <cell r="G48">
            <v>150000</v>
          </cell>
          <cell r="H48">
            <v>2566317</v>
          </cell>
        </row>
        <row r="49">
          <cell r="A49" t="str">
            <v>8268674-6</v>
          </cell>
          <cell r="B49" t="str">
            <v>Gonzalez Mardones Jose Aladino</v>
          </cell>
          <cell r="C49">
            <v>30</v>
          </cell>
          <cell r="D49">
            <v>1200000</v>
          </cell>
          <cell r="E49">
            <v>490000</v>
          </cell>
          <cell r="F49">
            <v>347402</v>
          </cell>
          <cell r="G49">
            <v>0</v>
          </cell>
          <cell r="H49">
            <v>2037402</v>
          </cell>
        </row>
        <row r="50">
          <cell r="A50" t="str">
            <v>13281451-1</v>
          </cell>
          <cell r="B50" t="str">
            <v>Contreras Catalan Claudio Andres</v>
          </cell>
          <cell r="C50">
            <v>30</v>
          </cell>
          <cell r="D50">
            <v>1200000</v>
          </cell>
          <cell r="E50">
            <v>500000</v>
          </cell>
          <cell r="F50">
            <v>342361</v>
          </cell>
          <cell r="G50">
            <v>0</v>
          </cell>
          <cell r="H50">
            <v>2042361</v>
          </cell>
        </row>
        <row r="51">
          <cell r="A51" t="str">
            <v>10952948-6</v>
          </cell>
          <cell r="B51" t="str">
            <v>Cea Morales Juan Carlos</v>
          </cell>
          <cell r="C51">
            <v>30</v>
          </cell>
          <cell r="D51">
            <v>1200000</v>
          </cell>
          <cell r="E51">
            <v>1050000</v>
          </cell>
          <cell r="F51">
            <v>166317</v>
          </cell>
          <cell r="G51">
            <v>150000</v>
          </cell>
          <cell r="H51">
            <v>2566317</v>
          </cell>
        </row>
        <row r="52">
          <cell r="A52" t="str">
            <v>17045641-6</v>
          </cell>
          <cell r="B52" t="str">
            <v>Cifuentes Caro Daniel Alejandro</v>
          </cell>
          <cell r="C52">
            <v>19</v>
          </cell>
          <cell r="D52">
            <v>760000</v>
          </cell>
          <cell r="E52">
            <v>348333</v>
          </cell>
          <cell r="F52">
            <v>87886</v>
          </cell>
          <cell r="G52">
            <v>0</v>
          </cell>
          <cell r="H52">
            <v>1196219</v>
          </cell>
        </row>
        <row r="53">
          <cell r="A53" t="str">
            <v>15186324-8</v>
          </cell>
          <cell r="B53" t="str">
            <v>Vera Chamorro Elvis Paul</v>
          </cell>
          <cell r="C53">
            <v>29</v>
          </cell>
          <cell r="D53">
            <v>580000</v>
          </cell>
          <cell r="E53">
            <v>367333</v>
          </cell>
          <cell r="F53">
            <v>109207</v>
          </cell>
          <cell r="G53">
            <v>145000</v>
          </cell>
          <cell r="H53">
            <v>1201540</v>
          </cell>
        </row>
        <row r="54">
          <cell r="A54" t="str">
            <v>18137304-0</v>
          </cell>
          <cell r="B54" t="str">
            <v>Cordova Aqueveque Sergio Andres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15235289-1</v>
          </cell>
          <cell r="B55" t="str">
            <v>Baeza Fuentes Cristian Gonzalo</v>
          </cell>
          <cell r="C55">
            <v>30</v>
          </cell>
          <cell r="D55">
            <v>550000</v>
          </cell>
          <cell r="E55">
            <v>280000</v>
          </cell>
          <cell r="F55">
            <v>102474</v>
          </cell>
          <cell r="G55">
            <v>150000</v>
          </cell>
          <cell r="H55">
            <v>1082474</v>
          </cell>
        </row>
        <row r="56">
          <cell r="A56" t="str">
            <v>16853144-3</v>
          </cell>
          <cell r="B56" t="str">
            <v>Medina Ramirez Faviola Alejandra</v>
          </cell>
          <cell r="C56">
            <v>30</v>
          </cell>
          <cell r="D56">
            <v>550000</v>
          </cell>
          <cell r="E56">
            <v>280000</v>
          </cell>
          <cell r="F56">
            <v>90560</v>
          </cell>
          <cell r="G56">
            <v>150000</v>
          </cell>
          <cell r="H56">
            <v>1070560</v>
          </cell>
        </row>
        <row r="57">
          <cell r="A57" t="str">
            <v>15197569-0</v>
          </cell>
          <cell r="B57" t="str">
            <v>Guzman Loyola Javier Alonso</v>
          </cell>
          <cell r="C57">
            <v>30</v>
          </cell>
          <cell r="D57">
            <v>529000</v>
          </cell>
          <cell r="E57">
            <v>420000</v>
          </cell>
          <cell r="F57">
            <v>152989</v>
          </cell>
          <cell r="G57">
            <v>150000</v>
          </cell>
          <cell r="H57">
            <v>1251989</v>
          </cell>
        </row>
        <row r="58">
          <cell r="A58" t="str">
            <v>13622905-2</v>
          </cell>
          <cell r="B58" t="str">
            <v>Jara Torres Daniel Isaias</v>
          </cell>
          <cell r="C58">
            <v>29</v>
          </cell>
          <cell r="D58">
            <v>531667</v>
          </cell>
          <cell r="E58">
            <v>270667</v>
          </cell>
          <cell r="F58">
            <v>91949</v>
          </cell>
          <cell r="G58">
            <v>145000</v>
          </cell>
          <cell r="H58">
            <v>1039283</v>
          </cell>
        </row>
        <row r="59">
          <cell r="A59" t="str">
            <v>20527883-4</v>
          </cell>
          <cell r="B59" t="str">
            <v>Bustos Godoy Eduar Felipe</v>
          </cell>
          <cell r="C59">
            <v>30</v>
          </cell>
          <cell r="D59">
            <v>550000</v>
          </cell>
          <cell r="E59">
            <v>280000</v>
          </cell>
          <cell r="F59">
            <v>102474</v>
          </cell>
          <cell r="G59">
            <v>150000</v>
          </cell>
          <cell r="H59">
            <v>1082474</v>
          </cell>
        </row>
        <row r="60">
          <cell r="A60" t="str">
            <v>20956581-1</v>
          </cell>
          <cell r="B60" t="str">
            <v>Puentes Navarrete Cristopher Patricio</v>
          </cell>
          <cell r="C60">
            <v>16</v>
          </cell>
          <cell r="D60">
            <v>293333</v>
          </cell>
          <cell r="E60">
            <v>149333</v>
          </cell>
          <cell r="F60">
            <v>39392</v>
          </cell>
          <cell r="G60">
            <v>80000</v>
          </cell>
          <cell r="H60">
            <v>562058</v>
          </cell>
        </row>
        <row r="61">
          <cell r="A61" t="str">
            <v>16905479-7</v>
          </cell>
          <cell r="B61" t="str">
            <v>Palma Esparza Luis Gabriel</v>
          </cell>
          <cell r="C61">
            <v>30</v>
          </cell>
          <cell r="D61">
            <v>550000</v>
          </cell>
          <cell r="E61">
            <v>280000</v>
          </cell>
          <cell r="F61">
            <v>102615</v>
          </cell>
          <cell r="G61">
            <v>150000</v>
          </cell>
          <cell r="H61">
            <v>1082615</v>
          </cell>
        </row>
        <row r="62">
          <cell r="A62" t="str">
            <v>15183471-k</v>
          </cell>
          <cell r="B62" t="str">
            <v>Navarrete Gomez Miguel Angel</v>
          </cell>
          <cell r="C62">
            <v>30</v>
          </cell>
          <cell r="D62">
            <v>700000</v>
          </cell>
          <cell r="E62">
            <v>580000</v>
          </cell>
          <cell r="F62">
            <v>134680</v>
          </cell>
          <cell r="G62">
            <v>150000</v>
          </cell>
          <cell r="H62">
            <v>1564680</v>
          </cell>
        </row>
        <row r="63">
          <cell r="A63" t="str">
            <v>12083468-1</v>
          </cell>
          <cell r="B63" t="str">
            <v>Cerda Leiva Marco Antonio</v>
          </cell>
          <cell r="C63">
            <v>27</v>
          </cell>
          <cell r="D63">
            <v>495000</v>
          </cell>
          <cell r="E63">
            <v>220500</v>
          </cell>
          <cell r="F63">
            <v>104840</v>
          </cell>
          <cell r="G63">
            <v>135000</v>
          </cell>
          <cell r="H63">
            <v>955340</v>
          </cell>
        </row>
        <row r="64">
          <cell r="A64" t="str">
            <v>18288718-8</v>
          </cell>
          <cell r="B64" t="str">
            <v>Delgado Cartes Alex Mauricio</v>
          </cell>
          <cell r="C64">
            <v>30</v>
          </cell>
          <cell r="D64">
            <v>529000</v>
          </cell>
          <cell r="E64">
            <v>245000</v>
          </cell>
          <cell r="F64">
            <v>327827</v>
          </cell>
          <cell r="G64">
            <v>150000</v>
          </cell>
          <cell r="H64">
            <v>1251827</v>
          </cell>
        </row>
        <row r="65">
          <cell r="A65" t="str">
            <v>19464944-4</v>
          </cell>
          <cell r="B65" t="str">
            <v>Morales Araneda Jose Daniel</v>
          </cell>
          <cell r="C65">
            <v>29</v>
          </cell>
          <cell r="D65">
            <v>580000</v>
          </cell>
          <cell r="E65">
            <v>183667</v>
          </cell>
          <cell r="F65">
            <v>126839</v>
          </cell>
          <cell r="G65">
            <v>145000</v>
          </cell>
          <cell r="H65">
            <v>1035506</v>
          </cell>
        </row>
        <row r="66">
          <cell r="A66" t="str">
            <v>10840672-0</v>
          </cell>
          <cell r="B66" t="str">
            <v>Hermosilla Valdebenito Leonel Esteban</v>
          </cell>
          <cell r="C66">
            <v>25</v>
          </cell>
          <cell r="D66">
            <v>440833</v>
          </cell>
          <cell r="E66">
            <v>204167</v>
          </cell>
          <cell r="F66">
            <v>74558</v>
          </cell>
          <cell r="G66">
            <v>125000</v>
          </cell>
          <cell r="H66">
            <v>844558</v>
          </cell>
        </row>
        <row r="67">
          <cell r="A67" t="str">
            <v>15189517-4</v>
          </cell>
          <cell r="B67" t="str">
            <v>Concha Silva Ivan Omar</v>
          </cell>
          <cell r="C67">
            <v>30</v>
          </cell>
          <cell r="D67">
            <v>1200000</v>
          </cell>
          <cell r="E67">
            <v>450000</v>
          </cell>
          <cell r="F67">
            <v>136650</v>
          </cell>
          <cell r="G67">
            <v>0</v>
          </cell>
          <cell r="H67">
            <v>1786650</v>
          </cell>
        </row>
        <row r="68">
          <cell r="A68" t="str">
            <v>19217759-6</v>
          </cell>
          <cell r="B68" t="str">
            <v>Pinto Huichalao Wladimir Francisco</v>
          </cell>
          <cell r="C68">
            <v>30</v>
          </cell>
          <cell r="D68">
            <v>600000</v>
          </cell>
          <cell r="E68">
            <v>280000</v>
          </cell>
          <cell r="F68">
            <v>221989</v>
          </cell>
          <cell r="G68">
            <v>150000</v>
          </cell>
          <cell r="H68">
            <v>1251989</v>
          </cell>
        </row>
        <row r="69">
          <cell r="A69" t="str">
            <v>14016538-7</v>
          </cell>
          <cell r="B69" t="str">
            <v>Cifuentes Caamaño Gerardo Patricio</v>
          </cell>
          <cell r="C69">
            <v>30</v>
          </cell>
          <cell r="D69">
            <v>2500000</v>
          </cell>
          <cell r="E69">
            <v>1100000</v>
          </cell>
          <cell r="F69">
            <v>485897</v>
          </cell>
          <cell r="G69">
            <v>0</v>
          </cell>
          <cell r="H69">
            <v>4085897</v>
          </cell>
        </row>
        <row r="70">
          <cell r="A70" t="str">
            <v>14273336-6</v>
          </cell>
          <cell r="B70" t="str">
            <v>Gonzalez Araneda Mario Eduardo</v>
          </cell>
          <cell r="C70">
            <v>30</v>
          </cell>
          <cell r="D70">
            <v>900000</v>
          </cell>
          <cell r="E70">
            <v>720000</v>
          </cell>
          <cell r="F70">
            <v>211354</v>
          </cell>
          <cell r="G70">
            <v>150000</v>
          </cell>
          <cell r="H70">
            <v>1981354</v>
          </cell>
        </row>
        <row r="71">
          <cell r="A71" t="str">
            <v>16512863-k</v>
          </cell>
          <cell r="B71" t="str">
            <v>Araneda Martinez Alexis Alfonso</v>
          </cell>
          <cell r="C71">
            <v>30</v>
          </cell>
          <cell r="D71">
            <v>529000</v>
          </cell>
          <cell r="E71">
            <v>180000</v>
          </cell>
          <cell r="F71">
            <v>42743</v>
          </cell>
          <cell r="G71">
            <v>150000</v>
          </cell>
          <cell r="H71">
            <v>901743</v>
          </cell>
        </row>
        <row r="72">
          <cell r="A72" t="str">
            <v>22180513-5</v>
          </cell>
          <cell r="B72" t="str">
            <v>Santander Nuñez Diego Patricio</v>
          </cell>
          <cell r="C72">
            <v>30</v>
          </cell>
          <cell r="D72">
            <v>529000</v>
          </cell>
          <cell r="E72">
            <v>180000</v>
          </cell>
          <cell r="F72">
            <v>35637</v>
          </cell>
          <cell r="G72">
            <v>150000</v>
          </cell>
          <cell r="H72">
            <v>894637</v>
          </cell>
        </row>
        <row r="73">
          <cell r="A73" t="str">
            <v>17224035-6</v>
          </cell>
          <cell r="B73" t="str">
            <v>Canales Gonzalez Jorge Ramon</v>
          </cell>
          <cell r="C73">
            <v>29</v>
          </cell>
          <cell r="D73">
            <v>511367</v>
          </cell>
          <cell r="E73">
            <v>116000</v>
          </cell>
          <cell r="F73">
            <v>205483</v>
          </cell>
          <cell r="G73">
            <v>145000</v>
          </cell>
          <cell r="H73">
            <v>977850</v>
          </cell>
        </row>
        <row r="74">
          <cell r="A74" t="str">
            <v>18135332-5</v>
          </cell>
          <cell r="B74" t="str">
            <v>Aravena Jimenez Antonio Edison</v>
          </cell>
          <cell r="C74">
            <v>30</v>
          </cell>
          <cell r="D74">
            <v>529000</v>
          </cell>
          <cell r="E74">
            <v>120000</v>
          </cell>
          <cell r="F74">
            <v>209549</v>
          </cell>
          <cell r="G74">
            <v>150000</v>
          </cell>
          <cell r="H74">
            <v>1008549</v>
          </cell>
        </row>
        <row r="75">
          <cell r="A75" t="str">
            <v>13806002-0</v>
          </cell>
          <cell r="B75" t="str">
            <v>Gonzalez Jaque Juan Wilson</v>
          </cell>
          <cell r="C75">
            <v>30</v>
          </cell>
          <cell r="D75">
            <v>550000</v>
          </cell>
          <cell r="E75">
            <v>280000</v>
          </cell>
          <cell r="F75">
            <v>102615</v>
          </cell>
          <cell r="G75">
            <v>150000</v>
          </cell>
          <cell r="H75">
            <v>1082615</v>
          </cell>
        </row>
        <row r="76">
          <cell r="A76" t="str">
            <v>14095920-0</v>
          </cell>
          <cell r="B76" t="str">
            <v>Oyarzun Palma Cristian Antonio</v>
          </cell>
          <cell r="C76">
            <v>30</v>
          </cell>
          <cell r="D76">
            <v>1400000</v>
          </cell>
          <cell r="E76">
            <v>600000</v>
          </cell>
          <cell r="F76">
            <v>233663</v>
          </cell>
          <cell r="G76">
            <v>0</v>
          </cell>
          <cell r="H76">
            <v>2233663</v>
          </cell>
        </row>
        <row r="77">
          <cell r="A77" t="str">
            <v>17200337-0</v>
          </cell>
          <cell r="B77" t="str">
            <v>Gonzalez Gonzalez Esteban Alberto</v>
          </cell>
          <cell r="C77">
            <v>30</v>
          </cell>
          <cell r="D77">
            <v>550000</v>
          </cell>
          <cell r="E77">
            <v>280000</v>
          </cell>
          <cell r="F77">
            <v>102474</v>
          </cell>
          <cell r="G77">
            <v>150000</v>
          </cell>
          <cell r="H77">
            <v>1082474</v>
          </cell>
        </row>
        <row r="78">
          <cell r="A78" t="str">
            <v>17570975-4</v>
          </cell>
          <cell r="B78" t="str">
            <v>Pastenes Fuentealba Jose Luis</v>
          </cell>
          <cell r="C78">
            <v>30</v>
          </cell>
          <cell r="D78">
            <v>700000</v>
          </cell>
          <cell r="E78">
            <v>150000</v>
          </cell>
          <cell r="F78">
            <v>564680</v>
          </cell>
          <cell r="G78">
            <v>150000</v>
          </cell>
          <cell r="H78">
            <v>1564680</v>
          </cell>
        </row>
        <row r="79">
          <cell r="A79" t="str">
            <v>16230053-9</v>
          </cell>
          <cell r="B79" t="str">
            <v>Jimenez Gutierrez Francisco Andres</v>
          </cell>
          <cell r="C79">
            <v>30</v>
          </cell>
          <cell r="D79">
            <v>600000</v>
          </cell>
          <cell r="E79">
            <v>280000</v>
          </cell>
          <cell r="F79">
            <v>221989</v>
          </cell>
          <cell r="G79">
            <v>150000</v>
          </cell>
          <cell r="H79">
            <v>1251989</v>
          </cell>
        </row>
        <row r="80">
          <cell r="A80" t="str">
            <v>14059701-5</v>
          </cell>
          <cell r="B80" t="str">
            <v>Rubio Gallegos Haroldo Andres</v>
          </cell>
          <cell r="C80">
            <v>30</v>
          </cell>
          <cell r="D80">
            <v>550000</v>
          </cell>
          <cell r="E80">
            <v>200000</v>
          </cell>
          <cell r="F80">
            <v>117565</v>
          </cell>
          <cell r="G80">
            <v>150000</v>
          </cell>
          <cell r="H80">
            <v>1017565</v>
          </cell>
        </row>
        <row r="81">
          <cell r="A81" t="str">
            <v>11782803-4</v>
          </cell>
          <cell r="B81" t="str">
            <v>Navarrete Alvarez Oscar Roberto</v>
          </cell>
          <cell r="C81">
            <v>30</v>
          </cell>
          <cell r="D81">
            <v>529000</v>
          </cell>
          <cell r="E81">
            <v>300000</v>
          </cell>
          <cell r="F81">
            <v>103474</v>
          </cell>
          <cell r="G81">
            <v>150000</v>
          </cell>
          <cell r="H81">
            <v>1082474</v>
          </cell>
        </row>
        <row r="82">
          <cell r="A82" t="str">
            <v>20111874-3</v>
          </cell>
          <cell r="B82" t="str">
            <v>Del Valle Quezada Mario Alejandro</v>
          </cell>
          <cell r="C82">
            <v>30</v>
          </cell>
          <cell r="D82">
            <v>550000</v>
          </cell>
          <cell r="E82">
            <v>210000</v>
          </cell>
          <cell r="F82">
            <v>106118</v>
          </cell>
          <cell r="G82">
            <v>150000</v>
          </cell>
          <cell r="H82">
            <v>1016118</v>
          </cell>
        </row>
        <row r="83">
          <cell r="A83" t="str">
            <v>19725999-k</v>
          </cell>
          <cell r="B83" t="str">
            <v>Sepulveda Monsalves Juan Guillermo</v>
          </cell>
          <cell r="C83">
            <v>30</v>
          </cell>
          <cell r="D83">
            <v>600000</v>
          </cell>
          <cell r="E83">
            <v>380000</v>
          </cell>
          <cell r="F83">
            <v>108146</v>
          </cell>
          <cell r="G83">
            <v>150000</v>
          </cell>
          <cell r="H83">
            <v>1238146</v>
          </cell>
        </row>
        <row r="84">
          <cell r="A84" t="str">
            <v>17322502-4</v>
          </cell>
          <cell r="B84" t="str">
            <v>Villalobos Espinoza Fabian Eduardo</v>
          </cell>
          <cell r="C84">
            <v>30</v>
          </cell>
          <cell r="D84">
            <v>529000</v>
          </cell>
          <cell r="E84">
            <v>150000</v>
          </cell>
          <cell r="F84">
            <v>72743</v>
          </cell>
          <cell r="G84">
            <v>150000</v>
          </cell>
          <cell r="H84">
            <v>901743</v>
          </cell>
        </row>
        <row r="85">
          <cell r="A85" t="str">
            <v>16829810-2</v>
          </cell>
          <cell r="B85" t="str">
            <v>Rios Jaramillo Valeria Paulette</v>
          </cell>
          <cell r="C85">
            <v>30</v>
          </cell>
          <cell r="D85">
            <v>900000</v>
          </cell>
          <cell r="E85">
            <v>400000</v>
          </cell>
          <cell r="F85">
            <v>103498</v>
          </cell>
          <cell r="G85">
            <v>0</v>
          </cell>
          <cell r="H85">
            <v>1403498</v>
          </cell>
        </row>
        <row r="86">
          <cell r="A86" t="str">
            <v>18941392-0</v>
          </cell>
          <cell r="B86" t="str">
            <v>Julio Farias Pablo Alexander</v>
          </cell>
          <cell r="C86">
            <v>22</v>
          </cell>
          <cell r="D86">
            <v>403333</v>
          </cell>
          <cell r="E86">
            <v>267667</v>
          </cell>
          <cell r="F86">
            <v>17240</v>
          </cell>
          <cell r="G86">
            <v>110000</v>
          </cell>
          <cell r="H86">
            <v>798240</v>
          </cell>
        </row>
        <row r="87">
          <cell r="A87" t="str">
            <v>10767293-1</v>
          </cell>
          <cell r="B87" t="str">
            <v>Sagredo Hernandez Trancito Teodomiro</v>
          </cell>
          <cell r="C87">
            <v>30</v>
          </cell>
          <cell r="D87">
            <v>550000</v>
          </cell>
          <cell r="E87">
            <v>380000</v>
          </cell>
          <cell r="F87">
            <v>45600</v>
          </cell>
          <cell r="G87">
            <v>150000</v>
          </cell>
          <cell r="H87">
            <v>1125600</v>
          </cell>
        </row>
        <row r="88">
          <cell r="A88" t="str">
            <v>15205099-2</v>
          </cell>
          <cell r="B88" t="str">
            <v>Barra Padilla Ruben Orlando</v>
          </cell>
          <cell r="C88">
            <v>22</v>
          </cell>
          <cell r="D88">
            <v>366667</v>
          </cell>
          <cell r="E88">
            <v>179667</v>
          </cell>
          <cell r="F88">
            <v>65533</v>
          </cell>
          <cell r="G88">
            <v>110000</v>
          </cell>
          <cell r="H88">
            <v>721867</v>
          </cell>
        </row>
        <row r="89">
          <cell r="A89" t="str">
            <v>17421117-5</v>
          </cell>
          <cell r="B89" t="str">
            <v>Tapia Becerra Angel Dario</v>
          </cell>
          <cell r="C89">
            <v>30</v>
          </cell>
          <cell r="D89">
            <v>1200000</v>
          </cell>
          <cell r="E89">
            <v>450000</v>
          </cell>
          <cell r="F89">
            <v>328228</v>
          </cell>
          <cell r="G89">
            <v>0</v>
          </cell>
          <cell r="H89">
            <v>1978228</v>
          </cell>
        </row>
        <row r="90">
          <cell r="A90" t="str">
            <v>15449967-9</v>
          </cell>
          <cell r="B90" t="str">
            <v>Urra Fuentealba Rene Andres</v>
          </cell>
          <cell r="C90">
            <v>30</v>
          </cell>
          <cell r="D90">
            <v>1200000</v>
          </cell>
          <cell r="E90">
            <v>500000</v>
          </cell>
          <cell r="F90">
            <v>342087</v>
          </cell>
          <cell r="G90">
            <v>0</v>
          </cell>
          <cell r="H90">
            <v>2042087</v>
          </cell>
        </row>
        <row r="91">
          <cell r="A91" t="str">
            <v>12696922-8</v>
          </cell>
          <cell r="B91" t="str">
            <v>Castro Paredes Francisco Javier</v>
          </cell>
          <cell r="C91">
            <v>30</v>
          </cell>
          <cell r="D91">
            <v>700000</v>
          </cell>
          <cell r="E91">
            <v>380000</v>
          </cell>
          <cell r="F91">
            <v>334481</v>
          </cell>
          <cell r="G91">
            <v>150000</v>
          </cell>
          <cell r="H91">
            <v>1564481</v>
          </cell>
        </row>
        <row r="92">
          <cell r="A92" t="str">
            <v>19373524-k</v>
          </cell>
          <cell r="B92" t="str">
            <v>Romero Villanueva Geraldine Victoria</v>
          </cell>
          <cell r="C92">
            <v>30</v>
          </cell>
          <cell r="D92">
            <v>700000</v>
          </cell>
          <cell r="E92">
            <v>510000</v>
          </cell>
          <cell r="F92">
            <v>201103</v>
          </cell>
          <cell r="G92">
            <v>150000</v>
          </cell>
          <cell r="H92">
            <v>1561103</v>
          </cell>
        </row>
        <row r="93">
          <cell r="A93" t="str">
            <v>10518521-9</v>
          </cell>
          <cell r="B93" t="str">
            <v>Vega Moraga Marcos Andres</v>
          </cell>
          <cell r="C93">
            <v>30</v>
          </cell>
          <cell r="D93">
            <v>600000</v>
          </cell>
          <cell r="E93">
            <v>380000</v>
          </cell>
          <cell r="F93">
            <v>121827</v>
          </cell>
          <cell r="G93">
            <v>150000</v>
          </cell>
          <cell r="H93">
            <v>1251827</v>
          </cell>
        </row>
        <row r="94">
          <cell r="A94" t="str">
            <v>19530956-6</v>
          </cell>
          <cell r="B94" t="str">
            <v>Semler Reyes Gerald Matias</v>
          </cell>
          <cell r="C94">
            <v>30</v>
          </cell>
          <cell r="D94">
            <v>700000</v>
          </cell>
          <cell r="E94">
            <v>380000</v>
          </cell>
          <cell r="F94">
            <v>334481</v>
          </cell>
          <cell r="G94">
            <v>150000</v>
          </cell>
          <cell r="H94">
            <v>1564481</v>
          </cell>
        </row>
        <row r="95">
          <cell r="A95" t="str">
            <v>10254106-5</v>
          </cell>
          <cell r="B95" t="str">
            <v>Perez Cea Lazaro Julian</v>
          </cell>
          <cell r="C95">
            <v>30</v>
          </cell>
          <cell r="D95">
            <v>550000</v>
          </cell>
          <cell r="E95">
            <v>280000</v>
          </cell>
          <cell r="F95">
            <v>102474</v>
          </cell>
          <cell r="G95">
            <v>150000</v>
          </cell>
          <cell r="H95">
            <v>1082474</v>
          </cell>
        </row>
        <row r="96">
          <cell r="A96" t="str">
            <v>17862965-4</v>
          </cell>
          <cell r="B96" t="str">
            <v>Arellano Nova Victor Nicolas</v>
          </cell>
          <cell r="C96">
            <v>30</v>
          </cell>
          <cell r="D96">
            <v>550000</v>
          </cell>
          <cell r="E96">
            <v>280000</v>
          </cell>
          <cell r="F96">
            <v>102474</v>
          </cell>
          <cell r="G96">
            <v>150000</v>
          </cell>
          <cell r="H96">
            <v>1082474</v>
          </cell>
        </row>
        <row r="97">
          <cell r="A97" t="str">
            <v>12701671-2</v>
          </cell>
          <cell r="B97" t="str">
            <v>Ramirez Gonzalez Rodrigo Alejandro</v>
          </cell>
          <cell r="C97">
            <v>24</v>
          </cell>
          <cell r="D97">
            <v>960000</v>
          </cell>
          <cell r="E97">
            <v>400000</v>
          </cell>
          <cell r="F97">
            <v>222303</v>
          </cell>
          <cell r="G97">
            <v>0</v>
          </cell>
          <cell r="H97">
            <v>1582303</v>
          </cell>
        </row>
        <row r="98">
          <cell r="A98" t="str">
            <v>15196124-k</v>
          </cell>
          <cell r="B98" t="str">
            <v>Sepulveda Pacheco Nelson Esteban</v>
          </cell>
          <cell r="C98">
            <v>30</v>
          </cell>
          <cell r="D98">
            <v>550000</v>
          </cell>
          <cell r="E98">
            <v>380000</v>
          </cell>
          <cell r="F98">
            <v>48215</v>
          </cell>
          <cell r="G98">
            <v>150000</v>
          </cell>
          <cell r="H98">
            <v>1128215</v>
          </cell>
        </row>
        <row r="99">
          <cell r="A99" t="str">
            <v>16284284-6</v>
          </cell>
          <cell r="B99" t="str">
            <v>Neira Iglesias Daniel Alejandro</v>
          </cell>
          <cell r="C99">
            <v>30</v>
          </cell>
          <cell r="D99">
            <v>550000</v>
          </cell>
          <cell r="E99">
            <v>380000</v>
          </cell>
          <cell r="F99">
            <v>45600</v>
          </cell>
          <cell r="G99">
            <v>150000</v>
          </cell>
          <cell r="H99">
            <v>1125600</v>
          </cell>
        </row>
        <row r="100">
          <cell r="A100" t="str">
            <v>17207406-5</v>
          </cell>
          <cell r="B100" t="str">
            <v>Quiroz Arellano Pablo Rainiero</v>
          </cell>
          <cell r="C100">
            <v>29</v>
          </cell>
          <cell r="D100">
            <v>511367</v>
          </cell>
          <cell r="E100">
            <v>236833</v>
          </cell>
          <cell r="F100">
            <v>84650</v>
          </cell>
          <cell r="G100">
            <v>145000</v>
          </cell>
          <cell r="H100">
            <v>977850</v>
          </cell>
        </row>
        <row r="101">
          <cell r="A101" t="str">
            <v>10483229-6</v>
          </cell>
          <cell r="B101" t="str">
            <v>Garrido Heredia Juan Carlos</v>
          </cell>
          <cell r="C101">
            <v>30</v>
          </cell>
          <cell r="D101">
            <v>529000</v>
          </cell>
          <cell r="E101">
            <v>245000</v>
          </cell>
          <cell r="F101">
            <v>95943</v>
          </cell>
          <cell r="G101">
            <v>150000</v>
          </cell>
          <cell r="H101">
            <v>1019943</v>
          </cell>
        </row>
        <row r="102">
          <cell r="A102" t="str">
            <v>10615332-9</v>
          </cell>
          <cell r="B102" t="str">
            <v>Contreras Dasse Rosa Evelina</v>
          </cell>
          <cell r="C102">
            <v>30</v>
          </cell>
          <cell r="D102">
            <v>529000</v>
          </cell>
          <cell r="E102">
            <v>30000</v>
          </cell>
          <cell r="F102">
            <v>42982</v>
          </cell>
          <cell r="G102">
            <v>150000</v>
          </cell>
          <cell r="H102">
            <v>751982</v>
          </cell>
        </row>
        <row r="103">
          <cell r="A103" t="str">
            <v>11458086-4</v>
          </cell>
          <cell r="B103" t="str">
            <v>Vasquez Salamanca Mario Enrique</v>
          </cell>
          <cell r="C103">
            <v>30</v>
          </cell>
          <cell r="D103">
            <v>900000</v>
          </cell>
          <cell r="E103">
            <v>420000</v>
          </cell>
          <cell r="F103">
            <v>94481</v>
          </cell>
          <cell r="G103">
            <v>150000</v>
          </cell>
          <cell r="H103">
            <v>1564481</v>
          </cell>
        </row>
        <row r="104">
          <cell r="A104" t="str">
            <v>18815787-4</v>
          </cell>
          <cell r="B104" t="str">
            <v>Briones Briones Francisco Ignacio</v>
          </cell>
          <cell r="C104">
            <v>30</v>
          </cell>
          <cell r="D104">
            <v>550000</v>
          </cell>
          <cell r="E104">
            <v>280000</v>
          </cell>
          <cell r="F104">
            <v>102474</v>
          </cell>
          <cell r="G104">
            <v>150000</v>
          </cell>
          <cell r="H104">
            <v>1082474</v>
          </cell>
        </row>
        <row r="105">
          <cell r="A105" t="str">
            <v>20911193-4</v>
          </cell>
          <cell r="B105" t="str">
            <v>Urra Labraña Martin Nicolas</v>
          </cell>
          <cell r="C105">
            <v>30</v>
          </cell>
          <cell r="D105">
            <v>600000</v>
          </cell>
          <cell r="E105">
            <v>380000</v>
          </cell>
          <cell r="F105">
            <v>121827</v>
          </cell>
          <cell r="G105">
            <v>150000</v>
          </cell>
          <cell r="H105">
            <v>1251827</v>
          </cell>
        </row>
        <row r="106">
          <cell r="A106" t="str">
            <v>12703288-2</v>
          </cell>
          <cell r="B106" t="str">
            <v>Burgos Hormazabal Moises Alejandro</v>
          </cell>
          <cell r="C106">
            <v>30</v>
          </cell>
          <cell r="D106">
            <v>529000</v>
          </cell>
          <cell r="E106">
            <v>245000</v>
          </cell>
          <cell r="F106">
            <v>95809</v>
          </cell>
          <cell r="G106">
            <v>150000</v>
          </cell>
          <cell r="H106">
            <v>1019809</v>
          </cell>
        </row>
        <row r="107">
          <cell r="A107" t="str">
            <v>14355909-2</v>
          </cell>
          <cell r="B107" t="str">
            <v>Castillo Toro Luis Andres</v>
          </cell>
          <cell r="C107">
            <v>30</v>
          </cell>
          <cell r="D107">
            <v>550000</v>
          </cell>
          <cell r="E107">
            <v>380000</v>
          </cell>
          <cell r="F107">
            <v>48215</v>
          </cell>
          <cell r="G107">
            <v>150000</v>
          </cell>
          <cell r="H107">
            <v>1128215</v>
          </cell>
        </row>
        <row r="108">
          <cell r="A108" t="str">
            <v>18142265-3</v>
          </cell>
          <cell r="B108" t="str">
            <v>Rodriguez Osses Joaquin Gabriel</v>
          </cell>
          <cell r="C108">
            <v>29</v>
          </cell>
          <cell r="D108">
            <v>511367</v>
          </cell>
          <cell r="E108">
            <v>236833</v>
          </cell>
          <cell r="F108">
            <v>84650</v>
          </cell>
          <cell r="G108">
            <v>145000</v>
          </cell>
          <cell r="H108">
            <v>977850</v>
          </cell>
        </row>
        <row r="109">
          <cell r="A109" t="str">
            <v>12925051-8</v>
          </cell>
          <cell r="B109" t="str">
            <v>Chaparro Santos German Bernardino</v>
          </cell>
          <cell r="C109">
            <v>30</v>
          </cell>
          <cell r="D109">
            <v>1200000</v>
          </cell>
          <cell r="E109">
            <v>550000</v>
          </cell>
          <cell r="F109">
            <v>292087</v>
          </cell>
          <cell r="G109">
            <v>0</v>
          </cell>
          <cell r="H109">
            <v>2042087</v>
          </cell>
        </row>
        <row r="110">
          <cell r="A110" t="str">
            <v>17091871-1</v>
          </cell>
          <cell r="B110" t="str">
            <v>Palma Riquelme Nathaly Andrea</v>
          </cell>
          <cell r="C110">
            <v>30</v>
          </cell>
          <cell r="D110">
            <v>550000</v>
          </cell>
          <cell r="E110">
            <v>280000</v>
          </cell>
          <cell r="F110">
            <v>102474</v>
          </cell>
          <cell r="G110">
            <v>150000</v>
          </cell>
          <cell r="H110">
            <v>1082474</v>
          </cell>
        </row>
        <row r="111">
          <cell r="A111" t="str">
            <v>16156882-1</v>
          </cell>
          <cell r="B111" t="str">
            <v>Chaparro Santos Juan Carlos</v>
          </cell>
          <cell r="C111">
            <v>30</v>
          </cell>
          <cell r="D111">
            <v>600000</v>
          </cell>
          <cell r="E111">
            <v>380000</v>
          </cell>
          <cell r="F111">
            <v>121989</v>
          </cell>
          <cell r="G111">
            <v>150000</v>
          </cell>
          <cell r="H111">
            <v>1251989</v>
          </cell>
        </row>
        <row r="112">
          <cell r="A112" t="str">
            <v>13377699-0</v>
          </cell>
          <cell r="B112" t="str">
            <v>Suazo Gallegos Jose Javier</v>
          </cell>
          <cell r="C112">
            <v>30</v>
          </cell>
          <cell r="D112">
            <v>600000</v>
          </cell>
          <cell r="E112">
            <v>380000</v>
          </cell>
          <cell r="F112">
            <v>119100</v>
          </cell>
          <cell r="G112">
            <v>150000</v>
          </cell>
          <cell r="H112">
            <v>1249100</v>
          </cell>
        </row>
        <row r="113">
          <cell r="A113" t="str">
            <v>11790139-4</v>
          </cell>
          <cell r="B113" t="str">
            <v>Rodriguez Pardo Mauricio Hernan</v>
          </cell>
          <cell r="C113">
            <v>30</v>
          </cell>
          <cell r="D113">
            <v>600000</v>
          </cell>
          <cell r="E113">
            <v>380000</v>
          </cell>
          <cell r="F113">
            <v>121989</v>
          </cell>
          <cell r="G113">
            <v>150000</v>
          </cell>
          <cell r="H113">
            <v>1251989</v>
          </cell>
        </row>
        <row r="114">
          <cell r="A114" t="str">
            <v>12320635-5</v>
          </cell>
          <cell r="B114" t="str">
            <v>Bello Sanhueza Rodrigo Andres</v>
          </cell>
          <cell r="C114">
            <v>30</v>
          </cell>
          <cell r="D114">
            <v>550000</v>
          </cell>
          <cell r="E114">
            <v>280000</v>
          </cell>
          <cell r="F114">
            <v>102615</v>
          </cell>
          <cell r="G114">
            <v>150000</v>
          </cell>
          <cell r="H114">
            <v>1082615</v>
          </cell>
        </row>
        <row r="115">
          <cell r="A115" t="str">
            <v>17043475-7</v>
          </cell>
          <cell r="B115" t="str">
            <v>Parra Riffo Nicolas Ignacio</v>
          </cell>
          <cell r="C115">
            <v>30</v>
          </cell>
          <cell r="D115">
            <v>1300000</v>
          </cell>
          <cell r="E115">
            <v>600000</v>
          </cell>
          <cell r="F115">
            <v>205945</v>
          </cell>
          <cell r="G115">
            <v>0</v>
          </cell>
          <cell r="H115">
            <v>2105945</v>
          </cell>
        </row>
        <row r="116">
          <cell r="A116" t="str">
            <v>9828378-1</v>
          </cell>
          <cell r="B116" t="str">
            <v>Medel Silva Hector Antonio</v>
          </cell>
          <cell r="C116">
            <v>30</v>
          </cell>
          <cell r="D116">
            <v>529000</v>
          </cell>
          <cell r="E116">
            <v>420000</v>
          </cell>
          <cell r="F116">
            <v>152827</v>
          </cell>
          <cell r="G116">
            <v>150000</v>
          </cell>
          <cell r="H116">
            <v>1251827</v>
          </cell>
        </row>
        <row r="117">
          <cell r="A117" t="str">
            <v>15165207-7</v>
          </cell>
          <cell r="B117" t="str">
            <v>Padilla Gomez Stephans Patricio</v>
          </cell>
          <cell r="C117">
            <v>30</v>
          </cell>
          <cell r="D117">
            <v>600000</v>
          </cell>
          <cell r="E117">
            <v>380000</v>
          </cell>
          <cell r="F117">
            <v>121827</v>
          </cell>
          <cell r="G117">
            <v>150000</v>
          </cell>
          <cell r="H117">
            <v>1251827</v>
          </cell>
        </row>
        <row r="118">
          <cell r="A118" t="str">
            <v>18721067-4</v>
          </cell>
          <cell r="B118" t="str">
            <v>Fernandez Saez Sebastian Alejandro</v>
          </cell>
          <cell r="C118">
            <v>29</v>
          </cell>
          <cell r="D118">
            <v>580000</v>
          </cell>
          <cell r="E118">
            <v>183667</v>
          </cell>
          <cell r="F118">
            <v>130751</v>
          </cell>
          <cell r="G118">
            <v>145000</v>
          </cell>
          <cell r="H118">
            <v>1039418</v>
          </cell>
        </row>
        <row r="119">
          <cell r="A119" t="str">
            <v>12301799-4</v>
          </cell>
          <cell r="B119" t="str">
            <v>Santander Garrido Patricio Eduardo</v>
          </cell>
          <cell r="C119">
            <v>30</v>
          </cell>
          <cell r="D119">
            <v>1200000</v>
          </cell>
          <cell r="E119">
            <v>550000</v>
          </cell>
          <cell r="F119">
            <v>292361</v>
          </cell>
          <cell r="G119">
            <v>0</v>
          </cell>
          <cell r="H119">
            <v>2042361</v>
          </cell>
        </row>
        <row r="120">
          <cell r="A120" t="str">
            <v>16854232-1</v>
          </cell>
          <cell r="B120" t="str">
            <v>Diaz Gomez Pablo Andres</v>
          </cell>
          <cell r="C120">
            <v>30</v>
          </cell>
          <cell r="D120">
            <v>700000</v>
          </cell>
          <cell r="E120">
            <v>380000</v>
          </cell>
          <cell r="F120">
            <v>334680</v>
          </cell>
          <cell r="G120">
            <v>150000</v>
          </cell>
          <cell r="H120">
            <v>1564680</v>
          </cell>
        </row>
        <row r="121">
          <cell r="A121" t="str">
            <v>20936268-6</v>
          </cell>
          <cell r="B121" t="str">
            <v>Pino Montecino Diego Enrique</v>
          </cell>
          <cell r="C121">
            <v>30</v>
          </cell>
          <cell r="D121">
            <v>550000</v>
          </cell>
          <cell r="E121">
            <v>280000</v>
          </cell>
          <cell r="F121">
            <v>89328</v>
          </cell>
          <cell r="G121">
            <v>150000</v>
          </cell>
          <cell r="H121">
            <v>1069328</v>
          </cell>
        </row>
        <row r="122">
          <cell r="A122" t="str">
            <v>16530909-k</v>
          </cell>
          <cell r="B122" t="str">
            <v>Aedo Gutierrez Manuel Felizario</v>
          </cell>
          <cell r="C122">
            <v>30</v>
          </cell>
          <cell r="D122">
            <v>900000</v>
          </cell>
          <cell r="E122">
            <v>720000</v>
          </cell>
          <cell r="F122">
            <v>211354</v>
          </cell>
          <cell r="G122">
            <v>150000</v>
          </cell>
          <cell r="H122">
            <v>1981354</v>
          </cell>
        </row>
        <row r="123">
          <cell r="A123" t="str">
            <v>15928270-8</v>
          </cell>
          <cell r="B123" t="str">
            <v>Vertiola Pinela Richard Fernando</v>
          </cell>
          <cell r="C123">
            <v>30</v>
          </cell>
          <cell r="D123">
            <v>900000</v>
          </cell>
          <cell r="E123">
            <v>720000</v>
          </cell>
          <cell r="F123">
            <v>211354</v>
          </cell>
          <cell r="G123">
            <v>150000</v>
          </cell>
          <cell r="H123">
            <v>1981354</v>
          </cell>
        </row>
        <row r="124">
          <cell r="A124" t="str">
            <v>17933561-1</v>
          </cell>
          <cell r="B124" t="str">
            <v>Diaz Araneda Erick Rodrigo</v>
          </cell>
          <cell r="C124">
            <v>29</v>
          </cell>
          <cell r="D124">
            <v>870000</v>
          </cell>
          <cell r="E124">
            <v>696000</v>
          </cell>
          <cell r="F124">
            <v>195746</v>
          </cell>
          <cell r="G124">
            <v>145000</v>
          </cell>
          <cell r="H124">
            <v>1906746</v>
          </cell>
        </row>
        <row r="125">
          <cell r="A125" t="str">
            <v>14625236-2</v>
          </cell>
          <cell r="B125" t="str">
            <v>Muñoz Espinoza Cristian Rodrigo</v>
          </cell>
          <cell r="C125">
            <v>30</v>
          </cell>
          <cell r="D125">
            <v>900000</v>
          </cell>
          <cell r="E125">
            <v>720000</v>
          </cell>
          <cell r="F125">
            <v>207107</v>
          </cell>
          <cell r="G125">
            <v>150000</v>
          </cell>
          <cell r="H125">
            <v>1977107</v>
          </cell>
        </row>
        <row r="126">
          <cell r="A126" t="str">
            <v>16601679-7</v>
          </cell>
          <cell r="B126" t="str">
            <v>Salazar Villagra Cristian Manuel</v>
          </cell>
          <cell r="C126">
            <v>30</v>
          </cell>
          <cell r="D126">
            <v>700000</v>
          </cell>
          <cell r="E126">
            <v>580000</v>
          </cell>
          <cell r="F126">
            <v>134680</v>
          </cell>
          <cell r="G126">
            <v>150000</v>
          </cell>
          <cell r="H126">
            <v>1564680</v>
          </cell>
        </row>
        <row r="127">
          <cell r="A127" t="str">
            <v>12302759-0</v>
          </cell>
          <cell r="B127" t="str">
            <v>Gajardo Leiva Oliver Guillermo</v>
          </cell>
          <cell r="C127">
            <v>30</v>
          </cell>
          <cell r="D127">
            <v>600000</v>
          </cell>
          <cell r="E127">
            <v>380000</v>
          </cell>
          <cell r="F127">
            <v>121989</v>
          </cell>
          <cell r="G127">
            <v>150000</v>
          </cell>
          <cell r="H127">
            <v>1251989</v>
          </cell>
        </row>
        <row r="128">
          <cell r="A128" t="str">
            <v>19110515-k</v>
          </cell>
          <cell r="B128" t="str">
            <v>Lagos Rivera Angelo Jesus</v>
          </cell>
          <cell r="C128">
            <v>30</v>
          </cell>
          <cell r="D128">
            <v>550000</v>
          </cell>
          <cell r="E128">
            <v>280000</v>
          </cell>
          <cell r="F128">
            <v>102474</v>
          </cell>
          <cell r="G128">
            <v>150000</v>
          </cell>
          <cell r="H128">
            <v>1082474</v>
          </cell>
        </row>
        <row r="129">
          <cell r="A129" t="str">
            <v>21863787-6</v>
          </cell>
          <cell r="B129" t="str">
            <v>Bello Sanhueza Nicolas Andres</v>
          </cell>
          <cell r="C129">
            <v>30</v>
          </cell>
          <cell r="D129">
            <v>550000</v>
          </cell>
          <cell r="E129">
            <v>280000</v>
          </cell>
          <cell r="F129">
            <v>89328</v>
          </cell>
          <cell r="G129">
            <v>150000</v>
          </cell>
          <cell r="H129">
            <v>1069328</v>
          </cell>
        </row>
        <row r="130">
          <cell r="A130" t="str">
            <v>12303589-5</v>
          </cell>
          <cell r="B130" t="str">
            <v>Valenzuela Borquez Boris Marcelo</v>
          </cell>
          <cell r="C130">
            <v>30</v>
          </cell>
          <cell r="D130">
            <v>550000</v>
          </cell>
          <cell r="E130">
            <v>280000</v>
          </cell>
          <cell r="F130">
            <v>102615</v>
          </cell>
          <cell r="G130">
            <v>150000</v>
          </cell>
          <cell r="H130">
            <v>1082615</v>
          </cell>
        </row>
        <row r="131">
          <cell r="A131" t="str">
            <v>13312902-2</v>
          </cell>
          <cell r="B131" t="str">
            <v>Vasquez Aravena Juan Carlos</v>
          </cell>
          <cell r="C131">
            <v>30</v>
          </cell>
          <cell r="D131">
            <v>550000</v>
          </cell>
          <cell r="E131">
            <v>280000</v>
          </cell>
          <cell r="F131">
            <v>102615</v>
          </cell>
          <cell r="G131">
            <v>150000</v>
          </cell>
          <cell r="H131">
            <v>1082615</v>
          </cell>
        </row>
        <row r="132">
          <cell r="A132" t="str">
            <v>13797415-0</v>
          </cell>
          <cell r="B132" t="str">
            <v>Alarcon Ulloa Alexis Armando</v>
          </cell>
          <cell r="C132">
            <v>30</v>
          </cell>
          <cell r="D132">
            <v>550000</v>
          </cell>
          <cell r="E132">
            <v>280000</v>
          </cell>
          <cell r="F132">
            <v>102615</v>
          </cell>
          <cell r="G132">
            <v>150000</v>
          </cell>
          <cell r="H132">
            <v>1082615</v>
          </cell>
        </row>
        <row r="133">
          <cell r="A133" t="str">
            <v>14905107-4</v>
          </cell>
          <cell r="B133" t="str">
            <v>Arriagada Muñoz Jose Alberto</v>
          </cell>
          <cell r="C133">
            <v>30</v>
          </cell>
          <cell r="D133">
            <v>600000</v>
          </cell>
          <cell r="E133">
            <v>380000</v>
          </cell>
          <cell r="F133">
            <v>121989</v>
          </cell>
          <cell r="G133">
            <v>150000</v>
          </cell>
          <cell r="H133">
            <v>1251989</v>
          </cell>
        </row>
        <row r="134">
          <cell r="A134" t="str">
            <v>19000526-7</v>
          </cell>
          <cell r="B134" t="str">
            <v>Pincheira Gonzalez Carlos Alfredo</v>
          </cell>
          <cell r="C134">
            <v>30</v>
          </cell>
          <cell r="D134">
            <v>550000</v>
          </cell>
          <cell r="E134">
            <v>280000</v>
          </cell>
          <cell r="F134">
            <v>90560</v>
          </cell>
          <cell r="G134">
            <v>150000</v>
          </cell>
          <cell r="H134">
            <v>1070560</v>
          </cell>
        </row>
        <row r="135">
          <cell r="A135" t="str">
            <v>19123156-2</v>
          </cell>
          <cell r="B135" t="str">
            <v>Toledo Gaete Erwin Gustavo</v>
          </cell>
          <cell r="C135">
            <v>13</v>
          </cell>
          <cell r="D135">
            <v>238333</v>
          </cell>
          <cell r="E135">
            <v>121333</v>
          </cell>
          <cell r="F135">
            <v>36184</v>
          </cell>
          <cell r="G135">
            <v>65000</v>
          </cell>
          <cell r="H135">
            <v>460850</v>
          </cell>
        </row>
        <row r="136">
          <cell r="A136" t="str">
            <v>16328185-6</v>
          </cell>
          <cell r="B136" t="str">
            <v>Lizana Peña Juan Alberto</v>
          </cell>
          <cell r="C136">
            <v>30</v>
          </cell>
          <cell r="D136">
            <v>900000</v>
          </cell>
          <cell r="E136">
            <v>720000</v>
          </cell>
          <cell r="F136">
            <v>211354</v>
          </cell>
          <cell r="G136">
            <v>150000</v>
          </cell>
          <cell r="H136">
            <v>1981354</v>
          </cell>
        </row>
        <row r="137">
          <cell r="A137" t="str">
            <v>14391767-3</v>
          </cell>
          <cell r="B137" t="str">
            <v>Flores Hidalgo Jaime Enrique</v>
          </cell>
          <cell r="C137">
            <v>30</v>
          </cell>
          <cell r="D137">
            <v>900000</v>
          </cell>
          <cell r="E137">
            <v>720000</v>
          </cell>
          <cell r="F137">
            <v>211354</v>
          </cell>
          <cell r="G137">
            <v>150000</v>
          </cell>
          <cell r="H137">
            <v>1981354</v>
          </cell>
        </row>
        <row r="138">
          <cell r="A138" t="str">
            <v>16156867-8</v>
          </cell>
          <cell r="B138" t="str">
            <v>Salgado Flores Juan Andres</v>
          </cell>
          <cell r="C138">
            <v>30</v>
          </cell>
          <cell r="D138">
            <v>550000</v>
          </cell>
          <cell r="E138">
            <v>280000</v>
          </cell>
          <cell r="F138">
            <v>102615</v>
          </cell>
          <cell r="G138">
            <v>150000</v>
          </cell>
          <cell r="H138">
            <v>1082615</v>
          </cell>
        </row>
        <row r="139">
          <cell r="A139" t="str">
            <v>16395754-k</v>
          </cell>
          <cell r="B139" t="str">
            <v>Pacheco Pacheco Alexis Andres</v>
          </cell>
          <cell r="C139">
            <v>30</v>
          </cell>
          <cell r="D139">
            <v>600000</v>
          </cell>
          <cell r="E139">
            <v>220000</v>
          </cell>
          <cell r="F139">
            <v>277341</v>
          </cell>
          <cell r="G139">
            <v>150000</v>
          </cell>
          <cell r="H139">
            <v>1247341</v>
          </cell>
        </row>
        <row r="140">
          <cell r="A140" t="str">
            <v>16144812-5</v>
          </cell>
          <cell r="B140" t="str">
            <v>Jimenez Valerio Francisco</v>
          </cell>
          <cell r="C140">
            <v>30</v>
          </cell>
          <cell r="D140">
            <v>1500000</v>
          </cell>
          <cell r="E140">
            <v>800000</v>
          </cell>
          <cell r="F140">
            <v>523275</v>
          </cell>
          <cell r="G140">
            <v>0</v>
          </cell>
          <cell r="H140">
            <v>2823275</v>
          </cell>
        </row>
        <row r="141">
          <cell r="A141" t="str">
            <v>17885993-5</v>
          </cell>
          <cell r="B141" t="str">
            <v>Contreras Poblete Rodolfo Matias</v>
          </cell>
          <cell r="C141">
            <v>30</v>
          </cell>
          <cell r="D141">
            <v>1400000</v>
          </cell>
          <cell r="E141">
            <v>550000</v>
          </cell>
          <cell r="F141">
            <v>347523</v>
          </cell>
          <cell r="G141">
            <v>0</v>
          </cell>
          <cell r="H141">
            <v>2297523</v>
          </cell>
        </row>
        <row r="142">
          <cell r="A142" t="str">
            <v>18100936-5</v>
          </cell>
          <cell r="B142" t="str">
            <v>Viveros Retamal Esteban Nicolas</v>
          </cell>
          <cell r="C142">
            <v>30</v>
          </cell>
          <cell r="D142">
            <v>550000</v>
          </cell>
          <cell r="E142">
            <v>280000</v>
          </cell>
          <cell r="F142">
            <v>90560</v>
          </cell>
          <cell r="G142">
            <v>150000</v>
          </cell>
          <cell r="H142">
            <v>1070560</v>
          </cell>
        </row>
        <row r="143">
          <cell r="A143" t="str">
            <v>17813272-5</v>
          </cell>
          <cell r="B143" t="str">
            <v>Jeldres Ibarra Jose Luis</v>
          </cell>
          <cell r="C143">
            <v>30</v>
          </cell>
          <cell r="D143">
            <v>550000</v>
          </cell>
          <cell r="E143">
            <v>280000</v>
          </cell>
          <cell r="F143">
            <v>102615</v>
          </cell>
          <cell r="G143">
            <v>150000</v>
          </cell>
          <cell r="H143">
            <v>1082615</v>
          </cell>
        </row>
        <row r="144">
          <cell r="A144" t="str">
            <v>18854935-7</v>
          </cell>
          <cell r="B144" t="str">
            <v>Lillo  Miguel Angel</v>
          </cell>
          <cell r="C144">
            <v>30</v>
          </cell>
          <cell r="D144">
            <v>550000</v>
          </cell>
          <cell r="E144">
            <v>280000</v>
          </cell>
          <cell r="F144">
            <v>102615</v>
          </cell>
          <cell r="G144">
            <v>150000</v>
          </cell>
          <cell r="H144">
            <v>1082615</v>
          </cell>
        </row>
        <row r="145">
          <cell r="A145" t="str">
            <v>21240625-2</v>
          </cell>
          <cell r="B145" t="str">
            <v>Reyes Rojas Luis David</v>
          </cell>
          <cell r="C145">
            <v>30</v>
          </cell>
          <cell r="D145">
            <v>550000</v>
          </cell>
          <cell r="E145">
            <v>280000</v>
          </cell>
          <cell r="F145">
            <v>89328</v>
          </cell>
          <cell r="G145">
            <v>150000</v>
          </cell>
          <cell r="H145">
            <v>1069328</v>
          </cell>
        </row>
        <row r="146">
          <cell r="A146" t="str">
            <v>10804194-3</v>
          </cell>
          <cell r="B146" t="str">
            <v>Sapiain Machuca Hernan Francisco</v>
          </cell>
          <cell r="C146">
            <v>30</v>
          </cell>
          <cell r="D146">
            <v>550000</v>
          </cell>
          <cell r="E146">
            <v>280000</v>
          </cell>
          <cell r="F146">
            <v>102615</v>
          </cell>
          <cell r="G146">
            <v>150000</v>
          </cell>
          <cell r="H146">
            <v>1082615</v>
          </cell>
        </row>
        <row r="147">
          <cell r="A147" t="str">
            <v>18974895-7</v>
          </cell>
          <cell r="B147" t="str">
            <v>Catrinao Mariqueo Luis Enrique</v>
          </cell>
          <cell r="C147">
            <v>30</v>
          </cell>
          <cell r="D147">
            <v>600000</v>
          </cell>
          <cell r="E147">
            <v>380000</v>
          </cell>
          <cell r="F147">
            <v>121989</v>
          </cell>
          <cell r="G147">
            <v>150000</v>
          </cell>
          <cell r="H147">
            <v>1251989</v>
          </cell>
        </row>
        <row r="148">
          <cell r="A148" t="str">
            <v>17821401-2</v>
          </cell>
          <cell r="B148" t="str">
            <v>Veliz Acevedo Jose Luis</v>
          </cell>
          <cell r="C148">
            <v>30</v>
          </cell>
          <cell r="D148">
            <v>600000</v>
          </cell>
          <cell r="E148">
            <v>380000</v>
          </cell>
          <cell r="F148">
            <v>121989</v>
          </cell>
          <cell r="G148">
            <v>150000</v>
          </cell>
          <cell r="H148">
            <v>1251989</v>
          </cell>
        </row>
        <row r="149">
          <cell r="A149" t="str">
            <v>9826521-k</v>
          </cell>
          <cell r="B149" t="str">
            <v>Morales Leiva Sergio Alfredo</v>
          </cell>
          <cell r="C149">
            <v>30</v>
          </cell>
          <cell r="D149">
            <v>600000</v>
          </cell>
          <cell r="E149">
            <v>380000</v>
          </cell>
          <cell r="F149">
            <v>121827</v>
          </cell>
          <cell r="G149">
            <v>150000</v>
          </cell>
          <cell r="H149">
            <v>1251827</v>
          </cell>
        </row>
        <row r="150">
          <cell r="A150" t="str">
            <v>17593074-4</v>
          </cell>
          <cell r="B150" t="str">
            <v>Esparza Ruiz Dany Alberto</v>
          </cell>
          <cell r="C150">
            <v>30</v>
          </cell>
          <cell r="D150">
            <v>550000</v>
          </cell>
          <cell r="E150">
            <v>340000</v>
          </cell>
          <cell r="F150">
            <v>42615</v>
          </cell>
          <cell r="G150">
            <v>150000</v>
          </cell>
          <cell r="H150">
            <v>1082615</v>
          </cell>
        </row>
        <row r="151">
          <cell r="A151" t="str">
            <v>19520772-0</v>
          </cell>
          <cell r="B151" t="str">
            <v>Saez Araya Remigio Luis</v>
          </cell>
          <cell r="C151">
            <v>23</v>
          </cell>
          <cell r="D151">
            <v>421667</v>
          </cell>
          <cell r="E151">
            <v>214667</v>
          </cell>
          <cell r="F151">
            <v>56625</v>
          </cell>
          <cell r="G151">
            <v>115000</v>
          </cell>
          <cell r="H151">
            <v>807959</v>
          </cell>
        </row>
        <row r="152">
          <cell r="A152" t="str">
            <v>17377694-2</v>
          </cell>
          <cell r="B152" t="str">
            <v>Diaz Concha Danilo Antonio</v>
          </cell>
          <cell r="C152">
            <v>30</v>
          </cell>
          <cell r="D152">
            <v>550000</v>
          </cell>
          <cell r="E152">
            <v>210000</v>
          </cell>
          <cell r="F152">
            <v>109943</v>
          </cell>
          <cell r="G152">
            <v>150000</v>
          </cell>
          <cell r="H152">
            <v>1019943</v>
          </cell>
        </row>
        <row r="153">
          <cell r="A153" t="str">
            <v>13816122-6</v>
          </cell>
          <cell r="B153" t="str">
            <v>Contreras Dasse Roberto Carlos</v>
          </cell>
          <cell r="C153">
            <v>30</v>
          </cell>
          <cell r="D153">
            <v>550000</v>
          </cell>
          <cell r="E153">
            <v>210000</v>
          </cell>
          <cell r="F153">
            <v>109943</v>
          </cell>
          <cell r="G153">
            <v>150000</v>
          </cell>
          <cell r="H153">
            <v>1019943</v>
          </cell>
        </row>
        <row r="154">
          <cell r="A154" t="str">
            <v>12703676-4</v>
          </cell>
          <cell r="B154" t="str">
            <v>Novoa Aros Patricio Alejandro</v>
          </cell>
          <cell r="C154">
            <v>28</v>
          </cell>
          <cell r="D154">
            <v>493733</v>
          </cell>
          <cell r="E154">
            <v>228667</v>
          </cell>
          <cell r="F154">
            <v>81731</v>
          </cell>
          <cell r="G154">
            <v>140000</v>
          </cell>
          <cell r="H154">
            <v>944131</v>
          </cell>
        </row>
        <row r="155">
          <cell r="A155" t="str">
            <v>15648359-1</v>
          </cell>
          <cell r="B155" t="str">
            <v>Novoa Saez Segundo Zenen</v>
          </cell>
          <cell r="C155">
            <v>28</v>
          </cell>
          <cell r="D155">
            <v>840000</v>
          </cell>
          <cell r="E155">
            <v>672000</v>
          </cell>
          <cell r="F155">
            <v>180373</v>
          </cell>
          <cell r="G155">
            <v>140000</v>
          </cell>
          <cell r="H155">
            <v>1832373</v>
          </cell>
        </row>
        <row r="156">
          <cell r="A156" t="str">
            <v>10176563-6</v>
          </cell>
          <cell r="B156" t="str">
            <v>Castro Medina Jose Alberto</v>
          </cell>
          <cell r="C156">
            <v>28</v>
          </cell>
          <cell r="D156">
            <v>840000</v>
          </cell>
          <cell r="E156">
            <v>672000</v>
          </cell>
          <cell r="F156">
            <v>180141</v>
          </cell>
          <cell r="G156">
            <v>140000</v>
          </cell>
          <cell r="H156">
            <v>1832141</v>
          </cell>
        </row>
        <row r="157">
          <cell r="A157" t="str">
            <v>12304832-6</v>
          </cell>
          <cell r="B157" t="str">
            <v>Seguel Ramirez Juan Carlos</v>
          </cell>
          <cell r="C157">
            <v>28</v>
          </cell>
          <cell r="D157">
            <v>840000</v>
          </cell>
          <cell r="E157">
            <v>672000</v>
          </cell>
          <cell r="F157">
            <v>180141</v>
          </cell>
          <cell r="G157">
            <v>140000</v>
          </cell>
          <cell r="H157">
            <v>1832141</v>
          </cell>
        </row>
        <row r="158">
          <cell r="A158" t="str">
            <v>8427846-7</v>
          </cell>
          <cell r="B158" t="str">
            <v>Moreira Henriquez Miguel Eduardo</v>
          </cell>
          <cell r="C158">
            <v>28</v>
          </cell>
          <cell r="D158">
            <v>513333</v>
          </cell>
          <cell r="E158">
            <v>261333</v>
          </cell>
          <cell r="F158">
            <v>79342</v>
          </cell>
          <cell r="G158">
            <v>140000</v>
          </cell>
          <cell r="H158">
            <v>994008</v>
          </cell>
        </row>
        <row r="159">
          <cell r="A159" t="str">
            <v>13957069-3</v>
          </cell>
          <cell r="B159" t="str">
            <v>Painiqueo Millaqueo Luis Aroldo</v>
          </cell>
          <cell r="C159">
            <v>28</v>
          </cell>
          <cell r="D159">
            <v>606667</v>
          </cell>
          <cell r="E159">
            <v>499333</v>
          </cell>
          <cell r="F159">
            <v>115046</v>
          </cell>
          <cell r="G159">
            <v>140000</v>
          </cell>
          <cell r="H159">
            <v>1361046</v>
          </cell>
        </row>
        <row r="160">
          <cell r="A160" t="str">
            <v>13312411-k</v>
          </cell>
          <cell r="B160" t="str">
            <v>Acosta Zambrano Gloria Jeanette</v>
          </cell>
          <cell r="C160">
            <v>30</v>
          </cell>
          <cell r="D160">
            <v>1200000</v>
          </cell>
          <cell r="E160">
            <v>550000</v>
          </cell>
          <cell r="F160">
            <v>287402</v>
          </cell>
          <cell r="G160">
            <v>0</v>
          </cell>
          <cell r="H160">
            <v>2037402</v>
          </cell>
        </row>
        <row r="161">
          <cell r="A161" t="str">
            <v>10190661-2</v>
          </cell>
          <cell r="B161" t="str">
            <v>Gonzalez Cardenas Ivan Gabriel</v>
          </cell>
          <cell r="C161">
            <v>28</v>
          </cell>
          <cell r="D161">
            <v>1120000</v>
          </cell>
          <cell r="E161">
            <v>466667</v>
          </cell>
          <cell r="F161">
            <v>57389</v>
          </cell>
          <cell r="G161">
            <v>0</v>
          </cell>
          <cell r="H161">
            <v>1644056</v>
          </cell>
        </row>
        <row r="162">
          <cell r="A162" t="str">
            <v>17787697-6</v>
          </cell>
          <cell r="B162" t="str">
            <v>Gonzalez Jara Carlos Alfredo</v>
          </cell>
          <cell r="C162">
            <v>22</v>
          </cell>
          <cell r="D162">
            <v>403333</v>
          </cell>
          <cell r="E162">
            <v>205333</v>
          </cell>
          <cell r="F162">
            <v>54163</v>
          </cell>
          <cell r="G162">
            <v>110000</v>
          </cell>
          <cell r="H162">
            <v>772829</v>
          </cell>
        </row>
        <row r="163">
          <cell r="A163" t="str">
            <v>11528308-1</v>
          </cell>
          <cell r="B163" t="str">
            <v>Urrutia Flores Joel Antonio</v>
          </cell>
          <cell r="C163">
            <v>1</v>
          </cell>
          <cell r="D163">
            <v>20000</v>
          </cell>
          <cell r="E163">
            <v>12667</v>
          </cell>
          <cell r="F163">
            <v>2041</v>
          </cell>
          <cell r="G163">
            <v>5000</v>
          </cell>
          <cell r="H163">
            <v>39708</v>
          </cell>
        </row>
        <row r="164">
          <cell r="A164" t="str">
            <v>20527725-0</v>
          </cell>
          <cell r="B164" t="str">
            <v>San Martin Manriquez Oscar Manuel</v>
          </cell>
          <cell r="C164">
            <v>22</v>
          </cell>
          <cell r="D164">
            <v>403333</v>
          </cell>
          <cell r="E164">
            <v>205333</v>
          </cell>
          <cell r="F164">
            <v>54163</v>
          </cell>
          <cell r="G164">
            <v>110000</v>
          </cell>
          <cell r="H164">
            <v>772829</v>
          </cell>
        </row>
        <row r="165">
          <cell r="A165" t="str">
            <v>19972018-k</v>
          </cell>
          <cell r="B165" t="str">
            <v>Oviedo Manriquez Fabian Eduardo</v>
          </cell>
          <cell r="C165">
            <v>22</v>
          </cell>
          <cell r="D165">
            <v>403333</v>
          </cell>
          <cell r="E165">
            <v>205333</v>
          </cell>
          <cell r="F165">
            <v>61234</v>
          </cell>
          <cell r="G165">
            <v>110000</v>
          </cell>
          <cell r="H165">
            <v>779900</v>
          </cell>
        </row>
        <row r="166">
          <cell r="A166" t="str">
            <v>19001916-0</v>
          </cell>
          <cell r="B166" t="str">
            <v>Salas Lara Jorge Alejandro</v>
          </cell>
          <cell r="C166">
            <v>22</v>
          </cell>
          <cell r="D166">
            <v>440000</v>
          </cell>
          <cell r="E166">
            <v>278667</v>
          </cell>
          <cell r="F166">
            <v>43913</v>
          </cell>
          <cell r="G166">
            <v>110000</v>
          </cell>
          <cell r="H166">
            <v>872580</v>
          </cell>
        </row>
        <row r="167">
          <cell r="A167" t="str">
            <v>20253860-6</v>
          </cell>
          <cell r="B167" t="str">
            <v>Gutierrez Seguel Abraham Ignacio</v>
          </cell>
          <cell r="C167">
            <v>22</v>
          </cell>
          <cell r="D167">
            <v>387933</v>
          </cell>
          <cell r="E167">
            <v>110000</v>
          </cell>
          <cell r="F167">
            <v>52605</v>
          </cell>
          <cell r="G167">
            <v>110000</v>
          </cell>
          <cell r="H167">
            <v>660538</v>
          </cell>
        </row>
        <row r="168">
          <cell r="A168" t="str">
            <v>16215974-7</v>
          </cell>
          <cell r="B168" t="str">
            <v>Medina Medina Jose Rodrigo</v>
          </cell>
          <cell r="C168">
            <v>22</v>
          </cell>
          <cell r="D168">
            <v>403333</v>
          </cell>
          <cell r="E168">
            <v>205333</v>
          </cell>
          <cell r="F168">
            <v>61234</v>
          </cell>
          <cell r="G168">
            <v>110000</v>
          </cell>
          <cell r="H168">
            <v>779900</v>
          </cell>
        </row>
        <row r="169">
          <cell r="A169" t="str">
            <v>10599345-5</v>
          </cell>
          <cell r="B169" t="str">
            <v>Quezada Martinez Jose Alejandro</v>
          </cell>
          <cell r="C169">
            <v>6</v>
          </cell>
          <cell r="D169">
            <v>240000</v>
          </cell>
          <cell r="E169">
            <v>116000</v>
          </cell>
          <cell r="F169">
            <v>16732</v>
          </cell>
          <cell r="G169">
            <v>0</v>
          </cell>
          <cell r="H169">
            <v>372732</v>
          </cell>
        </row>
        <row r="170">
          <cell r="A170" t="str">
            <v>12924356-2</v>
          </cell>
          <cell r="B170" t="str">
            <v>Galindo Baeza Cristian Joel</v>
          </cell>
          <cell r="C170">
            <v>11</v>
          </cell>
          <cell r="D170">
            <v>440000</v>
          </cell>
          <cell r="E170">
            <v>201667</v>
          </cell>
          <cell r="F170">
            <v>5709</v>
          </cell>
          <cell r="G170">
            <v>0</v>
          </cell>
          <cell r="H170">
            <v>647376</v>
          </cell>
        </row>
        <row r="171">
          <cell r="A171" t="str">
            <v>20194443-0</v>
          </cell>
          <cell r="B171" t="str">
            <v>Aburto Carrasco Johny Benjamin</v>
          </cell>
          <cell r="C171">
            <v>8</v>
          </cell>
          <cell r="D171">
            <v>146667</v>
          </cell>
          <cell r="E171">
            <v>48000</v>
          </cell>
          <cell r="F171">
            <v>48903</v>
          </cell>
          <cell r="G171">
            <v>40000</v>
          </cell>
          <cell r="H171">
            <v>283570</v>
          </cell>
        </row>
        <row r="172">
          <cell r="A172" t="str">
            <v>17319875-2</v>
          </cell>
          <cell r="B172" t="str">
            <v>Reyes Gutierrez Yonatan Alfonso</v>
          </cell>
          <cell r="C172">
            <v>8</v>
          </cell>
          <cell r="D172">
            <v>160000</v>
          </cell>
          <cell r="E172">
            <v>101333</v>
          </cell>
          <cell r="F172">
            <v>16956</v>
          </cell>
          <cell r="G172">
            <v>40000</v>
          </cell>
          <cell r="H172">
            <v>318289</v>
          </cell>
        </row>
        <row r="173">
          <cell r="A173" t="str">
            <v>14624707-5</v>
          </cell>
          <cell r="B173" t="str">
            <v>Soto Huenchumilla Juan Alex</v>
          </cell>
          <cell r="C173">
            <v>7</v>
          </cell>
          <cell r="D173">
            <v>128333</v>
          </cell>
          <cell r="E173">
            <v>65333</v>
          </cell>
          <cell r="F173">
            <v>19484</v>
          </cell>
          <cell r="G173">
            <v>35000</v>
          </cell>
          <cell r="H173">
            <v>248150</v>
          </cell>
        </row>
        <row r="174">
          <cell r="A174" t="str">
            <v>21176167-9</v>
          </cell>
          <cell r="B174" t="str">
            <v>Rodriguez Paredes Oscar Andres</v>
          </cell>
          <cell r="C174">
            <v>6</v>
          </cell>
          <cell r="D174">
            <v>110000</v>
          </cell>
          <cell r="E174">
            <v>56000</v>
          </cell>
          <cell r="F174">
            <v>14772</v>
          </cell>
          <cell r="G174">
            <v>30000</v>
          </cell>
          <cell r="H174">
            <v>210772</v>
          </cell>
        </row>
        <row r="175">
          <cell r="A175" t="str">
            <v>12301290-9</v>
          </cell>
          <cell r="B175" t="str">
            <v>Villegas Ruiz Nestor Arturo</v>
          </cell>
          <cell r="C175">
            <v>4</v>
          </cell>
          <cell r="D175">
            <v>93333</v>
          </cell>
          <cell r="E175">
            <v>77333</v>
          </cell>
          <cell r="F175">
            <v>477</v>
          </cell>
          <cell r="G175">
            <v>20000</v>
          </cell>
          <cell r="H175">
            <v>191143</v>
          </cell>
        </row>
        <row r="176">
          <cell r="A176" t="str">
            <v>16498089-8</v>
          </cell>
          <cell r="B176" t="str">
            <v>Urrutia Moreno Naslo Danilo</v>
          </cell>
          <cell r="C176">
            <v>4</v>
          </cell>
          <cell r="D176">
            <v>80000</v>
          </cell>
          <cell r="E176">
            <v>50667</v>
          </cell>
          <cell r="F176">
            <v>8460</v>
          </cell>
          <cell r="G176">
            <v>20000</v>
          </cell>
          <cell r="H176">
            <v>159127</v>
          </cell>
        </row>
        <row r="177">
          <cell r="A177" t="str">
            <v>20755277-1</v>
          </cell>
          <cell r="B177" t="str">
            <v>Ulloa Cordero Benjamin Elias</v>
          </cell>
          <cell r="C177">
            <v>4</v>
          </cell>
          <cell r="D177">
            <v>73333</v>
          </cell>
          <cell r="E177">
            <v>37333</v>
          </cell>
          <cell r="F177">
            <v>9848</v>
          </cell>
          <cell r="G177">
            <v>20000</v>
          </cell>
          <cell r="H177">
            <v>140514</v>
          </cell>
        </row>
      </sheetData>
      <sheetData sheetId="11">
        <row r="7">
          <cell r="A7" t="str">
            <v>19694555-5</v>
          </cell>
          <cell r="B7" t="str">
            <v>Duran</v>
          </cell>
          <cell r="C7" t="str">
            <v>Chaparro</v>
          </cell>
          <cell r="D7" t="str">
            <v>Ignacio Nicolas</v>
          </cell>
          <cell r="E7">
            <v>29</v>
          </cell>
          <cell r="F7">
            <v>531667</v>
          </cell>
          <cell r="G7">
            <v>270667</v>
          </cell>
          <cell r="H7">
            <v>88172</v>
          </cell>
          <cell r="I7">
            <v>145000</v>
          </cell>
          <cell r="J7">
            <v>1035506</v>
          </cell>
        </row>
        <row r="8">
          <cell r="A8" t="str">
            <v>16852812-4</v>
          </cell>
          <cell r="B8" t="str">
            <v>Sanhueza</v>
          </cell>
          <cell r="C8" t="str">
            <v>Tribiños</v>
          </cell>
          <cell r="D8" t="str">
            <v>Fernando Andres</v>
          </cell>
          <cell r="E8">
            <v>30</v>
          </cell>
          <cell r="F8">
            <v>550000</v>
          </cell>
          <cell r="G8">
            <v>280000</v>
          </cell>
          <cell r="H8">
            <v>102518</v>
          </cell>
          <cell r="I8">
            <v>150000</v>
          </cell>
          <cell r="J8">
            <v>1082518</v>
          </cell>
        </row>
        <row r="9">
          <cell r="A9" t="str">
            <v>9068397-7</v>
          </cell>
          <cell r="B9" t="str">
            <v>Barra</v>
          </cell>
          <cell r="C9" t="str">
            <v>Barra</v>
          </cell>
          <cell r="D9" t="str">
            <v>Jose Israel</v>
          </cell>
          <cell r="E9">
            <v>25</v>
          </cell>
          <cell r="F9">
            <v>1000000</v>
          </cell>
          <cell r="G9">
            <v>875000</v>
          </cell>
          <cell r="H9">
            <v>97014</v>
          </cell>
          <cell r="I9">
            <v>125000</v>
          </cell>
          <cell r="J9">
            <v>2097014</v>
          </cell>
        </row>
        <row r="10">
          <cell r="A10" t="str">
            <v>11573595-0</v>
          </cell>
          <cell r="B10" t="str">
            <v>Cid</v>
          </cell>
          <cell r="C10" t="str">
            <v>Diaz</v>
          </cell>
          <cell r="D10" t="str">
            <v>Sergio Domingo</v>
          </cell>
          <cell r="E10">
            <v>30</v>
          </cell>
          <cell r="F10">
            <v>700000</v>
          </cell>
          <cell r="G10">
            <v>580000</v>
          </cell>
          <cell r="H10">
            <v>134586</v>
          </cell>
          <cell r="I10">
            <v>150000</v>
          </cell>
          <cell r="J10">
            <v>1564586</v>
          </cell>
        </row>
        <row r="11">
          <cell r="A11" t="str">
            <v>16246082-k</v>
          </cell>
          <cell r="B11" t="str">
            <v>Huechante</v>
          </cell>
          <cell r="C11" t="str">
            <v>Araneda</v>
          </cell>
          <cell r="D11" t="str">
            <v>Victor Gerardo</v>
          </cell>
          <cell r="E11">
            <v>30</v>
          </cell>
          <cell r="F11">
            <v>550000</v>
          </cell>
          <cell r="G11">
            <v>280000</v>
          </cell>
          <cell r="H11">
            <v>102518</v>
          </cell>
          <cell r="I11">
            <v>150000</v>
          </cell>
          <cell r="J11">
            <v>1082518</v>
          </cell>
        </row>
        <row r="12">
          <cell r="A12" t="str">
            <v>16456016-3</v>
          </cell>
          <cell r="B12" t="str">
            <v>Lara</v>
          </cell>
          <cell r="C12" t="str">
            <v>Caceres</v>
          </cell>
          <cell r="D12" t="str">
            <v>Roberto Andres</v>
          </cell>
          <cell r="E12">
            <v>30</v>
          </cell>
          <cell r="F12">
            <v>1200000</v>
          </cell>
          <cell r="G12">
            <v>580000</v>
          </cell>
          <cell r="H12">
            <v>257308</v>
          </cell>
          <cell r="I12">
            <v>0</v>
          </cell>
          <cell r="J12">
            <v>2037308</v>
          </cell>
        </row>
        <row r="13">
          <cell r="A13" t="str">
            <v>16399554-9</v>
          </cell>
          <cell r="B13" t="str">
            <v>Azocar</v>
          </cell>
          <cell r="C13" t="str">
            <v>Larenas</v>
          </cell>
          <cell r="D13" t="str">
            <v>Daniel Esteban</v>
          </cell>
          <cell r="E13">
            <v>29</v>
          </cell>
          <cell r="F13">
            <v>676667</v>
          </cell>
          <cell r="G13">
            <v>560667</v>
          </cell>
          <cell r="H13">
            <v>121341</v>
          </cell>
          <cell r="I13">
            <v>145000</v>
          </cell>
          <cell r="J13">
            <v>1503675</v>
          </cell>
        </row>
        <row r="14">
          <cell r="A14" t="str">
            <v>11450064-k</v>
          </cell>
          <cell r="B14" t="str">
            <v>Rodriguez</v>
          </cell>
          <cell r="C14" t="str">
            <v>Henriquez</v>
          </cell>
          <cell r="D14" t="str">
            <v>Manuel Adolfo</v>
          </cell>
          <cell r="E14">
            <v>30</v>
          </cell>
          <cell r="F14">
            <v>1200000</v>
          </cell>
          <cell r="G14">
            <v>1050000</v>
          </cell>
          <cell r="H14">
            <v>165998</v>
          </cell>
          <cell r="I14">
            <v>150000</v>
          </cell>
          <cell r="J14">
            <v>2565998</v>
          </cell>
        </row>
        <row r="15">
          <cell r="A15" t="str">
            <v>16245917-1</v>
          </cell>
          <cell r="B15" t="str">
            <v>Tranaman</v>
          </cell>
          <cell r="C15" t="str">
            <v>Tranaman</v>
          </cell>
          <cell r="D15" t="str">
            <v>Juan Andres</v>
          </cell>
          <cell r="E15">
            <v>30</v>
          </cell>
          <cell r="F15">
            <v>600000</v>
          </cell>
          <cell r="G15">
            <v>380000</v>
          </cell>
          <cell r="H15">
            <v>119005</v>
          </cell>
          <cell r="I15">
            <v>150000</v>
          </cell>
          <cell r="J15">
            <v>1249005</v>
          </cell>
        </row>
        <row r="16">
          <cell r="A16" t="str">
            <v>10460609-1</v>
          </cell>
          <cell r="B16" t="str">
            <v>Martinez</v>
          </cell>
          <cell r="C16" t="str">
            <v>Rivera</v>
          </cell>
          <cell r="D16" t="str">
            <v>Jaime Andres</v>
          </cell>
          <cell r="E16">
            <v>30</v>
          </cell>
          <cell r="F16">
            <v>1200000</v>
          </cell>
          <cell r="G16">
            <v>1050000</v>
          </cell>
          <cell r="H16">
            <v>171791</v>
          </cell>
          <cell r="I16">
            <v>150000</v>
          </cell>
          <cell r="J16">
            <v>2571791</v>
          </cell>
        </row>
        <row r="17">
          <cell r="A17" t="str">
            <v>11576238-9</v>
          </cell>
          <cell r="B17" t="str">
            <v>Cerda</v>
          </cell>
          <cell r="C17" t="str">
            <v>Panes</v>
          </cell>
          <cell r="D17" t="str">
            <v>Miguel Angel</v>
          </cell>
          <cell r="E17">
            <v>30</v>
          </cell>
          <cell r="F17">
            <v>1200000</v>
          </cell>
          <cell r="G17">
            <v>1050000</v>
          </cell>
          <cell r="H17">
            <v>171470</v>
          </cell>
          <cell r="I17">
            <v>150000</v>
          </cell>
          <cell r="J17">
            <v>2571470</v>
          </cell>
        </row>
        <row r="18">
          <cell r="A18" t="str">
            <v>11182598-k</v>
          </cell>
          <cell r="B18" t="str">
            <v>Robles</v>
          </cell>
          <cell r="C18" t="str">
            <v>Avila</v>
          </cell>
          <cell r="D18" t="str">
            <v>Lucas Leonardo</v>
          </cell>
          <cell r="E18">
            <v>29</v>
          </cell>
          <cell r="F18">
            <v>870000</v>
          </cell>
          <cell r="G18">
            <v>696000</v>
          </cell>
          <cell r="H18">
            <v>195892</v>
          </cell>
          <cell r="I18">
            <v>145000</v>
          </cell>
          <cell r="J18">
            <v>1906892</v>
          </cell>
        </row>
        <row r="19">
          <cell r="A19" t="str">
            <v>18644855-3</v>
          </cell>
          <cell r="B19" t="str">
            <v>Fernandez</v>
          </cell>
          <cell r="C19" t="str">
            <v>Vergara</v>
          </cell>
          <cell r="D19" t="str">
            <v>Ruben Hernan</v>
          </cell>
          <cell r="E19">
            <v>30</v>
          </cell>
          <cell r="F19">
            <v>550000</v>
          </cell>
          <cell r="G19">
            <v>280000</v>
          </cell>
          <cell r="H19">
            <v>90464</v>
          </cell>
          <cell r="I19">
            <v>150000</v>
          </cell>
          <cell r="J19">
            <v>1070464</v>
          </cell>
        </row>
        <row r="20">
          <cell r="A20" t="str">
            <v>18995561-8</v>
          </cell>
          <cell r="B20" t="str">
            <v>Jara</v>
          </cell>
          <cell r="C20" t="str">
            <v>Parra</v>
          </cell>
          <cell r="D20" t="str">
            <v>Robinson Daniel</v>
          </cell>
          <cell r="E20">
            <v>30</v>
          </cell>
          <cell r="F20">
            <v>600000</v>
          </cell>
          <cell r="G20">
            <v>380000</v>
          </cell>
          <cell r="H20">
            <v>117246</v>
          </cell>
          <cell r="I20">
            <v>150000</v>
          </cell>
          <cell r="J20">
            <v>1247246</v>
          </cell>
        </row>
        <row r="21">
          <cell r="A21" t="str">
            <v>13151475-1</v>
          </cell>
          <cell r="B21" t="str">
            <v>Manriquez</v>
          </cell>
          <cell r="C21" t="str">
            <v>Monsalvez</v>
          </cell>
          <cell r="D21" t="str">
            <v>Antonio Isolino</v>
          </cell>
          <cell r="E21">
            <v>30</v>
          </cell>
          <cell r="F21">
            <v>600000</v>
          </cell>
          <cell r="G21">
            <v>380000</v>
          </cell>
          <cell r="H21">
            <v>121893</v>
          </cell>
          <cell r="I21">
            <v>150000</v>
          </cell>
          <cell r="J21">
            <v>1251893</v>
          </cell>
        </row>
        <row r="22">
          <cell r="A22" t="str">
            <v>20527477-4</v>
          </cell>
          <cell r="B22" t="str">
            <v>Galaz</v>
          </cell>
          <cell r="C22" t="str">
            <v>Conejeros</v>
          </cell>
          <cell r="D22" t="str">
            <v>Nelson Stivensson</v>
          </cell>
          <cell r="E22">
            <v>30</v>
          </cell>
          <cell r="F22">
            <v>550000</v>
          </cell>
          <cell r="G22">
            <v>280000</v>
          </cell>
          <cell r="H22">
            <v>102518</v>
          </cell>
          <cell r="I22">
            <v>150000</v>
          </cell>
          <cell r="J22">
            <v>1082518</v>
          </cell>
        </row>
        <row r="23">
          <cell r="A23" t="str">
            <v>13842731-5</v>
          </cell>
          <cell r="B23" t="str">
            <v>Cuadra</v>
          </cell>
          <cell r="C23" t="str">
            <v>Cuadra</v>
          </cell>
          <cell r="D23" t="str">
            <v>Braulio Humberto</v>
          </cell>
          <cell r="E23">
            <v>28</v>
          </cell>
          <cell r="F23">
            <v>840000</v>
          </cell>
          <cell r="G23">
            <v>672000</v>
          </cell>
          <cell r="H23">
            <v>180044</v>
          </cell>
          <cell r="I23">
            <v>140000</v>
          </cell>
          <cell r="J23">
            <v>1832044</v>
          </cell>
        </row>
        <row r="24">
          <cell r="A24" t="str">
            <v>16666908-1</v>
          </cell>
          <cell r="B24" t="str">
            <v>Molina</v>
          </cell>
          <cell r="C24" t="str">
            <v>Cardenas</v>
          </cell>
          <cell r="D24" t="str">
            <v>Marcelino Jose</v>
          </cell>
          <cell r="E24">
            <v>30</v>
          </cell>
          <cell r="F24">
            <v>700000</v>
          </cell>
          <cell r="G24">
            <v>580000</v>
          </cell>
          <cell r="H24">
            <v>134387</v>
          </cell>
          <cell r="I24">
            <v>150000</v>
          </cell>
          <cell r="J24">
            <v>1564387</v>
          </cell>
        </row>
        <row r="25">
          <cell r="A25" t="str">
            <v>13383008-1</v>
          </cell>
          <cell r="B25" t="str">
            <v>Valdebenito</v>
          </cell>
          <cell r="C25" t="str">
            <v>Barra</v>
          </cell>
          <cell r="D25" t="str">
            <v>Alexis Michel</v>
          </cell>
          <cell r="E25">
            <v>30</v>
          </cell>
          <cell r="F25">
            <v>2100000</v>
          </cell>
          <cell r="G25">
            <v>915000</v>
          </cell>
          <cell r="H25">
            <v>323049</v>
          </cell>
          <cell r="I25">
            <v>0</v>
          </cell>
          <cell r="J25">
            <v>3338049</v>
          </cell>
        </row>
        <row r="26">
          <cell r="A26" t="str">
            <v>19140145-k</v>
          </cell>
          <cell r="B26" t="str">
            <v>Avila</v>
          </cell>
          <cell r="C26" t="str">
            <v>Carrillo</v>
          </cell>
          <cell r="D26" t="str">
            <v>Maria Fernanda</v>
          </cell>
          <cell r="E26">
            <v>30</v>
          </cell>
          <cell r="F26">
            <v>1300000</v>
          </cell>
          <cell r="G26">
            <v>450000</v>
          </cell>
          <cell r="H26">
            <v>164273</v>
          </cell>
          <cell r="I26">
            <v>250000</v>
          </cell>
          <cell r="J26">
            <v>2164273</v>
          </cell>
        </row>
        <row r="27">
          <cell r="A27" t="str">
            <v>15184998-9</v>
          </cell>
          <cell r="B27" t="str">
            <v>Aburto</v>
          </cell>
          <cell r="C27" t="str">
            <v>Toledo</v>
          </cell>
          <cell r="D27" t="str">
            <v>Johny Eduardo</v>
          </cell>
          <cell r="E27">
            <v>30</v>
          </cell>
          <cell r="F27">
            <v>1200000</v>
          </cell>
          <cell r="G27">
            <v>600000</v>
          </cell>
          <cell r="H27">
            <v>241991</v>
          </cell>
          <cell r="I27">
            <v>100000</v>
          </cell>
          <cell r="J27">
            <v>2141991</v>
          </cell>
        </row>
        <row r="28">
          <cell r="A28" t="str">
            <v>18384021-5</v>
          </cell>
          <cell r="B28" t="str">
            <v>Lermanda</v>
          </cell>
          <cell r="C28" t="str">
            <v>Bascourt</v>
          </cell>
          <cell r="D28" t="str">
            <v>Gustavo Adolfo</v>
          </cell>
          <cell r="E28">
            <v>30</v>
          </cell>
          <cell r="F28">
            <v>600000</v>
          </cell>
          <cell r="G28">
            <v>380000</v>
          </cell>
          <cell r="H28">
            <v>121732</v>
          </cell>
          <cell r="I28">
            <v>150000</v>
          </cell>
          <cell r="J28">
            <v>1251732</v>
          </cell>
        </row>
        <row r="29">
          <cell r="A29" t="str">
            <v>17445607-0</v>
          </cell>
          <cell r="B29" t="str">
            <v>Araneda</v>
          </cell>
          <cell r="C29" t="str">
            <v>Saldaña</v>
          </cell>
          <cell r="D29" t="str">
            <v>Cesar Emmanuel</v>
          </cell>
          <cell r="E29">
            <v>30</v>
          </cell>
          <cell r="F29">
            <v>700000</v>
          </cell>
          <cell r="G29">
            <v>580000</v>
          </cell>
          <cell r="H29">
            <v>134586</v>
          </cell>
          <cell r="I29">
            <v>150000</v>
          </cell>
          <cell r="J29">
            <v>1564586</v>
          </cell>
        </row>
        <row r="30">
          <cell r="A30" t="str">
            <v>17000483-3</v>
          </cell>
          <cell r="B30" t="str">
            <v>Bustos</v>
          </cell>
          <cell r="C30" t="str">
            <v>Leal</v>
          </cell>
          <cell r="D30" t="str">
            <v>Yarithza Margarita</v>
          </cell>
          <cell r="E30">
            <v>30</v>
          </cell>
          <cell r="F30">
            <v>950000</v>
          </cell>
          <cell r="G30">
            <v>400000</v>
          </cell>
          <cell r="H30">
            <v>53402</v>
          </cell>
          <cell r="I30">
            <v>0</v>
          </cell>
          <cell r="J30">
            <v>1403402</v>
          </cell>
        </row>
        <row r="31">
          <cell r="A31" t="str">
            <v>19286864-5</v>
          </cell>
          <cell r="B31" t="str">
            <v>Velasquez</v>
          </cell>
          <cell r="C31" t="str">
            <v>Vidal</v>
          </cell>
          <cell r="D31" t="str">
            <v>Manuel Ignacio</v>
          </cell>
          <cell r="E31">
            <v>30</v>
          </cell>
          <cell r="F31">
            <v>600000</v>
          </cell>
          <cell r="G31">
            <v>380000</v>
          </cell>
          <cell r="H31">
            <v>121893</v>
          </cell>
          <cell r="I31">
            <v>150000</v>
          </cell>
          <cell r="J31">
            <v>1251893</v>
          </cell>
        </row>
        <row r="32">
          <cell r="A32" t="str">
            <v>15614449-5</v>
          </cell>
          <cell r="B32" t="str">
            <v>Bustamante</v>
          </cell>
          <cell r="C32" t="str">
            <v>Lagos</v>
          </cell>
          <cell r="D32" t="str">
            <v>Vanessa Angelica</v>
          </cell>
          <cell r="E32">
            <v>6</v>
          </cell>
          <cell r="F32">
            <v>260000</v>
          </cell>
          <cell r="G32">
            <v>70000</v>
          </cell>
          <cell r="H32">
            <v>0</v>
          </cell>
          <cell r="I32">
            <v>0</v>
          </cell>
          <cell r="J32">
            <v>330000</v>
          </cell>
        </row>
        <row r="33">
          <cell r="A33" t="str">
            <v>19271200-9</v>
          </cell>
          <cell r="B33" t="str">
            <v>Chamorro</v>
          </cell>
          <cell r="C33" t="str">
            <v>Chamorro</v>
          </cell>
          <cell r="D33" t="str">
            <v>Michael Armando</v>
          </cell>
          <cell r="E33">
            <v>30</v>
          </cell>
          <cell r="F33">
            <v>550000</v>
          </cell>
          <cell r="G33">
            <v>280000</v>
          </cell>
          <cell r="H33">
            <v>89233</v>
          </cell>
          <cell r="I33">
            <v>150000</v>
          </cell>
          <cell r="J33">
            <v>1069233</v>
          </cell>
        </row>
        <row r="34">
          <cell r="A34" t="str">
            <v>18821121-6</v>
          </cell>
          <cell r="B34" t="str">
            <v>Zamora</v>
          </cell>
          <cell r="C34" t="str">
            <v>Meza</v>
          </cell>
          <cell r="D34" t="str">
            <v>Matias Nicolas</v>
          </cell>
          <cell r="E34">
            <v>30</v>
          </cell>
          <cell r="F34">
            <v>550000</v>
          </cell>
          <cell r="G34">
            <v>280000</v>
          </cell>
          <cell r="H34">
            <v>102518</v>
          </cell>
          <cell r="I34">
            <v>150000</v>
          </cell>
          <cell r="J34">
            <v>1082518</v>
          </cell>
        </row>
        <row r="35">
          <cell r="A35" t="str">
            <v>13604818-k</v>
          </cell>
          <cell r="B35" t="str">
            <v>Carrasco</v>
          </cell>
          <cell r="C35" t="str">
            <v>Cordero</v>
          </cell>
          <cell r="D35" t="str">
            <v>Alexi Eduardo</v>
          </cell>
          <cell r="E35">
            <v>30</v>
          </cell>
          <cell r="F35">
            <v>1300000</v>
          </cell>
          <cell r="G35">
            <v>550000</v>
          </cell>
          <cell r="H35">
            <v>191991</v>
          </cell>
          <cell r="I35">
            <v>80000</v>
          </cell>
          <cell r="J35">
            <v>2121991</v>
          </cell>
        </row>
        <row r="36">
          <cell r="A36" t="str">
            <v>9957976-5</v>
          </cell>
          <cell r="B36" t="str">
            <v>Carrasco</v>
          </cell>
          <cell r="C36" t="str">
            <v>Maldonado</v>
          </cell>
          <cell r="D36" t="str">
            <v>Luis Mauricio</v>
          </cell>
          <cell r="E36">
            <v>30</v>
          </cell>
          <cell r="F36">
            <v>1200000</v>
          </cell>
          <cell r="G36">
            <v>550000</v>
          </cell>
          <cell r="H36">
            <v>284288</v>
          </cell>
          <cell r="I36">
            <v>100000</v>
          </cell>
          <cell r="J36">
            <v>2134288</v>
          </cell>
        </row>
        <row r="37">
          <cell r="A37" t="str">
            <v>18702963-5</v>
          </cell>
          <cell r="B37" t="str">
            <v>Velasquez</v>
          </cell>
          <cell r="C37" t="str">
            <v>Vergara</v>
          </cell>
          <cell r="D37" t="str">
            <v>Fernanda Millaray</v>
          </cell>
          <cell r="E37">
            <v>30</v>
          </cell>
          <cell r="F37">
            <v>1400000</v>
          </cell>
          <cell r="G37">
            <v>600000</v>
          </cell>
          <cell r="H37">
            <v>297734</v>
          </cell>
          <cell r="I37">
            <v>0</v>
          </cell>
          <cell r="J37">
            <v>2297734</v>
          </cell>
        </row>
        <row r="38">
          <cell r="A38" t="str">
            <v>15703223-2</v>
          </cell>
          <cell r="B38" t="str">
            <v>Duran</v>
          </cell>
          <cell r="C38" t="str">
            <v>Salvo</v>
          </cell>
          <cell r="D38" t="str">
            <v>Juan Andres</v>
          </cell>
          <cell r="E38">
            <v>30</v>
          </cell>
          <cell r="F38">
            <v>1500000</v>
          </cell>
          <cell r="G38">
            <v>700000</v>
          </cell>
          <cell r="H38">
            <v>97427</v>
          </cell>
          <cell r="I38">
            <v>0</v>
          </cell>
          <cell r="J38">
            <v>2297427</v>
          </cell>
        </row>
        <row r="39">
          <cell r="A39" t="str">
            <v>17616895-1</v>
          </cell>
          <cell r="B39" t="str">
            <v>Inostroza</v>
          </cell>
          <cell r="C39" t="str">
            <v>Castro</v>
          </cell>
          <cell r="D39" t="str">
            <v>Sergio Anibal</v>
          </cell>
          <cell r="E39">
            <v>30</v>
          </cell>
          <cell r="F39">
            <v>950000</v>
          </cell>
          <cell r="G39">
            <v>400000</v>
          </cell>
          <cell r="H39">
            <v>53402</v>
          </cell>
          <cell r="I39">
            <v>0</v>
          </cell>
          <cell r="J39">
            <v>1403402</v>
          </cell>
        </row>
        <row r="40">
          <cell r="A40" t="str">
            <v>17322382-k</v>
          </cell>
          <cell r="B40" t="str">
            <v>Opazo</v>
          </cell>
          <cell r="C40" t="str">
            <v>Reyes</v>
          </cell>
          <cell r="D40" t="str">
            <v>Cristofer Yonathan</v>
          </cell>
          <cell r="E40">
            <v>30</v>
          </cell>
          <cell r="F40">
            <v>1200000</v>
          </cell>
          <cell r="G40">
            <v>1050000</v>
          </cell>
          <cell r="H40">
            <v>171791</v>
          </cell>
          <cell r="I40">
            <v>150000</v>
          </cell>
          <cell r="J40">
            <v>2571791</v>
          </cell>
        </row>
        <row r="41">
          <cell r="A41" t="str">
            <v>17787057-9</v>
          </cell>
          <cell r="B41" t="str">
            <v>Lillo</v>
          </cell>
          <cell r="C41" t="str">
            <v>Villarroel</v>
          </cell>
          <cell r="D41" t="str">
            <v>Juan Pablo</v>
          </cell>
          <cell r="E41">
            <v>30</v>
          </cell>
          <cell r="F41">
            <v>600000</v>
          </cell>
          <cell r="G41">
            <v>380000</v>
          </cell>
          <cell r="H41">
            <v>121732</v>
          </cell>
          <cell r="I41">
            <v>150000</v>
          </cell>
          <cell r="J41">
            <v>1251732</v>
          </cell>
        </row>
        <row r="42">
          <cell r="A42" t="str">
            <v>13399631-1</v>
          </cell>
          <cell r="B42" t="str">
            <v>Cuadra</v>
          </cell>
          <cell r="C42" t="str">
            <v>Neira</v>
          </cell>
          <cell r="D42" t="str">
            <v>Patricio Alexis</v>
          </cell>
          <cell r="E42">
            <v>30</v>
          </cell>
          <cell r="F42">
            <v>1200000</v>
          </cell>
          <cell r="G42">
            <v>1050000</v>
          </cell>
          <cell r="H42">
            <v>165998</v>
          </cell>
          <cell r="I42">
            <v>150000</v>
          </cell>
          <cell r="J42">
            <v>2565998</v>
          </cell>
        </row>
        <row r="43">
          <cell r="A43" t="str">
            <v>8268674-6</v>
          </cell>
          <cell r="B43" t="str">
            <v>Gonzalez</v>
          </cell>
          <cell r="C43" t="str">
            <v>Mardones</v>
          </cell>
          <cell r="D43" t="str">
            <v>Jose Aladino</v>
          </cell>
          <cell r="E43">
            <v>30</v>
          </cell>
          <cell r="F43">
            <v>1200000</v>
          </cell>
          <cell r="G43">
            <v>490000</v>
          </cell>
          <cell r="H43">
            <v>347308</v>
          </cell>
          <cell r="I43">
            <v>0</v>
          </cell>
          <cell r="J43">
            <v>2037308</v>
          </cell>
        </row>
        <row r="44">
          <cell r="A44" t="str">
            <v>13281451-1</v>
          </cell>
          <cell r="B44" t="str">
            <v>Contreras</v>
          </cell>
          <cell r="C44" t="str">
            <v>Catalan</v>
          </cell>
          <cell r="D44" t="str">
            <v>Claudio Andres</v>
          </cell>
          <cell r="E44">
            <v>30</v>
          </cell>
          <cell r="F44">
            <v>1200000</v>
          </cell>
          <cell r="G44">
            <v>500000</v>
          </cell>
          <cell r="H44">
            <v>337308</v>
          </cell>
          <cell r="I44">
            <v>100000</v>
          </cell>
          <cell r="J44">
            <v>2137308</v>
          </cell>
        </row>
        <row r="45">
          <cell r="A45" t="str">
            <v>10952948-6</v>
          </cell>
          <cell r="B45" t="str">
            <v>Cea</v>
          </cell>
          <cell r="C45" t="str">
            <v>Morales</v>
          </cell>
          <cell r="D45" t="str">
            <v>Juan Carlos</v>
          </cell>
          <cell r="E45">
            <v>30</v>
          </cell>
          <cell r="F45">
            <v>1200000</v>
          </cell>
          <cell r="G45">
            <v>1050000</v>
          </cell>
          <cell r="H45">
            <v>165998</v>
          </cell>
          <cell r="I45">
            <v>150000</v>
          </cell>
          <cell r="J45">
            <v>2565998</v>
          </cell>
        </row>
        <row r="46">
          <cell r="A46" t="str">
            <v>15186324-8</v>
          </cell>
          <cell r="B46" t="str">
            <v>Vera</v>
          </cell>
          <cell r="C46" t="str">
            <v>Chamorro</v>
          </cell>
          <cell r="D46" t="str">
            <v>Elvis Paul</v>
          </cell>
          <cell r="E46">
            <v>30</v>
          </cell>
          <cell r="F46">
            <v>600000</v>
          </cell>
          <cell r="G46">
            <v>380000</v>
          </cell>
          <cell r="H46">
            <v>121732</v>
          </cell>
          <cell r="I46">
            <v>150000</v>
          </cell>
          <cell r="J46">
            <v>1251732</v>
          </cell>
        </row>
        <row r="47">
          <cell r="A47" t="str">
            <v>18137304-0</v>
          </cell>
          <cell r="B47" t="str">
            <v>Cordova</v>
          </cell>
          <cell r="C47" t="str">
            <v>Aqueveque</v>
          </cell>
          <cell r="D47" t="str">
            <v>Sergio Andres</v>
          </cell>
          <cell r="E47">
            <v>25</v>
          </cell>
          <cell r="F47">
            <v>500000</v>
          </cell>
          <cell r="G47">
            <v>316667</v>
          </cell>
          <cell r="H47">
            <v>60867</v>
          </cell>
          <cell r="I47">
            <v>125000</v>
          </cell>
          <cell r="J47">
            <v>1002534</v>
          </cell>
        </row>
        <row r="48">
          <cell r="A48" t="str">
            <v>15235289-1</v>
          </cell>
          <cell r="B48" t="str">
            <v>Baeza</v>
          </cell>
          <cell r="C48" t="str">
            <v>Fuentes</v>
          </cell>
          <cell r="D48" t="str">
            <v>Cristian Gonzalo</v>
          </cell>
          <cell r="E48">
            <v>30</v>
          </cell>
          <cell r="F48">
            <v>550000</v>
          </cell>
          <cell r="G48">
            <v>280000</v>
          </cell>
          <cell r="H48">
            <v>102378</v>
          </cell>
          <cell r="I48">
            <v>150000</v>
          </cell>
          <cell r="J48">
            <v>1082378</v>
          </cell>
        </row>
        <row r="49">
          <cell r="A49" t="str">
            <v>16853144-3</v>
          </cell>
          <cell r="B49" t="str">
            <v>Medina</v>
          </cell>
          <cell r="C49" t="str">
            <v>Ramirez</v>
          </cell>
          <cell r="D49" t="str">
            <v>Faviola Alejandra</v>
          </cell>
          <cell r="E49">
            <v>29</v>
          </cell>
          <cell r="F49">
            <v>531667</v>
          </cell>
          <cell r="G49">
            <v>270667</v>
          </cell>
          <cell r="H49">
            <v>80432</v>
          </cell>
          <cell r="I49">
            <v>145000</v>
          </cell>
          <cell r="J49">
            <v>1027766</v>
          </cell>
        </row>
        <row r="50">
          <cell r="A50" t="str">
            <v>13622905-2</v>
          </cell>
          <cell r="B50" t="str">
            <v>Jara</v>
          </cell>
          <cell r="C50" t="str">
            <v>Torres</v>
          </cell>
          <cell r="D50" t="str">
            <v>Daniel Isaias</v>
          </cell>
          <cell r="E50">
            <v>30</v>
          </cell>
          <cell r="F50">
            <v>550000</v>
          </cell>
          <cell r="G50">
            <v>280000</v>
          </cell>
          <cell r="H50">
            <v>102378</v>
          </cell>
          <cell r="I50">
            <v>150000</v>
          </cell>
          <cell r="J50">
            <v>1082378</v>
          </cell>
        </row>
        <row r="51">
          <cell r="A51" t="str">
            <v>20527883-4</v>
          </cell>
          <cell r="B51" t="str">
            <v>Bustos</v>
          </cell>
          <cell r="C51" t="str">
            <v>Godoy</v>
          </cell>
          <cell r="D51" t="str">
            <v>Eduar Felipe</v>
          </cell>
          <cell r="E51">
            <v>30</v>
          </cell>
          <cell r="F51">
            <v>550000</v>
          </cell>
          <cell r="G51">
            <v>280000</v>
          </cell>
          <cell r="H51">
            <v>102378</v>
          </cell>
          <cell r="I51">
            <v>150000</v>
          </cell>
          <cell r="J51">
            <v>1082378</v>
          </cell>
        </row>
        <row r="52">
          <cell r="A52" t="str">
            <v>20956581-1</v>
          </cell>
          <cell r="B52" t="str">
            <v>Puentes</v>
          </cell>
          <cell r="C52" t="str">
            <v>Navarrete</v>
          </cell>
          <cell r="D52" t="str">
            <v>Cristopher Patricio</v>
          </cell>
          <cell r="E52">
            <v>30</v>
          </cell>
          <cell r="F52">
            <v>550000</v>
          </cell>
          <cell r="G52">
            <v>280000</v>
          </cell>
          <cell r="H52">
            <v>90464</v>
          </cell>
          <cell r="I52">
            <v>150000</v>
          </cell>
          <cell r="J52">
            <v>1070464</v>
          </cell>
        </row>
        <row r="53">
          <cell r="A53" t="str">
            <v>16905479-7</v>
          </cell>
          <cell r="B53" t="str">
            <v>Palma</v>
          </cell>
          <cell r="C53" t="str">
            <v>Esparza</v>
          </cell>
          <cell r="D53" t="str">
            <v>Luis Gabriel</v>
          </cell>
          <cell r="E53">
            <v>30</v>
          </cell>
          <cell r="F53">
            <v>550000</v>
          </cell>
          <cell r="G53">
            <v>280000</v>
          </cell>
          <cell r="H53">
            <v>102518</v>
          </cell>
          <cell r="I53">
            <v>150000</v>
          </cell>
          <cell r="J53">
            <v>1082518</v>
          </cell>
        </row>
        <row r="54">
          <cell r="A54" t="str">
            <v>15183471-k</v>
          </cell>
          <cell r="B54" t="str">
            <v>Navarrete</v>
          </cell>
          <cell r="C54" t="str">
            <v>Gomez</v>
          </cell>
          <cell r="D54" t="str">
            <v>Miguel Angel</v>
          </cell>
          <cell r="E54">
            <v>30</v>
          </cell>
          <cell r="F54">
            <v>700000</v>
          </cell>
          <cell r="G54">
            <v>580000</v>
          </cell>
          <cell r="H54">
            <v>134586</v>
          </cell>
          <cell r="I54">
            <v>150000</v>
          </cell>
          <cell r="J54">
            <v>1564586</v>
          </cell>
        </row>
        <row r="55">
          <cell r="A55" t="str">
            <v>19464944-4</v>
          </cell>
          <cell r="B55" t="str">
            <v>Morales</v>
          </cell>
          <cell r="C55" t="str">
            <v>Araneda</v>
          </cell>
          <cell r="D55" t="str">
            <v>Jose Daniel</v>
          </cell>
          <cell r="E55">
            <v>30</v>
          </cell>
          <cell r="F55">
            <v>600000</v>
          </cell>
          <cell r="G55">
            <v>190000</v>
          </cell>
          <cell r="H55">
            <v>138473</v>
          </cell>
          <cell r="I55">
            <v>150000</v>
          </cell>
          <cell r="J55">
            <v>1078473</v>
          </cell>
        </row>
        <row r="56">
          <cell r="A56" t="str">
            <v>15189517-4</v>
          </cell>
          <cell r="B56" t="str">
            <v>Concha</v>
          </cell>
          <cell r="C56" t="str">
            <v>Silva</v>
          </cell>
          <cell r="D56" t="str">
            <v>Ivan Omar</v>
          </cell>
          <cell r="E56">
            <v>30</v>
          </cell>
          <cell r="F56">
            <v>1200000</v>
          </cell>
          <cell r="G56">
            <v>450000</v>
          </cell>
          <cell r="H56">
            <v>136557</v>
          </cell>
          <cell r="I56">
            <v>80000</v>
          </cell>
          <cell r="J56">
            <v>1866557</v>
          </cell>
        </row>
        <row r="57">
          <cell r="A57" t="str">
            <v>19217759-6</v>
          </cell>
          <cell r="B57" t="str">
            <v>Pinto</v>
          </cell>
          <cell r="C57" t="str">
            <v>Huichalao</v>
          </cell>
          <cell r="D57" t="str">
            <v>Wladimir Francisco</v>
          </cell>
          <cell r="E57">
            <v>30</v>
          </cell>
          <cell r="F57">
            <v>600000</v>
          </cell>
          <cell r="G57">
            <v>280000</v>
          </cell>
          <cell r="H57">
            <v>221893</v>
          </cell>
          <cell r="I57">
            <v>150000</v>
          </cell>
          <cell r="J57">
            <v>1251893</v>
          </cell>
        </row>
        <row r="58">
          <cell r="A58" t="str">
            <v>14016538-7</v>
          </cell>
          <cell r="B58" t="str">
            <v>Cifuentes</v>
          </cell>
          <cell r="C58" t="str">
            <v>Caamaño</v>
          </cell>
          <cell r="D58" t="str">
            <v>Gerardo Patricio</v>
          </cell>
          <cell r="E58">
            <v>30</v>
          </cell>
          <cell r="F58">
            <v>2500000</v>
          </cell>
          <cell r="G58">
            <v>1100000</v>
          </cell>
          <cell r="H58">
            <v>483823</v>
          </cell>
          <cell r="I58">
            <v>0</v>
          </cell>
          <cell r="J58">
            <v>4083823</v>
          </cell>
        </row>
        <row r="59">
          <cell r="A59" t="str">
            <v>14273336-6</v>
          </cell>
          <cell r="B59" t="str">
            <v>Gonzalez</v>
          </cell>
          <cell r="C59" t="str">
            <v>Araneda</v>
          </cell>
          <cell r="D59" t="str">
            <v>Mario Eduardo</v>
          </cell>
          <cell r="E59">
            <v>30</v>
          </cell>
          <cell r="F59">
            <v>900000</v>
          </cell>
          <cell r="G59">
            <v>720000</v>
          </cell>
          <cell r="H59">
            <v>211258</v>
          </cell>
          <cell r="I59">
            <v>150000</v>
          </cell>
          <cell r="J59">
            <v>1981258</v>
          </cell>
        </row>
        <row r="60">
          <cell r="A60" t="str">
            <v>13806002-0</v>
          </cell>
          <cell r="B60" t="str">
            <v>Gonzalez</v>
          </cell>
          <cell r="C60" t="str">
            <v>Jaque</v>
          </cell>
          <cell r="D60" t="str">
            <v>Juan Wilson</v>
          </cell>
          <cell r="E60">
            <v>30</v>
          </cell>
          <cell r="F60">
            <v>550000</v>
          </cell>
          <cell r="G60">
            <v>280000</v>
          </cell>
          <cell r="H60">
            <v>102518</v>
          </cell>
          <cell r="I60">
            <v>150000</v>
          </cell>
          <cell r="J60">
            <v>1082518</v>
          </cell>
        </row>
        <row r="61">
          <cell r="A61" t="str">
            <v>14095920-0</v>
          </cell>
          <cell r="B61" t="str">
            <v>Oyarzun</v>
          </cell>
          <cell r="C61" t="str">
            <v>Palma</v>
          </cell>
          <cell r="D61" t="str">
            <v>Cristian Antonio</v>
          </cell>
          <cell r="E61">
            <v>30</v>
          </cell>
          <cell r="F61">
            <v>1400000</v>
          </cell>
          <cell r="G61">
            <v>600000</v>
          </cell>
          <cell r="H61">
            <v>233568</v>
          </cell>
          <cell r="I61">
            <v>0</v>
          </cell>
          <cell r="J61">
            <v>2233568</v>
          </cell>
        </row>
        <row r="62">
          <cell r="A62" t="str">
            <v>17200337-0</v>
          </cell>
          <cell r="B62" t="str">
            <v>Gonzalez</v>
          </cell>
          <cell r="C62" t="str">
            <v>Gonzalez</v>
          </cell>
          <cell r="D62" t="str">
            <v>Esteban Alberto</v>
          </cell>
          <cell r="E62">
            <v>30</v>
          </cell>
          <cell r="F62">
            <v>550000</v>
          </cell>
          <cell r="G62">
            <v>280000</v>
          </cell>
          <cell r="H62">
            <v>102378</v>
          </cell>
          <cell r="I62">
            <v>150000</v>
          </cell>
          <cell r="J62">
            <v>1082378</v>
          </cell>
        </row>
        <row r="63">
          <cell r="A63" t="str">
            <v>17570975-4</v>
          </cell>
          <cell r="B63" t="str">
            <v>Pastenes</v>
          </cell>
          <cell r="C63" t="str">
            <v>Fuentealba</v>
          </cell>
          <cell r="D63" t="str">
            <v>Jose Luis</v>
          </cell>
          <cell r="E63">
            <v>30</v>
          </cell>
          <cell r="F63">
            <v>700000</v>
          </cell>
          <cell r="G63">
            <v>150000</v>
          </cell>
          <cell r="H63">
            <v>561008</v>
          </cell>
          <cell r="I63">
            <v>150000</v>
          </cell>
          <cell r="J63">
            <v>1561008</v>
          </cell>
        </row>
        <row r="64">
          <cell r="A64" t="str">
            <v>16230053-9</v>
          </cell>
          <cell r="B64" t="str">
            <v>Jimenez</v>
          </cell>
          <cell r="C64" t="str">
            <v>Gutierrez</v>
          </cell>
          <cell r="D64" t="str">
            <v>Francisco Andres</v>
          </cell>
          <cell r="E64">
            <v>30</v>
          </cell>
          <cell r="F64">
            <v>600000</v>
          </cell>
          <cell r="G64">
            <v>280000</v>
          </cell>
          <cell r="H64">
            <v>221893</v>
          </cell>
          <cell r="I64">
            <v>150000</v>
          </cell>
          <cell r="J64">
            <v>1251893</v>
          </cell>
        </row>
        <row r="65">
          <cell r="A65" t="str">
            <v>14059701-5</v>
          </cell>
          <cell r="B65" t="str">
            <v>Rubio</v>
          </cell>
          <cell r="C65" t="str">
            <v>Gallegos</v>
          </cell>
          <cell r="D65" t="str">
            <v>Haroldo Andres</v>
          </cell>
          <cell r="E65">
            <v>30</v>
          </cell>
          <cell r="F65">
            <v>550000</v>
          </cell>
          <cell r="G65">
            <v>200000</v>
          </cell>
          <cell r="H65">
            <v>117565</v>
          </cell>
          <cell r="I65">
            <v>150000</v>
          </cell>
          <cell r="J65">
            <v>1017565</v>
          </cell>
        </row>
        <row r="66">
          <cell r="A66" t="str">
            <v>20111874-3</v>
          </cell>
          <cell r="B66" t="str">
            <v>Del Valle</v>
          </cell>
          <cell r="C66" t="str">
            <v>Quezada</v>
          </cell>
          <cell r="D66" t="str">
            <v>Mario Alejandro</v>
          </cell>
          <cell r="E66">
            <v>30</v>
          </cell>
          <cell r="F66">
            <v>550000</v>
          </cell>
          <cell r="G66">
            <v>210000</v>
          </cell>
          <cell r="H66">
            <v>106118</v>
          </cell>
          <cell r="I66">
            <v>150000</v>
          </cell>
          <cell r="J66">
            <v>1016118</v>
          </cell>
        </row>
        <row r="67">
          <cell r="A67" t="str">
            <v>19725999-k</v>
          </cell>
          <cell r="B67" t="str">
            <v>Sepulveda</v>
          </cell>
          <cell r="C67" t="str">
            <v>Monsalves</v>
          </cell>
          <cell r="D67" t="str">
            <v>Juan Guillermo</v>
          </cell>
          <cell r="E67">
            <v>30</v>
          </cell>
          <cell r="F67">
            <v>600000</v>
          </cell>
          <cell r="G67">
            <v>380000</v>
          </cell>
          <cell r="H67">
            <v>108051</v>
          </cell>
          <cell r="I67">
            <v>150000</v>
          </cell>
          <cell r="J67">
            <v>1238051</v>
          </cell>
        </row>
        <row r="68">
          <cell r="A68" t="str">
            <v>16829810-2</v>
          </cell>
          <cell r="B68" t="str">
            <v>Rios</v>
          </cell>
          <cell r="C68" t="str">
            <v>Jaramillo</v>
          </cell>
          <cell r="D68" t="str">
            <v>Valeria Paulette</v>
          </cell>
          <cell r="E68">
            <v>30</v>
          </cell>
          <cell r="F68">
            <v>900000</v>
          </cell>
          <cell r="G68">
            <v>400000</v>
          </cell>
          <cell r="H68">
            <v>103402</v>
          </cell>
          <cell r="I68">
            <v>0</v>
          </cell>
          <cell r="J68">
            <v>1403402</v>
          </cell>
        </row>
        <row r="69">
          <cell r="A69" t="str">
            <v>10767293-1</v>
          </cell>
          <cell r="B69" t="str">
            <v>Sagredo</v>
          </cell>
          <cell r="C69" t="str">
            <v>Hernandez</v>
          </cell>
          <cell r="D69" t="str">
            <v>Trancito Teodomiro</v>
          </cell>
          <cell r="E69">
            <v>30</v>
          </cell>
          <cell r="F69">
            <v>550000</v>
          </cell>
          <cell r="G69">
            <v>380000</v>
          </cell>
          <cell r="H69">
            <v>45503</v>
          </cell>
          <cell r="I69">
            <v>150000</v>
          </cell>
          <cell r="J69">
            <v>1125503</v>
          </cell>
        </row>
        <row r="70">
          <cell r="A70" t="str">
            <v>17421117-5</v>
          </cell>
          <cell r="B70" t="str">
            <v>Tapia</v>
          </cell>
          <cell r="C70" t="str">
            <v>Becerra</v>
          </cell>
          <cell r="D70" t="str">
            <v>Angel Dario</v>
          </cell>
          <cell r="E70">
            <v>30</v>
          </cell>
          <cell r="F70">
            <v>1200000</v>
          </cell>
          <cell r="G70">
            <v>450000</v>
          </cell>
          <cell r="H70">
            <v>328133</v>
          </cell>
          <cell r="I70">
            <v>0</v>
          </cell>
          <cell r="J70">
            <v>1978133</v>
          </cell>
        </row>
        <row r="71">
          <cell r="A71" t="str">
            <v>15449967-9</v>
          </cell>
          <cell r="B71" t="str">
            <v>Urra</v>
          </cell>
          <cell r="C71" t="str">
            <v>Fuentealba</v>
          </cell>
          <cell r="D71" t="str">
            <v>Rene Andres</v>
          </cell>
          <cell r="E71">
            <v>30</v>
          </cell>
          <cell r="F71">
            <v>1200000</v>
          </cell>
          <cell r="G71">
            <v>500000</v>
          </cell>
          <cell r="H71">
            <v>341991</v>
          </cell>
          <cell r="I71">
            <v>0</v>
          </cell>
          <cell r="J71">
            <v>2041991</v>
          </cell>
        </row>
        <row r="72">
          <cell r="A72" t="str">
            <v>12696922-8</v>
          </cell>
          <cell r="B72" t="str">
            <v>Castro</v>
          </cell>
          <cell r="C72" t="str">
            <v>Paredes</v>
          </cell>
          <cell r="D72" t="str">
            <v>Francisco Javier</v>
          </cell>
          <cell r="E72">
            <v>30</v>
          </cell>
          <cell r="F72">
            <v>700000</v>
          </cell>
          <cell r="G72">
            <v>380000</v>
          </cell>
          <cell r="H72">
            <v>334387</v>
          </cell>
          <cell r="I72">
            <v>150000</v>
          </cell>
          <cell r="J72">
            <v>1564387</v>
          </cell>
        </row>
        <row r="73">
          <cell r="A73" t="str">
            <v>19373524-k</v>
          </cell>
          <cell r="B73" t="str">
            <v>Romero</v>
          </cell>
          <cell r="C73" t="str">
            <v>Villanueva</v>
          </cell>
          <cell r="D73" t="str">
            <v>Geraldine Victoria</v>
          </cell>
          <cell r="E73">
            <v>30</v>
          </cell>
          <cell r="F73">
            <v>700000</v>
          </cell>
          <cell r="G73">
            <v>510000</v>
          </cell>
          <cell r="H73">
            <v>201008</v>
          </cell>
          <cell r="I73">
            <v>150000</v>
          </cell>
          <cell r="J73">
            <v>1561008</v>
          </cell>
        </row>
        <row r="74">
          <cell r="A74" t="str">
            <v>10518521-9</v>
          </cell>
          <cell r="B74" t="str">
            <v>Vega</v>
          </cell>
          <cell r="C74" t="str">
            <v>Moraga</v>
          </cell>
          <cell r="D74" t="str">
            <v>Marcos Andres</v>
          </cell>
          <cell r="E74">
            <v>30</v>
          </cell>
          <cell r="F74">
            <v>600000</v>
          </cell>
          <cell r="G74">
            <v>380000</v>
          </cell>
          <cell r="H74">
            <v>121732</v>
          </cell>
          <cell r="I74">
            <v>150000</v>
          </cell>
          <cell r="J74">
            <v>1251732</v>
          </cell>
        </row>
        <row r="75">
          <cell r="A75" t="str">
            <v>19530956-6</v>
          </cell>
          <cell r="B75" t="str">
            <v>Semler</v>
          </cell>
          <cell r="C75" t="str">
            <v>Reyes</v>
          </cell>
          <cell r="D75" t="str">
            <v>Gerald Matias</v>
          </cell>
          <cell r="E75">
            <v>30</v>
          </cell>
          <cell r="F75">
            <v>700000</v>
          </cell>
          <cell r="G75">
            <v>380000</v>
          </cell>
          <cell r="H75">
            <v>334387</v>
          </cell>
          <cell r="I75">
            <v>150000</v>
          </cell>
          <cell r="J75">
            <v>1564387</v>
          </cell>
        </row>
        <row r="76">
          <cell r="A76" t="str">
            <v>10254106-5</v>
          </cell>
          <cell r="B76" t="str">
            <v>Perez</v>
          </cell>
          <cell r="C76" t="str">
            <v>Cea</v>
          </cell>
          <cell r="D76" t="str">
            <v>Lazaro Julian</v>
          </cell>
          <cell r="E76">
            <v>30</v>
          </cell>
          <cell r="F76">
            <v>550000</v>
          </cell>
          <cell r="G76">
            <v>280000</v>
          </cell>
          <cell r="H76">
            <v>102378</v>
          </cell>
          <cell r="I76">
            <v>150000</v>
          </cell>
          <cell r="J76">
            <v>1082378</v>
          </cell>
        </row>
        <row r="77">
          <cell r="A77" t="str">
            <v>17862965-4</v>
          </cell>
          <cell r="B77" t="str">
            <v>Arellano</v>
          </cell>
          <cell r="C77" t="str">
            <v>Nova</v>
          </cell>
          <cell r="D77" t="str">
            <v>Victor Nicolas</v>
          </cell>
          <cell r="E77">
            <v>30</v>
          </cell>
          <cell r="F77">
            <v>550000</v>
          </cell>
          <cell r="G77">
            <v>280000</v>
          </cell>
          <cell r="H77">
            <v>102378</v>
          </cell>
          <cell r="I77">
            <v>150000</v>
          </cell>
          <cell r="J77">
            <v>1082378</v>
          </cell>
        </row>
        <row r="78">
          <cell r="A78" t="str">
            <v>12701671-2</v>
          </cell>
          <cell r="B78" t="str">
            <v>Ramirez</v>
          </cell>
          <cell r="C78" t="str">
            <v>Gonzalez</v>
          </cell>
          <cell r="D78" t="str">
            <v>Rodrigo Alejandro</v>
          </cell>
          <cell r="E78">
            <v>28</v>
          </cell>
          <cell r="F78">
            <v>1120000</v>
          </cell>
          <cell r="G78">
            <v>466667</v>
          </cell>
          <cell r="H78">
            <v>302064</v>
          </cell>
          <cell r="I78">
            <v>93333</v>
          </cell>
          <cell r="J78">
            <v>1982064</v>
          </cell>
        </row>
        <row r="79">
          <cell r="A79" t="str">
            <v>15196124-k</v>
          </cell>
          <cell r="B79" t="str">
            <v>Sepulveda</v>
          </cell>
          <cell r="C79" t="str">
            <v>Pacheco</v>
          </cell>
          <cell r="D79" t="str">
            <v>Nelson Esteban</v>
          </cell>
          <cell r="E79">
            <v>30</v>
          </cell>
          <cell r="F79">
            <v>550000</v>
          </cell>
          <cell r="G79">
            <v>380000</v>
          </cell>
          <cell r="H79">
            <v>48119</v>
          </cell>
          <cell r="I79">
            <v>150000</v>
          </cell>
          <cell r="J79">
            <v>1128119</v>
          </cell>
        </row>
        <row r="80">
          <cell r="A80" t="str">
            <v>16284284-6</v>
          </cell>
          <cell r="B80" t="str">
            <v>Neira</v>
          </cell>
          <cell r="C80" t="str">
            <v>Iglesias</v>
          </cell>
          <cell r="D80" t="str">
            <v>Daniel Alejandro</v>
          </cell>
          <cell r="E80">
            <v>30</v>
          </cell>
          <cell r="F80">
            <v>550000</v>
          </cell>
          <cell r="G80">
            <v>380000</v>
          </cell>
          <cell r="H80">
            <v>45503</v>
          </cell>
          <cell r="I80">
            <v>150000</v>
          </cell>
          <cell r="J80">
            <v>1125503</v>
          </cell>
        </row>
        <row r="81">
          <cell r="A81" t="str">
            <v>11458086-4</v>
          </cell>
          <cell r="B81" t="str">
            <v>Vasquez</v>
          </cell>
          <cell r="C81" t="str">
            <v>Salamanca</v>
          </cell>
          <cell r="D81" t="str">
            <v>Mario Enrique</v>
          </cell>
          <cell r="E81">
            <v>30</v>
          </cell>
          <cell r="F81">
            <v>900000</v>
          </cell>
          <cell r="G81">
            <v>420000</v>
          </cell>
          <cell r="H81">
            <v>94387</v>
          </cell>
          <cell r="I81">
            <v>150000</v>
          </cell>
          <cell r="J81">
            <v>1564387</v>
          </cell>
        </row>
        <row r="82">
          <cell r="A82" t="str">
            <v>18815787-4</v>
          </cell>
          <cell r="B82" t="str">
            <v>Briones</v>
          </cell>
          <cell r="C82" t="str">
            <v>Briones</v>
          </cell>
          <cell r="D82" t="str">
            <v>Francisco Ignacio</v>
          </cell>
          <cell r="E82">
            <v>30</v>
          </cell>
          <cell r="F82">
            <v>550000</v>
          </cell>
          <cell r="G82">
            <v>280000</v>
          </cell>
          <cell r="H82">
            <v>102378</v>
          </cell>
          <cell r="I82">
            <v>150000</v>
          </cell>
          <cell r="J82">
            <v>1082378</v>
          </cell>
        </row>
        <row r="83">
          <cell r="A83" t="str">
            <v>20911193-4</v>
          </cell>
          <cell r="B83" t="str">
            <v>Urra</v>
          </cell>
          <cell r="C83" t="str">
            <v>Labraña</v>
          </cell>
          <cell r="D83" t="str">
            <v>Martin Nicolas</v>
          </cell>
          <cell r="E83">
            <v>30</v>
          </cell>
          <cell r="F83">
            <v>600000</v>
          </cell>
          <cell r="G83">
            <v>380000</v>
          </cell>
          <cell r="H83">
            <v>121732</v>
          </cell>
          <cell r="I83">
            <v>150000</v>
          </cell>
          <cell r="J83">
            <v>1251732</v>
          </cell>
        </row>
        <row r="84">
          <cell r="A84" t="str">
            <v>14355909-2</v>
          </cell>
          <cell r="B84" t="str">
            <v>Castillo</v>
          </cell>
          <cell r="C84" t="str">
            <v>Toro</v>
          </cell>
          <cell r="D84" t="str">
            <v>Luis Andres</v>
          </cell>
          <cell r="E84">
            <v>30</v>
          </cell>
          <cell r="F84">
            <v>550000</v>
          </cell>
          <cell r="G84">
            <v>380000</v>
          </cell>
          <cell r="H84">
            <v>48119</v>
          </cell>
          <cell r="I84">
            <v>150000</v>
          </cell>
          <cell r="J84">
            <v>1128119</v>
          </cell>
        </row>
        <row r="85">
          <cell r="A85" t="str">
            <v>12925051-8</v>
          </cell>
          <cell r="B85" t="str">
            <v>Chaparro</v>
          </cell>
          <cell r="C85" t="str">
            <v>Santos</v>
          </cell>
          <cell r="D85" t="str">
            <v>German Bernardino</v>
          </cell>
          <cell r="E85">
            <v>30</v>
          </cell>
          <cell r="F85">
            <v>1200000</v>
          </cell>
          <cell r="G85">
            <v>550000</v>
          </cell>
          <cell r="H85">
            <v>291991</v>
          </cell>
          <cell r="I85">
            <v>100000</v>
          </cell>
          <cell r="J85">
            <v>2141991</v>
          </cell>
        </row>
        <row r="86">
          <cell r="A86" t="str">
            <v>17091871-1</v>
          </cell>
          <cell r="B86" t="str">
            <v>Palma</v>
          </cell>
          <cell r="C86" t="str">
            <v>Riquelme</v>
          </cell>
          <cell r="D86" t="str">
            <v>Nathaly Andrea</v>
          </cell>
          <cell r="E86">
            <v>30</v>
          </cell>
          <cell r="F86">
            <v>550000</v>
          </cell>
          <cell r="G86">
            <v>280000</v>
          </cell>
          <cell r="H86">
            <v>102378</v>
          </cell>
          <cell r="I86">
            <v>150000</v>
          </cell>
          <cell r="J86">
            <v>1082378</v>
          </cell>
        </row>
        <row r="87">
          <cell r="A87" t="str">
            <v>16156882-1</v>
          </cell>
          <cell r="B87" t="str">
            <v>Chaparro</v>
          </cell>
          <cell r="C87" t="str">
            <v>Santos</v>
          </cell>
          <cell r="D87" t="str">
            <v>Juan Carlos</v>
          </cell>
          <cell r="E87">
            <v>30</v>
          </cell>
          <cell r="F87">
            <v>600000</v>
          </cell>
          <cell r="G87">
            <v>380000</v>
          </cell>
          <cell r="H87">
            <v>121893</v>
          </cell>
          <cell r="I87">
            <v>150000</v>
          </cell>
          <cell r="J87">
            <v>1251893</v>
          </cell>
        </row>
        <row r="88">
          <cell r="A88" t="str">
            <v>13377699-0</v>
          </cell>
          <cell r="B88" t="str">
            <v>Suazo</v>
          </cell>
          <cell r="C88" t="str">
            <v>Gallegos</v>
          </cell>
          <cell r="D88" t="str">
            <v>Jose Javier</v>
          </cell>
          <cell r="E88">
            <v>30</v>
          </cell>
          <cell r="F88">
            <v>600000</v>
          </cell>
          <cell r="G88">
            <v>380000</v>
          </cell>
          <cell r="H88">
            <v>119005</v>
          </cell>
          <cell r="I88">
            <v>150000</v>
          </cell>
          <cell r="J88">
            <v>1249005</v>
          </cell>
        </row>
        <row r="89">
          <cell r="A89" t="str">
            <v>11790139-4</v>
          </cell>
          <cell r="B89" t="str">
            <v>Rodriguez</v>
          </cell>
          <cell r="C89" t="str">
            <v>Pardo</v>
          </cell>
          <cell r="D89" t="str">
            <v>Mauricio Hernan</v>
          </cell>
          <cell r="E89">
            <v>30</v>
          </cell>
          <cell r="F89">
            <v>600000</v>
          </cell>
          <cell r="G89">
            <v>380000</v>
          </cell>
          <cell r="H89">
            <v>121893</v>
          </cell>
          <cell r="I89">
            <v>150000</v>
          </cell>
          <cell r="J89">
            <v>1251893</v>
          </cell>
        </row>
        <row r="90">
          <cell r="A90" t="str">
            <v>12320635-5</v>
          </cell>
          <cell r="B90" t="str">
            <v>Bello</v>
          </cell>
          <cell r="C90" t="str">
            <v>Sanhueza</v>
          </cell>
          <cell r="D90" t="str">
            <v>Rodrigo Andres</v>
          </cell>
          <cell r="E90">
            <v>30</v>
          </cell>
          <cell r="F90">
            <v>600000</v>
          </cell>
          <cell r="G90">
            <v>280000</v>
          </cell>
          <cell r="H90">
            <v>221893</v>
          </cell>
          <cell r="I90">
            <v>150000</v>
          </cell>
          <cell r="J90">
            <v>1251893</v>
          </cell>
        </row>
        <row r="91">
          <cell r="A91" t="str">
            <v>17043475-7</v>
          </cell>
          <cell r="B91" t="str">
            <v>Parra</v>
          </cell>
          <cell r="C91" t="str">
            <v>Riffo</v>
          </cell>
          <cell r="D91" t="str">
            <v>Nicolas Ignacio</v>
          </cell>
          <cell r="E91">
            <v>30</v>
          </cell>
          <cell r="F91">
            <v>1300000</v>
          </cell>
          <cell r="G91">
            <v>600000</v>
          </cell>
          <cell r="H91">
            <v>205849</v>
          </cell>
          <cell r="I91">
            <v>100000</v>
          </cell>
          <cell r="J91">
            <v>2205849</v>
          </cell>
        </row>
        <row r="92">
          <cell r="A92" t="str">
            <v>15165207-7</v>
          </cell>
          <cell r="B92" t="str">
            <v>Padilla</v>
          </cell>
          <cell r="C92" t="str">
            <v>Gomez</v>
          </cell>
          <cell r="D92" t="str">
            <v>Stephans Patricio</v>
          </cell>
          <cell r="E92">
            <v>30</v>
          </cell>
          <cell r="F92">
            <v>600000</v>
          </cell>
          <cell r="G92">
            <v>380000</v>
          </cell>
          <cell r="H92">
            <v>121732</v>
          </cell>
          <cell r="I92">
            <v>150000</v>
          </cell>
          <cell r="J92">
            <v>1251732</v>
          </cell>
        </row>
        <row r="93">
          <cell r="A93" t="str">
            <v>18721067-4</v>
          </cell>
          <cell r="B93" t="str">
            <v>Fernandez</v>
          </cell>
          <cell r="C93" t="str">
            <v>Saez</v>
          </cell>
          <cell r="D93" t="str">
            <v>Sebastian Alejandro</v>
          </cell>
          <cell r="E93">
            <v>7</v>
          </cell>
          <cell r="F93">
            <v>140000</v>
          </cell>
          <cell r="G93">
            <v>44333</v>
          </cell>
          <cell r="H93">
            <v>28817</v>
          </cell>
          <cell r="I93">
            <v>35000</v>
          </cell>
          <cell r="J93">
            <v>248150</v>
          </cell>
        </row>
        <row r="94">
          <cell r="A94" t="str">
            <v>12301799-4</v>
          </cell>
          <cell r="B94" t="str">
            <v>Santander</v>
          </cell>
          <cell r="C94" t="str">
            <v>Garrido</v>
          </cell>
          <cell r="D94" t="str">
            <v>Patricio Eduardo</v>
          </cell>
          <cell r="E94">
            <v>30</v>
          </cell>
          <cell r="F94">
            <v>1200000</v>
          </cell>
          <cell r="G94">
            <v>550000</v>
          </cell>
          <cell r="H94">
            <v>292269</v>
          </cell>
          <cell r="I94">
            <v>100000</v>
          </cell>
          <cell r="J94">
            <v>2142269</v>
          </cell>
        </row>
        <row r="95">
          <cell r="A95" t="str">
            <v>16854232-1</v>
          </cell>
          <cell r="B95" t="str">
            <v>Diaz</v>
          </cell>
          <cell r="C95" t="str">
            <v>Gomez</v>
          </cell>
          <cell r="D95" t="str">
            <v>Pablo Andres</v>
          </cell>
          <cell r="E95">
            <v>30</v>
          </cell>
          <cell r="F95">
            <v>700000</v>
          </cell>
          <cell r="G95">
            <v>380000</v>
          </cell>
          <cell r="H95">
            <v>334586</v>
          </cell>
          <cell r="I95">
            <v>150000</v>
          </cell>
          <cell r="J95">
            <v>1564586</v>
          </cell>
        </row>
        <row r="96">
          <cell r="A96" t="str">
            <v>20936268-6</v>
          </cell>
          <cell r="B96" t="str">
            <v>Pino</v>
          </cell>
          <cell r="C96" t="str">
            <v>Montecino</v>
          </cell>
          <cell r="D96" t="str">
            <v>Diego Enrique</v>
          </cell>
          <cell r="E96">
            <v>30</v>
          </cell>
          <cell r="F96">
            <v>550000</v>
          </cell>
          <cell r="G96">
            <v>280000</v>
          </cell>
          <cell r="H96">
            <v>89233</v>
          </cell>
          <cell r="I96">
            <v>150000</v>
          </cell>
          <cell r="J96">
            <v>1069233</v>
          </cell>
        </row>
        <row r="97">
          <cell r="A97" t="str">
            <v>16530909-k</v>
          </cell>
          <cell r="B97" t="str">
            <v>Aedo</v>
          </cell>
          <cell r="C97" t="str">
            <v>Gutierrez</v>
          </cell>
          <cell r="D97" t="str">
            <v>Manuel Felizario</v>
          </cell>
          <cell r="E97">
            <v>30</v>
          </cell>
          <cell r="F97">
            <v>900000</v>
          </cell>
          <cell r="G97">
            <v>720000</v>
          </cell>
          <cell r="H97">
            <v>211258</v>
          </cell>
          <cell r="I97">
            <v>150000</v>
          </cell>
          <cell r="J97">
            <v>1981258</v>
          </cell>
        </row>
        <row r="98">
          <cell r="A98" t="str">
            <v>15928270-8</v>
          </cell>
          <cell r="B98" t="str">
            <v>Vertiola</v>
          </cell>
          <cell r="C98" t="str">
            <v>Pinela</v>
          </cell>
          <cell r="D98" t="str">
            <v>Richard Fernando</v>
          </cell>
          <cell r="E98">
            <v>30</v>
          </cell>
          <cell r="F98">
            <v>900000</v>
          </cell>
          <cell r="G98">
            <v>720000</v>
          </cell>
          <cell r="H98">
            <v>211258</v>
          </cell>
          <cell r="I98">
            <v>150000</v>
          </cell>
          <cell r="J98">
            <v>1981258</v>
          </cell>
        </row>
        <row r="99">
          <cell r="A99" t="str">
            <v>17933561-1</v>
          </cell>
          <cell r="B99" t="str">
            <v>Diaz</v>
          </cell>
          <cell r="C99" t="str">
            <v>Araneda</v>
          </cell>
          <cell r="D99" t="str">
            <v>Erick Rodrigo</v>
          </cell>
          <cell r="E99">
            <v>30</v>
          </cell>
          <cell r="F99">
            <v>900000</v>
          </cell>
          <cell r="G99">
            <v>720000</v>
          </cell>
          <cell r="H99">
            <v>211258</v>
          </cell>
          <cell r="I99">
            <v>150000</v>
          </cell>
          <cell r="J99">
            <v>1981258</v>
          </cell>
        </row>
        <row r="100">
          <cell r="A100" t="str">
            <v>14625236-2</v>
          </cell>
          <cell r="B100" t="str">
            <v>Muñoz</v>
          </cell>
          <cell r="C100" t="str">
            <v>Espinoza</v>
          </cell>
          <cell r="D100" t="str">
            <v>Cristian Rodrigo</v>
          </cell>
          <cell r="E100">
            <v>30</v>
          </cell>
          <cell r="F100">
            <v>900000</v>
          </cell>
          <cell r="G100">
            <v>720000</v>
          </cell>
          <cell r="H100">
            <v>207013</v>
          </cell>
          <cell r="I100">
            <v>150000</v>
          </cell>
          <cell r="J100">
            <v>1977013</v>
          </cell>
        </row>
        <row r="101">
          <cell r="A101" t="str">
            <v>16601679-7</v>
          </cell>
          <cell r="B101" t="str">
            <v>Salazar</v>
          </cell>
          <cell r="C101" t="str">
            <v>Villagra</v>
          </cell>
          <cell r="D101" t="str">
            <v>Cristian Manuel</v>
          </cell>
          <cell r="E101">
            <v>30</v>
          </cell>
          <cell r="F101">
            <v>700000</v>
          </cell>
          <cell r="G101">
            <v>580000</v>
          </cell>
          <cell r="H101">
            <v>134586</v>
          </cell>
          <cell r="I101">
            <v>150000</v>
          </cell>
          <cell r="J101">
            <v>1564586</v>
          </cell>
        </row>
        <row r="102">
          <cell r="A102" t="str">
            <v>12302759-0</v>
          </cell>
          <cell r="B102" t="str">
            <v>Gajardo</v>
          </cell>
          <cell r="C102" t="str">
            <v>Leiva</v>
          </cell>
          <cell r="D102" t="str">
            <v>Oliver Guillermo</v>
          </cell>
          <cell r="E102">
            <v>30</v>
          </cell>
          <cell r="F102">
            <v>600000</v>
          </cell>
          <cell r="G102">
            <v>380000</v>
          </cell>
          <cell r="H102">
            <v>121893</v>
          </cell>
          <cell r="I102">
            <v>150000</v>
          </cell>
          <cell r="J102">
            <v>1251893</v>
          </cell>
        </row>
        <row r="103">
          <cell r="A103" t="str">
            <v>19110515-k</v>
          </cell>
          <cell r="B103" t="str">
            <v>Lagos</v>
          </cell>
          <cell r="C103" t="str">
            <v>Rivera</v>
          </cell>
          <cell r="D103" t="str">
            <v>Angelo Jesus</v>
          </cell>
          <cell r="E103">
            <v>30</v>
          </cell>
          <cell r="F103">
            <v>550000</v>
          </cell>
          <cell r="G103">
            <v>280000</v>
          </cell>
          <cell r="H103">
            <v>102378</v>
          </cell>
          <cell r="I103">
            <v>150000</v>
          </cell>
          <cell r="J103">
            <v>1082378</v>
          </cell>
        </row>
        <row r="104">
          <cell r="A104" t="str">
            <v>21863787-6</v>
          </cell>
          <cell r="B104" t="str">
            <v>Bello</v>
          </cell>
          <cell r="C104" t="str">
            <v>Sanhueza</v>
          </cell>
          <cell r="D104" t="str">
            <v>Nicolas Andres</v>
          </cell>
          <cell r="E104">
            <v>30</v>
          </cell>
          <cell r="F104">
            <v>550000</v>
          </cell>
          <cell r="G104">
            <v>280000</v>
          </cell>
          <cell r="H104">
            <v>89233</v>
          </cell>
          <cell r="I104">
            <v>150000</v>
          </cell>
          <cell r="J104">
            <v>1069233</v>
          </cell>
        </row>
        <row r="105">
          <cell r="A105" t="str">
            <v>12303589-5</v>
          </cell>
          <cell r="B105" t="str">
            <v>Valenzuela</v>
          </cell>
          <cell r="C105" t="str">
            <v>Borquez</v>
          </cell>
          <cell r="D105" t="str">
            <v>Boris Marcelo</v>
          </cell>
          <cell r="E105">
            <v>30</v>
          </cell>
          <cell r="F105">
            <v>550000</v>
          </cell>
          <cell r="G105">
            <v>280000</v>
          </cell>
          <cell r="H105">
            <v>102518</v>
          </cell>
          <cell r="I105">
            <v>150000</v>
          </cell>
          <cell r="J105">
            <v>1082518</v>
          </cell>
        </row>
        <row r="106">
          <cell r="A106" t="str">
            <v>13312902-2</v>
          </cell>
          <cell r="B106" t="str">
            <v>Vasquez</v>
          </cell>
          <cell r="C106" t="str">
            <v>Aravena</v>
          </cell>
          <cell r="D106" t="str">
            <v>Juan Carlos</v>
          </cell>
          <cell r="E106">
            <v>30</v>
          </cell>
          <cell r="F106">
            <v>550000</v>
          </cell>
          <cell r="G106">
            <v>280000</v>
          </cell>
          <cell r="H106">
            <v>102518</v>
          </cell>
          <cell r="I106">
            <v>150000</v>
          </cell>
          <cell r="J106">
            <v>1082518</v>
          </cell>
        </row>
        <row r="107">
          <cell r="A107" t="str">
            <v>13797415-0</v>
          </cell>
          <cell r="B107" t="str">
            <v>Alarcon</v>
          </cell>
          <cell r="C107" t="str">
            <v>Ulloa</v>
          </cell>
          <cell r="D107" t="str">
            <v>Alexis Armando</v>
          </cell>
          <cell r="E107">
            <v>30</v>
          </cell>
          <cell r="F107">
            <v>550000</v>
          </cell>
          <cell r="G107">
            <v>280000</v>
          </cell>
          <cell r="H107">
            <v>102518</v>
          </cell>
          <cell r="I107">
            <v>150000</v>
          </cell>
          <cell r="J107">
            <v>1082518</v>
          </cell>
        </row>
        <row r="108">
          <cell r="A108" t="str">
            <v>14905107-4</v>
          </cell>
          <cell r="B108" t="str">
            <v>Arriagada</v>
          </cell>
          <cell r="C108" t="str">
            <v>Muñoz</v>
          </cell>
          <cell r="D108" t="str">
            <v>Jose Alberto</v>
          </cell>
          <cell r="E108">
            <v>30</v>
          </cell>
          <cell r="F108">
            <v>600000</v>
          </cell>
          <cell r="G108">
            <v>380000</v>
          </cell>
          <cell r="H108">
            <v>121893</v>
          </cell>
          <cell r="I108">
            <v>150000</v>
          </cell>
          <cell r="J108">
            <v>1251893</v>
          </cell>
        </row>
        <row r="109">
          <cell r="A109" t="str">
            <v>19000526-7</v>
          </cell>
          <cell r="B109" t="str">
            <v>Pincheira</v>
          </cell>
          <cell r="C109" t="str">
            <v>Gonzalez</v>
          </cell>
          <cell r="D109" t="str">
            <v>Carlos Alfredo</v>
          </cell>
          <cell r="E109">
            <v>30</v>
          </cell>
          <cell r="F109">
            <v>550000</v>
          </cell>
          <cell r="G109">
            <v>280000</v>
          </cell>
          <cell r="H109">
            <v>90464</v>
          </cell>
          <cell r="I109">
            <v>150000</v>
          </cell>
          <cell r="J109">
            <v>1070464</v>
          </cell>
        </row>
        <row r="110">
          <cell r="A110" t="str">
            <v>16328185-6</v>
          </cell>
          <cell r="B110" t="str">
            <v>Lizana</v>
          </cell>
          <cell r="C110" t="str">
            <v>Peña</v>
          </cell>
          <cell r="D110" t="str">
            <v>Juan Alberto</v>
          </cell>
          <cell r="E110">
            <v>30</v>
          </cell>
          <cell r="F110">
            <v>900000</v>
          </cell>
          <cell r="G110">
            <v>720000</v>
          </cell>
          <cell r="H110">
            <v>211258</v>
          </cell>
          <cell r="I110">
            <v>150000</v>
          </cell>
          <cell r="J110">
            <v>1981258</v>
          </cell>
        </row>
        <row r="111">
          <cell r="A111" t="str">
            <v>14391767-3</v>
          </cell>
          <cell r="B111" t="str">
            <v>Flores</v>
          </cell>
          <cell r="C111" t="str">
            <v>Hidalgo</v>
          </cell>
          <cell r="D111" t="str">
            <v>Jaime Enrique</v>
          </cell>
          <cell r="E111">
            <v>30</v>
          </cell>
          <cell r="F111">
            <v>900000</v>
          </cell>
          <cell r="G111">
            <v>720000</v>
          </cell>
          <cell r="H111">
            <v>211258</v>
          </cell>
          <cell r="I111">
            <v>150000</v>
          </cell>
          <cell r="J111">
            <v>1981258</v>
          </cell>
        </row>
        <row r="112">
          <cell r="A112" t="str">
            <v>16156867-8</v>
          </cell>
          <cell r="B112" t="str">
            <v>Salgado</v>
          </cell>
          <cell r="C112" t="str">
            <v>Flores</v>
          </cell>
          <cell r="D112" t="str">
            <v>Juan Andres</v>
          </cell>
          <cell r="E112">
            <v>30</v>
          </cell>
          <cell r="F112">
            <v>550000</v>
          </cell>
          <cell r="G112">
            <v>280000</v>
          </cell>
          <cell r="H112">
            <v>102518</v>
          </cell>
          <cell r="I112">
            <v>150000</v>
          </cell>
          <cell r="J112">
            <v>1082518</v>
          </cell>
        </row>
        <row r="113">
          <cell r="A113" t="str">
            <v>16395754-k</v>
          </cell>
          <cell r="B113" t="str">
            <v>Pacheco</v>
          </cell>
          <cell r="C113" t="str">
            <v>Pacheco</v>
          </cell>
          <cell r="D113" t="str">
            <v>Alexis Andres</v>
          </cell>
          <cell r="E113">
            <v>30</v>
          </cell>
          <cell r="F113">
            <v>600000</v>
          </cell>
          <cell r="G113">
            <v>220000</v>
          </cell>
          <cell r="H113">
            <v>277246</v>
          </cell>
          <cell r="I113">
            <v>150000</v>
          </cell>
          <cell r="J113">
            <v>1247246</v>
          </cell>
        </row>
        <row r="114">
          <cell r="A114" t="str">
            <v>16144812-5</v>
          </cell>
          <cell r="B114" t="str">
            <v>Jimenez</v>
          </cell>
          <cell r="C114" t="str">
            <v>Valerio</v>
          </cell>
          <cell r="D114" t="str">
            <v>Francisco</v>
          </cell>
          <cell r="E114">
            <v>30</v>
          </cell>
          <cell r="F114">
            <v>1500000</v>
          </cell>
          <cell r="G114">
            <v>800000</v>
          </cell>
          <cell r="H114">
            <v>522956</v>
          </cell>
          <cell r="I114">
            <v>0</v>
          </cell>
          <cell r="J114">
            <v>2822956</v>
          </cell>
        </row>
        <row r="115">
          <cell r="A115" t="str">
            <v>17885993-5</v>
          </cell>
          <cell r="B115" t="str">
            <v>Contreras</v>
          </cell>
          <cell r="C115" t="str">
            <v>Poblete</v>
          </cell>
          <cell r="D115" t="str">
            <v>Rodolfo Matias</v>
          </cell>
          <cell r="E115">
            <v>30</v>
          </cell>
          <cell r="F115">
            <v>1400000</v>
          </cell>
          <cell r="G115">
            <v>550000</v>
          </cell>
          <cell r="H115">
            <v>347427</v>
          </cell>
          <cell r="I115">
            <v>0</v>
          </cell>
          <cell r="J115">
            <v>2297427</v>
          </cell>
        </row>
        <row r="116">
          <cell r="A116" t="str">
            <v>18100936-5</v>
          </cell>
          <cell r="B116" t="str">
            <v>Viveros</v>
          </cell>
          <cell r="C116" t="str">
            <v>Retamal</v>
          </cell>
          <cell r="D116" t="str">
            <v>Esteban Nicolas</v>
          </cell>
          <cell r="E116">
            <v>30</v>
          </cell>
          <cell r="F116">
            <v>550000</v>
          </cell>
          <cell r="G116">
            <v>280000</v>
          </cell>
          <cell r="H116">
            <v>90464</v>
          </cell>
          <cell r="I116">
            <v>150000</v>
          </cell>
          <cell r="J116">
            <v>1070464</v>
          </cell>
        </row>
        <row r="117">
          <cell r="A117" t="str">
            <v>17813272-5</v>
          </cell>
          <cell r="B117" t="str">
            <v>Jeldres</v>
          </cell>
          <cell r="C117" t="str">
            <v>Ibarra</v>
          </cell>
          <cell r="D117" t="str">
            <v>Jose Luis</v>
          </cell>
          <cell r="E117">
            <v>30</v>
          </cell>
          <cell r="F117">
            <v>550000</v>
          </cell>
          <cell r="G117">
            <v>280000</v>
          </cell>
          <cell r="H117">
            <v>102518</v>
          </cell>
          <cell r="I117">
            <v>150000</v>
          </cell>
          <cell r="J117">
            <v>1082518</v>
          </cell>
        </row>
        <row r="118">
          <cell r="A118" t="str">
            <v>18854935-7</v>
          </cell>
          <cell r="B118" t="str">
            <v>Lillo</v>
          </cell>
          <cell r="D118" t="str">
            <v>Miguel Angel</v>
          </cell>
          <cell r="E118">
            <v>30</v>
          </cell>
          <cell r="F118">
            <v>550000</v>
          </cell>
          <cell r="G118">
            <v>280000</v>
          </cell>
          <cell r="H118">
            <v>102518</v>
          </cell>
          <cell r="I118">
            <v>150000</v>
          </cell>
          <cell r="J118">
            <v>1082518</v>
          </cell>
        </row>
        <row r="119">
          <cell r="A119" t="str">
            <v>21240625-2</v>
          </cell>
          <cell r="B119" t="str">
            <v>Reyes</v>
          </cell>
          <cell r="C119" t="str">
            <v>Rojas</v>
          </cell>
          <cell r="D119" t="str">
            <v>Luis David</v>
          </cell>
          <cell r="E119">
            <v>30</v>
          </cell>
          <cell r="F119">
            <v>550000</v>
          </cell>
          <cell r="G119">
            <v>280000</v>
          </cell>
          <cell r="H119">
            <v>89233</v>
          </cell>
          <cell r="I119">
            <v>150000</v>
          </cell>
          <cell r="J119">
            <v>1069233</v>
          </cell>
        </row>
        <row r="120">
          <cell r="A120" t="str">
            <v>10804194-3</v>
          </cell>
          <cell r="B120" t="str">
            <v>Sapiain</v>
          </cell>
          <cell r="C120" t="str">
            <v>Machuca</v>
          </cell>
          <cell r="D120" t="str">
            <v>Hernan Francisco</v>
          </cell>
          <cell r="E120">
            <v>30</v>
          </cell>
          <cell r="F120">
            <v>550000</v>
          </cell>
          <cell r="G120">
            <v>280000</v>
          </cell>
          <cell r="H120">
            <v>102518</v>
          </cell>
          <cell r="I120">
            <v>150000</v>
          </cell>
          <cell r="J120">
            <v>1082518</v>
          </cell>
        </row>
        <row r="121">
          <cell r="A121" t="str">
            <v>18974895-7</v>
          </cell>
          <cell r="B121" t="str">
            <v>Catrinao</v>
          </cell>
          <cell r="C121" t="str">
            <v>Mariqueo</v>
          </cell>
          <cell r="D121" t="str">
            <v>Luis Enrique</v>
          </cell>
          <cell r="E121">
            <v>30</v>
          </cell>
          <cell r="F121">
            <v>600000</v>
          </cell>
          <cell r="G121">
            <v>380000</v>
          </cell>
          <cell r="H121">
            <v>121893</v>
          </cell>
          <cell r="I121">
            <v>150000</v>
          </cell>
          <cell r="J121">
            <v>1251893</v>
          </cell>
        </row>
        <row r="122">
          <cell r="A122" t="str">
            <v>17821401-2</v>
          </cell>
          <cell r="B122" t="str">
            <v>Veliz</v>
          </cell>
          <cell r="C122" t="str">
            <v>Acevedo</v>
          </cell>
          <cell r="D122" t="str">
            <v>Jose Luis</v>
          </cell>
          <cell r="E122">
            <v>30</v>
          </cell>
          <cell r="F122">
            <v>600000</v>
          </cell>
          <cell r="G122">
            <v>380000</v>
          </cell>
          <cell r="H122">
            <v>121893</v>
          </cell>
          <cell r="I122">
            <v>150000</v>
          </cell>
          <cell r="J122">
            <v>1251893</v>
          </cell>
        </row>
        <row r="123">
          <cell r="A123" t="str">
            <v>9826521-k</v>
          </cell>
          <cell r="B123" t="str">
            <v>Morales</v>
          </cell>
          <cell r="C123" t="str">
            <v>Leiva</v>
          </cell>
          <cell r="D123" t="str">
            <v>Sergio Alfredo</v>
          </cell>
          <cell r="E123">
            <v>29</v>
          </cell>
          <cell r="F123">
            <v>580000</v>
          </cell>
          <cell r="G123">
            <v>367333</v>
          </cell>
          <cell r="H123">
            <v>109110</v>
          </cell>
          <cell r="I123">
            <v>145000</v>
          </cell>
          <cell r="J123">
            <v>1201443</v>
          </cell>
        </row>
        <row r="124">
          <cell r="A124" t="str">
            <v>17593074-4</v>
          </cell>
          <cell r="B124" t="str">
            <v>Esparza</v>
          </cell>
          <cell r="C124" t="str">
            <v>Ruiz</v>
          </cell>
          <cell r="D124" t="str">
            <v>Dany Alberto</v>
          </cell>
          <cell r="E124">
            <v>30</v>
          </cell>
          <cell r="F124">
            <v>550000</v>
          </cell>
          <cell r="G124">
            <v>340000</v>
          </cell>
          <cell r="H124">
            <v>42518</v>
          </cell>
          <cell r="I124">
            <v>150000</v>
          </cell>
          <cell r="J124">
            <v>1082518</v>
          </cell>
        </row>
        <row r="125">
          <cell r="A125" t="str">
            <v>17377694-2</v>
          </cell>
          <cell r="B125" t="str">
            <v>Diaz</v>
          </cell>
          <cell r="C125" t="str">
            <v>Concha</v>
          </cell>
          <cell r="D125" t="str">
            <v>Danilo Antonio</v>
          </cell>
          <cell r="E125">
            <v>30</v>
          </cell>
          <cell r="F125">
            <v>550000</v>
          </cell>
          <cell r="G125">
            <v>210000</v>
          </cell>
          <cell r="H125">
            <v>109943</v>
          </cell>
          <cell r="I125">
            <v>150000</v>
          </cell>
          <cell r="J125">
            <v>1019943</v>
          </cell>
        </row>
        <row r="126">
          <cell r="A126" t="str">
            <v>13816122-6</v>
          </cell>
          <cell r="B126" t="str">
            <v>Contreras</v>
          </cell>
          <cell r="C126" t="str">
            <v>Dasse</v>
          </cell>
          <cell r="D126" t="str">
            <v>Roberto Carlos</v>
          </cell>
          <cell r="E126">
            <v>30</v>
          </cell>
          <cell r="F126">
            <v>550000</v>
          </cell>
          <cell r="G126">
            <v>210000</v>
          </cell>
          <cell r="H126">
            <v>109943</v>
          </cell>
          <cell r="I126">
            <v>150000</v>
          </cell>
          <cell r="J126">
            <v>1019943</v>
          </cell>
        </row>
        <row r="127">
          <cell r="A127" t="str">
            <v>12703676-4</v>
          </cell>
          <cell r="B127" t="str">
            <v>Novoa</v>
          </cell>
          <cell r="C127" t="str">
            <v>Aros</v>
          </cell>
          <cell r="D127" t="str">
            <v>Patricio Alejandro</v>
          </cell>
          <cell r="E127">
            <v>30</v>
          </cell>
          <cell r="F127">
            <v>529000</v>
          </cell>
          <cell r="G127">
            <v>245000</v>
          </cell>
          <cell r="H127">
            <v>93565</v>
          </cell>
          <cell r="I127">
            <v>150000</v>
          </cell>
          <cell r="J127">
            <v>1017565</v>
          </cell>
        </row>
        <row r="128">
          <cell r="A128" t="str">
            <v>15648359-1</v>
          </cell>
          <cell r="B128" t="str">
            <v>Novoa</v>
          </cell>
          <cell r="C128" t="str">
            <v>Saez</v>
          </cell>
          <cell r="D128" t="str">
            <v>Segundo Zenen</v>
          </cell>
          <cell r="E128">
            <v>30</v>
          </cell>
          <cell r="F128">
            <v>900000</v>
          </cell>
          <cell r="G128">
            <v>720000</v>
          </cell>
          <cell r="H128">
            <v>211507</v>
          </cell>
          <cell r="I128">
            <v>150000</v>
          </cell>
          <cell r="J128">
            <v>1981507</v>
          </cell>
        </row>
        <row r="129">
          <cell r="A129" t="str">
            <v>10176563-6</v>
          </cell>
          <cell r="B129" t="str">
            <v>Castro</v>
          </cell>
          <cell r="C129" t="str">
            <v>Medina</v>
          </cell>
          <cell r="D129" t="str">
            <v>Jose Alberto</v>
          </cell>
          <cell r="E129">
            <v>30</v>
          </cell>
          <cell r="F129">
            <v>900000</v>
          </cell>
          <cell r="G129">
            <v>720000</v>
          </cell>
          <cell r="H129">
            <v>211258</v>
          </cell>
          <cell r="I129">
            <v>150000</v>
          </cell>
          <cell r="J129">
            <v>1981258</v>
          </cell>
        </row>
        <row r="130">
          <cell r="A130" t="str">
            <v>12304832-6</v>
          </cell>
          <cell r="B130" t="str">
            <v>Seguel</v>
          </cell>
          <cell r="C130" t="str">
            <v>Ramirez</v>
          </cell>
          <cell r="D130" t="str">
            <v>Juan Carlos</v>
          </cell>
          <cell r="E130">
            <v>30</v>
          </cell>
          <cell r="F130">
            <v>900000</v>
          </cell>
          <cell r="G130">
            <v>720000</v>
          </cell>
          <cell r="H130">
            <v>211258</v>
          </cell>
          <cell r="I130">
            <v>150000</v>
          </cell>
          <cell r="J130">
            <v>1981258</v>
          </cell>
        </row>
        <row r="131">
          <cell r="A131" t="str">
            <v>8427846-7</v>
          </cell>
          <cell r="B131" t="str">
            <v>Moreira</v>
          </cell>
          <cell r="C131" t="str">
            <v>Henriquez</v>
          </cell>
          <cell r="D131" t="str">
            <v>Miguel Eduardo</v>
          </cell>
          <cell r="E131">
            <v>30</v>
          </cell>
          <cell r="F131">
            <v>550000</v>
          </cell>
          <cell r="G131">
            <v>280000</v>
          </cell>
          <cell r="H131">
            <v>100003</v>
          </cell>
          <cell r="I131">
            <v>150000</v>
          </cell>
          <cell r="J131">
            <v>1080003</v>
          </cell>
        </row>
        <row r="132">
          <cell r="A132" t="str">
            <v>13957069-3</v>
          </cell>
          <cell r="B132" t="str">
            <v>Painiqueo</v>
          </cell>
          <cell r="C132" t="str">
            <v>Millaqueo</v>
          </cell>
          <cell r="D132" t="str">
            <v>Luis Aroldo</v>
          </cell>
          <cell r="E132">
            <v>30</v>
          </cell>
          <cell r="F132">
            <v>650000</v>
          </cell>
          <cell r="G132">
            <v>535000</v>
          </cell>
          <cell r="H132">
            <v>141507</v>
          </cell>
          <cell r="I132">
            <v>150000</v>
          </cell>
          <cell r="J132">
            <v>1476507</v>
          </cell>
        </row>
        <row r="133">
          <cell r="A133" t="str">
            <v>13312411-k</v>
          </cell>
          <cell r="B133" t="str">
            <v>Acosta</v>
          </cell>
          <cell r="C133" t="str">
            <v>Zambrano</v>
          </cell>
          <cell r="D133" t="str">
            <v>Gloria Jeanette</v>
          </cell>
          <cell r="E133">
            <v>30</v>
          </cell>
          <cell r="F133">
            <v>1200000</v>
          </cell>
          <cell r="G133">
            <v>550000</v>
          </cell>
          <cell r="H133">
            <v>287308</v>
          </cell>
          <cell r="I133">
            <v>0</v>
          </cell>
          <cell r="J133">
            <v>2037308</v>
          </cell>
        </row>
        <row r="134">
          <cell r="A134" t="str">
            <v>10190661-2</v>
          </cell>
          <cell r="B134" t="str">
            <v>Gonzalez</v>
          </cell>
          <cell r="C134" t="str">
            <v>Cardenas</v>
          </cell>
          <cell r="D134" t="str">
            <v>Ivan Gabriel</v>
          </cell>
          <cell r="E134">
            <v>30</v>
          </cell>
          <cell r="F134">
            <v>1200000</v>
          </cell>
          <cell r="G134">
            <v>500000</v>
          </cell>
          <cell r="H134">
            <v>79728</v>
          </cell>
          <cell r="I134">
            <v>100000</v>
          </cell>
          <cell r="J134">
            <v>1879728</v>
          </cell>
        </row>
        <row r="135">
          <cell r="A135" t="str">
            <v>17787697-6</v>
          </cell>
          <cell r="B135" t="str">
            <v>Gonzalez</v>
          </cell>
          <cell r="C135" t="str">
            <v>Jara</v>
          </cell>
          <cell r="D135" t="str">
            <v>Carlos Alfredo</v>
          </cell>
          <cell r="E135">
            <v>30</v>
          </cell>
          <cell r="F135">
            <v>550000</v>
          </cell>
          <cell r="G135">
            <v>280000</v>
          </cell>
          <cell r="H135">
            <v>90464</v>
          </cell>
          <cell r="I135">
            <v>150000</v>
          </cell>
          <cell r="J135">
            <v>1070464</v>
          </cell>
        </row>
        <row r="136">
          <cell r="A136" t="str">
            <v>11528308-1</v>
          </cell>
          <cell r="B136" t="str">
            <v>Urrutia</v>
          </cell>
          <cell r="C136" t="str">
            <v>Flores</v>
          </cell>
          <cell r="D136" t="str">
            <v>Joel Antonio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20527725-0</v>
          </cell>
          <cell r="B137" t="str">
            <v>San Martin</v>
          </cell>
          <cell r="C137" t="str">
            <v>Manriquez</v>
          </cell>
          <cell r="D137" t="str">
            <v>Oscar Manuel</v>
          </cell>
          <cell r="E137">
            <v>30</v>
          </cell>
          <cell r="F137">
            <v>550000</v>
          </cell>
          <cell r="G137">
            <v>280000</v>
          </cell>
          <cell r="H137">
            <v>90464</v>
          </cell>
          <cell r="I137">
            <v>150000</v>
          </cell>
          <cell r="J137">
            <v>1070464</v>
          </cell>
        </row>
        <row r="138">
          <cell r="A138" t="str">
            <v>19972018-k</v>
          </cell>
          <cell r="B138" t="str">
            <v>Oviedo</v>
          </cell>
          <cell r="C138" t="str">
            <v>Manriquez</v>
          </cell>
          <cell r="D138" t="str">
            <v>Fabian Eduardo</v>
          </cell>
          <cell r="E138">
            <v>30</v>
          </cell>
          <cell r="F138">
            <v>550000</v>
          </cell>
          <cell r="G138">
            <v>280000</v>
          </cell>
          <cell r="H138">
            <v>102518</v>
          </cell>
          <cell r="I138">
            <v>150000</v>
          </cell>
          <cell r="J138">
            <v>1082518</v>
          </cell>
        </row>
        <row r="139">
          <cell r="A139" t="str">
            <v>19001916-0</v>
          </cell>
          <cell r="B139" t="str">
            <v>Salas</v>
          </cell>
          <cell r="C139" t="str">
            <v>Lara</v>
          </cell>
          <cell r="D139" t="str">
            <v>Jorge Alejandro</v>
          </cell>
          <cell r="E139">
            <v>30</v>
          </cell>
          <cell r="F139">
            <v>600000</v>
          </cell>
          <cell r="G139">
            <v>380000</v>
          </cell>
          <cell r="H139">
            <v>117246</v>
          </cell>
          <cell r="I139">
            <v>150000</v>
          </cell>
          <cell r="J139">
            <v>1247246</v>
          </cell>
        </row>
        <row r="140">
          <cell r="A140" t="str">
            <v>20253860-6</v>
          </cell>
          <cell r="B140" t="str">
            <v>Gutierrez</v>
          </cell>
          <cell r="C140" t="str">
            <v>Seguel</v>
          </cell>
          <cell r="D140" t="str">
            <v>Abraham Ignacio</v>
          </cell>
          <cell r="E140">
            <v>29</v>
          </cell>
          <cell r="F140">
            <v>511367</v>
          </cell>
          <cell r="G140">
            <v>145000</v>
          </cell>
          <cell r="H140">
            <v>69341</v>
          </cell>
          <cell r="I140">
            <v>145000</v>
          </cell>
          <cell r="J140">
            <v>870708</v>
          </cell>
        </row>
        <row r="141">
          <cell r="A141" t="str">
            <v>16215974-7</v>
          </cell>
          <cell r="B141" t="str">
            <v>Medina</v>
          </cell>
          <cell r="C141" t="str">
            <v>Medina</v>
          </cell>
          <cell r="D141" t="str">
            <v>Jose Rodrigo</v>
          </cell>
          <cell r="E141">
            <v>30</v>
          </cell>
          <cell r="F141">
            <v>550000</v>
          </cell>
          <cell r="G141">
            <v>280000</v>
          </cell>
          <cell r="H141">
            <v>102518</v>
          </cell>
          <cell r="I141">
            <v>150000</v>
          </cell>
          <cell r="J141">
            <v>1082518</v>
          </cell>
        </row>
        <row r="142">
          <cell r="A142" t="str">
            <v>15211577-6</v>
          </cell>
          <cell r="B142" t="str">
            <v>Pereira</v>
          </cell>
          <cell r="C142" t="str">
            <v>Mendez</v>
          </cell>
          <cell r="D142" t="str">
            <v>Segundo David</v>
          </cell>
          <cell r="E142">
            <v>30</v>
          </cell>
          <cell r="F142">
            <v>600000</v>
          </cell>
          <cell r="G142">
            <v>190000</v>
          </cell>
          <cell r="H142">
            <v>307246</v>
          </cell>
          <cell r="I142">
            <v>150000</v>
          </cell>
          <cell r="J142">
            <v>1247246</v>
          </cell>
        </row>
        <row r="143">
          <cell r="A143" t="str">
            <v>10599345-5</v>
          </cell>
          <cell r="B143" t="str">
            <v>Quezada</v>
          </cell>
          <cell r="C143" t="str">
            <v>Martinez</v>
          </cell>
          <cell r="D143" t="str">
            <v>Jose Alejandro</v>
          </cell>
          <cell r="E143">
            <v>30</v>
          </cell>
          <cell r="F143">
            <v>1200000</v>
          </cell>
          <cell r="G143">
            <v>580000</v>
          </cell>
          <cell r="H143">
            <v>389709</v>
          </cell>
          <cell r="I143">
            <v>0</v>
          </cell>
          <cell r="J143">
            <v>2169709</v>
          </cell>
        </row>
        <row r="144">
          <cell r="A144" t="str">
            <v>12924356-2</v>
          </cell>
          <cell r="B144" t="str">
            <v>Galindo</v>
          </cell>
          <cell r="C144" t="str">
            <v>Baeza</v>
          </cell>
          <cell r="D144" t="str">
            <v>Cristian Joel</v>
          </cell>
          <cell r="E144">
            <v>30</v>
          </cell>
          <cell r="F144">
            <v>1200000</v>
          </cell>
          <cell r="G144">
            <v>550000</v>
          </cell>
          <cell r="H144">
            <v>291991</v>
          </cell>
          <cell r="I144">
            <v>0</v>
          </cell>
          <cell r="J144">
            <v>2041991</v>
          </cell>
        </row>
        <row r="145">
          <cell r="A145" t="str">
            <v>14183231-k</v>
          </cell>
          <cell r="B145" t="str">
            <v>Sáez</v>
          </cell>
          <cell r="C145" t="str">
            <v>Fuenzalida</v>
          </cell>
          <cell r="D145" t="str">
            <v>Jonathan Christopher</v>
          </cell>
          <cell r="E145">
            <v>30</v>
          </cell>
          <cell r="F145">
            <v>600000</v>
          </cell>
          <cell r="G145">
            <v>380000</v>
          </cell>
          <cell r="H145">
            <v>119005</v>
          </cell>
          <cell r="I145">
            <v>150000</v>
          </cell>
          <cell r="J145">
            <v>1249005</v>
          </cell>
        </row>
        <row r="146">
          <cell r="A146" t="str">
            <v>11403418-5</v>
          </cell>
          <cell r="B146" t="str">
            <v>Soto</v>
          </cell>
          <cell r="C146" t="str">
            <v>Mayorga</v>
          </cell>
          <cell r="D146" t="str">
            <v>Mauricio Hernan</v>
          </cell>
          <cell r="E146">
            <v>30</v>
          </cell>
          <cell r="F146">
            <v>550000</v>
          </cell>
          <cell r="G146">
            <v>280000</v>
          </cell>
          <cell r="H146">
            <v>102518</v>
          </cell>
          <cell r="I146">
            <v>150000</v>
          </cell>
          <cell r="J146">
            <v>1082518</v>
          </cell>
        </row>
        <row r="147">
          <cell r="A147" t="str">
            <v>20194443-0</v>
          </cell>
          <cell r="B147" t="str">
            <v>Aburto</v>
          </cell>
          <cell r="C147" t="str">
            <v>Carrasco</v>
          </cell>
          <cell r="D147" t="str">
            <v>Johny Benjamin</v>
          </cell>
          <cell r="E147">
            <v>17</v>
          </cell>
          <cell r="F147">
            <v>311667</v>
          </cell>
          <cell r="G147">
            <v>158667</v>
          </cell>
          <cell r="H147">
            <v>47252</v>
          </cell>
          <cell r="I147">
            <v>85000</v>
          </cell>
          <cell r="J147">
            <v>602586</v>
          </cell>
        </row>
        <row r="148">
          <cell r="A148" t="str">
            <v>17319875-2</v>
          </cell>
          <cell r="B148" t="str">
            <v>Reyes</v>
          </cell>
          <cell r="C148" t="str">
            <v>Gutierrez</v>
          </cell>
          <cell r="D148" t="str">
            <v>Yonatan Alfonso</v>
          </cell>
          <cell r="E148">
            <v>30</v>
          </cell>
          <cell r="F148">
            <v>600000</v>
          </cell>
          <cell r="G148">
            <v>380000</v>
          </cell>
          <cell r="H148">
            <v>121893</v>
          </cell>
          <cell r="I148">
            <v>150000</v>
          </cell>
          <cell r="J148">
            <v>1251893</v>
          </cell>
        </row>
        <row r="149">
          <cell r="A149" t="str">
            <v>14624707-5</v>
          </cell>
          <cell r="B149" t="str">
            <v>Soto</v>
          </cell>
          <cell r="C149" t="str">
            <v>Huenchumilla</v>
          </cell>
          <cell r="D149" t="str">
            <v>Juan Alex</v>
          </cell>
          <cell r="E149">
            <v>11</v>
          </cell>
          <cell r="F149">
            <v>201667</v>
          </cell>
          <cell r="G149">
            <v>89833</v>
          </cell>
          <cell r="H149">
            <v>43450</v>
          </cell>
          <cell r="I149">
            <v>55000</v>
          </cell>
          <cell r="J149">
            <v>389950</v>
          </cell>
        </row>
        <row r="150">
          <cell r="A150" t="str">
            <v>21176167-9</v>
          </cell>
          <cell r="B150" t="str">
            <v>Rodriguez</v>
          </cell>
          <cell r="C150" t="str">
            <v>Paredes</v>
          </cell>
          <cell r="D150" t="str">
            <v>Oscar Andres</v>
          </cell>
          <cell r="E150">
            <v>30</v>
          </cell>
          <cell r="F150">
            <v>550000</v>
          </cell>
          <cell r="G150">
            <v>280000</v>
          </cell>
          <cell r="H150">
            <v>90464</v>
          </cell>
          <cell r="I150">
            <v>150000</v>
          </cell>
          <cell r="J150">
            <v>1070464</v>
          </cell>
        </row>
        <row r="151">
          <cell r="A151" t="str">
            <v>14138667-0</v>
          </cell>
          <cell r="B151" t="str">
            <v>Merchan</v>
          </cell>
          <cell r="C151" t="str">
            <v>Mardones</v>
          </cell>
          <cell r="D151" t="str">
            <v>Marcelo Alejandro</v>
          </cell>
          <cell r="E151">
            <v>10</v>
          </cell>
          <cell r="F151">
            <v>176333</v>
          </cell>
          <cell r="G151">
            <v>20000</v>
          </cell>
          <cell r="H151">
            <v>4770</v>
          </cell>
          <cell r="I151">
            <v>50000</v>
          </cell>
          <cell r="J151">
            <v>251103</v>
          </cell>
        </row>
        <row r="152">
          <cell r="A152" t="str">
            <v>20314535-7</v>
          </cell>
          <cell r="B152" t="str">
            <v>Bustos</v>
          </cell>
          <cell r="C152" t="str">
            <v>Sandoval</v>
          </cell>
          <cell r="D152" t="str">
            <v>Christopher Hernan</v>
          </cell>
          <cell r="E152">
            <v>10</v>
          </cell>
          <cell r="F152">
            <v>176333</v>
          </cell>
          <cell r="G152">
            <v>16667</v>
          </cell>
          <cell r="H152">
            <v>5980</v>
          </cell>
          <cell r="I152">
            <v>50000</v>
          </cell>
          <cell r="J152">
            <v>248980</v>
          </cell>
        </row>
        <row r="153">
          <cell r="A153" t="str">
            <v>20014034-6</v>
          </cell>
          <cell r="B153" t="str">
            <v>Roa</v>
          </cell>
          <cell r="C153" t="str">
            <v>Quintrel</v>
          </cell>
          <cell r="D153" t="str">
            <v>Esteban Tomas</v>
          </cell>
          <cell r="E153">
            <v>30</v>
          </cell>
          <cell r="F153">
            <v>529000</v>
          </cell>
          <cell r="G153">
            <v>180000</v>
          </cell>
          <cell r="H153">
            <v>41732</v>
          </cell>
          <cell r="I153">
            <v>150000</v>
          </cell>
          <cell r="J153">
            <v>900732</v>
          </cell>
        </row>
        <row r="154">
          <cell r="A154" t="str">
            <v>12301290-9</v>
          </cell>
          <cell r="B154" t="str">
            <v>Villegas</v>
          </cell>
          <cell r="C154" t="str">
            <v>Ruiz</v>
          </cell>
          <cell r="D154" t="str">
            <v>Nestor Arturo</v>
          </cell>
          <cell r="E154">
            <v>30</v>
          </cell>
          <cell r="F154">
            <v>700000</v>
          </cell>
          <cell r="G154">
            <v>580000</v>
          </cell>
          <cell r="H154">
            <v>134387</v>
          </cell>
          <cell r="I154">
            <v>150000</v>
          </cell>
          <cell r="J154">
            <v>1564387</v>
          </cell>
        </row>
        <row r="155">
          <cell r="A155" t="str">
            <v>16498089-8</v>
          </cell>
          <cell r="B155" t="str">
            <v>Urrutia</v>
          </cell>
          <cell r="C155" t="str">
            <v>Moreno</v>
          </cell>
          <cell r="D155" t="str">
            <v>Naslo Danilo</v>
          </cell>
          <cell r="E155">
            <v>25</v>
          </cell>
          <cell r="F155">
            <v>500000</v>
          </cell>
          <cell r="G155">
            <v>316667</v>
          </cell>
          <cell r="H155">
            <v>60867</v>
          </cell>
          <cell r="I155">
            <v>125000</v>
          </cell>
          <cell r="J155">
            <v>1002534</v>
          </cell>
        </row>
        <row r="156">
          <cell r="A156" t="str">
            <v>20755277-1</v>
          </cell>
          <cell r="B156" t="str">
            <v>Ulloa</v>
          </cell>
          <cell r="C156" t="str">
            <v>Cordero</v>
          </cell>
          <cell r="D156" t="str">
            <v>Benjamin Elias</v>
          </cell>
          <cell r="E156">
            <v>30</v>
          </cell>
          <cell r="F156">
            <v>550000</v>
          </cell>
          <cell r="G156">
            <v>280000</v>
          </cell>
          <cell r="H156">
            <v>90464</v>
          </cell>
          <cell r="I156">
            <v>150000</v>
          </cell>
          <cell r="J156">
            <v>1070464</v>
          </cell>
        </row>
        <row r="157">
          <cell r="A157" t="str">
            <v>21680839-8</v>
          </cell>
          <cell r="B157" t="str">
            <v>Carrasco</v>
          </cell>
          <cell r="C157" t="str">
            <v>Pulgar</v>
          </cell>
          <cell r="D157" t="str">
            <v>Antonia Ignacia Catalina</v>
          </cell>
          <cell r="E157">
            <v>30</v>
          </cell>
          <cell r="F157">
            <v>529000</v>
          </cell>
          <cell r="G157">
            <v>200000</v>
          </cell>
          <cell r="H157">
            <v>128385</v>
          </cell>
          <cell r="I157">
            <v>150000</v>
          </cell>
          <cell r="J157">
            <v>1007385</v>
          </cell>
        </row>
        <row r="158">
          <cell r="A158" t="str">
            <v>17213638-9</v>
          </cell>
          <cell r="B158" t="str">
            <v>Mesas</v>
          </cell>
          <cell r="C158" t="str">
            <v>Monsalvez</v>
          </cell>
          <cell r="D158" t="str">
            <v>Eduardo Javier</v>
          </cell>
          <cell r="E158">
            <v>30</v>
          </cell>
          <cell r="F158">
            <v>529000</v>
          </cell>
          <cell r="G158">
            <v>420000</v>
          </cell>
          <cell r="H158">
            <v>139051</v>
          </cell>
          <cell r="I158">
            <v>150000</v>
          </cell>
          <cell r="J158">
            <v>1238051</v>
          </cell>
        </row>
        <row r="159">
          <cell r="A159" t="str">
            <v>19410978-4</v>
          </cell>
          <cell r="B159" t="str">
            <v>Parada</v>
          </cell>
          <cell r="C159" t="str">
            <v>Laferte</v>
          </cell>
          <cell r="D159" t="str">
            <v>Claudio Alejandro</v>
          </cell>
          <cell r="E159">
            <v>30</v>
          </cell>
          <cell r="F159">
            <v>529000</v>
          </cell>
          <cell r="G159">
            <v>150000</v>
          </cell>
          <cell r="H159">
            <v>66451</v>
          </cell>
          <cell r="I159">
            <v>150000</v>
          </cell>
          <cell r="J159">
            <v>895451</v>
          </cell>
        </row>
        <row r="160">
          <cell r="A160" t="str">
            <v>17551169-5</v>
          </cell>
          <cell r="B160" t="str">
            <v>Silva</v>
          </cell>
          <cell r="C160" t="str">
            <v>Fierro</v>
          </cell>
          <cell r="D160" t="str">
            <v>Esteban Andres</v>
          </cell>
          <cell r="E160">
            <v>30</v>
          </cell>
          <cell r="F160">
            <v>529000</v>
          </cell>
          <cell r="G160">
            <v>150000</v>
          </cell>
          <cell r="H160">
            <v>74402</v>
          </cell>
          <cell r="I160">
            <v>150000</v>
          </cell>
          <cell r="J160">
            <v>903402</v>
          </cell>
        </row>
        <row r="161">
          <cell r="A161" t="str">
            <v>12909151-7</v>
          </cell>
          <cell r="B161" t="str">
            <v>Lobos</v>
          </cell>
          <cell r="C161" t="str">
            <v>Carrasco</v>
          </cell>
          <cell r="D161" t="str">
            <v>Jeannette Del Carmen</v>
          </cell>
          <cell r="E161">
            <v>30</v>
          </cell>
          <cell r="F161">
            <v>529000</v>
          </cell>
          <cell r="G161">
            <v>30000</v>
          </cell>
          <cell r="H161">
            <v>42982</v>
          </cell>
          <cell r="I161">
            <v>150000</v>
          </cell>
          <cell r="J161">
            <v>751982</v>
          </cell>
        </row>
        <row r="162">
          <cell r="A162" t="str">
            <v>15197569-0</v>
          </cell>
          <cell r="B162" t="str">
            <v>Guzman</v>
          </cell>
          <cell r="C162" t="str">
            <v>Loyola</v>
          </cell>
          <cell r="D162" t="str">
            <v>Javier Alonso</v>
          </cell>
          <cell r="E162">
            <v>30</v>
          </cell>
          <cell r="F162">
            <v>529000</v>
          </cell>
          <cell r="G162">
            <v>420000</v>
          </cell>
          <cell r="H162">
            <v>152893</v>
          </cell>
          <cell r="I162">
            <v>150000</v>
          </cell>
          <cell r="J162">
            <v>1251893</v>
          </cell>
        </row>
        <row r="163">
          <cell r="A163" t="str">
            <v>18288718-8</v>
          </cell>
          <cell r="B163" t="str">
            <v>Delgado</v>
          </cell>
          <cell r="C163" t="str">
            <v>Cartes</v>
          </cell>
          <cell r="D163" t="str">
            <v>Alex Mauricio</v>
          </cell>
          <cell r="E163">
            <v>30</v>
          </cell>
          <cell r="F163">
            <v>529000</v>
          </cell>
          <cell r="G163">
            <v>245000</v>
          </cell>
          <cell r="H163">
            <v>327732</v>
          </cell>
          <cell r="I163">
            <v>150000</v>
          </cell>
          <cell r="J163">
            <v>1251732</v>
          </cell>
        </row>
        <row r="164">
          <cell r="A164" t="str">
            <v>16512863-k</v>
          </cell>
          <cell r="B164" t="str">
            <v>Araneda</v>
          </cell>
          <cell r="C164" t="str">
            <v>Martinez</v>
          </cell>
          <cell r="D164" t="str">
            <v>Alexis Alfonso</v>
          </cell>
          <cell r="E164">
            <v>29</v>
          </cell>
          <cell r="F164">
            <v>511367</v>
          </cell>
          <cell r="G164">
            <v>174000</v>
          </cell>
          <cell r="H164">
            <v>41319</v>
          </cell>
          <cell r="I164">
            <v>145000</v>
          </cell>
          <cell r="J164">
            <v>871686</v>
          </cell>
        </row>
        <row r="165">
          <cell r="A165" t="str">
            <v>22180513-5</v>
          </cell>
          <cell r="B165" t="str">
            <v>Santander</v>
          </cell>
          <cell r="C165" t="str">
            <v>Nuñez</v>
          </cell>
          <cell r="D165" t="str">
            <v>Diego Patricio</v>
          </cell>
          <cell r="E165">
            <v>30</v>
          </cell>
          <cell r="F165">
            <v>529000</v>
          </cell>
          <cell r="G165">
            <v>180000</v>
          </cell>
          <cell r="H165">
            <v>35637</v>
          </cell>
          <cell r="I165">
            <v>150000</v>
          </cell>
          <cell r="J165">
            <v>894637</v>
          </cell>
        </row>
        <row r="166">
          <cell r="A166" t="str">
            <v>17224035-6</v>
          </cell>
          <cell r="B166" t="str">
            <v>Canales</v>
          </cell>
          <cell r="C166" t="str">
            <v>Gonzalez</v>
          </cell>
          <cell r="D166" t="str">
            <v>Jorge Ramon</v>
          </cell>
          <cell r="E166">
            <v>30</v>
          </cell>
          <cell r="F166">
            <v>529000</v>
          </cell>
          <cell r="G166">
            <v>120000</v>
          </cell>
          <cell r="H166">
            <v>218565</v>
          </cell>
          <cell r="I166">
            <v>150000</v>
          </cell>
          <cell r="J166">
            <v>1017565</v>
          </cell>
        </row>
        <row r="167">
          <cell r="A167" t="str">
            <v>18135332-5</v>
          </cell>
          <cell r="B167" t="str">
            <v>Aravena</v>
          </cell>
          <cell r="C167" t="str">
            <v>Jimenez</v>
          </cell>
          <cell r="D167" t="str">
            <v>Antonio Edison</v>
          </cell>
          <cell r="E167">
            <v>30</v>
          </cell>
          <cell r="F167">
            <v>529000</v>
          </cell>
          <cell r="G167">
            <v>120000</v>
          </cell>
          <cell r="H167">
            <v>209549</v>
          </cell>
          <cell r="I167">
            <v>150000</v>
          </cell>
          <cell r="J167">
            <v>1008549</v>
          </cell>
        </row>
        <row r="168">
          <cell r="A168" t="str">
            <v>11782803-4</v>
          </cell>
          <cell r="B168" t="str">
            <v>Navarrete</v>
          </cell>
          <cell r="C168" t="str">
            <v>Alvarez</v>
          </cell>
          <cell r="D168" t="str">
            <v>Oscar Roberto</v>
          </cell>
          <cell r="E168">
            <v>30</v>
          </cell>
          <cell r="F168">
            <v>529000</v>
          </cell>
          <cell r="G168">
            <v>300000</v>
          </cell>
          <cell r="H168">
            <v>103378</v>
          </cell>
          <cell r="I168">
            <v>150000</v>
          </cell>
          <cell r="J168">
            <v>1082378</v>
          </cell>
        </row>
        <row r="169">
          <cell r="A169" t="str">
            <v>17322502-4</v>
          </cell>
          <cell r="B169" t="str">
            <v>Villalobos</v>
          </cell>
          <cell r="C169" t="str">
            <v>Espinoza</v>
          </cell>
          <cell r="D169" t="str">
            <v>Fabian Eduardo</v>
          </cell>
          <cell r="E169">
            <v>30</v>
          </cell>
          <cell r="F169">
            <v>529000</v>
          </cell>
          <cell r="G169">
            <v>150000</v>
          </cell>
          <cell r="H169">
            <v>72743</v>
          </cell>
          <cell r="I169">
            <v>150000</v>
          </cell>
          <cell r="J169">
            <v>901743</v>
          </cell>
        </row>
        <row r="170">
          <cell r="A170" t="str">
            <v>17207406-5</v>
          </cell>
          <cell r="B170" t="str">
            <v>Quiroz</v>
          </cell>
          <cell r="C170" t="str">
            <v>Arellano</v>
          </cell>
          <cell r="D170" t="str">
            <v>Pablo Rainiero</v>
          </cell>
          <cell r="E170">
            <v>30</v>
          </cell>
          <cell r="F170">
            <v>529000</v>
          </cell>
          <cell r="G170">
            <v>245000</v>
          </cell>
          <cell r="H170">
            <v>93565</v>
          </cell>
          <cell r="I170">
            <v>150000</v>
          </cell>
          <cell r="J170">
            <v>1017565</v>
          </cell>
        </row>
        <row r="171">
          <cell r="A171" t="str">
            <v>10483229-6</v>
          </cell>
          <cell r="B171" t="str">
            <v>Garrido</v>
          </cell>
          <cell r="C171" t="str">
            <v>Heredia</v>
          </cell>
          <cell r="D171" t="str">
            <v>Juan Carlos</v>
          </cell>
          <cell r="E171">
            <v>30</v>
          </cell>
          <cell r="F171">
            <v>529000</v>
          </cell>
          <cell r="G171">
            <v>245000</v>
          </cell>
          <cell r="H171">
            <v>95943</v>
          </cell>
          <cell r="I171">
            <v>150000</v>
          </cell>
          <cell r="J171">
            <v>1019943</v>
          </cell>
        </row>
        <row r="172">
          <cell r="A172" t="str">
            <v>10615332-9</v>
          </cell>
          <cell r="B172" t="str">
            <v>Contreras</v>
          </cell>
          <cell r="C172" t="str">
            <v>Dasse</v>
          </cell>
          <cell r="D172" t="str">
            <v>Rosa Evelina</v>
          </cell>
          <cell r="E172">
            <v>30</v>
          </cell>
          <cell r="F172">
            <v>529000</v>
          </cell>
          <cell r="G172">
            <v>30000</v>
          </cell>
          <cell r="H172">
            <v>42982</v>
          </cell>
          <cell r="I172">
            <v>150000</v>
          </cell>
          <cell r="J172">
            <v>751982</v>
          </cell>
        </row>
        <row r="173">
          <cell r="A173" t="str">
            <v>12703288-2</v>
          </cell>
          <cell r="B173" t="str">
            <v>Burgos</v>
          </cell>
          <cell r="C173" t="str">
            <v>Hormazabal</v>
          </cell>
          <cell r="D173" t="str">
            <v>Moises Alejandro</v>
          </cell>
          <cell r="E173">
            <v>30</v>
          </cell>
          <cell r="F173">
            <v>529000</v>
          </cell>
          <cell r="G173">
            <v>245000</v>
          </cell>
          <cell r="H173">
            <v>95809</v>
          </cell>
          <cell r="I173">
            <v>150000</v>
          </cell>
          <cell r="J173">
            <v>1019809</v>
          </cell>
        </row>
        <row r="174">
          <cell r="A174" t="str">
            <v>18142265-3</v>
          </cell>
          <cell r="B174" t="str">
            <v>Rodriguez</v>
          </cell>
          <cell r="C174" t="str">
            <v>Osses</v>
          </cell>
          <cell r="D174" t="str">
            <v>Joaquin Gabriel</v>
          </cell>
          <cell r="E174">
            <v>29</v>
          </cell>
          <cell r="F174">
            <v>511367</v>
          </cell>
          <cell r="G174">
            <v>236833</v>
          </cell>
          <cell r="H174">
            <v>84650</v>
          </cell>
          <cell r="I174">
            <v>145000</v>
          </cell>
          <cell r="J174">
            <v>977850</v>
          </cell>
        </row>
        <row r="175">
          <cell r="A175" t="str">
            <v>9828378-1</v>
          </cell>
          <cell r="B175" t="str">
            <v>Medel</v>
          </cell>
          <cell r="C175" t="str">
            <v>Silva</v>
          </cell>
          <cell r="D175" t="str">
            <v>Hector Antonio</v>
          </cell>
          <cell r="E175">
            <v>30</v>
          </cell>
          <cell r="F175">
            <v>529000</v>
          </cell>
          <cell r="G175">
            <v>420000</v>
          </cell>
          <cell r="H175">
            <v>152732</v>
          </cell>
          <cell r="I175">
            <v>150000</v>
          </cell>
          <cell r="J175">
            <v>1251732</v>
          </cell>
        </row>
        <row r="176">
          <cell r="A176" t="str">
            <v>19833807-9</v>
          </cell>
          <cell r="B176" t="str">
            <v>Mundaca</v>
          </cell>
          <cell r="C176" t="str">
            <v>Momberg</v>
          </cell>
          <cell r="D176" t="str">
            <v>Cristian Matias</v>
          </cell>
          <cell r="E176">
            <v>30</v>
          </cell>
          <cell r="F176">
            <v>550000</v>
          </cell>
          <cell r="G176">
            <v>280000</v>
          </cell>
          <cell r="H176">
            <v>98473</v>
          </cell>
          <cell r="I176">
            <v>150000</v>
          </cell>
          <cell r="J176">
            <v>1078473</v>
          </cell>
        </row>
        <row r="177">
          <cell r="A177" t="str">
            <v>12083468-1</v>
          </cell>
          <cell r="B177" t="str">
            <v>Cerda</v>
          </cell>
          <cell r="C177" t="str">
            <v>Leiva</v>
          </cell>
          <cell r="D177" t="str">
            <v>Marco Antonio</v>
          </cell>
          <cell r="E177">
            <v>30</v>
          </cell>
          <cell r="F177">
            <v>529000</v>
          </cell>
          <cell r="G177">
            <v>245000</v>
          </cell>
          <cell r="H177">
            <v>93565</v>
          </cell>
          <cell r="I177">
            <v>150000</v>
          </cell>
          <cell r="J177">
            <v>1017565</v>
          </cell>
        </row>
        <row r="178">
          <cell r="A178" t="str">
            <v>15221825-7</v>
          </cell>
          <cell r="B178" t="str">
            <v>Uribe</v>
          </cell>
          <cell r="C178" t="str">
            <v>Garcia</v>
          </cell>
          <cell r="D178" t="str">
            <v>Mario Marcial</v>
          </cell>
          <cell r="E178">
            <v>29</v>
          </cell>
          <cell r="F178">
            <v>531667</v>
          </cell>
          <cell r="G178">
            <v>270667</v>
          </cell>
          <cell r="H178">
            <v>92084</v>
          </cell>
          <cell r="I178">
            <v>145000</v>
          </cell>
          <cell r="J178">
            <v>1039418</v>
          </cell>
        </row>
        <row r="179">
          <cell r="A179" t="str">
            <v>15490124-8</v>
          </cell>
          <cell r="B179" t="str">
            <v>Gallegos</v>
          </cell>
          <cell r="C179" t="str">
            <v>Bascur</v>
          </cell>
          <cell r="D179" t="str">
            <v>Jose Dario</v>
          </cell>
          <cell r="E179">
            <v>27</v>
          </cell>
          <cell r="F179">
            <v>630000</v>
          </cell>
          <cell r="G179">
            <v>252000</v>
          </cell>
          <cell r="H179">
            <v>365432</v>
          </cell>
          <cell r="I179">
            <v>135000</v>
          </cell>
          <cell r="J179">
            <v>1382432</v>
          </cell>
        </row>
        <row r="180">
          <cell r="A180" t="str">
            <v>12731779-8</v>
          </cell>
          <cell r="B180" t="str">
            <v>Leal</v>
          </cell>
          <cell r="C180" t="str">
            <v>Oñate</v>
          </cell>
          <cell r="D180" t="str">
            <v>Leonel Alfredo</v>
          </cell>
          <cell r="E180">
            <v>27</v>
          </cell>
          <cell r="F180">
            <v>540000</v>
          </cell>
          <cell r="G180">
            <v>342000</v>
          </cell>
          <cell r="H180">
            <v>84010</v>
          </cell>
          <cell r="I180">
            <v>135000</v>
          </cell>
          <cell r="J180">
            <v>1101010</v>
          </cell>
        </row>
        <row r="181">
          <cell r="A181" t="str">
            <v>13146147-k</v>
          </cell>
          <cell r="B181" t="str">
            <v>Diaz</v>
          </cell>
          <cell r="C181" t="str">
            <v>Stuardo</v>
          </cell>
          <cell r="D181" t="str">
            <v>Luis Floriano</v>
          </cell>
          <cell r="E181">
            <v>27</v>
          </cell>
          <cell r="F181">
            <v>495000</v>
          </cell>
          <cell r="G181">
            <v>252000</v>
          </cell>
          <cell r="H181">
            <v>75151</v>
          </cell>
          <cell r="I181">
            <v>135000</v>
          </cell>
          <cell r="J181">
            <v>957151</v>
          </cell>
        </row>
        <row r="182">
          <cell r="A182" t="str">
            <v>19719330-1</v>
          </cell>
          <cell r="B182" t="str">
            <v>Roa</v>
          </cell>
          <cell r="C182" t="str">
            <v>Roa</v>
          </cell>
          <cell r="D182" t="str">
            <v>Rudolf Felipe</v>
          </cell>
          <cell r="E182">
            <v>25</v>
          </cell>
          <cell r="F182">
            <v>458333</v>
          </cell>
          <cell r="G182">
            <v>233333</v>
          </cell>
          <cell r="H182">
            <v>69491</v>
          </cell>
          <cell r="I182">
            <v>125000</v>
          </cell>
          <cell r="J182">
            <v>886157</v>
          </cell>
        </row>
        <row r="183">
          <cell r="A183" t="str">
            <v>18433993-5</v>
          </cell>
          <cell r="B183" t="str">
            <v>Diaz</v>
          </cell>
          <cell r="C183" t="str">
            <v>Vera</v>
          </cell>
          <cell r="D183" t="str">
            <v>Nicolas Alfonso</v>
          </cell>
          <cell r="E183">
            <v>13</v>
          </cell>
          <cell r="F183">
            <v>238333</v>
          </cell>
          <cell r="G183">
            <v>121333</v>
          </cell>
          <cell r="H183">
            <v>36137</v>
          </cell>
          <cell r="I183">
            <v>65000</v>
          </cell>
          <cell r="J183">
            <v>460803</v>
          </cell>
        </row>
        <row r="184">
          <cell r="A184" t="str">
            <v>18433938-2</v>
          </cell>
          <cell r="B184" t="str">
            <v>Fuentealba</v>
          </cell>
          <cell r="C184" t="str">
            <v>Puen</v>
          </cell>
          <cell r="D184" t="str">
            <v>Jose Stalin</v>
          </cell>
          <cell r="E184">
            <v>13</v>
          </cell>
          <cell r="F184">
            <v>238333</v>
          </cell>
          <cell r="G184">
            <v>121333</v>
          </cell>
          <cell r="H184">
            <v>32004</v>
          </cell>
          <cell r="I184">
            <v>65000</v>
          </cell>
          <cell r="J184">
            <v>456670</v>
          </cell>
        </row>
        <row r="185">
          <cell r="A185" t="str">
            <v>19726120-k</v>
          </cell>
          <cell r="B185" t="str">
            <v>Monsalves</v>
          </cell>
          <cell r="C185" t="str">
            <v>Cares</v>
          </cell>
          <cell r="D185" t="str">
            <v>Rodrigo Andres</v>
          </cell>
          <cell r="E185">
            <v>13</v>
          </cell>
          <cell r="F185">
            <v>238333</v>
          </cell>
          <cell r="G185">
            <v>121333</v>
          </cell>
          <cell r="H185">
            <v>32004</v>
          </cell>
          <cell r="I185">
            <v>65000</v>
          </cell>
          <cell r="J185">
            <v>456670</v>
          </cell>
        </row>
        <row r="186">
          <cell r="A186" t="str">
            <v>17613812-2</v>
          </cell>
          <cell r="B186" t="str">
            <v>Rojas</v>
          </cell>
          <cell r="C186" t="str">
            <v>Ruiz</v>
          </cell>
          <cell r="D186" t="str">
            <v>Felipe Esteban</v>
          </cell>
          <cell r="E186">
            <v>13</v>
          </cell>
          <cell r="F186">
            <v>260000</v>
          </cell>
          <cell r="G186">
            <v>164667</v>
          </cell>
          <cell r="H186">
            <v>27551</v>
          </cell>
          <cell r="I186">
            <v>65000</v>
          </cell>
          <cell r="J186">
            <v>517218</v>
          </cell>
        </row>
        <row r="187">
          <cell r="A187" t="str">
            <v>20130694-9</v>
          </cell>
          <cell r="B187" t="str">
            <v>Cespedes</v>
          </cell>
          <cell r="C187" t="str">
            <v>Bello</v>
          </cell>
          <cell r="D187" t="str">
            <v>Milton Jesus</v>
          </cell>
          <cell r="E187">
            <v>13</v>
          </cell>
          <cell r="F187">
            <v>238333</v>
          </cell>
          <cell r="G187">
            <v>121333</v>
          </cell>
          <cell r="H187">
            <v>36184</v>
          </cell>
          <cell r="I187">
            <v>65000</v>
          </cell>
          <cell r="J187">
            <v>460850</v>
          </cell>
        </row>
        <row r="188">
          <cell r="A188" t="str">
            <v>18813445-9</v>
          </cell>
          <cell r="B188" t="str">
            <v>Diaz</v>
          </cell>
          <cell r="C188" t="str">
            <v>Gomez</v>
          </cell>
          <cell r="D188" t="str">
            <v>Aldo Esteban</v>
          </cell>
          <cell r="E188">
            <v>13</v>
          </cell>
          <cell r="F188">
            <v>260000</v>
          </cell>
          <cell r="G188">
            <v>164667</v>
          </cell>
          <cell r="H188">
            <v>22290</v>
          </cell>
          <cell r="I188">
            <v>65000</v>
          </cell>
          <cell r="J188">
            <v>511957</v>
          </cell>
        </row>
        <row r="189">
          <cell r="A189" t="str">
            <v>9498331-2</v>
          </cell>
          <cell r="B189" t="str">
            <v>Figueroa</v>
          </cell>
          <cell r="C189" t="str">
            <v>Jaramillo</v>
          </cell>
          <cell r="D189" t="str">
            <v>Luis Alberto</v>
          </cell>
          <cell r="E189">
            <v>13</v>
          </cell>
          <cell r="F189">
            <v>520000</v>
          </cell>
          <cell r="G189">
            <v>260000</v>
          </cell>
          <cell r="H189">
            <v>27585</v>
          </cell>
          <cell r="I189">
            <v>0</v>
          </cell>
          <cell r="J189">
            <v>807585</v>
          </cell>
        </row>
        <row r="190">
          <cell r="A190" t="str">
            <v>18573292-4</v>
          </cell>
          <cell r="B190" t="str">
            <v>Figueroa</v>
          </cell>
          <cell r="C190" t="str">
            <v>Lizana</v>
          </cell>
          <cell r="D190" t="str">
            <v>Ricardo Daniel</v>
          </cell>
          <cell r="E190">
            <v>12</v>
          </cell>
          <cell r="F190">
            <v>480000</v>
          </cell>
          <cell r="G190">
            <v>220000</v>
          </cell>
          <cell r="H190">
            <v>6228</v>
          </cell>
          <cell r="I190">
            <v>0</v>
          </cell>
          <cell r="J190">
            <v>706228</v>
          </cell>
        </row>
        <row r="191">
          <cell r="A191" t="str">
            <v>12699171-1</v>
          </cell>
          <cell r="B191" t="str">
            <v>Duran</v>
          </cell>
          <cell r="C191" t="str">
            <v>Gonzalez</v>
          </cell>
          <cell r="D191" t="str">
            <v>Jose Ignacio</v>
          </cell>
          <cell r="E191">
            <v>9</v>
          </cell>
          <cell r="F191">
            <v>180000</v>
          </cell>
          <cell r="G191">
            <v>114000</v>
          </cell>
          <cell r="H191">
            <v>15769</v>
          </cell>
          <cell r="I191">
            <v>45000</v>
          </cell>
          <cell r="J191">
            <v>354769</v>
          </cell>
        </row>
        <row r="192">
          <cell r="A192" t="str">
            <v>9835544-8</v>
          </cell>
          <cell r="B192" t="str">
            <v>Jeldres</v>
          </cell>
          <cell r="C192" t="str">
            <v>Toledo</v>
          </cell>
          <cell r="D192" t="str">
            <v>Luis Esteban</v>
          </cell>
          <cell r="E192">
            <v>9</v>
          </cell>
          <cell r="F192">
            <v>180000</v>
          </cell>
          <cell r="G192">
            <v>114000</v>
          </cell>
          <cell r="H192">
            <v>18384</v>
          </cell>
          <cell r="I192">
            <v>45000</v>
          </cell>
          <cell r="J192">
            <v>357384</v>
          </cell>
        </row>
        <row r="193">
          <cell r="A193" t="str">
            <v>15174670-5</v>
          </cell>
          <cell r="B193" t="str">
            <v>San Martin</v>
          </cell>
          <cell r="C193" t="str">
            <v>Noche</v>
          </cell>
          <cell r="D193" t="str">
            <v>Patricio Arturo</v>
          </cell>
          <cell r="E193">
            <v>9</v>
          </cell>
          <cell r="F193">
            <v>165000</v>
          </cell>
          <cell r="G193">
            <v>73500</v>
          </cell>
          <cell r="H193">
            <v>35550</v>
          </cell>
          <cell r="I193">
            <v>45000</v>
          </cell>
          <cell r="J193">
            <v>319050</v>
          </cell>
        </row>
        <row r="194">
          <cell r="A194" t="str">
            <v>18437324-6</v>
          </cell>
          <cell r="B194" t="str">
            <v>Padilla</v>
          </cell>
          <cell r="C194" t="str">
            <v>Padilla</v>
          </cell>
          <cell r="D194" t="str">
            <v>Pablo Andres</v>
          </cell>
          <cell r="E194">
            <v>9</v>
          </cell>
          <cell r="F194">
            <v>165000</v>
          </cell>
          <cell r="G194">
            <v>73500</v>
          </cell>
          <cell r="H194">
            <v>35550</v>
          </cell>
          <cell r="I194">
            <v>45000</v>
          </cell>
          <cell r="J194">
            <v>319050</v>
          </cell>
        </row>
        <row r="195">
          <cell r="A195" t="str">
            <v>9017379-0</v>
          </cell>
          <cell r="B195" t="str">
            <v>Montecino</v>
          </cell>
          <cell r="C195" t="str">
            <v>Tapia</v>
          </cell>
          <cell r="D195" t="str">
            <v>Elias De La Rosa</v>
          </cell>
          <cell r="E195">
            <v>9</v>
          </cell>
          <cell r="F195">
            <v>180000</v>
          </cell>
          <cell r="G195">
            <v>114000</v>
          </cell>
          <cell r="H195">
            <v>19036</v>
          </cell>
          <cell r="I195">
            <v>45000</v>
          </cell>
          <cell r="J195">
            <v>358036</v>
          </cell>
        </row>
        <row r="196">
          <cell r="A196" t="str">
            <v>20824486-8</v>
          </cell>
          <cell r="B196" t="str">
            <v>Lantadilla</v>
          </cell>
          <cell r="C196" t="str">
            <v>Sanchez</v>
          </cell>
          <cell r="D196" t="str">
            <v>Nicolas Javier</v>
          </cell>
          <cell r="E196">
            <v>8</v>
          </cell>
          <cell r="F196">
            <v>146667</v>
          </cell>
          <cell r="G196">
            <v>65333</v>
          </cell>
          <cell r="H196">
            <v>28766</v>
          </cell>
          <cell r="I196">
            <v>40000</v>
          </cell>
          <cell r="J196">
            <v>280766</v>
          </cell>
        </row>
        <row r="197">
          <cell r="A197" t="str">
            <v>19270888-5</v>
          </cell>
          <cell r="B197" t="str">
            <v>Campos</v>
          </cell>
          <cell r="C197" t="str">
            <v>Torres</v>
          </cell>
          <cell r="D197" t="str">
            <v>Antonio Isaias</v>
          </cell>
          <cell r="E197">
            <v>8</v>
          </cell>
          <cell r="F197">
            <v>160000</v>
          </cell>
          <cell r="G197">
            <v>101333</v>
          </cell>
          <cell r="H197">
            <v>14018</v>
          </cell>
          <cell r="I197">
            <v>40000</v>
          </cell>
          <cell r="J197">
            <v>315351</v>
          </cell>
        </row>
        <row r="198">
          <cell r="A198" t="str">
            <v>12909818-k</v>
          </cell>
          <cell r="B198" t="str">
            <v>Merino</v>
          </cell>
          <cell r="C198" t="str">
            <v>Gonzalez</v>
          </cell>
          <cell r="D198" t="str">
            <v>Mauricio Alejandro</v>
          </cell>
          <cell r="E198">
            <v>25</v>
          </cell>
          <cell r="F198">
            <v>458333</v>
          </cell>
          <cell r="G198">
            <v>233333</v>
          </cell>
          <cell r="H198">
            <v>69585</v>
          </cell>
          <cell r="I198">
            <v>125000</v>
          </cell>
          <cell r="J198">
            <v>886251</v>
          </cell>
        </row>
        <row r="199">
          <cell r="A199" t="str">
            <v>19924560-0</v>
          </cell>
          <cell r="B199" t="str">
            <v>Garrido</v>
          </cell>
          <cell r="C199" t="str">
            <v>Martinez</v>
          </cell>
          <cell r="D199" t="str">
            <v>Sebastian Andres</v>
          </cell>
          <cell r="E199">
            <v>25</v>
          </cell>
          <cell r="F199">
            <v>458333</v>
          </cell>
          <cell r="G199">
            <v>233333</v>
          </cell>
          <cell r="H199">
            <v>61549</v>
          </cell>
          <cell r="I199">
            <v>125000</v>
          </cell>
          <cell r="J199">
            <v>878215</v>
          </cell>
        </row>
        <row r="200">
          <cell r="A200" t="str">
            <v>14213272-9</v>
          </cell>
          <cell r="B200" t="str">
            <v>Carrier</v>
          </cell>
          <cell r="C200" t="str">
            <v>Avila</v>
          </cell>
          <cell r="D200" t="str">
            <v>Yovanni Roberto</v>
          </cell>
          <cell r="E200">
            <v>24</v>
          </cell>
          <cell r="F200">
            <v>440000</v>
          </cell>
          <cell r="G200">
            <v>0</v>
          </cell>
          <cell r="H200">
            <v>289191</v>
          </cell>
          <cell r="I200">
            <v>120000</v>
          </cell>
          <cell r="J200">
            <v>849191</v>
          </cell>
        </row>
        <row r="201">
          <cell r="A201" t="str">
            <v>15263292-4</v>
          </cell>
          <cell r="B201" t="str">
            <v>Milanca</v>
          </cell>
          <cell r="C201" t="str">
            <v>Lopez</v>
          </cell>
          <cell r="D201" t="str">
            <v>Rafael Alejandro</v>
          </cell>
          <cell r="E201">
            <v>24</v>
          </cell>
          <cell r="F201">
            <v>440000</v>
          </cell>
          <cell r="G201">
            <v>224000</v>
          </cell>
          <cell r="H201">
            <v>66711</v>
          </cell>
          <cell r="I201">
            <v>120000</v>
          </cell>
          <cell r="J201">
            <v>850711</v>
          </cell>
        </row>
        <row r="202">
          <cell r="A202" t="str">
            <v>18297135-9</v>
          </cell>
          <cell r="B202" t="str">
            <v>Calfiñanco</v>
          </cell>
          <cell r="C202" t="str">
            <v>Ortega</v>
          </cell>
          <cell r="D202" t="str">
            <v>Nicolas Javier</v>
          </cell>
          <cell r="E202">
            <v>12</v>
          </cell>
          <cell r="F202">
            <v>480000</v>
          </cell>
          <cell r="G202">
            <v>180000</v>
          </cell>
          <cell r="H202">
            <v>38859</v>
          </cell>
          <cell r="I202">
            <v>0</v>
          </cell>
          <cell r="J202">
            <v>698859</v>
          </cell>
        </row>
        <row r="203">
          <cell r="A203" t="str">
            <v>13959886-5</v>
          </cell>
          <cell r="B203" t="str">
            <v>Canario</v>
          </cell>
          <cell r="C203" t="str">
            <v>Monsalve</v>
          </cell>
          <cell r="D203" t="str">
            <v>Michael Angelo</v>
          </cell>
          <cell r="E203">
            <v>11</v>
          </cell>
          <cell r="F203">
            <v>440000</v>
          </cell>
          <cell r="G203">
            <v>201667</v>
          </cell>
          <cell r="H203">
            <v>5709</v>
          </cell>
          <cell r="I203">
            <v>0</v>
          </cell>
          <cell r="J203">
            <v>647376</v>
          </cell>
        </row>
        <row r="204">
          <cell r="A204" t="str">
            <v>10330226-9</v>
          </cell>
          <cell r="B204" t="str">
            <v>Romero</v>
          </cell>
          <cell r="C204" t="str">
            <v>Castillo</v>
          </cell>
          <cell r="D204" t="str">
            <v>Francisco Jacob</v>
          </cell>
          <cell r="E204">
            <v>12</v>
          </cell>
          <cell r="F204">
            <v>480000</v>
          </cell>
          <cell r="G204">
            <v>220000</v>
          </cell>
          <cell r="H204">
            <v>6228</v>
          </cell>
          <cell r="I204">
            <v>0</v>
          </cell>
          <cell r="J204">
            <v>706228</v>
          </cell>
        </row>
        <row r="205">
          <cell r="A205" t="str">
            <v>18855631-0</v>
          </cell>
          <cell r="B205" t="str">
            <v>Arzola</v>
          </cell>
          <cell r="C205" t="str">
            <v>Navarro</v>
          </cell>
          <cell r="D205" t="str">
            <v>Cristobal Adolfo</v>
          </cell>
          <cell r="E205">
            <v>7</v>
          </cell>
          <cell r="F205">
            <v>140000</v>
          </cell>
          <cell r="G205">
            <v>88667</v>
          </cell>
          <cell r="H205">
            <v>13972</v>
          </cell>
          <cell r="I205">
            <v>35000</v>
          </cell>
          <cell r="J205">
            <v>277639</v>
          </cell>
        </row>
        <row r="206">
          <cell r="A206" t="str">
            <v>17574123-2</v>
          </cell>
          <cell r="B206" t="str">
            <v>Vera</v>
          </cell>
          <cell r="C206" t="str">
            <v>Arriagada</v>
          </cell>
          <cell r="D206" t="str">
            <v>Cristian Andres</v>
          </cell>
          <cell r="E206">
            <v>8</v>
          </cell>
          <cell r="F206">
            <v>146667</v>
          </cell>
          <cell r="G206">
            <v>74667</v>
          </cell>
          <cell r="H206">
            <v>22236</v>
          </cell>
          <cell r="I206">
            <v>40000</v>
          </cell>
          <cell r="J206">
            <v>283570</v>
          </cell>
        </row>
        <row r="207">
          <cell r="A207" t="str">
            <v>17852146-2</v>
          </cell>
          <cell r="B207" t="str">
            <v>Saez</v>
          </cell>
          <cell r="C207" t="str">
            <v>Fuenzalida</v>
          </cell>
          <cell r="D207" t="str">
            <v>Juan Jose</v>
          </cell>
          <cell r="E207">
            <v>7</v>
          </cell>
          <cell r="F207">
            <v>140000</v>
          </cell>
          <cell r="G207">
            <v>88667</v>
          </cell>
          <cell r="H207">
            <v>13972</v>
          </cell>
          <cell r="I207">
            <v>35000</v>
          </cell>
          <cell r="J207">
            <v>277639</v>
          </cell>
        </row>
        <row r="208">
          <cell r="A208" t="str">
            <v>18684264-2</v>
          </cell>
          <cell r="B208" t="str">
            <v>Beile</v>
          </cell>
          <cell r="C208" t="str">
            <v>Aguilera</v>
          </cell>
          <cell r="D208" t="str">
            <v>Jonathan Fernando</v>
          </cell>
          <cell r="E208">
            <v>7</v>
          </cell>
          <cell r="F208">
            <v>140000</v>
          </cell>
          <cell r="G208">
            <v>88667</v>
          </cell>
          <cell r="H208">
            <v>12264</v>
          </cell>
          <cell r="I208">
            <v>35000</v>
          </cell>
          <cell r="J208">
            <v>275931</v>
          </cell>
        </row>
        <row r="209">
          <cell r="A209" t="str">
            <v>18684068-2</v>
          </cell>
          <cell r="B209" t="str">
            <v>Navarro</v>
          </cell>
          <cell r="C209" t="str">
            <v>Navarrete</v>
          </cell>
          <cell r="D209" t="str">
            <v>Cristopher Arturo</v>
          </cell>
          <cell r="E209">
            <v>9</v>
          </cell>
          <cell r="F209">
            <v>165000</v>
          </cell>
          <cell r="G209">
            <v>84000</v>
          </cell>
          <cell r="H209">
            <v>25017</v>
          </cell>
          <cell r="I209">
            <v>45000</v>
          </cell>
          <cell r="J209">
            <v>319017</v>
          </cell>
        </row>
        <row r="210">
          <cell r="A210" t="str">
            <v>13506494-7</v>
          </cell>
          <cell r="B210" t="str">
            <v>Muñoz</v>
          </cell>
          <cell r="C210" t="str">
            <v>Villegas</v>
          </cell>
          <cell r="D210" t="str">
            <v>Gerardo Andres</v>
          </cell>
          <cell r="E210">
            <v>24</v>
          </cell>
          <cell r="F210">
            <v>423200</v>
          </cell>
          <cell r="G210">
            <v>336000</v>
          </cell>
          <cell r="H210">
            <v>75563</v>
          </cell>
          <cell r="I210">
            <v>120000</v>
          </cell>
          <cell r="J210">
            <v>954763</v>
          </cell>
        </row>
        <row r="211">
          <cell r="A211" t="str">
            <v>16286201-4</v>
          </cell>
          <cell r="B211" t="str">
            <v>Cisternas</v>
          </cell>
          <cell r="C211" t="str">
            <v>Riquelme</v>
          </cell>
          <cell r="D211" t="str">
            <v>Jaime Antonio</v>
          </cell>
          <cell r="E211">
            <v>8</v>
          </cell>
          <cell r="F211">
            <v>146667</v>
          </cell>
          <cell r="G211">
            <v>74667</v>
          </cell>
          <cell r="H211">
            <v>22267</v>
          </cell>
          <cell r="I211">
            <v>40000</v>
          </cell>
          <cell r="J211">
            <v>283601</v>
          </cell>
        </row>
        <row r="212">
          <cell r="A212" t="str">
            <v>15590936-6</v>
          </cell>
          <cell r="B212" t="str">
            <v>Parra</v>
          </cell>
          <cell r="C212" t="str">
            <v>Aguilera</v>
          </cell>
          <cell r="D212" t="str">
            <v>Ivan Leonardo</v>
          </cell>
          <cell r="E212">
            <v>11</v>
          </cell>
          <cell r="F212">
            <v>201667</v>
          </cell>
          <cell r="G212">
            <v>102667</v>
          </cell>
          <cell r="H212">
            <v>29879</v>
          </cell>
          <cell r="I212">
            <v>55000</v>
          </cell>
          <cell r="J212">
            <v>389213</v>
          </cell>
        </row>
        <row r="213">
          <cell r="A213" t="str">
            <v>17862609-4</v>
          </cell>
          <cell r="B213" t="str">
            <v>Castillo</v>
          </cell>
          <cell r="C213" t="str">
            <v>Sierra</v>
          </cell>
          <cell r="D213" t="str">
            <v>Michael Isaias</v>
          </cell>
          <cell r="E213">
            <v>9</v>
          </cell>
          <cell r="F213">
            <v>165000</v>
          </cell>
          <cell r="G213">
            <v>84000</v>
          </cell>
          <cell r="H213">
            <v>25050</v>
          </cell>
          <cell r="I213">
            <v>45000</v>
          </cell>
          <cell r="J213">
            <v>319050</v>
          </cell>
        </row>
        <row r="214">
          <cell r="A214" t="str">
            <v>10076402-4</v>
          </cell>
          <cell r="B214" t="str">
            <v>Vidal</v>
          </cell>
          <cell r="C214" t="str">
            <v>Hernandez</v>
          </cell>
          <cell r="D214" t="str">
            <v>Pedro Inecio</v>
          </cell>
          <cell r="E214">
            <v>11</v>
          </cell>
          <cell r="F214">
            <v>220000</v>
          </cell>
          <cell r="G214">
            <v>139333</v>
          </cell>
          <cell r="H214">
            <v>23313</v>
          </cell>
          <cell r="I214">
            <v>55000</v>
          </cell>
          <cell r="J214">
            <v>437646</v>
          </cell>
        </row>
        <row r="215">
          <cell r="A215" t="str">
            <v>20277835-6</v>
          </cell>
          <cell r="B215" t="str">
            <v>Morales</v>
          </cell>
          <cell r="C215" t="str">
            <v>Vera</v>
          </cell>
          <cell r="D215" t="str">
            <v>Brayan Alberto</v>
          </cell>
          <cell r="E215">
            <v>10</v>
          </cell>
          <cell r="F215">
            <v>183333</v>
          </cell>
          <cell r="G215">
            <v>93333</v>
          </cell>
          <cell r="H215">
            <v>24621</v>
          </cell>
          <cell r="I215">
            <v>50000</v>
          </cell>
          <cell r="J215">
            <v>351287</v>
          </cell>
        </row>
        <row r="216">
          <cell r="A216" t="str">
            <v>12301048-5</v>
          </cell>
          <cell r="B216" t="str">
            <v>Urrea</v>
          </cell>
          <cell r="C216" t="str">
            <v>Venegas</v>
          </cell>
          <cell r="D216" t="str">
            <v>Claudio Alejandro</v>
          </cell>
          <cell r="E216">
            <v>11</v>
          </cell>
          <cell r="F216">
            <v>201667</v>
          </cell>
          <cell r="G216">
            <v>102667</v>
          </cell>
          <cell r="H216">
            <v>30616</v>
          </cell>
          <cell r="I216">
            <v>55000</v>
          </cell>
          <cell r="J216">
            <v>389950</v>
          </cell>
        </row>
        <row r="217">
          <cell r="A217" t="str">
            <v>19813604-2</v>
          </cell>
          <cell r="B217" t="str">
            <v>Urrea</v>
          </cell>
          <cell r="C217" t="str">
            <v>Reyes</v>
          </cell>
          <cell r="D217" t="str">
            <v>Claudio Daniel</v>
          </cell>
          <cell r="E217">
            <v>11</v>
          </cell>
          <cell r="F217">
            <v>201667</v>
          </cell>
          <cell r="G217">
            <v>102667</v>
          </cell>
          <cell r="H217">
            <v>29429</v>
          </cell>
          <cell r="I217">
            <v>55000</v>
          </cell>
          <cell r="J217">
            <v>388763</v>
          </cell>
        </row>
        <row r="218">
          <cell r="A218" t="str">
            <v>10376034-8</v>
          </cell>
          <cell r="B218" t="str">
            <v>Garrido</v>
          </cell>
          <cell r="C218" t="str">
            <v>Palma</v>
          </cell>
          <cell r="D218" t="str">
            <v>Jaime Eduardo</v>
          </cell>
          <cell r="E218">
            <v>11</v>
          </cell>
          <cell r="F218">
            <v>220000</v>
          </cell>
          <cell r="G218">
            <v>102667</v>
          </cell>
          <cell r="H218">
            <v>59979</v>
          </cell>
          <cell r="I218">
            <v>55000</v>
          </cell>
          <cell r="J218">
            <v>437646</v>
          </cell>
        </row>
        <row r="219">
          <cell r="A219" t="str">
            <v>13136045-2</v>
          </cell>
          <cell r="B219" t="str">
            <v>Mansilla</v>
          </cell>
          <cell r="C219" t="str">
            <v>Matamala</v>
          </cell>
          <cell r="D219" t="str">
            <v>Alipio Rodrigo</v>
          </cell>
          <cell r="E219">
            <v>11</v>
          </cell>
          <cell r="F219">
            <v>201667</v>
          </cell>
          <cell r="G219">
            <v>102667</v>
          </cell>
          <cell r="H219">
            <v>30616</v>
          </cell>
          <cell r="I219">
            <v>55000</v>
          </cell>
          <cell r="J219">
            <v>389950</v>
          </cell>
        </row>
        <row r="220">
          <cell r="A220" t="str">
            <v>13151423-9</v>
          </cell>
          <cell r="B220" t="str">
            <v>Diaz</v>
          </cell>
          <cell r="C220" t="str">
            <v>Luna</v>
          </cell>
          <cell r="D220" t="str">
            <v>Esteban Fabiani</v>
          </cell>
          <cell r="E220">
            <v>11</v>
          </cell>
          <cell r="F220">
            <v>220000</v>
          </cell>
          <cell r="G220">
            <v>139333</v>
          </cell>
          <cell r="H220">
            <v>23313</v>
          </cell>
          <cell r="I220">
            <v>55000</v>
          </cell>
          <cell r="J220">
            <v>437646</v>
          </cell>
        </row>
        <row r="221">
          <cell r="A221" t="str">
            <v>13798888-7</v>
          </cell>
          <cell r="B221" t="str">
            <v>Garrido</v>
          </cell>
          <cell r="C221" t="str">
            <v>Garrido</v>
          </cell>
          <cell r="D221" t="str">
            <v>Jorge Ariel</v>
          </cell>
          <cell r="E221">
            <v>11</v>
          </cell>
          <cell r="F221">
            <v>201667</v>
          </cell>
          <cell r="G221">
            <v>102667</v>
          </cell>
          <cell r="H221">
            <v>29429</v>
          </cell>
          <cell r="I221">
            <v>55000</v>
          </cell>
          <cell r="J221">
            <v>388763</v>
          </cell>
        </row>
        <row r="222">
          <cell r="A222" t="str">
            <v>13381176-1</v>
          </cell>
          <cell r="B222" t="str">
            <v>Burgos</v>
          </cell>
          <cell r="C222" t="str">
            <v>Sandoval</v>
          </cell>
          <cell r="D222" t="str">
            <v>Luis Rodrigo</v>
          </cell>
          <cell r="E222">
            <v>11</v>
          </cell>
          <cell r="F222">
            <v>220000</v>
          </cell>
          <cell r="G222">
            <v>139333</v>
          </cell>
          <cell r="H222">
            <v>23266</v>
          </cell>
          <cell r="I222">
            <v>55000</v>
          </cell>
          <cell r="J222">
            <v>437599</v>
          </cell>
        </row>
        <row r="223">
          <cell r="A223" t="str">
            <v>16765282-4</v>
          </cell>
          <cell r="B223" t="str">
            <v>Lagos</v>
          </cell>
          <cell r="C223" t="str">
            <v>Pino</v>
          </cell>
          <cell r="D223" t="str">
            <v>Javier Andres</v>
          </cell>
          <cell r="E223">
            <v>10</v>
          </cell>
          <cell r="F223">
            <v>176333</v>
          </cell>
          <cell r="G223">
            <v>36667</v>
          </cell>
          <cell r="H223">
            <v>74189</v>
          </cell>
          <cell r="I223">
            <v>50000</v>
          </cell>
          <cell r="J223">
            <v>337189</v>
          </cell>
        </row>
        <row r="224">
          <cell r="A224" t="str">
            <v>12133015-6</v>
          </cell>
          <cell r="B224" t="str">
            <v>Escobar</v>
          </cell>
          <cell r="C224" t="str">
            <v>Hernandez</v>
          </cell>
          <cell r="D224" t="str">
            <v>Bernardo Abelardo</v>
          </cell>
          <cell r="E224">
            <v>11</v>
          </cell>
          <cell r="F224">
            <v>220000</v>
          </cell>
          <cell r="G224">
            <v>139333</v>
          </cell>
          <cell r="H224">
            <v>23266</v>
          </cell>
          <cell r="I224">
            <v>55000</v>
          </cell>
          <cell r="J224">
            <v>437599</v>
          </cell>
        </row>
        <row r="225">
          <cell r="A225" t="str">
            <v>17361783-6</v>
          </cell>
          <cell r="B225" t="str">
            <v>Montanares</v>
          </cell>
          <cell r="C225" t="str">
            <v>Chavez</v>
          </cell>
          <cell r="D225" t="str">
            <v>Luis Alejandro</v>
          </cell>
          <cell r="E225">
            <v>10</v>
          </cell>
          <cell r="F225">
            <v>333333</v>
          </cell>
          <cell r="G225">
            <v>100000</v>
          </cell>
          <cell r="H225">
            <v>89862</v>
          </cell>
          <cell r="I225">
            <v>0</v>
          </cell>
          <cell r="J225">
            <v>523195</v>
          </cell>
        </row>
        <row r="226">
          <cell r="A226" t="str">
            <v>9591048-3</v>
          </cell>
          <cell r="B226" t="str">
            <v>Hermosilla</v>
          </cell>
          <cell r="C226" t="str">
            <v>Jimenez</v>
          </cell>
          <cell r="D226" t="str">
            <v>Jorge Randy</v>
          </cell>
          <cell r="E226">
            <v>7</v>
          </cell>
          <cell r="F226">
            <v>128333</v>
          </cell>
          <cell r="G226">
            <v>57167</v>
          </cell>
          <cell r="H226">
            <v>27624</v>
          </cell>
          <cell r="I226">
            <v>35000</v>
          </cell>
          <cell r="J226">
            <v>248124</v>
          </cell>
        </row>
        <row r="227">
          <cell r="A227" t="str">
            <v>16503695-6</v>
          </cell>
          <cell r="B227" t="str">
            <v>Poza</v>
          </cell>
          <cell r="C227" t="str">
            <v>Vidal</v>
          </cell>
          <cell r="D227" t="str">
            <v>Eduard Williams</v>
          </cell>
          <cell r="E227">
            <v>11</v>
          </cell>
          <cell r="F227">
            <v>220000</v>
          </cell>
          <cell r="G227">
            <v>139333</v>
          </cell>
          <cell r="H227">
            <v>21957</v>
          </cell>
          <cell r="I227">
            <v>55000</v>
          </cell>
          <cell r="J227">
            <v>436290</v>
          </cell>
        </row>
        <row r="228">
          <cell r="A228" t="str">
            <v>10432580-7</v>
          </cell>
          <cell r="B228" t="str">
            <v>Elgueta</v>
          </cell>
          <cell r="C228" t="str">
            <v>Marin</v>
          </cell>
          <cell r="D228" t="str">
            <v>Jaime Enrique</v>
          </cell>
          <cell r="E228">
            <v>11</v>
          </cell>
          <cell r="F228">
            <v>220000</v>
          </cell>
          <cell r="G228">
            <v>139333</v>
          </cell>
          <cell r="H228">
            <v>23313</v>
          </cell>
          <cell r="I228">
            <v>55000</v>
          </cell>
          <cell r="J228">
            <v>437646</v>
          </cell>
        </row>
        <row r="229">
          <cell r="A229" t="str">
            <v>20733962-8</v>
          </cell>
          <cell r="B229" t="str">
            <v>Fernandez</v>
          </cell>
          <cell r="C229" t="str">
            <v>Mera</v>
          </cell>
          <cell r="D229" t="str">
            <v>Keesean Darko</v>
          </cell>
          <cell r="E229">
            <v>23</v>
          </cell>
          <cell r="F229">
            <v>405567</v>
          </cell>
          <cell r="G229">
            <v>153333</v>
          </cell>
          <cell r="H229">
            <v>100749</v>
          </cell>
          <cell r="I229">
            <v>115000</v>
          </cell>
          <cell r="J229">
            <v>774649</v>
          </cell>
        </row>
        <row r="230">
          <cell r="A230" t="str">
            <v>18415049-2</v>
          </cell>
          <cell r="B230" t="str">
            <v>Gutierrez</v>
          </cell>
          <cell r="C230" t="str">
            <v>Uribe</v>
          </cell>
          <cell r="D230" t="str">
            <v>Miguel Angel</v>
          </cell>
          <cell r="E230">
            <v>10</v>
          </cell>
          <cell r="F230">
            <v>400000</v>
          </cell>
          <cell r="G230">
            <v>150000</v>
          </cell>
          <cell r="H230">
            <v>32383</v>
          </cell>
          <cell r="I230">
            <v>0</v>
          </cell>
          <cell r="J230">
            <v>582383</v>
          </cell>
        </row>
        <row r="231">
          <cell r="A231" t="str">
            <v>10840672-0</v>
          </cell>
          <cell r="B231" t="str">
            <v>Hermosilla</v>
          </cell>
          <cell r="C231" t="str">
            <v>Valdebenito</v>
          </cell>
          <cell r="D231" t="str">
            <v>Leonel Esteban</v>
          </cell>
          <cell r="E231">
            <v>11</v>
          </cell>
          <cell r="F231">
            <v>201667</v>
          </cell>
          <cell r="G231">
            <v>102667</v>
          </cell>
          <cell r="H231">
            <v>30616</v>
          </cell>
          <cell r="I231">
            <v>55000</v>
          </cell>
          <cell r="J231">
            <v>389950</v>
          </cell>
        </row>
        <row r="232">
          <cell r="A232" t="str">
            <v>8652095-8</v>
          </cell>
          <cell r="B232" t="str">
            <v>Rodriguez</v>
          </cell>
          <cell r="C232" t="str">
            <v>Sanchez</v>
          </cell>
          <cell r="D232" t="str">
            <v>Luis Esteban</v>
          </cell>
          <cell r="E232">
            <v>7</v>
          </cell>
          <cell r="F232">
            <v>128333</v>
          </cell>
          <cell r="G232">
            <v>57167</v>
          </cell>
          <cell r="H232">
            <v>1406</v>
          </cell>
          <cell r="I232">
            <v>35000</v>
          </cell>
          <cell r="J232">
            <v>221906</v>
          </cell>
        </row>
        <row r="233">
          <cell r="A233" t="str">
            <v>15519656-4</v>
          </cell>
          <cell r="B233" t="str">
            <v>Fonseca</v>
          </cell>
          <cell r="C233" t="str">
            <v>Lara</v>
          </cell>
          <cell r="D233" t="str">
            <v>Alonso Alejandro</v>
          </cell>
          <cell r="E233">
            <v>9</v>
          </cell>
          <cell r="F233">
            <v>158700</v>
          </cell>
          <cell r="G233">
            <v>60000</v>
          </cell>
          <cell r="H233">
            <v>40308</v>
          </cell>
          <cell r="I233">
            <v>45000</v>
          </cell>
          <cell r="J233">
            <v>304008</v>
          </cell>
        </row>
        <row r="234">
          <cell r="A234" t="str">
            <v>9223581-5</v>
          </cell>
          <cell r="B234" t="str">
            <v>Diaz</v>
          </cell>
          <cell r="C234" t="str">
            <v>Cavieres</v>
          </cell>
          <cell r="D234" t="str">
            <v>Jose Antonio</v>
          </cell>
          <cell r="E234">
            <v>9</v>
          </cell>
          <cell r="F234">
            <v>360000</v>
          </cell>
          <cell r="G234">
            <v>165000</v>
          </cell>
          <cell r="H234">
            <v>4671</v>
          </cell>
          <cell r="I234">
            <v>0</v>
          </cell>
          <cell r="J234">
            <v>529671</v>
          </cell>
        </row>
        <row r="235">
          <cell r="A235" t="str">
            <v>17653756-6</v>
          </cell>
          <cell r="B235" t="str">
            <v>Carillo</v>
          </cell>
          <cell r="C235" t="str">
            <v>Cuevas</v>
          </cell>
          <cell r="D235" t="str">
            <v>Carlos Alberto</v>
          </cell>
          <cell r="E235">
            <v>22</v>
          </cell>
          <cell r="F235">
            <v>387933</v>
          </cell>
          <cell r="G235">
            <v>308000</v>
          </cell>
          <cell r="H235">
            <v>69265</v>
          </cell>
          <cell r="I235">
            <v>110000</v>
          </cell>
          <cell r="J235">
            <v>875198</v>
          </cell>
        </row>
        <row r="236">
          <cell r="A236" t="str">
            <v>11683467-7</v>
          </cell>
          <cell r="B236" t="str">
            <v>Morales</v>
          </cell>
          <cell r="C236" t="str">
            <v>Riffo</v>
          </cell>
          <cell r="D236" t="str">
            <v>Luis Alberto</v>
          </cell>
          <cell r="E236">
            <v>10</v>
          </cell>
          <cell r="F236">
            <v>183333</v>
          </cell>
          <cell r="G236">
            <v>93333</v>
          </cell>
          <cell r="H236">
            <v>27163</v>
          </cell>
          <cell r="I236">
            <v>50000</v>
          </cell>
          <cell r="J236">
            <v>353829</v>
          </cell>
        </row>
        <row r="237">
          <cell r="A237" t="str">
            <v>16319757-k</v>
          </cell>
          <cell r="B237" t="str">
            <v>Peña</v>
          </cell>
          <cell r="C237" t="str">
            <v>Pineda</v>
          </cell>
          <cell r="D237" t="str">
            <v>Luciano Francisco</v>
          </cell>
          <cell r="E237">
            <v>15</v>
          </cell>
          <cell r="F237">
            <v>300000</v>
          </cell>
          <cell r="G237">
            <v>190000</v>
          </cell>
          <cell r="H237">
            <v>31791</v>
          </cell>
          <cell r="I237">
            <v>75000</v>
          </cell>
          <cell r="J237">
            <v>596791</v>
          </cell>
        </row>
        <row r="238">
          <cell r="A238" t="str">
            <v>14060095-4</v>
          </cell>
          <cell r="B238" t="str">
            <v>Ortiz</v>
          </cell>
          <cell r="C238" t="str">
            <v>Becerra</v>
          </cell>
          <cell r="D238" t="str">
            <v>Luis Yerko</v>
          </cell>
          <cell r="E238">
            <v>15</v>
          </cell>
          <cell r="F238">
            <v>300000</v>
          </cell>
          <cell r="G238">
            <v>190000</v>
          </cell>
          <cell r="H238">
            <v>31727</v>
          </cell>
          <cell r="I238">
            <v>75000</v>
          </cell>
          <cell r="J238">
            <v>596727</v>
          </cell>
        </row>
        <row r="239">
          <cell r="A239" t="str">
            <v>10739728-0</v>
          </cell>
          <cell r="B239" t="str">
            <v>Rojas</v>
          </cell>
          <cell r="C239" t="str">
            <v>Alvarez</v>
          </cell>
          <cell r="D239" t="str">
            <v>Ivan Guillermo</v>
          </cell>
          <cell r="E239">
            <v>15</v>
          </cell>
          <cell r="F239">
            <v>275000</v>
          </cell>
          <cell r="G239">
            <v>140000</v>
          </cell>
          <cell r="H239">
            <v>41751</v>
          </cell>
          <cell r="I239">
            <v>75000</v>
          </cell>
          <cell r="J239">
            <v>531751</v>
          </cell>
        </row>
        <row r="240">
          <cell r="A240" t="str">
            <v>10741638-2</v>
          </cell>
          <cell r="B240" t="str">
            <v>Villegas</v>
          </cell>
          <cell r="C240" t="str">
            <v>Ruiz</v>
          </cell>
          <cell r="D240" t="str">
            <v>John Gonzalo</v>
          </cell>
          <cell r="E240">
            <v>30</v>
          </cell>
          <cell r="F240">
            <v>550000</v>
          </cell>
          <cell r="G240">
            <v>280000</v>
          </cell>
          <cell r="H240">
            <v>102378</v>
          </cell>
          <cell r="I240">
            <v>150000</v>
          </cell>
          <cell r="J240">
            <v>1082378</v>
          </cell>
        </row>
        <row r="241">
          <cell r="A241" t="str">
            <v>20161066-4</v>
          </cell>
          <cell r="B241" t="str">
            <v>Cabas</v>
          </cell>
          <cell r="C241" t="str">
            <v>Almendras</v>
          </cell>
          <cell r="D241" t="str">
            <v>Ronnie Alexis</v>
          </cell>
          <cell r="E241">
            <v>9</v>
          </cell>
          <cell r="F241">
            <v>165000</v>
          </cell>
          <cell r="G241">
            <v>84000</v>
          </cell>
          <cell r="H241">
            <v>25017</v>
          </cell>
          <cell r="I241">
            <v>45000</v>
          </cell>
          <cell r="J241">
            <v>319017</v>
          </cell>
        </row>
        <row r="242">
          <cell r="A242" t="str">
            <v>17884095-9</v>
          </cell>
          <cell r="B242" t="str">
            <v>Chavez</v>
          </cell>
          <cell r="C242" t="str">
            <v>Norambuena</v>
          </cell>
          <cell r="D242" t="str">
            <v>Cristhofer Antonio</v>
          </cell>
          <cell r="E242">
            <v>8</v>
          </cell>
          <cell r="F242">
            <v>280000</v>
          </cell>
          <cell r="G242">
            <v>101333</v>
          </cell>
          <cell r="H242">
            <v>11016</v>
          </cell>
          <cell r="I242">
            <v>0</v>
          </cell>
          <cell r="J242">
            <v>392349</v>
          </cell>
        </row>
        <row r="243">
          <cell r="A243" t="str">
            <v>14055998-9</v>
          </cell>
          <cell r="B243" t="str">
            <v>Lara</v>
          </cell>
          <cell r="C243" t="str">
            <v>Caceres</v>
          </cell>
          <cell r="D243" t="str">
            <v>Juan Alejandro</v>
          </cell>
          <cell r="E243">
            <v>3</v>
          </cell>
          <cell r="F243">
            <v>55000</v>
          </cell>
          <cell r="G243">
            <v>28000</v>
          </cell>
          <cell r="H243">
            <v>8147</v>
          </cell>
          <cell r="I243">
            <v>15000</v>
          </cell>
          <cell r="J243">
            <v>106147</v>
          </cell>
        </row>
        <row r="244">
          <cell r="A244" t="str">
            <v>13139781-k</v>
          </cell>
          <cell r="B244" t="str">
            <v>Arias</v>
          </cell>
          <cell r="C244" t="str">
            <v>Ruiz</v>
          </cell>
          <cell r="D244" t="str">
            <v>Miguel Angel</v>
          </cell>
          <cell r="E244">
            <v>3</v>
          </cell>
          <cell r="F244">
            <v>60000</v>
          </cell>
          <cell r="G244">
            <v>58000</v>
          </cell>
          <cell r="H244">
            <v>10371</v>
          </cell>
          <cell r="I244">
            <v>15000</v>
          </cell>
          <cell r="J244">
            <v>143371</v>
          </cell>
        </row>
        <row r="245">
          <cell r="A245" t="str">
            <v>12920506-7</v>
          </cell>
          <cell r="B245" t="str">
            <v>Burdiles</v>
          </cell>
          <cell r="C245" t="str">
            <v>Vasquez</v>
          </cell>
          <cell r="D245" t="str">
            <v>Javier Marcelo</v>
          </cell>
          <cell r="E245">
            <v>3</v>
          </cell>
          <cell r="F245">
            <v>55000</v>
          </cell>
          <cell r="G245">
            <v>28000</v>
          </cell>
          <cell r="H245">
            <v>8339</v>
          </cell>
          <cell r="I245">
            <v>15000</v>
          </cell>
          <cell r="J245">
            <v>106339</v>
          </cell>
        </row>
        <row r="246">
          <cell r="A246" t="str">
            <v>16675317-1</v>
          </cell>
          <cell r="B246" t="str">
            <v>Carrasco</v>
          </cell>
          <cell r="C246" t="str">
            <v>Marin</v>
          </cell>
          <cell r="D246" t="str">
            <v>Felipe Andres</v>
          </cell>
          <cell r="E246">
            <v>1</v>
          </cell>
          <cell r="F246">
            <v>20000</v>
          </cell>
          <cell r="G246">
            <v>12667</v>
          </cell>
          <cell r="H246">
            <v>2041</v>
          </cell>
          <cell r="I246">
            <v>5000</v>
          </cell>
          <cell r="J246">
            <v>39708</v>
          </cell>
        </row>
        <row r="247">
          <cell r="A247" t="str">
            <v>12734305-5</v>
          </cell>
          <cell r="B247" t="str">
            <v>Saavedra</v>
          </cell>
          <cell r="C247" t="str">
            <v>Galleguillos</v>
          </cell>
          <cell r="D247" t="str">
            <v>Jose Ernesto</v>
          </cell>
          <cell r="E247">
            <v>1</v>
          </cell>
          <cell r="F247">
            <v>23333</v>
          </cell>
          <cell r="G247">
            <v>19333</v>
          </cell>
          <cell r="H247">
            <v>124</v>
          </cell>
          <cell r="I247">
            <v>5000</v>
          </cell>
          <cell r="J247">
            <v>47790</v>
          </cell>
        </row>
        <row r="248">
          <cell r="A248" t="str">
            <v>21461895-8</v>
          </cell>
          <cell r="B248" t="str">
            <v>Artiaga</v>
          </cell>
          <cell r="C248" t="str">
            <v>Cisterna</v>
          </cell>
          <cell r="D248" t="str">
            <v>Ignacio Antonio</v>
          </cell>
          <cell r="E248">
            <v>1</v>
          </cell>
          <cell r="F248">
            <v>18333</v>
          </cell>
          <cell r="G248">
            <v>9333</v>
          </cell>
          <cell r="H248">
            <v>2462</v>
          </cell>
          <cell r="I248">
            <v>5000</v>
          </cell>
          <cell r="J248">
            <v>35128</v>
          </cell>
        </row>
        <row r="249">
          <cell r="A249" t="str">
            <v>19108348-2</v>
          </cell>
          <cell r="B249" t="str">
            <v>Ormeño</v>
          </cell>
          <cell r="C249" t="str">
            <v>Ormeño</v>
          </cell>
          <cell r="D249" t="str">
            <v>Alejandro Alfredo</v>
          </cell>
          <cell r="E249">
            <v>1</v>
          </cell>
          <cell r="F249">
            <v>18333</v>
          </cell>
          <cell r="G249">
            <v>9333</v>
          </cell>
          <cell r="H249">
            <v>2462</v>
          </cell>
          <cell r="I249">
            <v>5000</v>
          </cell>
          <cell r="J249">
            <v>35128</v>
          </cell>
        </row>
        <row r="250">
          <cell r="A250" t="str">
            <v>20527695-5</v>
          </cell>
          <cell r="B250" t="str">
            <v>Lagos</v>
          </cell>
          <cell r="C250" t="str">
            <v>Riquelme</v>
          </cell>
          <cell r="D250" t="str">
            <v>Christopher Duban</v>
          </cell>
          <cell r="E250">
            <v>1</v>
          </cell>
          <cell r="F250">
            <v>18333</v>
          </cell>
          <cell r="G250">
            <v>9333</v>
          </cell>
          <cell r="H250">
            <v>2677</v>
          </cell>
          <cell r="I250">
            <v>5000</v>
          </cell>
          <cell r="J250">
            <v>35343</v>
          </cell>
        </row>
        <row r="251">
          <cell r="A251" t="str">
            <v>14509657-k</v>
          </cell>
          <cell r="B251" t="str">
            <v>Contreras</v>
          </cell>
          <cell r="C251" t="str">
            <v>Leon</v>
          </cell>
          <cell r="D251" t="str">
            <v>Joel Andres</v>
          </cell>
          <cell r="E251">
            <v>1</v>
          </cell>
          <cell r="F251">
            <v>18333</v>
          </cell>
          <cell r="G251">
            <v>9333</v>
          </cell>
          <cell r="H251">
            <v>2781</v>
          </cell>
          <cell r="I251">
            <v>5000</v>
          </cell>
          <cell r="J251">
            <v>35447</v>
          </cell>
        </row>
        <row r="252">
          <cell r="A252" t="str">
            <v>13620677-k</v>
          </cell>
          <cell r="B252" t="str">
            <v>Venegas</v>
          </cell>
          <cell r="C252" t="str">
            <v>Cisterna</v>
          </cell>
          <cell r="D252" t="str">
            <v>Gabriel Erasmo</v>
          </cell>
          <cell r="E252">
            <v>1</v>
          </cell>
          <cell r="F252">
            <v>18333</v>
          </cell>
          <cell r="G252">
            <v>9333</v>
          </cell>
          <cell r="H252">
            <v>2677</v>
          </cell>
          <cell r="I252">
            <v>5000</v>
          </cell>
          <cell r="J252">
            <v>35343</v>
          </cell>
        </row>
        <row r="253">
          <cell r="A253" t="str">
            <v>15854085-1</v>
          </cell>
          <cell r="B253" t="str">
            <v>Garces</v>
          </cell>
          <cell r="C253" t="str">
            <v>Bello</v>
          </cell>
          <cell r="D253" t="str">
            <v>Andres Eduardo</v>
          </cell>
          <cell r="E253">
            <v>1</v>
          </cell>
          <cell r="F253">
            <v>18333</v>
          </cell>
          <cell r="G253">
            <v>9333</v>
          </cell>
          <cell r="H253">
            <v>2716</v>
          </cell>
          <cell r="I253">
            <v>5000</v>
          </cell>
          <cell r="J253">
            <v>35382</v>
          </cell>
        </row>
        <row r="254">
          <cell r="A254" t="str">
            <v>15210816-8</v>
          </cell>
          <cell r="B254" t="str">
            <v>Cifuentes</v>
          </cell>
          <cell r="C254" t="str">
            <v>Arriagada</v>
          </cell>
          <cell r="D254" t="str">
            <v>Freddy Ignacio</v>
          </cell>
          <cell r="E254">
            <v>1</v>
          </cell>
          <cell r="F254">
            <v>20000</v>
          </cell>
          <cell r="G254">
            <v>12667</v>
          </cell>
          <cell r="H254">
            <v>2115</v>
          </cell>
          <cell r="I254">
            <v>5000</v>
          </cell>
          <cell r="J254">
            <v>39782</v>
          </cell>
        </row>
        <row r="255">
          <cell r="A255" t="str">
            <v>13804869-1</v>
          </cell>
          <cell r="B255" t="str">
            <v>Fuentes</v>
          </cell>
          <cell r="C255" t="str">
            <v>Diaz</v>
          </cell>
          <cell r="D255" t="str">
            <v>Miguel Angel</v>
          </cell>
          <cell r="E255">
            <v>1</v>
          </cell>
          <cell r="F255">
            <v>20000</v>
          </cell>
          <cell r="G255">
            <v>12667</v>
          </cell>
          <cell r="H255">
            <v>1995</v>
          </cell>
          <cell r="I255">
            <v>5000</v>
          </cell>
          <cell r="J255">
            <v>39662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321C-2307-428B-89EC-1A9E7BA09B8E}">
  <dimension ref="A1:AB73"/>
  <sheetViews>
    <sheetView tabSelected="1" zoomScale="106" zoomScaleNormal="106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D14" sqref="D13:D14"/>
    </sheetView>
  </sheetViews>
  <sheetFormatPr baseColWidth="10" defaultColWidth="11.42578125" defaultRowHeight="15"/>
  <cols>
    <col min="1" max="1" width="11.42578125" style="70"/>
    <col min="2" max="2" width="11.42578125" style="70" customWidth="1"/>
    <col min="3" max="3" width="11.42578125" style="70"/>
    <col min="4" max="4" width="33.5703125" style="70" customWidth="1"/>
    <col min="5" max="5" width="27.42578125" style="70" customWidth="1"/>
    <col min="6" max="27" width="11.42578125" style="70"/>
    <col min="28" max="28" width="23.140625" style="70" bestFit="1" customWidth="1"/>
    <col min="29" max="16384" width="11.42578125" style="70"/>
  </cols>
  <sheetData>
    <row r="1" spans="1:27" ht="21.75" customHeight="1" thickBot="1">
      <c r="A1" s="71" t="s">
        <v>4</v>
      </c>
      <c r="B1" s="71" t="s">
        <v>5</v>
      </c>
      <c r="C1" s="71" t="s">
        <v>6</v>
      </c>
      <c r="D1" s="71" t="s">
        <v>7</v>
      </c>
      <c r="E1" s="71" t="s">
        <v>8</v>
      </c>
      <c r="F1" s="71" t="s">
        <v>9</v>
      </c>
      <c r="G1" s="71" t="s">
        <v>10</v>
      </c>
      <c r="H1" s="71" t="s">
        <v>11</v>
      </c>
      <c r="I1" s="71" t="s">
        <v>12</v>
      </c>
      <c r="J1" s="71" t="s">
        <v>13</v>
      </c>
      <c r="K1" s="71" t="s">
        <v>14</v>
      </c>
      <c r="L1" s="71" t="s">
        <v>15</v>
      </c>
      <c r="M1" s="71" t="s">
        <v>16</v>
      </c>
      <c r="N1" s="72" t="s">
        <v>17</v>
      </c>
      <c r="O1" s="71" t="s">
        <v>18</v>
      </c>
      <c r="P1" s="71" t="s">
        <v>3</v>
      </c>
      <c r="Q1" s="73" t="s">
        <v>274</v>
      </c>
      <c r="R1" s="74" t="s">
        <v>275</v>
      </c>
      <c r="S1" s="73" t="s">
        <v>276</v>
      </c>
      <c r="T1" s="74" t="s">
        <v>277</v>
      </c>
      <c r="U1" s="73" t="s">
        <v>278</v>
      </c>
      <c r="V1" s="74" t="s">
        <v>279</v>
      </c>
      <c r="W1" s="74" t="s">
        <v>21</v>
      </c>
      <c r="X1" s="75" t="s">
        <v>1</v>
      </c>
      <c r="Y1" s="75" t="s">
        <v>2</v>
      </c>
      <c r="Z1" s="75" t="s">
        <v>272</v>
      </c>
      <c r="AA1" s="76" t="s">
        <v>273</v>
      </c>
    </row>
    <row r="2" spans="1:27" ht="15.75">
      <c r="A2" s="1">
        <v>1</v>
      </c>
      <c r="B2" s="77"/>
      <c r="C2" s="78" t="s">
        <v>46</v>
      </c>
      <c r="D2" s="79" t="s">
        <v>47</v>
      </c>
      <c r="E2" s="80" t="s">
        <v>23</v>
      </c>
      <c r="F2" s="81">
        <v>45586</v>
      </c>
      <c r="G2" s="54">
        <v>45900</v>
      </c>
      <c r="H2" s="63" t="s">
        <v>44</v>
      </c>
      <c r="I2" s="82">
        <v>550000</v>
      </c>
      <c r="J2" s="83">
        <v>1030200</v>
      </c>
      <c r="K2" s="84" t="s">
        <v>24</v>
      </c>
      <c r="L2" s="85">
        <f t="shared" ref="L2:L65" si="0">+G2-F2+1</f>
        <v>315</v>
      </c>
      <c r="M2" s="86">
        <f>L2/30</f>
        <v>10.5</v>
      </c>
      <c r="N2" s="87">
        <f t="shared" ref="N2:N64" si="1">+M2*1.25</f>
        <v>13.125</v>
      </c>
      <c r="O2" s="69">
        <v>8</v>
      </c>
      <c r="P2" s="88">
        <f t="shared" ref="P2:P64" si="2">+N2+O2-AG2</f>
        <v>21.125</v>
      </c>
      <c r="Q2" s="1">
        <f>VLOOKUP(C3,'[1]Mayo 2025'!$A$7:$E$170,5,0)</f>
        <v>30</v>
      </c>
      <c r="R2" s="89">
        <f>VLOOKUP(C2,'[1]Mayo 2025'!$A$7:$J$170,10,0)</f>
        <v>1024834</v>
      </c>
      <c r="S2" s="1">
        <f>VLOOKUP(C2,'[1]Junio 2025'!$A$7:$C$177,3,0)</f>
        <v>30</v>
      </c>
      <c r="T2" s="89">
        <f>VLOOKUP(C2,'[1]Junio 2025'!$A$7:$H$177,8,0)</f>
        <v>1017565</v>
      </c>
      <c r="U2" s="1">
        <f>VLOOKUP(C2,[1]Julio!$A$7:$E$256,5,0)</f>
        <v>30</v>
      </c>
      <c r="V2" s="89">
        <f>VLOOKUP(C2,[1]Julio!$A$7:$J$255,10,0)</f>
        <v>1017565</v>
      </c>
      <c r="W2" s="90">
        <f>+(R2+T2+V2)/(S2+U2+Q2)</f>
        <v>33999.599999999999</v>
      </c>
      <c r="X2" s="91">
        <f>+P2*W2</f>
        <v>718241.54999999993</v>
      </c>
      <c r="Y2" s="92">
        <f>ROUND((((J2/0.814)/30)*2.5),0)</f>
        <v>105467</v>
      </c>
      <c r="Z2" s="91">
        <f>IF(K2="159 N° 4",Y2*M2,0)+IF(K2="161 N° 1",Y2*#REF!,0)+IF(K2="159 N° 1",Y2*M2,0)+IF(K2="159 N° 5",Y2*M2,0)</f>
        <v>1107403.5</v>
      </c>
      <c r="AA2" s="93">
        <f>X2+Z2</f>
        <v>1825645.0499999998</v>
      </c>
    </row>
    <row r="3" spans="1:27" ht="15.75">
      <c r="A3" s="1">
        <f>A2+1</f>
        <v>2</v>
      </c>
      <c r="B3" s="77"/>
      <c r="C3" s="78" t="s">
        <v>50</v>
      </c>
      <c r="D3" s="79" t="s">
        <v>51</v>
      </c>
      <c r="E3" s="80" t="s">
        <v>133</v>
      </c>
      <c r="F3" s="81">
        <v>45586</v>
      </c>
      <c r="G3" s="54">
        <v>45900</v>
      </c>
      <c r="H3" s="63" t="s">
        <v>44</v>
      </c>
      <c r="I3" s="82">
        <v>529000</v>
      </c>
      <c r="J3" s="83">
        <v>1081200</v>
      </c>
      <c r="K3" s="84" t="s">
        <v>24</v>
      </c>
      <c r="L3" s="85">
        <f t="shared" si="0"/>
        <v>315</v>
      </c>
      <c r="M3" s="86">
        <f t="shared" ref="M3:M65" si="3">L3/30</f>
        <v>10.5</v>
      </c>
      <c r="N3" s="87">
        <f t="shared" si="1"/>
        <v>13.125</v>
      </c>
      <c r="O3" s="69">
        <v>8</v>
      </c>
      <c r="P3" s="88">
        <f t="shared" si="2"/>
        <v>21.125</v>
      </c>
      <c r="Q3" s="1">
        <f>VLOOKUP(C4,'[1]Mayo 2025'!$A$7:$E$170,5,0)</f>
        <v>30</v>
      </c>
      <c r="R3" s="89">
        <f>VLOOKUP(C3,'[1]Mayo 2025'!$A$7:$J$170,10,0)</f>
        <v>1079203</v>
      </c>
      <c r="S3" s="1">
        <f>VLOOKUP(C3,'[1]Junio 2025'!$A$7:$C$177,3,0)</f>
        <v>30</v>
      </c>
      <c r="T3" s="89">
        <f>VLOOKUP(C3,'[1]Junio 2025'!$A$7:$H$177,8,0)</f>
        <v>1082474</v>
      </c>
      <c r="U3" s="1">
        <f>VLOOKUP(C3,[1]Julio!$A$7:$E$256,5,0)</f>
        <v>30</v>
      </c>
      <c r="V3" s="89">
        <f>VLOOKUP(C3,[1]Julio!$A$7:$J$255,10,0)</f>
        <v>1082378</v>
      </c>
      <c r="W3" s="90">
        <f t="shared" ref="W3:W34" si="4">+(R3+T3+V3)/(S3+U3+Q3)</f>
        <v>36045.055555555555</v>
      </c>
      <c r="X3" s="91">
        <f t="shared" ref="X3:X34" si="5">+P3*W3</f>
        <v>761451.79861111112</v>
      </c>
      <c r="Y3" s="92">
        <f t="shared" ref="Y3:Y34" si="6">ROUND((((J3/0.814)/30)*2.5),0)</f>
        <v>110688</v>
      </c>
      <c r="Z3" s="91">
        <f>IF(K3="159 N° 4",Y3*M3,0)+IF(K3="161 N° 1",Y3*#REF!,0)+IF(K3="159 N° 1",Y3*M3,0)+IF(K3="159 N° 5",Y3*M3,0)</f>
        <v>1162224</v>
      </c>
      <c r="AA3" s="93">
        <f t="shared" ref="AA3:AA34" si="7">X3+Z3</f>
        <v>1923675.798611111</v>
      </c>
    </row>
    <row r="4" spans="1:27" ht="15.75">
      <c r="A4" s="1">
        <f t="shared" ref="A4:A67" si="8">A3+1</f>
        <v>3</v>
      </c>
      <c r="B4" s="77"/>
      <c r="C4" s="78" t="s">
        <v>52</v>
      </c>
      <c r="D4" s="79" t="s">
        <v>53</v>
      </c>
      <c r="E4" s="80" t="s">
        <v>25</v>
      </c>
      <c r="F4" s="81">
        <v>45586</v>
      </c>
      <c r="G4" s="54">
        <v>45900</v>
      </c>
      <c r="H4" s="63" t="s">
        <v>44</v>
      </c>
      <c r="I4" s="82">
        <v>550000</v>
      </c>
      <c r="J4" s="83">
        <v>1030200</v>
      </c>
      <c r="K4" s="84" t="s">
        <v>24</v>
      </c>
      <c r="L4" s="85">
        <f t="shared" si="0"/>
        <v>315</v>
      </c>
      <c r="M4" s="86">
        <f t="shared" si="3"/>
        <v>10.5</v>
      </c>
      <c r="N4" s="87">
        <f t="shared" si="1"/>
        <v>13.125</v>
      </c>
      <c r="O4" s="69">
        <v>8</v>
      </c>
      <c r="P4" s="88">
        <f t="shared" si="2"/>
        <v>21.125</v>
      </c>
      <c r="Q4" s="1">
        <f>VLOOKUP(C5,'[1]Mayo 2025'!$A$7:$E$170,5,0)</f>
        <v>16</v>
      </c>
      <c r="R4" s="89">
        <f>VLOOKUP(C4,'[1]Mayo 2025'!$A$7:$J$170,10,0)</f>
        <v>1023387</v>
      </c>
      <c r="S4" s="1">
        <f>VLOOKUP(C4,'[1]Junio 2025'!$A$7:$C$177,3,0)</f>
        <v>30</v>
      </c>
      <c r="T4" s="89">
        <f>VLOOKUP(C4,'[1]Junio 2025'!$A$7:$H$177,8,0)</f>
        <v>1016118</v>
      </c>
      <c r="U4" s="1">
        <f>VLOOKUP(C4,[1]Julio!$A$7:$E$256,5,0)</f>
        <v>30</v>
      </c>
      <c r="V4" s="89">
        <f>VLOOKUP(C4,[1]Julio!$A$7:$J$255,10,0)</f>
        <v>1016118</v>
      </c>
      <c r="W4" s="90">
        <f t="shared" si="4"/>
        <v>40205.565789473687</v>
      </c>
      <c r="X4" s="91">
        <f t="shared" si="5"/>
        <v>849342.57730263169</v>
      </c>
      <c r="Y4" s="92">
        <f t="shared" si="6"/>
        <v>105467</v>
      </c>
      <c r="Z4" s="91">
        <f>IF(K4="159 N° 4",Y4*M4,0)+IF(K4="161 N° 1",Y4*#REF!,0)+IF(K4="159 N° 1",Y4*M4,0)+IF(K4="159 N° 5",Y4*M4,0)</f>
        <v>1107403.5</v>
      </c>
      <c r="AA4" s="93">
        <f t="shared" si="7"/>
        <v>1956746.0773026317</v>
      </c>
    </row>
    <row r="5" spans="1:27" ht="15.75">
      <c r="A5" s="1">
        <f t="shared" si="8"/>
        <v>4</v>
      </c>
      <c r="B5" s="77"/>
      <c r="C5" s="78" t="s">
        <v>54</v>
      </c>
      <c r="D5" s="79" t="s">
        <v>55</v>
      </c>
      <c r="E5" s="80" t="s">
        <v>134</v>
      </c>
      <c r="F5" s="81">
        <v>45586</v>
      </c>
      <c r="G5" s="54">
        <v>45900</v>
      </c>
      <c r="H5" s="63" t="s">
        <v>44</v>
      </c>
      <c r="I5" s="82">
        <v>600000</v>
      </c>
      <c r="J5" s="83">
        <v>1213800</v>
      </c>
      <c r="K5" s="84" t="s">
        <v>24</v>
      </c>
      <c r="L5" s="85">
        <f t="shared" si="0"/>
        <v>315</v>
      </c>
      <c r="M5" s="86">
        <f t="shared" si="3"/>
        <v>10.5</v>
      </c>
      <c r="N5" s="87">
        <f t="shared" si="1"/>
        <v>13.125</v>
      </c>
      <c r="O5" s="69">
        <v>8</v>
      </c>
      <c r="P5" s="88">
        <f t="shared" si="2"/>
        <v>21.125</v>
      </c>
      <c r="Q5" s="1">
        <f>VLOOKUP(C6,'[1]Mayo 2025'!$A$7:$E$170,5,0)</f>
        <v>30</v>
      </c>
      <c r="R5" s="89">
        <f>VLOOKUP(C5,'[1]Mayo 2025'!$A$7:$J$170,10,0)</f>
        <v>630701</v>
      </c>
      <c r="S5" s="1">
        <f>VLOOKUP(C5,'[1]Junio 2025'!$A$7:$C$177,3,0)</f>
        <v>30</v>
      </c>
      <c r="T5" s="89">
        <f>VLOOKUP(C5,'[1]Junio 2025'!$A$7:$H$177,8,0)</f>
        <v>1238146</v>
      </c>
      <c r="U5" s="1">
        <f>VLOOKUP(C5,[1]Julio!$A$7:$E$256,5,0)</f>
        <v>30</v>
      </c>
      <c r="V5" s="89">
        <f>VLOOKUP(C5,[1]Julio!$A$7:$J$255,10,0)</f>
        <v>1238051</v>
      </c>
      <c r="W5" s="90">
        <f t="shared" si="4"/>
        <v>34521.088888888888</v>
      </c>
      <c r="X5" s="91">
        <f t="shared" si="5"/>
        <v>729258.00277777773</v>
      </c>
      <c r="Y5" s="92">
        <f t="shared" si="6"/>
        <v>124263</v>
      </c>
      <c r="Z5" s="91">
        <f>IF(K5="159 N° 4",Y5*M5,0)+IF(K5="161 N° 1",Y5*#REF!,0)+IF(K5="159 N° 1",Y5*M5,0)+IF(K5="159 N° 5",Y5*M5,0)</f>
        <v>1304761.5</v>
      </c>
      <c r="AA5" s="93">
        <f t="shared" si="7"/>
        <v>2034019.5027777776</v>
      </c>
    </row>
    <row r="6" spans="1:27" ht="15.75">
      <c r="A6" s="1">
        <f t="shared" si="8"/>
        <v>5</v>
      </c>
      <c r="B6" s="77"/>
      <c r="C6" s="78" t="s">
        <v>58</v>
      </c>
      <c r="D6" s="79" t="s">
        <v>59</v>
      </c>
      <c r="E6" s="80" t="s">
        <v>30</v>
      </c>
      <c r="F6" s="81">
        <v>45586</v>
      </c>
      <c r="G6" s="54">
        <v>45900</v>
      </c>
      <c r="H6" s="63" t="s">
        <v>44</v>
      </c>
      <c r="I6" s="82">
        <v>529000</v>
      </c>
      <c r="J6" s="83">
        <v>918000</v>
      </c>
      <c r="K6" s="84" t="s">
        <v>24</v>
      </c>
      <c r="L6" s="85">
        <f t="shared" si="0"/>
        <v>315</v>
      </c>
      <c r="M6" s="86">
        <f t="shared" si="3"/>
        <v>10.5</v>
      </c>
      <c r="N6" s="87">
        <f t="shared" si="1"/>
        <v>13.125</v>
      </c>
      <c r="O6" s="69">
        <v>8</v>
      </c>
      <c r="P6" s="88">
        <f t="shared" si="2"/>
        <v>21.125</v>
      </c>
      <c r="Q6" s="1">
        <f>VLOOKUP(C7,'[1]Mayo 2025'!$A$7:$E$170,5,0)</f>
        <v>30</v>
      </c>
      <c r="R6" s="89">
        <f>VLOOKUP(C6,'[1]Mayo 2025'!$A$7:$J$170,10,0)</f>
        <v>891107</v>
      </c>
      <c r="S6" s="1">
        <f>VLOOKUP(C6,'[1]Junio 2025'!$A$7:$C$177,3,0)</f>
        <v>30</v>
      </c>
      <c r="T6" s="89">
        <f>VLOOKUP(C6,'[1]Junio 2025'!$A$7:$H$177,8,0)</f>
        <v>901743</v>
      </c>
      <c r="U6" s="1">
        <f>VLOOKUP(C6,[1]Julio!$A$7:$E$256,5,0)</f>
        <v>30</v>
      </c>
      <c r="V6" s="89">
        <f>VLOOKUP(C6,[1]Julio!$A$7:$J$255,10,0)</f>
        <v>901743</v>
      </c>
      <c r="W6" s="90">
        <f t="shared" si="4"/>
        <v>29939.922222222223</v>
      </c>
      <c r="X6" s="91">
        <f t="shared" si="5"/>
        <v>632480.85694444447</v>
      </c>
      <c r="Y6" s="92">
        <f t="shared" si="6"/>
        <v>93980</v>
      </c>
      <c r="Z6" s="91">
        <f>IF(K6="159 N° 4",Y6*M6,0)+IF(K6="161 N° 1",Y6*#REF!,0)+IF(K6="159 N° 1",Y6*M6,0)+IF(K6="159 N° 5",Y6*M6,0)</f>
        <v>986790</v>
      </c>
      <c r="AA6" s="93">
        <f t="shared" si="7"/>
        <v>1619270.8569444446</v>
      </c>
    </row>
    <row r="7" spans="1:27" ht="15.75">
      <c r="A7" s="1">
        <f t="shared" si="8"/>
        <v>6</v>
      </c>
      <c r="B7" s="77"/>
      <c r="C7" s="78" t="s">
        <v>60</v>
      </c>
      <c r="D7" s="79" t="s">
        <v>61</v>
      </c>
      <c r="E7" s="94" t="s">
        <v>28</v>
      </c>
      <c r="F7" s="81">
        <v>45586</v>
      </c>
      <c r="G7" s="54">
        <v>45900</v>
      </c>
      <c r="H7" s="63" t="s">
        <v>44</v>
      </c>
      <c r="I7" s="82">
        <v>900000</v>
      </c>
      <c r="J7" s="83">
        <v>1300000</v>
      </c>
      <c r="K7" s="84" t="s">
        <v>24</v>
      </c>
      <c r="L7" s="85">
        <f t="shared" si="0"/>
        <v>315</v>
      </c>
      <c r="M7" s="86">
        <f t="shared" si="3"/>
        <v>10.5</v>
      </c>
      <c r="N7" s="87">
        <f t="shared" si="1"/>
        <v>13.125</v>
      </c>
      <c r="O7" s="69">
        <v>8</v>
      </c>
      <c r="P7" s="88">
        <f t="shared" si="2"/>
        <v>21.125</v>
      </c>
      <c r="Q7" s="1">
        <f>VLOOKUP(C8,'[1]Mayo 2025'!$A$7:$E$170,5,0)</f>
        <v>30</v>
      </c>
      <c r="R7" s="89">
        <f>VLOOKUP(C7,'[1]Mayo 2025'!$A$7:$J$170,10,0)</f>
        <v>1410860</v>
      </c>
      <c r="S7" s="1">
        <f>VLOOKUP(C7,'[1]Junio 2025'!$A$7:$C$177,3,0)</f>
        <v>30</v>
      </c>
      <c r="T7" s="89">
        <f>VLOOKUP(C7,'[1]Junio 2025'!$A$7:$H$177,8,0)</f>
        <v>1403498</v>
      </c>
      <c r="U7" s="1">
        <f>VLOOKUP(C7,[1]Julio!$A$7:$E$256,5,0)</f>
        <v>30</v>
      </c>
      <c r="V7" s="89">
        <f>VLOOKUP(C7,[1]Julio!$A$7:$J$255,10,0)</f>
        <v>1403402</v>
      </c>
      <c r="W7" s="90">
        <f t="shared" si="4"/>
        <v>46864</v>
      </c>
      <c r="X7" s="91">
        <f t="shared" si="5"/>
        <v>990002</v>
      </c>
      <c r="Y7" s="92">
        <f t="shared" si="6"/>
        <v>133088</v>
      </c>
      <c r="Z7" s="91">
        <f>IF(K7="159 N° 4",Y7*M7,0)+IF(K7="161 N° 1",Y7*#REF!,0)+IF(K7="159 N° 1",Y7*M7,0)+IF(K7="159 N° 5",Y7*M7,0)</f>
        <v>1397424</v>
      </c>
      <c r="AA7" s="93">
        <f t="shared" si="7"/>
        <v>2387426</v>
      </c>
    </row>
    <row r="8" spans="1:27" ht="15.75">
      <c r="A8" s="1">
        <f t="shared" si="8"/>
        <v>7</v>
      </c>
      <c r="B8" s="77"/>
      <c r="C8" s="78" t="s">
        <v>66</v>
      </c>
      <c r="D8" s="79" t="s">
        <v>67</v>
      </c>
      <c r="E8" s="95" t="s">
        <v>136</v>
      </c>
      <c r="F8" s="96">
        <v>45600</v>
      </c>
      <c r="G8" s="54">
        <v>45900</v>
      </c>
      <c r="H8" s="63" t="s">
        <v>45</v>
      </c>
      <c r="I8" s="82">
        <v>550000</v>
      </c>
      <c r="J8" s="83">
        <v>1095000</v>
      </c>
      <c r="K8" s="84" t="s">
        <v>24</v>
      </c>
      <c r="L8" s="85">
        <f t="shared" si="0"/>
        <v>301</v>
      </c>
      <c r="M8" s="86">
        <f t="shared" si="3"/>
        <v>10.033333333333333</v>
      </c>
      <c r="N8" s="87">
        <f t="shared" si="1"/>
        <v>12.541666666666666</v>
      </c>
      <c r="O8" s="69">
        <v>8</v>
      </c>
      <c r="P8" s="88">
        <f t="shared" si="2"/>
        <v>20.541666666666664</v>
      </c>
      <c r="Q8" s="1">
        <f>VLOOKUP(C9,'[1]Mayo 2025'!$A$7:$E$170,5,0)</f>
        <v>30</v>
      </c>
      <c r="R8" s="89">
        <f>VLOOKUP(C8,'[1]Mayo 2025'!$A$7:$J$170,10,0)</f>
        <v>1080000</v>
      </c>
      <c r="S8" s="1">
        <f>VLOOKUP(C8,'[1]Junio 2025'!$A$7:$C$177,3,0)</f>
        <v>30</v>
      </c>
      <c r="T8" s="89">
        <f>VLOOKUP(C8,'[1]Junio 2025'!$A$7:$H$177,8,0)</f>
        <v>1125600</v>
      </c>
      <c r="U8" s="1">
        <f>VLOOKUP(C8,[1]Julio!$A$7:$E$256,5,0)</f>
        <v>30</v>
      </c>
      <c r="V8" s="89">
        <f>VLOOKUP(C8,[1]Julio!$A$7:$J$255,10,0)</f>
        <v>1125503</v>
      </c>
      <c r="W8" s="90">
        <f t="shared" si="4"/>
        <v>37012.255555555559</v>
      </c>
      <c r="X8" s="91">
        <f t="shared" si="5"/>
        <v>760293.41620370373</v>
      </c>
      <c r="Y8" s="92">
        <f t="shared" si="6"/>
        <v>112101</v>
      </c>
      <c r="Z8" s="91">
        <f>IF(K8="159 N° 4",Y8*M8,0)+IF(K8="161 N° 1",Y8*#REF!,0)+IF(K8="159 N° 1",Y8*M8,0)+IF(K8="159 N° 5",Y8*M8,0)</f>
        <v>1124746.7</v>
      </c>
      <c r="AA8" s="93">
        <f t="shared" si="7"/>
        <v>1885040.1162037037</v>
      </c>
    </row>
    <row r="9" spans="1:27" ht="15.75">
      <c r="A9" s="1">
        <f t="shared" si="8"/>
        <v>8</v>
      </c>
      <c r="B9" s="77"/>
      <c r="C9" s="78" t="s">
        <v>70</v>
      </c>
      <c r="D9" s="79" t="s">
        <v>71</v>
      </c>
      <c r="E9" s="95" t="s">
        <v>138</v>
      </c>
      <c r="F9" s="96">
        <v>45600</v>
      </c>
      <c r="G9" s="54">
        <v>45900</v>
      </c>
      <c r="H9" s="63" t="s">
        <v>44</v>
      </c>
      <c r="I9" s="82">
        <v>1000000</v>
      </c>
      <c r="J9" s="83">
        <v>1750000</v>
      </c>
      <c r="K9" s="84" t="s">
        <v>24</v>
      </c>
      <c r="L9" s="85">
        <f t="shared" si="0"/>
        <v>301</v>
      </c>
      <c r="M9" s="86">
        <f t="shared" si="3"/>
        <v>10.033333333333333</v>
      </c>
      <c r="N9" s="87">
        <f t="shared" si="1"/>
        <v>12.541666666666666</v>
      </c>
      <c r="O9" s="69">
        <v>8</v>
      </c>
      <c r="P9" s="88">
        <f t="shared" si="2"/>
        <v>20.541666666666664</v>
      </c>
      <c r="Q9" s="1">
        <f>VLOOKUP(C10,'[1]Mayo 2025'!$A$7:$E$170,5,0)</f>
        <v>30</v>
      </c>
      <c r="R9" s="89">
        <f>VLOOKUP(C9,'[1]Mayo 2025'!$A$7:$J$170,10,0)</f>
        <v>1985590</v>
      </c>
      <c r="S9" s="1">
        <f>VLOOKUP(C9,'[1]Junio 2025'!$A$7:$C$177,3,0)</f>
        <v>30</v>
      </c>
      <c r="T9" s="89">
        <f>VLOOKUP(C9,'[1]Junio 2025'!$A$7:$H$177,8,0)</f>
        <v>1978228</v>
      </c>
      <c r="U9" s="1">
        <f>VLOOKUP(C9,[1]Julio!$A$7:$E$256,5,0)</f>
        <v>30</v>
      </c>
      <c r="V9" s="89">
        <f>VLOOKUP(C9,[1]Julio!$A$7:$J$255,10,0)</f>
        <v>1978133</v>
      </c>
      <c r="W9" s="90">
        <f t="shared" si="4"/>
        <v>66021.677777777775</v>
      </c>
      <c r="X9" s="91">
        <f t="shared" si="5"/>
        <v>1356195.297685185</v>
      </c>
      <c r="Y9" s="92">
        <f t="shared" si="6"/>
        <v>179156</v>
      </c>
      <c r="Z9" s="91">
        <f>IF(K9="159 N° 4",Y9*M9,0)+IF(K9="161 N° 1",Y9*#REF!,0)+IF(K9="159 N° 1",Y9*M9,0)+IF(K9="159 N° 5",Y9*M9,0)</f>
        <v>1797531.8666666667</v>
      </c>
      <c r="AA9" s="93">
        <f t="shared" si="7"/>
        <v>3153727.1643518517</v>
      </c>
    </row>
    <row r="10" spans="1:27" ht="15.75">
      <c r="A10" s="1">
        <f t="shared" si="8"/>
        <v>9</v>
      </c>
      <c r="B10" s="77"/>
      <c r="C10" s="78" t="s">
        <v>74</v>
      </c>
      <c r="D10" s="79" t="s">
        <v>75</v>
      </c>
      <c r="E10" s="95" t="s">
        <v>215</v>
      </c>
      <c r="F10" s="96">
        <v>45600</v>
      </c>
      <c r="G10" s="54">
        <v>45900</v>
      </c>
      <c r="H10" s="63" t="s">
        <v>45</v>
      </c>
      <c r="I10" s="82">
        <v>700000</v>
      </c>
      <c r="J10" s="83">
        <v>1458600</v>
      </c>
      <c r="K10" s="84" t="s">
        <v>24</v>
      </c>
      <c r="L10" s="85">
        <f t="shared" si="0"/>
        <v>301</v>
      </c>
      <c r="M10" s="86">
        <f t="shared" si="3"/>
        <v>10.033333333333333</v>
      </c>
      <c r="N10" s="87">
        <f t="shared" si="1"/>
        <v>12.541666666666666</v>
      </c>
      <c r="O10" s="69">
        <v>8</v>
      </c>
      <c r="P10" s="88">
        <f t="shared" si="2"/>
        <v>20.541666666666664</v>
      </c>
      <c r="Q10" s="1">
        <f>VLOOKUP(C11,'[1]Mayo 2025'!$A$7:$E$170,5,0)</f>
        <v>30</v>
      </c>
      <c r="R10" s="89">
        <f>VLOOKUP(C10,'[1]Mayo 2025'!$A$7:$J$170,10,0)</f>
        <v>1571846</v>
      </c>
      <c r="S10" s="1">
        <f>VLOOKUP(C10,'[1]Junio 2025'!$A$7:$C$177,3,0)</f>
        <v>30</v>
      </c>
      <c r="T10" s="89">
        <f>VLOOKUP(C10,'[1]Junio 2025'!$A$7:$H$177,8,0)</f>
        <v>1564481</v>
      </c>
      <c r="U10" s="1">
        <f>VLOOKUP(C10,[1]Julio!$A$7:$E$256,5,0)</f>
        <v>30</v>
      </c>
      <c r="V10" s="89">
        <f>VLOOKUP(C10,[1]Julio!$A$7:$J$255,10,0)</f>
        <v>1564387</v>
      </c>
      <c r="W10" s="90">
        <f t="shared" si="4"/>
        <v>52230.155555555553</v>
      </c>
      <c r="X10" s="91">
        <f t="shared" si="5"/>
        <v>1072894.4453703703</v>
      </c>
      <c r="Y10" s="92">
        <f t="shared" si="6"/>
        <v>149324</v>
      </c>
      <c r="Z10" s="91">
        <f>IF(K10="159 N° 4",Y10*M10,0)+IF(K10="161 N° 1",Y10*#REF!,0)+IF(K10="159 N° 1",Y10*M10,0)+IF(K10="159 N° 5",Y10*M10,0)</f>
        <v>1498217.4666666666</v>
      </c>
      <c r="AA10" s="93">
        <f t="shared" si="7"/>
        <v>2571111.9120370368</v>
      </c>
    </row>
    <row r="11" spans="1:27" ht="15.75">
      <c r="A11" s="1">
        <f t="shared" si="8"/>
        <v>10</v>
      </c>
      <c r="B11" s="77"/>
      <c r="C11" s="78" t="s">
        <v>76</v>
      </c>
      <c r="D11" s="79" t="s">
        <v>77</v>
      </c>
      <c r="E11" s="95" t="s">
        <v>140</v>
      </c>
      <c r="F11" s="96">
        <v>45600</v>
      </c>
      <c r="G11" s="54">
        <v>45900</v>
      </c>
      <c r="H11" s="63" t="s">
        <v>45</v>
      </c>
      <c r="I11" s="82">
        <v>700000</v>
      </c>
      <c r="J11" s="83">
        <v>1458600</v>
      </c>
      <c r="K11" s="84" t="s">
        <v>24</v>
      </c>
      <c r="L11" s="85">
        <f t="shared" si="0"/>
        <v>301</v>
      </c>
      <c r="M11" s="86">
        <f t="shared" si="3"/>
        <v>10.033333333333333</v>
      </c>
      <c r="N11" s="87">
        <f t="shared" si="1"/>
        <v>12.541666666666666</v>
      </c>
      <c r="O11" s="69">
        <v>8</v>
      </c>
      <c r="P11" s="88">
        <f t="shared" si="2"/>
        <v>20.541666666666664</v>
      </c>
      <c r="Q11" s="1">
        <f>VLOOKUP(C12,'[1]Mayo 2025'!$A$7:$E$170,5,0)</f>
        <v>28</v>
      </c>
      <c r="R11" s="89">
        <f>VLOOKUP(C11,'[1]Mayo 2025'!$A$7:$J$170,10,0)</f>
        <v>1568468</v>
      </c>
      <c r="S11" s="1">
        <f>VLOOKUP(C11,'[1]Junio 2025'!$A$7:$C$177,3,0)</f>
        <v>30</v>
      </c>
      <c r="T11" s="89">
        <f>VLOOKUP(C11,'[1]Junio 2025'!$A$7:$H$177,8,0)</f>
        <v>1561103</v>
      </c>
      <c r="U11" s="1">
        <f>VLOOKUP(C11,[1]Julio!$A$7:$E$256,5,0)</f>
        <v>30</v>
      </c>
      <c r="V11" s="89">
        <f>VLOOKUP(C11,[1]Julio!$A$7:$J$255,10,0)</f>
        <v>1561008</v>
      </c>
      <c r="W11" s="90">
        <f t="shared" si="4"/>
        <v>53302.034090909088</v>
      </c>
      <c r="X11" s="91">
        <f t="shared" si="5"/>
        <v>1094912.6169507573</v>
      </c>
      <c r="Y11" s="92">
        <f t="shared" si="6"/>
        <v>149324</v>
      </c>
      <c r="Z11" s="91">
        <f>IF(K11="159 N° 4",Y11*M11,0)+IF(K11="161 N° 1",Y11*#REF!,0)+IF(K11="159 N° 1",Y11*M11,0)+IF(K11="159 N° 5",Y11*M11,0)</f>
        <v>1498217.4666666666</v>
      </c>
      <c r="AA11" s="93">
        <f t="shared" si="7"/>
        <v>2593130.0836174237</v>
      </c>
    </row>
    <row r="12" spans="1:27" ht="15.75">
      <c r="A12" s="1">
        <f t="shared" si="8"/>
        <v>11</v>
      </c>
      <c r="B12" s="77"/>
      <c r="C12" s="78" t="s">
        <v>78</v>
      </c>
      <c r="D12" s="79" t="s">
        <v>79</v>
      </c>
      <c r="E12" s="95" t="s">
        <v>141</v>
      </c>
      <c r="F12" s="96">
        <v>45600</v>
      </c>
      <c r="G12" s="54">
        <v>45900</v>
      </c>
      <c r="H12" s="63" t="s">
        <v>45</v>
      </c>
      <c r="I12" s="82">
        <v>600000</v>
      </c>
      <c r="J12" s="83">
        <v>1213800</v>
      </c>
      <c r="K12" s="84" t="s">
        <v>24</v>
      </c>
      <c r="L12" s="85">
        <f t="shared" si="0"/>
        <v>301</v>
      </c>
      <c r="M12" s="86">
        <f t="shared" si="3"/>
        <v>10.033333333333333</v>
      </c>
      <c r="N12" s="87">
        <f t="shared" si="1"/>
        <v>12.541666666666666</v>
      </c>
      <c r="O12" s="69">
        <v>8</v>
      </c>
      <c r="P12" s="88">
        <f t="shared" si="2"/>
        <v>20.541666666666664</v>
      </c>
      <c r="Q12" s="1">
        <f>VLOOKUP(C13,'[1]Mayo 2025'!$A$7:$E$170,5,0)</f>
        <v>30</v>
      </c>
      <c r="R12" s="89">
        <f>VLOOKUP(C12,'[1]Mayo 2025'!$A$7:$J$170,10,0)</f>
        <v>1158614</v>
      </c>
      <c r="S12" s="1">
        <f>VLOOKUP(C12,'[1]Junio 2025'!$A$7:$C$177,3,0)</f>
        <v>30</v>
      </c>
      <c r="T12" s="89">
        <f>VLOOKUP(C12,'[1]Junio 2025'!$A$7:$H$177,8,0)</f>
        <v>1251827</v>
      </c>
      <c r="U12" s="1">
        <f>VLOOKUP(C12,[1]Julio!$A$7:$E$256,5,0)</f>
        <v>30</v>
      </c>
      <c r="V12" s="89">
        <f>VLOOKUP(C12,[1]Julio!$A$7:$J$255,10,0)</f>
        <v>1251732</v>
      </c>
      <c r="W12" s="90">
        <f t="shared" si="4"/>
        <v>40690.811111111114</v>
      </c>
      <c r="X12" s="91">
        <f t="shared" si="5"/>
        <v>835857.0782407407</v>
      </c>
      <c r="Y12" s="92">
        <f t="shared" si="6"/>
        <v>124263</v>
      </c>
      <c r="Z12" s="91">
        <f>IF(K12="159 N° 4",Y12*M12,0)+IF(K12="161 N° 1",Y12*#REF!,0)+IF(K12="159 N° 1",Y12*M12,0)+IF(K12="159 N° 5",Y12*M12,0)</f>
        <v>1246772.1000000001</v>
      </c>
      <c r="AA12" s="93">
        <f t="shared" si="7"/>
        <v>2082629.1782407407</v>
      </c>
    </row>
    <row r="13" spans="1:27" ht="15.75">
      <c r="A13" s="1">
        <f t="shared" si="8"/>
        <v>12</v>
      </c>
      <c r="B13" s="77"/>
      <c r="C13" s="78" t="s">
        <v>82</v>
      </c>
      <c r="D13" s="79" t="s">
        <v>83</v>
      </c>
      <c r="E13" s="95" t="s">
        <v>27</v>
      </c>
      <c r="F13" s="96">
        <v>45600</v>
      </c>
      <c r="G13" s="54">
        <v>45900</v>
      </c>
      <c r="H13" s="63" t="s">
        <v>45</v>
      </c>
      <c r="I13" s="82">
        <v>550000</v>
      </c>
      <c r="J13" s="83">
        <v>1081200</v>
      </c>
      <c r="K13" s="84" t="s">
        <v>24</v>
      </c>
      <c r="L13" s="85">
        <f t="shared" si="0"/>
        <v>301</v>
      </c>
      <c r="M13" s="86">
        <f t="shared" si="3"/>
        <v>10.033333333333333</v>
      </c>
      <c r="N13" s="87">
        <f t="shared" si="1"/>
        <v>12.541666666666666</v>
      </c>
      <c r="O13" s="69">
        <v>8</v>
      </c>
      <c r="P13" s="88">
        <f t="shared" si="2"/>
        <v>20.541666666666664</v>
      </c>
      <c r="Q13" s="1">
        <f>VLOOKUP(C14,'[1]Mayo 2025'!$A$7:$E$170,5,0)</f>
        <v>30</v>
      </c>
      <c r="R13" s="89">
        <f>VLOOKUP(C13,'[1]Mayo 2025'!$A$7:$J$170,10,0)</f>
        <v>1089839</v>
      </c>
      <c r="S13" s="1">
        <f>VLOOKUP(C13,'[1]Junio 2025'!$A$7:$C$177,3,0)</f>
        <v>30</v>
      </c>
      <c r="T13" s="89">
        <f>VLOOKUP(C13,'[1]Junio 2025'!$A$7:$H$177,8,0)</f>
        <v>1082474</v>
      </c>
      <c r="U13" s="1">
        <f>VLOOKUP(C13,[1]Julio!$A$7:$E$256,5,0)</f>
        <v>30</v>
      </c>
      <c r="V13" s="89">
        <f>VLOOKUP(C13,[1]Julio!$A$7:$J$255,10,0)</f>
        <v>1082378</v>
      </c>
      <c r="W13" s="90">
        <f t="shared" si="4"/>
        <v>36163.23333333333</v>
      </c>
      <c r="X13" s="91">
        <f t="shared" si="5"/>
        <v>742853.08472222206</v>
      </c>
      <c r="Y13" s="92">
        <f t="shared" si="6"/>
        <v>110688</v>
      </c>
      <c r="Z13" s="91">
        <f>IF(K13="159 N° 4",Y13*M13,0)+IF(K13="161 N° 1",Y13*#REF!,0)+IF(K13="159 N° 1",Y13*M13,0)+IF(K13="159 N° 5",Y13*M13,0)</f>
        <v>1110569.6000000001</v>
      </c>
      <c r="AA13" s="93">
        <f t="shared" si="7"/>
        <v>1853422.6847222222</v>
      </c>
    </row>
    <row r="14" spans="1:27" ht="15.75">
      <c r="A14" s="1">
        <f t="shared" si="8"/>
        <v>13</v>
      </c>
      <c r="B14" s="77"/>
      <c r="C14" s="78" t="s">
        <v>86</v>
      </c>
      <c r="D14" s="79" t="s">
        <v>87</v>
      </c>
      <c r="E14" s="95" t="s">
        <v>142</v>
      </c>
      <c r="F14" s="96">
        <v>45600</v>
      </c>
      <c r="G14" s="54">
        <v>45900</v>
      </c>
      <c r="H14" s="63" t="s">
        <v>44</v>
      </c>
      <c r="I14" s="82">
        <v>1200000</v>
      </c>
      <c r="J14" s="83">
        <v>1800000</v>
      </c>
      <c r="K14" s="84" t="s">
        <v>24</v>
      </c>
      <c r="L14" s="85">
        <f t="shared" si="0"/>
        <v>301</v>
      </c>
      <c r="M14" s="86">
        <f t="shared" si="3"/>
        <v>10.033333333333333</v>
      </c>
      <c r="N14" s="87">
        <f t="shared" si="1"/>
        <v>12.541666666666666</v>
      </c>
      <c r="O14" s="69">
        <v>8</v>
      </c>
      <c r="P14" s="88">
        <f t="shared" si="2"/>
        <v>20.541666666666664</v>
      </c>
      <c r="Q14" s="1">
        <f>VLOOKUP(C15,'[1]Mayo 2025'!$A$7:$E$170,5,0)</f>
        <v>30</v>
      </c>
      <c r="R14" s="89">
        <f>VLOOKUP(C14,'[1]Mayo 2025'!$A$7:$J$170,10,0)</f>
        <v>2049452</v>
      </c>
      <c r="S14" s="1">
        <f>VLOOKUP(C14,'[1]Junio 2025'!$A$7:$C$177,3,0)</f>
        <v>24</v>
      </c>
      <c r="T14" s="89">
        <f>VLOOKUP(C14,'[1]Junio 2025'!$A$7:$H$177,8,0)</f>
        <v>1582303</v>
      </c>
      <c r="U14" s="1">
        <f>VLOOKUP(C14,[1]Julio!$A$7:$E$256,5,0)</f>
        <v>28</v>
      </c>
      <c r="V14" s="89">
        <f>VLOOKUP(C14,[1]Julio!$A$7:$J$255,10,0)</f>
        <v>1982064</v>
      </c>
      <c r="W14" s="90">
        <f t="shared" si="4"/>
        <v>68461.207317073175</v>
      </c>
      <c r="X14" s="91">
        <f t="shared" si="5"/>
        <v>1406307.300304878</v>
      </c>
      <c r="Y14" s="92">
        <f t="shared" si="6"/>
        <v>184275</v>
      </c>
      <c r="Z14" s="91">
        <f>IF(K14="159 N° 4",Y14*M14,0)+IF(K14="161 N° 1",Y14*#REF!,0)+IF(K14="159 N° 1",Y14*M14,0)+IF(K14="159 N° 5",Y14*M14,0)</f>
        <v>1848892.5</v>
      </c>
      <c r="AA14" s="93">
        <f t="shared" si="7"/>
        <v>3255199.800304878</v>
      </c>
    </row>
    <row r="15" spans="1:27" ht="15.75">
      <c r="A15" s="1">
        <f t="shared" si="8"/>
        <v>14</v>
      </c>
      <c r="B15" s="77"/>
      <c r="C15" s="78" t="s">
        <v>90</v>
      </c>
      <c r="D15" s="79" t="s">
        <v>91</v>
      </c>
      <c r="E15" s="95" t="s">
        <v>136</v>
      </c>
      <c r="F15" s="96">
        <v>45600</v>
      </c>
      <c r="G15" s="54">
        <v>45900</v>
      </c>
      <c r="H15" s="63" t="s">
        <v>45</v>
      </c>
      <c r="I15" s="82">
        <v>550000</v>
      </c>
      <c r="J15" s="83">
        <v>1116900</v>
      </c>
      <c r="K15" s="84" t="s">
        <v>24</v>
      </c>
      <c r="L15" s="85">
        <f t="shared" si="0"/>
        <v>301</v>
      </c>
      <c r="M15" s="86">
        <f t="shared" si="3"/>
        <v>10.033333333333333</v>
      </c>
      <c r="N15" s="87">
        <f t="shared" si="1"/>
        <v>12.541666666666666</v>
      </c>
      <c r="O15" s="69">
        <v>8</v>
      </c>
      <c r="P15" s="88">
        <f t="shared" si="2"/>
        <v>20.541666666666664</v>
      </c>
      <c r="Q15" s="1">
        <f>VLOOKUP(C16,'[1]Mayo 2025'!$A$7:$E$170,5,0)</f>
        <v>30</v>
      </c>
      <c r="R15" s="89">
        <f>VLOOKUP(C15,'[1]Mayo 2025'!$A$7:$J$170,10,0)</f>
        <v>1132963</v>
      </c>
      <c r="S15" s="1">
        <f>VLOOKUP(C15,'[1]Junio 2025'!$A$7:$C$177,3,0)</f>
        <v>30</v>
      </c>
      <c r="T15" s="89">
        <f>VLOOKUP(C15,'[1]Junio 2025'!$A$7:$H$177,8,0)</f>
        <v>1125600</v>
      </c>
      <c r="U15" s="1">
        <f>VLOOKUP(C15,[1]Julio!$A$7:$E$256,5,0)</f>
        <v>30</v>
      </c>
      <c r="V15" s="89">
        <f>VLOOKUP(C15,[1]Julio!$A$7:$J$255,10,0)</f>
        <v>1125503</v>
      </c>
      <c r="W15" s="90">
        <f t="shared" si="4"/>
        <v>37600.73333333333</v>
      </c>
      <c r="X15" s="91">
        <f t="shared" si="5"/>
        <v>772381.73055555543</v>
      </c>
      <c r="Y15" s="92">
        <f t="shared" si="6"/>
        <v>114343</v>
      </c>
      <c r="Z15" s="91">
        <f>IF(K15="159 N° 4",Y15*M15,0)+IF(K15="161 N° 1",Y15*#REF!,0)+IF(K15="159 N° 1",Y15*M15,0)+IF(K15="159 N° 5",Y15*M15,0)</f>
        <v>1147241.4333333333</v>
      </c>
      <c r="AA15" s="93">
        <f t="shared" si="7"/>
        <v>1919623.1638888889</v>
      </c>
    </row>
    <row r="16" spans="1:27" ht="15.75">
      <c r="A16" s="1">
        <f t="shared" si="8"/>
        <v>15</v>
      </c>
      <c r="B16" s="77"/>
      <c r="C16" s="78" t="s">
        <v>92</v>
      </c>
      <c r="D16" s="79" t="s">
        <v>93</v>
      </c>
      <c r="E16" s="95" t="s">
        <v>137</v>
      </c>
      <c r="F16" s="96">
        <v>45600</v>
      </c>
      <c r="G16" s="54">
        <v>45900</v>
      </c>
      <c r="H16" s="63" t="s">
        <v>45</v>
      </c>
      <c r="I16" s="82">
        <v>529000</v>
      </c>
      <c r="J16" s="83">
        <v>1030200</v>
      </c>
      <c r="K16" s="84" t="s">
        <v>24</v>
      </c>
      <c r="L16" s="85">
        <f t="shared" si="0"/>
        <v>301</v>
      </c>
      <c r="M16" s="86">
        <f t="shared" si="3"/>
        <v>10.033333333333333</v>
      </c>
      <c r="N16" s="87">
        <f t="shared" si="1"/>
        <v>12.541666666666666</v>
      </c>
      <c r="O16" s="69">
        <v>8</v>
      </c>
      <c r="P16" s="88">
        <f t="shared" si="2"/>
        <v>20.541666666666664</v>
      </c>
      <c r="Q16" s="1">
        <f>VLOOKUP(C17,'[1]Mayo 2025'!$A$7:$E$170,5,0)</f>
        <v>30</v>
      </c>
      <c r="R16" s="89">
        <f>VLOOKUP(C16,'[1]Mayo 2025'!$A$7:$J$170,10,0)</f>
        <v>1014198</v>
      </c>
      <c r="S16" s="1">
        <f>VLOOKUP(C16,'[1]Junio 2025'!$A$7:$C$177,3,0)</f>
        <v>29</v>
      </c>
      <c r="T16" s="89">
        <f>VLOOKUP(C16,'[1]Junio 2025'!$A$7:$H$177,8,0)</f>
        <v>977850</v>
      </c>
      <c r="U16" s="1">
        <f>VLOOKUP(C16,[1]Julio!$A$7:$E$256,5,0)</f>
        <v>30</v>
      </c>
      <c r="V16" s="89">
        <f>VLOOKUP(C16,[1]Julio!$A$7:$J$255,10,0)</f>
        <v>1017565</v>
      </c>
      <c r="W16" s="90">
        <f t="shared" si="4"/>
        <v>33815.876404494382</v>
      </c>
      <c r="X16" s="91">
        <f t="shared" si="5"/>
        <v>694634.46114232205</v>
      </c>
      <c r="Y16" s="92">
        <f t="shared" si="6"/>
        <v>105467</v>
      </c>
      <c r="Z16" s="91">
        <f>IF(K16="159 N° 4",Y16*M16,0)+IF(K16="161 N° 1",Y16*#REF!,0)+IF(K16="159 N° 1",Y16*M16,0)+IF(K16="159 N° 5",Y16*M16,0)</f>
        <v>1058185.5666666667</v>
      </c>
      <c r="AA16" s="93">
        <f t="shared" si="7"/>
        <v>1752820.0278089887</v>
      </c>
    </row>
    <row r="17" spans="1:27" ht="15.75">
      <c r="A17" s="1">
        <f t="shared" si="8"/>
        <v>16</v>
      </c>
      <c r="B17" s="77"/>
      <c r="C17" s="78" t="s">
        <v>94</v>
      </c>
      <c r="D17" s="79" t="s">
        <v>95</v>
      </c>
      <c r="E17" s="95" t="s">
        <v>137</v>
      </c>
      <c r="F17" s="96">
        <v>45600</v>
      </c>
      <c r="G17" s="54">
        <v>45900</v>
      </c>
      <c r="H17" s="63" t="s">
        <v>45</v>
      </c>
      <c r="I17" s="82">
        <v>529000</v>
      </c>
      <c r="J17" s="83">
        <v>1030200</v>
      </c>
      <c r="K17" s="84" t="s">
        <v>24</v>
      </c>
      <c r="L17" s="85">
        <f t="shared" si="0"/>
        <v>301</v>
      </c>
      <c r="M17" s="86">
        <f t="shared" si="3"/>
        <v>10.033333333333333</v>
      </c>
      <c r="N17" s="87">
        <f t="shared" si="1"/>
        <v>12.541666666666666</v>
      </c>
      <c r="O17" s="69">
        <v>8</v>
      </c>
      <c r="P17" s="88">
        <f t="shared" si="2"/>
        <v>20.541666666666664</v>
      </c>
      <c r="Q17" s="1">
        <f>VLOOKUP(C18,'[1]Mayo 2025'!$A$7:$E$170,5,0)</f>
        <v>30</v>
      </c>
      <c r="R17" s="89">
        <f>VLOOKUP(C17,'[1]Mayo 2025'!$A$7:$J$170,10,0)</f>
        <v>1016576</v>
      </c>
      <c r="S17" s="1">
        <f>VLOOKUP(C17,'[1]Junio 2025'!$A$7:$C$177,3,0)</f>
        <v>30</v>
      </c>
      <c r="T17" s="89">
        <f>VLOOKUP(C17,'[1]Junio 2025'!$A$7:$H$177,8,0)</f>
        <v>1019943</v>
      </c>
      <c r="U17" s="1">
        <f>VLOOKUP(C17,[1]Julio!$A$7:$E$256,5,0)</f>
        <v>30</v>
      </c>
      <c r="V17" s="89">
        <f>VLOOKUP(C17,[1]Julio!$A$7:$J$255,10,0)</f>
        <v>1019943</v>
      </c>
      <c r="W17" s="90">
        <f t="shared" si="4"/>
        <v>33960.688888888886</v>
      </c>
      <c r="X17" s="91">
        <f t="shared" si="5"/>
        <v>697609.15092592582</v>
      </c>
      <c r="Y17" s="92">
        <f t="shared" si="6"/>
        <v>105467</v>
      </c>
      <c r="Z17" s="91">
        <f>IF(K17="159 N° 4",Y17*M17,0)+IF(K17="161 N° 1",Y17*#REF!,0)+IF(K17="159 N° 1",Y17*M17,0)+IF(K17="159 N° 5",Y17*M17,0)</f>
        <v>1058185.5666666667</v>
      </c>
      <c r="AA17" s="93">
        <f t="shared" si="7"/>
        <v>1755794.7175925924</v>
      </c>
    </row>
    <row r="18" spans="1:27" ht="15.75">
      <c r="A18" s="1">
        <f t="shared" si="8"/>
        <v>17</v>
      </c>
      <c r="B18" s="77"/>
      <c r="C18" s="78" t="s">
        <v>96</v>
      </c>
      <c r="D18" s="79" t="s">
        <v>97</v>
      </c>
      <c r="E18" s="95" t="s">
        <v>143</v>
      </c>
      <c r="F18" s="96">
        <v>45600</v>
      </c>
      <c r="G18" s="54">
        <v>45900</v>
      </c>
      <c r="H18" s="63" t="s">
        <v>45</v>
      </c>
      <c r="I18" s="82">
        <v>529000</v>
      </c>
      <c r="J18" s="83">
        <v>765000</v>
      </c>
      <c r="K18" s="84" t="s">
        <v>24</v>
      </c>
      <c r="L18" s="85">
        <f t="shared" si="0"/>
        <v>301</v>
      </c>
      <c r="M18" s="86">
        <f t="shared" si="3"/>
        <v>10.033333333333333</v>
      </c>
      <c r="N18" s="87">
        <f t="shared" si="1"/>
        <v>12.541666666666666</v>
      </c>
      <c r="O18" s="69">
        <v>8</v>
      </c>
      <c r="P18" s="88">
        <f t="shared" si="2"/>
        <v>20.541666666666664</v>
      </c>
      <c r="Q18" s="1">
        <f>VLOOKUP(C19,'[1]Mayo 2025'!$A$7:$E$170,5,0)</f>
        <v>30</v>
      </c>
      <c r="R18" s="89">
        <f>VLOOKUP(C18,'[1]Mayo 2025'!$A$7:$J$170,10,0)</f>
        <v>741346</v>
      </c>
      <c r="S18" s="1">
        <f>VLOOKUP(C18,'[1]Junio 2025'!$A$7:$C$177,3,0)</f>
        <v>30</v>
      </c>
      <c r="T18" s="89">
        <f>VLOOKUP(C18,'[1]Junio 2025'!$A$7:$H$177,8,0)</f>
        <v>751982</v>
      </c>
      <c r="U18" s="1">
        <f>VLOOKUP(C18,[1]Julio!$A$7:$E$256,5,0)</f>
        <v>30</v>
      </c>
      <c r="V18" s="89">
        <f>VLOOKUP(C18,[1]Julio!$A$7:$J$255,10,0)</f>
        <v>751982</v>
      </c>
      <c r="W18" s="90">
        <f t="shared" si="4"/>
        <v>24947.888888888891</v>
      </c>
      <c r="X18" s="91">
        <f t="shared" si="5"/>
        <v>512471.21759259258</v>
      </c>
      <c r="Y18" s="92">
        <f t="shared" si="6"/>
        <v>78317</v>
      </c>
      <c r="Z18" s="91">
        <f>IF(K18="159 N° 4",Y18*M18,0)+IF(K18="161 N° 1",Y18*#REF!,0)+IF(K18="159 N° 1",Y18*M18,0)+IF(K18="159 N° 5",Y18*M18,0)</f>
        <v>785780.56666666665</v>
      </c>
      <c r="AA18" s="93">
        <f t="shared" si="7"/>
        <v>1298251.7842592592</v>
      </c>
    </row>
    <row r="19" spans="1:27" ht="15.75">
      <c r="A19" s="1">
        <f t="shared" si="8"/>
        <v>18</v>
      </c>
      <c r="B19" s="77"/>
      <c r="C19" s="78" t="s">
        <v>98</v>
      </c>
      <c r="D19" s="79" t="s">
        <v>99</v>
      </c>
      <c r="E19" s="95" t="s">
        <v>144</v>
      </c>
      <c r="F19" s="96">
        <v>45602</v>
      </c>
      <c r="G19" s="54">
        <v>45900</v>
      </c>
      <c r="H19" s="63" t="s">
        <v>44</v>
      </c>
      <c r="I19" s="82">
        <v>900000</v>
      </c>
      <c r="J19" s="83">
        <v>1458600</v>
      </c>
      <c r="K19" s="84" t="s">
        <v>24</v>
      </c>
      <c r="L19" s="85">
        <f t="shared" si="0"/>
        <v>299</v>
      </c>
      <c r="M19" s="86">
        <f t="shared" si="3"/>
        <v>9.9666666666666668</v>
      </c>
      <c r="N19" s="87">
        <f t="shared" si="1"/>
        <v>12.458333333333334</v>
      </c>
      <c r="O19" s="69">
        <v>8</v>
      </c>
      <c r="P19" s="88">
        <f t="shared" si="2"/>
        <v>20.458333333333336</v>
      </c>
      <c r="Q19" s="1">
        <f>VLOOKUP(C20,'[1]Mayo 2025'!$A$7:$E$170,5,0)</f>
        <v>1</v>
      </c>
      <c r="R19" s="89">
        <f>VLOOKUP(C19,'[1]Mayo 2025'!$A$7:$J$170,10,0)</f>
        <v>1571846</v>
      </c>
      <c r="S19" s="1">
        <f>VLOOKUP(C19,'[1]Junio 2025'!$A$7:$C$177,3,0)</f>
        <v>30</v>
      </c>
      <c r="T19" s="89">
        <f>VLOOKUP(C19,'[1]Junio 2025'!$A$7:$H$177,8,0)</f>
        <v>1564481</v>
      </c>
      <c r="U19" s="1">
        <f>VLOOKUP(C19,[1]Julio!$A$7:$E$256,5,0)</f>
        <v>30</v>
      </c>
      <c r="V19" s="89">
        <f>VLOOKUP(C19,[1]Julio!$A$7:$J$255,10,0)</f>
        <v>1564387</v>
      </c>
      <c r="W19" s="90">
        <f t="shared" si="4"/>
        <v>77060.885245901634</v>
      </c>
      <c r="X19" s="91">
        <f t="shared" si="5"/>
        <v>1576537.2773224046</v>
      </c>
      <c r="Y19" s="92">
        <f t="shared" si="6"/>
        <v>149324</v>
      </c>
      <c r="Z19" s="91">
        <f>IF(K19="159 N° 4",Y19*M19,0)+IF(K19="161 N° 1",Y19*#REF!,0)+IF(K19="159 N° 1",Y19*M19,0)+IF(K19="159 N° 5",Y19*M19,0)</f>
        <v>1488262.5333333334</v>
      </c>
      <c r="AA19" s="93">
        <f t="shared" si="7"/>
        <v>3064799.8106557382</v>
      </c>
    </row>
    <row r="20" spans="1:27" ht="15.75">
      <c r="A20" s="1">
        <f t="shared" si="8"/>
        <v>19</v>
      </c>
      <c r="B20" s="77"/>
      <c r="C20" s="78" t="s">
        <v>100</v>
      </c>
      <c r="D20" s="79" t="s">
        <v>101</v>
      </c>
      <c r="E20" s="95" t="s">
        <v>145</v>
      </c>
      <c r="F20" s="96">
        <v>45607</v>
      </c>
      <c r="G20" s="54">
        <v>45900</v>
      </c>
      <c r="H20" s="63" t="s">
        <v>45</v>
      </c>
      <c r="I20" s="82">
        <v>550000</v>
      </c>
      <c r="J20" s="83">
        <v>1081200</v>
      </c>
      <c r="K20" s="84" t="s">
        <v>24</v>
      </c>
      <c r="L20" s="85">
        <f t="shared" si="0"/>
        <v>294</v>
      </c>
      <c r="M20" s="86">
        <f t="shared" si="3"/>
        <v>9.8000000000000007</v>
      </c>
      <c r="N20" s="87">
        <f t="shared" si="1"/>
        <v>12.25</v>
      </c>
      <c r="O20" s="69">
        <v>8</v>
      </c>
      <c r="P20" s="88">
        <f t="shared" si="2"/>
        <v>20.25</v>
      </c>
      <c r="Q20" s="1">
        <f>VLOOKUP(C21,'[1]Mayo 2025'!$A$7:$E$170,5,0)</f>
        <v>30</v>
      </c>
      <c r="R20" s="89">
        <f>VLOOKUP(C20,'[1]Mayo 2025'!$A$7:$J$170,10,0)</f>
        <v>35446</v>
      </c>
      <c r="S20" s="1">
        <f>VLOOKUP(C20,'[1]Junio 2025'!$A$7:$C$177,3,0)</f>
        <v>30</v>
      </c>
      <c r="T20" s="89">
        <f>VLOOKUP(C20,'[1]Junio 2025'!$A$7:$H$177,8,0)</f>
        <v>1082474</v>
      </c>
      <c r="U20" s="1">
        <f>VLOOKUP(C20,[1]Julio!$A$7:$E$256,5,0)</f>
        <v>30</v>
      </c>
      <c r="V20" s="89">
        <f>VLOOKUP(C20,[1]Julio!$A$7:$J$255,10,0)</f>
        <v>1082378</v>
      </c>
      <c r="W20" s="90">
        <f t="shared" si="4"/>
        <v>24447.755555555555</v>
      </c>
      <c r="X20" s="91">
        <f t="shared" si="5"/>
        <v>495067.05</v>
      </c>
      <c r="Y20" s="92">
        <f t="shared" si="6"/>
        <v>110688</v>
      </c>
      <c r="Z20" s="91">
        <f>IF(K20="159 N° 4",Y20*M20,0)+IF(K20="161 N° 1",Y20*#REF!,0)+IF(K20="159 N° 1",Y20*M20,0)+IF(K20="159 N° 5",Y20*M20,0)</f>
        <v>1084742.4000000001</v>
      </c>
      <c r="AA20" s="93">
        <f t="shared" si="7"/>
        <v>1579809.4500000002</v>
      </c>
    </row>
    <row r="21" spans="1:27" ht="15.75">
      <c r="A21" s="1">
        <f t="shared" si="8"/>
        <v>20</v>
      </c>
      <c r="B21" s="77"/>
      <c r="C21" s="78" t="s">
        <v>104</v>
      </c>
      <c r="D21" s="79" t="s">
        <v>105</v>
      </c>
      <c r="E21" s="95" t="s">
        <v>137</v>
      </c>
      <c r="F21" s="96">
        <v>45629</v>
      </c>
      <c r="G21" s="54">
        <v>45900</v>
      </c>
      <c r="H21" s="63" t="s">
        <v>45</v>
      </c>
      <c r="I21" s="82">
        <v>529000</v>
      </c>
      <c r="J21" s="83">
        <v>1030200</v>
      </c>
      <c r="K21" s="84" t="s">
        <v>24</v>
      </c>
      <c r="L21" s="85">
        <f t="shared" si="0"/>
        <v>272</v>
      </c>
      <c r="M21" s="86">
        <f t="shared" si="3"/>
        <v>9.0666666666666664</v>
      </c>
      <c r="N21" s="87">
        <f t="shared" si="1"/>
        <v>11.333333333333332</v>
      </c>
      <c r="O21" s="69">
        <v>8</v>
      </c>
      <c r="P21" s="88">
        <f t="shared" si="2"/>
        <v>19.333333333333332</v>
      </c>
      <c r="Q21" s="1">
        <f>VLOOKUP(C22,'[1]Mayo 2025'!$A$7:$E$170,5,0)</f>
        <v>30</v>
      </c>
      <c r="R21" s="89">
        <f>VLOOKUP(C21,'[1]Mayo 2025'!$A$7:$J$170,10,0)</f>
        <v>1016442</v>
      </c>
      <c r="S21" s="1">
        <f>VLOOKUP(C21,'[1]Junio 2025'!$A$7:$C$177,3,0)</f>
        <v>30</v>
      </c>
      <c r="T21" s="89">
        <f>VLOOKUP(C21,'[1]Junio 2025'!$A$7:$H$177,8,0)</f>
        <v>1019809</v>
      </c>
      <c r="U21" s="1">
        <f>VLOOKUP(C21,[1]Julio!$A$7:$E$256,5,0)</f>
        <v>30</v>
      </c>
      <c r="V21" s="89">
        <f>VLOOKUP(C21,[1]Julio!$A$7:$J$255,10,0)</f>
        <v>1019809</v>
      </c>
      <c r="W21" s="90">
        <f t="shared" si="4"/>
        <v>33956.222222222219</v>
      </c>
      <c r="X21" s="91">
        <f t="shared" si="5"/>
        <v>656486.9629629628</v>
      </c>
      <c r="Y21" s="92">
        <f t="shared" si="6"/>
        <v>105467</v>
      </c>
      <c r="Z21" s="91">
        <f>IF(K21="159 N° 4",Y21*M21,0)+IF(K21="161 N° 1",Y21*#REF!,0)+IF(K21="159 N° 1",Y21*M21,0)+IF(K21="159 N° 5",Y21*M21,0)</f>
        <v>956234.1333333333</v>
      </c>
      <c r="AA21" s="93">
        <f t="shared" si="7"/>
        <v>1612721.096296296</v>
      </c>
    </row>
    <row r="22" spans="1:27" ht="15.75">
      <c r="A22" s="1">
        <f t="shared" si="8"/>
        <v>21</v>
      </c>
      <c r="B22" s="77"/>
      <c r="C22" s="78" t="s">
        <v>106</v>
      </c>
      <c r="D22" s="79" t="s">
        <v>107</v>
      </c>
      <c r="E22" s="95" t="s">
        <v>136</v>
      </c>
      <c r="F22" s="96">
        <v>45629</v>
      </c>
      <c r="G22" s="54">
        <v>45900</v>
      </c>
      <c r="H22" s="63" t="s">
        <v>45</v>
      </c>
      <c r="I22" s="82">
        <v>529000</v>
      </c>
      <c r="J22" s="83">
        <v>1116900</v>
      </c>
      <c r="K22" s="84" t="s">
        <v>24</v>
      </c>
      <c r="L22" s="85">
        <f t="shared" si="0"/>
        <v>272</v>
      </c>
      <c r="M22" s="86">
        <f t="shared" si="3"/>
        <v>9.0666666666666664</v>
      </c>
      <c r="N22" s="87">
        <f t="shared" si="1"/>
        <v>11.333333333333332</v>
      </c>
      <c r="O22" s="69">
        <v>8</v>
      </c>
      <c r="P22" s="88">
        <f t="shared" si="2"/>
        <v>19.333333333333332</v>
      </c>
      <c r="Q22" s="1">
        <f>VLOOKUP(C23,'[1]Mayo 2025'!$A$7:$E$170,5,0)</f>
        <v>30</v>
      </c>
      <c r="R22" s="89">
        <f>VLOOKUP(C22,'[1]Mayo 2025'!$A$7:$J$170,10,0)</f>
        <v>1135577</v>
      </c>
      <c r="S22" s="1">
        <f>VLOOKUP(C22,'[1]Junio 2025'!$A$7:$C$177,3,0)</f>
        <v>30</v>
      </c>
      <c r="T22" s="89">
        <f>VLOOKUP(C22,'[1]Junio 2025'!$A$7:$H$177,8,0)</f>
        <v>1128215</v>
      </c>
      <c r="U22" s="1">
        <f>VLOOKUP(C22,[1]Julio!$A$7:$E$256,5,0)</f>
        <v>30</v>
      </c>
      <c r="V22" s="89">
        <f>VLOOKUP(C22,[1]Julio!$A$7:$J$255,10,0)</f>
        <v>1128119</v>
      </c>
      <c r="W22" s="90">
        <f t="shared" si="4"/>
        <v>37687.9</v>
      </c>
      <c r="X22" s="91">
        <f t="shared" si="5"/>
        <v>728632.73333333328</v>
      </c>
      <c r="Y22" s="92">
        <f t="shared" si="6"/>
        <v>114343</v>
      </c>
      <c r="Z22" s="91">
        <f>IF(K22="159 N° 4",Y22*M22,0)+IF(K22="161 N° 1",Y22*#REF!,0)+IF(K22="159 N° 1",Y22*M22,0)+IF(K22="159 N° 5",Y22*M22,0)</f>
        <v>1036709.8666666667</v>
      </c>
      <c r="AA22" s="93">
        <f t="shared" si="7"/>
        <v>1765342.6</v>
      </c>
    </row>
    <row r="23" spans="1:27" ht="15.75">
      <c r="A23" s="1">
        <f t="shared" si="8"/>
        <v>22</v>
      </c>
      <c r="B23" s="77"/>
      <c r="C23" s="78" t="s">
        <v>114</v>
      </c>
      <c r="D23" s="79" t="s">
        <v>115</v>
      </c>
      <c r="E23" s="95" t="s">
        <v>216</v>
      </c>
      <c r="F23" s="96">
        <v>45660</v>
      </c>
      <c r="G23" s="54">
        <v>45900</v>
      </c>
      <c r="H23" s="63" t="s">
        <v>44</v>
      </c>
      <c r="I23" s="82">
        <v>1200000</v>
      </c>
      <c r="J23" s="83">
        <v>1800000</v>
      </c>
      <c r="K23" s="84" t="s">
        <v>24</v>
      </c>
      <c r="L23" s="85">
        <f t="shared" si="0"/>
        <v>241</v>
      </c>
      <c r="M23" s="86">
        <f t="shared" si="3"/>
        <v>8.0333333333333332</v>
      </c>
      <c r="N23" s="87">
        <f t="shared" si="1"/>
        <v>10.041666666666666</v>
      </c>
      <c r="O23" s="69">
        <v>8</v>
      </c>
      <c r="P23" s="88">
        <f t="shared" si="2"/>
        <v>18.041666666666664</v>
      </c>
      <c r="Q23" s="1">
        <f>VLOOKUP(C24,'[1]Mayo 2025'!$A$7:$E$170,5,0)</f>
        <v>30</v>
      </c>
      <c r="R23" s="89">
        <f>VLOOKUP(C23,'[1]Mayo 2025'!$A$7:$J$170,10,0)</f>
        <v>2049452</v>
      </c>
      <c r="S23" s="1">
        <f>VLOOKUP(C23,'[1]Junio 2025'!$A$7:$C$177,3,0)</f>
        <v>30</v>
      </c>
      <c r="T23" s="89">
        <f>VLOOKUP(C23,'[1]Junio 2025'!$A$7:$H$177,8,0)</f>
        <v>2042087</v>
      </c>
      <c r="U23" s="1">
        <f>VLOOKUP(C23,[1]Julio!$A$7:$E$256,5,0)</f>
        <v>30</v>
      </c>
      <c r="V23" s="89">
        <f>VLOOKUP(C23,[1]Julio!$A$7:$J$255,10,0)</f>
        <v>2141991</v>
      </c>
      <c r="W23" s="90">
        <f t="shared" si="4"/>
        <v>69261.444444444438</v>
      </c>
      <c r="X23" s="91">
        <f t="shared" si="5"/>
        <v>1249591.8935185182</v>
      </c>
      <c r="Y23" s="92">
        <f t="shared" si="6"/>
        <v>184275</v>
      </c>
      <c r="Z23" s="91">
        <f>IF(K23="159 N° 4",Y23*M23,0)+IF(K23="161 N° 1",Y23*#REF!,0)+IF(K23="159 N° 1",Y23*M23,0)+IF(K23="159 N° 5",Y23*M23,0)</f>
        <v>1480342.5</v>
      </c>
      <c r="AA23" s="93">
        <f t="shared" si="7"/>
        <v>2729934.3935185182</v>
      </c>
    </row>
    <row r="24" spans="1:27" ht="15.75">
      <c r="A24" s="1">
        <f t="shared" si="8"/>
        <v>23</v>
      </c>
      <c r="B24" s="77"/>
      <c r="C24" s="78" t="s">
        <v>120</v>
      </c>
      <c r="D24" s="79" t="s">
        <v>121</v>
      </c>
      <c r="E24" s="95" t="s">
        <v>145</v>
      </c>
      <c r="F24" s="96">
        <v>45671</v>
      </c>
      <c r="G24" s="54">
        <v>45900</v>
      </c>
      <c r="H24" s="63" t="s">
        <v>45</v>
      </c>
      <c r="I24" s="82">
        <v>550000</v>
      </c>
      <c r="J24" s="83">
        <v>1081200</v>
      </c>
      <c r="K24" s="84" t="s">
        <v>24</v>
      </c>
      <c r="L24" s="85">
        <f t="shared" si="0"/>
        <v>230</v>
      </c>
      <c r="M24" s="86">
        <f t="shared" si="3"/>
        <v>7.666666666666667</v>
      </c>
      <c r="N24" s="87">
        <f t="shared" si="1"/>
        <v>9.5833333333333339</v>
      </c>
      <c r="O24" s="69">
        <v>8</v>
      </c>
      <c r="P24" s="88">
        <f t="shared" si="2"/>
        <v>17.583333333333336</v>
      </c>
      <c r="Q24" s="1">
        <f>VLOOKUP(C25,'[1]Mayo 2025'!$A$7:$E$170,5,0)</f>
        <v>30</v>
      </c>
      <c r="R24" s="89">
        <f>VLOOKUP(C24,'[1]Mayo 2025'!$A$7:$J$170,10,0)</f>
        <v>1089839</v>
      </c>
      <c r="S24" s="1">
        <f>VLOOKUP(C24,'[1]Junio 2025'!$A$7:$C$177,3,0)</f>
        <v>30</v>
      </c>
      <c r="T24" s="89">
        <f>VLOOKUP(C24,'[1]Junio 2025'!$A$7:$H$177,8,0)</f>
        <v>1082474</v>
      </c>
      <c r="U24" s="1">
        <f>VLOOKUP(C24,[1]Julio!$A$7:$E$256,5,0)</f>
        <v>30</v>
      </c>
      <c r="V24" s="89">
        <f>VLOOKUP(C24,[1]Julio!$A$7:$J$255,10,0)</f>
        <v>1082378</v>
      </c>
      <c r="W24" s="90">
        <f t="shared" si="4"/>
        <v>36163.23333333333</v>
      </c>
      <c r="X24" s="91">
        <f t="shared" si="5"/>
        <v>635870.18611111119</v>
      </c>
      <c r="Y24" s="92">
        <f t="shared" si="6"/>
        <v>110688</v>
      </c>
      <c r="Z24" s="91">
        <f>IF(K24="159 N° 4",Y24*M24,0)+IF(K24="161 N° 1",Y24*#REF!,0)+IF(K24="159 N° 1",Y24*M24,0)+IF(K24="159 N° 5",Y24*M24,0)</f>
        <v>848608</v>
      </c>
      <c r="AA24" s="93">
        <f t="shared" si="7"/>
        <v>1484478.1861111112</v>
      </c>
    </row>
    <row r="25" spans="1:27" ht="15.75">
      <c r="A25" s="1">
        <f t="shared" si="8"/>
        <v>24</v>
      </c>
      <c r="B25" s="77"/>
      <c r="C25" s="78" t="s">
        <v>122</v>
      </c>
      <c r="D25" s="79" t="s">
        <v>123</v>
      </c>
      <c r="E25" s="95" t="s">
        <v>26</v>
      </c>
      <c r="F25" s="96">
        <v>45685</v>
      </c>
      <c r="G25" s="54">
        <v>45900</v>
      </c>
      <c r="H25" s="63" t="s">
        <v>45</v>
      </c>
      <c r="I25" s="82">
        <v>600000</v>
      </c>
      <c r="J25" s="83">
        <v>1213800</v>
      </c>
      <c r="K25" s="84" t="s">
        <v>24</v>
      </c>
      <c r="L25" s="85">
        <f t="shared" si="0"/>
        <v>216</v>
      </c>
      <c r="M25" s="86">
        <f t="shared" si="3"/>
        <v>7.2</v>
      </c>
      <c r="N25" s="87">
        <f t="shared" si="1"/>
        <v>9</v>
      </c>
      <c r="O25" s="69">
        <v>8</v>
      </c>
      <c r="P25" s="88">
        <f t="shared" si="2"/>
        <v>17</v>
      </c>
      <c r="Q25" s="1">
        <f>VLOOKUP(C26,'[1]Mayo 2025'!$A$7:$E$170,5,0)</f>
        <v>30</v>
      </c>
      <c r="R25" s="89">
        <f>VLOOKUP(C25,'[1]Mayo 2025'!$A$7:$J$170,10,0)</f>
        <v>1259353</v>
      </c>
      <c r="S25" s="1">
        <f>VLOOKUP(C25,'[1]Junio 2025'!$A$7:$C$177,3,0)</f>
        <v>30</v>
      </c>
      <c r="T25" s="89">
        <f>VLOOKUP(C25,'[1]Junio 2025'!$A$7:$H$177,8,0)</f>
        <v>1251989</v>
      </c>
      <c r="U25" s="1">
        <f>VLOOKUP(C25,[1]Julio!$A$7:$E$256,5,0)</f>
        <v>30</v>
      </c>
      <c r="V25" s="89">
        <f>VLOOKUP(C25,[1]Julio!$A$7:$J$255,10,0)</f>
        <v>1251893</v>
      </c>
      <c r="W25" s="90">
        <f t="shared" si="4"/>
        <v>41813.722222222219</v>
      </c>
      <c r="X25" s="91">
        <f t="shared" si="5"/>
        <v>710833.27777777775</v>
      </c>
      <c r="Y25" s="92">
        <f t="shared" si="6"/>
        <v>124263</v>
      </c>
      <c r="Z25" s="91">
        <f>IF(K25="159 N° 4",Y25*M25,0)+IF(K25="161 N° 1",Y25*#REF!,0)+IF(K25="159 N° 1",Y25*M25,0)+IF(K25="159 N° 5",Y25*M25,0)</f>
        <v>894693.6</v>
      </c>
      <c r="AA25" s="93">
        <f t="shared" si="7"/>
        <v>1605526.8777777776</v>
      </c>
    </row>
    <row r="26" spans="1:27" ht="15.75">
      <c r="A26" s="1">
        <f t="shared" si="8"/>
        <v>25</v>
      </c>
      <c r="B26" s="77"/>
      <c r="C26" s="78" t="s">
        <v>124</v>
      </c>
      <c r="D26" s="79" t="s">
        <v>125</v>
      </c>
      <c r="E26" s="95" t="s">
        <v>26</v>
      </c>
      <c r="F26" s="96">
        <v>45685</v>
      </c>
      <c r="G26" s="54">
        <v>45900</v>
      </c>
      <c r="H26" s="63" t="s">
        <v>45</v>
      </c>
      <c r="I26" s="82">
        <v>600000</v>
      </c>
      <c r="J26" s="83">
        <v>1213800</v>
      </c>
      <c r="K26" s="84" t="s">
        <v>24</v>
      </c>
      <c r="L26" s="85">
        <f t="shared" si="0"/>
        <v>216</v>
      </c>
      <c r="M26" s="86">
        <f t="shared" si="3"/>
        <v>7.2</v>
      </c>
      <c r="N26" s="87">
        <f t="shared" si="1"/>
        <v>9</v>
      </c>
      <c r="O26" s="69">
        <v>8</v>
      </c>
      <c r="P26" s="88">
        <f t="shared" si="2"/>
        <v>17</v>
      </c>
      <c r="Q26" s="1">
        <f>VLOOKUP(C27,'[1]Mayo 2025'!$A$7:$E$170,5,0)</f>
        <v>30</v>
      </c>
      <c r="R26" s="89">
        <f>VLOOKUP(C26,'[1]Mayo 2025'!$A$7:$J$170,10,0)</f>
        <v>1256463</v>
      </c>
      <c r="S26" s="1">
        <f>VLOOKUP(C26,'[1]Junio 2025'!$A$7:$C$177,3,0)</f>
        <v>30</v>
      </c>
      <c r="T26" s="89">
        <f>VLOOKUP(C26,'[1]Junio 2025'!$A$7:$H$177,8,0)</f>
        <v>1249100</v>
      </c>
      <c r="U26" s="1">
        <f>VLOOKUP(C26,[1]Julio!$A$7:$E$256,5,0)</f>
        <v>30</v>
      </c>
      <c r="V26" s="89">
        <f>VLOOKUP(C26,[1]Julio!$A$7:$J$255,10,0)</f>
        <v>1249005</v>
      </c>
      <c r="W26" s="90">
        <f t="shared" si="4"/>
        <v>41717.422222222223</v>
      </c>
      <c r="X26" s="91">
        <f t="shared" si="5"/>
        <v>709196.17777777778</v>
      </c>
      <c r="Y26" s="92">
        <f t="shared" si="6"/>
        <v>124263</v>
      </c>
      <c r="Z26" s="91">
        <f>IF(K26="159 N° 4",Y26*M26,0)+IF(K26="161 N° 1",Y26*#REF!,0)+IF(K26="159 N° 1",Y26*M26,0)+IF(K26="159 N° 5",Y26*M26,0)</f>
        <v>894693.6</v>
      </c>
      <c r="AA26" s="93">
        <f t="shared" si="7"/>
        <v>1603889.7777777778</v>
      </c>
    </row>
    <row r="27" spans="1:27" ht="15.75">
      <c r="A27" s="1">
        <f t="shared" si="8"/>
        <v>26</v>
      </c>
      <c r="B27" s="77"/>
      <c r="C27" s="78" t="s">
        <v>126</v>
      </c>
      <c r="D27" s="79" t="s">
        <v>127</v>
      </c>
      <c r="E27" s="95" t="s">
        <v>26</v>
      </c>
      <c r="F27" s="96">
        <v>45685</v>
      </c>
      <c r="G27" s="54">
        <v>45900</v>
      </c>
      <c r="H27" s="63" t="s">
        <v>45</v>
      </c>
      <c r="I27" s="82">
        <v>600000</v>
      </c>
      <c r="J27" s="83">
        <v>1213800</v>
      </c>
      <c r="K27" s="84" t="s">
        <v>24</v>
      </c>
      <c r="L27" s="85">
        <f t="shared" si="0"/>
        <v>216</v>
      </c>
      <c r="M27" s="86">
        <f t="shared" si="3"/>
        <v>7.2</v>
      </c>
      <c r="N27" s="87">
        <f t="shared" si="1"/>
        <v>9</v>
      </c>
      <c r="O27" s="69">
        <v>8</v>
      </c>
      <c r="P27" s="88">
        <f t="shared" si="2"/>
        <v>17</v>
      </c>
      <c r="Q27" s="1">
        <f>VLOOKUP(C28,'[1]Mayo 2025'!$A$7:$E$170,5,0)</f>
        <v>30</v>
      </c>
      <c r="R27" s="89">
        <f>VLOOKUP(C27,'[1]Mayo 2025'!$A$7:$J$170,10,0)</f>
        <v>1259353</v>
      </c>
      <c r="S27" s="1">
        <f>VLOOKUP(C27,'[1]Junio 2025'!$A$7:$C$177,3,0)</f>
        <v>30</v>
      </c>
      <c r="T27" s="89">
        <f>VLOOKUP(C27,'[1]Junio 2025'!$A$7:$H$177,8,0)</f>
        <v>1251989</v>
      </c>
      <c r="U27" s="1">
        <f>VLOOKUP(C27,[1]Julio!$A$7:$E$256,5,0)</f>
        <v>30</v>
      </c>
      <c r="V27" s="89">
        <f>VLOOKUP(C27,[1]Julio!$A$7:$J$255,10,0)</f>
        <v>1251893</v>
      </c>
      <c r="W27" s="90">
        <f t="shared" si="4"/>
        <v>41813.722222222219</v>
      </c>
      <c r="X27" s="91">
        <f t="shared" si="5"/>
        <v>710833.27777777775</v>
      </c>
      <c r="Y27" s="92">
        <f t="shared" si="6"/>
        <v>124263</v>
      </c>
      <c r="Z27" s="91">
        <f>IF(K27="159 N° 4",Y27*M27,0)+IF(K27="161 N° 1",Y27*#REF!,0)+IF(K27="159 N° 1",Y27*M27,0)+IF(K27="159 N° 5",Y27*M27,0)</f>
        <v>894693.6</v>
      </c>
      <c r="AA27" s="93">
        <f t="shared" si="7"/>
        <v>1605526.8777777776</v>
      </c>
    </row>
    <row r="28" spans="1:27" ht="15.75">
      <c r="A28" s="1">
        <f t="shared" si="8"/>
        <v>27</v>
      </c>
      <c r="B28" s="77"/>
      <c r="C28" s="78" t="s">
        <v>152</v>
      </c>
      <c r="D28" s="79" t="s">
        <v>153</v>
      </c>
      <c r="E28" s="95" t="s">
        <v>174</v>
      </c>
      <c r="F28" s="96">
        <v>45689</v>
      </c>
      <c r="G28" s="54">
        <v>45900</v>
      </c>
      <c r="H28" s="63" t="s">
        <v>44</v>
      </c>
      <c r="I28" s="82">
        <v>1300000</v>
      </c>
      <c r="J28" s="83">
        <v>1850000</v>
      </c>
      <c r="K28" s="84" t="s">
        <v>24</v>
      </c>
      <c r="L28" s="85">
        <f t="shared" si="0"/>
        <v>212</v>
      </c>
      <c r="M28" s="86">
        <f t="shared" si="3"/>
        <v>7.0666666666666664</v>
      </c>
      <c r="N28" s="87">
        <f t="shared" si="1"/>
        <v>8.8333333333333321</v>
      </c>
      <c r="O28" s="69">
        <v>8</v>
      </c>
      <c r="P28" s="88">
        <f t="shared" si="2"/>
        <v>16.833333333333332</v>
      </c>
      <c r="Q28" s="1">
        <f>VLOOKUP(C29,'[1]Mayo 2025'!$A$7:$E$170,5,0)</f>
        <v>30</v>
      </c>
      <c r="R28" s="89">
        <f>VLOOKUP(C28,'[1]Mayo 2025'!$A$7:$J$170,10,0)</f>
        <v>2113310</v>
      </c>
      <c r="S28" s="1">
        <f>VLOOKUP(C28,'[1]Junio 2025'!$A$7:$C$177,3,0)</f>
        <v>30</v>
      </c>
      <c r="T28" s="89">
        <f>VLOOKUP(C28,'[1]Junio 2025'!$A$7:$H$177,8,0)</f>
        <v>2105945</v>
      </c>
      <c r="U28" s="1">
        <f>VLOOKUP(C28,[1]Julio!$A$7:$E$256,5,0)</f>
        <v>30</v>
      </c>
      <c r="V28" s="89">
        <f>VLOOKUP(C28,[1]Julio!$A$7:$J$255,10,0)</f>
        <v>2205849</v>
      </c>
      <c r="W28" s="90">
        <f t="shared" si="4"/>
        <v>71390.044444444444</v>
      </c>
      <c r="X28" s="91">
        <f t="shared" si="5"/>
        <v>1201732.4148148147</v>
      </c>
      <c r="Y28" s="92">
        <f t="shared" si="6"/>
        <v>189394</v>
      </c>
      <c r="Z28" s="91">
        <f>IF(K28="159 N° 4",Y28*M28,0)+IF(K28="161 N° 1",Y28*#REF!,0)+IF(K28="159 N° 1",Y28*M28,0)+IF(K28="159 N° 5",Y28*M28,0)</f>
        <v>1338384.2666666666</v>
      </c>
      <c r="AA28" s="93">
        <f t="shared" si="7"/>
        <v>2540116.6814814815</v>
      </c>
    </row>
    <row r="29" spans="1:27" ht="15.75">
      <c r="A29" s="1">
        <f t="shared" si="8"/>
        <v>28</v>
      </c>
      <c r="B29" s="77"/>
      <c r="C29" s="78" t="s">
        <v>154</v>
      </c>
      <c r="D29" s="79" t="s">
        <v>155</v>
      </c>
      <c r="E29" s="95" t="s">
        <v>175</v>
      </c>
      <c r="F29" s="96">
        <v>45691</v>
      </c>
      <c r="G29" s="54">
        <v>45900</v>
      </c>
      <c r="H29" s="63" t="s">
        <v>45</v>
      </c>
      <c r="I29" s="82">
        <v>600000</v>
      </c>
      <c r="J29" s="83">
        <v>1213800</v>
      </c>
      <c r="K29" s="84" t="s">
        <v>24</v>
      </c>
      <c r="L29" s="85">
        <f t="shared" si="0"/>
        <v>210</v>
      </c>
      <c r="M29" s="86">
        <f t="shared" si="3"/>
        <v>7</v>
      </c>
      <c r="N29" s="87">
        <f t="shared" si="1"/>
        <v>8.75</v>
      </c>
      <c r="O29" s="69">
        <v>8</v>
      </c>
      <c r="P29" s="88">
        <f t="shared" si="2"/>
        <v>16.75</v>
      </c>
      <c r="Q29" s="1">
        <f>VLOOKUP(C30,'[1]Mayo 2025'!$A$7:$E$170,5,0)</f>
        <v>30</v>
      </c>
      <c r="R29" s="89">
        <f>VLOOKUP(C29,'[1]Mayo 2025'!$A$7:$J$170,10,0)</f>
        <v>1259191</v>
      </c>
      <c r="S29" s="1">
        <f>VLOOKUP(C29,'[1]Junio 2025'!$A$7:$C$177,3,0)</f>
        <v>30</v>
      </c>
      <c r="T29" s="89">
        <f>VLOOKUP(C29,'[1]Junio 2025'!$A$7:$H$177,8,0)</f>
        <v>1251827</v>
      </c>
      <c r="U29" s="1">
        <f>VLOOKUP(C29,[1]Julio!$A$7:$E$256,5,0)</f>
        <v>30</v>
      </c>
      <c r="V29" s="89">
        <f>VLOOKUP(C29,[1]Julio!$A$7:$J$255,10,0)</f>
        <v>1251732</v>
      </c>
      <c r="W29" s="90">
        <f t="shared" si="4"/>
        <v>41808.333333333336</v>
      </c>
      <c r="X29" s="91">
        <f t="shared" si="5"/>
        <v>700289.58333333337</v>
      </c>
      <c r="Y29" s="92">
        <f t="shared" si="6"/>
        <v>124263</v>
      </c>
      <c r="Z29" s="91">
        <f>IF(K29="159 N° 4",Y29*M29,0)+IF(K29="161 N° 1",Y29*#REF!,0)+IF(K29="159 N° 1",Y29*M29,0)+IF(K29="159 N° 5",Y29*M29,0)</f>
        <v>869841</v>
      </c>
      <c r="AA29" s="93">
        <f t="shared" si="7"/>
        <v>1570130.5833333335</v>
      </c>
    </row>
    <row r="30" spans="1:27" ht="15.75">
      <c r="A30" s="1">
        <f t="shared" si="8"/>
        <v>29</v>
      </c>
      <c r="B30" s="77"/>
      <c r="C30" s="78" t="s">
        <v>158</v>
      </c>
      <c r="D30" s="79" t="s">
        <v>159</v>
      </c>
      <c r="E30" s="95" t="s">
        <v>177</v>
      </c>
      <c r="F30" s="96">
        <v>45693</v>
      </c>
      <c r="G30" s="54">
        <v>45900</v>
      </c>
      <c r="H30" s="63" t="s">
        <v>44</v>
      </c>
      <c r="I30" s="82">
        <v>1200000</v>
      </c>
      <c r="J30" s="83">
        <v>1800000</v>
      </c>
      <c r="K30" s="84" t="s">
        <v>24</v>
      </c>
      <c r="L30" s="85">
        <f t="shared" si="0"/>
        <v>208</v>
      </c>
      <c r="M30" s="86">
        <f t="shared" si="3"/>
        <v>6.9333333333333336</v>
      </c>
      <c r="N30" s="87">
        <f t="shared" si="1"/>
        <v>8.6666666666666679</v>
      </c>
      <c r="O30" s="69">
        <v>8</v>
      </c>
      <c r="P30" s="88">
        <f t="shared" si="2"/>
        <v>16.666666666666668</v>
      </c>
      <c r="Q30" s="1">
        <f>VLOOKUP(C31,'[1]Mayo 2025'!$A$7:$E$170,5,0)</f>
        <v>30</v>
      </c>
      <c r="R30" s="89">
        <f>VLOOKUP(C30,'[1]Mayo 2025'!$A$7:$J$170,10,0)</f>
        <v>2049727</v>
      </c>
      <c r="S30" s="1">
        <f>VLOOKUP(C30,'[1]Junio 2025'!$A$7:$C$177,3,0)</f>
        <v>30</v>
      </c>
      <c r="T30" s="89">
        <f>VLOOKUP(C30,'[1]Junio 2025'!$A$7:$H$177,8,0)</f>
        <v>2042361</v>
      </c>
      <c r="U30" s="1">
        <f>VLOOKUP(C30,[1]Julio!$A$7:$E$256,5,0)</f>
        <v>30</v>
      </c>
      <c r="V30" s="89">
        <f>VLOOKUP(C30,[1]Julio!$A$7:$J$255,10,0)</f>
        <v>2142269</v>
      </c>
      <c r="W30" s="90">
        <f t="shared" si="4"/>
        <v>69270.633333333331</v>
      </c>
      <c r="X30" s="91">
        <f t="shared" si="5"/>
        <v>1154510.5555555555</v>
      </c>
      <c r="Y30" s="92">
        <f t="shared" si="6"/>
        <v>184275</v>
      </c>
      <c r="Z30" s="91">
        <f>IF(K30="159 N° 4",Y30*M30,0)+IF(K30="161 N° 1",Y30*#REF!,0)+IF(K30="159 N° 1",Y30*M30,0)+IF(K30="159 N° 5",Y30*M30,0)</f>
        <v>1277640</v>
      </c>
      <c r="AA30" s="93">
        <f t="shared" si="7"/>
        <v>2432150.5555555555</v>
      </c>
    </row>
    <row r="31" spans="1:27" ht="15.75">
      <c r="A31" s="1">
        <f t="shared" si="8"/>
        <v>30</v>
      </c>
      <c r="B31" s="77"/>
      <c r="C31" s="78" t="s">
        <v>162</v>
      </c>
      <c r="D31" s="79" t="s">
        <v>163</v>
      </c>
      <c r="E31" s="95" t="s">
        <v>178</v>
      </c>
      <c r="F31" s="96">
        <v>45699</v>
      </c>
      <c r="G31" s="54">
        <v>45900</v>
      </c>
      <c r="H31" s="63" t="s">
        <v>45</v>
      </c>
      <c r="I31" s="82">
        <v>600000</v>
      </c>
      <c r="J31" s="83">
        <v>1458600</v>
      </c>
      <c r="K31" s="84" t="s">
        <v>24</v>
      </c>
      <c r="L31" s="85">
        <f t="shared" si="0"/>
        <v>202</v>
      </c>
      <c r="M31" s="86">
        <f t="shared" si="3"/>
        <v>6.7333333333333334</v>
      </c>
      <c r="N31" s="87">
        <f t="shared" si="1"/>
        <v>8.4166666666666661</v>
      </c>
      <c r="O31" s="69">
        <v>8</v>
      </c>
      <c r="P31" s="88">
        <f t="shared" si="2"/>
        <v>16.416666666666664</v>
      </c>
      <c r="Q31" s="1">
        <f>VLOOKUP(C32,'[1]Mayo 2025'!$A$7:$E$170,5,0)</f>
        <v>30</v>
      </c>
      <c r="R31" s="89">
        <f>VLOOKUP(C31,'[1]Mayo 2025'!$A$7:$J$170,10,0)</f>
        <v>1572044</v>
      </c>
      <c r="S31" s="1">
        <f>VLOOKUP(C31,'[1]Junio 2025'!$A$7:$C$177,3,0)</f>
        <v>30</v>
      </c>
      <c r="T31" s="89">
        <f>VLOOKUP(C31,'[1]Junio 2025'!$A$7:$H$177,8,0)</f>
        <v>1564680</v>
      </c>
      <c r="U31" s="1">
        <f>VLOOKUP(C31,[1]Julio!$A$7:$E$256,5,0)</f>
        <v>30</v>
      </c>
      <c r="V31" s="89">
        <f>VLOOKUP(C31,[1]Julio!$A$7:$J$255,10,0)</f>
        <v>1564586</v>
      </c>
      <c r="W31" s="90">
        <f t="shared" si="4"/>
        <v>52236.777777777781</v>
      </c>
      <c r="X31" s="91">
        <f t="shared" si="5"/>
        <v>857553.76851851842</v>
      </c>
      <c r="Y31" s="92">
        <f t="shared" si="6"/>
        <v>149324</v>
      </c>
      <c r="Z31" s="91">
        <f>IF(K31="159 N° 4",Y31*M31,0)+IF(K31="161 N° 1",Y31*#REF!,0)+IF(K31="159 N° 1",Y31*M31,0)+IF(K31="159 N° 5",Y31*M31,0)</f>
        <v>1005448.2666666667</v>
      </c>
      <c r="AA31" s="93">
        <f t="shared" si="7"/>
        <v>1863002.0351851853</v>
      </c>
    </row>
    <row r="32" spans="1:27" ht="15.75">
      <c r="A32" s="1">
        <f t="shared" si="8"/>
        <v>31</v>
      </c>
      <c r="B32" s="77"/>
      <c r="C32" s="78" t="s">
        <v>164</v>
      </c>
      <c r="D32" s="79" t="s">
        <v>165</v>
      </c>
      <c r="E32" s="95" t="s">
        <v>145</v>
      </c>
      <c r="F32" s="96">
        <v>45699</v>
      </c>
      <c r="G32" s="54">
        <v>45900</v>
      </c>
      <c r="H32" s="63" t="s">
        <v>45</v>
      </c>
      <c r="I32" s="82">
        <v>550000</v>
      </c>
      <c r="J32" s="83">
        <v>1081200</v>
      </c>
      <c r="K32" s="84" t="s">
        <v>24</v>
      </c>
      <c r="L32" s="85">
        <f t="shared" si="0"/>
        <v>202</v>
      </c>
      <c r="M32" s="86">
        <f t="shared" si="3"/>
        <v>6.7333333333333334</v>
      </c>
      <c r="N32" s="87">
        <f t="shared" si="1"/>
        <v>8.4166666666666661</v>
      </c>
      <c r="O32" s="69">
        <v>4</v>
      </c>
      <c r="P32" s="88">
        <f t="shared" si="2"/>
        <v>12.416666666666666</v>
      </c>
      <c r="Q32" s="1">
        <f>VLOOKUP(C33,'[1]Mayo 2025'!$A$7:$E$170,5,0)</f>
        <v>30</v>
      </c>
      <c r="R32" s="89">
        <f>VLOOKUP(C32,'[1]Mayo 2025'!$A$7:$J$170,10,0)</f>
        <v>1076690</v>
      </c>
      <c r="S32" s="1">
        <f>VLOOKUP(C32,'[1]Junio 2025'!$A$7:$C$177,3,0)</f>
        <v>30</v>
      </c>
      <c r="T32" s="89">
        <f>VLOOKUP(C32,'[1]Junio 2025'!$A$7:$H$177,8,0)</f>
        <v>1069328</v>
      </c>
      <c r="U32" s="1">
        <f>VLOOKUP(C32,[1]Julio!$A$7:$E$256,5,0)</f>
        <v>30</v>
      </c>
      <c r="V32" s="89">
        <f>VLOOKUP(C32,[1]Julio!$A$7:$J$255,10,0)</f>
        <v>1069233</v>
      </c>
      <c r="W32" s="90">
        <f t="shared" si="4"/>
        <v>35725.011111111111</v>
      </c>
      <c r="X32" s="91">
        <f t="shared" si="5"/>
        <v>443585.55462962959</v>
      </c>
      <c r="Y32" s="92">
        <f t="shared" si="6"/>
        <v>110688</v>
      </c>
      <c r="Z32" s="91">
        <f>IF(K32="159 N° 4",Y32*M32,0)+IF(K32="161 N° 1",Y32*#REF!,0)+IF(K32="159 N° 1",Y32*M32,0)+IF(K32="159 N° 5",Y32*M32,0)</f>
        <v>745299.2</v>
      </c>
      <c r="AA32" s="93">
        <f t="shared" si="7"/>
        <v>1188884.7546296297</v>
      </c>
    </row>
    <row r="33" spans="1:27" ht="15.75">
      <c r="A33" s="1">
        <f t="shared" si="8"/>
        <v>32</v>
      </c>
      <c r="B33" s="77"/>
      <c r="C33" s="78" t="s">
        <v>166</v>
      </c>
      <c r="D33" s="79" t="s">
        <v>167</v>
      </c>
      <c r="E33" s="95" t="s">
        <v>180</v>
      </c>
      <c r="F33" s="96">
        <v>45699</v>
      </c>
      <c r="G33" s="54">
        <v>45900</v>
      </c>
      <c r="H33" s="63" t="s">
        <v>45</v>
      </c>
      <c r="I33" s="82">
        <v>900000</v>
      </c>
      <c r="J33" s="83">
        <v>1785000</v>
      </c>
      <c r="K33" s="84" t="s">
        <v>24</v>
      </c>
      <c r="L33" s="85">
        <f t="shared" si="0"/>
        <v>202</v>
      </c>
      <c r="M33" s="86">
        <f t="shared" si="3"/>
        <v>6.7333333333333334</v>
      </c>
      <c r="N33" s="87">
        <f t="shared" si="1"/>
        <v>8.4166666666666661</v>
      </c>
      <c r="O33" s="69">
        <v>4</v>
      </c>
      <c r="P33" s="88">
        <f t="shared" si="2"/>
        <v>12.416666666666666</v>
      </c>
      <c r="Q33" s="1">
        <f>VLOOKUP(C34,'[1]Mayo 2025'!$A$7:$E$170,5,0)</f>
        <v>30</v>
      </c>
      <c r="R33" s="89">
        <f>VLOOKUP(C33,'[1]Mayo 2025'!$A$7:$J$170,10,0)</f>
        <v>1988716</v>
      </c>
      <c r="S33" s="1">
        <f>VLOOKUP(C33,'[1]Junio 2025'!$A$7:$C$177,3,0)</f>
        <v>30</v>
      </c>
      <c r="T33" s="89">
        <f>VLOOKUP(C33,'[1]Junio 2025'!$A$7:$H$177,8,0)</f>
        <v>1981354</v>
      </c>
      <c r="U33" s="1">
        <f>VLOOKUP(C33,[1]Julio!$A$7:$E$256,5,0)</f>
        <v>30</v>
      </c>
      <c r="V33" s="89">
        <f>VLOOKUP(C33,[1]Julio!$A$7:$J$255,10,0)</f>
        <v>1981258</v>
      </c>
      <c r="W33" s="90">
        <f t="shared" si="4"/>
        <v>66125.866666666669</v>
      </c>
      <c r="X33" s="91">
        <f t="shared" si="5"/>
        <v>821062.8444444444</v>
      </c>
      <c r="Y33" s="92">
        <f t="shared" si="6"/>
        <v>182740</v>
      </c>
      <c r="Z33" s="91">
        <f>IF(K33="159 N° 4",Y33*M33,0)+IF(K33="161 N° 1",Y33*#REF!,0)+IF(K33="159 N° 1",Y33*M33,0)+IF(K33="159 N° 5",Y33*M33,0)</f>
        <v>1230449.3333333333</v>
      </c>
      <c r="AA33" s="93">
        <f t="shared" si="7"/>
        <v>2051512.1777777777</v>
      </c>
    </row>
    <row r="34" spans="1:27" ht="15.75">
      <c r="A34" s="1">
        <f t="shared" si="8"/>
        <v>33</v>
      </c>
      <c r="B34" s="77"/>
      <c r="C34" s="78" t="s">
        <v>168</v>
      </c>
      <c r="D34" s="79" t="s">
        <v>169</v>
      </c>
      <c r="E34" s="95" t="s">
        <v>180</v>
      </c>
      <c r="F34" s="96">
        <v>45699</v>
      </c>
      <c r="G34" s="54">
        <v>45900</v>
      </c>
      <c r="H34" s="63" t="s">
        <v>45</v>
      </c>
      <c r="I34" s="82">
        <v>900000</v>
      </c>
      <c r="J34" s="83">
        <v>1785000</v>
      </c>
      <c r="K34" s="84" t="s">
        <v>24</v>
      </c>
      <c r="L34" s="85">
        <f t="shared" si="0"/>
        <v>202</v>
      </c>
      <c r="M34" s="86">
        <f t="shared" si="3"/>
        <v>6.7333333333333334</v>
      </c>
      <c r="N34" s="87">
        <f t="shared" si="1"/>
        <v>8.4166666666666661</v>
      </c>
      <c r="O34" s="69">
        <v>4</v>
      </c>
      <c r="P34" s="88">
        <f t="shared" si="2"/>
        <v>12.416666666666666</v>
      </c>
      <c r="Q34" s="1">
        <f>VLOOKUP(C35,'[1]Mayo 2025'!$A$7:$E$170,5,0)</f>
        <v>30</v>
      </c>
      <c r="R34" s="89">
        <f>VLOOKUP(C34,'[1]Mayo 2025'!$A$7:$J$170,10,0)</f>
        <v>1988716</v>
      </c>
      <c r="S34" s="1">
        <f>VLOOKUP(C34,'[1]Junio 2025'!$A$7:$C$177,3,0)</f>
        <v>30</v>
      </c>
      <c r="T34" s="89">
        <f>VLOOKUP(C34,'[1]Junio 2025'!$A$7:$H$177,8,0)</f>
        <v>1981354</v>
      </c>
      <c r="U34" s="1">
        <f>VLOOKUP(C34,[1]Julio!$A$7:$E$256,5,0)</f>
        <v>30</v>
      </c>
      <c r="V34" s="89">
        <f>VLOOKUP(C34,[1]Julio!$A$7:$J$255,10,0)</f>
        <v>1981258</v>
      </c>
      <c r="W34" s="90">
        <f t="shared" si="4"/>
        <v>66125.866666666669</v>
      </c>
      <c r="X34" s="91">
        <f t="shared" si="5"/>
        <v>821062.8444444444</v>
      </c>
      <c r="Y34" s="92">
        <f t="shared" si="6"/>
        <v>182740</v>
      </c>
      <c r="Z34" s="91">
        <f>IF(K34="159 N° 4",Y34*M34,0)+IF(K34="161 N° 1",Y34*#REF!,0)+IF(K34="159 N° 1",Y34*M34,0)+IF(K34="159 N° 5",Y34*M34,0)</f>
        <v>1230449.3333333333</v>
      </c>
      <c r="AA34" s="93">
        <f t="shared" si="7"/>
        <v>2051512.1777777777</v>
      </c>
    </row>
    <row r="35" spans="1:27" ht="15.75">
      <c r="A35" s="1">
        <f t="shared" si="8"/>
        <v>34</v>
      </c>
      <c r="B35" s="77"/>
      <c r="C35" s="78" t="s">
        <v>170</v>
      </c>
      <c r="D35" s="79" t="s">
        <v>171</v>
      </c>
      <c r="E35" s="95" t="s">
        <v>180</v>
      </c>
      <c r="F35" s="96">
        <v>45699</v>
      </c>
      <c r="G35" s="54">
        <v>45900</v>
      </c>
      <c r="H35" s="63" t="s">
        <v>45</v>
      </c>
      <c r="I35" s="82">
        <v>900000</v>
      </c>
      <c r="J35" s="83">
        <v>1785000</v>
      </c>
      <c r="K35" s="84" t="s">
        <v>24</v>
      </c>
      <c r="L35" s="85">
        <f t="shared" si="0"/>
        <v>202</v>
      </c>
      <c r="M35" s="86">
        <f t="shared" si="3"/>
        <v>6.7333333333333334</v>
      </c>
      <c r="N35" s="87">
        <f t="shared" si="1"/>
        <v>8.4166666666666661</v>
      </c>
      <c r="O35" s="69">
        <v>4</v>
      </c>
      <c r="P35" s="88">
        <f t="shared" si="2"/>
        <v>12.416666666666666</v>
      </c>
      <c r="Q35" s="1">
        <f>VLOOKUP(C36,'[1]Mayo 2025'!$A$7:$E$170,5,0)</f>
        <v>30</v>
      </c>
      <c r="R35" s="89">
        <f>VLOOKUP(C35,'[1]Mayo 2025'!$A$7:$J$170,10,0)</f>
        <v>1988716</v>
      </c>
      <c r="S35" s="1">
        <f>VLOOKUP(C35,'[1]Junio 2025'!$A$7:$C$177,3,0)</f>
        <v>29</v>
      </c>
      <c r="T35" s="89">
        <f>VLOOKUP(C35,'[1]Junio 2025'!$A$7:$H$177,8,0)</f>
        <v>1906746</v>
      </c>
      <c r="U35" s="1">
        <f>VLOOKUP(C35,[1]Julio!$A$7:$E$256,5,0)</f>
        <v>30</v>
      </c>
      <c r="V35" s="89">
        <f>VLOOKUP(C35,[1]Julio!$A$7:$J$255,10,0)</f>
        <v>1981258</v>
      </c>
      <c r="W35" s="90">
        <f t="shared" ref="W35:W49" si="9">+(R35+T35+V35)/(S35+U35+Q35)</f>
        <v>66030.561797752802</v>
      </c>
      <c r="X35" s="91">
        <f t="shared" ref="X35:X49" si="10">+P35*W35</f>
        <v>819879.47565543058</v>
      </c>
      <c r="Y35" s="92">
        <f t="shared" ref="Y35:Y49" si="11">ROUND((((J35/0.814)/30)*2.5),0)</f>
        <v>182740</v>
      </c>
      <c r="Z35" s="91">
        <f>IF(K35="159 N° 4",Y35*M35,0)+IF(K35="161 N° 1",Y35*#REF!,0)+IF(K35="159 N° 1",Y35*M35,0)+IF(K35="159 N° 5",Y35*M35,0)</f>
        <v>1230449.3333333333</v>
      </c>
      <c r="AA35" s="93">
        <f t="shared" ref="AA35:AA49" si="12">X35+Z35</f>
        <v>2050328.808988764</v>
      </c>
    </row>
    <row r="36" spans="1:27" ht="15.75">
      <c r="A36" s="1">
        <f t="shared" si="8"/>
        <v>35</v>
      </c>
      <c r="B36" s="97"/>
      <c r="C36" s="78" t="s">
        <v>172</v>
      </c>
      <c r="D36" s="79" t="s">
        <v>173</v>
      </c>
      <c r="E36" s="95" t="s">
        <v>180</v>
      </c>
      <c r="F36" s="96">
        <v>45699</v>
      </c>
      <c r="G36" s="54">
        <v>45900</v>
      </c>
      <c r="H36" s="63" t="s">
        <v>45</v>
      </c>
      <c r="I36" s="82">
        <v>900000</v>
      </c>
      <c r="J36" s="83">
        <v>1785000</v>
      </c>
      <c r="K36" s="84" t="s">
        <v>24</v>
      </c>
      <c r="L36" s="85">
        <f t="shared" si="0"/>
        <v>202</v>
      </c>
      <c r="M36" s="86">
        <f t="shared" si="3"/>
        <v>6.7333333333333334</v>
      </c>
      <c r="N36" s="87">
        <f t="shared" si="1"/>
        <v>8.4166666666666661</v>
      </c>
      <c r="O36" s="69">
        <v>4</v>
      </c>
      <c r="P36" s="88">
        <f t="shared" si="2"/>
        <v>12.416666666666666</v>
      </c>
      <c r="Q36" s="1">
        <f>VLOOKUP(C37,'[1]Mayo 2025'!$A$7:$E$170,5,0)</f>
        <v>30</v>
      </c>
      <c r="R36" s="89">
        <f>VLOOKUP(C36,'[1]Mayo 2025'!$A$7:$J$170,10,0)</f>
        <v>1984471</v>
      </c>
      <c r="S36" s="1">
        <f>VLOOKUP(C36,'[1]Junio 2025'!$A$7:$C$177,3,0)</f>
        <v>30</v>
      </c>
      <c r="T36" s="89">
        <f>VLOOKUP(C36,'[1]Junio 2025'!$A$7:$H$177,8,0)</f>
        <v>1977107</v>
      </c>
      <c r="U36" s="1">
        <f>VLOOKUP(C36,[1]Julio!$A$7:$E$256,5,0)</f>
        <v>30</v>
      </c>
      <c r="V36" s="89">
        <f>VLOOKUP(C36,[1]Julio!$A$7:$J$255,10,0)</f>
        <v>1977013</v>
      </c>
      <c r="W36" s="90">
        <f t="shared" si="9"/>
        <v>65984.344444444447</v>
      </c>
      <c r="X36" s="91">
        <f t="shared" si="10"/>
        <v>819305.61018518521</v>
      </c>
      <c r="Y36" s="92">
        <f t="shared" si="11"/>
        <v>182740</v>
      </c>
      <c r="Z36" s="91">
        <f>IF(K36="159 N° 4",Y36*M36,0)+IF(K36="161 N° 1",Y36*#REF!,0)+IF(K36="159 N° 1",Y36*M36,0)+IF(K36="159 N° 5",Y36*M36,0)</f>
        <v>1230449.3333333333</v>
      </c>
      <c r="AA36" s="93">
        <f t="shared" si="12"/>
        <v>2049754.9435185185</v>
      </c>
    </row>
    <row r="37" spans="1:27" ht="15.75">
      <c r="A37" s="1">
        <f t="shared" si="8"/>
        <v>36</v>
      </c>
      <c r="B37" s="98"/>
      <c r="C37" s="78" t="s">
        <v>184</v>
      </c>
      <c r="D37" s="79" t="s">
        <v>185</v>
      </c>
      <c r="E37" s="95" t="s">
        <v>186</v>
      </c>
      <c r="F37" s="96">
        <v>45735</v>
      </c>
      <c r="G37" s="54">
        <v>45900</v>
      </c>
      <c r="H37" s="63" t="s">
        <v>44</v>
      </c>
      <c r="I37" s="82">
        <v>700000</v>
      </c>
      <c r="J37" s="83">
        <v>1458600</v>
      </c>
      <c r="K37" s="84" t="s">
        <v>24</v>
      </c>
      <c r="L37" s="85">
        <f t="shared" si="0"/>
        <v>166</v>
      </c>
      <c r="M37" s="86">
        <f t="shared" si="3"/>
        <v>5.5333333333333332</v>
      </c>
      <c r="N37" s="87">
        <f t="shared" si="1"/>
        <v>6.9166666666666661</v>
      </c>
      <c r="O37" s="69">
        <v>4</v>
      </c>
      <c r="P37" s="88">
        <f t="shared" si="2"/>
        <v>10.916666666666666</v>
      </c>
      <c r="Q37" s="1">
        <f>VLOOKUP(C38,'[1]Mayo 2025'!$A$7:$E$170,5,0)</f>
        <v>30</v>
      </c>
      <c r="R37" s="89">
        <f>VLOOKUP(C37,'[1]Mayo 2025'!$A$7:$J$170,10,0)</f>
        <v>1572044</v>
      </c>
      <c r="S37" s="1">
        <f>VLOOKUP(C37,'[1]Junio 2025'!$A$7:$C$177,3,0)</f>
        <v>30</v>
      </c>
      <c r="T37" s="89">
        <f>VLOOKUP(C37,'[1]Junio 2025'!$A$7:$H$177,8,0)</f>
        <v>1564680</v>
      </c>
      <c r="U37" s="1">
        <f>VLOOKUP(C37,[1]Julio!$A$7:$E$256,5,0)</f>
        <v>30</v>
      </c>
      <c r="V37" s="89">
        <f>VLOOKUP(C37,[1]Julio!$A$7:$J$255,10,0)</f>
        <v>1564586</v>
      </c>
      <c r="W37" s="90">
        <f t="shared" si="9"/>
        <v>52236.777777777781</v>
      </c>
      <c r="X37" s="91">
        <f t="shared" si="10"/>
        <v>570251.49074074079</v>
      </c>
      <c r="Y37" s="92">
        <f t="shared" si="11"/>
        <v>149324</v>
      </c>
      <c r="Z37" s="91">
        <f>IF(K37="159 N° 4",Y37*M37,0)+IF(K37="161 N° 1",Y37*#REF!,0)+IF(K37="159 N° 1",Y37*M37,0)+IF(K37="159 N° 5",Y37*M37,0)</f>
        <v>826259.46666666667</v>
      </c>
      <c r="AA37" s="93">
        <f t="shared" si="12"/>
        <v>1396510.9574074075</v>
      </c>
    </row>
    <row r="38" spans="1:27" ht="15.75">
      <c r="A38" s="1">
        <f t="shared" si="8"/>
        <v>37</v>
      </c>
      <c r="B38" s="77"/>
      <c r="C38" s="78" t="s">
        <v>187</v>
      </c>
      <c r="D38" s="79" t="s">
        <v>188</v>
      </c>
      <c r="E38" s="95" t="s">
        <v>134</v>
      </c>
      <c r="F38" s="96">
        <v>45748</v>
      </c>
      <c r="G38" s="54">
        <v>45900</v>
      </c>
      <c r="H38" s="63" t="s">
        <v>44</v>
      </c>
      <c r="I38" s="82">
        <v>600000</v>
      </c>
      <c r="J38" s="83">
        <v>1213800</v>
      </c>
      <c r="K38" s="84" t="s">
        <v>24</v>
      </c>
      <c r="L38" s="85">
        <f t="shared" si="0"/>
        <v>153</v>
      </c>
      <c r="M38" s="86">
        <f t="shared" si="3"/>
        <v>5.0999999999999996</v>
      </c>
      <c r="N38" s="87">
        <f t="shared" si="1"/>
        <v>6.375</v>
      </c>
      <c r="O38" s="69">
        <v>2</v>
      </c>
      <c r="P38" s="88">
        <f t="shared" si="2"/>
        <v>8.375</v>
      </c>
      <c r="Q38" s="1">
        <f>VLOOKUP(C39,'[1]Mayo 2025'!$A$7:$E$170,5,0)</f>
        <v>30</v>
      </c>
      <c r="R38" s="89">
        <f>VLOOKUP(C38,'[1]Mayo 2025'!$A$7:$J$170,10,0)</f>
        <v>1259353</v>
      </c>
      <c r="S38" s="1">
        <f>VLOOKUP(C38,'[1]Junio 2025'!$A$7:$C$177,3,0)</f>
        <v>30</v>
      </c>
      <c r="T38" s="89">
        <f>VLOOKUP(C38,'[1]Junio 2025'!$A$7:$H$177,8,0)</f>
        <v>1251989</v>
      </c>
      <c r="U38" s="1">
        <f>VLOOKUP(C38,[1]Julio!$A$7:$E$256,5,0)</f>
        <v>30</v>
      </c>
      <c r="V38" s="89">
        <f>VLOOKUP(C38,[1]Julio!$A$7:$J$255,10,0)</f>
        <v>1251893</v>
      </c>
      <c r="W38" s="90">
        <f t="shared" si="9"/>
        <v>41813.722222222219</v>
      </c>
      <c r="X38" s="91">
        <f t="shared" si="10"/>
        <v>350189.92361111107</v>
      </c>
      <c r="Y38" s="92">
        <f t="shared" si="11"/>
        <v>124263</v>
      </c>
      <c r="Z38" s="91">
        <f>IF(K38="159 N° 4",Y38*M38,0)+IF(K38="161 N° 1",Y38*#REF!,0)+IF(K38="159 N° 1",Y38*M38,0)+IF(K38="159 N° 5",Y38*M38,0)</f>
        <v>633741.29999999993</v>
      </c>
      <c r="AA38" s="93">
        <f t="shared" si="12"/>
        <v>983931.22361111105</v>
      </c>
    </row>
    <row r="39" spans="1:27" ht="15.75">
      <c r="A39" s="1">
        <f t="shared" si="8"/>
        <v>38</v>
      </c>
      <c r="B39" s="77"/>
      <c r="C39" s="78" t="s">
        <v>189</v>
      </c>
      <c r="D39" s="79" t="s">
        <v>190</v>
      </c>
      <c r="E39" s="95" t="s">
        <v>27</v>
      </c>
      <c r="F39" s="96">
        <v>45755</v>
      </c>
      <c r="G39" s="54">
        <v>45900</v>
      </c>
      <c r="H39" s="63" t="s">
        <v>45</v>
      </c>
      <c r="I39" s="82">
        <v>550000</v>
      </c>
      <c r="J39" s="83">
        <v>1081200</v>
      </c>
      <c r="K39" s="84" t="s">
        <v>24</v>
      </c>
      <c r="L39" s="85">
        <f t="shared" si="0"/>
        <v>146</v>
      </c>
      <c r="M39" s="86">
        <f t="shared" si="3"/>
        <v>4.8666666666666663</v>
      </c>
      <c r="N39" s="87">
        <f t="shared" si="1"/>
        <v>6.083333333333333</v>
      </c>
      <c r="O39" s="69">
        <v>2</v>
      </c>
      <c r="P39" s="88">
        <f t="shared" si="2"/>
        <v>8.0833333333333321</v>
      </c>
      <c r="Q39" s="1">
        <f>VLOOKUP(C40,'[1]Mayo 2025'!$A$7:$E$170,5,0)</f>
        <v>30</v>
      </c>
      <c r="R39" s="89">
        <f>VLOOKUP(C39,'[1]Mayo 2025'!$A$7:$J$170,10,0)</f>
        <v>1076690</v>
      </c>
      <c r="S39" s="1">
        <f>VLOOKUP(C39,'[1]Junio 2025'!$A$7:$C$177,3,0)</f>
        <v>30</v>
      </c>
      <c r="T39" s="89">
        <f>VLOOKUP(C39,'[1]Junio 2025'!$A$7:$H$177,8,0)</f>
        <v>1069328</v>
      </c>
      <c r="U39" s="1">
        <f>VLOOKUP(C39,[1]Julio!$A$7:$E$256,5,0)</f>
        <v>30</v>
      </c>
      <c r="V39" s="89">
        <f>VLOOKUP(C39,[1]Julio!$A$7:$J$255,10,0)</f>
        <v>1069233</v>
      </c>
      <c r="W39" s="90">
        <f t="shared" si="9"/>
        <v>35725.011111111111</v>
      </c>
      <c r="X39" s="91">
        <f t="shared" si="10"/>
        <v>288777.17314814811</v>
      </c>
      <c r="Y39" s="92">
        <f t="shared" si="11"/>
        <v>110688</v>
      </c>
      <c r="Z39" s="91">
        <f>IF(K39="159 N° 4",Y39*M39,0)+IF(K39="161 N° 1",Y39*#REF!,0)+IF(K39="159 N° 1",Y39*M39,0)+IF(K39="159 N° 5",Y39*M39,0)</f>
        <v>538681.59999999998</v>
      </c>
      <c r="AA39" s="93">
        <f t="shared" si="12"/>
        <v>827458.77314814809</v>
      </c>
    </row>
    <row r="40" spans="1:27" ht="15.75">
      <c r="A40" s="1">
        <f t="shared" si="8"/>
        <v>39</v>
      </c>
      <c r="B40" s="77"/>
      <c r="C40" s="78" t="s">
        <v>191</v>
      </c>
      <c r="D40" s="79" t="s">
        <v>192</v>
      </c>
      <c r="E40" s="95" t="s">
        <v>217</v>
      </c>
      <c r="F40" s="96">
        <v>45755</v>
      </c>
      <c r="G40" s="54">
        <v>45900</v>
      </c>
      <c r="H40" s="63" t="s">
        <v>45</v>
      </c>
      <c r="I40" s="82">
        <v>550000</v>
      </c>
      <c r="J40" s="83">
        <v>1081200</v>
      </c>
      <c r="K40" s="84" t="s">
        <v>24</v>
      </c>
      <c r="L40" s="85">
        <f t="shared" si="0"/>
        <v>146</v>
      </c>
      <c r="M40" s="86">
        <f t="shared" si="3"/>
        <v>4.8666666666666663</v>
      </c>
      <c r="N40" s="87">
        <f t="shared" si="1"/>
        <v>6.083333333333333</v>
      </c>
      <c r="O40" s="69">
        <v>2</v>
      </c>
      <c r="P40" s="88">
        <f t="shared" si="2"/>
        <v>8.0833333333333321</v>
      </c>
      <c r="Q40" s="1">
        <f>VLOOKUP(C41,'[1]Mayo 2025'!$A$7:$E$170,5,0)</f>
        <v>30</v>
      </c>
      <c r="R40" s="89">
        <f>VLOOKUP(C40,'[1]Mayo 2025'!$A$7:$J$170,10,0)</f>
        <v>1259353</v>
      </c>
      <c r="S40" s="1">
        <f>VLOOKUP(C40,'[1]Junio 2025'!$A$7:$C$177,3,0)</f>
        <v>30</v>
      </c>
      <c r="T40" s="89">
        <f>VLOOKUP(C40,'[1]Junio 2025'!$A$7:$H$177,8,0)</f>
        <v>1251989</v>
      </c>
      <c r="U40" s="1">
        <f>VLOOKUP(C40,[1]Julio!$A$7:$E$256,5,0)</f>
        <v>30</v>
      </c>
      <c r="V40" s="89">
        <f>VLOOKUP(C40,[1]Julio!$A$7:$J$255,10,0)</f>
        <v>1251893</v>
      </c>
      <c r="W40" s="90">
        <f t="shared" si="9"/>
        <v>41813.722222222219</v>
      </c>
      <c r="X40" s="91">
        <f t="shared" si="10"/>
        <v>337994.25462962955</v>
      </c>
      <c r="Y40" s="92">
        <f t="shared" si="11"/>
        <v>110688</v>
      </c>
      <c r="Z40" s="91">
        <f>IF(K40="159 N° 4",Y40*M40,0)+IF(K40="161 N° 1",Y40*#REF!,0)+IF(K40="159 N° 1",Y40*M40,0)+IF(K40="159 N° 5",Y40*M40,0)</f>
        <v>538681.59999999998</v>
      </c>
      <c r="AA40" s="93">
        <f t="shared" si="12"/>
        <v>876675.85462962952</v>
      </c>
    </row>
    <row r="41" spans="1:27" ht="15.75">
      <c r="A41" s="1">
        <f t="shared" si="8"/>
        <v>40</v>
      </c>
      <c r="B41" s="77"/>
      <c r="C41" s="78" t="s">
        <v>193</v>
      </c>
      <c r="D41" s="79" t="s">
        <v>194</v>
      </c>
      <c r="E41" s="95" t="s">
        <v>217</v>
      </c>
      <c r="F41" s="96">
        <v>45755</v>
      </c>
      <c r="G41" s="54">
        <v>45900</v>
      </c>
      <c r="H41" s="63" t="s">
        <v>45</v>
      </c>
      <c r="I41" s="82">
        <v>550000</v>
      </c>
      <c r="J41" s="83">
        <v>1081200</v>
      </c>
      <c r="K41" s="84" t="s">
        <v>24</v>
      </c>
      <c r="L41" s="85">
        <f t="shared" si="0"/>
        <v>146</v>
      </c>
      <c r="M41" s="86">
        <f t="shared" si="3"/>
        <v>4.8666666666666663</v>
      </c>
      <c r="N41" s="87">
        <f t="shared" si="1"/>
        <v>6.083333333333333</v>
      </c>
      <c r="O41" s="69">
        <v>2</v>
      </c>
      <c r="P41" s="88">
        <f t="shared" si="2"/>
        <v>8.0833333333333321</v>
      </c>
      <c r="Q41" s="1">
        <f>VLOOKUP(C42,'[1]Mayo 2025'!$A$7:$E$170,5,0)</f>
        <v>29</v>
      </c>
      <c r="R41" s="89">
        <f>VLOOKUP(C41,'[1]Mayo 2025'!$A$7:$J$170,10,0)</f>
        <v>1089977</v>
      </c>
      <c r="S41" s="1">
        <f>VLOOKUP(C41,'[1]Junio 2025'!$A$7:$C$177,3,0)</f>
        <v>30</v>
      </c>
      <c r="T41" s="89">
        <f>VLOOKUP(C41,'[1]Junio 2025'!$A$7:$H$177,8,0)</f>
        <v>1082615</v>
      </c>
      <c r="U41" s="1">
        <f>VLOOKUP(C41,[1]Julio!$A$7:$E$256,5,0)</f>
        <v>30</v>
      </c>
      <c r="V41" s="89">
        <f>VLOOKUP(C41,[1]Julio!$A$7:$J$255,10,0)</f>
        <v>1082518</v>
      </c>
      <c r="W41" s="90">
        <f t="shared" si="9"/>
        <v>36574.269662921346</v>
      </c>
      <c r="X41" s="91">
        <f t="shared" si="10"/>
        <v>295642.01310861419</v>
      </c>
      <c r="Y41" s="92">
        <f t="shared" si="11"/>
        <v>110688</v>
      </c>
      <c r="Z41" s="91">
        <f>IF(K41="159 N° 4",Y41*M41,0)+IF(K41="161 N° 1",Y41*#REF!,0)+IF(K41="159 N° 1",Y41*M41,0)+IF(K41="159 N° 5",Y41*M41,0)</f>
        <v>538681.59999999998</v>
      </c>
      <c r="AA41" s="93">
        <f t="shared" si="12"/>
        <v>834323.61310861423</v>
      </c>
    </row>
    <row r="42" spans="1:27" ht="15.75">
      <c r="A42" s="1">
        <f t="shared" si="8"/>
        <v>41</v>
      </c>
      <c r="B42" s="77"/>
      <c r="C42" s="78" t="s">
        <v>195</v>
      </c>
      <c r="D42" s="79" t="s">
        <v>196</v>
      </c>
      <c r="E42" s="95" t="s">
        <v>217</v>
      </c>
      <c r="F42" s="96">
        <v>45755</v>
      </c>
      <c r="G42" s="54">
        <v>45900</v>
      </c>
      <c r="H42" s="63" t="s">
        <v>45</v>
      </c>
      <c r="I42" s="82">
        <v>550000</v>
      </c>
      <c r="J42" s="83">
        <v>1081200</v>
      </c>
      <c r="K42" s="84" t="s">
        <v>24</v>
      </c>
      <c r="L42" s="85">
        <f t="shared" si="0"/>
        <v>146</v>
      </c>
      <c r="M42" s="86">
        <f t="shared" si="3"/>
        <v>4.8666666666666663</v>
      </c>
      <c r="N42" s="87">
        <f t="shared" si="1"/>
        <v>6.083333333333333</v>
      </c>
      <c r="O42" s="69">
        <v>2</v>
      </c>
      <c r="P42" s="88">
        <f t="shared" si="2"/>
        <v>8.0833333333333321</v>
      </c>
      <c r="Q42" s="1">
        <f>VLOOKUP(C43,'[1]Mayo 2025'!$A$7:$E$170,5,0)</f>
        <v>30</v>
      </c>
      <c r="R42" s="89">
        <f>VLOOKUP(C42,'[1]Mayo 2025'!$A$7:$J$170,10,0)</f>
        <v>1046687</v>
      </c>
      <c r="S42" s="1">
        <f>VLOOKUP(C42,'[1]Junio 2025'!$A$7:$C$177,3,0)</f>
        <v>30</v>
      </c>
      <c r="T42" s="89">
        <f>VLOOKUP(C42,'[1]Junio 2025'!$A$7:$H$177,8,0)</f>
        <v>1082615</v>
      </c>
      <c r="U42" s="1">
        <f>VLOOKUP(C42,[1]Julio!$A$7:$E$256,5,0)</f>
        <v>30</v>
      </c>
      <c r="V42" s="89">
        <f>VLOOKUP(C42,[1]Julio!$A$7:$J$255,10,0)</f>
        <v>1082518</v>
      </c>
      <c r="W42" s="90">
        <f t="shared" si="9"/>
        <v>35686.888888888891</v>
      </c>
      <c r="X42" s="91">
        <f t="shared" si="10"/>
        <v>288469.01851851848</v>
      </c>
      <c r="Y42" s="92">
        <f t="shared" si="11"/>
        <v>110688</v>
      </c>
      <c r="Z42" s="91">
        <f>IF(K42="159 N° 4",Y42*M42,0)+IF(K42="161 N° 1",Y42*#REF!,0)+IF(K42="159 N° 1",Y42*M42,0)+IF(K42="159 N° 5",Y42*M42,0)</f>
        <v>538681.59999999998</v>
      </c>
      <c r="AA42" s="93">
        <f t="shared" si="12"/>
        <v>827150.61851851852</v>
      </c>
    </row>
    <row r="43" spans="1:27" ht="15.75">
      <c r="A43" s="1">
        <f t="shared" si="8"/>
        <v>42</v>
      </c>
      <c r="B43" s="77"/>
      <c r="C43" s="78" t="s">
        <v>197</v>
      </c>
      <c r="D43" s="79" t="s">
        <v>198</v>
      </c>
      <c r="E43" s="95" t="s">
        <v>217</v>
      </c>
      <c r="F43" s="96">
        <v>45755</v>
      </c>
      <c r="G43" s="54">
        <v>45900</v>
      </c>
      <c r="H43" s="63" t="s">
        <v>45</v>
      </c>
      <c r="I43" s="82">
        <v>550000</v>
      </c>
      <c r="J43" s="83">
        <v>1081200</v>
      </c>
      <c r="K43" s="84" t="s">
        <v>24</v>
      </c>
      <c r="L43" s="85">
        <f t="shared" si="0"/>
        <v>146</v>
      </c>
      <c r="M43" s="86">
        <f t="shared" si="3"/>
        <v>4.8666666666666663</v>
      </c>
      <c r="N43" s="87">
        <f t="shared" si="1"/>
        <v>6.083333333333333</v>
      </c>
      <c r="O43" s="69">
        <v>2</v>
      </c>
      <c r="P43" s="88">
        <f t="shared" si="2"/>
        <v>8.0833333333333321</v>
      </c>
      <c r="Q43" s="1">
        <f>VLOOKUP(C44,'[1]Mayo 2025'!$A$7:$E$170,5,0)</f>
        <v>30</v>
      </c>
      <c r="R43" s="89">
        <f>VLOOKUP(C43,'[1]Mayo 2025'!$A$7:$J$170,10,0)</f>
        <v>1089977</v>
      </c>
      <c r="S43" s="1">
        <f>VLOOKUP(C43,'[1]Junio 2025'!$A$7:$C$177,3,0)</f>
        <v>30</v>
      </c>
      <c r="T43" s="89">
        <f>VLOOKUP(C43,'[1]Junio 2025'!$A$7:$H$177,8,0)</f>
        <v>1082615</v>
      </c>
      <c r="U43" s="1">
        <f>VLOOKUP(C43,[1]Julio!$A$7:$E$256,5,0)</f>
        <v>30</v>
      </c>
      <c r="V43" s="89">
        <f>VLOOKUP(C43,[1]Julio!$A$7:$J$255,10,0)</f>
        <v>1082518</v>
      </c>
      <c r="W43" s="90">
        <f t="shared" si="9"/>
        <v>36167.888888888891</v>
      </c>
      <c r="X43" s="91">
        <f t="shared" si="10"/>
        <v>292357.1018518518</v>
      </c>
      <c r="Y43" s="92">
        <f t="shared" si="11"/>
        <v>110688</v>
      </c>
      <c r="Z43" s="91">
        <f>IF(K43="159 N° 4",Y43*M43,0)+IF(K43="161 N° 1",Y43*#REF!,0)+IF(K43="159 N° 1",Y43*M43,0)+IF(K43="159 N° 5",Y43*M43,0)</f>
        <v>538681.59999999998</v>
      </c>
      <c r="AA43" s="93">
        <f t="shared" si="12"/>
        <v>831038.70185185177</v>
      </c>
    </row>
    <row r="44" spans="1:27" ht="15.75">
      <c r="A44" s="1">
        <f t="shared" si="8"/>
        <v>43</v>
      </c>
      <c r="B44" s="77"/>
      <c r="C44" s="78" t="s">
        <v>199</v>
      </c>
      <c r="D44" s="79" t="s">
        <v>200</v>
      </c>
      <c r="E44" s="95" t="s">
        <v>145</v>
      </c>
      <c r="F44" s="96">
        <v>45755</v>
      </c>
      <c r="G44" s="54">
        <v>45900</v>
      </c>
      <c r="H44" s="63" t="s">
        <v>45</v>
      </c>
      <c r="I44" s="82">
        <v>550000</v>
      </c>
      <c r="J44" s="83">
        <v>1081200</v>
      </c>
      <c r="K44" s="84" t="s">
        <v>24</v>
      </c>
      <c r="L44" s="85">
        <f t="shared" si="0"/>
        <v>146</v>
      </c>
      <c r="M44" s="86">
        <f t="shared" si="3"/>
        <v>4.8666666666666663</v>
      </c>
      <c r="N44" s="87">
        <f t="shared" si="1"/>
        <v>6.083333333333333</v>
      </c>
      <c r="O44" s="69">
        <v>2</v>
      </c>
      <c r="P44" s="88">
        <f t="shared" si="2"/>
        <v>8.0833333333333321</v>
      </c>
      <c r="Q44" s="1">
        <f>VLOOKUP(C45,'[1]Mayo 2025'!$A$7:$E$170,5,0)</f>
        <v>30</v>
      </c>
      <c r="R44" s="89">
        <f>VLOOKUP(C44,'[1]Mayo 2025'!$A$7:$J$170,10,0)</f>
        <v>1077923</v>
      </c>
      <c r="S44" s="1">
        <f>VLOOKUP(C44,'[1]Junio 2025'!$A$7:$C$177,3,0)</f>
        <v>30</v>
      </c>
      <c r="T44" s="89">
        <f>VLOOKUP(C44,'[1]Junio 2025'!$A$7:$H$177,8,0)</f>
        <v>1070560</v>
      </c>
      <c r="U44" s="1">
        <f>VLOOKUP(C44,[1]Julio!$A$7:$E$256,5,0)</f>
        <v>30</v>
      </c>
      <c r="V44" s="89">
        <f>VLOOKUP(C44,[1]Julio!$A$7:$J$255,10,0)</f>
        <v>1070464</v>
      </c>
      <c r="W44" s="90">
        <f t="shared" si="9"/>
        <v>35766.077777777777</v>
      </c>
      <c r="X44" s="91">
        <f t="shared" si="10"/>
        <v>289109.12870370364</v>
      </c>
      <c r="Y44" s="92">
        <f t="shared" si="11"/>
        <v>110688</v>
      </c>
      <c r="Z44" s="91">
        <f>IF(K44="159 N° 4",Y44*M44,0)+IF(K44="161 N° 1",Y44*#REF!,0)+IF(K44="159 N° 1",Y44*M44,0)+IF(K44="159 N° 5",Y44*M44,0)</f>
        <v>538681.59999999998</v>
      </c>
      <c r="AA44" s="93">
        <f t="shared" si="12"/>
        <v>827790.72870370361</v>
      </c>
    </row>
    <row r="45" spans="1:27" ht="15.75">
      <c r="A45" s="1">
        <f t="shared" si="8"/>
        <v>44</v>
      </c>
      <c r="B45" s="77"/>
      <c r="C45" s="78" t="s">
        <v>201</v>
      </c>
      <c r="D45" s="79" t="s">
        <v>202</v>
      </c>
      <c r="E45" s="95" t="s">
        <v>218</v>
      </c>
      <c r="F45" s="96">
        <v>45755</v>
      </c>
      <c r="G45" s="54">
        <v>45900</v>
      </c>
      <c r="H45" s="63" t="s">
        <v>45</v>
      </c>
      <c r="I45" s="82">
        <v>900000</v>
      </c>
      <c r="J45" s="83">
        <v>1785000</v>
      </c>
      <c r="K45" s="84" t="s">
        <v>24</v>
      </c>
      <c r="L45" s="85">
        <f t="shared" si="0"/>
        <v>146</v>
      </c>
      <c r="M45" s="86">
        <f t="shared" si="3"/>
        <v>4.8666666666666663</v>
      </c>
      <c r="N45" s="87">
        <f t="shared" si="1"/>
        <v>6.083333333333333</v>
      </c>
      <c r="O45" s="69">
        <v>2</v>
      </c>
      <c r="P45" s="88">
        <f t="shared" si="2"/>
        <v>8.0833333333333321</v>
      </c>
      <c r="Q45" s="1">
        <f>VLOOKUP(C46,'[1]Mayo 2025'!$A$7:$E$170,5,0)</f>
        <v>30</v>
      </c>
      <c r="R45" s="89">
        <f>VLOOKUP(C45,'[1]Mayo 2025'!$A$7:$J$170,10,0)</f>
        <v>1988716</v>
      </c>
      <c r="S45" s="1">
        <f>VLOOKUP(C45,'[1]Junio 2025'!$A$7:$C$177,3,0)</f>
        <v>30</v>
      </c>
      <c r="T45" s="89">
        <f>VLOOKUP(C45,'[1]Junio 2025'!$A$7:$H$177,8,0)</f>
        <v>1981354</v>
      </c>
      <c r="U45" s="1">
        <f>VLOOKUP(C45,[1]Julio!$A$7:$E$256,5,0)</f>
        <v>30</v>
      </c>
      <c r="V45" s="89">
        <f>VLOOKUP(C45,[1]Julio!$A$7:$J$255,10,0)</f>
        <v>1981258</v>
      </c>
      <c r="W45" s="90">
        <f t="shared" si="9"/>
        <v>66125.866666666669</v>
      </c>
      <c r="X45" s="91">
        <f t="shared" si="10"/>
        <v>534517.4222222222</v>
      </c>
      <c r="Y45" s="92">
        <f t="shared" si="11"/>
        <v>182740</v>
      </c>
      <c r="Z45" s="91">
        <f>IF(K45="159 N° 4",Y45*M45,0)+IF(K45="161 N° 1",Y45*#REF!,0)+IF(K45="159 N° 1",Y45*M45,0)+IF(K45="159 N° 5",Y45*M45,0)</f>
        <v>889334.66666666663</v>
      </c>
      <c r="AA45" s="93">
        <f t="shared" si="12"/>
        <v>1423852.0888888887</v>
      </c>
    </row>
    <row r="46" spans="1:27" ht="15.75">
      <c r="A46" s="1">
        <f t="shared" si="8"/>
        <v>45</v>
      </c>
      <c r="B46" s="77"/>
      <c r="C46" s="78" t="s">
        <v>203</v>
      </c>
      <c r="D46" s="79" t="s">
        <v>204</v>
      </c>
      <c r="E46" s="95" t="s">
        <v>218</v>
      </c>
      <c r="F46" s="96">
        <v>45755</v>
      </c>
      <c r="G46" s="54">
        <v>45900</v>
      </c>
      <c r="H46" s="63" t="s">
        <v>45</v>
      </c>
      <c r="I46" s="82">
        <v>900000</v>
      </c>
      <c r="J46" s="83">
        <v>1785000</v>
      </c>
      <c r="K46" s="84" t="s">
        <v>24</v>
      </c>
      <c r="L46" s="85">
        <f t="shared" si="0"/>
        <v>146</v>
      </c>
      <c r="M46" s="86">
        <f t="shared" si="3"/>
        <v>4.8666666666666663</v>
      </c>
      <c r="N46" s="87">
        <f t="shared" si="1"/>
        <v>6.083333333333333</v>
      </c>
      <c r="O46" s="69">
        <v>2</v>
      </c>
      <c r="P46" s="88">
        <f t="shared" si="2"/>
        <v>8.0833333333333321</v>
      </c>
      <c r="Q46" s="1">
        <f>VLOOKUP(C47,'[1]Mayo 2025'!$A$7:$E$170,5,0)</f>
        <v>30</v>
      </c>
      <c r="R46" s="89">
        <f>VLOOKUP(C46,'[1]Mayo 2025'!$A$7:$J$170,10,0)</f>
        <v>1988716</v>
      </c>
      <c r="S46" s="1">
        <f>VLOOKUP(C46,'[1]Junio 2025'!$A$7:$C$177,3,0)</f>
        <v>30</v>
      </c>
      <c r="T46" s="89">
        <f>VLOOKUP(C46,'[1]Junio 2025'!$A$7:$H$177,8,0)</f>
        <v>1981354</v>
      </c>
      <c r="U46" s="1">
        <f>VLOOKUP(C46,[1]Julio!$A$7:$E$256,5,0)</f>
        <v>30</v>
      </c>
      <c r="V46" s="89">
        <f>VLOOKUP(C46,[1]Julio!$A$7:$J$255,10,0)</f>
        <v>1981258</v>
      </c>
      <c r="W46" s="90">
        <f t="shared" si="9"/>
        <v>66125.866666666669</v>
      </c>
      <c r="X46" s="91">
        <f t="shared" si="10"/>
        <v>534517.4222222222</v>
      </c>
      <c r="Y46" s="92">
        <f t="shared" si="11"/>
        <v>182740</v>
      </c>
      <c r="Z46" s="91">
        <f>IF(K46="159 N° 4",Y46*M46,0)+IF(K46="161 N° 1",Y46*#REF!,0)+IF(K46="159 N° 1",Y46*M46,0)+IF(K46="159 N° 5",Y46*M46,0)</f>
        <v>889334.66666666663</v>
      </c>
      <c r="AA46" s="93">
        <f t="shared" si="12"/>
        <v>1423852.0888888887</v>
      </c>
    </row>
    <row r="47" spans="1:27" ht="15.75">
      <c r="A47" s="1">
        <f t="shared" si="8"/>
        <v>46</v>
      </c>
      <c r="B47" s="77"/>
      <c r="C47" s="78" t="s">
        <v>205</v>
      </c>
      <c r="D47" s="79" t="s">
        <v>206</v>
      </c>
      <c r="E47" s="95" t="s">
        <v>217</v>
      </c>
      <c r="F47" s="96">
        <v>45761</v>
      </c>
      <c r="G47" s="54">
        <v>45900</v>
      </c>
      <c r="H47" s="63" t="s">
        <v>45</v>
      </c>
      <c r="I47" s="82">
        <v>550000</v>
      </c>
      <c r="J47" s="83">
        <v>1081200</v>
      </c>
      <c r="K47" s="84" t="s">
        <v>24</v>
      </c>
      <c r="L47" s="85">
        <f t="shared" si="0"/>
        <v>140</v>
      </c>
      <c r="M47" s="86">
        <f t="shared" si="3"/>
        <v>4.666666666666667</v>
      </c>
      <c r="N47" s="87">
        <f t="shared" si="1"/>
        <v>5.8333333333333339</v>
      </c>
      <c r="O47" s="69">
        <v>2</v>
      </c>
      <c r="P47" s="88">
        <f t="shared" si="2"/>
        <v>7.8333333333333339</v>
      </c>
      <c r="Q47" s="1">
        <f>VLOOKUP(C48,'[1]Mayo 2025'!$A$7:$E$170,5,0)</f>
        <v>30</v>
      </c>
      <c r="R47" s="89">
        <f>VLOOKUP(C47,'[1]Mayo 2025'!$A$7:$J$170,10,0)</f>
        <v>1089977</v>
      </c>
      <c r="S47" s="1">
        <f>VLOOKUP(C47,'[1]Junio 2025'!$A$7:$C$177,3,0)</f>
        <v>30</v>
      </c>
      <c r="T47" s="89">
        <f>VLOOKUP(C47,'[1]Junio 2025'!$A$7:$H$177,8,0)</f>
        <v>1082615</v>
      </c>
      <c r="U47" s="1">
        <f>VLOOKUP(C47,[1]Julio!$A$7:$E$256,5,0)</f>
        <v>30</v>
      </c>
      <c r="V47" s="89">
        <f>VLOOKUP(C47,[1]Julio!$A$7:$J$255,10,0)</f>
        <v>1082518</v>
      </c>
      <c r="W47" s="90">
        <f t="shared" si="9"/>
        <v>36167.888888888891</v>
      </c>
      <c r="X47" s="91">
        <f t="shared" si="10"/>
        <v>283315.12962962966</v>
      </c>
      <c r="Y47" s="92">
        <f t="shared" si="11"/>
        <v>110688</v>
      </c>
      <c r="Z47" s="91">
        <f>IF(K47="159 N° 4",Y47*M47,0)+IF(K47="161 N° 1",Y47*#REF!,0)+IF(K47="159 N° 1",Y47*M47,0)+IF(K47="159 N° 5",Y47*M47,0)</f>
        <v>516544.00000000006</v>
      </c>
      <c r="AA47" s="93">
        <f t="shared" si="12"/>
        <v>799859.12962962966</v>
      </c>
    </row>
    <row r="48" spans="1:27" ht="15.75">
      <c r="A48" s="1">
        <f t="shared" si="8"/>
        <v>47</v>
      </c>
      <c r="B48" s="77"/>
      <c r="C48" s="78" t="s">
        <v>207</v>
      </c>
      <c r="D48" s="79" t="s">
        <v>208</v>
      </c>
      <c r="E48" s="95" t="s">
        <v>147</v>
      </c>
      <c r="F48" s="96">
        <v>45761</v>
      </c>
      <c r="G48" s="54">
        <v>45900</v>
      </c>
      <c r="H48" s="63" t="s">
        <v>44</v>
      </c>
      <c r="I48" s="82">
        <v>600000</v>
      </c>
      <c r="J48" s="83">
        <v>1213800</v>
      </c>
      <c r="K48" s="84" t="s">
        <v>24</v>
      </c>
      <c r="L48" s="85">
        <f t="shared" si="0"/>
        <v>140</v>
      </c>
      <c r="M48" s="86">
        <f t="shared" si="3"/>
        <v>4.666666666666667</v>
      </c>
      <c r="N48" s="87">
        <f t="shared" si="1"/>
        <v>5.8333333333333339</v>
      </c>
      <c r="O48" s="69">
        <v>2</v>
      </c>
      <c r="P48" s="88">
        <f t="shared" si="2"/>
        <v>7.8333333333333339</v>
      </c>
      <c r="Q48" s="1">
        <f>VLOOKUP(C49,'[1]Mayo 2025'!$A$7:$E$170,5,0)</f>
        <v>30</v>
      </c>
      <c r="R48" s="89">
        <f>VLOOKUP(C48,'[1]Mayo 2025'!$A$7:$J$170,10,0)</f>
        <v>1254706</v>
      </c>
      <c r="S48" s="1">
        <f>VLOOKUP(C48,'[1]Junio 2025'!$A$7:$C$177,3,0)</f>
        <v>30</v>
      </c>
      <c r="T48" s="89">
        <f>VLOOKUP(C48,'[1]Junio 2025'!$A$7:$H$177,8,0)</f>
        <v>1247341</v>
      </c>
      <c r="U48" s="1">
        <f>VLOOKUP(C48,[1]Julio!$A$7:$E$256,5,0)</f>
        <v>30</v>
      </c>
      <c r="V48" s="89">
        <f>VLOOKUP(C48,[1]Julio!$A$7:$J$255,10,0)</f>
        <v>1247246</v>
      </c>
      <c r="W48" s="90">
        <f t="shared" si="9"/>
        <v>41658.811111111114</v>
      </c>
      <c r="X48" s="91">
        <f t="shared" si="10"/>
        <v>326327.35370370373</v>
      </c>
      <c r="Y48" s="92">
        <f t="shared" si="11"/>
        <v>124263</v>
      </c>
      <c r="Z48" s="91">
        <f>IF(K48="159 N° 4",Y48*M48,0)+IF(K48="161 N° 1",Y48*#REF!,0)+IF(K48="159 N° 1",Y48*M48,0)+IF(K48="159 N° 5",Y48*M48,0)</f>
        <v>579894</v>
      </c>
      <c r="AA48" s="93">
        <f t="shared" si="12"/>
        <v>906221.35370370373</v>
      </c>
    </row>
    <row r="49" spans="1:27" ht="15.75">
      <c r="A49" s="1">
        <f t="shared" si="8"/>
        <v>48</v>
      </c>
      <c r="B49" s="77"/>
      <c r="C49" s="78" t="s">
        <v>209</v>
      </c>
      <c r="D49" s="79" t="s">
        <v>210</v>
      </c>
      <c r="E49" s="95" t="s">
        <v>219</v>
      </c>
      <c r="F49" s="96">
        <v>45769</v>
      </c>
      <c r="G49" s="54">
        <v>45900</v>
      </c>
      <c r="H49" s="63" t="s">
        <v>44</v>
      </c>
      <c r="I49" s="82">
        <v>1500000</v>
      </c>
      <c r="J49" s="83">
        <v>2400000</v>
      </c>
      <c r="K49" s="84" t="s">
        <v>24</v>
      </c>
      <c r="L49" s="85">
        <f t="shared" si="0"/>
        <v>132</v>
      </c>
      <c r="M49" s="86">
        <f t="shared" si="3"/>
        <v>4.4000000000000004</v>
      </c>
      <c r="N49" s="87">
        <f t="shared" si="1"/>
        <v>5.5</v>
      </c>
      <c r="O49" s="69">
        <v>2</v>
      </c>
      <c r="P49" s="88">
        <f t="shared" si="2"/>
        <v>7.5</v>
      </c>
      <c r="Q49" s="1">
        <f>VLOOKUP(C50,'[1]Mayo 2025'!$A$7:$E$170,5,0)</f>
        <v>30</v>
      </c>
      <c r="R49" s="89">
        <f>VLOOKUP(C49,'[1]Mayo 2025'!$A$7:$J$170,10,0)</f>
        <v>2830862</v>
      </c>
      <c r="S49" s="1">
        <f>VLOOKUP(C49,'[1]Junio 2025'!$A$7:$C$177,3,0)</f>
        <v>30</v>
      </c>
      <c r="T49" s="89">
        <f>VLOOKUP(C49,'[1]Junio 2025'!$A$7:$H$177,8,0)</f>
        <v>2823275</v>
      </c>
      <c r="U49" s="1">
        <f>VLOOKUP(C49,[1]Julio!$A$7:$E$256,5,0)</f>
        <v>30</v>
      </c>
      <c r="V49" s="89">
        <f>VLOOKUP(C49,[1]Julio!$A$7:$J$255,10,0)</f>
        <v>2822956</v>
      </c>
      <c r="W49" s="90">
        <f t="shared" si="9"/>
        <v>94189.922222222216</v>
      </c>
      <c r="X49" s="91">
        <f t="shared" si="10"/>
        <v>706424.41666666663</v>
      </c>
      <c r="Y49" s="92">
        <f t="shared" si="11"/>
        <v>245700</v>
      </c>
      <c r="Z49" s="91">
        <f>IF(K49="159 N° 4",Y49*M49,0)+IF(K49="161 N° 1",Y49*#REF!,0)+IF(K49="159 N° 1",Y49*M49,0)+IF(K49="159 N° 5",Y49*M49,0)</f>
        <v>1081080</v>
      </c>
      <c r="AA49" s="93">
        <f t="shared" si="12"/>
        <v>1787504.4166666665</v>
      </c>
    </row>
    <row r="50" spans="1:27" ht="15.75">
      <c r="A50" s="1">
        <f t="shared" si="8"/>
        <v>49</v>
      </c>
      <c r="B50" s="77"/>
      <c r="C50" s="99" t="s">
        <v>211</v>
      </c>
      <c r="D50" s="79" t="s">
        <v>212</v>
      </c>
      <c r="E50" s="95" t="s">
        <v>220</v>
      </c>
      <c r="F50" s="96">
        <v>45769</v>
      </c>
      <c r="G50" s="54">
        <v>45900</v>
      </c>
      <c r="H50" s="63" t="s">
        <v>44</v>
      </c>
      <c r="I50" s="82">
        <v>2500000</v>
      </c>
      <c r="J50" s="83">
        <v>3500000</v>
      </c>
      <c r="K50" s="84" t="s">
        <v>24</v>
      </c>
      <c r="L50" s="85">
        <f t="shared" si="0"/>
        <v>132</v>
      </c>
      <c r="M50" s="86">
        <f t="shared" si="3"/>
        <v>4.4000000000000004</v>
      </c>
      <c r="N50" s="87">
        <f t="shared" si="1"/>
        <v>5.5</v>
      </c>
      <c r="O50" s="69">
        <v>2</v>
      </c>
      <c r="P50" s="88">
        <f t="shared" si="2"/>
        <v>7.5</v>
      </c>
      <c r="Q50" s="1">
        <f>VLOOKUP(C51,'[1]Mayo 2025'!$A$7:$E$170,5,0)</f>
        <v>30</v>
      </c>
      <c r="R50" s="89">
        <f>VLOOKUP(C50,'[1]Mayo 2025'!$A$7:$J$170,10,0)</f>
        <v>4092679</v>
      </c>
      <c r="S50" s="1">
        <f>VLOOKUP(C50,'[1]Junio 2025'!$A$7:$C$177,3,0)</f>
        <v>30</v>
      </c>
      <c r="T50" s="89">
        <f>VLOOKUP(C50,'[1]Junio 2025'!$A$7:$H$177,8,0)</f>
        <v>4085897</v>
      </c>
      <c r="U50" s="1">
        <f>VLOOKUP(C50,[1]Julio!$A$7:$E$256,5,0)</f>
        <v>30</v>
      </c>
      <c r="V50" s="89">
        <f>VLOOKUP(C50,[1]Julio!$A$7:$J$255,10,0)</f>
        <v>4083823</v>
      </c>
      <c r="W50" s="90">
        <f t="shared" ref="W50:W73" si="13">+(R50+T50+V50)/(S50+U50+Q50)</f>
        <v>136248.87777777779</v>
      </c>
      <c r="X50" s="91">
        <f t="shared" ref="X50:X73" si="14">+P50*W50</f>
        <v>1021866.5833333334</v>
      </c>
      <c r="Y50" s="92">
        <f t="shared" ref="Y50:Y65" si="15">ROUND((((J50/0.814)/30)*2.5),0)</f>
        <v>358313</v>
      </c>
      <c r="Z50" s="91">
        <f>IF(K50="159 N° 4",Y50*M50,0)+IF(K50="161 N° 1",Y50*#REF!,0)+IF(K50="159 N° 1",Y50*M50,0)+IF(K50="159 N° 5",Y50*M50,0)</f>
        <v>1576577.2000000002</v>
      </c>
      <c r="AA50" s="93">
        <f t="shared" ref="AA50:AA73" si="16">X50+Z50</f>
        <v>2598443.7833333337</v>
      </c>
    </row>
    <row r="51" spans="1:27" ht="15.75">
      <c r="A51" s="1">
        <f t="shared" si="8"/>
        <v>50</v>
      </c>
      <c r="B51" s="77"/>
      <c r="C51" s="99" t="s">
        <v>213</v>
      </c>
      <c r="D51" s="79" t="s">
        <v>214</v>
      </c>
      <c r="E51" s="95" t="s">
        <v>29</v>
      </c>
      <c r="F51" s="96">
        <v>45772</v>
      </c>
      <c r="G51" s="54">
        <v>45900</v>
      </c>
      <c r="H51" s="63" t="s">
        <v>44</v>
      </c>
      <c r="I51" s="82">
        <v>1400000</v>
      </c>
      <c r="J51" s="83">
        <v>2000000</v>
      </c>
      <c r="K51" s="84" t="s">
        <v>24</v>
      </c>
      <c r="L51" s="85">
        <f t="shared" si="0"/>
        <v>129</v>
      </c>
      <c r="M51" s="86">
        <f t="shared" si="3"/>
        <v>4.3</v>
      </c>
      <c r="N51" s="87">
        <f t="shared" si="1"/>
        <v>5.375</v>
      </c>
      <c r="O51" s="69">
        <v>2</v>
      </c>
      <c r="P51" s="88">
        <f t="shared" si="2"/>
        <v>7.375</v>
      </c>
      <c r="Q51" s="1">
        <f>VLOOKUP(C52,'[1]Mayo 2025'!$A$7:$E$170,5,0)</f>
        <v>26</v>
      </c>
      <c r="R51" s="89">
        <f>VLOOKUP(C51,'[1]Mayo 2025'!$A$7:$J$170,10,0)</f>
        <v>2304886</v>
      </c>
      <c r="S51" s="1">
        <f>VLOOKUP(C51,'[1]Junio 2025'!$A$7:$C$177,3,0)</f>
        <v>30</v>
      </c>
      <c r="T51" s="89">
        <f>VLOOKUP(C51,'[1]Junio 2025'!$A$7:$H$177,8,0)</f>
        <v>2297523</v>
      </c>
      <c r="U51" s="1">
        <f>VLOOKUP(C51,[1]Julio!$A$7:$E$256,5,0)</f>
        <v>30</v>
      </c>
      <c r="V51" s="89">
        <f>VLOOKUP(C51,[1]Julio!$A$7:$J$255,10,0)</f>
        <v>2297427</v>
      </c>
      <c r="W51" s="90">
        <f t="shared" si="13"/>
        <v>80230.651162790702</v>
      </c>
      <c r="X51" s="91">
        <f t="shared" si="14"/>
        <v>591701.05232558143</v>
      </c>
      <c r="Y51" s="92">
        <f t="shared" si="15"/>
        <v>204750</v>
      </c>
      <c r="Z51" s="91">
        <f>IF(K51="159 N° 4",Y51*M51,0)+IF(K51="161 N° 1",Y51*#REF!,0)+IF(K51="159 N° 1",Y51*M51,0)+IF(K51="159 N° 5",Y51*M51,0)</f>
        <v>880425</v>
      </c>
      <c r="AA51" s="93">
        <f t="shared" si="16"/>
        <v>1472126.0523255814</v>
      </c>
    </row>
    <row r="52" spans="1:27" ht="15.75">
      <c r="A52" s="1">
        <f t="shared" si="8"/>
        <v>51</v>
      </c>
      <c r="B52" s="77"/>
      <c r="C52" s="99" t="s">
        <v>221</v>
      </c>
      <c r="D52" s="79" t="s">
        <v>222</v>
      </c>
      <c r="E52" s="95" t="s">
        <v>180</v>
      </c>
      <c r="F52" s="96">
        <v>45783</v>
      </c>
      <c r="G52" s="54">
        <v>45900</v>
      </c>
      <c r="H52" s="63" t="s">
        <v>45</v>
      </c>
      <c r="I52" s="82">
        <v>900000</v>
      </c>
      <c r="J52" s="83">
        <v>1785000</v>
      </c>
      <c r="K52" s="84" t="s">
        <v>24</v>
      </c>
      <c r="L52" s="85">
        <f t="shared" si="0"/>
        <v>118</v>
      </c>
      <c r="M52" s="86">
        <f t="shared" si="3"/>
        <v>3.9333333333333331</v>
      </c>
      <c r="N52" s="87">
        <f t="shared" si="1"/>
        <v>4.9166666666666661</v>
      </c>
      <c r="O52" s="69">
        <v>2</v>
      </c>
      <c r="P52" s="88">
        <f t="shared" si="2"/>
        <v>6.9166666666666661</v>
      </c>
      <c r="Q52" s="1">
        <f>VLOOKUP(C53,'[1]Mayo 2025'!$A$7:$E$170,5,0)</f>
        <v>26</v>
      </c>
      <c r="R52" s="89">
        <f>VLOOKUP(C52,'[1]Mayo 2025'!$A$7:$J$170,10,0)</f>
        <v>1690507</v>
      </c>
      <c r="S52" s="1">
        <f>VLOOKUP(C52,'[1]Junio 2025'!$A$7:$C$177,3,0)</f>
        <v>30</v>
      </c>
      <c r="T52" s="89">
        <f>VLOOKUP(C52,'[1]Junio 2025'!$A$7:$H$177,8,0)</f>
        <v>1981603</v>
      </c>
      <c r="U52" s="1">
        <f>VLOOKUP(C52,[1]Julio!$A$7:$E$256,5,0)</f>
        <v>29</v>
      </c>
      <c r="V52" s="89">
        <f>VLOOKUP(C52,[1]Julio!$A$7:$J$255,10,0)</f>
        <v>1906892</v>
      </c>
      <c r="W52" s="90">
        <f t="shared" si="13"/>
        <v>65635.317647058822</v>
      </c>
      <c r="X52" s="91">
        <f t="shared" si="14"/>
        <v>453977.61372549017</v>
      </c>
      <c r="Y52" s="92">
        <f t="shared" si="15"/>
        <v>182740</v>
      </c>
      <c r="Z52" s="91">
        <f>IF(K52="159 N° 4",Y52*M52,0)+IF(K52="161 N° 1",Y52*#REF!,0)+IF(K52="159 N° 1",Y52*M52,0)+IF(K52="159 N° 5",Y52*M52,0)</f>
        <v>718777.33333333326</v>
      </c>
      <c r="AA52" s="93">
        <f t="shared" si="16"/>
        <v>1172754.9470588234</v>
      </c>
    </row>
    <row r="53" spans="1:27" ht="15.75">
      <c r="A53" s="1">
        <f t="shared" si="8"/>
        <v>52</v>
      </c>
      <c r="B53" s="77"/>
      <c r="C53" s="78" t="s">
        <v>223</v>
      </c>
      <c r="D53" s="79" t="s">
        <v>224</v>
      </c>
      <c r="E53" s="95" t="s">
        <v>145</v>
      </c>
      <c r="F53" s="96">
        <v>45783</v>
      </c>
      <c r="G53" s="54">
        <v>45900</v>
      </c>
      <c r="H53" s="63" t="s">
        <v>45</v>
      </c>
      <c r="I53" s="82">
        <v>550000</v>
      </c>
      <c r="J53" s="83">
        <v>1081200</v>
      </c>
      <c r="K53" s="84" t="s">
        <v>24</v>
      </c>
      <c r="L53" s="85">
        <f t="shared" si="0"/>
        <v>118</v>
      </c>
      <c r="M53" s="86">
        <f t="shared" si="3"/>
        <v>3.9333333333333331</v>
      </c>
      <c r="N53" s="87">
        <f t="shared" si="1"/>
        <v>4.9166666666666661</v>
      </c>
      <c r="O53" s="69">
        <v>2</v>
      </c>
      <c r="P53" s="88">
        <f t="shared" si="2"/>
        <v>6.9166666666666661</v>
      </c>
      <c r="Q53" s="1">
        <f>VLOOKUP(C54,'[1]Mayo 2025'!$A$7:$E$170,5,0)</f>
        <v>26</v>
      </c>
      <c r="R53" s="89">
        <f>VLOOKUP(C53,'[1]Mayo 2025'!$A$7:$J$170,10,0)</f>
        <v>913344</v>
      </c>
      <c r="S53" s="1">
        <f>VLOOKUP(C53,'[1]Junio 2025'!$A$7:$C$177,3,0)</f>
        <v>30</v>
      </c>
      <c r="T53" s="89">
        <f>VLOOKUP(C53,'[1]Junio 2025'!$A$7:$H$177,8,0)</f>
        <v>1070560</v>
      </c>
      <c r="U53" s="1">
        <f>VLOOKUP(C53,[1]Julio!$A$7:$E$256,5,0)</f>
        <v>30</v>
      </c>
      <c r="V53" s="89">
        <f>VLOOKUP(C53,[1]Julio!$A$7:$J$255,10,0)</f>
        <v>1070464</v>
      </c>
      <c r="W53" s="90">
        <f t="shared" si="13"/>
        <v>35515.906976744183</v>
      </c>
      <c r="X53" s="91">
        <f t="shared" si="14"/>
        <v>245651.68992248058</v>
      </c>
      <c r="Y53" s="92">
        <f t="shared" si="15"/>
        <v>110688</v>
      </c>
      <c r="Z53" s="91">
        <f>IF(K53="159 N° 4",Y53*M53,0)+IF(K53="161 N° 1",Y53*#REF!,0)+IF(K53="159 N° 1",Y53*M53,0)+IF(K53="159 N° 5",Y53*M53,0)</f>
        <v>435372.79999999999</v>
      </c>
      <c r="AA53" s="93">
        <f t="shared" si="16"/>
        <v>681024.48992248054</v>
      </c>
    </row>
    <row r="54" spans="1:27" ht="15.75">
      <c r="A54" s="1">
        <f t="shared" si="8"/>
        <v>53</v>
      </c>
      <c r="B54" s="77"/>
      <c r="C54" s="99" t="s">
        <v>225</v>
      </c>
      <c r="D54" s="79" t="s">
        <v>226</v>
      </c>
      <c r="E54" s="95" t="s">
        <v>149</v>
      </c>
      <c r="F54" s="96">
        <v>45783</v>
      </c>
      <c r="G54" s="54">
        <v>45900</v>
      </c>
      <c r="H54" s="63" t="s">
        <v>45</v>
      </c>
      <c r="I54" s="82">
        <v>600000</v>
      </c>
      <c r="J54" s="83">
        <v>1213800</v>
      </c>
      <c r="K54" s="84" t="s">
        <v>24</v>
      </c>
      <c r="L54" s="85">
        <f t="shared" si="0"/>
        <v>118</v>
      </c>
      <c r="M54" s="86">
        <f t="shared" si="3"/>
        <v>3.9333333333333331</v>
      </c>
      <c r="N54" s="87">
        <f t="shared" si="1"/>
        <v>4.9166666666666661</v>
      </c>
      <c r="O54" s="69">
        <v>2</v>
      </c>
      <c r="P54" s="88">
        <f t="shared" si="2"/>
        <v>6.9166666666666661</v>
      </c>
      <c r="Q54" s="1">
        <f>VLOOKUP(C55,'[1]Mayo 2025'!$A$7:$E$170,5,0)</f>
        <v>26</v>
      </c>
      <c r="R54" s="89">
        <f>VLOOKUP(C54,'[1]Mayo 2025'!$A$7:$J$170,10,0)</f>
        <v>1058420</v>
      </c>
      <c r="S54" s="1">
        <f>VLOOKUP(C54,'[1]Junio 2025'!$A$7:$C$177,3,0)</f>
        <v>30</v>
      </c>
      <c r="T54" s="89">
        <f>VLOOKUP(C54,'[1]Junio 2025'!$A$7:$H$177,8,0)</f>
        <v>1251989</v>
      </c>
      <c r="U54" s="1">
        <f>VLOOKUP(C54,[1]Julio!$A$7:$E$256,5,0)</f>
        <v>30</v>
      </c>
      <c r="V54" s="89">
        <f>VLOOKUP(C54,[1]Julio!$A$7:$J$255,10,0)</f>
        <v>1251893</v>
      </c>
      <c r="W54" s="90">
        <f t="shared" si="13"/>
        <v>41422.116279069771</v>
      </c>
      <c r="X54" s="91">
        <f t="shared" si="14"/>
        <v>286502.97093023255</v>
      </c>
      <c r="Y54" s="92">
        <f t="shared" si="15"/>
        <v>124263</v>
      </c>
      <c r="Z54" s="91">
        <f>IF(K54="159 N° 4",Y54*M54,0)+IF(K54="161 N° 1",Y54*#REF!,0)+IF(K54="159 N° 1",Y54*M54,0)+IF(K54="159 N° 5",Y54*M54,0)</f>
        <v>488767.8</v>
      </c>
      <c r="AA54" s="93">
        <f t="shared" si="16"/>
        <v>775270.77093023248</v>
      </c>
    </row>
    <row r="55" spans="1:27" ht="15.75">
      <c r="A55" s="1">
        <f t="shared" si="8"/>
        <v>54</v>
      </c>
      <c r="B55" s="77"/>
      <c r="C55" s="99" t="s">
        <v>227</v>
      </c>
      <c r="D55" s="79" t="s">
        <v>228</v>
      </c>
      <c r="E55" s="95" t="s">
        <v>145</v>
      </c>
      <c r="F55" s="96">
        <v>45783</v>
      </c>
      <c r="G55" s="54">
        <v>45900</v>
      </c>
      <c r="H55" s="63" t="s">
        <v>45</v>
      </c>
      <c r="I55" s="82">
        <v>550000</v>
      </c>
      <c r="J55" s="83">
        <v>1081200</v>
      </c>
      <c r="K55" s="84" t="s">
        <v>24</v>
      </c>
      <c r="L55" s="85">
        <f t="shared" si="0"/>
        <v>118</v>
      </c>
      <c r="M55" s="86">
        <f t="shared" si="3"/>
        <v>3.9333333333333331</v>
      </c>
      <c r="N55" s="87">
        <f t="shared" si="1"/>
        <v>4.9166666666666661</v>
      </c>
      <c r="O55" s="69">
        <v>2</v>
      </c>
      <c r="P55" s="88">
        <f t="shared" si="2"/>
        <v>6.9166666666666661</v>
      </c>
      <c r="Q55" s="1">
        <f>VLOOKUP(C56,'[1]Mayo 2025'!$A$7:$E$170,5,0)</f>
        <v>25</v>
      </c>
      <c r="R55" s="89">
        <f>VLOOKUP(C55,'[1]Mayo 2025'!$A$7:$J$170,10,0)</f>
        <v>921701</v>
      </c>
      <c r="S55" s="1">
        <f>VLOOKUP(C55,'[1]Junio 2025'!$A$7:$C$177,3,0)</f>
        <v>30</v>
      </c>
      <c r="T55" s="89">
        <f>VLOOKUP(C55,'[1]Junio 2025'!$A$7:$H$177,8,0)</f>
        <v>1082615</v>
      </c>
      <c r="U55" s="1">
        <f>VLOOKUP(C55,[1]Julio!$A$7:$E$256,5,0)</f>
        <v>30</v>
      </c>
      <c r="V55" s="89">
        <f>VLOOKUP(C55,[1]Julio!$A$7:$J$255,10,0)</f>
        <v>1082518</v>
      </c>
      <c r="W55" s="90">
        <f t="shared" si="13"/>
        <v>36315.694117647057</v>
      </c>
      <c r="X55" s="91">
        <f t="shared" si="14"/>
        <v>251183.55098039212</v>
      </c>
      <c r="Y55" s="92">
        <f t="shared" si="15"/>
        <v>110688</v>
      </c>
      <c r="Z55" s="91">
        <f>IF(K55="159 N° 4",Y55*M55,0)+IF(K55="161 N° 1",Y55*#REF!,0)+IF(K55="159 N° 1",Y55*M55,0)+IF(K55="159 N° 5",Y55*M55,0)</f>
        <v>435372.79999999999</v>
      </c>
      <c r="AA55" s="93">
        <f t="shared" si="16"/>
        <v>686556.35098039208</v>
      </c>
    </row>
    <row r="56" spans="1:27" ht="15.75">
      <c r="A56" s="1">
        <f t="shared" si="8"/>
        <v>55</v>
      </c>
      <c r="B56" s="77"/>
      <c r="C56" s="99" t="s">
        <v>229</v>
      </c>
      <c r="D56" s="79" t="s">
        <v>230</v>
      </c>
      <c r="E56" s="95" t="s">
        <v>30</v>
      </c>
      <c r="F56" s="96">
        <v>45784</v>
      </c>
      <c r="G56" s="54">
        <v>45900</v>
      </c>
      <c r="H56" s="63" t="s">
        <v>44</v>
      </c>
      <c r="I56" s="82">
        <v>529000</v>
      </c>
      <c r="J56" s="83">
        <v>918000</v>
      </c>
      <c r="K56" s="84" t="s">
        <v>24</v>
      </c>
      <c r="L56" s="85">
        <f t="shared" si="0"/>
        <v>117</v>
      </c>
      <c r="M56" s="86">
        <f t="shared" si="3"/>
        <v>3.9</v>
      </c>
      <c r="N56" s="87">
        <f t="shared" si="1"/>
        <v>4.875</v>
      </c>
      <c r="O56" s="69">
        <v>2</v>
      </c>
      <c r="P56" s="88">
        <f t="shared" si="2"/>
        <v>6.875</v>
      </c>
      <c r="Q56" s="1">
        <f>VLOOKUP(C57,'[1]Mayo 2025'!$A$7:$E$170,5,0)</f>
        <v>20</v>
      </c>
      <c r="R56" s="89">
        <f>VLOOKUP(C56,'[1]Mayo 2025'!$A$7:$J$170,10,0)</f>
        <v>737346</v>
      </c>
      <c r="S56" s="1">
        <f>VLOOKUP(C56,'[1]Junio 2025'!$A$7:$C$177,3,0)</f>
        <v>30</v>
      </c>
      <c r="T56" s="89">
        <f>VLOOKUP(C56,'[1]Junio 2025'!$A$7:$H$177,8,0)</f>
        <v>895451</v>
      </c>
      <c r="U56" s="1">
        <f>VLOOKUP(C56,[1]Julio!$A$7:$E$256,5,0)</f>
        <v>30</v>
      </c>
      <c r="V56" s="89">
        <f>VLOOKUP(C56,[1]Julio!$A$7:$J$255,10,0)</f>
        <v>895451</v>
      </c>
      <c r="W56" s="90">
        <f t="shared" si="13"/>
        <v>31603.1</v>
      </c>
      <c r="X56" s="91">
        <f t="shared" si="14"/>
        <v>217271.3125</v>
      </c>
      <c r="Y56" s="92">
        <f t="shared" si="15"/>
        <v>93980</v>
      </c>
      <c r="Z56" s="91">
        <f>IF(K56="159 N° 4",Y56*M56,0)+IF(K56="161 N° 1",Y56*#REF!,0)+IF(K56="159 N° 1",Y56*M56,0)+IF(K56="159 N° 5",Y56*M56,0)</f>
        <v>366522</v>
      </c>
      <c r="AA56" s="93">
        <f t="shared" si="16"/>
        <v>583793.3125</v>
      </c>
    </row>
    <row r="57" spans="1:27" ht="15.75">
      <c r="A57" s="1">
        <f t="shared" si="8"/>
        <v>56</v>
      </c>
      <c r="B57" s="77"/>
      <c r="C57" s="99" t="s">
        <v>231</v>
      </c>
      <c r="D57" s="79" t="s">
        <v>232</v>
      </c>
      <c r="E57" s="95" t="s">
        <v>218</v>
      </c>
      <c r="F57" s="96">
        <v>45789</v>
      </c>
      <c r="G57" s="54">
        <v>45900</v>
      </c>
      <c r="H57" s="63" t="s">
        <v>45</v>
      </c>
      <c r="I57" s="82">
        <v>900000</v>
      </c>
      <c r="J57" s="83">
        <v>1785000</v>
      </c>
      <c r="K57" s="84" t="s">
        <v>24</v>
      </c>
      <c r="L57" s="85">
        <f t="shared" si="0"/>
        <v>112</v>
      </c>
      <c r="M57" s="86">
        <f t="shared" si="3"/>
        <v>3.7333333333333334</v>
      </c>
      <c r="N57" s="87">
        <f t="shared" si="1"/>
        <v>4.666666666666667</v>
      </c>
      <c r="O57" s="69">
        <v>2</v>
      </c>
      <c r="P57" s="88">
        <f t="shared" si="2"/>
        <v>6.666666666666667</v>
      </c>
      <c r="Q57" s="1">
        <f>VLOOKUP(C58,'[1]Mayo 2025'!$A$7:$E$170,5,0)</f>
        <v>20</v>
      </c>
      <c r="R57" s="89">
        <f>VLOOKUP(C57,'[1]Mayo 2025'!$A$7:$J$170,10,0)</f>
        <v>1242653</v>
      </c>
      <c r="S57" s="1">
        <f>VLOOKUP(C57,'[1]Junio 2025'!$A$7:$C$177,3,0)</f>
        <v>30</v>
      </c>
      <c r="T57" s="89">
        <f>VLOOKUP(C57,'[1]Junio 2025'!$A$7:$H$177,8,0)</f>
        <v>1981354</v>
      </c>
      <c r="U57" s="1">
        <f>VLOOKUP(C57,[1]Julio!$A$7:$E$256,5,0)</f>
        <v>30</v>
      </c>
      <c r="V57" s="89">
        <f>VLOOKUP(C57,[1]Julio!$A$7:$J$255,10,0)</f>
        <v>1981258</v>
      </c>
      <c r="W57" s="90">
        <f t="shared" si="13"/>
        <v>65065.8125</v>
      </c>
      <c r="X57" s="91">
        <f t="shared" si="14"/>
        <v>433772.08333333337</v>
      </c>
      <c r="Y57" s="92">
        <f t="shared" si="15"/>
        <v>182740</v>
      </c>
      <c r="Z57" s="91">
        <f>IF(K57="159 N° 4",Y57*M57,0)+IF(K57="161 N° 1",Y57*#REF!,0)+IF(K57="159 N° 1",Y57*M57,0)+IF(K57="159 N° 5",Y57*M57,0)</f>
        <v>682229.33333333337</v>
      </c>
      <c r="AA57" s="93">
        <f t="shared" si="16"/>
        <v>1116001.4166666667</v>
      </c>
    </row>
    <row r="58" spans="1:27" ht="15.75">
      <c r="A58" s="1">
        <f t="shared" si="8"/>
        <v>57</v>
      </c>
      <c r="B58" s="77"/>
      <c r="C58" s="99" t="s">
        <v>233</v>
      </c>
      <c r="D58" s="79" t="s">
        <v>234</v>
      </c>
      <c r="E58" s="95" t="s">
        <v>237</v>
      </c>
      <c r="F58" s="96">
        <v>45789</v>
      </c>
      <c r="G58" s="54">
        <v>45900</v>
      </c>
      <c r="H58" s="63" t="s">
        <v>45</v>
      </c>
      <c r="I58" s="82">
        <v>529000</v>
      </c>
      <c r="J58" s="83">
        <v>918000</v>
      </c>
      <c r="K58" s="84" t="s">
        <v>24</v>
      </c>
      <c r="L58" s="85">
        <f t="shared" si="0"/>
        <v>112</v>
      </c>
      <c r="M58" s="86">
        <f t="shared" si="3"/>
        <v>3.7333333333333334</v>
      </c>
      <c r="N58" s="87">
        <f t="shared" si="1"/>
        <v>4.666666666666667</v>
      </c>
      <c r="O58" s="69">
        <v>2</v>
      </c>
      <c r="P58" s="88">
        <f t="shared" si="2"/>
        <v>6.666666666666667</v>
      </c>
      <c r="Q58" s="1">
        <f>VLOOKUP(C59,'[1]Mayo 2025'!$A$7:$E$170,5,0)</f>
        <v>20</v>
      </c>
      <c r="R58" s="89">
        <f>VLOOKUP(C58,'[1]Mayo 2025'!$A$7:$J$170,10,0)</f>
        <v>594072</v>
      </c>
      <c r="S58" s="1">
        <f>VLOOKUP(C58,'[1]Junio 2025'!$A$7:$C$177,3,0)</f>
        <v>30</v>
      </c>
      <c r="T58" s="89">
        <f>VLOOKUP(C58,'[1]Junio 2025'!$A$7:$H$177,8,0)</f>
        <v>901743</v>
      </c>
      <c r="U58" s="1">
        <f>VLOOKUP(C58,[1]Julio!$A$7:$E$256,5,0)</f>
        <v>29</v>
      </c>
      <c r="V58" s="89">
        <f>VLOOKUP(C58,[1]Julio!$A$7:$J$255,10,0)</f>
        <v>871686</v>
      </c>
      <c r="W58" s="90">
        <f t="shared" si="13"/>
        <v>29968.367088607596</v>
      </c>
      <c r="X58" s="91">
        <f t="shared" si="14"/>
        <v>199789.11392405065</v>
      </c>
      <c r="Y58" s="92">
        <f t="shared" si="15"/>
        <v>93980</v>
      </c>
      <c r="Z58" s="91">
        <f>IF(K58="159 N° 4",Y58*M58,0)+IF(K58="161 N° 1",Y58*#REF!,0)+IF(K58="159 N° 1",Y58*M58,0)+IF(K58="159 N° 5",Y58*M58,0)</f>
        <v>350858.66666666669</v>
      </c>
      <c r="AA58" s="93">
        <f t="shared" si="16"/>
        <v>550647.78059071733</v>
      </c>
    </row>
    <row r="59" spans="1:27" ht="15.75">
      <c r="A59" s="1">
        <f t="shared" si="8"/>
        <v>58</v>
      </c>
      <c r="B59" s="77"/>
      <c r="C59" s="99" t="s">
        <v>235</v>
      </c>
      <c r="D59" s="79" t="s">
        <v>236</v>
      </c>
      <c r="E59" s="95" t="s">
        <v>237</v>
      </c>
      <c r="F59" s="96">
        <v>45789</v>
      </c>
      <c r="G59" s="54">
        <v>45900</v>
      </c>
      <c r="H59" s="63" t="s">
        <v>45</v>
      </c>
      <c r="I59" s="82">
        <v>529000</v>
      </c>
      <c r="J59" s="83">
        <v>918000</v>
      </c>
      <c r="K59" s="84" t="s">
        <v>24</v>
      </c>
      <c r="L59" s="85">
        <f t="shared" si="0"/>
        <v>112</v>
      </c>
      <c r="M59" s="86">
        <f t="shared" si="3"/>
        <v>3.7333333333333334</v>
      </c>
      <c r="N59" s="87">
        <f t="shared" si="1"/>
        <v>4.666666666666667</v>
      </c>
      <c r="O59" s="69">
        <v>2</v>
      </c>
      <c r="P59" s="88">
        <f t="shared" si="2"/>
        <v>6.666666666666667</v>
      </c>
      <c r="Q59" s="1">
        <v>20</v>
      </c>
      <c r="R59" s="89">
        <f>VLOOKUP(C59,'[1]Mayo 2025'!$A$7:$J$170,10,0)</f>
        <v>589334</v>
      </c>
      <c r="S59" s="1">
        <f>VLOOKUP(C59,'[1]Junio 2025'!$A$7:$C$177,3,0)</f>
        <v>30</v>
      </c>
      <c r="T59" s="89">
        <f>VLOOKUP(C59,'[1]Junio 2025'!$A$7:$H$177,8,0)</f>
        <v>894637</v>
      </c>
      <c r="U59" s="1">
        <f>VLOOKUP(C59,[1]Julio!$A$7:$E$256,5,0)</f>
        <v>30</v>
      </c>
      <c r="V59" s="89">
        <f>VLOOKUP(C59,[1]Julio!$A$7:$J$255,10,0)</f>
        <v>894637</v>
      </c>
      <c r="W59" s="90">
        <f t="shared" si="13"/>
        <v>29732.6</v>
      </c>
      <c r="X59" s="91">
        <f t="shared" si="14"/>
        <v>198217.33333333334</v>
      </c>
      <c r="Y59" s="92">
        <f t="shared" si="15"/>
        <v>93980</v>
      </c>
      <c r="Z59" s="91">
        <f>IF(K59="159 N° 4",Y59*M59,0)+IF(K59="161 N° 1",Y59*#REF!,0)+IF(K59="159 N° 1",Y59*M59,0)+IF(K59="159 N° 5",Y59*M59,0)</f>
        <v>350858.66666666669</v>
      </c>
      <c r="AA59" s="93">
        <f t="shared" si="16"/>
        <v>549076</v>
      </c>
    </row>
    <row r="60" spans="1:27" ht="15.75">
      <c r="A60" s="1">
        <f t="shared" si="8"/>
        <v>59</v>
      </c>
      <c r="B60" s="77"/>
      <c r="C60" s="99" t="s">
        <v>238</v>
      </c>
      <c r="D60" s="79" t="s">
        <v>239</v>
      </c>
      <c r="E60" s="95" t="s">
        <v>218</v>
      </c>
      <c r="F60" s="96">
        <v>45811</v>
      </c>
      <c r="G60" s="54">
        <v>45900</v>
      </c>
      <c r="H60" s="63" t="s">
        <v>45</v>
      </c>
      <c r="I60" s="82">
        <v>900000</v>
      </c>
      <c r="J60" s="83">
        <v>1785000</v>
      </c>
      <c r="K60" s="84" t="s">
        <v>24</v>
      </c>
      <c r="L60" s="85">
        <f t="shared" si="0"/>
        <v>90</v>
      </c>
      <c r="M60" s="86">
        <f t="shared" si="3"/>
        <v>3</v>
      </c>
      <c r="N60" s="87">
        <f t="shared" si="1"/>
        <v>3.75</v>
      </c>
      <c r="O60" s="69">
        <v>0</v>
      </c>
      <c r="P60" s="88">
        <f t="shared" si="2"/>
        <v>3.75</v>
      </c>
      <c r="Q60" s="1"/>
      <c r="R60" s="89"/>
      <c r="S60" s="1">
        <f>VLOOKUP(C60,'[1]Junio 2025'!$A$7:$C$177,3,0)</f>
        <v>28</v>
      </c>
      <c r="T60" s="89">
        <f>VLOOKUP(C60,'[1]Junio 2025'!$A$7:$H$177,8,0)</f>
        <v>1832373</v>
      </c>
      <c r="U60" s="1">
        <f>VLOOKUP(C60,[1]Julio!$A$7:$E$256,5,0)</f>
        <v>30</v>
      </c>
      <c r="V60" s="89">
        <f>VLOOKUP(C60,[1]Julio!$A$7:$J$255,10,0)</f>
        <v>1981507</v>
      </c>
      <c r="W60" s="90">
        <f t="shared" si="13"/>
        <v>65756.551724137928</v>
      </c>
      <c r="X60" s="91">
        <f t="shared" si="14"/>
        <v>246587.06896551722</v>
      </c>
      <c r="Y60" s="92">
        <f t="shared" si="15"/>
        <v>182740</v>
      </c>
      <c r="Z60" s="91">
        <f>IF(K60="159 N° 4",Y60*M60,0)+IF(K60="161 N° 1",Y60*#REF!,0)+IF(K60="159 N° 1",Y60*M60,0)+IF(K60="159 N° 5",Y60*M60,0)</f>
        <v>548220</v>
      </c>
      <c r="AA60" s="93">
        <f t="shared" si="16"/>
        <v>794807.06896551722</v>
      </c>
    </row>
    <row r="61" spans="1:27" ht="15.75">
      <c r="A61" s="1">
        <f t="shared" si="8"/>
        <v>60</v>
      </c>
      <c r="B61" s="77"/>
      <c r="C61" s="99" t="s">
        <v>240</v>
      </c>
      <c r="D61" s="79" t="s">
        <v>241</v>
      </c>
      <c r="E61" s="95" t="s">
        <v>218</v>
      </c>
      <c r="F61" s="96">
        <v>45811</v>
      </c>
      <c r="G61" s="54">
        <v>45900</v>
      </c>
      <c r="H61" s="63" t="s">
        <v>45</v>
      </c>
      <c r="I61" s="82">
        <v>900000</v>
      </c>
      <c r="J61" s="83">
        <v>1785000</v>
      </c>
      <c r="K61" s="84" t="s">
        <v>24</v>
      </c>
      <c r="L61" s="85">
        <f t="shared" si="0"/>
        <v>90</v>
      </c>
      <c r="M61" s="86">
        <f t="shared" si="3"/>
        <v>3</v>
      </c>
      <c r="N61" s="87">
        <f t="shared" si="1"/>
        <v>3.75</v>
      </c>
      <c r="O61" s="69">
        <v>0</v>
      </c>
      <c r="P61" s="88">
        <f t="shared" si="2"/>
        <v>3.75</v>
      </c>
      <c r="Q61" s="1"/>
      <c r="R61" s="89"/>
      <c r="S61" s="1">
        <f>VLOOKUP(C61,'[1]Junio 2025'!$A$7:$C$177,3,0)</f>
        <v>28</v>
      </c>
      <c r="T61" s="89">
        <f>VLOOKUP(C61,'[1]Junio 2025'!$A$7:$H$177,8,0)</f>
        <v>1832141</v>
      </c>
      <c r="U61" s="1">
        <f>VLOOKUP(C61,[1]Julio!$A$7:$E$256,5,0)</f>
        <v>30</v>
      </c>
      <c r="V61" s="89">
        <f>VLOOKUP(C61,[1]Julio!$A$7:$J$255,10,0)</f>
        <v>1981258</v>
      </c>
      <c r="W61" s="90">
        <f t="shared" si="13"/>
        <v>65748.258620689652</v>
      </c>
      <c r="X61" s="91">
        <f t="shared" si="14"/>
        <v>246555.9698275862</v>
      </c>
      <c r="Y61" s="92">
        <f t="shared" si="15"/>
        <v>182740</v>
      </c>
      <c r="Z61" s="91">
        <f>IF(K61="159 N° 4",Y61*M61,0)+IF(K61="161 N° 1",Y61*#REF!,0)+IF(K61="159 N° 1",Y61*M61,0)+IF(K61="159 N° 5",Y61*M61,0)</f>
        <v>548220</v>
      </c>
      <c r="AA61" s="93">
        <f t="shared" si="16"/>
        <v>794775.9698275862</v>
      </c>
    </row>
    <row r="62" spans="1:27" ht="15.75">
      <c r="A62" s="1">
        <f t="shared" si="8"/>
        <v>61</v>
      </c>
      <c r="B62" s="77"/>
      <c r="C62" s="99" t="s">
        <v>242</v>
      </c>
      <c r="D62" s="79" t="s">
        <v>243</v>
      </c>
      <c r="E62" s="95" t="s">
        <v>218</v>
      </c>
      <c r="F62" s="96">
        <v>45811</v>
      </c>
      <c r="G62" s="54">
        <v>45900</v>
      </c>
      <c r="H62" s="63" t="s">
        <v>45</v>
      </c>
      <c r="I62" s="82">
        <v>900000</v>
      </c>
      <c r="J62" s="83">
        <v>1785000</v>
      </c>
      <c r="K62" s="84" t="s">
        <v>24</v>
      </c>
      <c r="L62" s="85">
        <f t="shared" si="0"/>
        <v>90</v>
      </c>
      <c r="M62" s="86">
        <f t="shared" si="3"/>
        <v>3</v>
      </c>
      <c r="N62" s="87">
        <f t="shared" si="1"/>
        <v>3.75</v>
      </c>
      <c r="O62" s="69">
        <v>0</v>
      </c>
      <c r="P62" s="88">
        <f t="shared" si="2"/>
        <v>3.75</v>
      </c>
      <c r="Q62" s="1"/>
      <c r="R62" s="89"/>
      <c r="S62" s="1">
        <f>VLOOKUP(C62,'[1]Junio 2025'!$A$7:$C$177,3,0)</f>
        <v>28</v>
      </c>
      <c r="T62" s="89">
        <f>VLOOKUP(C62,'[1]Junio 2025'!$A$7:$H$177,8,0)</f>
        <v>1832141</v>
      </c>
      <c r="U62" s="1">
        <f>VLOOKUP(C62,[1]Julio!$A$7:$E$256,5,0)</f>
        <v>30</v>
      </c>
      <c r="V62" s="89">
        <f>VLOOKUP(C62,[1]Julio!$A$7:$J$255,10,0)</f>
        <v>1981258</v>
      </c>
      <c r="W62" s="90">
        <f t="shared" si="13"/>
        <v>65748.258620689652</v>
      </c>
      <c r="X62" s="91">
        <f t="shared" si="14"/>
        <v>246555.9698275862</v>
      </c>
      <c r="Y62" s="92">
        <f t="shared" si="15"/>
        <v>182740</v>
      </c>
      <c r="Z62" s="91">
        <f>IF(K62="159 N° 4",Y62*M62,0)+IF(K62="161 N° 1",Y62*#REF!,0)+IF(K62="159 N° 1",Y62*M62,0)+IF(K62="159 N° 5",Y62*M62,0)</f>
        <v>548220</v>
      </c>
      <c r="AA62" s="93">
        <f t="shared" si="16"/>
        <v>794775.9698275862</v>
      </c>
    </row>
    <row r="63" spans="1:27" ht="16.5" customHeight="1">
      <c r="A63" s="1">
        <f t="shared" si="8"/>
        <v>62</v>
      </c>
      <c r="B63" s="77"/>
      <c r="C63" s="99" t="s">
        <v>244</v>
      </c>
      <c r="D63" s="79" t="s">
        <v>245</v>
      </c>
      <c r="E63" s="95" t="s">
        <v>252</v>
      </c>
      <c r="F63" s="96">
        <v>45811</v>
      </c>
      <c r="G63" s="54">
        <v>45900</v>
      </c>
      <c r="H63" s="63" t="s">
        <v>45</v>
      </c>
      <c r="I63" s="82">
        <v>550000</v>
      </c>
      <c r="J63" s="83">
        <v>1081200</v>
      </c>
      <c r="K63" s="84" t="s">
        <v>24</v>
      </c>
      <c r="L63" s="85">
        <f t="shared" si="0"/>
        <v>90</v>
      </c>
      <c r="M63" s="86">
        <f t="shared" si="3"/>
        <v>3</v>
      </c>
      <c r="N63" s="87">
        <f t="shared" si="1"/>
        <v>3.75</v>
      </c>
      <c r="O63" s="69">
        <v>0</v>
      </c>
      <c r="P63" s="88">
        <f t="shared" si="2"/>
        <v>3.75</v>
      </c>
      <c r="Q63" s="1"/>
      <c r="R63" s="89"/>
      <c r="S63" s="1">
        <f>VLOOKUP(C63,'[1]Junio 2025'!$A$7:$C$177,3,0)</f>
        <v>28</v>
      </c>
      <c r="T63" s="89">
        <f>VLOOKUP(C63,'[1]Junio 2025'!$A$7:$H$177,8,0)</f>
        <v>994008</v>
      </c>
      <c r="U63" s="1">
        <f>VLOOKUP(C63,[1]Julio!$A$7:$E$256,5,0)</f>
        <v>30</v>
      </c>
      <c r="V63" s="89">
        <f>VLOOKUP(C63,[1]Julio!$A$7:$J$255,10,0)</f>
        <v>1080003</v>
      </c>
      <c r="W63" s="90">
        <f t="shared" si="13"/>
        <v>35758.810344827587</v>
      </c>
      <c r="X63" s="91">
        <f t="shared" si="14"/>
        <v>134095.53879310345</v>
      </c>
      <c r="Y63" s="92">
        <f t="shared" si="15"/>
        <v>110688</v>
      </c>
      <c r="Z63" s="91">
        <f>IF(K63="159 N° 4",Y63*M63,0)+IF(K63="161 N° 1",Y63*#REF!,0)+IF(K63="159 N° 1",Y63*M63,0)+IF(K63="159 N° 5",Y63*M63,0)</f>
        <v>332064</v>
      </c>
      <c r="AA63" s="93">
        <f t="shared" si="16"/>
        <v>466159.53879310342</v>
      </c>
    </row>
    <row r="64" spans="1:27" ht="15.75">
      <c r="A64" s="1">
        <f t="shared" si="8"/>
        <v>63</v>
      </c>
      <c r="B64" s="77"/>
      <c r="C64" s="78" t="s">
        <v>246</v>
      </c>
      <c r="D64" s="79" t="s">
        <v>247</v>
      </c>
      <c r="E64" s="95" t="s">
        <v>253</v>
      </c>
      <c r="F64" s="96">
        <v>45811</v>
      </c>
      <c r="G64" s="54">
        <v>45900</v>
      </c>
      <c r="H64" s="63" t="s">
        <v>44</v>
      </c>
      <c r="I64" s="82">
        <v>1200000</v>
      </c>
      <c r="J64" s="83">
        <v>1600000</v>
      </c>
      <c r="K64" s="84" t="s">
        <v>24</v>
      </c>
      <c r="L64" s="85">
        <f t="shared" si="0"/>
        <v>90</v>
      </c>
      <c r="M64" s="86">
        <f t="shared" si="3"/>
        <v>3</v>
      </c>
      <c r="N64" s="87">
        <f t="shared" si="1"/>
        <v>3.75</v>
      </c>
      <c r="O64" s="69">
        <v>0</v>
      </c>
      <c r="P64" s="88">
        <f t="shared" si="2"/>
        <v>3.75</v>
      </c>
      <c r="Q64" s="1"/>
      <c r="R64" s="89"/>
      <c r="S64" s="1">
        <f>VLOOKUP(C64,'[1]Junio 2025'!$A$7:$C$177,3,0)</f>
        <v>28</v>
      </c>
      <c r="T64" s="89">
        <f>VLOOKUP(C64,'[1]Junio 2025'!$A$7:$H$177,8,0)</f>
        <v>1644056</v>
      </c>
      <c r="U64" s="1">
        <f>VLOOKUP(C64,[1]Julio!$A$7:$E$256,5,0)</f>
        <v>30</v>
      </c>
      <c r="V64" s="89">
        <f>VLOOKUP(C64,[1]Julio!$A$7:$J$255,10,0)</f>
        <v>1879728</v>
      </c>
      <c r="W64" s="90">
        <f t="shared" si="13"/>
        <v>60754.896551724138</v>
      </c>
      <c r="X64" s="91">
        <f t="shared" si="14"/>
        <v>227830.86206896551</v>
      </c>
      <c r="Y64" s="92">
        <f t="shared" si="15"/>
        <v>163800</v>
      </c>
      <c r="Z64" s="91">
        <f>IF(K64="159 N° 4",Y64*M64,0)+IF(K64="161 N° 1",Y64*#REF!,0)+IF(K64="159 N° 1",Y64*M64,0)+IF(K64="159 N° 5",Y64*M64,0)</f>
        <v>491400</v>
      </c>
      <c r="AA64" s="93">
        <f t="shared" si="16"/>
        <v>719230.86206896557</v>
      </c>
    </row>
    <row r="65" spans="1:28" ht="15.75">
      <c r="A65" s="1">
        <f t="shared" si="8"/>
        <v>64</v>
      </c>
      <c r="B65" s="77"/>
      <c r="C65" s="78" t="s">
        <v>248</v>
      </c>
      <c r="D65" s="79" t="s">
        <v>249</v>
      </c>
      <c r="E65" s="95" t="s">
        <v>145</v>
      </c>
      <c r="F65" s="96">
        <v>45817</v>
      </c>
      <c r="G65" s="54">
        <v>45900</v>
      </c>
      <c r="H65" s="63" t="s">
        <v>45</v>
      </c>
      <c r="I65" s="82">
        <v>550000</v>
      </c>
      <c r="J65" s="83">
        <v>1081200</v>
      </c>
      <c r="K65" s="84" t="s">
        <v>24</v>
      </c>
      <c r="L65" s="85">
        <f t="shared" si="0"/>
        <v>84</v>
      </c>
      <c r="M65" s="86">
        <f t="shared" si="3"/>
        <v>2.8</v>
      </c>
      <c r="N65" s="87">
        <f t="shared" ref="N65:N66" si="17">+M65*1.25</f>
        <v>3.5</v>
      </c>
      <c r="O65" s="69">
        <v>0</v>
      </c>
      <c r="P65" s="88">
        <f t="shared" ref="P65:P73" si="18">+N65+O65-AG65</f>
        <v>3.5</v>
      </c>
      <c r="Q65" s="1"/>
      <c r="R65" s="89"/>
      <c r="S65" s="1">
        <f>VLOOKUP(C65,'[1]Junio 2025'!$A$7:$C$177,3,0)</f>
        <v>22</v>
      </c>
      <c r="T65" s="89">
        <f>VLOOKUP(C65,'[1]Junio 2025'!$A$7:$H$177,8,0)</f>
        <v>772829</v>
      </c>
      <c r="U65" s="1">
        <f>VLOOKUP(C65,[1]Julio!$A$7:$E$256,5,0)</f>
        <v>30</v>
      </c>
      <c r="V65" s="89">
        <f>VLOOKUP(C65,[1]Julio!$A$7:$J$255,10,0)</f>
        <v>1070464</v>
      </c>
      <c r="W65" s="90">
        <f t="shared" si="13"/>
        <v>35447.942307692305</v>
      </c>
      <c r="X65" s="91">
        <f t="shared" si="14"/>
        <v>124067.79807692306</v>
      </c>
      <c r="Y65" s="92">
        <f t="shared" si="15"/>
        <v>110688</v>
      </c>
      <c r="Z65" s="91">
        <f>IF(K65="159 N° 4",Y65*M65,0)+IF(K65="161 N° 1",Y65*#REF!,0)+IF(K65="159 N° 1",Y65*M65,0)+IF(K65="159 N° 5",Y65*M65,0)</f>
        <v>309926.39999999997</v>
      </c>
      <c r="AA65" s="93">
        <f t="shared" si="16"/>
        <v>433994.19807692303</v>
      </c>
    </row>
    <row r="66" spans="1:28" ht="15.75">
      <c r="A66" s="1">
        <f t="shared" si="8"/>
        <v>65</v>
      </c>
      <c r="B66" s="77"/>
      <c r="C66" s="78" t="s">
        <v>250</v>
      </c>
      <c r="D66" s="79" t="s">
        <v>251</v>
      </c>
      <c r="E66" s="95" t="s">
        <v>145</v>
      </c>
      <c r="F66" s="96">
        <v>45817</v>
      </c>
      <c r="G66" s="54">
        <v>45900</v>
      </c>
      <c r="H66" s="63" t="s">
        <v>45</v>
      </c>
      <c r="I66" s="82">
        <v>550000</v>
      </c>
      <c r="J66" s="83">
        <v>1081200</v>
      </c>
      <c r="K66" s="84" t="s">
        <v>24</v>
      </c>
      <c r="L66" s="85">
        <f t="shared" ref="L66:L73" si="19">+G66-F66+1</f>
        <v>84</v>
      </c>
      <c r="M66" s="86">
        <f t="shared" ref="M66" si="20">L66/30</f>
        <v>2.8</v>
      </c>
      <c r="N66" s="87">
        <f t="shared" si="17"/>
        <v>3.5</v>
      </c>
      <c r="O66" s="69">
        <v>0</v>
      </c>
      <c r="P66" s="88">
        <f t="shared" si="18"/>
        <v>3.5</v>
      </c>
      <c r="Q66" s="1"/>
      <c r="R66" s="89"/>
      <c r="S66" s="1">
        <f>VLOOKUP(C66,'[1]Junio 2025'!$A$7:$C$177,3,0)</f>
        <v>22</v>
      </c>
      <c r="T66" s="89">
        <f>VLOOKUP(C66,'[1]Junio 2025'!$A$7:$H$177,8,0)</f>
        <v>772829</v>
      </c>
      <c r="U66" s="1">
        <f>VLOOKUP(C66,[1]Julio!$A$7:$E$256,5,0)</f>
        <v>30</v>
      </c>
      <c r="V66" s="89">
        <f>VLOOKUP(C66,[1]Julio!$A$7:$J$255,10,0)</f>
        <v>1070464</v>
      </c>
      <c r="W66" s="90">
        <f t="shared" si="13"/>
        <v>35447.942307692305</v>
      </c>
      <c r="X66" s="91">
        <f t="shared" si="14"/>
        <v>124067.79807692306</v>
      </c>
      <c r="Y66" s="92">
        <f t="shared" ref="Y66:Y73" si="21">ROUND((((J66/0.814)/30)*2.5),0)</f>
        <v>110688</v>
      </c>
      <c r="Z66" s="91">
        <f>IF(K66="159 N° 4",Y66*M66,0)+IF(K66="161 N° 1",Y66*#REF!,0)+IF(K66="159 N° 1",Y66*M66,0)+IF(K66="159 N° 5",Y66*M66,0)</f>
        <v>309926.39999999997</v>
      </c>
      <c r="AA66" s="93">
        <f t="shared" si="16"/>
        <v>433994.19807692303</v>
      </c>
    </row>
    <row r="67" spans="1:28" ht="15.75">
      <c r="A67" s="1">
        <f t="shared" si="8"/>
        <v>66</v>
      </c>
      <c r="B67" s="77"/>
      <c r="C67" s="78" t="s">
        <v>254</v>
      </c>
      <c r="D67" s="79" t="s">
        <v>255</v>
      </c>
      <c r="E67" s="95" t="s">
        <v>262</v>
      </c>
      <c r="F67" s="96">
        <v>45839</v>
      </c>
      <c r="G67" s="54">
        <v>45900</v>
      </c>
      <c r="H67" s="63" t="s">
        <v>45</v>
      </c>
      <c r="I67" s="82">
        <v>529000</v>
      </c>
      <c r="J67" s="83">
        <v>918000</v>
      </c>
      <c r="K67" s="84" t="s">
        <v>24</v>
      </c>
      <c r="L67" s="85">
        <f t="shared" si="19"/>
        <v>62</v>
      </c>
      <c r="M67" s="86">
        <f t="shared" ref="M67:M73" si="22">L67/30</f>
        <v>2.0666666666666669</v>
      </c>
      <c r="N67" s="87">
        <f t="shared" ref="N67:N73" si="23">+M67*1.25</f>
        <v>2.5833333333333335</v>
      </c>
      <c r="O67" s="69">
        <v>0</v>
      </c>
      <c r="P67" s="88">
        <f t="shared" si="18"/>
        <v>2.5833333333333335</v>
      </c>
      <c r="Q67" s="1"/>
      <c r="R67" s="89"/>
      <c r="S67" s="1"/>
      <c r="T67" s="89"/>
      <c r="U67" s="1">
        <f>VLOOKUP(C67,[1]Julio!$A$7:$E$256,5,0)</f>
        <v>30</v>
      </c>
      <c r="V67" s="89">
        <f>VLOOKUP(C67,[1]Julio!$A$7:$J$255,10,0)</f>
        <v>900732</v>
      </c>
      <c r="W67" s="90">
        <f t="shared" si="13"/>
        <v>30024.400000000001</v>
      </c>
      <c r="X67" s="91">
        <f t="shared" si="14"/>
        <v>77563.03333333334</v>
      </c>
      <c r="Y67" s="92">
        <f t="shared" si="21"/>
        <v>93980</v>
      </c>
      <c r="Z67" s="91">
        <f>IF(K67="159 N° 4",Y67*M67,0)+IF(K67="161 N° 1",Y67*#REF!,0)+IF(K67="159 N° 1",Y67*M67,0)+IF(K67="159 N° 5",Y67*M67,0)</f>
        <v>194225.33333333334</v>
      </c>
      <c r="AA67" s="93">
        <f t="shared" si="16"/>
        <v>271788.3666666667</v>
      </c>
    </row>
    <row r="68" spans="1:28" ht="15.75">
      <c r="A68" s="1">
        <f t="shared" ref="A68:A73" si="24">A67+1</f>
        <v>67</v>
      </c>
      <c r="B68" s="77"/>
      <c r="C68" s="78" t="s">
        <v>256</v>
      </c>
      <c r="D68" s="79" t="s">
        <v>257</v>
      </c>
      <c r="E68" s="95" t="s">
        <v>263</v>
      </c>
      <c r="F68" s="96">
        <v>45839</v>
      </c>
      <c r="G68" s="54">
        <v>45900</v>
      </c>
      <c r="H68" s="63" t="s">
        <v>45</v>
      </c>
      <c r="I68" s="82">
        <v>529000</v>
      </c>
      <c r="J68" s="83">
        <v>1030200</v>
      </c>
      <c r="K68" s="84" t="s">
        <v>24</v>
      </c>
      <c r="L68" s="85">
        <f t="shared" si="19"/>
        <v>62</v>
      </c>
      <c r="M68" s="86">
        <f t="shared" si="22"/>
        <v>2.0666666666666669</v>
      </c>
      <c r="N68" s="87">
        <f t="shared" si="23"/>
        <v>2.5833333333333335</v>
      </c>
      <c r="O68" s="69">
        <v>0</v>
      </c>
      <c r="P68" s="88">
        <f t="shared" si="18"/>
        <v>2.5833333333333335</v>
      </c>
      <c r="Q68" s="1"/>
      <c r="R68" s="89"/>
      <c r="S68" s="1"/>
      <c r="T68" s="89"/>
      <c r="U68" s="1">
        <f>VLOOKUP(C68,[1]Julio!$A$7:$E$256,5,0)</f>
        <v>30</v>
      </c>
      <c r="V68" s="89">
        <f>VLOOKUP(C68,[1]Julio!$A$7:$J$255,10,0)</f>
        <v>1017565</v>
      </c>
      <c r="W68" s="90">
        <f t="shared" si="13"/>
        <v>33918.833333333336</v>
      </c>
      <c r="X68" s="91">
        <f t="shared" si="14"/>
        <v>87623.652777777796</v>
      </c>
      <c r="Y68" s="92">
        <f t="shared" si="21"/>
        <v>105467</v>
      </c>
      <c r="Z68" s="91">
        <f>IF(K68="159 N° 4",Y68*M68,0)+IF(K68="161 N° 1",Y68*#REF!,0)+IF(K68="159 N° 1",Y68*M68,0)+IF(K68="159 N° 5",Y68*M68,0)</f>
        <v>217965.13333333336</v>
      </c>
      <c r="AA68" s="93">
        <f t="shared" si="16"/>
        <v>305588.78611111117</v>
      </c>
    </row>
    <row r="69" spans="1:28" ht="15.75">
      <c r="A69" s="1">
        <f t="shared" si="24"/>
        <v>68</v>
      </c>
      <c r="B69" s="77"/>
      <c r="C69" s="78" t="s">
        <v>258</v>
      </c>
      <c r="D69" s="79" t="s">
        <v>259</v>
      </c>
      <c r="E69" s="95" t="s">
        <v>252</v>
      </c>
      <c r="F69" s="96">
        <v>45845</v>
      </c>
      <c r="G69" s="54">
        <v>45900</v>
      </c>
      <c r="H69" s="63" t="s">
        <v>45</v>
      </c>
      <c r="I69" s="82">
        <v>550000</v>
      </c>
      <c r="J69" s="83">
        <v>1081200</v>
      </c>
      <c r="K69" s="84" t="s">
        <v>24</v>
      </c>
      <c r="L69" s="85">
        <f t="shared" si="19"/>
        <v>56</v>
      </c>
      <c r="M69" s="86">
        <f t="shared" si="22"/>
        <v>1.8666666666666667</v>
      </c>
      <c r="N69" s="87">
        <f t="shared" si="23"/>
        <v>2.3333333333333335</v>
      </c>
      <c r="O69" s="69">
        <v>0</v>
      </c>
      <c r="P69" s="88">
        <f t="shared" si="18"/>
        <v>2.3333333333333335</v>
      </c>
      <c r="Q69" s="1"/>
      <c r="R69" s="89"/>
      <c r="S69" s="1"/>
      <c r="T69" s="89"/>
      <c r="U69" s="1">
        <f>VLOOKUP(C69,[1]Julio!$A$7:$E$256,5,0)</f>
        <v>25</v>
      </c>
      <c r="V69" s="89">
        <f>VLOOKUP(C69,[1]Julio!$A$7:$J$255,10,0)</f>
        <v>886157</v>
      </c>
      <c r="W69" s="90">
        <f t="shared" si="13"/>
        <v>35446.28</v>
      </c>
      <c r="X69" s="91">
        <f t="shared" si="14"/>
        <v>82707.986666666664</v>
      </c>
      <c r="Y69" s="92">
        <f t="shared" si="21"/>
        <v>110688</v>
      </c>
      <c r="Z69" s="91">
        <f>IF(K69="159 N° 4",Y69*M69,0)+IF(K69="161 N° 1",Y69*#REF!,0)+IF(K69="159 N° 1",Y69*M69,0)+IF(K69="159 N° 5",Y69*M69,0)</f>
        <v>206617.60000000001</v>
      </c>
      <c r="AA69" s="93">
        <f t="shared" si="16"/>
        <v>289325.58666666667</v>
      </c>
    </row>
    <row r="70" spans="1:28" ht="15.75">
      <c r="A70" s="1">
        <f t="shared" si="24"/>
        <v>69</v>
      </c>
      <c r="B70" s="77"/>
      <c r="C70" s="78" t="s">
        <v>260</v>
      </c>
      <c r="D70" s="79" t="s">
        <v>261</v>
      </c>
      <c r="E70" s="95" t="s">
        <v>264</v>
      </c>
      <c r="F70" s="96">
        <v>45847</v>
      </c>
      <c r="G70" s="54">
        <v>45900</v>
      </c>
      <c r="H70" s="63" t="s">
        <v>44</v>
      </c>
      <c r="I70" s="82">
        <v>529000</v>
      </c>
      <c r="J70" s="83">
        <v>1213800</v>
      </c>
      <c r="K70" s="84" t="s">
        <v>24</v>
      </c>
      <c r="L70" s="85">
        <f t="shared" si="19"/>
        <v>54</v>
      </c>
      <c r="M70" s="86">
        <f t="shared" si="22"/>
        <v>1.8</v>
      </c>
      <c r="N70" s="87">
        <f t="shared" si="23"/>
        <v>2.25</v>
      </c>
      <c r="O70" s="69">
        <v>0</v>
      </c>
      <c r="P70" s="88">
        <f t="shared" si="18"/>
        <v>2.25</v>
      </c>
      <c r="Q70" s="1"/>
      <c r="R70" s="89"/>
      <c r="S70" s="1"/>
      <c r="T70" s="89"/>
      <c r="U70" s="1">
        <f>VLOOKUP(C70,[1]Julio!$A$7:$E$256,5,0)</f>
        <v>24</v>
      </c>
      <c r="V70" s="89">
        <f>VLOOKUP(C70,[1]Julio!$A$7:$J$255,10,0)</f>
        <v>954763</v>
      </c>
      <c r="W70" s="90">
        <f t="shared" si="13"/>
        <v>39781.791666666664</v>
      </c>
      <c r="X70" s="91">
        <f t="shared" si="14"/>
        <v>89509.03125</v>
      </c>
      <c r="Y70" s="92">
        <f t="shared" si="21"/>
        <v>124263</v>
      </c>
      <c r="Z70" s="91">
        <f>IF(K70="159 N° 4",Y70*M70,0)+IF(K70="161 N° 1",Y70*#REF!,0)+IF(K70="159 N° 1",Y70*M70,0)+IF(K70="159 N° 5",Y70*M70,0)</f>
        <v>223673.4</v>
      </c>
      <c r="AA70" s="93">
        <f t="shared" si="16"/>
        <v>313182.43125000002</v>
      </c>
    </row>
    <row r="71" spans="1:28" ht="15.75">
      <c r="A71" s="1">
        <f t="shared" si="24"/>
        <v>70</v>
      </c>
      <c r="B71" s="77"/>
      <c r="C71" s="78" t="s">
        <v>266</v>
      </c>
      <c r="D71" s="79" t="s">
        <v>267</v>
      </c>
      <c r="E71" s="95" t="s">
        <v>145</v>
      </c>
      <c r="F71" s="96">
        <v>45889</v>
      </c>
      <c r="G71" s="54">
        <v>45900</v>
      </c>
      <c r="H71" s="63" t="s">
        <v>45</v>
      </c>
      <c r="I71" s="82">
        <v>550000</v>
      </c>
      <c r="J71" s="83">
        <v>1081200</v>
      </c>
      <c r="K71" s="84" t="s">
        <v>24</v>
      </c>
      <c r="L71" s="85">
        <f t="shared" si="19"/>
        <v>12</v>
      </c>
      <c r="M71" s="86">
        <f t="shared" si="22"/>
        <v>0.4</v>
      </c>
      <c r="N71" s="87">
        <f t="shared" si="23"/>
        <v>0.5</v>
      </c>
      <c r="O71" s="69">
        <v>0</v>
      </c>
      <c r="P71" s="88">
        <f t="shared" si="18"/>
        <v>0.5</v>
      </c>
      <c r="Q71" s="1"/>
      <c r="R71" s="89"/>
      <c r="S71" s="1"/>
      <c r="T71" s="89"/>
      <c r="U71" s="1"/>
      <c r="V71" s="89"/>
      <c r="W71" s="90" t="e">
        <f t="shared" si="13"/>
        <v>#DIV/0!</v>
      </c>
      <c r="X71" s="91" t="e">
        <f t="shared" si="14"/>
        <v>#DIV/0!</v>
      </c>
      <c r="Y71" s="92">
        <f t="shared" si="21"/>
        <v>110688</v>
      </c>
      <c r="Z71" s="91">
        <f>IF(K71="159 N° 4",Y71*M71,0)+IF(K71="161 N° 1",Y71*#REF!,0)+IF(K71="159 N° 1",Y71*M71,0)+IF(K71="159 N° 5",Y71*M71,0)</f>
        <v>44275.200000000004</v>
      </c>
      <c r="AA71" s="93" t="e">
        <f t="shared" si="16"/>
        <v>#DIV/0!</v>
      </c>
      <c r="AB71" s="70" t="s">
        <v>265</v>
      </c>
    </row>
    <row r="72" spans="1:28" ht="15.75">
      <c r="A72" s="1">
        <f t="shared" si="24"/>
        <v>71</v>
      </c>
      <c r="B72" s="77"/>
      <c r="C72" s="78" t="s">
        <v>268</v>
      </c>
      <c r="D72" s="79" t="s">
        <v>269</v>
      </c>
      <c r="E72" s="95" t="s">
        <v>149</v>
      </c>
      <c r="F72" s="96">
        <v>45889</v>
      </c>
      <c r="G72" s="54">
        <v>45900</v>
      </c>
      <c r="H72" s="63" t="s">
        <v>45</v>
      </c>
      <c r="I72" s="82">
        <v>600000</v>
      </c>
      <c r="J72" s="83">
        <v>1213800</v>
      </c>
      <c r="K72" s="84" t="s">
        <v>24</v>
      </c>
      <c r="L72" s="85">
        <f t="shared" si="19"/>
        <v>12</v>
      </c>
      <c r="M72" s="86">
        <f t="shared" si="22"/>
        <v>0.4</v>
      </c>
      <c r="N72" s="87">
        <f t="shared" si="23"/>
        <v>0.5</v>
      </c>
      <c r="O72" s="69">
        <v>0</v>
      </c>
      <c r="P72" s="88">
        <f t="shared" si="18"/>
        <v>0.5</v>
      </c>
      <c r="Q72" s="1"/>
      <c r="R72" s="89"/>
      <c r="S72" s="1"/>
      <c r="T72" s="89"/>
      <c r="U72" s="1"/>
      <c r="V72" s="89"/>
      <c r="W72" s="90" t="e">
        <f t="shared" si="13"/>
        <v>#DIV/0!</v>
      </c>
      <c r="X72" s="91" t="e">
        <f t="shared" si="14"/>
        <v>#DIV/0!</v>
      </c>
      <c r="Y72" s="92">
        <f t="shared" si="21"/>
        <v>124263</v>
      </c>
      <c r="Z72" s="91">
        <f>IF(K72="159 N° 4",Y72*M72,0)+IF(K72="161 N° 1",Y72*#REF!,0)+IF(K72="159 N° 1",Y72*M72,0)+IF(K72="159 N° 5",Y72*M72,0)</f>
        <v>49705.200000000004</v>
      </c>
      <c r="AA72" s="93" t="e">
        <f t="shared" si="16"/>
        <v>#DIV/0!</v>
      </c>
      <c r="AB72" s="70" t="s">
        <v>265</v>
      </c>
    </row>
    <row r="73" spans="1:28" ht="15.75">
      <c r="A73" s="1">
        <f t="shared" si="24"/>
        <v>72</v>
      </c>
      <c r="B73" s="77"/>
      <c r="C73" s="78" t="s">
        <v>270</v>
      </c>
      <c r="D73" s="79" t="s">
        <v>271</v>
      </c>
      <c r="E73" s="95" t="s">
        <v>145</v>
      </c>
      <c r="F73" s="96">
        <v>45889</v>
      </c>
      <c r="G73" s="54">
        <v>45900</v>
      </c>
      <c r="H73" s="63" t="s">
        <v>45</v>
      </c>
      <c r="I73" s="82">
        <v>550000</v>
      </c>
      <c r="J73" s="83">
        <v>1081200</v>
      </c>
      <c r="K73" s="84" t="s">
        <v>24</v>
      </c>
      <c r="L73" s="85">
        <f t="shared" si="19"/>
        <v>12</v>
      </c>
      <c r="M73" s="86">
        <f t="shared" si="22"/>
        <v>0.4</v>
      </c>
      <c r="N73" s="87">
        <f t="shared" si="23"/>
        <v>0.5</v>
      </c>
      <c r="O73" s="69">
        <v>0</v>
      </c>
      <c r="P73" s="88">
        <f t="shared" si="18"/>
        <v>0.5</v>
      </c>
      <c r="Q73" s="1"/>
      <c r="R73" s="89"/>
      <c r="S73" s="1"/>
      <c r="T73" s="89"/>
      <c r="U73" s="1"/>
      <c r="V73" s="89"/>
      <c r="W73" s="90" t="e">
        <f t="shared" si="13"/>
        <v>#DIV/0!</v>
      </c>
      <c r="X73" s="91" t="e">
        <f t="shared" si="14"/>
        <v>#DIV/0!</v>
      </c>
      <c r="Y73" s="92">
        <f t="shared" si="21"/>
        <v>110688</v>
      </c>
      <c r="Z73" s="91">
        <f>IF(K73="159 N° 4",Y73*M73,0)+IF(K73="161 N° 1",Y73*#REF!,0)+IF(K73="159 N° 1",Y73*M73,0)+IF(K73="159 N° 5",Y73*M73,0)</f>
        <v>44275.200000000004</v>
      </c>
      <c r="AA73" s="93" t="e">
        <f t="shared" si="16"/>
        <v>#DIV/0!</v>
      </c>
      <c r="AB73" s="70" t="s">
        <v>265</v>
      </c>
    </row>
  </sheetData>
  <conditionalFormatting sqref="B1:B10 B15 B23:B73">
    <cfRule type="duplicateValues" dxfId="13" priority="772"/>
  </conditionalFormatting>
  <conditionalFormatting sqref="B11">
    <cfRule type="duplicateValues" dxfId="12" priority="19"/>
  </conditionalFormatting>
  <conditionalFormatting sqref="B12:B14">
    <cfRule type="duplicateValues" dxfId="11" priority="18"/>
  </conditionalFormatting>
  <conditionalFormatting sqref="B16:B22">
    <cfRule type="duplicateValues" dxfId="10" priority="20"/>
  </conditionalFormatting>
  <conditionalFormatting sqref="C2:C52">
    <cfRule type="duplicateValues" dxfId="9" priority="760" stopIfTrue="1"/>
    <cfRule type="duplicateValues" dxfId="8" priority="761"/>
  </conditionalFormatting>
  <conditionalFormatting sqref="C56:C73">
    <cfRule type="duplicateValues" dxfId="7" priority="775" stopIfTrue="1"/>
    <cfRule type="duplicateValues" dxfId="6" priority="776"/>
  </conditionalFormatting>
  <conditionalFormatting sqref="L1:L73">
    <cfRule type="cellIs" dxfId="5" priority="1" operator="lessThan">
      <formula>30</formula>
    </cfRule>
  </conditionalFormatting>
  <conditionalFormatting sqref="M2:M73">
    <cfRule type="cellIs" dxfId="4" priority="9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9AFD-B96B-4DAA-8413-7BB388651533}">
  <dimension ref="A1:AH72"/>
  <sheetViews>
    <sheetView topLeftCell="G1" zoomScale="115" zoomScaleNormal="115" workbookViewId="0">
      <selection activeCell="M6" sqref="M6"/>
    </sheetView>
  </sheetViews>
  <sheetFormatPr baseColWidth="10" defaultColWidth="10.42578125" defaultRowHeight="13.5" zeroHeight="1"/>
  <cols>
    <col min="1" max="1" width="5.140625" style="21" customWidth="1"/>
    <col min="2" max="2" width="6.7109375" style="21" customWidth="1"/>
    <col min="3" max="3" width="7.140625" style="37" customWidth="1"/>
    <col min="4" max="4" width="11.42578125" style="37" customWidth="1"/>
    <col min="5" max="5" width="36" style="61" customWidth="1"/>
    <col min="6" max="6" width="20.7109375" style="62" customWidth="1"/>
    <col min="7" max="7" width="10.42578125" style="61"/>
    <col min="8" max="8" width="10.42578125" style="21"/>
    <col min="9" max="9" width="4.7109375" style="36" customWidth="1"/>
    <col min="10" max="11" width="9.140625" style="36" customWidth="1"/>
    <col min="12" max="12" width="8" style="36" customWidth="1"/>
    <col min="13" max="13" width="7.7109375" style="21" customWidth="1"/>
    <col min="14" max="15" width="11.7109375" style="21" bestFit="1" customWidth="1"/>
    <col min="16" max="16" width="8.42578125" style="21" customWidth="1"/>
    <col min="17" max="17" width="7.7109375" style="21" customWidth="1"/>
    <col min="18" max="18" width="4.7109375" style="21" customWidth="1"/>
    <col min="19" max="19" width="10.42578125" style="21"/>
    <col min="20" max="20" width="4.7109375" style="21" customWidth="1"/>
    <col min="21" max="21" width="10.42578125" style="21"/>
    <col min="22" max="22" width="6.28515625" style="21" customWidth="1"/>
    <col min="23" max="24" width="10.42578125" style="21"/>
    <col min="25" max="25" width="14.42578125" style="21" customWidth="1"/>
    <col min="26" max="26" width="10.42578125" style="21"/>
    <col min="27" max="27" width="13.140625" style="21" customWidth="1"/>
    <col min="28" max="28" width="10.140625" style="21" bestFit="1" customWidth="1"/>
    <col min="29" max="29" width="12.140625" style="21" customWidth="1"/>
    <col min="30" max="30" width="5.42578125" style="21" customWidth="1"/>
    <col min="31" max="31" width="13.140625" style="21" customWidth="1"/>
    <col min="32" max="33" width="12" style="21" bestFit="1" customWidth="1"/>
    <col min="34" max="34" width="5.7109375" style="21" bestFit="1" customWidth="1"/>
    <col min="35" max="16384" width="10.42578125" style="21"/>
  </cols>
  <sheetData>
    <row r="1" spans="1:34" ht="19.5" thickBot="1">
      <c r="B1" s="22"/>
      <c r="C1" s="23"/>
      <c r="D1" s="23"/>
      <c r="E1" s="24" t="s">
        <v>32</v>
      </c>
      <c r="F1" s="25"/>
      <c r="G1" s="26"/>
      <c r="I1" s="27"/>
      <c r="J1" s="27"/>
      <c r="K1" s="27"/>
      <c r="L1" s="27"/>
      <c r="Z1" s="28" t="s">
        <v>33</v>
      </c>
      <c r="AA1" s="29">
        <v>38287</v>
      </c>
      <c r="AC1" s="28" t="s">
        <v>34</v>
      </c>
      <c r="AD1" s="28"/>
      <c r="AE1" s="28">
        <v>37500</v>
      </c>
    </row>
    <row r="2" spans="1:34" ht="16.5" thickBot="1">
      <c r="B2" s="22"/>
      <c r="C2" s="23"/>
      <c r="D2" s="23"/>
      <c r="E2" s="30" t="s">
        <v>35</v>
      </c>
      <c r="F2" s="108"/>
      <c r="G2" s="109"/>
      <c r="H2" s="109"/>
      <c r="I2" s="109"/>
      <c r="J2" s="109"/>
      <c r="K2" s="109"/>
      <c r="L2" s="109"/>
      <c r="M2" s="110"/>
      <c r="W2" s="31"/>
      <c r="Y2" s="32"/>
      <c r="Z2" s="28"/>
      <c r="AA2" s="33">
        <f>90*AA1</f>
        <v>3445830</v>
      </c>
      <c r="AC2" s="28" t="s">
        <v>36</v>
      </c>
      <c r="AD2" s="28"/>
      <c r="AE2" s="28">
        <f>ROUND((739283/12),0)</f>
        <v>61607</v>
      </c>
    </row>
    <row r="3" spans="1:34" ht="21.75" thickBot="1">
      <c r="B3" s="22"/>
      <c r="C3" s="23"/>
      <c r="D3" s="23"/>
      <c r="E3" s="30" t="s">
        <v>37</v>
      </c>
      <c r="F3" s="111"/>
      <c r="G3" s="112"/>
      <c r="H3" s="112"/>
      <c r="I3" s="112"/>
      <c r="J3" s="113"/>
      <c r="K3" s="34"/>
      <c r="L3" s="34"/>
      <c r="W3" s="31"/>
      <c r="X3" s="35"/>
      <c r="Y3" s="32"/>
      <c r="AA3" s="21" t="s">
        <v>38</v>
      </c>
    </row>
    <row r="4" spans="1:34" s="36" customFormat="1" ht="12.75" thickBot="1">
      <c r="C4" s="37"/>
      <c r="D4" s="37"/>
      <c r="E4" s="38"/>
      <c r="F4" s="39"/>
      <c r="G4" s="38"/>
      <c r="H4" s="38"/>
      <c r="I4" s="38"/>
      <c r="J4" s="38"/>
      <c r="K4" s="38"/>
      <c r="L4" s="38"/>
      <c r="R4" s="100" t="s">
        <v>181</v>
      </c>
      <c r="S4" s="101"/>
      <c r="T4" s="102" t="s">
        <v>182</v>
      </c>
      <c r="U4" s="103"/>
      <c r="V4" s="104" t="s">
        <v>183</v>
      </c>
      <c r="W4" s="105"/>
      <c r="X4" s="17" t="s">
        <v>0</v>
      </c>
      <c r="Y4" s="18" t="s">
        <v>1</v>
      </c>
      <c r="Z4" s="19" t="s">
        <v>2</v>
      </c>
      <c r="AA4" s="20" t="s">
        <v>3</v>
      </c>
      <c r="AB4" s="40" t="s">
        <v>39</v>
      </c>
      <c r="AC4" s="41"/>
      <c r="AD4" s="114" t="s">
        <v>39</v>
      </c>
      <c r="AE4" s="115"/>
    </row>
    <row r="5" spans="1:34" s="42" customFormat="1" ht="38.25" customHeight="1" thickBot="1">
      <c r="A5" s="42" t="s">
        <v>6</v>
      </c>
      <c r="B5" s="43" t="s">
        <v>4</v>
      </c>
      <c r="C5" s="44" t="s">
        <v>5</v>
      </c>
      <c r="D5" s="44" t="s">
        <v>6</v>
      </c>
      <c r="E5" s="44" t="s">
        <v>7</v>
      </c>
      <c r="F5" s="44" t="s">
        <v>8</v>
      </c>
      <c r="G5" s="44" t="s">
        <v>9</v>
      </c>
      <c r="H5" s="44" t="s">
        <v>10</v>
      </c>
      <c r="I5" s="44" t="s">
        <v>11</v>
      </c>
      <c r="J5" s="44" t="s">
        <v>12</v>
      </c>
      <c r="K5" s="44" t="s">
        <v>13</v>
      </c>
      <c r="L5" s="45" t="s">
        <v>14</v>
      </c>
      <c r="M5" s="43" t="s">
        <v>15</v>
      </c>
      <c r="N5" s="44" t="s">
        <v>16</v>
      </c>
      <c r="O5" s="46" t="s">
        <v>17</v>
      </c>
      <c r="P5" s="44" t="s">
        <v>18</v>
      </c>
      <c r="Q5" s="45" t="s">
        <v>3</v>
      </c>
      <c r="R5" s="47" t="s">
        <v>19</v>
      </c>
      <c r="S5" s="48" t="s">
        <v>20</v>
      </c>
      <c r="T5" s="47" t="s">
        <v>19</v>
      </c>
      <c r="U5" s="48" t="s">
        <v>20</v>
      </c>
      <c r="V5" s="47" t="s">
        <v>19</v>
      </c>
      <c r="W5" s="48" t="s">
        <v>20</v>
      </c>
      <c r="X5" s="48" t="s">
        <v>21</v>
      </c>
      <c r="Y5" s="49" t="s">
        <v>0</v>
      </c>
      <c r="Z5" s="50" t="s">
        <v>0</v>
      </c>
      <c r="AA5" s="49" t="s">
        <v>22</v>
      </c>
      <c r="AB5" s="51" t="s">
        <v>40</v>
      </c>
      <c r="AC5" s="52"/>
      <c r="AD5" s="106" t="s">
        <v>41</v>
      </c>
      <c r="AE5" s="107"/>
      <c r="AF5" s="42" t="s">
        <v>42</v>
      </c>
      <c r="AG5" s="42" t="s">
        <v>43</v>
      </c>
      <c r="AH5" s="42" t="s">
        <v>3</v>
      </c>
    </row>
    <row r="6" spans="1:34" s="60" customFormat="1" ht="21.75" customHeight="1">
      <c r="A6" s="36"/>
      <c r="B6" s="1">
        <v>1</v>
      </c>
      <c r="C6" s="64"/>
      <c r="D6" s="11" t="s">
        <v>46</v>
      </c>
      <c r="E6" s="3" t="s">
        <v>47</v>
      </c>
      <c r="F6" s="3" t="s">
        <v>23</v>
      </c>
      <c r="G6" s="12">
        <v>45586</v>
      </c>
      <c r="H6" s="54">
        <v>45747</v>
      </c>
      <c r="I6" s="63" t="s">
        <v>44</v>
      </c>
      <c r="J6" s="13">
        <v>550000</v>
      </c>
      <c r="K6" s="14">
        <v>1010000</v>
      </c>
      <c r="L6" s="3" t="s">
        <v>24</v>
      </c>
      <c r="M6" s="66">
        <f t="shared" ref="M6" si="0">+H6-G6+1</f>
        <v>162</v>
      </c>
      <c r="N6" s="67">
        <f>M6/30</f>
        <v>5.4</v>
      </c>
      <c r="O6" s="68">
        <f t="shared" ref="O6:O60" si="1">+N6*1.25</f>
        <v>6.75</v>
      </c>
      <c r="P6" s="69">
        <v>2</v>
      </c>
      <c r="Q6" s="4">
        <f t="shared" ref="Q6:Q60" si="2">+O6+P6-AH6</f>
        <v>8.75</v>
      </c>
      <c r="R6" s="3">
        <v>30</v>
      </c>
      <c r="S6" s="5">
        <v>1000172</v>
      </c>
      <c r="T6" s="6">
        <v>30</v>
      </c>
      <c r="U6" s="7">
        <v>850118</v>
      </c>
      <c r="V6" s="6">
        <v>30</v>
      </c>
      <c r="W6" s="7">
        <v>1000118</v>
      </c>
      <c r="X6" s="8">
        <f t="shared" ref="X6" si="3">+(S6+U6+W6)/(T6+V6+R6)</f>
        <v>31671.200000000001</v>
      </c>
      <c r="Y6" s="9">
        <f t="shared" ref="Y6" si="4">+Q6*X6</f>
        <v>277123</v>
      </c>
      <c r="Z6" s="10">
        <f>ROUND((((K6/0.814)/30)*2.5),0)</f>
        <v>103399</v>
      </c>
      <c r="AA6" s="9">
        <f>IF(L6="159 N° 4",Z6*N6,0)+IF(L6="161 N° 1",Z6*#REF!,0)+IF(L6="159 N° 1",Z6*N6,0)+IF(L6="159 N° 5",Z6*N6,0)</f>
        <v>558354.60000000009</v>
      </c>
      <c r="AB6" s="56"/>
      <c r="AC6" s="57">
        <f t="shared" ref="AC6:AC13" si="5">AB6*$AE$1</f>
        <v>0</v>
      </c>
      <c r="AD6" s="56"/>
      <c r="AE6" s="58">
        <f t="shared" ref="AE6:AE13" si="6">$AE$2*AD6</f>
        <v>0</v>
      </c>
      <c r="AF6" s="59">
        <v>0</v>
      </c>
      <c r="AG6" s="59">
        <v>0</v>
      </c>
      <c r="AH6" s="59">
        <f>+AF6+AG6</f>
        <v>0</v>
      </c>
    </row>
    <row r="7" spans="1:34" s="60" customFormat="1" ht="21.75" customHeight="1">
      <c r="A7" s="36"/>
      <c r="B7" s="1">
        <f>B6+1</f>
        <v>2</v>
      </c>
      <c r="C7" s="64"/>
      <c r="D7" s="11" t="s">
        <v>48</v>
      </c>
      <c r="E7" s="3" t="s">
        <v>49</v>
      </c>
      <c r="F7" s="3" t="s">
        <v>132</v>
      </c>
      <c r="G7" s="12">
        <v>45586</v>
      </c>
      <c r="H7" s="54">
        <v>45747</v>
      </c>
      <c r="I7" s="63" t="s">
        <v>44</v>
      </c>
      <c r="J7" s="13">
        <v>550000</v>
      </c>
      <c r="K7" s="14">
        <v>1190000</v>
      </c>
      <c r="L7" s="3" t="s">
        <v>24</v>
      </c>
      <c r="M7" s="66">
        <f t="shared" ref="M7:M57" si="7">+H7-G7+1</f>
        <v>162</v>
      </c>
      <c r="N7" s="67">
        <f t="shared" ref="N7:N60" si="8">M7/30</f>
        <v>5.4</v>
      </c>
      <c r="O7" s="68">
        <f t="shared" si="1"/>
        <v>6.75</v>
      </c>
      <c r="P7" s="69">
        <v>2</v>
      </c>
      <c r="Q7" s="4">
        <f t="shared" si="2"/>
        <v>8.75</v>
      </c>
      <c r="R7" s="3">
        <v>30</v>
      </c>
      <c r="S7" s="5">
        <v>1229846</v>
      </c>
      <c r="T7" s="6">
        <v>30</v>
      </c>
      <c r="U7" s="7">
        <v>1079886</v>
      </c>
      <c r="V7" s="6">
        <v>30</v>
      </c>
      <c r="W7" s="7">
        <v>1229374</v>
      </c>
      <c r="X7" s="8">
        <f t="shared" ref="X7:X35" si="9">+(S7+U7+W7)/(T7+V7+R7)</f>
        <v>39323.4</v>
      </c>
      <c r="Y7" s="9">
        <f t="shared" ref="Y7:Y35" si="10">+Q7*X7</f>
        <v>344079.75</v>
      </c>
      <c r="Z7" s="10">
        <f t="shared" ref="Z7:Z35" si="11">ROUND((((K7/0.814)/30)*2.5),0)</f>
        <v>121826</v>
      </c>
      <c r="AA7" s="9">
        <f>IF(L7="159 N° 4",Z7*N7,0)+IF(L7="161 N° 1",Z7*#REF!,0)+IF(L7="159 N° 1",Z7*N7,0)+IF(L7="159 N° 5",Z7*N7,0)</f>
        <v>657860.4</v>
      </c>
      <c r="AB7" s="56"/>
      <c r="AC7" s="57">
        <f t="shared" si="5"/>
        <v>0</v>
      </c>
      <c r="AD7" s="56"/>
      <c r="AE7" s="58">
        <f t="shared" si="6"/>
        <v>0</v>
      </c>
      <c r="AF7" s="59">
        <v>0</v>
      </c>
      <c r="AG7" s="59">
        <v>0</v>
      </c>
      <c r="AH7" s="59">
        <f t="shared" ref="AH7:AH35" si="12">+AF7+AG7</f>
        <v>0</v>
      </c>
    </row>
    <row r="8" spans="1:34" s="60" customFormat="1" ht="21.75" customHeight="1">
      <c r="A8" s="36"/>
      <c r="B8" s="1">
        <f t="shared" ref="B8:B60" si="13">B7+1</f>
        <v>3</v>
      </c>
      <c r="C8" s="64"/>
      <c r="D8" s="11" t="s">
        <v>50</v>
      </c>
      <c r="E8" s="3" t="s">
        <v>51</v>
      </c>
      <c r="F8" s="3" t="s">
        <v>133</v>
      </c>
      <c r="G8" s="12">
        <v>45586</v>
      </c>
      <c r="H8" s="54">
        <v>45747</v>
      </c>
      <c r="I8" s="63" t="s">
        <v>44</v>
      </c>
      <c r="J8" s="13">
        <v>500000</v>
      </c>
      <c r="K8" s="14">
        <v>1060000</v>
      </c>
      <c r="L8" s="3" t="s">
        <v>24</v>
      </c>
      <c r="M8" s="66">
        <f t="shared" si="7"/>
        <v>162</v>
      </c>
      <c r="N8" s="67">
        <f t="shared" si="8"/>
        <v>5.4</v>
      </c>
      <c r="O8" s="68">
        <f t="shared" si="1"/>
        <v>6.75</v>
      </c>
      <c r="P8" s="69">
        <v>2</v>
      </c>
      <c r="Q8" s="4">
        <f t="shared" si="2"/>
        <v>8.75</v>
      </c>
      <c r="R8" s="3">
        <v>30</v>
      </c>
      <c r="S8" s="5">
        <v>1053171</v>
      </c>
      <c r="T8" s="6">
        <v>30</v>
      </c>
      <c r="U8" s="7">
        <v>903060</v>
      </c>
      <c r="V8" s="6">
        <v>30</v>
      </c>
      <c r="W8" s="7">
        <v>1052981</v>
      </c>
      <c r="X8" s="8">
        <f t="shared" si="9"/>
        <v>33435.688888888886</v>
      </c>
      <c r="Y8" s="9">
        <f t="shared" si="10"/>
        <v>292562.27777777775</v>
      </c>
      <c r="Z8" s="10">
        <f t="shared" si="11"/>
        <v>108518</v>
      </c>
      <c r="AA8" s="9">
        <f>IF(L8="159 N° 4",Z8*N8,0)+IF(L8="161 N° 1",Z8*#REF!,0)+IF(L8="159 N° 1",Z8*N8,0)+IF(L8="159 N° 5",Z8*N8,0)</f>
        <v>585997.20000000007</v>
      </c>
      <c r="AB8" s="56"/>
      <c r="AC8" s="57">
        <f t="shared" si="5"/>
        <v>0</v>
      </c>
      <c r="AD8" s="56"/>
      <c r="AE8" s="58">
        <f t="shared" si="6"/>
        <v>0</v>
      </c>
      <c r="AF8" s="59">
        <v>0</v>
      </c>
      <c r="AG8" s="59">
        <v>0</v>
      </c>
      <c r="AH8" s="59">
        <f t="shared" si="12"/>
        <v>0</v>
      </c>
    </row>
    <row r="9" spans="1:34" s="60" customFormat="1" ht="21.75" customHeight="1">
      <c r="A9" s="36"/>
      <c r="B9" s="1">
        <f t="shared" si="13"/>
        <v>4</v>
      </c>
      <c r="C9" s="64"/>
      <c r="D9" s="11" t="s">
        <v>52</v>
      </c>
      <c r="E9" s="3" t="s">
        <v>53</v>
      </c>
      <c r="F9" s="3" t="s">
        <v>25</v>
      </c>
      <c r="G9" s="12">
        <v>45586</v>
      </c>
      <c r="H9" s="54">
        <v>45747</v>
      </c>
      <c r="I9" s="63" t="s">
        <v>44</v>
      </c>
      <c r="J9" s="13">
        <v>550000</v>
      </c>
      <c r="K9" s="14">
        <v>1010000</v>
      </c>
      <c r="L9" s="3" t="s">
        <v>24</v>
      </c>
      <c r="M9" s="66">
        <f t="shared" si="7"/>
        <v>162</v>
      </c>
      <c r="N9" s="67">
        <f t="shared" si="8"/>
        <v>5.4</v>
      </c>
      <c r="O9" s="68">
        <f t="shared" si="1"/>
        <v>6.75</v>
      </c>
      <c r="P9" s="69">
        <v>2</v>
      </c>
      <c r="Q9" s="4">
        <f t="shared" si="2"/>
        <v>8.75</v>
      </c>
      <c r="R9" s="3">
        <v>30</v>
      </c>
      <c r="S9" s="5">
        <v>998758</v>
      </c>
      <c r="T9" s="6">
        <v>30</v>
      </c>
      <c r="U9" s="7">
        <v>848704</v>
      </c>
      <c r="V9" s="6">
        <v>30</v>
      </c>
      <c r="W9" s="7">
        <v>998704</v>
      </c>
      <c r="X9" s="8">
        <f t="shared" si="9"/>
        <v>31624.066666666666</v>
      </c>
      <c r="Y9" s="9">
        <f t="shared" si="10"/>
        <v>276710.58333333331</v>
      </c>
      <c r="Z9" s="10">
        <f t="shared" si="11"/>
        <v>103399</v>
      </c>
      <c r="AA9" s="9">
        <f>IF(L9="159 N° 4",Z9*N9,0)+IF(L9="161 N° 1",Z9*#REF!,0)+IF(L9="159 N° 1",Z9*N9,0)+IF(L9="159 N° 5",Z9*N9,0)</f>
        <v>558354.60000000009</v>
      </c>
      <c r="AB9" s="56"/>
      <c r="AC9" s="57">
        <f t="shared" si="5"/>
        <v>0</v>
      </c>
      <c r="AD9" s="56"/>
      <c r="AE9" s="58">
        <f t="shared" si="6"/>
        <v>0</v>
      </c>
      <c r="AF9" s="59">
        <v>0</v>
      </c>
      <c r="AG9" s="59">
        <v>0</v>
      </c>
      <c r="AH9" s="59">
        <f t="shared" si="12"/>
        <v>0</v>
      </c>
    </row>
    <row r="10" spans="1:34" s="60" customFormat="1" ht="21.75" customHeight="1">
      <c r="A10" s="36"/>
      <c r="B10" s="1">
        <f t="shared" si="13"/>
        <v>5</v>
      </c>
      <c r="C10" s="64"/>
      <c r="D10" s="11" t="s">
        <v>54</v>
      </c>
      <c r="E10" s="3" t="s">
        <v>55</v>
      </c>
      <c r="F10" s="3" t="s">
        <v>134</v>
      </c>
      <c r="G10" s="12">
        <v>45586</v>
      </c>
      <c r="H10" s="54">
        <v>45747</v>
      </c>
      <c r="I10" s="63" t="s">
        <v>44</v>
      </c>
      <c r="J10" s="13">
        <v>600000</v>
      </c>
      <c r="K10" s="14">
        <v>1190000</v>
      </c>
      <c r="L10" s="3" t="s">
        <v>24</v>
      </c>
      <c r="M10" s="66">
        <f t="shared" si="7"/>
        <v>162</v>
      </c>
      <c r="N10" s="67">
        <f t="shared" si="8"/>
        <v>5.4</v>
      </c>
      <c r="O10" s="68">
        <f t="shared" si="1"/>
        <v>6.75</v>
      </c>
      <c r="P10" s="69">
        <v>2</v>
      </c>
      <c r="Q10" s="4">
        <f t="shared" si="2"/>
        <v>8.75</v>
      </c>
      <c r="R10" s="3">
        <v>30</v>
      </c>
      <c r="S10" s="5">
        <v>1216316</v>
      </c>
      <c r="T10" s="6">
        <v>30</v>
      </c>
      <c r="U10" s="7">
        <v>1066354</v>
      </c>
      <c r="V10" s="6">
        <v>30</v>
      </c>
      <c r="W10" s="7">
        <v>1215848</v>
      </c>
      <c r="X10" s="8">
        <f t="shared" si="9"/>
        <v>38872.422222222223</v>
      </c>
      <c r="Y10" s="9">
        <f t="shared" si="10"/>
        <v>340133.69444444444</v>
      </c>
      <c r="Z10" s="10">
        <f t="shared" si="11"/>
        <v>121826</v>
      </c>
      <c r="AA10" s="9">
        <f>IF(L10="159 N° 4",Z10*N10,0)+IF(L10="161 N° 1",Z10*#REF!,0)+IF(L10="159 N° 1",Z10*N10,0)+IF(L10="159 N° 5",Z10*N10,0)</f>
        <v>657860.4</v>
      </c>
      <c r="AB10" s="56"/>
      <c r="AC10" s="57">
        <f t="shared" si="5"/>
        <v>0</v>
      </c>
      <c r="AD10" s="56"/>
      <c r="AE10" s="58">
        <f t="shared" si="6"/>
        <v>0</v>
      </c>
      <c r="AF10" s="59">
        <v>0</v>
      </c>
      <c r="AG10" s="59">
        <v>0</v>
      </c>
      <c r="AH10" s="59">
        <f t="shared" si="12"/>
        <v>0</v>
      </c>
    </row>
    <row r="11" spans="1:34" s="60" customFormat="1" ht="21.75" customHeight="1">
      <c r="A11" s="36"/>
      <c r="B11" s="1">
        <f t="shared" si="13"/>
        <v>6</v>
      </c>
      <c r="C11" s="64"/>
      <c r="D11" s="11" t="s">
        <v>56</v>
      </c>
      <c r="E11" s="3" t="s">
        <v>57</v>
      </c>
      <c r="F11" s="3" t="s">
        <v>29</v>
      </c>
      <c r="G11" s="12">
        <v>45586</v>
      </c>
      <c r="H11" s="54">
        <v>45747</v>
      </c>
      <c r="I11" s="63" t="s">
        <v>44</v>
      </c>
      <c r="J11" s="13">
        <v>1400000</v>
      </c>
      <c r="K11" s="14">
        <v>2000000</v>
      </c>
      <c r="L11" s="3" t="s">
        <v>24</v>
      </c>
      <c r="M11" s="66">
        <f t="shared" si="7"/>
        <v>162</v>
      </c>
      <c r="N11" s="67">
        <f t="shared" si="8"/>
        <v>5.4</v>
      </c>
      <c r="O11" s="68">
        <f t="shared" si="1"/>
        <v>6.75</v>
      </c>
      <c r="P11" s="69">
        <v>2</v>
      </c>
      <c r="Q11" s="4">
        <f t="shared" si="2"/>
        <v>8.75</v>
      </c>
      <c r="R11" s="3">
        <v>30</v>
      </c>
      <c r="S11" s="5">
        <v>2307288</v>
      </c>
      <c r="T11" s="6">
        <v>30</v>
      </c>
      <c r="U11" s="7">
        <v>2307548</v>
      </c>
      <c r="V11" s="6">
        <v>30</v>
      </c>
      <c r="W11" s="7">
        <v>2305832</v>
      </c>
      <c r="X11" s="8">
        <f t="shared" si="9"/>
        <v>76896.311111111107</v>
      </c>
      <c r="Y11" s="9">
        <f t="shared" si="10"/>
        <v>672842.72222222213</v>
      </c>
      <c r="Z11" s="10">
        <f t="shared" si="11"/>
        <v>204750</v>
      </c>
      <c r="AA11" s="9">
        <f>IF(L11="159 N° 4",Z11*N11,0)+IF(L11="161 N° 1",Z11*#REF!,0)+IF(L11="159 N° 1",Z11*N11,0)+IF(L11="159 N° 5",Z11*N11,0)</f>
        <v>1105650</v>
      </c>
      <c r="AB11" s="56"/>
      <c r="AC11" s="57">
        <f t="shared" si="5"/>
        <v>0</v>
      </c>
      <c r="AD11" s="56"/>
      <c r="AE11" s="58">
        <f t="shared" si="6"/>
        <v>0</v>
      </c>
      <c r="AF11" s="59">
        <v>0</v>
      </c>
      <c r="AG11" s="59">
        <v>0</v>
      </c>
      <c r="AH11" s="59">
        <f t="shared" si="12"/>
        <v>0</v>
      </c>
    </row>
    <row r="12" spans="1:34" s="60" customFormat="1" ht="21.75" customHeight="1">
      <c r="A12" s="36"/>
      <c r="B12" s="1">
        <f t="shared" si="13"/>
        <v>7</v>
      </c>
      <c r="C12" s="64"/>
      <c r="D12" s="11" t="s">
        <v>58</v>
      </c>
      <c r="E12" s="3" t="s">
        <v>59</v>
      </c>
      <c r="F12" s="3" t="s">
        <v>30</v>
      </c>
      <c r="G12" s="12">
        <v>45586</v>
      </c>
      <c r="H12" s="54">
        <v>45747</v>
      </c>
      <c r="I12" s="63" t="s">
        <v>44</v>
      </c>
      <c r="J12" s="13">
        <v>500000</v>
      </c>
      <c r="K12" s="14">
        <v>900000</v>
      </c>
      <c r="L12" s="3" t="s">
        <v>24</v>
      </c>
      <c r="M12" s="66">
        <f t="shared" si="7"/>
        <v>162</v>
      </c>
      <c r="N12" s="67">
        <f t="shared" si="8"/>
        <v>5.4</v>
      </c>
      <c r="O12" s="68">
        <f t="shared" si="1"/>
        <v>6.75</v>
      </c>
      <c r="P12" s="69">
        <v>2</v>
      </c>
      <c r="Q12" s="4">
        <f t="shared" si="2"/>
        <v>8.75</v>
      </c>
      <c r="R12" s="3">
        <v>30</v>
      </c>
      <c r="S12" s="5">
        <v>873625</v>
      </c>
      <c r="T12" s="6">
        <v>30</v>
      </c>
      <c r="U12" s="7">
        <v>723489</v>
      </c>
      <c r="V12" s="6">
        <v>28</v>
      </c>
      <c r="W12" s="7">
        <v>815256</v>
      </c>
      <c r="X12" s="8">
        <f t="shared" si="9"/>
        <v>27413.295454545456</v>
      </c>
      <c r="Y12" s="9">
        <f t="shared" si="10"/>
        <v>239866.33522727274</v>
      </c>
      <c r="Z12" s="10">
        <f t="shared" si="11"/>
        <v>92138</v>
      </c>
      <c r="AA12" s="9">
        <f>IF(L12="159 N° 4",Z12*N12,0)+IF(L12="161 N° 1",Z12*#REF!,0)+IF(L12="159 N° 1",Z12*N12,0)+IF(L12="159 N° 5",Z12*N12,0)</f>
        <v>497545.2</v>
      </c>
      <c r="AB12" s="56"/>
      <c r="AC12" s="57">
        <f t="shared" si="5"/>
        <v>0</v>
      </c>
      <c r="AD12" s="56"/>
      <c r="AE12" s="58">
        <f t="shared" si="6"/>
        <v>0</v>
      </c>
      <c r="AF12" s="59">
        <v>0</v>
      </c>
      <c r="AG12" s="59">
        <v>0</v>
      </c>
      <c r="AH12" s="59">
        <f t="shared" si="12"/>
        <v>0</v>
      </c>
    </row>
    <row r="13" spans="1:34" s="60" customFormat="1" ht="21.75" customHeight="1">
      <c r="A13" s="36"/>
      <c r="B13" s="1">
        <f t="shared" si="13"/>
        <v>8</v>
      </c>
      <c r="C13" s="64"/>
      <c r="D13" s="11" t="s">
        <v>60</v>
      </c>
      <c r="E13" s="3" t="s">
        <v>61</v>
      </c>
      <c r="F13" s="3" t="s">
        <v>28</v>
      </c>
      <c r="G13" s="12">
        <v>45586</v>
      </c>
      <c r="H13" s="54">
        <v>45747</v>
      </c>
      <c r="I13" s="63" t="s">
        <v>44</v>
      </c>
      <c r="J13" s="13">
        <v>900000</v>
      </c>
      <c r="K13" s="14">
        <v>1300000</v>
      </c>
      <c r="L13" s="3" t="s">
        <v>24</v>
      </c>
      <c r="M13" s="66">
        <f t="shared" si="7"/>
        <v>162</v>
      </c>
      <c r="N13" s="67">
        <f t="shared" si="8"/>
        <v>5.4</v>
      </c>
      <c r="O13" s="68">
        <f t="shared" si="1"/>
        <v>6.75</v>
      </c>
      <c r="P13" s="69">
        <v>2</v>
      </c>
      <c r="Q13" s="4">
        <f t="shared" si="2"/>
        <v>8.75</v>
      </c>
      <c r="R13" s="3">
        <v>30</v>
      </c>
      <c r="S13" s="5">
        <v>1411755</v>
      </c>
      <c r="T13" s="6">
        <v>30</v>
      </c>
      <c r="U13" s="7">
        <v>1411796</v>
      </c>
      <c r="V13" s="6">
        <v>30</v>
      </c>
      <c r="W13" s="7">
        <v>1411285</v>
      </c>
      <c r="X13" s="8">
        <f t="shared" si="9"/>
        <v>47053.73333333333</v>
      </c>
      <c r="Y13" s="9">
        <f t="shared" si="10"/>
        <v>411720.16666666663</v>
      </c>
      <c r="Z13" s="10">
        <f t="shared" si="11"/>
        <v>133088</v>
      </c>
      <c r="AA13" s="9">
        <f>IF(L13="159 N° 4",Z13*N13,0)+IF(L13="161 N° 1",Z13*#REF!,0)+IF(L13="159 N° 1",Z13*N13,0)+IF(L13="159 N° 5",Z13*N13,0)</f>
        <v>718675.20000000007</v>
      </c>
      <c r="AB13" s="56"/>
      <c r="AC13" s="57">
        <f t="shared" si="5"/>
        <v>0</v>
      </c>
      <c r="AD13" s="56"/>
      <c r="AE13" s="58">
        <f t="shared" si="6"/>
        <v>0</v>
      </c>
      <c r="AF13" s="59">
        <v>0</v>
      </c>
      <c r="AG13" s="59">
        <v>0</v>
      </c>
      <c r="AH13" s="59">
        <f t="shared" si="12"/>
        <v>0</v>
      </c>
    </row>
    <row r="14" spans="1:34" s="60" customFormat="1" ht="21.75" customHeight="1">
      <c r="A14" s="36"/>
      <c r="B14" s="1">
        <f t="shared" si="13"/>
        <v>9</v>
      </c>
      <c r="C14" s="64"/>
      <c r="D14" s="11" t="s">
        <v>62</v>
      </c>
      <c r="E14" s="3" t="s">
        <v>63</v>
      </c>
      <c r="F14" s="3" t="s">
        <v>135</v>
      </c>
      <c r="G14" s="12">
        <v>45600</v>
      </c>
      <c r="H14" s="54">
        <v>45747</v>
      </c>
      <c r="I14" s="63" t="s">
        <v>45</v>
      </c>
      <c r="J14" s="13">
        <v>650000</v>
      </c>
      <c r="K14" s="14">
        <v>1365000</v>
      </c>
      <c r="L14" s="3" t="s">
        <v>24</v>
      </c>
      <c r="M14" s="66">
        <f t="shared" si="7"/>
        <v>148</v>
      </c>
      <c r="N14" s="67">
        <f t="shared" si="8"/>
        <v>4.9333333333333336</v>
      </c>
      <c r="O14" s="68">
        <f t="shared" si="1"/>
        <v>6.166666666666667</v>
      </c>
      <c r="P14" s="69">
        <v>2</v>
      </c>
      <c r="Q14" s="4">
        <f t="shared" si="2"/>
        <v>8.1666666666666679</v>
      </c>
      <c r="R14" s="3">
        <v>30</v>
      </c>
      <c r="S14" s="5">
        <v>1453380</v>
      </c>
      <c r="T14" s="6">
        <v>30</v>
      </c>
      <c r="U14" s="7">
        <v>1303418</v>
      </c>
      <c r="V14" s="6">
        <v>30</v>
      </c>
      <c r="W14" s="7">
        <v>1452910</v>
      </c>
      <c r="X14" s="8">
        <f t="shared" si="9"/>
        <v>46774.533333333333</v>
      </c>
      <c r="Y14" s="9">
        <f t="shared" si="10"/>
        <v>381992.02222222229</v>
      </c>
      <c r="Z14" s="10">
        <f t="shared" si="11"/>
        <v>139742</v>
      </c>
      <c r="AA14" s="9">
        <f>IF(L14="159 N° 4",Z14*N14,0)+IF(L14="161 N° 1",Z14*#REF!,0)+IF(L14="159 N° 1",Z14*N14,0)+IF(L14="159 N° 5",Z14*N14,0)</f>
        <v>689393.8666666667</v>
      </c>
      <c r="AB14" s="56"/>
      <c r="AC14" s="57"/>
      <c r="AD14" s="56"/>
      <c r="AE14" s="58"/>
      <c r="AF14" s="59">
        <v>0</v>
      </c>
      <c r="AG14" s="59">
        <v>0</v>
      </c>
      <c r="AH14" s="59">
        <f t="shared" si="12"/>
        <v>0</v>
      </c>
    </row>
    <row r="15" spans="1:34" s="60" customFormat="1" ht="21.75" customHeight="1">
      <c r="A15" s="36"/>
      <c r="B15" s="1">
        <f t="shared" si="13"/>
        <v>10</v>
      </c>
      <c r="C15" s="64"/>
      <c r="D15" s="11" t="s">
        <v>64</v>
      </c>
      <c r="E15" s="3" t="s">
        <v>65</v>
      </c>
      <c r="F15" s="3" t="s">
        <v>136</v>
      </c>
      <c r="G15" s="12">
        <v>45600</v>
      </c>
      <c r="H15" s="54">
        <v>45747</v>
      </c>
      <c r="I15" s="63" t="s">
        <v>45</v>
      </c>
      <c r="J15" s="13">
        <v>550000</v>
      </c>
      <c r="K15" s="14">
        <v>1095000</v>
      </c>
      <c r="L15" s="3" t="s">
        <v>24</v>
      </c>
      <c r="M15" s="66">
        <f t="shared" si="7"/>
        <v>148</v>
      </c>
      <c r="N15" s="67">
        <f t="shared" si="8"/>
        <v>4.9333333333333336</v>
      </c>
      <c r="O15" s="68">
        <f t="shared" si="1"/>
        <v>6.166666666666667</v>
      </c>
      <c r="P15" s="69">
        <v>2</v>
      </c>
      <c r="Q15" s="4">
        <f t="shared" si="2"/>
        <v>8.1666666666666679</v>
      </c>
      <c r="R15" s="3">
        <v>30</v>
      </c>
      <c r="S15" s="5">
        <v>1096249</v>
      </c>
      <c r="T15" s="6">
        <v>28</v>
      </c>
      <c r="U15" s="7">
        <v>868002</v>
      </c>
      <c r="V15" s="6">
        <v>30</v>
      </c>
      <c r="W15" s="7">
        <v>1095782</v>
      </c>
      <c r="X15" s="8">
        <f t="shared" si="9"/>
        <v>34773.102272727272</v>
      </c>
      <c r="Y15" s="9">
        <f t="shared" si="10"/>
        <v>283980.33522727276</v>
      </c>
      <c r="Z15" s="10">
        <f t="shared" si="11"/>
        <v>112101</v>
      </c>
      <c r="AA15" s="9">
        <f>IF(L15="159 N° 4",Z15*N15,0)+IF(L15="161 N° 1",Z15*#REF!,0)+IF(L15="159 N° 1",Z15*N15,0)+IF(L15="159 N° 5",Z15*N15,0)</f>
        <v>553031.6</v>
      </c>
      <c r="AB15" s="56"/>
      <c r="AC15" s="57"/>
      <c r="AD15" s="56"/>
      <c r="AE15" s="58"/>
      <c r="AF15" s="59">
        <v>0</v>
      </c>
      <c r="AG15" s="59">
        <v>0</v>
      </c>
      <c r="AH15" s="59">
        <f t="shared" si="12"/>
        <v>0</v>
      </c>
    </row>
    <row r="16" spans="1:34" s="60" customFormat="1" ht="21.75" customHeight="1">
      <c r="A16" s="36"/>
      <c r="B16" s="1">
        <f t="shared" si="13"/>
        <v>11</v>
      </c>
      <c r="C16" s="64"/>
      <c r="D16" s="11" t="s">
        <v>66</v>
      </c>
      <c r="E16" s="3" t="s">
        <v>67</v>
      </c>
      <c r="F16" s="3" t="s">
        <v>136</v>
      </c>
      <c r="G16" s="12">
        <v>45600</v>
      </c>
      <c r="H16" s="54">
        <v>45747</v>
      </c>
      <c r="I16" s="63" t="s">
        <v>45</v>
      </c>
      <c r="J16" s="13">
        <v>550000</v>
      </c>
      <c r="K16" s="14">
        <v>1095000</v>
      </c>
      <c r="L16" s="3" t="s">
        <v>24</v>
      </c>
      <c r="M16" s="66">
        <f t="shared" si="7"/>
        <v>148</v>
      </c>
      <c r="N16" s="67">
        <f t="shared" si="8"/>
        <v>4.9333333333333336</v>
      </c>
      <c r="O16" s="68">
        <f t="shared" si="1"/>
        <v>6.166666666666667</v>
      </c>
      <c r="P16" s="69">
        <v>2</v>
      </c>
      <c r="Q16" s="4">
        <f t="shared" si="2"/>
        <v>8.1666666666666679</v>
      </c>
      <c r="R16" s="3">
        <v>30</v>
      </c>
      <c r="S16" s="5">
        <v>1105944</v>
      </c>
      <c r="T16" s="6">
        <v>27</v>
      </c>
      <c r="U16" s="7">
        <v>838495</v>
      </c>
      <c r="V16" s="6">
        <v>30</v>
      </c>
      <c r="W16" s="7">
        <v>1105474</v>
      </c>
      <c r="X16" s="8">
        <f t="shared" si="9"/>
        <v>35056.471264367814</v>
      </c>
      <c r="Y16" s="9">
        <f t="shared" si="10"/>
        <v>286294.51532567054</v>
      </c>
      <c r="Z16" s="10">
        <f t="shared" si="11"/>
        <v>112101</v>
      </c>
      <c r="AA16" s="9">
        <f>IF(L16="159 N° 4",Z16*N16,0)+IF(L16="161 N° 1",Z16*#REF!,0)+IF(L16="159 N° 1",Z16*N16,0)+IF(L16="159 N° 5",Z16*N16,0)</f>
        <v>553031.6</v>
      </c>
      <c r="AB16" s="56"/>
      <c r="AC16" s="57"/>
      <c r="AD16" s="56"/>
      <c r="AE16" s="58"/>
      <c r="AF16" s="59">
        <v>0</v>
      </c>
      <c r="AG16" s="59">
        <v>0</v>
      </c>
      <c r="AH16" s="59">
        <f t="shared" si="12"/>
        <v>0</v>
      </c>
    </row>
    <row r="17" spans="1:34" s="60" customFormat="1" ht="21.75" customHeight="1">
      <c r="A17" s="36"/>
      <c r="B17" s="1">
        <f t="shared" si="13"/>
        <v>12</v>
      </c>
      <c r="C17" s="64"/>
      <c r="D17" s="11" t="s">
        <v>68</v>
      </c>
      <c r="E17" s="3" t="s">
        <v>69</v>
      </c>
      <c r="F17" s="3" t="s">
        <v>137</v>
      </c>
      <c r="G17" s="12">
        <v>45600</v>
      </c>
      <c r="H17" s="54">
        <v>45747</v>
      </c>
      <c r="I17" s="63" t="s">
        <v>45</v>
      </c>
      <c r="J17" s="13">
        <v>500000</v>
      </c>
      <c r="K17" s="14">
        <v>1010000</v>
      </c>
      <c r="L17" s="3" t="s">
        <v>24</v>
      </c>
      <c r="M17" s="66">
        <f t="shared" si="7"/>
        <v>148</v>
      </c>
      <c r="N17" s="67">
        <f t="shared" si="8"/>
        <v>4.9333333333333336</v>
      </c>
      <c r="O17" s="68">
        <f t="shared" si="1"/>
        <v>6.166666666666667</v>
      </c>
      <c r="P17" s="69">
        <v>2</v>
      </c>
      <c r="Q17" s="4">
        <f t="shared" si="2"/>
        <v>8.1666666666666679</v>
      </c>
      <c r="R17" s="3">
        <v>30</v>
      </c>
      <c r="S17" s="5">
        <v>991866</v>
      </c>
      <c r="T17" s="6">
        <v>30</v>
      </c>
      <c r="U17" s="7">
        <v>841676</v>
      </c>
      <c r="V17" s="6">
        <v>30</v>
      </c>
      <c r="W17" s="7">
        <v>991676</v>
      </c>
      <c r="X17" s="8">
        <f t="shared" si="9"/>
        <v>31391.31111111111</v>
      </c>
      <c r="Y17" s="9">
        <f t="shared" si="10"/>
        <v>256362.37407407409</v>
      </c>
      <c r="Z17" s="10">
        <f t="shared" si="11"/>
        <v>103399</v>
      </c>
      <c r="AA17" s="9">
        <f>IF(L17="159 N° 4",Z17*N17,0)+IF(L17="161 N° 1",Z17*#REF!,0)+IF(L17="159 N° 1",Z17*N17,0)+IF(L17="159 N° 5",Z17*N17,0)</f>
        <v>510101.73333333334</v>
      </c>
      <c r="AB17" s="56"/>
      <c r="AC17" s="57"/>
      <c r="AD17" s="56"/>
      <c r="AE17" s="58"/>
      <c r="AF17" s="59">
        <v>0</v>
      </c>
      <c r="AG17" s="59">
        <v>0</v>
      </c>
      <c r="AH17" s="59">
        <f t="shared" si="12"/>
        <v>0</v>
      </c>
    </row>
    <row r="18" spans="1:34" s="60" customFormat="1" ht="21.75" customHeight="1">
      <c r="A18" s="36"/>
      <c r="B18" s="1">
        <f t="shared" si="13"/>
        <v>13</v>
      </c>
      <c r="C18" s="64"/>
      <c r="D18" s="11" t="s">
        <v>70</v>
      </c>
      <c r="E18" s="3" t="s">
        <v>71</v>
      </c>
      <c r="F18" s="3" t="s">
        <v>138</v>
      </c>
      <c r="G18" s="12">
        <v>45600</v>
      </c>
      <c r="H18" s="54">
        <v>45747</v>
      </c>
      <c r="I18" s="63" t="s">
        <v>44</v>
      </c>
      <c r="J18" s="13">
        <v>1000000</v>
      </c>
      <c r="K18" s="14">
        <v>1500000</v>
      </c>
      <c r="L18" s="3" t="s">
        <v>24</v>
      </c>
      <c r="M18" s="66">
        <f t="shared" si="7"/>
        <v>148</v>
      </c>
      <c r="N18" s="67">
        <f t="shared" si="8"/>
        <v>4.9333333333333336</v>
      </c>
      <c r="O18" s="68">
        <f t="shared" si="1"/>
        <v>6.166666666666667</v>
      </c>
      <c r="P18" s="69">
        <v>2</v>
      </c>
      <c r="Q18" s="4">
        <f t="shared" si="2"/>
        <v>8.1666666666666679</v>
      </c>
      <c r="R18" s="3">
        <v>30</v>
      </c>
      <c r="S18" s="5">
        <v>1667191</v>
      </c>
      <c r="T18" s="6">
        <v>30</v>
      </c>
      <c r="U18" s="7">
        <v>1667230</v>
      </c>
      <c r="V18" s="6">
        <v>30</v>
      </c>
      <c r="W18" s="7">
        <v>1986015</v>
      </c>
      <c r="X18" s="8">
        <f t="shared" si="9"/>
        <v>59115.955555555556</v>
      </c>
      <c r="Y18" s="9">
        <f t="shared" si="10"/>
        <v>482780.3037037038</v>
      </c>
      <c r="Z18" s="10">
        <f t="shared" si="11"/>
        <v>153563</v>
      </c>
      <c r="AA18" s="9">
        <f>IF(L18="159 N° 4",Z18*N18,0)+IF(L18="161 N° 1",Z18*#REF!,0)+IF(L18="159 N° 1",Z18*N18,0)+IF(L18="159 N° 5",Z18*N18,0)</f>
        <v>757577.46666666667</v>
      </c>
      <c r="AB18" s="56"/>
      <c r="AC18" s="57"/>
      <c r="AD18" s="56"/>
      <c r="AE18" s="58"/>
      <c r="AF18" s="59">
        <v>0</v>
      </c>
      <c r="AG18" s="59">
        <v>0</v>
      </c>
      <c r="AH18" s="59">
        <f t="shared" si="12"/>
        <v>0</v>
      </c>
    </row>
    <row r="19" spans="1:34" s="60" customFormat="1" ht="21.75" customHeight="1">
      <c r="A19" s="36"/>
      <c r="B19" s="1">
        <f t="shared" si="13"/>
        <v>14</v>
      </c>
      <c r="C19" s="64"/>
      <c r="D19" s="11" t="s">
        <v>72</v>
      </c>
      <c r="E19" s="3" t="s">
        <v>73</v>
      </c>
      <c r="F19" s="3" t="s">
        <v>139</v>
      </c>
      <c r="G19" s="12">
        <v>45600</v>
      </c>
      <c r="H19" s="54">
        <v>45747</v>
      </c>
      <c r="I19" s="63" t="s">
        <v>45</v>
      </c>
      <c r="J19" s="13">
        <v>1200000</v>
      </c>
      <c r="K19" s="14">
        <v>1800000</v>
      </c>
      <c r="L19" s="3" t="s">
        <v>24</v>
      </c>
      <c r="M19" s="66">
        <f t="shared" si="7"/>
        <v>148</v>
      </c>
      <c r="N19" s="67">
        <f t="shared" si="8"/>
        <v>4.9333333333333336</v>
      </c>
      <c r="O19" s="68">
        <f t="shared" si="1"/>
        <v>6.166666666666667</v>
      </c>
      <c r="P19" s="69">
        <v>2</v>
      </c>
      <c r="Q19" s="4">
        <f t="shared" si="2"/>
        <v>8.1666666666666679</v>
      </c>
      <c r="R19" s="3">
        <v>30</v>
      </c>
      <c r="S19" s="5">
        <v>2050621</v>
      </c>
      <c r="T19" s="6">
        <v>30</v>
      </c>
      <c r="U19" s="7">
        <v>2050659</v>
      </c>
      <c r="V19" s="6">
        <v>30</v>
      </c>
      <c r="W19" s="7">
        <v>2049873</v>
      </c>
      <c r="X19" s="8">
        <f t="shared" si="9"/>
        <v>68346.14444444445</v>
      </c>
      <c r="Y19" s="9">
        <f t="shared" si="10"/>
        <v>558160.17962962971</v>
      </c>
      <c r="Z19" s="10">
        <f t="shared" si="11"/>
        <v>184275</v>
      </c>
      <c r="AA19" s="9">
        <f>IF(L19="159 N° 4",Z19*N19,0)+IF(L19="161 N° 1",Z19*#REF!,0)+IF(L19="159 N° 1",Z19*N19,0)+IF(L19="159 N° 5",Z19*N19,0)</f>
        <v>909090</v>
      </c>
      <c r="AB19" s="56"/>
      <c r="AC19" s="57"/>
      <c r="AD19" s="56"/>
      <c r="AE19" s="58"/>
      <c r="AF19" s="59">
        <v>0</v>
      </c>
      <c r="AG19" s="59">
        <v>0</v>
      </c>
      <c r="AH19" s="59">
        <f t="shared" si="12"/>
        <v>0</v>
      </c>
    </row>
    <row r="20" spans="1:34" s="60" customFormat="1" ht="21.75" customHeight="1">
      <c r="A20" s="36"/>
      <c r="B20" s="1">
        <f t="shared" si="13"/>
        <v>15</v>
      </c>
      <c r="C20" s="64"/>
      <c r="D20" s="11" t="s">
        <v>74</v>
      </c>
      <c r="E20" s="3" t="s">
        <v>75</v>
      </c>
      <c r="F20" s="3" t="s">
        <v>31</v>
      </c>
      <c r="G20" s="12">
        <v>45600</v>
      </c>
      <c r="H20" s="54">
        <v>45747</v>
      </c>
      <c r="I20" s="63" t="s">
        <v>45</v>
      </c>
      <c r="J20" s="13">
        <v>600000</v>
      </c>
      <c r="K20" s="14">
        <v>1190000</v>
      </c>
      <c r="L20" s="3" t="s">
        <v>24</v>
      </c>
      <c r="M20" s="66">
        <f t="shared" si="7"/>
        <v>148</v>
      </c>
      <c r="N20" s="67">
        <f t="shared" si="8"/>
        <v>4.9333333333333336</v>
      </c>
      <c r="O20" s="68">
        <f t="shared" si="1"/>
        <v>6.166666666666667</v>
      </c>
      <c r="P20" s="69">
        <v>2</v>
      </c>
      <c r="Q20" s="4">
        <f t="shared" si="2"/>
        <v>8.1666666666666679</v>
      </c>
      <c r="R20" s="3">
        <v>30</v>
      </c>
      <c r="S20" s="5">
        <v>1229689</v>
      </c>
      <c r="T20" s="6">
        <v>29</v>
      </c>
      <c r="U20" s="7">
        <v>1035453</v>
      </c>
      <c r="V20" s="6">
        <v>30</v>
      </c>
      <c r="W20" s="7">
        <v>1229217</v>
      </c>
      <c r="X20" s="8">
        <f t="shared" si="9"/>
        <v>39262.460674157301</v>
      </c>
      <c r="Y20" s="9">
        <f t="shared" si="10"/>
        <v>320643.42883895134</v>
      </c>
      <c r="Z20" s="10">
        <f t="shared" si="11"/>
        <v>121826</v>
      </c>
      <c r="AA20" s="9">
        <f>IF(L20="159 N° 4",Z20*N20,0)+IF(L20="161 N° 1",Z20*#REF!,0)+IF(L20="159 N° 1",Z20*N20,0)+IF(L20="159 N° 5",Z20*N20,0)</f>
        <v>601008.26666666672</v>
      </c>
      <c r="AB20" s="56"/>
      <c r="AC20" s="57"/>
      <c r="AD20" s="56"/>
      <c r="AE20" s="58"/>
      <c r="AF20" s="59">
        <v>0</v>
      </c>
      <c r="AG20" s="59">
        <v>0</v>
      </c>
      <c r="AH20" s="59">
        <f t="shared" si="12"/>
        <v>0</v>
      </c>
    </row>
    <row r="21" spans="1:34" s="60" customFormat="1" ht="21.75" customHeight="1">
      <c r="A21" s="36"/>
      <c r="B21" s="1">
        <f t="shared" si="13"/>
        <v>16</v>
      </c>
      <c r="C21" s="64"/>
      <c r="D21" s="11" t="s">
        <v>76</v>
      </c>
      <c r="E21" s="3" t="s">
        <v>77</v>
      </c>
      <c r="F21" s="3" t="s">
        <v>140</v>
      </c>
      <c r="G21" s="12">
        <v>45600</v>
      </c>
      <c r="H21" s="54">
        <v>45747</v>
      </c>
      <c r="I21" s="63" t="s">
        <v>45</v>
      </c>
      <c r="J21" s="13">
        <v>700000</v>
      </c>
      <c r="K21" s="14">
        <v>1430000</v>
      </c>
      <c r="L21" s="3" t="s">
        <v>24</v>
      </c>
      <c r="M21" s="66">
        <f t="shared" si="7"/>
        <v>148</v>
      </c>
      <c r="N21" s="67">
        <f t="shared" si="8"/>
        <v>4.9333333333333336</v>
      </c>
      <c r="O21" s="68">
        <f t="shared" si="1"/>
        <v>6.166666666666667</v>
      </c>
      <c r="P21" s="69">
        <v>2</v>
      </c>
      <c r="Q21" s="4">
        <f t="shared" si="2"/>
        <v>8.1666666666666679</v>
      </c>
      <c r="R21" s="3">
        <v>30</v>
      </c>
      <c r="S21" s="5">
        <v>1532909</v>
      </c>
      <c r="T21" s="6">
        <v>30</v>
      </c>
      <c r="U21" s="7">
        <v>1382947</v>
      </c>
      <c r="V21" s="6">
        <v>30</v>
      </c>
      <c r="W21" s="7">
        <v>1532438</v>
      </c>
      <c r="X21" s="8">
        <f t="shared" si="9"/>
        <v>49425.488888888889</v>
      </c>
      <c r="Y21" s="9">
        <f t="shared" si="10"/>
        <v>403641.49259259267</v>
      </c>
      <c r="Z21" s="10">
        <f t="shared" si="11"/>
        <v>146396</v>
      </c>
      <c r="AA21" s="9">
        <f>IF(L21="159 N° 4",Z21*N21,0)+IF(L21="161 N° 1",Z21*#REF!,0)+IF(L21="159 N° 1",Z21*N21,0)+IF(L21="159 N° 5",Z21*N21,0)</f>
        <v>722220.26666666672</v>
      </c>
      <c r="AB21" s="56"/>
      <c r="AC21" s="57"/>
      <c r="AD21" s="56"/>
      <c r="AE21" s="58"/>
      <c r="AF21" s="59">
        <v>0</v>
      </c>
      <c r="AG21" s="59">
        <v>0</v>
      </c>
      <c r="AH21" s="59">
        <f t="shared" si="12"/>
        <v>0</v>
      </c>
    </row>
    <row r="22" spans="1:34" s="60" customFormat="1" ht="21.75" customHeight="1">
      <c r="A22" s="36"/>
      <c r="B22" s="1">
        <f t="shared" si="13"/>
        <v>17</v>
      </c>
      <c r="C22" s="64"/>
      <c r="D22" s="11" t="s">
        <v>78</v>
      </c>
      <c r="E22" s="3" t="s">
        <v>79</v>
      </c>
      <c r="F22" s="3" t="s">
        <v>141</v>
      </c>
      <c r="G22" s="12">
        <v>45600</v>
      </c>
      <c r="H22" s="54">
        <v>45747</v>
      </c>
      <c r="I22" s="63" t="s">
        <v>45</v>
      </c>
      <c r="J22" s="13">
        <v>600000</v>
      </c>
      <c r="K22" s="14">
        <v>1190000</v>
      </c>
      <c r="L22" s="3" t="s">
        <v>24</v>
      </c>
      <c r="M22" s="66">
        <f t="shared" si="7"/>
        <v>148</v>
      </c>
      <c r="N22" s="67">
        <f t="shared" si="8"/>
        <v>4.9333333333333336</v>
      </c>
      <c r="O22" s="68">
        <f t="shared" si="1"/>
        <v>6.166666666666667</v>
      </c>
      <c r="P22" s="69">
        <v>2</v>
      </c>
      <c r="Q22" s="4">
        <f t="shared" si="2"/>
        <v>8.1666666666666679</v>
      </c>
      <c r="R22" s="3">
        <v>30</v>
      </c>
      <c r="S22" s="5">
        <v>1229689</v>
      </c>
      <c r="T22" s="6">
        <v>30</v>
      </c>
      <c r="U22" s="7">
        <v>1079728</v>
      </c>
      <c r="V22" s="6">
        <v>30</v>
      </c>
      <c r="W22" s="7">
        <v>1229217</v>
      </c>
      <c r="X22" s="8">
        <f t="shared" si="9"/>
        <v>39318.155555555553</v>
      </c>
      <c r="Y22" s="9">
        <f t="shared" si="10"/>
        <v>321098.27037037042</v>
      </c>
      <c r="Z22" s="10">
        <f t="shared" si="11"/>
        <v>121826</v>
      </c>
      <c r="AA22" s="9">
        <f>IF(L22="159 N° 4",Z22*N22,0)+IF(L22="161 N° 1",Z22*#REF!,0)+IF(L22="159 N° 1",Z22*N22,0)+IF(L22="159 N° 5",Z22*N22,0)</f>
        <v>601008.26666666672</v>
      </c>
      <c r="AB22" s="56"/>
      <c r="AC22" s="57"/>
      <c r="AD22" s="56"/>
      <c r="AE22" s="58"/>
      <c r="AF22" s="59">
        <v>0</v>
      </c>
      <c r="AG22" s="59">
        <v>0</v>
      </c>
      <c r="AH22" s="59">
        <f t="shared" si="12"/>
        <v>0</v>
      </c>
    </row>
    <row r="23" spans="1:34" s="60" customFormat="1" ht="21.75" customHeight="1">
      <c r="A23" s="36"/>
      <c r="B23" s="1">
        <f t="shared" si="13"/>
        <v>18</v>
      </c>
      <c r="C23" s="64"/>
      <c r="D23" s="11" t="s">
        <v>80</v>
      </c>
      <c r="E23" s="3" t="s">
        <v>81</v>
      </c>
      <c r="F23" s="3" t="s">
        <v>141</v>
      </c>
      <c r="G23" s="12">
        <v>45600</v>
      </c>
      <c r="H23" s="54">
        <v>45747</v>
      </c>
      <c r="I23" s="63" t="s">
        <v>45</v>
      </c>
      <c r="J23" s="13">
        <v>600000</v>
      </c>
      <c r="K23" s="14">
        <v>1190000</v>
      </c>
      <c r="L23" s="3" t="s">
        <v>24</v>
      </c>
      <c r="M23" s="66">
        <f t="shared" si="7"/>
        <v>148</v>
      </c>
      <c r="N23" s="67">
        <f t="shared" si="8"/>
        <v>4.9333333333333336</v>
      </c>
      <c r="O23" s="68">
        <f t="shared" si="1"/>
        <v>6.166666666666667</v>
      </c>
      <c r="P23" s="69">
        <v>2</v>
      </c>
      <c r="Q23" s="4">
        <f t="shared" si="2"/>
        <v>8.1666666666666679</v>
      </c>
      <c r="R23" s="3">
        <v>30</v>
      </c>
      <c r="S23" s="5">
        <v>1229689</v>
      </c>
      <c r="T23" s="6">
        <v>30</v>
      </c>
      <c r="U23" s="7">
        <v>1079728</v>
      </c>
      <c r="V23" s="6">
        <v>30</v>
      </c>
      <c r="W23" s="7">
        <v>1229217</v>
      </c>
      <c r="X23" s="8">
        <f t="shared" si="9"/>
        <v>39318.155555555553</v>
      </c>
      <c r="Y23" s="9">
        <f t="shared" si="10"/>
        <v>321098.27037037042</v>
      </c>
      <c r="Z23" s="10">
        <f t="shared" si="11"/>
        <v>121826</v>
      </c>
      <c r="AA23" s="9">
        <f>IF(L23="159 N° 4",Z23*N23,0)+IF(L23="161 N° 1",Z23*#REF!,0)+IF(L23="159 N° 1",Z23*N23,0)+IF(L23="159 N° 5",Z23*N23,0)</f>
        <v>601008.26666666672</v>
      </c>
      <c r="AB23" s="56"/>
      <c r="AC23" s="57"/>
      <c r="AD23" s="56"/>
      <c r="AE23" s="58"/>
      <c r="AF23" s="59">
        <v>0</v>
      </c>
      <c r="AG23" s="59">
        <v>0</v>
      </c>
      <c r="AH23" s="59">
        <f t="shared" si="12"/>
        <v>0</v>
      </c>
    </row>
    <row r="24" spans="1:34" s="60" customFormat="1" ht="21.75" customHeight="1">
      <c r="A24" s="36"/>
      <c r="B24" s="1">
        <f t="shared" si="13"/>
        <v>19</v>
      </c>
      <c r="C24" s="64"/>
      <c r="D24" s="11" t="s">
        <v>82</v>
      </c>
      <c r="E24" s="3" t="s">
        <v>83</v>
      </c>
      <c r="F24" s="3" t="s">
        <v>27</v>
      </c>
      <c r="G24" s="12">
        <v>45600</v>
      </c>
      <c r="H24" s="54">
        <v>45747</v>
      </c>
      <c r="I24" s="63" t="s">
        <v>45</v>
      </c>
      <c r="J24" s="13">
        <v>550000</v>
      </c>
      <c r="K24" s="14">
        <v>1060000</v>
      </c>
      <c r="L24" s="3" t="s">
        <v>24</v>
      </c>
      <c r="M24" s="66">
        <f t="shared" si="7"/>
        <v>148</v>
      </c>
      <c r="N24" s="67">
        <f t="shared" si="8"/>
        <v>4.9333333333333336</v>
      </c>
      <c r="O24" s="68">
        <f t="shared" si="1"/>
        <v>6.166666666666667</v>
      </c>
      <c r="P24" s="69">
        <v>2</v>
      </c>
      <c r="Q24" s="4">
        <f t="shared" si="2"/>
        <v>8.1666666666666679</v>
      </c>
      <c r="R24" s="3">
        <v>30</v>
      </c>
      <c r="S24" s="5">
        <v>1063671</v>
      </c>
      <c r="T24" s="6">
        <v>30</v>
      </c>
      <c r="U24" s="7">
        <v>913696</v>
      </c>
      <c r="V24" s="6">
        <v>30</v>
      </c>
      <c r="W24" s="7">
        <v>1063617</v>
      </c>
      <c r="X24" s="8">
        <f t="shared" si="9"/>
        <v>33788.711111111108</v>
      </c>
      <c r="Y24" s="9">
        <f t="shared" si="10"/>
        <v>275941.14074074075</v>
      </c>
      <c r="Z24" s="10">
        <f t="shared" si="11"/>
        <v>108518</v>
      </c>
      <c r="AA24" s="9">
        <f>IF(L24="159 N° 4",Z24*N24,0)+IF(L24="161 N° 1",Z24*#REF!,0)+IF(L24="159 N° 1",Z24*N24,0)+IF(L24="159 N° 5",Z24*N24,0)</f>
        <v>535355.46666666667</v>
      </c>
      <c r="AB24" s="56"/>
      <c r="AC24" s="57"/>
      <c r="AD24" s="56"/>
      <c r="AE24" s="58"/>
      <c r="AF24" s="59">
        <v>0</v>
      </c>
      <c r="AG24" s="59">
        <v>0</v>
      </c>
      <c r="AH24" s="59">
        <f t="shared" si="12"/>
        <v>0</v>
      </c>
    </row>
    <row r="25" spans="1:34" s="60" customFormat="1" ht="21.75" customHeight="1">
      <c r="A25" s="36"/>
      <c r="B25" s="1">
        <f t="shared" si="13"/>
        <v>20</v>
      </c>
      <c r="C25" s="64"/>
      <c r="D25" s="11" t="s">
        <v>84</v>
      </c>
      <c r="E25" s="3" t="s">
        <v>85</v>
      </c>
      <c r="F25" s="3" t="s">
        <v>27</v>
      </c>
      <c r="G25" s="12">
        <v>45600</v>
      </c>
      <c r="H25" s="54">
        <v>45747</v>
      </c>
      <c r="I25" s="63" t="s">
        <v>45</v>
      </c>
      <c r="J25" s="13">
        <v>550000</v>
      </c>
      <c r="K25" s="14">
        <v>1060000</v>
      </c>
      <c r="L25" s="3" t="s">
        <v>24</v>
      </c>
      <c r="M25" s="66">
        <f t="shared" si="7"/>
        <v>148</v>
      </c>
      <c r="N25" s="67">
        <f t="shared" si="8"/>
        <v>4.9333333333333336</v>
      </c>
      <c r="O25" s="68">
        <f t="shared" si="1"/>
        <v>6.166666666666667</v>
      </c>
      <c r="P25" s="69">
        <v>2</v>
      </c>
      <c r="Q25" s="4">
        <f t="shared" si="2"/>
        <v>8.1666666666666679</v>
      </c>
      <c r="R25" s="3">
        <v>30</v>
      </c>
      <c r="S25" s="5">
        <v>1059853</v>
      </c>
      <c r="T25" s="6">
        <v>30</v>
      </c>
      <c r="U25" s="7">
        <v>909877</v>
      </c>
      <c r="V25" s="6">
        <v>30</v>
      </c>
      <c r="W25" s="7">
        <v>1063617</v>
      </c>
      <c r="X25" s="8">
        <f t="shared" si="9"/>
        <v>33703.855555555558</v>
      </c>
      <c r="Y25" s="9">
        <f t="shared" si="10"/>
        <v>275248.15370370378</v>
      </c>
      <c r="Z25" s="10">
        <f t="shared" si="11"/>
        <v>108518</v>
      </c>
      <c r="AA25" s="9">
        <f>IF(L25="159 N° 4",Z25*N25,0)+IF(L25="161 N° 1",Z25*#REF!,0)+IF(L25="159 N° 1",Z25*N25,0)+IF(L25="159 N° 5",Z25*N25,0)</f>
        <v>535355.46666666667</v>
      </c>
      <c r="AB25" s="56"/>
      <c r="AC25" s="57"/>
      <c r="AD25" s="56"/>
      <c r="AE25" s="58"/>
      <c r="AF25" s="59">
        <v>0</v>
      </c>
      <c r="AG25" s="59">
        <v>0</v>
      </c>
      <c r="AH25" s="59">
        <f t="shared" si="12"/>
        <v>0</v>
      </c>
    </row>
    <row r="26" spans="1:34" s="60" customFormat="1" ht="21.75" customHeight="1">
      <c r="A26" s="36"/>
      <c r="B26" s="1">
        <f t="shared" si="13"/>
        <v>21</v>
      </c>
      <c r="C26" s="64"/>
      <c r="D26" s="11" t="s">
        <v>86</v>
      </c>
      <c r="E26" s="3" t="s">
        <v>87</v>
      </c>
      <c r="F26" s="3" t="s">
        <v>142</v>
      </c>
      <c r="G26" s="12">
        <v>45600</v>
      </c>
      <c r="H26" s="54">
        <v>45747</v>
      </c>
      <c r="I26" s="63" t="s">
        <v>45</v>
      </c>
      <c r="J26" s="13">
        <v>1200000</v>
      </c>
      <c r="K26" s="14">
        <v>1800000</v>
      </c>
      <c r="L26" s="3" t="s">
        <v>24</v>
      </c>
      <c r="M26" s="66">
        <f t="shared" si="7"/>
        <v>148</v>
      </c>
      <c r="N26" s="67">
        <f t="shared" si="8"/>
        <v>4.9333333333333336</v>
      </c>
      <c r="O26" s="68">
        <f t="shared" si="1"/>
        <v>6.166666666666667</v>
      </c>
      <c r="P26" s="69">
        <v>2</v>
      </c>
      <c r="Q26" s="4">
        <f t="shared" si="2"/>
        <v>8.1666666666666679</v>
      </c>
      <c r="R26" s="3">
        <v>30</v>
      </c>
      <c r="S26" s="5">
        <v>2050344</v>
      </c>
      <c r="T26" s="6">
        <v>30</v>
      </c>
      <c r="U26" s="7">
        <v>2050384</v>
      </c>
      <c r="V26" s="6">
        <v>30</v>
      </c>
      <c r="W26" s="7">
        <v>2049873</v>
      </c>
      <c r="X26" s="8">
        <f t="shared" si="9"/>
        <v>68340.011111111118</v>
      </c>
      <c r="Y26" s="9">
        <f t="shared" si="10"/>
        <v>558110.09074074088</v>
      </c>
      <c r="Z26" s="10">
        <f t="shared" si="11"/>
        <v>184275</v>
      </c>
      <c r="AA26" s="9">
        <f>IF(L26="159 N° 4",Z26*N26,0)+IF(L26="161 N° 1",Z26*#REF!,0)+IF(L26="159 N° 1",Z26*N26,0)+IF(L26="159 N° 5",Z26*N26,0)</f>
        <v>909090</v>
      </c>
      <c r="AB26" s="56"/>
      <c r="AC26" s="57"/>
      <c r="AD26" s="56"/>
      <c r="AE26" s="58"/>
      <c r="AF26" s="59">
        <v>0</v>
      </c>
      <c r="AG26" s="59">
        <v>0</v>
      </c>
      <c r="AH26" s="59">
        <f t="shared" si="12"/>
        <v>0</v>
      </c>
    </row>
    <row r="27" spans="1:34" s="60" customFormat="1" ht="21.75" customHeight="1">
      <c r="A27" s="36"/>
      <c r="B27" s="1">
        <f t="shared" si="13"/>
        <v>22</v>
      </c>
      <c r="C27" s="64"/>
      <c r="D27" s="11" t="s">
        <v>88</v>
      </c>
      <c r="E27" s="3" t="s">
        <v>89</v>
      </c>
      <c r="F27" s="3" t="s">
        <v>136</v>
      </c>
      <c r="G27" s="12">
        <v>45600</v>
      </c>
      <c r="H27" s="54">
        <v>45747</v>
      </c>
      <c r="I27" s="63" t="s">
        <v>45</v>
      </c>
      <c r="J27" s="13">
        <v>550000</v>
      </c>
      <c r="K27" s="14">
        <v>1095000</v>
      </c>
      <c r="L27" s="3" t="s">
        <v>24</v>
      </c>
      <c r="M27" s="66">
        <f t="shared" si="7"/>
        <v>148</v>
      </c>
      <c r="N27" s="67">
        <f t="shared" si="8"/>
        <v>4.9333333333333336</v>
      </c>
      <c r="O27" s="68">
        <f t="shared" si="1"/>
        <v>6.166666666666667</v>
      </c>
      <c r="P27" s="69">
        <v>2</v>
      </c>
      <c r="Q27" s="4">
        <f t="shared" si="2"/>
        <v>8.1666666666666679</v>
      </c>
      <c r="R27" s="3">
        <v>30</v>
      </c>
      <c r="S27" s="5">
        <v>1108499</v>
      </c>
      <c r="T27" s="6">
        <v>30</v>
      </c>
      <c r="U27" s="7">
        <v>958539</v>
      </c>
      <c r="V27" s="6">
        <v>30</v>
      </c>
      <c r="W27" s="7">
        <v>1108029</v>
      </c>
      <c r="X27" s="8">
        <f t="shared" si="9"/>
        <v>35278.522222222222</v>
      </c>
      <c r="Y27" s="9">
        <f t="shared" si="10"/>
        <v>288107.93148148153</v>
      </c>
      <c r="Z27" s="10">
        <f t="shared" si="11"/>
        <v>112101</v>
      </c>
      <c r="AA27" s="9">
        <f>IF(L27="159 N° 4",Z27*N27,0)+IF(L27="161 N° 1",Z27*#REF!,0)+IF(L27="159 N° 1",Z27*N27,0)+IF(L27="159 N° 5",Z27*N27,0)</f>
        <v>553031.6</v>
      </c>
      <c r="AB27" s="56"/>
      <c r="AC27" s="57"/>
      <c r="AD27" s="56"/>
      <c r="AE27" s="58"/>
      <c r="AF27" s="59">
        <v>0</v>
      </c>
      <c r="AG27" s="59">
        <v>0</v>
      </c>
      <c r="AH27" s="59">
        <f t="shared" si="12"/>
        <v>0</v>
      </c>
    </row>
    <row r="28" spans="1:34" s="60" customFormat="1" ht="21.75" customHeight="1">
      <c r="A28" s="36"/>
      <c r="B28" s="1">
        <f t="shared" si="13"/>
        <v>23</v>
      </c>
      <c r="C28" s="64"/>
      <c r="D28" s="11" t="s">
        <v>90</v>
      </c>
      <c r="E28" s="3" t="s">
        <v>91</v>
      </c>
      <c r="F28" s="3" t="s">
        <v>136</v>
      </c>
      <c r="G28" s="12">
        <v>45600</v>
      </c>
      <c r="H28" s="54">
        <v>45747</v>
      </c>
      <c r="I28" s="63" t="s">
        <v>45</v>
      </c>
      <c r="J28" s="13">
        <v>550000</v>
      </c>
      <c r="K28" s="14">
        <v>1095000</v>
      </c>
      <c r="L28" s="3" t="s">
        <v>24</v>
      </c>
      <c r="M28" s="66">
        <f t="shared" si="7"/>
        <v>148</v>
      </c>
      <c r="N28" s="67">
        <f t="shared" si="8"/>
        <v>4.9333333333333336</v>
      </c>
      <c r="O28" s="68">
        <f t="shared" si="1"/>
        <v>6.166666666666667</v>
      </c>
      <c r="P28" s="69">
        <v>2</v>
      </c>
      <c r="Q28" s="4">
        <f t="shared" si="2"/>
        <v>8.1666666666666679</v>
      </c>
      <c r="R28" s="3">
        <v>30</v>
      </c>
      <c r="S28" s="5">
        <v>1105944</v>
      </c>
      <c r="T28" s="6">
        <v>30</v>
      </c>
      <c r="U28" s="7">
        <v>955983</v>
      </c>
      <c r="V28" s="6">
        <v>30</v>
      </c>
      <c r="W28" s="7">
        <v>1105474</v>
      </c>
      <c r="X28" s="8">
        <f t="shared" si="9"/>
        <v>35193.344444444447</v>
      </c>
      <c r="Y28" s="9">
        <f t="shared" si="10"/>
        <v>287412.31296296301</v>
      </c>
      <c r="Z28" s="10">
        <f t="shared" si="11"/>
        <v>112101</v>
      </c>
      <c r="AA28" s="9">
        <f>IF(L28="159 N° 4",Z28*N28,0)+IF(L28="161 N° 1",Z28*#REF!,0)+IF(L28="159 N° 1",Z28*N28,0)+IF(L28="159 N° 5",Z28*N28,0)</f>
        <v>553031.6</v>
      </c>
      <c r="AB28" s="56"/>
      <c r="AC28" s="57"/>
      <c r="AD28" s="56"/>
      <c r="AE28" s="58"/>
      <c r="AF28" s="59">
        <v>0</v>
      </c>
      <c r="AG28" s="59">
        <v>0</v>
      </c>
      <c r="AH28" s="59">
        <f t="shared" si="12"/>
        <v>0</v>
      </c>
    </row>
    <row r="29" spans="1:34" s="60" customFormat="1" ht="21.75" customHeight="1">
      <c r="A29" s="36"/>
      <c r="B29" s="1">
        <f t="shared" si="13"/>
        <v>24</v>
      </c>
      <c r="C29" s="64"/>
      <c r="D29" s="11" t="s">
        <v>92</v>
      </c>
      <c r="E29" s="3" t="s">
        <v>93</v>
      </c>
      <c r="F29" s="3" t="s">
        <v>137</v>
      </c>
      <c r="G29" s="12">
        <v>45600</v>
      </c>
      <c r="H29" s="54">
        <v>45747</v>
      </c>
      <c r="I29" s="63" t="s">
        <v>45</v>
      </c>
      <c r="J29" s="13">
        <v>500000</v>
      </c>
      <c r="K29" s="14">
        <v>1010000</v>
      </c>
      <c r="L29" s="3" t="s">
        <v>24</v>
      </c>
      <c r="M29" s="66">
        <f t="shared" si="7"/>
        <v>148</v>
      </c>
      <c r="N29" s="67">
        <f t="shared" si="8"/>
        <v>4.9333333333333336</v>
      </c>
      <c r="O29" s="68">
        <f t="shared" si="1"/>
        <v>6.166666666666667</v>
      </c>
      <c r="P29" s="69">
        <v>2</v>
      </c>
      <c r="Q29" s="4">
        <f t="shared" si="2"/>
        <v>8.1666666666666679</v>
      </c>
      <c r="R29" s="3">
        <v>30</v>
      </c>
      <c r="S29" s="5">
        <v>989672</v>
      </c>
      <c r="T29" s="6">
        <v>30</v>
      </c>
      <c r="U29" s="7">
        <v>839482</v>
      </c>
      <c r="V29" s="6">
        <v>30</v>
      </c>
      <c r="W29" s="7">
        <v>989482</v>
      </c>
      <c r="X29" s="8">
        <f t="shared" si="9"/>
        <v>31318.177777777779</v>
      </c>
      <c r="Y29" s="9">
        <f t="shared" si="10"/>
        <v>255765.11851851858</v>
      </c>
      <c r="Z29" s="10">
        <f t="shared" si="11"/>
        <v>103399</v>
      </c>
      <c r="AA29" s="9">
        <f>IF(L29="159 N° 4",Z29*N29,0)+IF(L29="161 N° 1",Z29*#REF!,0)+IF(L29="159 N° 1",Z29*N29,0)+IF(L29="159 N° 5",Z29*N29,0)</f>
        <v>510101.73333333334</v>
      </c>
      <c r="AB29" s="56"/>
      <c r="AC29" s="57"/>
      <c r="AD29" s="56"/>
      <c r="AE29" s="58"/>
      <c r="AF29" s="59">
        <v>0</v>
      </c>
      <c r="AG29" s="59">
        <v>0</v>
      </c>
      <c r="AH29" s="59">
        <f t="shared" si="12"/>
        <v>0</v>
      </c>
    </row>
    <row r="30" spans="1:34" s="60" customFormat="1" ht="21.75" customHeight="1">
      <c r="A30" s="36"/>
      <c r="B30" s="1">
        <f t="shared" si="13"/>
        <v>25</v>
      </c>
      <c r="C30" s="64"/>
      <c r="D30" s="11" t="s">
        <v>94</v>
      </c>
      <c r="E30" s="3" t="s">
        <v>95</v>
      </c>
      <c r="F30" s="3" t="s">
        <v>137</v>
      </c>
      <c r="G30" s="12">
        <v>45600</v>
      </c>
      <c r="H30" s="54">
        <v>45747</v>
      </c>
      <c r="I30" s="63" t="s">
        <v>45</v>
      </c>
      <c r="J30" s="13">
        <v>500000</v>
      </c>
      <c r="K30" s="14">
        <v>1010000</v>
      </c>
      <c r="L30" s="3" t="s">
        <v>24</v>
      </c>
      <c r="M30" s="66">
        <f t="shared" si="7"/>
        <v>148</v>
      </c>
      <c r="N30" s="67">
        <f t="shared" si="8"/>
        <v>4.9333333333333336</v>
      </c>
      <c r="O30" s="68">
        <f t="shared" si="1"/>
        <v>6.166666666666667</v>
      </c>
      <c r="P30" s="69">
        <v>2</v>
      </c>
      <c r="Q30" s="4">
        <f t="shared" si="2"/>
        <v>8.1666666666666679</v>
      </c>
      <c r="R30" s="3">
        <v>30</v>
      </c>
      <c r="S30" s="5">
        <v>991995</v>
      </c>
      <c r="T30" s="6">
        <v>30</v>
      </c>
      <c r="U30" s="7">
        <v>841805</v>
      </c>
      <c r="V30" s="6">
        <v>30</v>
      </c>
      <c r="W30" s="7">
        <v>991805</v>
      </c>
      <c r="X30" s="8">
        <f t="shared" si="9"/>
        <v>31395.611111111109</v>
      </c>
      <c r="Y30" s="9">
        <f t="shared" si="10"/>
        <v>256397.49074074076</v>
      </c>
      <c r="Z30" s="10">
        <f t="shared" si="11"/>
        <v>103399</v>
      </c>
      <c r="AA30" s="9">
        <f>IF(L30="159 N° 4",Z30*N30,0)+IF(L30="161 N° 1",Z30*#REF!,0)+IF(L30="159 N° 1",Z30*N30,0)+IF(L30="159 N° 5",Z30*N30,0)</f>
        <v>510101.73333333334</v>
      </c>
      <c r="AB30" s="56"/>
      <c r="AC30" s="57"/>
      <c r="AD30" s="56"/>
      <c r="AE30" s="58"/>
      <c r="AF30" s="59">
        <v>0</v>
      </c>
      <c r="AG30" s="59">
        <v>0</v>
      </c>
      <c r="AH30" s="59">
        <f t="shared" si="12"/>
        <v>0</v>
      </c>
    </row>
    <row r="31" spans="1:34" s="60" customFormat="1" ht="21.75" customHeight="1">
      <c r="A31" s="36"/>
      <c r="B31" s="1">
        <f t="shared" si="13"/>
        <v>26</v>
      </c>
      <c r="C31" s="64"/>
      <c r="D31" s="11" t="s">
        <v>96</v>
      </c>
      <c r="E31" s="3" t="s">
        <v>97</v>
      </c>
      <c r="F31" s="3" t="s">
        <v>143</v>
      </c>
      <c r="G31" s="12">
        <v>45600</v>
      </c>
      <c r="H31" s="54">
        <v>45747</v>
      </c>
      <c r="I31" s="63" t="s">
        <v>45</v>
      </c>
      <c r="J31" s="13">
        <v>500000</v>
      </c>
      <c r="K31" s="14">
        <v>750000</v>
      </c>
      <c r="L31" s="3" t="s">
        <v>24</v>
      </c>
      <c r="M31" s="66">
        <f t="shared" si="7"/>
        <v>148</v>
      </c>
      <c r="N31" s="67">
        <f t="shared" si="8"/>
        <v>4.9333333333333336</v>
      </c>
      <c r="O31" s="68">
        <f t="shared" si="1"/>
        <v>6.166666666666667</v>
      </c>
      <c r="P31" s="69">
        <v>2</v>
      </c>
      <c r="Q31" s="4">
        <f t="shared" si="2"/>
        <v>8.1666666666666679</v>
      </c>
      <c r="R31" s="3">
        <v>30</v>
      </c>
      <c r="S31" s="5">
        <v>726799</v>
      </c>
      <c r="T31" s="6">
        <v>30</v>
      </c>
      <c r="U31" s="7">
        <v>576663</v>
      </c>
      <c r="V31" s="6">
        <v>30</v>
      </c>
      <c r="W31" s="7">
        <v>726663</v>
      </c>
      <c r="X31" s="8">
        <f t="shared" si="9"/>
        <v>22556.944444444445</v>
      </c>
      <c r="Y31" s="9">
        <f t="shared" si="10"/>
        <v>184215.04629629632</v>
      </c>
      <c r="Z31" s="10">
        <f t="shared" si="11"/>
        <v>76781</v>
      </c>
      <c r="AA31" s="9">
        <f>IF(L31="159 N° 4",Z31*N31,0)+IF(L31="161 N° 1",Z31*#REF!,0)+IF(L31="159 N° 1",Z31*N31,0)+IF(L31="159 N° 5",Z31*N31,0)</f>
        <v>378786.26666666666</v>
      </c>
      <c r="AB31" s="56"/>
      <c r="AC31" s="57"/>
      <c r="AD31" s="56"/>
      <c r="AE31" s="58"/>
      <c r="AF31" s="59">
        <v>0</v>
      </c>
      <c r="AG31" s="59">
        <v>0</v>
      </c>
      <c r="AH31" s="59">
        <f t="shared" si="12"/>
        <v>0</v>
      </c>
    </row>
    <row r="32" spans="1:34" s="60" customFormat="1" ht="21.75" customHeight="1">
      <c r="A32" s="36"/>
      <c r="B32" s="1">
        <f t="shared" si="13"/>
        <v>27</v>
      </c>
      <c r="C32" s="64"/>
      <c r="D32" s="11" t="s">
        <v>98</v>
      </c>
      <c r="E32" s="3" t="s">
        <v>99</v>
      </c>
      <c r="F32" s="3" t="s">
        <v>144</v>
      </c>
      <c r="G32" s="12">
        <v>45602</v>
      </c>
      <c r="H32" s="54">
        <v>45747</v>
      </c>
      <c r="I32" s="63" t="s">
        <v>44</v>
      </c>
      <c r="J32" s="13">
        <v>900000</v>
      </c>
      <c r="K32" s="14">
        <v>1430000</v>
      </c>
      <c r="L32" s="3" t="s">
        <v>24</v>
      </c>
      <c r="M32" s="66">
        <f t="shared" si="7"/>
        <v>146</v>
      </c>
      <c r="N32" s="67">
        <f t="shared" si="8"/>
        <v>4.8666666666666663</v>
      </c>
      <c r="O32" s="68">
        <f t="shared" si="1"/>
        <v>6.083333333333333</v>
      </c>
      <c r="P32" s="69">
        <v>2</v>
      </c>
      <c r="Q32" s="4">
        <f t="shared" si="2"/>
        <v>8.0833333333333321</v>
      </c>
      <c r="R32" s="3">
        <v>30</v>
      </c>
      <c r="S32" s="5">
        <v>1536212</v>
      </c>
      <c r="T32" s="6">
        <v>30</v>
      </c>
      <c r="U32" s="7">
        <v>1386253</v>
      </c>
      <c r="V32" s="6">
        <v>30</v>
      </c>
      <c r="W32" s="7">
        <v>1535740</v>
      </c>
      <c r="X32" s="8">
        <f t="shared" si="9"/>
        <v>49535.611111111109</v>
      </c>
      <c r="Y32" s="9">
        <f t="shared" si="10"/>
        <v>400412.8564814814</v>
      </c>
      <c r="Z32" s="10">
        <f t="shared" si="11"/>
        <v>146396</v>
      </c>
      <c r="AA32" s="9">
        <f>IF(L32="159 N° 4",Z32*N32,0)+IF(L32="161 N° 1",Z32*#REF!,0)+IF(L32="159 N° 1",Z32*N32,0)+IF(L32="159 N° 5",Z32*N32,0)</f>
        <v>712460.53333333333</v>
      </c>
      <c r="AB32" s="56"/>
      <c r="AC32" s="57"/>
      <c r="AD32" s="56"/>
      <c r="AE32" s="58"/>
      <c r="AF32" s="59">
        <v>0</v>
      </c>
      <c r="AG32" s="59">
        <v>0</v>
      </c>
      <c r="AH32" s="59">
        <f t="shared" si="12"/>
        <v>0</v>
      </c>
    </row>
    <row r="33" spans="1:34" s="60" customFormat="1" ht="21.75" customHeight="1">
      <c r="A33" s="36"/>
      <c r="B33" s="1">
        <f t="shared" si="13"/>
        <v>28</v>
      </c>
      <c r="C33" s="64"/>
      <c r="D33" s="11" t="s">
        <v>100</v>
      </c>
      <c r="E33" s="3" t="s">
        <v>101</v>
      </c>
      <c r="F33" s="3" t="s">
        <v>145</v>
      </c>
      <c r="G33" s="12">
        <v>45607</v>
      </c>
      <c r="H33" s="54">
        <v>45747</v>
      </c>
      <c r="I33" s="63" t="s">
        <v>45</v>
      </c>
      <c r="J33" s="13">
        <v>550000</v>
      </c>
      <c r="K33" s="14">
        <v>1060000</v>
      </c>
      <c r="L33" s="3" t="s">
        <v>24</v>
      </c>
      <c r="M33" s="66">
        <f t="shared" si="7"/>
        <v>141</v>
      </c>
      <c r="N33" s="67">
        <f t="shared" si="8"/>
        <v>4.7</v>
      </c>
      <c r="O33" s="68">
        <f t="shared" si="1"/>
        <v>5.875</v>
      </c>
      <c r="P33" s="69">
        <v>2</v>
      </c>
      <c r="Q33" s="4">
        <f t="shared" si="2"/>
        <v>7.875</v>
      </c>
      <c r="R33" s="3">
        <v>30</v>
      </c>
      <c r="S33" s="5">
        <v>1059853</v>
      </c>
      <c r="T33" s="6">
        <v>30</v>
      </c>
      <c r="U33" s="7">
        <v>913696</v>
      </c>
      <c r="V33" s="6">
        <v>29</v>
      </c>
      <c r="W33" s="7">
        <v>1021426</v>
      </c>
      <c r="X33" s="8">
        <f t="shared" si="9"/>
        <v>33651.404494382019</v>
      </c>
      <c r="Y33" s="9">
        <f t="shared" si="10"/>
        <v>265004.81039325841</v>
      </c>
      <c r="Z33" s="10">
        <f t="shared" si="11"/>
        <v>108518</v>
      </c>
      <c r="AA33" s="9">
        <f>IF(L33="159 N° 4",Z33*N33,0)+IF(L33="161 N° 1",Z33*#REF!,0)+IF(L33="159 N° 1",Z33*N33,0)+IF(L33="159 N° 5",Z33*N33,0)</f>
        <v>510034.60000000003</v>
      </c>
      <c r="AB33" s="56"/>
      <c r="AC33" s="57"/>
      <c r="AD33" s="56"/>
      <c r="AE33" s="58"/>
      <c r="AF33" s="59">
        <v>0</v>
      </c>
      <c r="AG33" s="59">
        <v>0</v>
      </c>
      <c r="AH33" s="59">
        <f t="shared" si="12"/>
        <v>0</v>
      </c>
    </row>
    <row r="34" spans="1:34" s="60" customFormat="1" ht="21.75" customHeight="1">
      <c r="A34" s="36"/>
      <c r="B34" s="1">
        <f t="shared" si="13"/>
        <v>29</v>
      </c>
      <c r="C34" s="64"/>
      <c r="D34" s="11" t="s">
        <v>102</v>
      </c>
      <c r="E34" s="3" t="s">
        <v>103</v>
      </c>
      <c r="F34" s="3" t="s">
        <v>26</v>
      </c>
      <c r="G34" s="12">
        <v>45629</v>
      </c>
      <c r="H34" s="54">
        <v>45747</v>
      </c>
      <c r="I34" s="63" t="s">
        <v>45</v>
      </c>
      <c r="J34" s="13">
        <v>550000</v>
      </c>
      <c r="K34" s="14">
        <v>1060000</v>
      </c>
      <c r="L34" s="3" t="s">
        <v>24</v>
      </c>
      <c r="M34" s="66">
        <f t="shared" si="7"/>
        <v>119</v>
      </c>
      <c r="N34" s="67">
        <f t="shared" si="8"/>
        <v>3.9666666666666668</v>
      </c>
      <c r="O34" s="68">
        <f t="shared" si="1"/>
        <v>4.9583333333333339</v>
      </c>
      <c r="P34" s="69">
        <v>2</v>
      </c>
      <c r="Q34" s="4">
        <f t="shared" si="2"/>
        <v>6.9583333333333339</v>
      </c>
      <c r="R34" s="3">
        <v>30</v>
      </c>
      <c r="S34" s="5">
        <v>1214932</v>
      </c>
      <c r="T34" s="6">
        <v>30</v>
      </c>
      <c r="U34" s="7">
        <v>1079728</v>
      </c>
      <c r="V34" s="6">
        <v>30</v>
      </c>
      <c r="W34" s="7">
        <v>1229217</v>
      </c>
      <c r="X34" s="8">
        <f t="shared" si="9"/>
        <v>39154.188888888886</v>
      </c>
      <c r="Y34" s="9">
        <f t="shared" si="10"/>
        <v>272447.89768518519</v>
      </c>
      <c r="Z34" s="10">
        <f t="shared" si="11"/>
        <v>108518</v>
      </c>
      <c r="AA34" s="9">
        <f>IF(L34="159 N° 4",Z34*N34,0)+IF(L34="161 N° 1",Z34*#REF!,0)+IF(L34="159 N° 1",Z34*N34,0)+IF(L34="159 N° 5",Z34*N34,0)</f>
        <v>430454.73333333334</v>
      </c>
      <c r="AB34" s="56"/>
      <c r="AC34" s="57"/>
      <c r="AD34" s="56"/>
      <c r="AE34" s="58"/>
      <c r="AF34" s="59">
        <v>0</v>
      </c>
      <c r="AG34" s="59">
        <v>0</v>
      </c>
      <c r="AH34" s="59">
        <f t="shared" si="12"/>
        <v>0</v>
      </c>
    </row>
    <row r="35" spans="1:34" s="60" customFormat="1" ht="21.75" customHeight="1">
      <c r="A35" s="36"/>
      <c r="B35" s="1">
        <f t="shared" si="13"/>
        <v>30</v>
      </c>
      <c r="C35" s="64"/>
      <c r="D35" s="11" t="s">
        <v>104</v>
      </c>
      <c r="E35" s="3" t="s">
        <v>105</v>
      </c>
      <c r="F35" s="3" t="s">
        <v>137</v>
      </c>
      <c r="G35" s="12">
        <v>45629</v>
      </c>
      <c r="H35" s="54">
        <v>45747</v>
      </c>
      <c r="I35" s="63" t="s">
        <v>45</v>
      </c>
      <c r="J35" s="13">
        <v>500000</v>
      </c>
      <c r="K35" s="14">
        <v>1010000</v>
      </c>
      <c r="L35" s="3" t="s">
        <v>24</v>
      </c>
      <c r="M35" s="66">
        <f t="shared" si="7"/>
        <v>119</v>
      </c>
      <c r="N35" s="67">
        <f t="shared" si="8"/>
        <v>3.9666666666666668</v>
      </c>
      <c r="O35" s="68">
        <f t="shared" si="1"/>
        <v>4.9583333333333339</v>
      </c>
      <c r="P35" s="69">
        <v>2</v>
      </c>
      <c r="Q35" s="4">
        <f t="shared" si="2"/>
        <v>6.9583333333333339</v>
      </c>
      <c r="R35" s="3">
        <v>30</v>
      </c>
      <c r="S35" s="5">
        <v>991866</v>
      </c>
      <c r="T35" s="6">
        <v>30</v>
      </c>
      <c r="U35" s="7">
        <v>841676</v>
      </c>
      <c r="V35" s="6">
        <v>30</v>
      </c>
      <c r="W35" s="7">
        <v>991676</v>
      </c>
      <c r="X35" s="8">
        <f t="shared" si="9"/>
        <v>31391.31111111111</v>
      </c>
      <c r="Y35" s="9">
        <f t="shared" si="10"/>
        <v>218431.20648148149</v>
      </c>
      <c r="Z35" s="10">
        <f t="shared" si="11"/>
        <v>103399</v>
      </c>
      <c r="AA35" s="9">
        <f>IF(L35="159 N° 4",Z35*N35,0)+IF(L35="161 N° 1",Z35*#REF!,0)+IF(L35="159 N° 1",Z35*N35,0)+IF(L35="159 N° 5",Z35*N35,0)</f>
        <v>410149.3666666667</v>
      </c>
      <c r="AB35" s="56"/>
      <c r="AC35" s="57"/>
      <c r="AD35" s="56"/>
      <c r="AE35" s="58"/>
      <c r="AF35" s="59">
        <v>0</v>
      </c>
      <c r="AG35" s="59">
        <v>0</v>
      </c>
      <c r="AH35" s="59">
        <f t="shared" si="12"/>
        <v>0</v>
      </c>
    </row>
    <row r="36" spans="1:34" s="60" customFormat="1" ht="21.75" customHeight="1">
      <c r="A36" s="36"/>
      <c r="B36" s="1">
        <f t="shared" si="13"/>
        <v>31</v>
      </c>
      <c r="C36" s="64"/>
      <c r="D36" s="11" t="s">
        <v>106</v>
      </c>
      <c r="E36" s="3" t="s">
        <v>107</v>
      </c>
      <c r="F36" s="3" t="s">
        <v>136</v>
      </c>
      <c r="G36" s="12">
        <v>45629</v>
      </c>
      <c r="H36" s="54">
        <v>45747</v>
      </c>
      <c r="I36" s="63" t="s">
        <v>45</v>
      </c>
      <c r="J36" s="13">
        <v>500000</v>
      </c>
      <c r="K36" s="14">
        <v>1010000</v>
      </c>
      <c r="L36" s="3" t="s">
        <v>24</v>
      </c>
      <c r="M36" s="66">
        <f t="shared" si="7"/>
        <v>119</v>
      </c>
      <c r="N36" s="67">
        <f t="shared" si="8"/>
        <v>3.9666666666666668</v>
      </c>
      <c r="O36" s="68">
        <f t="shared" si="1"/>
        <v>4.9583333333333339</v>
      </c>
      <c r="P36" s="69">
        <v>2</v>
      </c>
      <c r="Q36" s="4">
        <f t="shared" si="2"/>
        <v>6.9583333333333339</v>
      </c>
      <c r="R36" s="3">
        <v>30</v>
      </c>
      <c r="S36" s="5">
        <v>1108499</v>
      </c>
      <c r="T36" s="6">
        <v>30</v>
      </c>
      <c r="U36" s="7">
        <v>958539</v>
      </c>
      <c r="V36" s="6">
        <v>30</v>
      </c>
      <c r="W36" s="7">
        <v>1108029</v>
      </c>
      <c r="X36" s="8">
        <f t="shared" ref="X36:X38" si="14">+(S36+U36+W36)/(T36+V36+R36)</f>
        <v>35278.522222222222</v>
      </c>
      <c r="Y36" s="9">
        <f t="shared" ref="Y36:Y38" si="15">+Q36*X36</f>
        <v>245479.71712962966</v>
      </c>
      <c r="Z36" s="10">
        <f t="shared" ref="Z36:Z38" si="16">ROUND((((K36/0.814)/30)*2.5),0)</f>
        <v>103399</v>
      </c>
      <c r="AA36" s="9">
        <f>IF(L36="159 N° 4",Z36*N36,0)+IF(L36="161 N° 1",Z36*#REF!,0)+IF(L36="159 N° 1",Z36*N36,0)+IF(L36="159 N° 5",Z36*N36,0)</f>
        <v>410149.3666666667</v>
      </c>
      <c r="AB36" s="56"/>
      <c r="AC36" s="57"/>
      <c r="AD36" s="56"/>
      <c r="AE36" s="58"/>
      <c r="AF36" s="59"/>
      <c r="AG36" s="59"/>
      <c r="AH36" s="59"/>
    </row>
    <row r="37" spans="1:34" s="60" customFormat="1" ht="21.75" customHeight="1">
      <c r="A37" s="36"/>
      <c r="B37" s="1">
        <f t="shared" si="13"/>
        <v>32</v>
      </c>
      <c r="C37" s="64"/>
      <c r="D37" s="11" t="s">
        <v>108</v>
      </c>
      <c r="E37" s="3" t="s">
        <v>109</v>
      </c>
      <c r="F37" s="3" t="s">
        <v>137</v>
      </c>
      <c r="G37" s="12">
        <v>45629</v>
      </c>
      <c r="H37" s="54">
        <v>45747</v>
      </c>
      <c r="I37" s="63" t="s">
        <v>45</v>
      </c>
      <c r="J37" s="13">
        <v>500000</v>
      </c>
      <c r="K37" s="14">
        <v>1010000</v>
      </c>
      <c r="L37" s="3" t="s">
        <v>24</v>
      </c>
      <c r="M37" s="66">
        <f t="shared" si="7"/>
        <v>119</v>
      </c>
      <c r="N37" s="67">
        <f t="shared" si="8"/>
        <v>3.9666666666666668</v>
      </c>
      <c r="O37" s="68">
        <f t="shared" si="1"/>
        <v>4.9583333333333339</v>
      </c>
      <c r="P37" s="69">
        <v>2</v>
      </c>
      <c r="Q37" s="4">
        <f t="shared" si="2"/>
        <v>6.9583333333333339</v>
      </c>
      <c r="R37" s="3">
        <v>30</v>
      </c>
      <c r="S37" s="5">
        <v>989672</v>
      </c>
      <c r="T37" s="6">
        <v>30</v>
      </c>
      <c r="U37" s="7">
        <v>839482</v>
      </c>
      <c r="V37" s="6">
        <v>30</v>
      </c>
      <c r="W37" s="7">
        <v>989482</v>
      </c>
      <c r="X37" s="8">
        <f t="shared" si="14"/>
        <v>31318.177777777779</v>
      </c>
      <c r="Y37" s="9">
        <f t="shared" si="15"/>
        <v>217922.32037037041</v>
      </c>
      <c r="Z37" s="10">
        <f t="shared" si="16"/>
        <v>103399</v>
      </c>
      <c r="AA37" s="9">
        <f>IF(L37="159 N° 4",Z37*N37,0)+IF(L37="161 N° 1",Z37*#REF!,0)+IF(L37="159 N° 1",Z37*N37,0)+IF(L37="159 N° 5",Z37*N37,0)</f>
        <v>410149.3666666667</v>
      </c>
      <c r="AB37" s="56"/>
      <c r="AC37" s="57"/>
      <c r="AD37" s="56"/>
      <c r="AE37" s="58"/>
      <c r="AF37" s="59"/>
      <c r="AG37" s="59"/>
      <c r="AH37" s="59"/>
    </row>
    <row r="38" spans="1:34" s="60" customFormat="1" ht="21.75" customHeight="1">
      <c r="A38" s="36"/>
      <c r="B38" s="1">
        <f t="shared" si="13"/>
        <v>33</v>
      </c>
      <c r="C38" s="64"/>
      <c r="D38" s="11" t="s">
        <v>110</v>
      </c>
      <c r="E38" s="3" t="s">
        <v>111</v>
      </c>
      <c r="F38" s="3" t="s">
        <v>146</v>
      </c>
      <c r="G38" s="12">
        <v>45643</v>
      </c>
      <c r="H38" s="54">
        <v>45747</v>
      </c>
      <c r="I38" s="63" t="s">
        <v>45</v>
      </c>
      <c r="J38" s="13">
        <v>700000</v>
      </c>
      <c r="K38" s="14">
        <v>1430000</v>
      </c>
      <c r="L38" s="3" t="s">
        <v>24</v>
      </c>
      <c r="M38" s="66">
        <f t="shared" si="7"/>
        <v>105</v>
      </c>
      <c r="N38" s="67">
        <f t="shared" si="8"/>
        <v>3.5</v>
      </c>
      <c r="O38" s="68">
        <f t="shared" si="1"/>
        <v>4.375</v>
      </c>
      <c r="P38" s="69">
        <v>2</v>
      </c>
      <c r="Q38" s="4">
        <f t="shared" si="2"/>
        <v>6.375</v>
      </c>
      <c r="R38" s="3">
        <v>0</v>
      </c>
      <c r="S38" s="5">
        <v>0</v>
      </c>
      <c r="T38" s="6">
        <v>0</v>
      </c>
      <c r="U38" s="7">
        <v>0</v>
      </c>
      <c r="V38" s="6">
        <v>28</v>
      </c>
      <c r="W38" s="7">
        <v>1401325</v>
      </c>
      <c r="X38" s="8">
        <f t="shared" si="14"/>
        <v>50047.321428571428</v>
      </c>
      <c r="Y38" s="9">
        <f t="shared" si="15"/>
        <v>319051.67410714284</v>
      </c>
      <c r="Z38" s="10">
        <f t="shared" si="16"/>
        <v>146396</v>
      </c>
      <c r="AA38" s="9">
        <f>IF(L38="159 N° 4",Z38*N38,0)+IF(L38="161 N° 1",Z38*#REF!,0)+IF(L38="159 N° 1",Z38*N38,0)+IF(L38="159 N° 5",Z38*N38,0)</f>
        <v>512386</v>
      </c>
      <c r="AB38" s="56"/>
      <c r="AC38" s="57"/>
      <c r="AD38" s="56"/>
      <c r="AE38" s="58"/>
      <c r="AF38" s="59"/>
      <c r="AG38" s="59"/>
      <c r="AH38" s="59"/>
    </row>
    <row r="39" spans="1:34" s="60" customFormat="1" ht="21.75" customHeight="1">
      <c r="A39" s="36"/>
      <c r="B39" s="1">
        <f t="shared" si="13"/>
        <v>34</v>
      </c>
      <c r="C39" s="64"/>
      <c r="D39" s="11" t="s">
        <v>112</v>
      </c>
      <c r="E39" s="3" t="s">
        <v>113</v>
      </c>
      <c r="F39" s="3" t="s">
        <v>147</v>
      </c>
      <c r="G39" s="12">
        <v>45660</v>
      </c>
      <c r="H39" s="54">
        <v>45747</v>
      </c>
      <c r="I39" s="63" t="s">
        <v>44</v>
      </c>
      <c r="J39" s="13">
        <v>600000</v>
      </c>
      <c r="K39" s="14">
        <v>1190000</v>
      </c>
      <c r="L39" s="3" t="s">
        <v>24</v>
      </c>
      <c r="M39" s="66">
        <f t="shared" si="7"/>
        <v>88</v>
      </c>
      <c r="N39" s="67">
        <f t="shared" si="8"/>
        <v>2.9333333333333331</v>
      </c>
      <c r="O39" s="68">
        <f t="shared" si="1"/>
        <v>3.6666666666666665</v>
      </c>
      <c r="P39" s="69">
        <v>0</v>
      </c>
      <c r="Q39" s="4">
        <f t="shared" si="2"/>
        <v>3.6666666666666665</v>
      </c>
      <c r="R39" s="3">
        <v>29</v>
      </c>
      <c r="S39" s="5">
        <v>1167500</v>
      </c>
      <c r="T39" s="6">
        <v>30</v>
      </c>
      <c r="U39" s="7">
        <v>1066354</v>
      </c>
      <c r="V39" s="6">
        <v>30</v>
      </c>
      <c r="W39" s="7">
        <v>1215848</v>
      </c>
      <c r="X39" s="8">
        <f t="shared" ref="X39:X60" si="17">+(S39+U39+W39)/(T39+V39+R39)</f>
        <v>38760.696629213482</v>
      </c>
      <c r="Y39" s="9">
        <f t="shared" ref="Y39:Y60" si="18">+Q39*X39</f>
        <v>142122.55430711611</v>
      </c>
      <c r="Z39" s="10">
        <f t="shared" ref="Z39:Z60" si="19">ROUND((((K39/0.814)/30)*2.5),0)</f>
        <v>121826</v>
      </c>
      <c r="AA39" s="9">
        <f>IF(L39="159 N° 4",Z39*N39,0)+IF(L39="161 N° 1",Z39*L16,0)+IF(L39="159 N° 1",Z39*N39,0)+IF(L39="159 N° 5",Z39*N39,0)</f>
        <v>357356.26666666666</v>
      </c>
      <c r="AB39" s="56"/>
      <c r="AC39" s="57">
        <f t="shared" ref="AC39:AC60" si="20">AB39*$AE$1</f>
        <v>0</v>
      </c>
      <c r="AD39" s="56"/>
      <c r="AE39" s="58">
        <f t="shared" ref="AE39:AE60" si="21">$AE$2*AD39</f>
        <v>0</v>
      </c>
      <c r="AF39" s="59">
        <v>0</v>
      </c>
      <c r="AG39" s="59">
        <v>0</v>
      </c>
      <c r="AH39" s="59">
        <f t="shared" ref="AH39:AH60" si="22">+AF39+AG39</f>
        <v>0</v>
      </c>
    </row>
    <row r="40" spans="1:34" s="60" customFormat="1" ht="21.75" customHeight="1">
      <c r="A40" s="36"/>
      <c r="B40" s="1">
        <f t="shared" si="13"/>
        <v>35</v>
      </c>
      <c r="C40" s="64"/>
      <c r="D40" s="11" t="s">
        <v>114</v>
      </c>
      <c r="E40" s="3" t="s">
        <v>115</v>
      </c>
      <c r="F40" s="3" t="s">
        <v>148</v>
      </c>
      <c r="G40" s="12">
        <v>45660</v>
      </c>
      <c r="H40" s="54">
        <v>45747</v>
      </c>
      <c r="I40" s="63" t="s">
        <v>45</v>
      </c>
      <c r="J40" s="13">
        <v>700000</v>
      </c>
      <c r="K40" s="14">
        <v>1430000</v>
      </c>
      <c r="L40" s="3" t="s">
        <v>24</v>
      </c>
      <c r="M40" s="66">
        <f t="shared" si="7"/>
        <v>88</v>
      </c>
      <c r="N40" s="67">
        <f t="shared" si="8"/>
        <v>2.9333333333333331</v>
      </c>
      <c r="O40" s="68">
        <f t="shared" si="1"/>
        <v>3.6666666666666665</v>
      </c>
      <c r="P40" s="69">
        <v>0</v>
      </c>
      <c r="Q40" s="4">
        <f t="shared" si="2"/>
        <v>3.6666666666666665</v>
      </c>
      <c r="R40" s="3">
        <v>29</v>
      </c>
      <c r="S40" s="5">
        <v>1476720</v>
      </c>
      <c r="T40" s="6">
        <v>30</v>
      </c>
      <c r="U40" s="7">
        <v>1386253</v>
      </c>
      <c r="V40" s="6">
        <v>30</v>
      </c>
      <c r="W40" s="7">
        <v>1535740</v>
      </c>
      <c r="X40" s="8">
        <f t="shared" si="17"/>
        <v>49423.741573033709</v>
      </c>
      <c r="Y40" s="9">
        <f t="shared" si="18"/>
        <v>181220.38576779026</v>
      </c>
      <c r="Z40" s="10">
        <f t="shared" si="19"/>
        <v>146396</v>
      </c>
      <c r="AA40" s="9">
        <f>IF(L40="159 N° 4",Z40*N40,0)+IF(L40="161 N° 1",Z40*L17,0)+IF(L40="159 N° 1",Z40*N40,0)+IF(L40="159 N° 5",Z40*N40,0)</f>
        <v>429428.26666666666</v>
      </c>
      <c r="AB40" s="56"/>
      <c r="AC40" s="57">
        <f t="shared" si="20"/>
        <v>0</v>
      </c>
      <c r="AD40" s="56"/>
      <c r="AE40" s="58">
        <f t="shared" si="21"/>
        <v>0</v>
      </c>
      <c r="AF40" s="59">
        <v>0</v>
      </c>
      <c r="AG40" s="59">
        <v>0</v>
      </c>
      <c r="AH40" s="59">
        <f t="shared" si="22"/>
        <v>0</v>
      </c>
    </row>
    <row r="41" spans="1:34" s="60" customFormat="1" ht="21.75" customHeight="1">
      <c r="A41" s="36"/>
      <c r="B41" s="1">
        <f t="shared" si="13"/>
        <v>36</v>
      </c>
      <c r="C41" s="64"/>
      <c r="D41" s="11" t="s">
        <v>116</v>
      </c>
      <c r="E41" s="3" t="s">
        <v>117</v>
      </c>
      <c r="F41" s="3" t="s">
        <v>149</v>
      </c>
      <c r="G41" s="12">
        <v>45671</v>
      </c>
      <c r="H41" s="54">
        <v>45747</v>
      </c>
      <c r="I41" s="63" t="s">
        <v>45</v>
      </c>
      <c r="J41" s="13">
        <v>600000</v>
      </c>
      <c r="K41" s="14">
        <v>1190000</v>
      </c>
      <c r="L41" s="3" t="s">
        <v>24</v>
      </c>
      <c r="M41" s="66">
        <f t="shared" si="7"/>
        <v>77</v>
      </c>
      <c r="N41" s="67">
        <f t="shared" si="8"/>
        <v>2.5666666666666669</v>
      </c>
      <c r="O41" s="68">
        <f t="shared" si="1"/>
        <v>3.2083333333333335</v>
      </c>
      <c r="P41" s="69">
        <v>0</v>
      </c>
      <c r="Q41" s="4">
        <f t="shared" si="2"/>
        <v>3.2083333333333335</v>
      </c>
      <c r="R41" s="3">
        <v>18</v>
      </c>
      <c r="S41" s="5">
        <v>626775</v>
      </c>
      <c r="T41" s="6">
        <v>30</v>
      </c>
      <c r="U41" s="7">
        <v>922046</v>
      </c>
      <c r="V41" s="6">
        <v>30</v>
      </c>
      <c r="W41" s="7">
        <v>1071598</v>
      </c>
      <c r="X41" s="8">
        <f t="shared" si="17"/>
        <v>33595.115384615383</v>
      </c>
      <c r="Y41" s="9">
        <f t="shared" si="18"/>
        <v>107784.32852564103</v>
      </c>
      <c r="Z41" s="10">
        <f t="shared" si="19"/>
        <v>121826</v>
      </c>
      <c r="AA41" s="9">
        <f>IF(L41="159 N° 4",Z41*N41,0)+IF(L41="161 N° 1",Z41*L18,0)+IF(L41="159 N° 1",Z41*N41,0)+IF(L41="159 N° 5",Z41*N41,0)</f>
        <v>312686.73333333334</v>
      </c>
      <c r="AB41" s="56"/>
      <c r="AC41" s="57">
        <f t="shared" si="20"/>
        <v>0</v>
      </c>
      <c r="AD41" s="56"/>
      <c r="AE41" s="58">
        <f t="shared" si="21"/>
        <v>0</v>
      </c>
      <c r="AF41" s="59">
        <v>0</v>
      </c>
      <c r="AG41" s="59">
        <v>0</v>
      </c>
      <c r="AH41" s="59">
        <f t="shared" si="22"/>
        <v>0</v>
      </c>
    </row>
    <row r="42" spans="1:34" s="60" customFormat="1" ht="21.75" customHeight="1">
      <c r="A42" s="36"/>
      <c r="B42" s="1">
        <f t="shared" si="13"/>
        <v>37</v>
      </c>
      <c r="C42" s="64"/>
      <c r="D42" s="11" t="s">
        <v>118</v>
      </c>
      <c r="E42" s="3" t="s">
        <v>119</v>
      </c>
      <c r="F42" s="3" t="s">
        <v>145</v>
      </c>
      <c r="G42" s="12">
        <v>45671</v>
      </c>
      <c r="H42" s="54">
        <v>45747</v>
      </c>
      <c r="I42" s="63" t="s">
        <v>45</v>
      </c>
      <c r="J42" s="13">
        <v>550000</v>
      </c>
      <c r="K42" s="14">
        <v>1060000</v>
      </c>
      <c r="L42" s="3" t="s">
        <v>24</v>
      </c>
      <c r="M42" s="66">
        <f t="shared" si="7"/>
        <v>77</v>
      </c>
      <c r="N42" s="67">
        <f t="shared" si="8"/>
        <v>2.5666666666666669</v>
      </c>
      <c r="O42" s="68">
        <f t="shared" si="1"/>
        <v>3.2083333333333335</v>
      </c>
      <c r="P42" s="69">
        <v>0</v>
      </c>
      <c r="Q42" s="4">
        <f t="shared" si="2"/>
        <v>3.2083333333333335</v>
      </c>
      <c r="R42" s="3">
        <v>18</v>
      </c>
      <c r="S42" s="5">
        <v>625555</v>
      </c>
      <c r="T42" s="6">
        <v>30</v>
      </c>
      <c r="U42" s="7">
        <v>913696</v>
      </c>
      <c r="V42" s="6">
        <v>30</v>
      </c>
      <c r="W42" s="7">
        <v>1063617</v>
      </c>
      <c r="X42" s="8">
        <f t="shared" si="17"/>
        <v>33370.102564102563</v>
      </c>
      <c r="Y42" s="9">
        <f t="shared" si="18"/>
        <v>107062.41239316239</v>
      </c>
      <c r="Z42" s="10">
        <f t="shared" si="19"/>
        <v>108518</v>
      </c>
      <c r="AA42" s="9">
        <f t="shared" ref="AA42:AA48" si="23">IF(L42="159 N° 4",Z42*N42,0)+IF(L42="161 N° 1",Z42*L23,0)+IF(L42="159 N° 1",Z42*N42,0)+IF(L42="159 N° 5",Z42*N42,0)</f>
        <v>278529.53333333338</v>
      </c>
      <c r="AB42" s="56"/>
      <c r="AC42" s="57">
        <f t="shared" si="20"/>
        <v>0</v>
      </c>
      <c r="AD42" s="56"/>
      <c r="AE42" s="58">
        <f t="shared" si="21"/>
        <v>0</v>
      </c>
      <c r="AF42" s="59">
        <v>0</v>
      </c>
      <c r="AG42" s="59">
        <v>0</v>
      </c>
      <c r="AH42" s="59">
        <f t="shared" si="22"/>
        <v>0</v>
      </c>
    </row>
    <row r="43" spans="1:34" s="60" customFormat="1" ht="21.75" customHeight="1">
      <c r="A43" s="36"/>
      <c r="B43" s="1">
        <f t="shared" si="13"/>
        <v>38</v>
      </c>
      <c r="C43" s="64"/>
      <c r="D43" s="11" t="s">
        <v>120</v>
      </c>
      <c r="E43" s="3" t="s">
        <v>121</v>
      </c>
      <c r="F43" s="3" t="s">
        <v>145</v>
      </c>
      <c r="G43" s="12">
        <v>45671</v>
      </c>
      <c r="H43" s="54">
        <v>45747</v>
      </c>
      <c r="I43" s="63" t="s">
        <v>45</v>
      </c>
      <c r="J43" s="13">
        <v>550000</v>
      </c>
      <c r="K43" s="14">
        <v>1060000</v>
      </c>
      <c r="L43" s="3" t="s">
        <v>24</v>
      </c>
      <c r="M43" s="66">
        <f t="shared" si="7"/>
        <v>77</v>
      </c>
      <c r="N43" s="67">
        <f t="shared" si="8"/>
        <v>2.5666666666666669</v>
      </c>
      <c r="O43" s="68">
        <f t="shared" si="1"/>
        <v>3.2083333333333335</v>
      </c>
      <c r="P43" s="69">
        <v>0</v>
      </c>
      <c r="Q43" s="4">
        <f t="shared" si="2"/>
        <v>3.2083333333333335</v>
      </c>
      <c r="R43" s="3">
        <v>18</v>
      </c>
      <c r="S43" s="5">
        <v>625555</v>
      </c>
      <c r="T43" s="6">
        <v>30</v>
      </c>
      <c r="U43" s="7">
        <v>913696</v>
      </c>
      <c r="V43" s="6">
        <v>30</v>
      </c>
      <c r="W43" s="7">
        <v>1063617</v>
      </c>
      <c r="X43" s="8">
        <f t="shared" si="17"/>
        <v>33370.102564102563</v>
      </c>
      <c r="Y43" s="9">
        <f t="shared" si="18"/>
        <v>107062.41239316239</v>
      </c>
      <c r="Z43" s="10">
        <f t="shared" si="19"/>
        <v>108518</v>
      </c>
      <c r="AA43" s="9">
        <f t="shared" si="23"/>
        <v>278529.53333333338</v>
      </c>
      <c r="AB43" s="56"/>
      <c r="AC43" s="57">
        <f t="shared" si="20"/>
        <v>0</v>
      </c>
      <c r="AD43" s="56"/>
      <c r="AE43" s="58">
        <f t="shared" si="21"/>
        <v>0</v>
      </c>
      <c r="AF43" s="59">
        <v>0</v>
      </c>
      <c r="AG43" s="59">
        <v>0</v>
      </c>
      <c r="AH43" s="59">
        <f t="shared" si="22"/>
        <v>0</v>
      </c>
    </row>
    <row r="44" spans="1:34" s="60" customFormat="1" ht="21.75" customHeight="1">
      <c r="A44" s="36"/>
      <c r="B44" s="1">
        <f t="shared" si="13"/>
        <v>39</v>
      </c>
      <c r="C44" s="64"/>
      <c r="D44" s="11" t="s">
        <v>122</v>
      </c>
      <c r="E44" s="3" t="s">
        <v>123</v>
      </c>
      <c r="F44" s="3" t="s">
        <v>26</v>
      </c>
      <c r="G44" s="12">
        <v>45685</v>
      </c>
      <c r="H44" s="54">
        <v>45747</v>
      </c>
      <c r="I44" s="63" t="s">
        <v>45</v>
      </c>
      <c r="J44" s="13">
        <v>600000</v>
      </c>
      <c r="K44" s="14">
        <v>1190000</v>
      </c>
      <c r="L44" s="3" t="s">
        <v>24</v>
      </c>
      <c r="M44" s="66">
        <f t="shared" si="7"/>
        <v>63</v>
      </c>
      <c r="N44" s="67">
        <f t="shared" si="8"/>
        <v>2.1</v>
      </c>
      <c r="O44" s="68">
        <f t="shared" si="1"/>
        <v>2.625</v>
      </c>
      <c r="P44" s="69">
        <v>0</v>
      </c>
      <c r="Q44" s="4">
        <f t="shared" si="2"/>
        <v>2.625</v>
      </c>
      <c r="R44" s="3">
        <v>4</v>
      </c>
      <c r="S44" s="5">
        <v>156032</v>
      </c>
      <c r="T44" s="6">
        <v>30</v>
      </c>
      <c r="U44" s="7">
        <v>1079886</v>
      </c>
      <c r="V44" s="6">
        <v>30</v>
      </c>
      <c r="W44" s="7">
        <v>1229374</v>
      </c>
      <c r="X44" s="8">
        <f t="shared" si="17"/>
        <v>38520.1875</v>
      </c>
      <c r="Y44" s="9">
        <f t="shared" si="18"/>
        <v>101115.4921875</v>
      </c>
      <c r="Z44" s="10">
        <f t="shared" si="19"/>
        <v>121826</v>
      </c>
      <c r="AA44" s="9">
        <f t="shared" si="23"/>
        <v>255834.6</v>
      </c>
      <c r="AB44" s="56"/>
      <c r="AC44" s="57">
        <f t="shared" si="20"/>
        <v>0</v>
      </c>
      <c r="AD44" s="56"/>
      <c r="AE44" s="58">
        <f t="shared" si="21"/>
        <v>0</v>
      </c>
      <c r="AF44" s="59">
        <v>0</v>
      </c>
      <c r="AG44" s="59">
        <v>0</v>
      </c>
      <c r="AH44" s="59">
        <f t="shared" si="22"/>
        <v>0</v>
      </c>
    </row>
    <row r="45" spans="1:34" s="60" customFormat="1" ht="21.75" customHeight="1">
      <c r="A45" s="36"/>
      <c r="B45" s="1">
        <f t="shared" si="13"/>
        <v>40</v>
      </c>
      <c r="C45" s="64"/>
      <c r="D45" s="11" t="s">
        <v>124</v>
      </c>
      <c r="E45" s="3" t="s">
        <v>125</v>
      </c>
      <c r="F45" s="3" t="s">
        <v>26</v>
      </c>
      <c r="G45" s="12">
        <v>45685</v>
      </c>
      <c r="H45" s="54">
        <v>45747</v>
      </c>
      <c r="I45" s="63" t="s">
        <v>45</v>
      </c>
      <c r="J45" s="13">
        <v>600000</v>
      </c>
      <c r="K45" s="14">
        <v>1190000</v>
      </c>
      <c r="L45" s="3" t="s">
        <v>24</v>
      </c>
      <c r="M45" s="66">
        <f t="shared" si="7"/>
        <v>63</v>
      </c>
      <c r="N45" s="67">
        <f t="shared" si="8"/>
        <v>2.1</v>
      </c>
      <c r="O45" s="68">
        <f t="shared" si="1"/>
        <v>2.625</v>
      </c>
      <c r="P45" s="69">
        <v>0</v>
      </c>
      <c r="Q45" s="4">
        <f t="shared" si="2"/>
        <v>2.625</v>
      </c>
      <c r="R45" s="3">
        <v>4</v>
      </c>
      <c r="S45" s="5">
        <v>155732</v>
      </c>
      <c r="T45" s="6">
        <v>30</v>
      </c>
      <c r="U45" s="7">
        <v>1077062</v>
      </c>
      <c r="V45" s="6">
        <v>30</v>
      </c>
      <c r="W45" s="7">
        <v>1226552</v>
      </c>
      <c r="X45" s="8">
        <f t="shared" si="17"/>
        <v>38427.28125</v>
      </c>
      <c r="Y45" s="9">
        <f t="shared" si="18"/>
        <v>100871.61328125</v>
      </c>
      <c r="Z45" s="10">
        <f t="shared" si="19"/>
        <v>121826</v>
      </c>
      <c r="AA45" s="9">
        <f t="shared" si="23"/>
        <v>255834.6</v>
      </c>
      <c r="AB45" s="56"/>
      <c r="AC45" s="57">
        <f t="shared" si="20"/>
        <v>0</v>
      </c>
      <c r="AD45" s="56"/>
      <c r="AE45" s="58">
        <f t="shared" si="21"/>
        <v>0</v>
      </c>
      <c r="AF45" s="59">
        <v>0</v>
      </c>
      <c r="AG45" s="59">
        <v>0</v>
      </c>
      <c r="AH45" s="59">
        <f t="shared" si="22"/>
        <v>0</v>
      </c>
    </row>
    <row r="46" spans="1:34" s="60" customFormat="1" ht="21.75" customHeight="1">
      <c r="A46" s="36"/>
      <c r="B46" s="1">
        <f t="shared" si="13"/>
        <v>41</v>
      </c>
      <c r="C46" s="64"/>
      <c r="D46" s="11" t="s">
        <v>126</v>
      </c>
      <c r="E46" s="3" t="s">
        <v>127</v>
      </c>
      <c r="F46" s="3" t="s">
        <v>26</v>
      </c>
      <c r="G46" s="12">
        <v>45685</v>
      </c>
      <c r="H46" s="54">
        <v>45747</v>
      </c>
      <c r="I46" s="63" t="s">
        <v>45</v>
      </c>
      <c r="J46" s="13">
        <v>600000</v>
      </c>
      <c r="K46" s="14">
        <v>1190000</v>
      </c>
      <c r="L46" s="3" t="s">
        <v>24</v>
      </c>
      <c r="M46" s="66">
        <f t="shared" si="7"/>
        <v>63</v>
      </c>
      <c r="N46" s="67">
        <f t="shared" si="8"/>
        <v>2.1</v>
      </c>
      <c r="O46" s="68">
        <f t="shared" si="1"/>
        <v>2.625</v>
      </c>
      <c r="P46" s="69">
        <v>0</v>
      </c>
      <c r="Q46" s="4">
        <f t="shared" si="2"/>
        <v>2.625</v>
      </c>
      <c r="R46" s="3">
        <v>4</v>
      </c>
      <c r="S46" s="5">
        <v>156032</v>
      </c>
      <c r="T46" s="6">
        <v>30</v>
      </c>
      <c r="U46" s="7">
        <v>1079886</v>
      </c>
      <c r="V46" s="6">
        <v>30</v>
      </c>
      <c r="W46" s="7">
        <v>1229374</v>
      </c>
      <c r="X46" s="8">
        <f t="shared" si="17"/>
        <v>38520.1875</v>
      </c>
      <c r="Y46" s="9">
        <f t="shared" si="18"/>
        <v>101115.4921875</v>
      </c>
      <c r="Z46" s="10">
        <f t="shared" si="19"/>
        <v>121826</v>
      </c>
      <c r="AA46" s="9">
        <f t="shared" si="23"/>
        <v>255834.6</v>
      </c>
      <c r="AB46" s="56"/>
      <c r="AC46" s="57">
        <f t="shared" si="20"/>
        <v>0</v>
      </c>
      <c r="AD46" s="56"/>
      <c r="AE46" s="58">
        <f t="shared" si="21"/>
        <v>0</v>
      </c>
      <c r="AF46" s="59">
        <v>0</v>
      </c>
      <c r="AG46" s="59">
        <v>0</v>
      </c>
      <c r="AH46" s="59">
        <f t="shared" si="22"/>
        <v>0</v>
      </c>
    </row>
    <row r="47" spans="1:34" s="60" customFormat="1" ht="21.75" customHeight="1">
      <c r="A47" s="36"/>
      <c r="B47" s="1">
        <f t="shared" si="13"/>
        <v>42</v>
      </c>
      <c r="C47" s="64"/>
      <c r="D47" s="11" t="s">
        <v>128</v>
      </c>
      <c r="E47" s="3" t="s">
        <v>129</v>
      </c>
      <c r="F47" s="3" t="s">
        <v>150</v>
      </c>
      <c r="G47" s="12">
        <v>45685</v>
      </c>
      <c r="H47" s="54">
        <v>45747</v>
      </c>
      <c r="I47" s="63" t="s">
        <v>45</v>
      </c>
      <c r="J47" s="13">
        <v>550000</v>
      </c>
      <c r="K47" s="14">
        <v>1060000</v>
      </c>
      <c r="L47" s="3" t="s">
        <v>24</v>
      </c>
      <c r="M47" s="66">
        <f t="shared" si="7"/>
        <v>63</v>
      </c>
      <c r="N47" s="67">
        <f t="shared" si="8"/>
        <v>2.1</v>
      </c>
      <c r="O47" s="68">
        <f t="shared" si="1"/>
        <v>2.625</v>
      </c>
      <c r="P47" s="69">
        <v>0</v>
      </c>
      <c r="Q47" s="4">
        <f t="shared" si="2"/>
        <v>2.625</v>
      </c>
      <c r="R47" s="3">
        <v>4</v>
      </c>
      <c r="S47" s="5">
        <v>139027</v>
      </c>
      <c r="T47" s="6">
        <v>30</v>
      </c>
      <c r="U47" s="7">
        <v>913831</v>
      </c>
      <c r="V47" s="6">
        <v>30</v>
      </c>
      <c r="W47" s="7">
        <v>1063754</v>
      </c>
      <c r="X47" s="8">
        <f t="shared" si="17"/>
        <v>33072.0625</v>
      </c>
      <c r="Y47" s="9">
        <f t="shared" si="18"/>
        <v>86814.1640625</v>
      </c>
      <c r="Z47" s="10">
        <f t="shared" si="19"/>
        <v>108518</v>
      </c>
      <c r="AA47" s="9">
        <f t="shared" si="23"/>
        <v>227887.80000000002</v>
      </c>
      <c r="AB47" s="56"/>
      <c r="AC47" s="57">
        <f t="shared" si="20"/>
        <v>0</v>
      </c>
      <c r="AD47" s="56"/>
      <c r="AE47" s="58">
        <f t="shared" si="21"/>
        <v>0</v>
      </c>
      <c r="AF47" s="59">
        <v>0</v>
      </c>
      <c r="AG47" s="59">
        <v>0</v>
      </c>
      <c r="AH47" s="59">
        <f t="shared" si="22"/>
        <v>0</v>
      </c>
    </row>
    <row r="48" spans="1:34" s="60" customFormat="1" ht="21.75" customHeight="1">
      <c r="A48" s="36"/>
      <c r="B48" s="1">
        <f t="shared" si="13"/>
        <v>43</v>
      </c>
      <c r="C48" s="64"/>
      <c r="D48" s="11" t="s">
        <v>152</v>
      </c>
      <c r="E48" s="3" t="s">
        <v>153</v>
      </c>
      <c r="F48" s="3" t="s">
        <v>174</v>
      </c>
      <c r="G48" s="12">
        <v>45689</v>
      </c>
      <c r="H48" s="54">
        <v>45747</v>
      </c>
      <c r="I48" s="63" t="s">
        <v>44</v>
      </c>
      <c r="J48" s="13">
        <v>1300000</v>
      </c>
      <c r="K48" s="14">
        <v>1850000</v>
      </c>
      <c r="L48" s="3" t="s">
        <v>24</v>
      </c>
      <c r="M48" s="66">
        <f t="shared" si="7"/>
        <v>59</v>
      </c>
      <c r="N48" s="67">
        <f t="shared" si="8"/>
        <v>1.9666666666666666</v>
      </c>
      <c r="O48" s="68">
        <f t="shared" si="1"/>
        <v>2.458333333333333</v>
      </c>
      <c r="P48" s="69">
        <v>0</v>
      </c>
      <c r="Q48" s="4">
        <f t="shared" si="2"/>
        <v>2.458333333333333</v>
      </c>
      <c r="R48" s="3">
        <v>0</v>
      </c>
      <c r="S48" s="5">
        <v>0</v>
      </c>
      <c r="T48" s="6">
        <v>30</v>
      </c>
      <c r="U48" s="7">
        <v>2114243</v>
      </c>
      <c r="V48" s="6">
        <v>30</v>
      </c>
      <c r="W48" s="7">
        <v>2113732</v>
      </c>
      <c r="X48" s="8">
        <f t="shared" si="17"/>
        <v>70466.25</v>
      </c>
      <c r="Y48" s="9">
        <f t="shared" si="18"/>
        <v>173229.53124999997</v>
      </c>
      <c r="Z48" s="10">
        <f t="shared" si="19"/>
        <v>189394</v>
      </c>
      <c r="AA48" s="9">
        <f t="shared" si="23"/>
        <v>372474.86666666664</v>
      </c>
      <c r="AB48" s="56"/>
      <c r="AC48" s="57">
        <f t="shared" si="20"/>
        <v>0</v>
      </c>
      <c r="AD48" s="56"/>
      <c r="AE48" s="58">
        <f t="shared" si="21"/>
        <v>0</v>
      </c>
      <c r="AF48" s="59">
        <v>0</v>
      </c>
      <c r="AG48" s="59">
        <v>0</v>
      </c>
      <c r="AH48" s="59">
        <f t="shared" si="22"/>
        <v>0</v>
      </c>
    </row>
    <row r="49" spans="1:34" s="60" customFormat="1" ht="21.75" customHeight="1">
      <c r="A49" s="36"/>
      <c r="B49" s="1">
        <f t="shared" si="13"/>
        <v>44</v>
      </c>
      <c r="C49" s="64"/>
      <c r="D49" s="11" t="s">
        <v>130</v>
      </c>
      <c r="E49" s="3" t="s">
        <v>131</v>
      </c>
      <c r="F49" s="3" t="s">
        <v>151</v>
      </c>
      <c r="G49" s="12">
        <v>45685</v>
      </c>
      <c r="H49" s="54">
        <v>45747</v>
      </c>
      <c r="I49" s="63" t="s">
        <v>44</v>
      </c>
      <c r="J49" s="13">
        <v>500000</v>
      </c>
      <c r="K49" s="14">
        <v>1190000</v>
      </c>
      <c r="L49" s="3" t="s">
        <v>24</v>
      </c>
      <c r="M49" s="66">
        <f t="shared" si="7"/>
        <v>63</v>
      </c>
      <c r="N49" s="67">
        <f t="shared" si="8"/>
        <v>2.1</v>
      </c>
      <c r="O49" s="68">
        <f t="shared" si="1"/>
        <v>2.625</v>
      </c>
      <c r="P49" s="69">
        <v>0</v>
      </c>
      <c r="Q49" s="4">
        <f t="shared" si="2"/>
        <v>2.625</v>
      </c>
      <c r="R49" s="3">
        <v>4</v>
      </c>
      <c r="S49" s="5">
        <v>154615</v>
      </c>
      <c r="T49" s="6">
        <v>30</v>
      </c>
      <c r="U49" s="7">
        <v>1069092</v>
      </c>
      <c r="V49" s="6">
        <v>30</v>
      </c>
      <c r="W49" s="7">
        <v>1218581</v>
      </c>
      <c r="X49" s="8">
        <f t="shared" si="17"/>
        <v>38160.75</v>
      </c>
      <c r="Y49" s="9">
        <f t="shared" si="18"/>
        <v>100171.96875</v>
      </c>
      <c r="Z49" s="10">
        <f t="shared" si="19"/>
        <v>121826</v>
      </c>
      <c r="AA49" s="9">
        <f>IF(L49="159 N° 4",Z49*N49,0)+IF(L49="161 N° 1",Z49*L31,0)+IF(L49="159 N° 1",Z49*N49,0)+IF(L49="159 N° 5",Z49*N49,0)</f>
        <v>255834.6</v>
      </c>
      <c r="AB49" s="56"/>
      <c r="AC49" s="57">
        <f t="shared" si="20"/>
        <v>0</v>
      </c>
      <c r="AD49" s="56"/>
      <c r="AE49" s="58">
        <f t="shared" si="21"/>
        <v>0</v>
      </c>
      <c r="AF49" s="59">
        <v>0</v>
      </c>
      <c r="AG49" s="59">
        <v>0</v>
      </c>
      <c r="AH49" s="59">
        <f t="shared" si="22"/>
        <v>0</v>
      </c>
    </row>
    <row r="50" spans="1:34" s="60" customFormat="1" ht="21.75" customHeight="1">
      <c r="A50" s="36"/>
      <c r="B50" s="1">
        <f t="shared" si="13"/>
        <v>45</v>
      </c>
      <c r="C50" s="65"/>
      <c r="D50" s="15" t="s">
        <v>154</v>
      </c>
      <c r="E50" s="3" t="s">
        <v>155</v>
      </c>
      <c r="F50" s="3" t="s">
        <v>175</v>
      </c>
      <c r="G50" s="16">
        <v>45691</v>
      </c>
      <c r="H50" s="54">
        <v>45747</v>
      </c>
      <c r="I50" s="63" t="s">
        <v>45</v>
      </c>
      <c r="J50" s="13">
        <v>600000</v>
      </c>
      <c r="K50" s="14">
        <v>1190000</v>
      </c>
      <c r="L50" s="3" t="s">
        <v>24</v>
      </c>
      <c r="M50" s="66">
        <f t="shared" si="7"/>
        <v>57</v>
      </c>
      <c r="N50" s="67">
        <f t="shared" si="8"/>
        <v>1.9</v>
      </c>
      <c r="O50" s="68">
        <f t="shared" si="1"/>
        <v>2.375</v>
      </c>
      <c r="P50" s="69">
        <v>0</v>
      </c>
      <c r="Q50" s="4">
        <f t="shared" si="2"/>
        <v>2.375</v>
      </c>
      <c r="R50" s="3"/>
      <c r="S50" s="5"/>
      <c r="T50" s="6">
        <v>28</v>
      </c>
      <c r="U50" s="7">
        <v>991177</v>
      </c>
      <c r="V50" s="6">
        <v>30</v>
      </c>
      <c r="W50" s="7">
        <v>1229217</v>
      </c>
      <c r="X50" s="8">
        <f t="shared" si="17"/>
        <v>38282.65517241379</v>
      </c>
      <c r="Y50" s="9">
        <f t="shared" si="18"/>
        <v>90921.306034482754</v>
      </c>
      <c r="Z50" s="10">
        <f t="shared" si="19"/>
        <v>121826</v>
      </c>
      <c r="AA50" s="9">
        <f>IF(L50="159 N° 4",Z50*N50,0)+IF(L50="161 N° 1",Z50*#REF!,0)+IF(L50="159 N° 1",Z50*N50,0)+IF(L50="159 N° 5",Z50*N50,0)</f>
        <v>231469.4</v>
      </c>
      <c r="AB50" s="56"/>
      <c r="AC50" s="57">
        <f t="shared" si="20"/>
        <v>0</v>
      </c>
      <c r="AD50" s="56"/>
      <c r="AE50" s="58">
        <f t="shared" si="21"/>
        <v>0</v>
      </c>
      <c r="AF50" s="59">
        <v>0</v>
      </c>
      <c r="AG50" s="59">
        <v>0</v>
      </c>
      <c r="AH50" s="59">
        <f t="shared" si="22"/>
        <v>0</v>
      </c>
    </row>
    <row r="51" spans="1:34" s="60" customFormat="1" ht="21.75" customHeight="1">
      <c r="A51" s="36"/>
      <c r="B51" s="1">
        <f t="shared" si="13"/>
        <v>46</v>
      </c>
      <c r="C51" s="65"/>
      <c r="D51" s="15" t="s">
        <v>156</v>
      </c>
      <c r="E51" s="3" t="s">
        <v>157</v>
      </c>
      <c r="F51" s="3" t="s">
        <v>176</v>
      </c>
      <c r="G51" s="16">
        <v>45691</v>
      </c>
      <c r="H51" s="54">
        <v>45747</v>
      </c>
      <c r="I51" s="63" t="s">
        <v>44</v>
      </c>
      <c r="J51" s="13">
        <v>600000</v>
      </c>
      <c r="K51" s="14">
        <v>1060000</v>
      </c>
      <c r="L51" s="3" t="s">
        <v>24</v>
      </c>
      <c r="M51" s="66">
        <f t="shared" si="7"/>
        <v>57</v>
      </c>
      <c r="N51" s="67">
        <f t="shared" si="8"/>
        <v>1.9</v>
      </c>
      <c r="O51" s="68">
        <f t="shared" si="1"/>
        <v>2.375</v>
      </c>
      <c r="P51" s="69">
        <v>0</v>
      </c>
      <c r="Q51" s="4">
        <f t="shared" si="2"/>
        <v>2.375</v>
      </c>
      <c r="R51" s="3"/>
      <c r="S51" s="5"/>
      <c r="T51" s="6">
        <v>28</v>
      </c>
      <c r="U51" s="7">
        <v>839361</v>
      </c>
      <c r="V51" s="6">
        <v>30</v>
      </c>
      <c r="W51" s="7">
        <v>1063754</v>
      </c>
      <c r="X51" s="8">
        <f t="shared" si="17"/>
        <v>32812.327586206899</v>
      </c>
      <c r="Y51" s="9">
        <f t="shared" si="18"/>
        <v>77929.278017241391</v>
      </c>
      <c r="Z51" s="10">
        <f t="shared" si="19"/>
        <v>108518</v>
      </c>
      <c r="AA51" s="9">
        <f>IF(L51="159 N° 4",Z51*N51,0)+IF(L51="161 N° 1",Z51*#REF!,0)+IF(L51="159 N° 1",Z51*N51,0)+IF(L51="159 N° 5",Z51*N51,0)</f>
        <v>206184.19999999998</v>
      </c>
      <c r="AB51" s="56"/>
      <c r="AC51" s="57">
        <f t="shared" si="20"/>
        <v>0</v>
      </c>
      <c r="AD51" s="56"/>
      <c r="AE51" s="58">
        <f t="shared" si="21"/>
        <v>0</v>
      </c>
      <c r="AF51" s="59">
        <v>0</v>
      </c>
      <c r="AG51" s="59">
        <v>0</v>
      </c>
      <c r="AH51" s="59">
        <f t="shared" si="22"/>
        <v>0</v>
      </c>
    </row>
    <row r="52" spans="1:34" s="60" customFormat="1" ht="21.75" customHeight="1">
      <c r="A52" s="36"/>
      <c r="B52" s="1">
        <f t="shared" si="13"/>
        <v>47</v>
      </c>
      <c r="C52" s="65"/>
      <c r="D52" s="15" t="s">
        <v>158</v>
      </c>
      <c r="E52" s="3" t="s">
        <v>159</v>
      </c>
      <c r="F52" s="3" t="s">
        <v>177</v>
      </c>
      <c r="G52" s="16">
        <v>45693</v>
      </c>
      <c r="H52" s="54">
        <v>45747</v>
      </c>
      <c r="I52" s="63" t="s">
        <v>45</v>
      </c>
      <c r="J52" s="13">
        <v>1200000</v>
      </c>
      <c r="K52" s="14">
        <v>1800000</v>
      </c>
      <c r="L52" s="3" t="s">
        <v>24</v>
      </c>
      <c r="M52" s="66">
        <f t="shared" si="7"/>
        <v>55</v>
      </c>
      <c r="N52" s="67">
        <f t="shared" si="8"/>
        <v>1.8333333333333333</v>
      </c>
      <c r="O52" s="68">
        <f t="shared" si="1"/>
        <v>2.2916666666666665</v>
      </c>
      <c r="P52" s="69">
        <v>0</v>
      </c>
      <c r="Q52" s="4">
        <f t="shared" si="2"/>
        <v>2.2916666666666665</v>
      </c>
      <c r="R52" s="3"/>
      <c r="S52" s="5"/>
      <c r="T52" s="6">
        <v>26</v>
      </c>
      <c r="U52" s="7">
        <v>1744099</v>
      </c>
      <c r="V52" s="6">
        <v>30</v>
      </c>
      <c r="W52" s="7">
        <v>2050149</v>
      </c>
      <c r="X52" s="8">
        <f t="shared" si="17"/>
        <v>67754.428571428565</v>
      </c>
      <c r="Y52" s="9">
        <f t="shared" si="18"/>
        <v>155270.56547619044</v>
      </c>
      <c r="Z52" s="10">
        <f t="shared" si="19"/>
        <v>184275</v>
      </c>
      <c r="AA52" s="9">
        <f>IF(L52="159 N° 4",Z52*N52,0)+IF(L52="161 N° 1",Z52*L32,0)+IF(L52="159 N° 1",Z52*N52,0)+IF(L52="159 N° 5",Z52*N52,0)</f>
        <v>337837.5</v>
      </c>
      <c r="AB52" s="56"/>
      <c r="AC52" s="57">
        <f t="shared" si="20"/>
        <v>0</v>
      </c>
      <c r="AD52" s="56"/>
      <c r="AE52" s="58">
        <f t="shared" si="21"/>
        <v>0</v>
      </c>
      <c r="AF52" s="59">
        <v>0</v>
      </c>
      <c r="AG52" s="59">
        <v>0</v>
      </c>
      <c r="AH52" s="59">
        <f t="shared" si="22"/>
        <v>0</v>
      </c>
    </row>
    <row r="53" spans="1:34" s="60" customFormat="1" ht="21.75" customHeight="1">
      <c r="A53" s="36"/>
      <c r="B53" s="1">
        <f t="shared" si="13"/>
        <v>48</v>
      </c>
      <c r="C53" s="65"/>
      <c r="D53" s="15" t="s">
        <v>160</v>
      </c>
      <c r="E53" s="3" t="s">
        <v>161</v>
      </c>
      <c r="F53" s="3" t="s">
        <v>178</v>
      </c>
      <c r="G53" s="16">
        <v>45699</v>
      </c>
      <c r="H53" s="54">
        <v>45747</v>
      </c>
      <c r="I53" s="63" t="s">
        <v>45</v>
      </c>
      <c r="J53" s="13">
        <v>700000</v>
      </c>
      <c r="K53" s="14">
        <v>1430000</v>
      </c>
      <c r="L53" s="3" t="s">
        <v>24</v>
      </c>
      <c r="M53" s="66">
        <f t="shared" si="7"/>
        <v>49</v>
      </c>
      <c r="N53" s="67">
        <f t="shared" si="8"/>
        <v>1.6333333333333333</v>
      </c>
      <c r="O53" s="68">
        <f t="shared" si="1"/>
        <v>2.0416666666666665</v>
      </c>
      <c r="P53" s="69">
        <v>0</v>
      </c>
      <c r="Q53" s="4">
        <f t="shared" si="2"/>
        <v>2.0416666666666665</v>
      </c>
      <c r="R53" s="3"/>
      <c r="S53" s="5"/>
      <c r="T53" s="6">
        <v>20</v>
      </c>
      <c r="U53" s="7">
        <v>853334</v>
      </c>
      <c r="V53" s="6">
        <v>30</v>
      </c>
      <c r="W53" s="7">
        <v>1535740</v>
      </c>
      <c r="X53" s="8">
        <f t="shared" si="17"/>
        <v>47781.48</v>
      </c>
      <c r="Y53" s="9">
        <f t="shared" si="18"/>
        <v>97553.854999999996</v>
      </c>
      <c r="Z53" s="10">
        <f t="shared" si="19"/>
        <v>146396</v>
      </c>
      <c r="AA53" s="9">
        <f>IF(L53="159 N° 4",Z53*N53,0)+IF(L53="161 N° 1",Z53*L34,0)+IF(L53="159 N° 1",Z53*N53,0)+IF(L53="159 N° 5",Z53*N53,0)</f>
        <v>239113.46666666667</v>
      </c>
      <c r="AB53" s="56"/>
      <c r="AC53" s="57">
        <f t="shared" si="20"/>
        <v>0</v>
      </c>
      <c r="AD53" s="56"/>
      <c r="AE53" s="58">
        <f t="shared" si="21"/>
        <v>0</v>
      </c>
      <c r="AF53" s="59">
        <v>0</v>
      </c>
      <c r="AG53" s="59">
        <v>0</v>
      </c>
      <c r="AH53" s="59">
        <f t="shared" si="22"/>
        <v>0</v>
      </c>
    </row>
    <row r="54" spans="1:34" s="60" customFormat="1" ht="21.75" customHeight="1">
      <c r="A54" s="36"/>
      <c r="B54" s="1">
        <f t="shared" si="13"/>
        <v>49</v>
      </c>
      <c r="C54" s="65"/>
      <c r="D54" s="15" t="s">
        <v>162</v>
      </c>
      <c r="E54" s="3" t="s">
        <v>163</v>
      </c>
      <c r="F54" s="3" t="s">
        <v>179</v>
      </c>
      <c r="G54" s="16">
        <v>45699</v>
      </c>
      <c r="H54" s="54">
        <v>45747</v>
      </c>
      <c r="I54" s="63" t="s">
        <v>45</v>
      </c>
      <c r="J54" s="13">
        <v>600000</v>
      </c>
      <c r="K54" s="14">
        <v>1190000</v>
      </c>
      <c r="L54" s="3" t="s">
        <v>24</v>
      </c>
      <c r="M54" s="66">
        <f t="shared" si="7"/>
        <v>49</v>
      </c>
      <c r="N54" s="67">
        <f t="shared" si="8"/>
        <v>1.6333333333333333</v>
      </c>
      <c r="O54" s="68">
        <f t="shared" si="1"/>
        <v>2.0416666666666665</v>
      </c>
      <c r="P54" s="69">
        <v>0</v>
      </c>
      <c r="Q54" s="4">
        <f t="shared" si="2"/>
        <v>2.0416666666666665</v>
      </c>
      <c r="R54" s="3"/>
      <c r="S54" s="5"/>
      <c r="T54" s="6">
        <v>20</v>
      </c>
      <c r="U54" s="7">
        <v>680154</v>
      </c>
      <c r="V54" s="6">
        <v>30</v>
      </c>
      <c r="W54" s="7">
        <v>1229374</v>
      </c>
      <c r="X54" s="8">
        <f t="shared" si="17"/>
        <v>38190.559999999998</v>
      </c>
      <c r="Y54" s="9">
        <f t="shared" si="18"/>
        <v>77972.393333333326</v>
      </c>
      <c r="Z54" s="10">
        <f t="shared" si="19"/>
        <v>121826</v>
      </c>
      <c r="AA54" s="9">
        <f>IF(L54="159 N° 4",Z54*N54,0)+IF(L54="161 N° 1",Z54*L35,0)+IF(L54="159 N° 1",Z54*N54,0)+IF(L54="159 N° 5",Z54*N54,0)</f>
        <v>198982.46666666667</v>
      </c>
      <c r="AB54" s="56"/>
      <c r="AC54" s="57">
        <f t="shared" si="20"/>
        <v>0</v>
      </c>
      <c r="AD54" s="56"/>
      <c r="AE54" s="58">
        <f t="shared" si="21"/>
        <v>0</v>
      </c>
      <c r="AF54" s="59">
        <v>0</v>
      </c>
      <c r="AG54" s="59">
        <v>0</v>
      </c>
      <c r="AH54" s="59">
        <f t="shared" si="22"/>
        <v>0</v>
      </c>
    </row>
    <row r="55" spans="1:34" s="60" customFormat="1" ht="21.75" customHeight="1">
      <c r="A55" s="36"/>
      <c r="B55" s="1">
        <f t="shared" si="13"/>
        <v>50</v>
      </c>
      <c r="C55" s="65"/>
      <c r="D55" s="15" t="s">
        <v>164</v>
      </c>
      <c r="E55" s="3" t="s">
        <v>165</v>
      </c>
      <c r="F55" s="3" t="s">
        <v>145</v>
      </c>
      <c r="G55" s="16">
        <v>45699</v>
      </c>
      <c r="H55" s="54">
        <v>45747</v>
      </c>
      <c r="I55" s="63" t="s">
        <v>45</v>
      </c>
      <c r="J55" s="13">
        <v>550000</v>
      </c>
      <c r="K55" s="14">
        <v>1060000</v>
      </c>
      <c r="L55" s="3" t="s">
        <v>24</v>
      </c>
      <c r="M55" s="66">
        <f t="shared" si="7"/>
        <v>49</v>
      </c>
      <c r="N55" s="67">
        <f t="shared" si="8"/>
        <v>1.6333333333333333</v>
      </c>
      <c r="O55" s="68">
        <f t="shared" si="1"/>
        <v>2.0416666666666665</v>
      </c>
      <c r="P55" s="69">
        <v>0</v>
      </c>
      <c r="Q55" s="4">
        <f t="shared" si="2"/>
        <v>2.0416666666666665</v>
      </c>
      <c r="R55" s="3"/>
      <c r="S55" s="5"/>
      <c r="T55" s="6">
        <v>20</v>
      </c>
      <c r="U55" s="7">
        <v>588212</v>
      </c>
      <c r="V55" s="6">
        <v>30</v>
      </c>
      <c r="W55" s="7">
        <v>1050770</v>
      </c>
      <c r="X55" s="8">
        <f t="shared" si="17"/>
        <v>32779.64</v>
      </c>
      <c r="Y55" s="9">
        <f t="shared" si="18"/>
        <v>66925.098333333328</v>
      </c>
      <c r="Z55" s="10">
        <f t="shared" si="19"/>
        <v>108518</v>
      </c>
      <c r="AA55" s="9">
        <f>IF(L55="159 N° 4",Z55*N55,0)+IF(L55="161 N° 1",Z55*L36,0)+IF(L55="159 N° 1",Z55*N55,0)+IF(L55="159 N° 5",Z55*N55,0)</f>
        <v>177246.06666666665</v>
      </c>
      <c r="AB55" s="56"/>
      <c r="AC55" s="57">
        <f t="shared" si="20"/>
        <v>0</v>
      </c>
      <c r="AD55" s="56"/>
      <c r="AE55" s="58">
        <f t="shared" si="21"/>
        <v>0</v>
      </c>
      <c r="AF55" s="59">
        <v>0</v>
      </c>
      <c r="AG55" s="59">
        <v>0</v>
      </c>
      <c r="AH55" s="59">
        <f t="shared" si="22"/>
        <v>0</v>
      </c>
    </row>
    <row r="56" spans="1:34" s="60" customFormat="1" ht="21.75" customHeight="1">
      <c r="A56" s="36"/>
      <c r="B56" s="1">
        <f t="shared" si="13"/>
        <v>51</v>
      </c>
      <c r="C56" s="65"/>
      <c r="D56" s="15" t="s">
        <v>166</v>
      </c>
      <c r="E56" s="3" t="s">
        <v>167</v>
      </c>
      <c r="F56" s="3" t="s">
        <v>180</v>
      </c>
      <c r="G56" s="16">
        <v>45699</v>
      </c>
      <c r="H56" s="54">
        <v>45747</v>
      </c>
      <c r="I56" s="63" t="s">
        <v>45</v>
      </c>
      <c r="J56" s="13">
        <v>900000</v>
      </c>
      <c r="K56" s="14">
        <v>1750000</v>
      </c>
      <c r="L56" s="3" t="s">
        <v>24</v>
      </c>
      <c r="M56" s="66">
        <f t="shared" si="7"/>
        <v>49</v>
      </c>
      <c r="N56" s="67">
        <f t="shared" si="8"/>
        <v>1.6333333333333333</v>
      </c>
      <c r="O56" s="68">
        <f t="shared" si="1"/>
        <v>2.0416666666666665</v>
      </c>
      <c r="P56" s="69">
        <v>0</v>
      </c>
      <c r="Q56" s="4">
        <f t="shared" si="2"/>
        <v>2.0416666666666665</v>
      </c>
      <c r="R56" s="3"/>
      <c r="S56" s="5"/>
      <c r="T56" s="6">
        <v>20</v>
      </c>
      <c r="U56" s="7">
        <v>1113787</v>
      </c>
      <c r="V56" s="6">
        <v>30</v>
      </c>
      <c r="W56" s="7">
        <v>1944439</v>
      </c>
      <c r="X56" s="8">
        <f t="shared" si="17"/>
        <v>61164.52</v>
      </c>
      <c r="Y56" s="9">
        <f t="shared" si="18"/>
        <v>124877.56166666665</v>
      </c>
      <c r="Z56" s="10">
        <f t="shared" si="19"/>
        <v>179156</v>
      </c>
      <c r="AA56" s="9">
        <f>IF(L56="159 N° 4",Z56*N56,0)+IF(L56="161 N° 1",Z56*L37,0)+IF(L56="159 N° 1",Z56*N56,0)+IF(L56="159 N° 5",Z56*N56,0)</f>
        <v>292621.46666666667</v>
      </c>
      <c r="AB56" s="56"/>
      <c r="AC56" s="57">
        <f t="shared" si="20"/>
        <v>0</v>
      </c>
      <c r="AD56" s="56"/>
      <c r="AE56" s="58">
        <f t="shared" si="21"/>
        <v>0</v>
      </c>
      <c r="AF56" s="59">
        <v>0</v>
      </c>
      <c r="AG56" s="59">
        <v>0</v>
      </c>
      <c r="AH56" s="59">
        <f t="shared" si="22"/>
        <v>0</v>
      </c>
    </row>
    <row r="57" spans="1:34" s="60" customFormat="1" ht="21.75" customHeight="1">
      <c r="A57" s="36"/>
      <c r="B57" s="1">
        <f t="shared" si="13"/>
        <v>52</v>
      </c>
      <c r="C57" s="65"/>
      <c r="D57" s="15" t="s">
        <v>168</v>
      </c>
      <c r="E57" s="3" t="s">
        <v>169</v>
      </c>
      <c r="F57" s="3" t="s">
        <v>180</v>
      </c>
      <c r="G57" s="16">
        <v>45699</v>
      </c>
      <c r="H57" s="54">
        <v>45747</v>
      </c>
      <c r="I57" s="63" t="s">
        <v>45</v>
      </c>
      <c r="J57" s="13">
        <v>900000</v>
      </c>
      <c r="K57" s="14">
        <v>1750000</v>
      </c>
      <c r="L57" s="3" t="s">
        <v>24</v>
      </c>
      <c r="M57" s="66">
        <f t="shared" si="7"/>
        <v>49</v>
      </c>
      <c r="N57" s="67">
        <f t="shared" si="8"/>
        <v>1.6333333333333333</v>
      </c>
      <c r="O57" s="68">
        <f t="shared" si="1"/>
        <v>2.0416666666666665</v>
      </c>
      <c r="P57" s="69">
        <v>0</v>
      </c>
      <c r="Q57" s="4">
        <f t="shared" si="2"/>
        <v>2.0416666666666665</v>
      </c>
      <c r="R57" s="3"/>
      <c r="S57" s="5"/>
      <c r="T57" s="6">
        <v>20</v>
      </c>
      <c r="U57" s="7">
        <v>1113787</v>
      </c>
      <c r="V57" s="6">
        <v>30</v>
      </c>
      <c r="W57" s="7">
        <v>1944439</v>
      </c>
      <c r="X57" s="8">
        <f t="shared" si="17"/>
        <v>61164.52</v>
      </c>
      <c r="Y57" s="9">
        <f t="shared" si="18"/>
        <v>124877.56166666665</v>
      </c>
      <c r="Z57" s="10">
        <f t="shared" si="19"/>
        <v>179156</v>
      </c>
      <c r="AA57" s="9">
        <f>IF(L57="159 N° 4",Z57*N57,0)+IF(L57="161 N° 1",Z57*L38,0)+IF(L57="159 N° 1",Z57*N57,0)+IF(L57="159 N° 5",Z57*N57,0)</f>
        <v>292621.46666666667</v>
      </c>
      <c r="AB57" s="56"/>
      <c r="AC57" s="57">
        <f t="shared" si="20"/>
        <v>0</v>
      </c>
      <c r="AD57" s="56"/>
      <c r="AE57" s="58">
        <f t="shared" si="21"/>
        <v>0</v>
      </c>
      <c r="AF57" s="59">
        <v>0</v>
      </c>
      <c r="AG57" s="59">
        <v>0</v>
      </c>
      <c r="AH57" s="59">
        <f t="shared" si="22"/>
        <v>0</v>
      </c>
    </row>
    <row r="58" spans="1:34" s="60" customFormat="1" ht="21.75" customHeight="1">
      <c r="A58" s="36"/>
      <c r="B58" s="1">
        <f t="shared" si="13"/>
        <v>53</v>
      </c>
      <c r="C58" s="2"/>
      <c r="D58" s="53" t="s">
        <v>170</v>
      </c>
      <c r="E58" s="3" t="s">
        <v>171</v>
      </c>
      <c r="F58" s="3" t="s">
        <v>180</v>
      </c>
      <c r="G58" s="54">
        <v>45699</v>
      </c>
      <c r="H58" s="54">
        <v>45747</v>
      </c>
      <c r="I58" s="3" t="s">
        <v>45</v>
      </c>
      <c r="J58" s="3">
        <v>900000</v>
      </c>
      <c r="K58" s="3">
        <v>1750000</v>
      </c>
      <c r="L58" s="3" t="s">
        <v>24</v>
      </c>
      <c r="M58" s="66">
        <f t="shared" ref="M58:M60" si="24">+H58-G58+1</f>
        <v>49</v>
      </c>
      <c r="N58" s="67">
        <f t="shared" si="8"/>
        <v>1.6333333333333333</v>
      </c>
      <c r="O58" s="68">
        <f t="shared" si="1"/>
        <v>2.0416666666666665</v>
      </c>
      <c r="P58" s="69">
        <v>0</v>
      </c>
      <c r="Q58" s="4">
        <f t="shared" si="2"/>
        <v>2.0416666666666665</v>
      </c>
      <c r="R58" s="3"/>
      <c r="S58" s="5"/>
      <c r="T58" s="6">
        <v>20</v>
      </c>
      <c r="U58" s="7">
        <v>1113787</v>
      </c>
      <c r="V58" s="6">
        <v>30</v>
      </c>
      <c r="W58" s="7">
        <v>1944439</v>
      </c>
      <c r="X58" s="8">
        <f t="shared" si="17"/>
        <v>61164.52</v>
      </c>
      <c r="Y58" s="9">
        <f t="shared" si="18"/>
        <v>124877.56166666665</v>
      </c>
      <c r="Z58" s="10">
        <f t="shared" si="19"/>
        <v>179156</v>
      </c>
      <c r="AA58" s="9">
        <f>IF(L58="159 N° 4",Z58*N58,0)+IF(L58="161 N° 1",Z58*#REF!,0)+IF(L58="159 N° 1",Z58*N58,0)+IF(L58="159 N° 5",Z58*N58,0)</f>
        <v>292621.46666666667</v>
      </c>
      <c r="AB58" s="56"/>
      <c r="AC58" s="57">
        <f t="shared" si="20"/>
        <v>0</v>
      </c>
      <c r="AD58" s="56"/>
      <c r="AE58" s="58">
        <f t="shared" si="21"/>
        <v>0</v>
      </c>
      <c r="AF58" s="59">
        <v>0</v>
      </c>
      <c r="AG58" s="59">
        <v>0</v>
      </c>
      <c r="AH58" s="59">
        <f t="shared" si="22"/>
        <v>0</v>
      </c>
    </row>
    <row r="59" spans="1:34" s="60" customFormat="1" ht="21.75" customHeight="1">
      <c r="A59" s="36"/>
      <c r="B59" s="1">
        <f t="shared" si="13"/>
        <v>54</v>
      </c>
      <c r="C59" s="2"/>
      <c r="D59" s="53" t="s">
        <v>172</v>
      </c>
      <c r="E59" s="3" t="s">
        <v>173</v>
      </c>
      <c r="F59" s="3" t="s">
        <v>180</v>
      </c>
      <c r="G59" s="54">
        <v>45699</v>
      </c>
      <c r="H59" s="54">
        <v>45747</v>
      </c>
      <c r="I59" s="3" t="s">
        <v>45</v>
      </c>
      <c r="J59" s="3">
        <v>900000</v>
      </c>
      <c r="K59" s="3">
        <v>1750000</v>
      </c>
      <c r="L59" s="3" t="s">
        <v>24</v>
      </c>
      <c r="M59" s="66">
        <f t="shared" si="24"/>
        <v>49</v>
      </c>
      <c r="N59" s="67">
        <f t="shared" si="8"/>
        <v>1.6333333333333333</v>
      </c>
      <c r="O59" s="68">
        <f t="shared" si="1"/>
        <v>2.0416666666666665</v>
      </c>
      <c r="P59" s="69">
        <v>0</v>
      </c>
      <c r="Q59" s="4">
        <f t="shared" si="2"/>
        <v>2.0416666666666665</v>
      </c>
      <c r="R59" s="3"/>
      <c r="S59" s="5"/>
      <c r="T59" s="6">
        <v>20</v>
      </c>
      <c r="U59" s="7">
        <v>1111049</v>
      </c>
      <c r="V59" s="6">
        <v>30</v>
      </c>
      <c r="W59" s="7">
        <v>1940285</v>
      </c>
      <c r="X59" s="8">
        <f t="shared" si="17"/>
        <v>61026.68</v>
      </c>
      <c r="Y59" s="9">
        <f t="shared" si="18"/>
        <v>124596.13833333332</v>
      </c>
      <c r="Z59" s="10">
        <f t="shared" si="19"/>
        <v>179156</v>
      </c>
      <c r="AA59" s="9">
        <f>IF(L59="159 N° 4",Z59*N59,0)+IF(L59="161 N° 1",Z59*L39,0)+IF(L59="159 N° 1",Z59*N59,0)+IF(L59="159 N° 5",Z59*N59,0)</f>
        <v>292621.46666666667</v>
      </c>
      <c r="AB59" s="56"/>
      <c r="AC59" s="57">
        <f t="shared" si="20"/>
        <v>0</v>
      </c>
      <c r="AD59" s="56"/>
      <c r="AE59" s="58">
        <f t="shared" si="21"/>
        <v>0</v>
      </c>
      <c r="AF59" s="59">
        <v>0</v>
      </c>
      <c r="AG59" s="59">
        <v>0</v>
      </c>
      <c r="AH59" s="59">
        <f t="shared" si="22"/>
        <v>0</v>
      </c>
    </row>
    <row r="60" spans="1:34" s="60" customFormat="1" ht="21.75" customHeight="1">
      <c r="A60" s="36"/>
      <c r="B60" s="1">
        <f t="shared" si="13"/>
        <v>55</v>
      </c>
      <c r="C60" s="2"/>
      <c r="D60" s="53" t="s">
        <v>184</v>
      </c>
      <c r="E60" s="3" t="s">
        <v>185</v>
      </c>
      <c r="F60" s="3" t="s">
        <v>186</v>
      </c>
      <c r="G60" s="54">
        <v>45735</v>
      </c>
      <c r="H60" s="54">
        <v>45747</v>
      </c>
      <c r="I60" s="3" t="s">
        <v>44</v>
      </c>
      <c r="J60" s="3">
        <v>700000</v>
      </c>
      <c r="K60" s="3">
        <v>1430000</v>
      </c>
      <c r="L60" s="3" t="s">
        <v>24</v>
      </c>
      <c r="M60" s="66">
        <f t="shared" si="24"/>
        <v>13</v>
      </c>
      <c r="N60" s="67">
        <f t="shared" si="8"/>
        <v>0.43333333333333335</v>
      </c>
      <c r="O60" s="68">
        <f t="shared" si="1"/>
        <v>0.54166666666666674</v>
      </c>
      <c r="P60" s="69">
        <v>0</v>
      </c>
      <c r="Q60" s="4">
        <f t="shared" si="2"/>
        <v>0.54166666666666674</v>
      </c>
      <c r="R60" s="3">
        <v>0</v>
      </c>
      <c r="S60" s="5">
        <v>0</v>
      </c>
      <c r="T60" s="6">
        <v>0</v>
      </c>
      <c r="U60" s="7">
        <v>0</v>
      </c>
      <c r="V60" s="6">
        <v>13</v>
      </c>
      <c r="W60" s="7">
        <v>631796</v>
      </c>
      <c r="X60" s="8">
        <f t="shared" si="17"/>
        <v>48599.692307692305</v>
      </c>
      <c r="Y60" s="9">
        <f t="shared" si="18"/>
        <v>26324.833333333336</v>
      </c>
      <c r="Z60" s="10">
        <f t="shared" si="19"/>
        <v>146396</v>
      </c>
      <c r="AA60" s="9">
        <f>IF(L60="159 N° 4",Z60*N60,0)+IF(L60="161 N° 1",Z60*L40,0)+IF(L60="159 N° 1",Z60*N60,0)+IF(L60="159 N° 5",Z60*N60,0)</f>
        <v>63438.26666666667</v>
      </c>
      <c r="AB60" s="56"/>
      <c r="AC60" s="57">
        <f t="shared" si="20"/>
        <v>0</v>
      </c>
      <c r="AD60" s="56"/>
      <c r="AE60" s="58">
        <f t="shared" si="21"/>
        <v>0</v>
      </c>
      <c r="AF60" s="59">
        <v>0</v>
      </c>
      <c r="AG60" s="59">
        <v>0</v>
      </c>
      <c r="AH60" s="59">
        <f t="shared" si="22"/>
        <v>0</v>
      </c>
    </row>
    <row r="61" spans="1:34" s="60" customFormat="1" ht="21.75" customHeight="1">
      <c r="A61" s="36"/>
      <c r="B61" s="1"/>
      <c r="C61" s="2"/>
      <c r="D61" s="53"/>
      <c r="E61" s="3"/>
      <c r="F61" s="3"/>
      <c r="G61" s="54"/>
      <c r="H61" s="54"/>
      <c r="I61" s="3"/>
      <c r="J61" s="3"/>
      <c r="K61" s="3"/>
      <c r="L61" s="3"/>
      <c r="M61" s="66"/>
      <c r="N61" s="67"/>
      <c r="O61" s="68"/>
      <c r="P61" s="55"/>
      <c r="Q61" s="4"/>
      <c r="R61" s="3"/>
      <c r="S61" s="5"/>
      <c r="T61" s="3"/>
      <c r="U61" s="3"/>
      <c r="V61" s="6"/>
      <c r="W61" s="7"/>
      <c r="X61" s="8"/>
      <c r="Y61" s="9"/>
      <c r="Z61" s="10"/>
      <c r="AA61" s="9"/>
      <c r="AB61" s="56"/>
      <c r="AC61" s="57"/>
      <c r="AD61" s="56"/>
      <c r="AE61" s="58"/>
      <c r="AF61" s="59"/>
      <c r="AG61" s="59"/>
      <c r="AH61" s="59"/>
    </row>
    <row r="62" spans="1:34" s="60" customFormat="1" ht="21.75" customHeight="1">
      <c r="A62" s="36"/>
      <c r="B62" s="1"/>
      <c r="C62" s="2"/>
      <c r="D62" s="53"/>
      <c r="E62" s="3"/>
      <c r="F62" s="3"/>
      <c r="G62" s="54"/>
      <c r="H62" s="54"/>
      <c r="I62" s="3"/>
      <c r="J62" s="3"/>
      <c r="K62" s="3"/>
      <c r="L62" s="3"/>
      <c r="M62" s="66"/>
      <c r="N62" s="67"/>
      <c r="O62" s="68"/>
      <c r="P62" s="55"/>
      <c r="Q62" s="4"/>
      <c r="R62" s="3"/>
      <c r="S62" s="5"/>
      <c r="T62" s="3"/>
      <c r="U62" s="3"/>
      <c r="V62" s="6"/>
      <c r="W62" s="7"/>
      <c r="X62" s="8"/>
      <c r="Y62" s="9"/>
      <c r="Z62" s="10"/>
      <c r="AA62" s="9"/>
      <c r="AB62" s="56"/>
      <c r="AC62" s="57"/>
      <c r="AD62" s="56"/>
      <c r="AE62" s="58"/>
      <c r="AF62" s="59"/>
      <c r="AG62" s="59"/>
      <c r="AH62" s="59"/>
    </row>
    <row r="63" spans="1:34" s="60" customFormat="1" ht="21.75" customHeight="1">
      <c r="A63" s="36"/>
      <c r="B63" s="1"/>
      <c r="C63" s="2"/>
      <c r="D63" s="53"/>
      <c r="E63" s="3"/>
      <c r="F63" s="3"/>
      <c r="G63" s="54"/>
      <c r="H63" s="54"/>
      <c r="I63" s="3"/>
      <c r="J63" s="3"/>
      <c r="K63" s="3"/>
      <c r="L63" s="3"/>
      <c r="M63" s="66"/>
      <c r="N63" s="67"/>
      <c r="O63" s="68"/>
      <c r="P63" s="55"/>
      <c r="Q63" s="4"/>
      <c r="R63" s="3"/>
      <c r="S63" s="5"/>
      <c r="T63" s="3"/>
      <c r="U63" s="3"/>
      <c r="V63" s="6"/>
      <c r="W63" s="7"/>
      <c r="X63" s="8"/>
      <c r="Y63" s="9"/>
      <c r="Z63" s="10"/>
      <c r="AA63" s="9"/>
      <c r="AB63" s="56"/>
      <c r="AC63" s="57"/>
      <c r="AD63" s="56"/>
      <c r="AE63" s="58"/>
      <c r="AF63" s="59"/>
      <c r="AG63" s="59"/>
      <c r="AH63" s="59"/>
    </row>
    <row r="64" spans="1:34" s="60" customFormat="1" ht="21.75" customHeight="1">
      <c r="A64" s="36"/>
      <c r="B64" s="1"/>
      <c r="C64" s="2"/>
      <c r="D64" s="53"/>
      <c r="E64" s="3"/>
      <c r="F64" s="3"/>
      <c r="G64" s="54"/>
      <c r="H64" s="54"/>
      <c r="I64" s="3"/>
      <c r="J64" s="3"/>
      <c r="K64" s="3"/>
      <c r="L64" s="3"/>
      <c r="M64" s="66"/>
      <c r="N64" s="67"/>
      <c r="O64" s="68"/>
      <c r="P64" s="55"/>
      <c r="Q64" s="4"/>
      <c r="R64" s="3"/>
      <c r="S64" s="5"/>
      <c r="T64" s="3"/>
      <c r="U64" s="3"/>
      <c r="V64" s="6"/>
      <c r="W64" s="7"/>
      <c r="X64" s="8"/>
      <c r="Y64" s="9"/>
      <c r="Z64" s="10"/>
      <c r="AA64" s="9"/>
      <c r="AB64" s="56"/>
      <c r="AC64" s="57"/>
      <c r="AD64" s="56"/>
      <c r="AE64" s="58"/>
      <c r="AF64" s="59"/>
      <c r="AG64" s="59"/>
      <c r="AH64" s="59"/>
    </row>
    <row r="65" spans="1:34" s="60" customFormat="1" ht="21.75" customHeight="1">
      <c r="A65" s="36"/>
      <c r="B65" s="1"/>
      <c r="C65" s="2"/>
      <c r="D65" s="53"/>
      <c r="E65" s="3"/>
      <c r="F65" s="3"/>
      <c r="G65" s="54"/>
      <c r="H65" s="54"/>
      <c r="I65" s="3"/>
      <c r="J65" s="3"/>
      <c r="K65" s="3"/>
      <c r="L65" s="3"/>
      <c r="M65" s="66"/>
      <c r="N65" s="67"/>
      <c r="O65" s="68"/>
      <c r="P65" s="55"/>
      <c r="Q65" s="4"/>
      <c r="R65" s="3"/>
      <c r="S65" s="5"/>
      <c r="T65" s="3"/>
      <c r="U65" s="3"/>
      <c r="V65" s="6"/>
      <c r="W65" s="7"/>
      <c r="X65" s="8"/>
      <c r="Y65" s="9"/>
      <c r="Z65" s="10"/>
      <c r="AA65" s="9"/>
      <c r="AB65" s="56"/>
      <c r="AC65" s="57"/>
      <c r="AD65" s="56"/>
      <c r="AE65" s="58"/>
      <c r="AF65" s="59"/>
      <c r="AG65" s="59"/>
      <c r="AH65" s="59"/>
    </row>
    <row r="66" spans="1:34" s="60" customFormat="1" ht="21.75" customHeight="1">
      <c r="A66" s="36"/>
      <c r="B66" s="1"/>
      <c r="C66" s="2"/>
      <c r="D66" s="53"/>
      <c r="E66" s="3"/>
      <c r="F66" s="3"/>
      <c r="G66" s="54"/>
      <c r="H66" s="54"/>
      <c r="I66" s="3"/>
      <c r="J66" s="3"/>
      <c r="K66" s="3"/>
      <c r="L66" s="3"/>
      <c r="M66" s="66"/>
      <c r="N66" s="67"/>
      <c r="O66" s="68"/>
      <c r="P66" s="55"/>
      <c r="Q66" s="4"/>
      <c r="R66" s="3"/>
      <c r="S66" s="5"/>
      <c r="T66" s="3"/>
      <c r="U66" s="3"/>
      <c r="V66" s="6"/>
      <c r="W66" s="7"/>
      <c r="X66" s="8"/>
      <c r="Y66" s="9"/>
      <c r="Z66" s="10"/>
      <c r="AA66" s="9"/>
      <c r="AB66" s="56"/>
      <c r="AC66" s="57"/>
      <c r="AD66" s="56"/>
      <c r="AE66" s="58"/>
      <c r="AF66" s="59"/>
      <c r="AG66" s="59"/>
      <c r="AH66" s="59"/>
    </row>
    <row r="67" spans="1:34" s="60" customFormat="1" ht="21.75" customHeight="1">
      <c r="A67" s="36"/>
      <c r="B67" s="1"/>
      <c r="C67" s="2"/>
      <c r="D67" s="53"/>
      <c r="E67" s="3"/>
      <c r="F67" s="3"/>
      <c r="G67" s="54"/>
      <c r="H67" s="54"/>
      <c r="I67" s="3"/>
      <c r="J67" s="3"/>
      <c r="K67" s="3"/>
      <c r="L67" s="3"/>
      <c r="M67" s="66"/>
      <c r="N67" s="67"/>
      <c r="O67" s="68"/>
      <c r="P67" s="55"/>
      <c r="Q67" s="4"/>
      <c r="R67" s="3"/>
      <c r="S67" s="5"/>
      <c r="T67" s="3"/>
      <c r="U67" s="3"/>
      <c r="V67" s="6"/>
      <c r="W67" s="7"/>
      <c r="X67" s="8"/>
      <c r="Y67" s="9"/>
      <c r="Z67" s="10"/>
      <c r="AA67" s="9"/>
      <c r="AB67" s="56"/>
      <c r="AC67" s="57"/>
      <c r="AD67" s="56"/>
      <c r="AE67" s="58"/>
      <c r="AF67" s="59"/>
      <c r="AG67" s="59"/>
      <c r="AH67" s="59"/>
    </row>
    <row r="68" spans="1:34" s="60" customFormat="1" ht="21.75" customHeight="1">
      <c r="A68" s="36"/>
      <c r="B68" s="1"/>
      <c r="C68" s="2"/>
      <c r="D68" s="53"/>
      <c r="E68" s="3"/>
      <c r="F68" s="3"/>
      <c r="G68" s="54"/>
      <c r="H68" s="54"/>
      <c r="I68" s="3"/>
      <c r="J68" s="3"/>
      <c r="K68" s="3"/>
      <c r="L68" s="3"/>
      <c r="M68" s="66"/>
      <c r="N68" s="67"/>
      <c r="O68" s="68"/>
      <c r="P68" s="55"/>
      <c r="Q68" s="4"/>
      <c r="R68" s="3"/>
      <c r="S68" s="5"/>
      <c r="T68" s="3"/>
      <c r="U68" s="3"/>
      <c r="V68" s="6"/>
      <c r="W68" s="7"/>
      <c r="X68" s="8"/>
      <c r="Y68" s="9"/>
      <c r="Z68" s="10"/>
      <c r="AA68" s="9"/>
      <c r="AB68" s="56"/>
      <c r="AC68" s="57"/>
      <c r="AD68" s="56"/>
      <c r="AE68" s="58"/>
      <c r="AF68" s="59"/>
      <c r="AG68" s="59"/>
      <c r="AH68" s="59"/>
    </row>
    <row r="69" spans="1:34" s="60" customFormat="1" ht="21.75" customHeight="1">
      <c r="A69" s="36"/>
      <c r="B69" s="1"/>
      <c r="C69" s="2"/>
      <c r="D69" s="53"/>
      <c r="E69" s="3"/>
      <c r="F69" s="3"/>
      <c r="G69" s="54"/>
      <c r="H69" s="54"/>
      <c r="I69" s="3"/>
      <c r="J69" s="3"/>
      <c r="K69" s="3"/>
      <c r="L69" s="3"/>
      <c r="M69" s="66"/>
      <c r="N69" s="67"/>
      <c r="O69" s="68"/>
      <c r="P69" s="55"/>
      <c r="Q69" s="4"/>
      <c r="R69" s="3"/>
      <c r="S69" s="5"/>
      <c r="T69" s="3"/>
      <c r="U69" s="3"/>
      <c r="V69" s="6"/>
      <c r="W69" s="7"/>
      <c r="X69" s="8"/>
      <c r="Y69" s="9"/>
      <c r="Z69" s="10"/>
      <c r="AA69" s="9"/>
      <c r="AB69" s="56"/>
      <c r="AC69" s="57"/>
      <c r="AD69" s="56"/>
      <c r="AE69" s="58"/>
      <c r="AF69" s="59"/>
      <c r="AG69" s="59"/>
      <c r="AH69" s="59"/>
    </row>
    <row r="70" spans="1:34" s="60" customFormat="1" ht="21.75" customHeight="1">
      <c r="A70" s="36"/>
      <c r="B70" s="1"/>
      <c r="C70" s="2"/>
      <c r="D70" s="53"/>
      <c r="E70" s="3"/>
      <c r="F70" s="3"/>
      <c r="G70" s="54"/>
      <c r="H70" s="54"/>
      <c r="I70" s="3"/>
      <c r="J70" s="3"/>
      <c r="K70" s="3"/>
      <c r="L70" s="3"/>
      <c r="M70" s="66"/>
      <c r="N70" s="67"/>
      <c r="O70" s="68"/>
      <c r="P70" s="55"/>
      <c r="Q70" s="4"/>
      <c r="R70" s="3"/>
      <c r="S70" s="5"/>
      <c r="T70" s="3"/>
      <c r="U70" s="3"/>
      <c r="V70" s="6"/>
      <c r="W70" s="7"/>
      <c r="X70" s="8"/>
      <c r="Y70" s="9"/>
      <c r="Z70" s="10"/>
      <c r="AA70" s="9"/>
      <c r="AB70" s="56"/>
      <c r="AC70" s="57"/>
      <c r="AD70" s="56"/>
      <c r="AE70" s="58"/>
      <c r="AF70" s="59"/>
      <c r="AG70" s="59"/>
      <c r="AH70" s="59"/>
    </row>
    <row r="71" spans="1:34">
      <c r="C71" s="21"/>
      <c r="D71" s="21"/>
      <c r="E71" s="21"/>
      <c r="F71" s="21"/>
      <c r="G71" s="21"/>
      <c r="I71" s="21"/>
      <c r="J71" s="21"/>
      <c r="K71" s="21"/>
      <c r="L71" s="21"/>
      <c r="Q71" s="4">
        <f t="shared" ref="Q71" si="25">+O71+P71-AH71</f>
        <v>0</v>
      </c>
      <c r="R71" s="3"/>
      <c r="V71" s="6"/>
    </row>
    <row r="72" spans="1:34"/>
  </sheetData>
  <autoFilter ref="A5:AO1045754" xr:uid="{1AA39AFD-B96B-4DAA-8413-7BB388651533}">
    <filterColumn colId="29" showButton="0"/>
  </autoFilter>
  <mergeCells count="7">
    <mergeCell ref="AD5:AE5"/>
    <mergeCell ref="F2:M2"/>
    <mergeCell ref="F3:J3"/>
    <mergeCell ref="R4:S4"/>
    <mergeCell ref="T4:U4"/>
    <mergeCell ref="V4:W4"/>
    <mergeCell ref="AD4:AE4"/>
  </mergeCells>
  <conditionalFormatting sqref="C1:C5 C58:C1048576">
    <cfRule type="duplicateValues" dxfId="3" priority="730"/>
  </conditionalFormatting>
  <conditionalFormatting sqref="D6:D57">
    <cfRule type="duplicateValues" dxfId="2" priority="728" stopIfTrue="1"/>
    <cfRule type="duplicateValues" dxfId="1" priority="729"/>
  </conditionalFormatting>
  <conditionalFormatting sqref="M5:M70 N6:N70">
    <cfRule type="cellIs" dxfId="0" priority="282" operator="lessThan">
      <formula>30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0C76-A84B-42DB-B61A-F45F0655B3DC}">
  <dimension ref="A1"/>
  <sheetViews>
    <sheetView workbookViewId="0">
      <selection activeCell="J17" sqref="J17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Provisión</vt:lpstr>
      <vt:lpstr>HOJA DE CALCULO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Avila C.</dc:creator>
  <cp:keywords/>
  <dc:description/>
  <cp:lastModifiedBy>Angel Tapia B.</cp:lastModifiedBy>
  <cp:revision/>
  <dcterms:created xsi:type="dcterms:W3CDTF">2024-11-06T20:04:17Z</dcterms:created>
  <dcterms:modified xsi:type="dcterms:W3CDTF">2026-04-06T21:44:22Z</dcterms:modified>
  <cp:category/>
  <cp:contentStatus/>
</cp:coreProperties>
</file>
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"/>
    </mc:Choice>
  </mc:AlternateContent>
  <xr:revisionPtr revIDLastSave="0" documentId="13_ncr:1_{7E91D855-2B42-4971-8800-4A15B20B128A}" xr6:coauthVersionLast="47" xr6:coauthVersionMax="47" xr10:uidLastSave="{00000000-0000-0000-0000-000000000000}"/>
  <bookViews>
    <workbookView xWindow="28680" yWindow="855" windowWidth="29040" windowHeight="15720" tabRatio="820" xr2:uid="{00000000-000D-0000-FFFF-FFFF00000000}"/>
  </bookViews>
  <sheets>
    <sheet name="ING VS FACT" sheetId="26" r:id="rId1"/>
    <sheet name="Hoja1" sheetId="27" state="hidden" r:id="rId2"/>
  </sheets>
  <externalReferences>
    <externalReference r:id="rId3"/>
  </externalReferences>
  <definedNames>
    <definedName name="_xlnm.Print_Area">#REF!</definedName>
    <definedName name="_xlnm.Database">#REF!</definedName>
    <definedName name="BQ">#REF!</definedName>
    <definedName name="CANT">#REF!</definedName>
    <definedName name="EF">#REF!</definedName>
    <definedName name="EFA">#REF!</definedName>
    <definedName name="ES">#REF!</definedName>
    <definedName name="ESA">#REF!</definedName>
    <definedName name="fechainforme">'[1]STATUS DP'!$V$4</definedName>
    <definedName name="fi">'[1]STATUS DP'!$V$4</definedName>
    <definedName name="pepe">#REF!</definedName>
    <definedName name="Preciototal">#REF!</definedName>
    <definedName name="RES">#REF!</definedName>
    <definedName name="RID">#REF!</definedName>
    <definedName name="RUT">#REF!</definedName>
    <definedName name="TITLE">#REF!</definedName>
    <definedName name="UF">#REF!</definedName>
    <definedName name="UNI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26" l="1"/>
  <c r="H4" i="26" l="1"/>
  <c r="I4" i="26" s="1"/>
  <c r="H6" i="26" l="1"/>
  <c r="E6" i="26" l="1"/>
  <c r="E7" i="26"/>
  <c r="E8" i="26"/>
  <c r="E9" i="26"/>
  <c r="E5" i="26"/>
  <c r="H7" i="26"/>
  <c r="I7" i="26" s="1"/>
  <c r="H8" i="26"/>
  <c r="I8" i="26" s="1"/>
  <c r="H9" i="26"/>
  <c r="I9" i="26" s="1"/>
  <c r="H5" i="26" l="1"/>
  <c r="I5" i="26" s="1"/>
  <c r="I6" i="26"/>
  <c r="H14" i="27" l="1"/>
  <c r="G19" i="27" l="1"/>
  <c r="E14" i="27" l="1"/>
  <c r="E15" i="27"/>
  <c r="E16" i="27"/>
  <c r="E17" i="27" l="1"/>
  <c r="G16" i="27"/>
  <c r="G15" i="27"/>
  <c r="G14" i="27"/>
  <c r="G17" i="27" l="1"/>
  <c r="F16" i="27"/>
  <c r="F15" i="27"/>
  <c r="F14" i="27"/>
  <c r="D16" i="27"/>
  <c r="D15" i="27"/>
  <c r="D14" i="27"/>
  <c r="D17" i="27" s="1"/>
  <c r="F17" i="27" l="1"/>
  <c r="E4" i="26"/>
  <c r="G18" i="27" l="1"/>
  <c r="H3" i="26" l="1"/>
  <c r="E3" i="26"/>
  <c r="I3" i="26" l="1"/>
  <c r="H2" i="26" l="1"/>
  <c r="I2" i="26" s="1"/>
</calcChain>
</file>

<file path=xl/sharedStrings.xml><?xml version="1.0" encoding="utf-8"?>
<sst xmlns="http://schemas.openxmlformats.org/spreadsheetml/2006/main" count="41" uniqueCount="40">
  <si>
    <t>INSTALACION FAENA</t>
  </si>
  <si>
    <t xml:space="preserve">PRESUPUESTO </t>
  </si>
  <si>
    <t>PRESUPUESTO MODIFICADO</t>
  </si>
  <si>
    <t>INGRESO INF. COSTO</t>
  </si>
  <si>
    <t>COSTO INDIRECTO</t>
  </si>
  <si>
    <t>TOTAL PRESENTADO A FACTURAR</t>
  </si>
  <si>
    <t>DIFERENCIA</t>
  </si>
  <si>
    <t>% AVANCE</t>
  </si>
  <si>
    <t>FACTURADO INGRESO</t>
  </si>
  <si>
    <t>OBSERVACION</t>
  </si>
  <si>
    <t>BONO MANDANTE</t>
  </si>
  <si>
    <t xml:space="preserve">COSTO DIRECTO </t>
  </si>
  <si>
    <t>ADICIONALES APROBADOS</t>
  </si>
  <si>
    <t>ADICIONALES REVISION</t>
  </si>
  <si>
    <t xml:space="preserve">DESCUENTO </t>
  </si>
  <si>
    <t>A - MANO DE OBRA DIRECTA</t>
  </si>
  <si>
    <t>B - MATERIALES</t>
  </si>
  <si>
    <t>C - COSTO PROPORCIONAL HH</t>
  </si>
  <si>
    <t>D - EQUIPOS Y COMBUSTIBLES</t>
  </si>
  <si>
    <t>E - SUBCONTRATOS</t>
  </si>
  <si>
    <t>F - MANO DE OBRA INDIRECTA</t>
  </si>
  <si>
    <t>G - EQUIPOS INDIRECTOS</t>
  </si>
  <si>
    <t>H - INSTALACIÓN DE FAENAS</t>
  </si>
  <si>
    <t>I - GASTOS GENERALES</t>
  </si>
  <si>
    <t>J - GASTOS FINANCIEROS - SEGUROS Y BOLETAS</t>
  </si>
  <si>
    <t>K - OFICINA CENTRAL - IMPREVISTOS - UTILIDADES</t>
  </si>
  <si>
    <t>MOD</t>
  </si>
  <si>
    <t>MOI</t>
  </si>
  <si>
    <t>IIFF</t>
  </si>
  <si>
    <t>PROD</t>
  </si>
  <si>
    <t>COSTO</t>
  </si>
  <si>
    <t>POO</t>
  </si>
  <si>
    <t>POM</t>
  </si>
  <si>
    <t>ADD</t>
  </si>
  <si>
    <t>REAJUSTE POR CAMBIO UF</t>
  </si>
  <si>
    <t>RESULTADO TOTAL PROD</t>
  </si>
  <si>
    <t>total adi acumulado informe</t>
  </si>
  <si>
    <t>REVSION avance add</t>
  </si>
  <si>
    <t>EDP N° 14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</si>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</sst>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1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&quot;$&quot;\ #,##0;[Red]\-&quot;$&quot;\ #,##0"/>
    <numFmt numFmtId="165" formatCode="_-&quot;$&quot;\ * #,##0_-;\-&quot;$&quot;\ * #,##0_-;_-&quot;$&quot;\ * &quot;-&quot;_-;_-@_-"/>
    <numFmt numFmtId="166" formatCode="_-* #,##0_-;\-* #,##0_-;_-* &quot;-&quot;_-;_-@_-"/>
    <numFmt numFmtId="167" formatCode="_-&quot;$&quot;\ * #,##0.00_-;\-&quot;$&quot;\ * #,##0.00_-;_-&quot;$&quot;\ * &quot;-&quot;??_-;_-@_-"/>
    <numFmt numFmtId="168" formatCode="_-* #,##0.00_-;\-* #,##0.00_-;_-* &quot;-&quot;??_-;_-@_-"/>
    <numFmt numFmtId="169" formatCode="&quot;$&quot;#,##0;\-&quot;$&quot;#,##0"/>
    <numFmt numFmtId="170" formatCode="&quot;$&quot;#,##0;[Red]\-&quot;$&quot;#,##0"/>
    <numFmt numFmtId="171" formatCode="&quot;$&quot;#,##0.00;\-&quot;$&quot;#,##0.00"/>
    <numFmt numFmtId="172" formatCode="&quot;$&quot;#,##0.00;[Red]\-&quot;$&quot;#,##0.00"/>
    <numFmt numFmtId="173" formatCode="_-&quot;$&quot;* #,##0_-;\-&quot;$&quot;* #,##0_-;_-&quot;$&quot;* &quot;-&quot;_-;_-@_-"/>
    <numFmt numFmtId="174" formatCode="_-&quot;$&quot;* #,##0.00_-;\-&quot;$&quot;* #,##0.00_-;_-&quot;$&quot;* &quot;-&quot;??_-;_-@_-"/>
    <numFmt numFmtId="175" formatCode="0.0"/>
    <numFmt numFmtId="176" formatCode="#,##0.0"/>
    <numFmt numFmtId="177" formatCode="_-* #,##0.00\ [$€]_-;\-* #,##0.00\ [$€]_-;_-* &quot;-&quot;??\ [$€]_-;_-@_-"/>
    <numFmt numFmtId="178" formatCode="_-[$€-2]\ * #,##0.00_-;\-[$€-2]\ * #,##0.00_-;_-[$€-2]\ * &quot;-&quot;??_-"/>
    <numFmt numFmtId="179" formatCode="#,##0[$€];[Red]\-#,##0[$€]"/>
    <numFmt numFmtId="180" formatCode="_-* #,##0.00\ _€_-;\-* #,##0.00\ _€_-;_-* &quot;-&quot;??\ _€_-;_-@_-"/>
    <numFmt numFmtId="181" formatCode="_-* #,##0.00\ _P_t_s_-;\-* #,##0.00\ _P_t_s_-;_-* &quot;-&quot;??\ _P_t_s_-;_-@_-"/>
    <numFmt numFmtId="182" formatCode="_ &quot;$&quot;\ * #,##0.00_ ;_ &quot;$&quot;\ * \-#,##0.00_ ;_ &quot;$&quot;\ * &quot;-&quot;??_ ;_ @_ "/>
    <numFmt numFmtId="183" formatCode="#,##0&quot; Pts&quot;;[Red]\-#,##0&quot; Pts&quot;"/>
    <numFmt numFmtId="184" formatCode="_-* #,##0.00\ &quot;€&quot;_-;\-* #,##0.00\ &quot;€&quot;_-;_-* &quot;-&quot;??\ &quot;€&quot;_-;_-@_-"/>
    <numFmt numFmtId="185" formatCode="#,##0\ [$USD]"/>
    <numFmt numFmtId="186" formatCode="&quot;Pts&quot;\ #,##0;[Red]\-&quot;Pts&quot;\ #,##0"/>
    <numFmt numFmtId="187" formatCode="#.##000"/>
    <numFmt numFmtId="188" formatCode="#,"/>
    <numFmt numFmtId="189" formatCode="_-* #,##0.00\ _p_t_a_-;\-* #,##0.00\ _p_t_a_-;_-* &quot;-&quot;??\ _p_t_a_-;_-@_-"/>
    <numFmt numFmtId="190" formatCode="0.0%"/>
    <numFmt numFmtId="191" formatCode="0.00000000000"/>
    <numFmt numFmtId="192" formatCode="General_)"/>
    <numFmt numFmtId="193" formatCode="0.000;\(0.000\);0.000"/>
    <numFmt numFmtId="194" formatCode="&quot;Ch$&quot;#,##0.00_);\(&quot;Ch$&quot;#,##0.00\)"/>
    <numFmt numFmtId="195" formatCode="&quot;Ch$&quot;#,##0_);\(&quot;Ch$&quot;#,##0\)"/>
    <numFmt numFmtId="196" formatCode="&quot;$&quot;#,##0.00_);[Red]\(&quot;$&quot;#,##0.00\)"/>
    <numFmt numFmtId="197" formatCode="&quot;$&quot;#,##0_);[Red]\(&quot;$&quot;#,##0\)"/>
    <numFmt numFmtId="198" formatCode="_-* #,##0_-;\-* #,##0_-;_-* &quot;-&quot;??_-;_-@_-"/>
    <numFmt numFmtId="199" formatCode="0.000"/>
    <numFmt numFmtId="200" formatCode="#,##0.0000_);[Red]\(#,##0.0000\)"/>
    <numFmt numFmtId="201" formatCode="#,##0.00000_);[Red]\(#,##0.00000\)"/>
    <numFmt numFmtId="202" formatCode="#,##0.000000_);[Red]\(#,##0.000000\)"/>
    <numFmt numFmtId="203" formatCode="#,##0.0000000_);[Red]\(#,##0.0000000"/>
    <numFmt numFmtId="204" formatCode="#,##0.00_)&quot;Cents/lb&quot;;\-&quot;$&quot;#,##0.00"/>
    <numFmt numFmtId="205" formatCode="0_);\(0\)"/>
    <numFmt numFmtId="206" formatCode="\$#,##0.00_);\(\$#,##0.00\)"/>
    <numFmt numFmtId="207" formatCode="&quot;$&quot;#,##0.000_);\(&quot;$&quot;#,##0.000\)"/>
    <numFmt numFmtId="208" formatCode="&quot;$&quot;#,##0\ ;\(&quot;$&quot;#,##0\)"/>
    <numFmt numFmtId="209" formatCode="&quot;$&quot;\ #.##&quot;/KWh&quot;"/>
    <numFmt numFmtId="210" formatCode="&quot;$&quot;#,##0.00_)&quot;/lb&quot;;\-&quot;$&quot;#,##0.00"/>
    <numFmt numFmtId="211" formatCode="&quot;$&quot;#,##0.0000_)&quot;/lb&quot;;\(&quot;$&quot;#,##0.0000\)"/>
    <numFmt numFmtId="212" formatCode="&quot;$&quot;#,##0.000_)&quot;/m3&quot;;\(&quot;$&quot;#,##0.00\)"/>
    <numFmt numFmtId="213" formatCode="&quot;$&quot;\ #.##&quot;/MWh&quot;"/>
    <numFmt numFmtId="214" formatCode="&quot;$&quot;#,##0.00_)&quot;/t&quot;;\-&quot;$&quot;#,##0"/>
    <numFmt numFmtId="215" formatCode="&quot;$&quot;#,##0_)&quot; /year&quot;;[Red]\(#,##0\)"/>
    <numFmt numFmtId="216" formatCode="_-* #,##0\ _$_-;\-* #,##0\ _$_-;_-* &quot;-&quot;\ _$_-;_-@_-"/>
    <numFmt numFmtId="217" formatCode="d\-mmmm\-yyyy"/>
    <numFmt numFmtId="218" formatCode="\$#,#00"/>
    <numFmt numFmtId="219" formatCode="&quot;$&quot;#,#00"/>
    <numFmt numFmtId="220" formatCode="_-* #,##0\ &quot;Pts&quot;_-;\-* #,##0\ &quot;Pts&quot;_-;_-* &quot;-&quot;\ &quot;Pts&quot;_-;_-@_-"/>
    <numFmt numFmtId="221" formatCode="#0&quot; months&quot;"/>
    <numFmt numFmtId="222" formatCode="0."/>
    <numFmt numFmtId="223" formatCode="0%\ &quot;Grade A&quot;"/>
    <numFmt numFmtId="224" formatCode="0.0000%"/>
    <numFmt numFmtId="225" formatCode="m/d/yy\ h:mm:ss"/>
    <numFmt numFmtId="226" formatCode="####\-####\-####"/>
    <numFmt numFmtId="227" formatCode="#,##0.0_);\(#,##0.0\)"/>
    <numFmt numFmtId="228" formatCode="0\ &quot;weeks&quot;"/>
    <numFmt numFmtId="229" formatCode="yyyy"/>
    <numFmt numFmtId="230" formatCode="0.0\ &quot;yrs&quot;"/>
    <numFmt numFmtId="231" formatCode="[$-10C0A]#,##0;\-#,##0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Helv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indexed="9"/>
      <name val="Calibri"/>
      <family val="2"/>
    </font>
    <font>
      <sz val="10"/>
      <color indexed="9"/>
      <name val="Calibri"/>
      <family val="2"/>
    </font>
    <font>
      <sz val="11"/>
      <color indexed="20"/>
      <name val="Calibri"/>
      <family val="2"/>
    </font>
    <font>
      <sz val="10"/>
      <color indexed="17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b/>
      <sz val="11"/>
      <color indexed="9"/>
      <name val="Calibri"/>
      <family val="2"/>
    </font>
    <font>
      <sz val="10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11"/>
      <color indexed="12"/>
      <name val="Arial"/>
      <family val="2"/>
    </font>
    <font>
      <sz val="10"/>
      <color indexed="20"/>
      <name val="Calibri"/>
      <family val="2"/>
    </font>
    <font>
      <sz val="10"/>
      <color indexed="60"/>
      <name val="Calibri"/>
      <family val="2"/>
    </font>
    <font>
      <sz val="11"/>
      <color indexed="60"/>
      <name val="Calibri"/>
      <family val="2"/>
    </font>
    <font>
      <sz val="10"/>
      <name val="Geneva"/>
    </font>
    <font>
      <b/>
      <sz val="11"/>
      <color indexed="63"/>
      <name val="Calibri"/>
      <family val="2"/>
    </font>
    <font>
      <b/>
      <sz val="10"/>
      <color indexed="63"/>
      <name val="Calibri"/>
      <family val="2"/>
    </font>
    <font>
      <sz val="10"/>
      <color indexed="10"/>
      <name val="Calibri"/>
      <family val="2"/>
    </font>
    <font>
      <sz val="11"/>
      <color indexed="10"/>
      <name val="Calibri"/>
      <family val="2"/>
    </font>
    <font>
      <i/>
      <sz val="10"/>
      <color indexed="2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11"/>
      <color theme="1"/>
      <name val="Calibri"/>
      <family val="3"/>
      <charset val="129"/>
      <scheme val="minor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4"/>
      <name val="Arial"/>
      <family val="2"/>
    </font>
    <font>
      <sz val="6"/>
      <name val="Arial"/>
      <family val="2"/>
    </font>
    <font>
      <sz val="6"/>
      <name val="Times New Roman"/>
      <family val="1"/>
    </font>
    <font>
      <sz val="12"/>
      <name val="Times New Roman"/>
      <family val="1"/>
    </font>
    <font>
      <sz val="5"/>
      <name val="Times New Roman"/>
      <family val="1"/>
    </font>
    <font>
      <sz val="10"/>
      <name val="Times New Roman"/>
      <family val="1"/>
    </font>
    <font>
      <sz val="9"/>
      <color indexed="9"/>
      <name val="Helv"/>
    </font>
    <font>
      <sz val="8"/>
      <name val="Comic Sans MS"/>
      <family val="4"/>
    </font>
    <font>
      <sz val="10"/>
      <name val="Helv"/>
    </font>
    <font>
      <sz val="11"/>
      <name val="ＭＳ Ｐゴシック"/>
      <family val="3"/>
      <charset val="128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color indexed="56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1"/>
      <color indexed="26"/>
      <name val="Calibri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color indexed="11"/>
      <name val="Courier New"/>
      <family val="3"/>
    </font>
    <font>
      <b/>
      <sz val="11"/>
      <color indexed="26"/>
      <name val="Calibri"/>
      <family val="2"/>
    </font>
    <font>
      <b/>
      <sz val="10"/>
      <color indexed="24"/>
      <name val="Arial"/>
      <family val="2"/>
    </font>
    <font>
      <sz val="10"/>
      <name val="Courier New"/>
      <family val="3"/>
    </font>
    <font>
      <sz val="10"/>
      <name val="Geneva"/>
      <family val="2"/>
    </font>
    <font>
      <b/>
      <i/>
      <sz val="11"/>
      <name val="Penguin-Light-Normal"/>
    </font>
    <font>
      <sz val="11"/>
      <color indexed="9"/>
      <name val="Arial"/>
      <family val="2"/>
    </font>
    <font>
      <sz val="18"/>
      <name val="Times New Roman"/>
      <family val="1"/>
    </font>
    <font>
      <sz val="8"/>
      <name val="Times New Roman"/>
      <family val="1"/>
    </font>
    <font>
      <i/>
      <sz val="12"/>
      <name val="Times New Roman"/>
      <family val="1"/>
    </font>
    <font>
      <sz val="18"/>
      <name val="Arial"/>
      <family val="2"/>
    </font>
    <font>
      <i/>
      <sz val="12"/>
      <name val="Arial"/>
      <family val="2"/>
    </font>
    <font>
      <sz val="7"/>
      <name val="Arial Narrow"/>
      <family val="2"/>
    </font>
    <font>
      <i/>
      <sz val="8"/>
      <name val="Penguin-Light-Normal"/>
    </font>
    <font>
      <sz val="18"/>
      <color indexed="24"/>
      <name val="Arial"/>
      <family val="2"/>
    </font>
    <font>
      <sz val="8"/>
      <color indexed="24"/>
      <name val="Arial"/>
      <family val="2"/>
    </font>
    <font>
      <b/>
      <sz val="11"/>
      <color indexed="62"/>
      <name val="Calibri"/>
      <family val="2"/>
    </font>
    <font>
      <sz val="10"/>
      <color indexed="9"/>
      <name val="MS Sans Serif"/>
      <family val="2"/>
    </font>
    <font>
      <u/>
      <sz val="8"/>
      <color indexed="36"/>
      <name val="Arial"/>
      <family val="2"/>
    </font>
    <font>
      <b/>
      <sz val="7"/>
      <name val="Arial"/>
      <family val="2"/>
    </font>
    <font>
      <b/>
      <i/>
      <sz val="12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sz val="8"/>
      <name val="Arial"/>
      <family val="2"/>
    </font>
    <font>
      <b/>
      <sz val="10"/>
      <name val="Helv"/>
    </font>
    <font>
      <i/>
      <sz val="10"/>
      <name val="Helv"/>
    </font>
    <font>
      <sz val="12"/>
      <color indexed="24"/>
      <name val="Arial"/>
      <family val="2"/>
    </font>
    <font>
      <b/>
      <sz val="12"/>
      <name val="Times New Roman"/>
      <family val="1"/>
    </font>
    <font>
      <b/>
      <sz val="12"/>
      <name val="MS Sans Serif"/>
      <family val="2"/>
    </font>
    <font>
      <b/>
      <i/>
      <sz val="14"/>
      <name val="Arial"/>
      <family val="2"/>
    </font>
    <font>
      <b/>
      <sz val="18"/>
      <color indexed="62"/>
      <name val="Cambria"/>
      <family val="2"/>
    </font>
    <font>
      <b/>
      <i/>
      <sz val="12"/>
      <name val="Arial"/>
      <family val="2"/>
    </font>
    <font>
      <sz val="12"/>
      <name val="Courier New"/>
      <family val="3"/>
    </font>
    <font>
      <b/>
      <sz val="10"/>
      <color rgb="FF000000"/>
      <name val="Arial Narrow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/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BECECD"/>
        <bgColor rgb="FFBECEC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30">
    <xf numFmtId="0" fontId="0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0" fillId="0" borderId="0"/>
    <xf numFmtId="177" fontId="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6" borderId="0" applyNumberFormat="0" applyBorder="0" applyAlignment="0" applyProtection="0"/>
    <xf numFmtId="0" fontId="11" fillId="6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12" borderId="0" applyNumberFormat="0" applyBorder="0" applyAlignment="0" applyProtection="0"/>
    <xf numFmtId="0" fontId="11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3" borderId="0" applyNumberFormat="0" applyBorder="0" applyAlignment="0" applyProtection="0"/>
    <xf numFmtId="0" fontId="13" fillId="13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3" fillId="11" borderId="0" applyNumberFormat="0" applyBorder="0" applyAlignment="0" applyProtection="0"/>
    <xf numFmtId="0" fontId="14" fillId="14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21" borderId="2" applyNumberFormat="0" applyAlignment="0" applyProtection="0"/>
    <xf numFmtId="0" fontId="19" fillId="21" borderId="2" applyNumberFormat="0" applyAlignment="0" applyProtection="0"/>
    <xf numFmtId="0" fontId="18" fillId="21" borderId="2" applyNumberFormat="0" applyAlignment="0" applyProtection="0"/>
    <xf numFmtId="0" fontId="20" fillId="22" borderId="3" applyNumberFormat="0" applyAlignment="0" applyProtection="0"/>
    <xf numFmtId="0" fontId="21" fillId="22" borderId="3" applyNumberFormat="0" applyAlignment="0" applyProtection="0"/>
    <xf numFmtId="0" fontId="22" fillId="0" borderId="4" applyNumberFormat="0" applyFill="0" applyAlignment="0" applyProtection="0"/>
    <xf numFmtId="0" fontId="23" fillId="0" borderId="4" applyNumberFormat="0" applyFill="0" applyAlignment="0" applyProtection="0"/>
    <xf numFmtId="0" fontId="21" fillId="22" borderId="3" applyNumberFormat="0" applyAlignment="0" applyProtection="0"/>
    <xf numFmtId="0" fontId="24" fillId="0" borderId="0" applyNumberFormat="0" applyFill="0" applyBorder="0" applyAlignment="0" applyProtection="0"/>
    <xf numFmtId="0" fontId="14" fillId="17" borderId="0" applyNumberFormat="0" applyBorder="0" applyAlignment="0" applyProtection="0"/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4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3" fillId="15" borderId="0" applyNumberFormat="0" applyBorder="0" applyAlignment="0" applyProtection="0"/>
    <xf numFmtId="0" fontId="14" fillId="20" borderId="0" applyNumberFormat="0" applyBorder="0" applyAlignment="0" applyProtection="0"/>
    <xf numFmtId="0" fontId="13" fillId="20" borderId="0" applyNumberFormat="0" applyBorder="0" applyAlignment="0" applyProtection="0"/>
    <xf numFmtId="0" fontId="25" fillId="8" borderId="2" applyNumberFormat="0" applyAlignment="0" applyProtection="0"/>
    <xf numFmtId="0" fontId="26" fillId="8" borderId="2" applyNumberFormat="0" applyAlignment="0" applyProtection="0"/>
    <xf numFmtId="0" fontId="27" fillId="0" borderId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30" fillId="0" borderId="5" applyNumberFormat="0" applyFill="0" applyAlignment="0" applyProtection="0"/>
    <xf numFmtId="0" fontId="31" fillId="0" borderId="6" applyNumberFormat="0" applyFill="0" applyAlignment="0" applyProtection="0"/>
    <xf numFmtId="0" fontId="24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26" fillId="8" borderId="2" applyNumberFormat="0" applyAlignment="0" applyProtection="0"/>
    <xf numFmtId="0" fontId="23" fillId="0" borderId="4" applyNumberFormat="0" applyFill="0" applyAlignment="0" applyProtection="0"/>
    <xf numFmtId="180" fontId="7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7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80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80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28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0" fontId="28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67" fontId="7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28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34" fillId="23" borderId="0" applyNumberFormat="0" applyBorder="0" applyAlignment="0" applyProtection="0"/>
    <xf numFmtId="0" fontId="35" fillId="23" borderId="0" applyNumberFormat="0" applyBorder="0" applyAlignment="0" applyProtection="0"/>
    <xf numFmtId="0" fontId="34" fillId="23" borderId="0" applyNumberFormat="0" applyBorder="0" applyAlignment="0" applyProtection="0"/>
    <xf numFmtId="0" fontId="9" fillId="0" borderId="0" applyNumberFormat="0" applyFill="0" applyBorder="0" applyAlignment="0" applyProtection="0"/>
    <xf numFmtId="0" fontId="11" fillId="0" borderId="0"/>
    <xf numFmtId="185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36" fillId="0" borderId="0"/>
    <xf numFmtId="0" fontId="1" fillId="0" borderId="0"/>
    <xf numFmtId="0" fontId="1" fillId="0" borderId="0"/>
    <xf numFmtId="185" fontId="1" fillId="0" borderId="0"/>
    <xf numFmtId="185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185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5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185" fontId="1" fillId="0" borderId="0"/>
    <xf numFmtId="0" fontId="1" fillId="0" borderId="0"/>
    <xf numFmtId="0" fontId="1" fillId="0" borderId="0"/>
    <xf numFmtId="0" fontId="1" fillId="0" borderId="0"/>
    <xf numFmtId="185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185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36" fillId="0" borderId="0"/>
    <xf numFmtId="0" fontId="1" fillId="0" borderId="0" applyNumberFormat="0" applyFon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7" fillId="0" borderId="0"/>
    <xf numFmtId="0" fontId="7" fillId="0" borderId="0"/>
    <xf numFmtId="185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185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18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7" fillId="0" borderId="0"/>
    <xf numFmtId="0" fontId="1" fillId="0" borderId="0"/>
    <xf numFmtId="0" fontId="1" fillId="0" borderId="0"/>
    <xf numFmtId="0" fontId="1" fillId="0" borderId="0"/>
    <xf numFmtId="0" fontId="1" fillId="24" borderId="8" applyNumberFormat="0" applyFont="0" applyAlignment="0" applyProtection="0"/>
    <xf numFmtId="185" fontId="11" fillId="2" borderId="1" applyNumberFormat="0" applyFont="0" applyAlignment="0" applyProtection="0"/>
    <xf numFmtId="185" fontId="11" fillId="2" borderId="1" applyNumberFormat="0" applyFont="0" applyAlignment="0" applyProtection="0"/>
    <xf numFmtId="0" fontId="1" fillId="24" borderId="8" applyNumberFormat="0" applyFont="0" applyAlignment="0" applyProtection="0"/>
    <xf numFmtId="0" fontId="11" fillId="24" borderId="8" applyNumberFormat="0" applyFont="0" applyAlignment="0" applyProtection="0"/>
    <xf numFmtId="0" fontId="37" fillId="21" borderId="9" applyNumberFormat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8" fillId="21" borderId="9" applyNumberFormat="0" applyAlignment="0" applyProtection="0"/>
    <xf numFmtId="0" fontId="37" fillId="21" borderId="9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31" fillId="0" borderId="6" applyNumberFormat="0" applyFill="0" applyAlignment="0" applyProtection="0"/>
    <xf numFmtId="0" fontId="24" fillId="0" borderId="7" applyNumberFormat="0" applyFill="0" applyAlignment="0" applyProtection="0"/>
    <xf numFmtId="0" fontId="42" fillId="0" borderId="0" applyNumberFormat="0" applyFill="0" applyBorder="0" applyAlignment="0" applyProtection="0"/>
    <xf numFmtId="0" fontId="43" fillId="0" borderId="10" applyNumberFormat="0" applyFill="0" applyAlignment="0" applyProtection="0"/>
    <xf numFmtId="0" fontId="44" fillId="0" borderId="10" applyNumberFormat="0" applyFill="0" applyAlignment="0" applyProtection="0"/>
    <xf numFmtId="0" fontId="43" fillId="0" borderId="10" applyNumberFormat="0" applyFill="0" applyAlignment="0" applyProtection="0"/>
    <xf numFmtId="0" fontId="40" fillId="0" borderId="0" applyNumberFormat="0" applyFill="0" applyBorder="0" applyAlignment="0" applyProtection="0"/>
    <xf numFmtId="41" fontId="45" fillId="0" borderId="0" applyFont="0" applyFill="0" applyBorder="0" applyAlignment="0" applyProtection="0"/>
    <xf numFmtId="166" fontId="46" fillId="0" borderId="0" applyFont="0" applyFill="0" applyBorder="0" applyAlignment="0" applyProtection="0"/>
    <xf numFmtId="185" fontId="47" fillId="0" borderId="0">
      <alignment vertical="center"/>
    </xf>
    <xf numFmtId="185" fontId="48" fillId="0" borderId="0">
      <alignment vertical="center"/>
    </xf>
    <xf numFmtId="185" fontId="45" fillId="0" borderId="0"/>
    <xf numFmtId="0" fontId="49" fillId="25" borderId="0" applyNumberFormat="0" applyFont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38" fontId="28" fillId="0" borderId="0" applyFont="0" applyFill="0" applyBorder="0" applyAlignment="0" applyProtection="0"/>
    <xf numFmtId="3" fontId="1" fillId="0" borderId="0" applyFill="0" applyBorder="0" applyAlignment="0" applyProtection="0"/>
    <xf numFmtId="186" fontId="2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52" fillId="0" borderId="0">
      <protection locked="0"/>
    </xf>
    <xf numFmtId="188" fontId="53" fillId="0" borderId="0">
      <protection locked="0"/>
    </xf>
    <xf numFmtId="188" fontId="53" fillId="0" borderId="0">
      <protection locked="0"/>
    </xf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ill="0" applyBorder="0" applyAlignment="0" applyProtection="0"/>
    <xf numFmtId="3" fontId="54" fillId="0" borderId="0" applyFill="0" applyBorder="0" applyAlignment="0" applyProtection="0"/>
    <xf numFmtId="3" fontId="55" fillId="0" borderId="0" applyFill="0" applyBorder="0" applyAlignment="0" applyProtection="0"/>
    <xf numFmtId="3" fontId="56" fillId="0" borderId="0" applyFill="0" applyBorder="0" applyAlignment="0" applyProtection="0"/>
    <xf numFmtId="3" fontId="56" fillId="0" borderId="0" applyFill="0" applyBorder="0" applyAlignment="0" applyProtection="0"/>
    <xf numFmtId="3" fontId="57" fillId="0" borderId="0" applyFill="0" applyBorder="0" applyAlignment="0" applyProtection="0"/>
    <xf numFmtId="3" fontId="58" fillId="0" borderId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187" fontId="52" fillId="0" borderId="0">
      <protection locked="0"/>
    </xf>
    <xf numFmtId="2" fontId="1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40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28" fillId="0" borderId="0" applyFont="0" applyFill="0" applyBorder="0" applyAlignment="0" applyProtection="0"/>
    <xf numFmtId="18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90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89" fontId="1" fillId="0" borderId="0" applyFont="0" applyFill="0" applyBorder="0" applyAlignment="0" applyProtection="0"/>
    <xf numFmtId="192" fontId="60" fillId="0" borderId="0" applyFont="0" applyProtection="0">
      <protection hidden="1"/>
    </xf>
    <xf numFmtId="182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7" fillId="0" borderId="0"/>
    <xf numFmtId="0" fontId="1" fillId="0" borderId="0"/>
    <xf numFmtId="185" fontId="1" fillId="0" borderId="0"/>
    <xf numFmtId="0" fontId="1" fillId="0" borderId="0" applyBorder="0"/>
    <xf numFmtId="0" fontId="1" fillId="0" borderId="0"/>
    <xf numFmtId="0" fontId="1" fillId="0" borderId="0" applyBorder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18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6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1" fillId="0" borderId="0"/>
    <xf numFmtId="0" fontId="1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>
      <alignment wrapText="1"/>
    </xf>
    <xf numFmtId="0" fontId="1" fillId="24" borderId="8" applyNumberFormat="0" applyFont="0" applyAlignment="0" applyProtection="0"/>
    <xf numFmtId="0" fontId="62" fillId="0" borderId="0"/>
    <xf numFmtId="10" fontId="1" fillId="0" borderId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1" fillId="0" borderId="0" applyFill="0" applyBorder="0" applyAlignment="0" applyProtection="0"/>
    <xf numFmtId="3" fontId="1" fillId="0" borderId="0" applyFont="0" applyFill="0" applyBorder="0" applyAlignment="0" applyProtection="0"/>
    <xf numFmtId="0" fontId="1" fillId="0" borderId="11" applyNumberFormat="0" applyFont="0" applyFill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63" fillId="0" borderId="0"/>
    <xf numFmtId="196" fontId="63" fillId="0" borderId="0" applyFont="0" applyFill="0" applyBorder="0" applyAlignment="0" applyProtection="0"/>
    <xf numFmtId="197" fontId="63" fillId="0" borderId="0" applyFont="0" applyFill="0" applyBorder="0" applyAlignment="0" applyProtection="0"/>
    <xf numFmtId="16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5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4" fontId="67" fillId="0" borderId="0" applyFont="0" applyFill="0" applyBorder="0" applyAlignment="0" applyProtection="0"/>
    <xf numFmtId="0" fontId="69" fillId="0" borderId="18"/>
    <xf numFmtId="0" fontId="62" fillId="0" borderId="0"/>
    <xf numFmtId="0" fontId="1" fillId="0" borderId="0"/>
    <xf numFmtId="0" fontId="11" fillId="26" borderId="0" applyNumberFormat="0" applyBorder="0" applyAlignment="0" applyProtection="0"/>
    <xf numFmtId="0" fontId="11" fillId="8" borderId="0" applyNumberFormat="0" applyBorder="0" applyAlignment="0" applyProtection="0"/>
    <xf numFmtId="0" fontId="11" fillId="24" borderId="0" applyNumberFormat="0" applyBorder="0" applyAlignment="0" applyProtection="0"/>
    <xf numFmtId="0" fontId="11" fillId="26" borderId="0" applyNumberFormat="0" applyBorder="0" applyAlignment="0" applyProtection="0"/>
    <xf numFmtId="0" fontId="11" fillId="21" borderId="0" applyNumberFormat="0" applyBorder="0" applyAlignment="0" applyProtection="0"/>
    <xf numFmtId="0" fontId="11" fillId="23" borderId="0" applyNumberFormat="0" applyBorder="0" applyAlignment="0" applyProtection="0"/>
    <xf numFmtId="0" fontId="11" fillId="21" borderId="0" applyNumberFormat="0" applyBorder="0" applyAlignment="0" applyProtection="0"/>
    <xf numFmtId="0" fontId="11" fillId="8" borderId="0" applyNumberFormat="0" applyBorder="0" applyAlignment="0" applyProtection="0"/>
    <xf numFmtId="0" fontId="75" fillId="15" borderId="0" applyNumberFormat="0" applyBorder="0" applyAlignment="0" applyProtection="0"/>
    <xf numFmtId="0" fontId="75" fillId="10" borderId="0" applyNumberFormat="0" applyBorder="0" applyAlignment="0" applyProtection="0"/>
    <xf numFmtId="0" fontId="75" fillId="23" borderId="0" applyNumberFormat="0" applyBorder="0" applyAlignment="0" applyProtection="0"/>
    <xf numFmtId="0" fontId="75" fillId="21" borderId="0" applyNumberFormat="0" applyBorder="0" applyAlignment="0" applyProtection="0"/>
    <xf numFmtId="0" fontId="75" fillId="15" borderId="0" applyNumberFormat="0" applyBorder="0" applyAlignment="0" applyProtection="0"/>
    <xf numFmtId="0" fontId="75" fillId="8" borderId="0" applyNumberFormat="0" applyBorder="0" applyAlignment="0" applyProtection="0"/>
    <xf numFmtId="37" fontId="67" fillId="0" borderId="12" applyFont="0" applyBorder="0" applyAlignment="0">
      <alignment horizontal="centerContinuous"/>
    </xf>
    <xf numFmtId="0" fontId="6" fillId="0" borderId="0" applyNumberFormat="0" applyFill="0" applyProtection="0">
      <alignment horizontal="left"/>
    </xf>
    <xf numFmtId="0" fontId="75" fillId="15" borderId="0" applyNumberFormat="0" applyBorder="0" applyAlignment="0" applyProtection="0"/>
    <xf numFmtId="0" fontId="75" fillId="18" borderId="0" applyNumberFormat="0" applyBorder="0" applyAlignment="0" applyProtection="0"/>
    <xf numFmtId="0" fontId="75" fillId="19" borderId="0" applyNumberFormat="0" applyBorder="0" applyAlignment="0" applyProtection="0"/>
    <xf numFmtId="0" fontId="75" fillId="27" borderId="0" applyNumberFormat="0" applyBorder="0" applyAlignment="0" applyProtection="0"/>
    <xf numFmtId="0" fontId="75" fillId="15" borderId="0" applyNumberFormat="0" applyBorder="0" applyAlignment="0" applyProtection="0"/>
    <xf numFmtId="0" fontId="75" fillId="20" borderId="0" applyNumberFormat="0" applyBorder="0" applyAlignment="0" applyProtection="0"/>
    <xf numFmtId="0" fontId="76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200" fontId="1" fillId="0" borderId="0" applyFill="0" applyBorder="0" applyAlignment="0"/>
    <xf numFmtId="200" fontId="1" fillId="0" borderId="0" applyFill="0" applyBorder="0" applyAlignment="0"/>
    <xf numFmtId="192" fontId="77" fillId="0" borderId="0" applyFill="0" applyBorder="0" applyAlignment="0"/>
    <xf numFmtId="199" fontId="77" fillId="0" borderId="0" applyFill="0" applyBorder="0" applyAlignment="0"/>
    <xf numFmtId="201" fontId="1" fillId="0" borderId="0" applyFill="0" applyBorder="0" applyAlignment="0"/>
    <xf numFmtId="201" fontId="1" fillId="0" borderId="0" applyFill="0" applyBorder="0" applyAlignment="0"/>
    <xf numFmtId="202" fontId="1" fillId="0" borderId="0" applyFill="0" applyBorder="0" applyAlignment="0"/>
    <xf numFmtId="202" fontId="1" fillId="0" borderId="0" applyFill="0" applyBorder="0" applyAlignment="0"/>
    <xf numFmtId="200" fontId="1" fillId="0" borderId="0" applyFill="0" applyBorder="0" applyAlignment="0"/>
    <xf numFmtId="200" fontId="1" fillId="0" borderId="0" applyFill="0" applyBorder="0" applyAlignment="0"/>
    <xf numFmtId="203" fontId="1" fillId="0" borderId="0" applyFill="0" applyBorder="0" applyAlignment="0"/>
    <xf numFmtId="203" fontId="1" fillId="0" borderId="0" applyFill="0" applyBorder="0" applyAlignment="0"/>
    <xf numFmtId="192" fontId="77" fillId="0" borderId="0" applyFill="0" applyBorder="0" applyAlignment="0"/>
    <xf numFmtId="0" fontId="18" fillId="26" borderId="2" applyNumberFormat="0" applyAlignment="0" applyProtection="0"/>
    <xf numFmtId="204" fontId="78" fillId="0" borderId="14">
      <alignment horizontal="center"/>
      <protection locked="0"/>
    </xf>
    <xf numFmtId="0" fontId="79" fillId="22" borderId="3" applyNumberFormat="0" applyAlignment="0" applyProtection="0"/>
    <xf numFmtId="1" fontId="74" fillId="0" borderId="0" applyFill="0" applyBorder="0">
      <alignment horizontal="center"/>
    </xf>
    <xf numFmtId="39" fontId="1" fillId="0" borderId="0" applyFill="0" applyBorder="0" applyAlignment="0" applyProtection="0"/>
    <xf numFmtId="38" fontId="62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3" fontId="80" fillId="0" borderId="0" applyFont="0" applyFill="0" applyBorder="0" applyAlignment="0" applyProtection="0"/>
    <xf numFmtId="0" fontId="62" fillId="0" borderId="0"/>
    <xf numFmtId="0" fontId="62" fillId="0" borderId="0"/>
    <xf numFmtId="0" fontId="1" fillId="0" borderId="0" applyFill="0"/>
    <xf numFmtId="0" fontId="1" fillId="0" borderId="0" applyFill="0"/>
    <xf numFmtId="206" fontId="1" fillId="0" borderId="0" applyFill="0" applyBorder="0" applyAlignment="0" applyProtection="0"/>
    <xf numFmtId="170" fontId="28" fillId="0" borderId="0" applyFont="0" applyFill="0" applyBorder="0" applyAlignment="0" applyProtection="0"/>
    <xf numFmtId="186" fontId="62" fillId="0" borderId="0" applyFont="0" applyFill="0" applyBorder="0" applyAlignment="0" applyProtection="0"/>
    <xf numFmtId="192" fontId="77" fillId="0" borderId="0" applyFont="0" applyFill="0" applyBorder="0" applyAlignment="0" applyProtection="0"/>
    <xf numFmtId="207" fontId="81" fillId="0" borderId="0"/>
    <xf numFmtId="0" fontId="82" fillId="0" borderId="0" applyFont="0" applyFill="0" applyBorder="0" applyAlignment="0" applyProtection="0"/>
    <xf numFmtId="208" fontId="80" fillId="0" borderId="0" applyFont="0" applyFill="0" applyBorder="0" applyAlignment="0" applyProtection="0"/>
    <xf numFmtId="0" fontId="6" fillId="0" borderId="15" applyNumberFormat="0" applyAlignment="0" applyProtection="0"/>
    <xf numFmtId="0" fontId="6" fillId="0" borderId="15" applyNumberFormat="0" applyAlignment="0" applyProtection="0"/>
    <xf numFmtId="0" fontId="6" fillId="0" borderId="15" applyNumberFormat="0" applyAlignment="0" applyProtection="0"/>
    <xf numFmtId="0" fontId="83" fillId="0" borderId="0" applyFill="0" applyBorder="0" applyAlignment="0"/>
    <xf numFmtId="0" fontId="80" fillId="0" borderId="0" applyFont="0" applyFill="0" applyBorder="0" applyAlignment="0" applyProtection="0"/>
    <xf numFmtId="14" fontId="66" fillId="0" borderId="0" applyFill="0" applyBorder="0" applyAlignment="0"/>
    <xf numFmtId="38" fontId="28" fillId="0" borderId="20">
      <alignment vertical="center"/>
    </xf>
    <xf numFmtId="38" fontId="28" fillId="0" borderId="20">
      <alignment vertical="center"/>
    </xf>
    <xf numFmtId="0" fontId="1" fillId="0" borderId="0"/>
    <xf numFmtId="209" fontId="1" fillId="0" borderId="0">
      <alignment horizontal="center"/>
    </xf>
    <xf numFmtId="210" fontId="1" fillId="0" borderId="0">
      <alignment horizontal="center"/>
    </xf>
    <xf numFmtId="211" fontId="1" fillId="0" borderId="0">
      <alignment horizontal="right"/>
    </xf>
    <xf numFmtId="212" fontId="81" fillId="0" borderId="17">
      <alignment horizontal="center"/>
    </xf>
    <xf numFmtId="213" fontId="1" fillId="0" borderId="0">
      <alignment horizontal="center"/>
    </xf>
    <xf numFmtId="214" fontId="1" fillId="0" borderId="0">
      <alignment horizontal="center"/>
    </xf>
    <xf numFmtId="215" fontId="81" fillId="0" borderId="19">
      <alignment horizontal="center"/>
    </xf>
    <xf numFmtId="0" fontId="53" fillId="0" borderId="0">
      <protection locked="0"/>
    </xf>
    <xf numFmtId="0" fontId="53" fillId="0" borderId="0">
      <protection locked="0"/>
    </xf>
    <xf numFmtId="0" fontId="50" fillId="0" borderId="0" applyNumberFormat="0" applyFill="0" applyBorder="0" applyAlignment="0" applyProtection="0"/>
    <xf numFmtId="0" fontId="71" fillId="28" borderId="0" applyNumberFormat="0" applyBorder="0" applyAlignment="0" applyProtection="0"/>
    <xf numFmtId="0" fontId="71" fillId="29" borderId="0" applyNumberFormat="0" applyBorder="0" applyAlignment="0" applyProtection="0"/>
    <xf numFmtId="0" fontId="71" fillId="30" borderId="0" applyNumberFormat="0" applyBorder="0" applyAlignment="0" applyProtection="0"/>
    <xf numFmtId="0" fontId="70" fillId="31" borderId="0" applyNumberFormat="0" applyBorder="0" applyAlignment="0" applyProtection="0"/>
    <xf numFmtId="0" fontId="70" fillId="31" borderId="0" applyNumberFormat="0" applyBorder="0" applyAlignment="0" applyProtection="0"/>
    <xf numFmtId="0" fontId="84" fillId="32" borderId="0" applyNumberFormat="0" applyBorder="0" applyAlignment="0" applyProtection="0"/>
    <xf numFmtId="0" fontId="70" fillId="33" borderId="0" applyNumberFormat="0" applyBorder="0" applyAlignment="0" applyProtection="0"/>
    <xf numFmtId="0" fontId="70" fillId="34" borderId="0" applyNumberFormat="0" applyBorder="0" applyAlignment="0" applyProtection="0"/>
    <xf numFmtId="0" fontId="84" fillId="35" borderId="0" applyNumberFormat="0" applyBorder="0" applyAlignment="0" applyProtection="0"/>
    <xf numFmtId="0" fontId="70" fillId="33" borderId="0" applyNumberFormat="0" applyBorder="0" applyAlignment="0" applyProtection="0"/>
    <xf numFmtId="0" fontId="70" fillId="36" borderId="0" applyNumberFormat="0" applyBorder="0" applyAlignment="0" applyProtection="0"/>
    <xf numFmtId="0" fontId="84" fillId="34" borderId="0" applyNumberFormat="0" applyBorder="0" applyAlignment="0" applyProtection="0"/>
    <xf numFmtId="0" fontId="70" fillId="31" borderId="0" applyNumberFormat="0" applyBorder="0" applyAlignment="0" applyProtection="0"/>
    <xf numFmtId="0" fontId="70" fillId="34" borderId="0" applyNumberFormat="0" applyBorder="0" applyAlignment="0" applyProtection="0"/>
    <xf numFmtId="0" fontId="84" fillId="34" borderId="0" applyNumberFormat="0" applyBorder="0" applyAlignment="0" applyProtection="0"/>
    <xf numFmtId="0" fontId="70" fillId="37" borderId="0" applyNumberFormat="0" applyBorder="0" applyAlignment="0" applyProtection="0"/>
    <xf numFmtId="0" fontId="70" fillId="31" borderId="0" applyNumberFormat="0" applyBorder="0" applyAlignment="0" applyProtection="0"/>
    <xf numFmtId="0" fontId="84" fillId="32" borderId="0" applyNumberFormat="0" applyBorder="0" applyAlignment="0" applyProtection="0"/>
    <xf numFmtId="0" fontId="70" fillId="33" borderId="0" applyNumberFormat="0" applyBorder="0" applyAlignment="0" applyProtection="0"/>
    <xf numFmtId="0" fontId="70" fillId="38" borderId="0" applyNumberFormat="0" applyBorder="0" applyAlignment="0" applyProtection="0"/>
    <xf numFmtId="0" fontId="84" fillId="38" borderId="0" applyNumberFormat="0" applyBorder="0" applyAlignment="0" applyProtection="0"/>
    <xf numFmtId="200" fontId="1" fillId="0" borderId="0" applyFill="0" applyBorder="0" applyAlignment="0"/>
    <xf numFmtId="200" fontId="1" fillId="0" borderId="0" applyFill="0" applyBorder="0" applyAlignment="0"/>
    <xf numFmtId="192" fontId="77" fillId="0" borderId="0" applyFill="0" applyBorder="0" applyAlignment="0"/>
    <xf numFmtId="200" fontId="1" fillId="0" borderId="0" applyFill="0" applyBorder="0" applyAlignment="0"/>
    <xf numFmtId="200" fontId="1" fillId="0" borderId="0" applyFill="0" applyBorder="0" applyAlignment="0"/>
    <xf numFmtId="203" fontId="1" fillId="0" borderId="0" applyFill="0" applyBorder="0" applyAlignment="0"/>
    <xf numFmtId="203" fontId="1" fillId="0" borderId="0" applyFill="0" applyBorder="0" applyAlignment="0"/>
    <xf numFmtId="192" fontId="77" fillId="0" borderId="0" applyFill="0" applyBorder="0" applyAlignment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21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85" fillId="0" borderId="0" applyFill="0" applyBorder="0" applyAlignment="0" applyProtection="0"/>
    <xf numFmtId="3" fontId="86" fillId="0" borderId="0" applyFill="0" applyBorder="0" applyAlignment="0" applyProtection="0"/>
    <xf numFmtId="0" fontId="1" fillId="0" borderId="0" applyNumberFormat="0" applyFill="0" applyBorder="0" applyAlignment="0" applyProtection="0"/>
    <xf numFmtId="3" fontId="87" fillId="0" borderId="0" applyFill="0" applyBorder="0" applyAlignment="0" applyProtection="0"/>
    <xf numFmtId="0" fontId="1" fillId="0" borderId="0" applyNumberFormat="0" applyFill="0" applyBorder="0" applyAlignment="0" applyProtection="0"/>
    <xf numFmtId="3" fontId="49" fillId="0" borderId="0" applyFill="0" applyBorder="0" applyAlignment="0" applyProtection="0"/>
    <xf numFmtId="3" fontId="88" fillId="0" borderId="0" applyFill="0" applyBorder="0" applyAlignment="0" applyProtection="0"/>
    <xf numFmtId="3" fontId="89" fillId="0" borderId="0" applyFill="0" applyBorder="0" applyAlignment="0" applyProtection="0"/>
    <xf numFmtId="3" fontId="57" fillId="0" borderId="0" applyFill="0" applyBorder="0" applyAlignment="0" applyProtection="0"/>
    <xf numFmtId="217" fontId="1" fillId="0" borderId="0" applyFill="0" applyBorder="0" applyAlignment="0" applyProtection="0"/>
    <xf numFmtId="0" fontId="90" fillId="0" borderId="0" applyBorder="0" applyAlignment="0">
      <alignment horizontal="left"/>
    </xf>
    <xf numFmtId="2" fontId="1" fillId="0" borderId="0" applyFill="0" applyBorder="0" applyAlignment="0" applyProtection="0"/>
    <xf numFmtId="2" fontId="80" fillId="0" borderId="0" applyFont="0" applyFill="0" applyBorder="0" applyAlignment="0" applyProtection="0"/>
    <xf numFmtId="9" fontId="1" fillId="0" borderId="0" applyNumberFormat="0" applyFont="0" applyFill="0" applyBorder="0"/>
    <xf numFmtId="9" fontId="1" fillId="0" borderId="0" applyNumberFormat="0" applyFont="0" applyFill="0" applyBorder="0"/>
    <xf numFmtId="38" fontId="67" fillId="39" borderId="0" applyNumberFormat="0" applyBorder="0" applyAlignment="0" applyProtection="0"/>
    <xf numFmtId="0" fontId="91" fillId="0" borderId="17" applyNumberFormat="0" applyFill="0" applyBorder="0" applyAlignment="0"/>
    <xf numFmtId="0" fontId="51" fillId="0" borderId="15" applyNumberFormat="0" applyAlignment="0" applyProtection="0">
      <alignment horizontal="left" vertical="center"/>
    </xf>
    <xf numFmtId="0" fontId="51" fillId="0" borderId="16">
      <alignment horizontal="left" vertical="center"/>
    </xf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21" applyNumberFormat="0" applyFill="0" applyAlignment="0" applyProtection="0"/>
    <xf numFmtId="0" fontId="94" fillId="0" borderId="0" applyNumberFormat="0" applyFill="0" applyBorder="0" applyAlignment="0" applyProtection="0"/>
    <xf numFmtId="37" fontId="95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67" fillId="40" borderId="14" applyNumberFormat="0" applyBorder="0" applyAlignment="0" applyProtection="0"/>
    <xf numFmtId="0" fontId="26" fillId="8" borderId="2" applyNumberFormat="0" applyAlignment="0" applyProtection="0"/>
    <xf numFmtId="0" fontId="67" fillId="0" borderId="17" applyNumberFormat="0" applyFill="0" applyBorder="0" applyAlignment="0">
      <alignment vertical="center"/>
    </xf>
    <xf numFmtId="200" fontId="1" fillId="0" borderId="0" applyFill="0" applyBorder="0" applyAlignment="0"/>
    <xf numFmtId="200" fontId="1" fillId="0" borderId="0" applyFill="0" applyBorder="0" applyAlignment="0"/>
    <xf numFmtId="192" fontId="77" fillId="0" borderId="0" applyFill="0" applyBorder="0" applyAlignment="0"/>
    <xf numFmtId="200" fontId="1" fillId="0" borderId="0" applyFill="0" applyBorder="0" applyAlignment="0"/>
    <xf numFmtId="200" fontId="1" fillId="0" borderId="0" applyFill="0" applyBorder="0" applyAlignment="0"/>
    <xf numFmtId="203" fontId="1" fillId="0" borderId="0" applyFill="0" applyBorder="0" applyAlignment="0"/>
    <xf numFmtId="203" fontId="1" fillId="0" borderId="0" applyFill="0" applyBorder="0" applyAlignment="0"/>
    <xf numFmtId="192" fontId="77" fillId="0" borderId="0" applyFill="0" applyBorder="0" applyAlignment="0"/>
    <xf numFmtId="0" fontId="97" fillId="0" borderId="0" applyNumberFormat="0" applyFill="0" applyBorder="0" applyAlignment="0"/>
    <xf numFmtId="176" fontId="6" fillId="0" borderId="0" applyFill="0" applyBorder="0"/>
    <xf numFmtId="192" fontId="98" fillId="0" borderId="13" applyNumberFormat="0" applyFont="0">
      <alignment horizontal="center"/>
    </xf>
    <xf numFmtId="166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38" fontId="2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2" fontId="1" fillId="0" borderId="0" applyFont="0" applyFill="0" applyProtection="0"/>
    <xf numFmtId="40" fontId="28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1" fillId="0" borderId="0" applyFont="0" applyFill="0" applyBorder="0" applyAlignment="0" applyProtection="0"/>
    <xf numFmtId="218" fontId="52" fillId="0" borderId="0">
      <protection locked="0"/>
    </xf>
    <xf numFmtId="171" fontId="1" fillId="0" borderId="0" applyFill="0" applyBorder="0" applyAlignment="0" applyProtection="0"/>
    <xf numFmtId="219" fontId="52" fillId="0" borderId="0">
      <protection locked="0"/>
    </xf>
    <xf numFmtId="169" fontId="1" fillId="0" borderId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221" fontId="28" fillId="0" borderId="0">
      <alignment horizontal="center"/>
    </xf>
    <xf numFmtId="221" fontId="28" fillId="0" borderId="0">
      <alignment horizontal="center"/>
    </xf>
    <xf numFmtId="37" fontId="9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73" fillId="0" borderId="0"/>
    <xf numFmtId="4" fontId="101" fillId="0" borderId="0" applyBorder="0">
      <alignment horizontal="left" vertical="center"/>
    </xf>
    <xf numFmtId="0" fontId="1" fillId="24" borderId="8" applyNumberFormat="0" applyFont="0" applyAlignment="0" applyProtection="0"/>
    <xf numFmtId="0" fontId="1" fillId="24" borderId="8" applyNumberFormat="0" applyFont="0" applyAlignment="0" applyProtection="0"/>
    <xf numFmtId="0" fontId="1" fillId="24" borderId="8" applyNumberFormat="0" applyFont="0" applyAlignment="0" applyProtection="0"/>
    <xf numFmtId="0" fontId="1" fillId="24" borderId="8" applyNumberFormat="0" applyFont="0" applyAlignment="0" applyProtection="0"/>
    <xf numFmtId="0" fontId="1" fillId="24" borderId="8" applyNumberFormat="0" applyFont="0" applyAlignment="0" applyProtection="0"/>
    <xf numFmtId="0" fontId="1" fillId="24" borderId="8" applyNumberFormat="0" applyFont="0" applyAlignment="0" applyProtection="0"/>
    <xf numFmtId="0" fontId="1" fillId="0" borderId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37" fillId="26" borderId="9" applyNumberFormat="0" applyAlignment="0" applyProtection="0"/>
    <xf numFmtId="10" fontId="1" fillId="0" borderId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222" fontId="1" fillId="0" borderId="0" applyFont="0" applyFill="0" applyBorder="0" applyAlignment="0" applyProtection="0"/>
    <xf numFmtId="223" fontId="81" fillId="0" borderId="19">
      <alignment horizontal="center"/>
    </xf>
    <xf numFmtId="9" fontId="1" fillId="0" borderId="0" applyFill="0" applyBorder="0" applyAlignment="0"/>
    <xf numFmtId="9" fontId="1" fillId="0" borderId="0" applyFill="0" applyBorder="0" applyAlignment="0"/>
    <xf numFmtId="0" fontId="6" fillId="0" borderId="0"/>
    <xf numFmtId="9" fontId="7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0" fontId="1" fillId="0" borderId="0" applyFill="0" applyBorder="0" applyAlignment="0"/>
    <xf numFmtId="200" fontId="1" fillId="0" borderId="0" applyFill="0" applyBorder="0" applyAlignment="0"/>
    <xf numFmtId="192" fontId="77" fillId="0" borderId="0" applyFill="0" applyBorder="0" applyAlignment="0"/>
    <xf numFmtId="200" fontId="1" fillId="0" borderId="0" applyFill="0" applyBorder="0" applyAlignment="0"/>
    <xf numFmtId="200" fontId="1" fillId="0" borderId="0" applyFill="0" applyBorder="0" applyAlignment="0"/>
    <xf numFmtId="203" fontId="1" fillId="0" borderId="0" applyFill="0" applyBorder="0" applyAlignment="0"/>
    <xf numFmtId="203" fontId="1" fillId="0" borderId="0" applyFill="0" applyBorder="0" applyAlignment="0"/>
    <xf numFmtId="192" fontId="77" fillId="0" borderId="0" applyFill="0" applyBorder="0" applyAlignment="0"/>
    <xf numFmtId="39" fontId="1" fillId="0" borderId="0" applyFill="0" applyBorder="0" applyAlignment="0" applyProtection="0"/>
    <xf numFmtId="176" fontId="1" fillId="0" borderId="0" applyFill="0" applyBorder="0" applyAlignment="0" applyProtection="0"/>
    <xf numFmtId="0" fontId="6" fillId="0" borderId="0"/>
    <xf numFmtId="0" fontId="62" fillId="0" borderId="0"/>
    <xf numFmtId="3" fontId="1" fillId="0" borderId="0" applyFill="0" applyBorder="0" applyAlignment="0" applyProtection="0"/>
    <xf numFmtId="3" fontId="104" fillId="0" borderId="0" applyFont="0" applyFill="0" applyBorder="0" applyAlignment="0" applyProtection="0"/>
    <xf numFmtId="0" fontId="6" fillId="0" borderId="0"/>
    <xf numFmtId="37" fontId="105" fillId="0" borderId="0"/>
    <xf numFmtId="224" fontId="1" fillId="0" borderId="0" applyFont="0" applyFill="0" applyBorder="0" applyAlignment="0" applyProtection="0"/>
    <xf numFmtId="224" fontId="1" fillId="0" borderId="0" applyFont="0" applyFill="0" applyBorder="0" applyAlignment="0" applyProtection="0"/>
    <xf numFmtId="0" fontId="1" fillId="0" borderId="22" applyNumberFormat="0" applyFont="0" applyFill="0" applyAlignment="0" applyProtection="0"/>
    <xf numFmtId="0" fontId="1" fillId="0" borderId="22" applyNumberFormat="0" applyFont="0" applyFill="0" applyAlignment="0" applyProtection="0"/>
    <xf numFmtId="0" fontId="1" fillId="0" borderId="23" applyNumberFormat="0" applyFont="0" applyFill="0" applyAlignment="0" applyProtection="0"/>
    <xf numFmtId="0" fontId="1" fillId="0" borderId="23" applyNumberFormat="0" applyFont="0" applyFill="0" applyAlignment="0" applyProtection="0"/>
    <xf numFmtId="0" fontId="1" fillId="0" borderId="24" applyNumberFormat="0" applyFont="0" applyFill="0" applyAlignment="0" applyProtection="0"/>
    <xf numFmtId="0" fontId="1" fillId="0" borderId="24" applyNumberFormat="0" applyFont="0" applyFill="0" applyAlignment="0" applyProtection="0"/>
    <xf numFmtId="0" fontId="1" fillId="0" borderId="25" applyNumberFormat="0" applyFont="0" applyFill="0" applyAlignment="0" applyProtection="0"/>
    <xf numFmtId="0" fontId="1" fillId="0" borderId="25" applyNumberFormat="0" applyFont="0" applyFill="0" applyAlignment="0" applyProtection="0"/>
    <xf numFmtId="0" fontId="1" fillId="0" borderId="26" applyNumberFormat="0" applyFont="0" applyFill="0" applyAlignment="0" applyProtection="0"/>
    <xf numFmtId="0" fontId="1" fillId="0" borderId="26" applyNumberFormat="0" applyFont="0" applyFill="0" applyAlignment="0" applyProtection="0"/>
    <xf numFmtId="0" fontId="1" fillId="26" borderId="0" applyNumberFormat="0" applyFont="0" applyBorder="0" applyAlignment="0" applyProtection="0"/>
    <xf numFmtId="0" fontId="1" fillId="26" borderId="0" applyNumberFormat="0" applyFont="0" applyBorder="0" applyAlignment="0" applyProtection="0"/>
    <xf numFmtId="0" fontId="1" fillId="0" borderId="27" applyNumberFormat="0" applyFont="0" applyFill="0" applyAlignment="0" applyProtection="0"/>
    <xf numFmtId="0" fontId="1" fillId="0" borderId="27" applyNumberFormat="0" applyFont="0" applyFill="0" applyAlignment="0" applyProtection="0"/>
    <xf numFmtId="0" fontId="1" fillId="0" borderId="28" applyNumberFormat="0" applyFont="0" applyFill="0" applyAlignment="0" applyProtection="0"/>
    <xf numFmtId="0" fontId="1" fillId="0" borderId="28" applyNumberFormat="0" applyFont="0" applyFill="0" applyAlignment="0" applyProtection="0"/>
    <xf numFmtId="46" fontId="1" fillId="0" borderId="0" applyFont="0" applyFill="0" applyBorder="0" applyAlignment="0" applyProtection="0"/>
    <xf numFmtId="46" fontId="1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29" applyNumberFormat="0" applyFont="0" applyFill="0" applyAlignment="0" applyProtection="0"/>
    <xf numFmtId="0" fontId="1" fillId="0" borderId="29" applyNumberFormat="0" applyFont="0" applyFill="0" applyAlignment="0" applyProtection="0"/>
    <xf numFmtId="0" fontId="1" fillId="0" borderId="30" applyNumberFormat="0" applyFont="0" applyFill="0" applyAlignment="0" applyProtection="0"/>
    <xf numFmtId="0" fontId="1" fillId="0" borderId="30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31" applyNumberFormat="0" applyFont="0" applyFill="0" applyAlignment="0" applyProtection="0"/>
    <xf numFmtId="0" fontId="1" fillId="0" borderId="31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0" applyNumberFormat="0" applyFont="0" applyFill="0" applyBorder="0" applyProtection="0">
      <alignment horizontal="center"/>
    </xf>
    <xf numFmtId="0" fontId="1" fillId="0" borderId="0" applyNumberFormat="0" applyFont="0" applyFill="0" applyBorder="0" applyProtection="0">
      <alignment horizontal="center"/>
    </xf>
    <xf numFmtId="0" fontId="5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8" fillId="0" borderId="0" applyNumberFormat="0" applyFill="0" applyBorder="0" applyProtection="0">
      <alignment horizontal="left"/>
    </xf>
    <xf numFmtId="0" fontId="1" fillId="26" borderId="0" applyNumberFormat="0" applyFont="0" applyBorder="0" applyAlignment="0" applyProtection="0"/>
    <xf numFmtId="0" fontId="1" fillId="26" borderId="0" applyNumberFormat="0" applyFont="0" applyBorder="0" applyAlignment="0" applyProtection="0"/>
    <xf numFmtId="0" fontId="8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32" applyNumberFormat="0" applyFont="0" applyFill="0" applyAlignment="0" applyProtection="0"/>
    <xf numFmtId="0" fontId="1" fillId="0" borderId="32" applyNumberFormat="0" applyFont="0" applyFill="0" applyAlignment="0" applyProtection="0"/>
    <xf numFmtId="0" fontId="1" fillId="0" borderId="33" applyNumberFormat="0" applyFont="0" applyFill="0" applyAlignment="0" applyProtection="0"/>
    <xf numFmtId="0" fontId="1" fillId="0" borderId="33" applyNumberFormat="0" applyFont="0" applyFill="0" applyAlignment="0" applyProtection="0"/>
    <xf numFmtId="225" fontId="1" fillId="0" borderId="0" applyFont="0" applyFill="0" applyBorder="0" applyAlignment="0" applyProtection="0"/>
    <xf numFmtId="225" fontId="1" fillId="0" borderId="0" applyFont="0" applyFill="0" applyBorder="0" applyAlignment="0" applyProtection="0"/>
    <xf numFmtId="0" fontId="1" fillId="0" borderId="34" applyNumberFormat="0" applyFont="0" applyFill="0" applyAlignment="0" applyProtection="0"/>
    <xf numFmtId="0" fontId="1" fillId="0" borderId="34" applyNumberFormat="0" applyFont="0" applyFill="0" applyAlignment="0" applyProtection="0"/>
    <xf numFmtId="0" fontId="1" fillId="0" borderId="35" applyNumberFormat="0" applyFont="0" applyFill="0" applyAlignment="0" applyProtection="0"/>
    <xf numFmtId="0" fontId="1" fillId="0" borderId="35" applyNumberFormat="0" applyFont="0" applyFill="0" applyAlignment="0" applyProtection="0"/>
    <xf numFmtId="0" fontId="1" fillId="0" borderId="36" applyNumberFormat="0" applyFont="0" applyFill="0" applyAlignment="0" applyProtection="0"/>
    <xf numFmtId="0" fontId="1" fillId="0" borderId="36" applyNumberFormat="0" applyFont="0" applyFill="0" applyAlignment="0" applyProtection="0"/>
    <xf numFmtId="0" fontId="1" fillId="0" borderId="37" applyNumberFormat="0" applyFont="0" applyFill="0" applyAlignment="0" applyProtection="0"/>
    <xf numFmtId="0" fontId="1" fillId="0" borderId="37" applyNumberFormat="0" applyFont="0" applyFill="0" applyAlignment="0" applyProtection="0"/>
    <xf numFmtId="0" fontId="1" fillId="0" borderId="38" applyNumberFormat="0" applyFont="0" applyFill="0" applyAlignment="0" applyProtection="0"/>
    <xf numFmtId="0" fontId="1" fillId="0" borderId="38" applyNumberFormat="0" applyFont="0" applyFill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7" fillId="0" borderId="0" applyNumberFormat="0" applyFill="0" applyBorder="0">
      <alignment vertical="center"/>
      <protection locked="0"/>
    </xf>
    <xf numFmtId="0" fontId="67" fillId="0" borderId="0" applyNumberFormat="0" applyFill="0" applyBorder="0">
      <alignment vertical="center"/>
      <protection locked="0"/>
    </xf>
    <xf numFmtId="0" fontId="67" fillId="0" borderId="0" applyNumberFormat="0" applyFill="0" applyBorder="0">
      <alignment vertical="center"/>
      <protection locked="0"/>
    </xf>
    <xf numFmtId="0" fontId="67" fillId="0" borderId="0" applyNumberFormat="0" applyFill="0" applyBorder="0">
      <alignment vertical="center"/>
      <protection locked="0"/>
    </xf>
    <xf numFmtId="0" fontId="67" fillId="0" borderId="0" applyNumberFormat="0" applyFill="0" applyBorder="0">
      <alignment vertical="center"/>
      <protection locked="0"/>
    </xf>
    <xf numFmtId="0" fontId="67" fillId="0" borderId="0" applyNumberFormat="0" applyFill="0" applyBorder="0">
      <alignment vertical="center"/>
      <protection locked="0"/>
    </xf>
    <xf numFmtId="0" fontId="67" fillId="0" borderId="0" applyNumberFormat="0" applyFill="0" applyBorder="0">
      <alignment vertical="center"/>
      <protection locked="0"/>
    </xf>
    <xf numFmtId="0" fontId="67" fillId="0" borderId="0" applyNumberFormat="0" applyFill="0" applyBorder="0">
      <alignment vertical="center"/>
      <protection locked="0"/>
    </xf>
    <xf numFmtId="0" fontId="1" fillId="0" borderId="0"/>
    <xf numFmtId="216" fontId="1" fillId="0" borderId="0" applyFont="0" applyFill="0" applyBorder="0" applyAlignment="0" applyProtection="0"/>
    <xf numFmtId="0" fontId="6" fillId="0" borderId="16" applyNumberFormat="0" applyFill="0" applyAlignment="0" applyProtection="0"/>
    <xf numFmtId="0" fontId="102" fillId="0" borderId="0" applyNumberFormat="0" applyFill="0" applyBorder="0" applyAlignment="0" applyProtection="0"/>
    <xf numFmtId="0" fontId="106" fillId="0" borderId="0" applyNumberFormat="0" applyBorder="0">
      <alignment horizontal="centerContinuous"/>
    </xf>
    <xf numFmtId="49" fontId="66" fillId="0" borderId="0" applyFill="0" applyBorder="0" applyAlignment="0"/>
    <xf numFmtId="222" fontId="1" fillId="0" borderId="0" applyFill="0" applyBorder="0" applyAlignment="0"/>
    <xf numFmtId="222" fontId="1" fillId="0" borderId="0" applyFill="0" applyBorder="0" applyAlignment="0"/>
    <xf numFmtId="226" fontId="1" fillId="0" borderId="0" applyFill="0" applyBorder="0" applyAlignment="0"/>
    <xf numFmtId="226" fontId="1" fillId="0" borderId="0" applyFill="0" applyBorder="0" applyAlignment="0"/>
    <xf numFmtId="0" fontId="102" fillId="0" borderId="0" applyNumberFormat="0" applyFill="0" applyBorder="0" applyAlignment="0" applyProtection="0"/>
    <xf numFmtId="227" fontId="107" fillId="0" borderId="0" applyFill="0" applyBorder="0" applyAlignment="0"/>
    <xf numFmtId="0" fontId="108" fillId="0" borderId="0" applyNumberFormat="0" applyFill="0" applyBorder="0" applyAlignment="0" applyProtection="0"/>
    <xf numFmtId="1" fontId="9" fillId="0" borderId="0" applyFill="0" applyBorder="0" applyAlignment="0"/>
    <xf numFmtId="0" fontId="1" fillId="0" borderId="39" applyNumberFormat="0" applyFill="0" applyAlignment="0" applyProtection="0"/>
    <xf numFmtId="228" fontId="28" fillId="0" borderId="0"/>
    <xf numFmtId="228" fontId="28" fillId="0" borderId="0"/>
    <xf numFmtId="0" fontId="109" fillId="0" borderId="0" applyNumberFormat="0" applyFont="0" applyFill="0" applyBorder="0" applyProtection="0">
      <alignment horizontal="center" vertical="center"/>
    </xf>
    <xf numFmtId="229" fontId="1" fillId="0" borderId="0">
      <alignment horizontal="right"/>
    </xf>
    <xf numFmtId="230" fontId="110" fillId="0" borderId="0">
      <alignment horizontal="center"/>
    </xf>
    <xf numFmtId="168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2" fontId="7" fillId="0" borderId="0" applyFont="0" applyFill="0" applyBorder="0" applyAlignment="0" applyProtection="0"/>
    <xf numFmtId="42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5">
    <xf numFmtId="0" fontId="0" fillId="0" borderId="0" xfId="0"/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/>
    <xf numFmtId="42" fontId="0" fillId="0" borderId="14" xfId="828" applyFont="1" applyBorder="1"/>
    <xf numFmtId="42" fontId="0" fillId="0" borderId="0" xfId="828" applyFont="1"/>
    <xf numFmtId="42" fontId="0" fillId="0" borderId="0" xfId="0" applyNumberFormat="1"/>
    <xf numFmtId="231" fontId="111" fillId="41" borderId="40" xfId="0" applyNumberFormat="1" applyFont="1" applyFill="1" applyBorder="1" applyAlignment="1">
      <alignment vertical="top" wrapText="1" readingOrder="1"/>
    </xf>
    <xf numFmtId="0" fontId="0" fillId="0" borderId="0" xfId="0" applyAlignment="1">
      <alignment horizontal="center" vertical="center" wrapText="1"/>
    </xf>
    <xf numFmtId="42" fontId="0" fillId="0" borderId="0" xfId="828" applyFon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64" fillId="0" borderId="14" xfId="0" applyFont="1" applyBorder="1" applyAlignment="1">
      <alignment horizontal="left" vertical="center"/>
    </xf>
    <xf numFmtId="198" fontId="0" fillId="0" borderId="14" xfId="433" applyNumberFormat="1" applyFont="1" applyFill="1" applyBorder="1" applyAlignment="1">
      <alignment horizontal="center" vertical="center"/>
    </xf>
    <xf numFmtId="198" fontId="7" fillId="0" borderId="14" xfId="433" applyNumberFormat="1" applyFont="1" applyFill="1" applyBorder="1" applyAlignment="1">
      <alignment horizontal="center" vertical="center"/>
    </xf>
    <xf numFmtId="10" fontId="7" fillId="0" borderId="14" xfId="434" applyNumberFormat="1" applyFont="1" applyFill="1" applyBorder="1" applyAlignment="1">
      <alignment horizontal="center" vertical="center"/>
    </xf>
    <xf numFmtId="41" fontId="7" fillId="0" borderId="14" xfId="829" applyFont="1" applyFill="1" applyBorder="1" applyAlignment="1">
      <alignment horizontal="center" vertical="center"/>
    </xf>
    <xf numFmtId="10" fontId="7" fillId="0" borderId="14" xfId="434" applyNumberFormat="1" applyFont="1" applyBorder="1" applyAlignment="1">
      <alignment horizontal="center" vertical="center"/>
    </xf>
    <xf numFmtId="198" fontId="7" fillId="0" borderId="14" xfId="433" applyNumberFormat="1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198" fontId="0" fillId="0" borderId="14" xfId="433" applyNumberFormat="1" applyFont="1" applyBorder="1" applyAlignment="1">
      <alignment horizontal="center" vertical="center"/>
    </xf>
    <xf numFmtId="0" fontId="64" fillId="42" borderId="14" xfId="0" applyFont="1" applyFill="1" applyBorder="1" applyAlignment="1">
      <alignment horizontal="center" vertical="center"/>
    </xf>
    <xf numFmtId="0" fontId="64" fillId="43" borderId="14" xfId="0" applyFont="1" applyFill="1" applyBorder="1" applyAlignment="1">
      <alignment horizontal="center" vertical="center" wrapText="1"/>
    </xf>
    <xf numFmtId="0" fontId="64" fillId="44" borderId="14" xfId="0" applyFont="1" applyFill="1" applyBorder="1" applyAlignment="1">
      <alignment horizontal="center" vertical="center" wrapText="1"/>
    </xf>
    <xf numFmtId="0" fontId="64" fillId="45" borderId="14" xfId="0" applyFont="1" applyFill="1" applyBorder="1" applyAlignment="1">
      <alignment horizontal="center" vertical="center"/>
    </xf>
  </cellXfs>
  <cellStyles count="830">
    <cellStyle name="_Anexo 1 BAE Licitac DAP-CP 091-08" xfId="444" xr:uid="{F779C8E4-09D3-4895-B87A-8BEE290252F0}"/>
    <cellStyle name="20% - Accent1" xfId="27" xr:uid="{00000000-0005-0000-0000-000000000000}"/>
    <cellStyle name="20% - Accent1 2" xfId="445" xr:uid="{BB944ACC-E3E6-43BB-A669-2F08273EF610}"/>
    <cellStyle name="20% - Accent2" xfId="28" xr:uid="{00000000-0005-0000-0000-000001000000}"/>
    <cellStyle name="20% - Accent2 2" xfId="446" xr:uid="{46E87564-71BD-475B-9206-898CB92207EA}"/>
    <cellStyle name="20% - Accent3" xfId="29" xr:uid="{00000000-0005-0000-0000-000002000000}"/>
    <cellStyle name="20% - Accent3 2" xfId="447" xr:uid="{54520DDD-30F6-4AD5-9F43-C17B3EA0A549}"/>
    <cellStyle name="20% - Accent4" xfId="30" xr:uid="{00000000-0005-0000-0000-000003000000}"/>
    <cellStyle name="20% - Accent4 2" xfId="448" xr:uid="{47709A53-DC01-4694-8D33-515CB0E6E297}"/>
    <cellStyle name="20% - Accent5" xfId="31" xr:uid="{00000000-0005-0000-0000-000004000000}"/>
    <cellStyle name="20% - Accent6" xfId="32" xr:uid="{00000000-0005-0000-0000-000005000000}"/>
    <cellStyle name="20% - Énfasis1 2" xfId="33" xr:uid="{00000000-0005-0000-0000-000006000000}"/>
    <cellStyle name="20% - Énfasis1 2 2" xfId="34" xr:uid="{00000000-0005-0000-0000-000007000000}"/>
    <cellStyle name="20% - Énfasis2 2" xfId="35" xr:uid="{00000000-0005-0000-0000-000008000000}"/>
    <cellStyle name="20% - Énfasis2 2 2" xfId="36" xr:uid="{00000000-0005-0000-0000-000009000000}"/>
    <cellStyle name="20% - Énfasis3 2" xfId="37" xr:uid="{00000000-0005-0000-0000-00000A000000}"/>
    <cellStyle name="20% - Énfasis3 2 2" xfId="38" xr:uid="{00000000-0005-0000-0000-00000B000000}"/>
    <cellStyle name="20% - Énfasis4 2" xfId="39" xr:uid="{00000000-0005-0000-0000-00000C000000}"/>
    <cellStyle name="20% - Énfasis4 2 2" xfId="40" xr:uid="{00000000-0005-0000-0000-00000D000000}"/>
    <cellStyle name="20% - Énfasis5 2" xfId="41" xr:uid="{00000000-0005-0000-0000-00000E000000}"/>
    <cellStyle name="20% - Énfasis5 2 2" xfId="42" xr:uid="{00000000-0005-0000-0000-00000F000000}"/>
    <cellStyle name="20% - Énfasis6 2" xfId="43" xr:uid="{00000000-0005-0000-0000-000010000000}"/>
    <cellStyle name="20% - Énfasis6 2 2" xfId="44" xr:uid="{00000000-0005-0000-0000-000011000000}"/>
    <cellStyle name="40% - Accent1" xfId="45" xr:uid="{00000000-0005-0000-0000-000012000000}"/>
    <cellStyle name="40% - Accent1 2" xfId="449" xr:uid="{1A7A47B1-F097-4D67-A1B1-6D17DA9193D3}"/>
    <cellStyle name="40% - Accent2" xfId="46" xr:uid="{00000000-0005-0000-0000-000013000000}"/>
    <cellStyle name="40% - Accent3" xfId="47" xr:uid="{00000000-0005-0000-0000-000014000000}"/>
    <cellStyle name="40% - Accent3 2" xfId="450" xr:uid="{78AB7EFD-2401-47AE-A75C-499BD3C7173B}"/>
    <cellStyle name="40% - Accent4" xfId="48" xr:uid="{00000000-0005-0000-0000-000015000000}"/>
    <cellStyle name="40% - Accent4 2" xfId="451" xr:uid="{E001F18C-3109-4DCA-886C-81A5BBF628E2}"/>
    <cellStyle name="40% - Accent5" xfId="49" xr:uid="{00000000-0005-0000-0000-000016000000}"/>
    <cellStyle name="40% - Accent6" xfId="50" xr:uid="{00000000-0005-0000-0000-000017000000}"/>
    <cellStyle name="40% - Accent6 2" xfId="452" xr:uid="{ADF556A2-0603-4D25-8FD7-FB8EE40C8A52}"/>
    <cellStyle name="40% - Énfasis1 2" xfId="51" xr:uid="{00000000-0005-0000-0000-000018000000}"/>
    <cellStyle name="40% - Énfasis1 2 2" xfId="52" xr:uid="{00000000-0005-0000-0000-000019000000}"/>
    <cellStyle name="40% - Énfasis2 2" xfId="53" xr:uid="{00000000-0005-0000-0000-00001A000000}"/>
    <cellStyle name="40% - Énfasis2 2 2" xfId="54" xr:uid="{00000000-0005-0000-0000-00001B000000}"/>
    <cellStyle name="40% - Énfasis3 2" xfId="55" xr:uid="{00000000-0005-0000-0000-00001C000000}"/>
    <cellStyle name="40% - Énfasis3 2 2" xfId="56" xr:uid="{00000000-0005-0000-0000-00001D000000}"/>
    <cellStyle name="40% - Énfasis4 2" xfId="57" xr:uid="{00000000-0005-0000-0000-00001E000000}"/>
    <cellStyle name="40% - Énfasis4 2 2" xfId="58" xr:uid="{00000000-0005-0000-0000-00001F000000}"/>
    <cellStyle name="40% - Énfasis5 2" xfId="59" xr:uid="{00000000-0005-0000-0000-000020000000}"/>
    <cellStyle name="40% - Énfasis5 2 2" xfId="60" xr:uid="{00000000-0005-0000-0000-000021000000}"/>
    <cellStyle name="40% - Énfasis6 2" xfId="61" xr:uid="{00000000-0005-0000-0000-000022000000}"/>
    <cellStyle name="40% - Énfasis6 2 2" xfId="62" xr:uid="{00000000-0005-0000-0000-000023000000}"/>
    <cellStyle name="60% - Accent1" xfId="63" xr:uid="{00000000-0005-0000-0000-000024000000}"/>
    <cellStyle name="60% - Accent1 2" xfId="453" xr:uid="{0874D598-50FF-42CD-B5FC-20D63F6631C2}"/>
    <cellStyle name="60% - Accent2" xfId="64" xr:uid="{00000000-0005-0000-0000-000025000000}"/>
    <cellStyle name="60% - Accent2 2" xfId="454" xr:uid="{0DCAC233-E81F-4E77-8F4E-741D71827B5E}"/>
    <cellStyle name="60% - Accent3" xfId="65" xr:uid="{00000000-0005-0000-0000-000026000000}"/>
    <cellStyle name="60% - Accent3 2" xfId="455" xr:uid="{CC7164DE-CF16-4D99-9C54-27104170B733}"/>
    <cellStyle name="60% - Accent4" xfId="66" xr:uid="{00000000-0005-0000-0000-000027000000}"/>
    <cellStyle name="60% - Accent4 2" xfId="456" xr:uid="{4A02EB2F-BE12-4237-9970-3780D6DBFF2A}"/>
    <cellStyle name="60% - Accent5" xfId="67" xr:uid="{00000000-0005-0000-0000-000028000000}"/>
    <cellStyle name="60% - Accent5 2" xfId="457" xr:uid="{51B2C878-FA5A-4944-AD33-2A8BBB71E602}"/>
    <cellStyle name="60% - Accent6" xfId="68" xr:uid="{00000000-0005-0000-0000-000029000000}"/>
    <cellStyle name="60% - Accent6 2" xfId="458" xr:uid="{0EBB8EAB-35CF-428E-8BB5-D1CEE8C11FCA}"/>
    <cellStyle name="60% - Énfasis1 2" xfId="69" xr:uid="{00000000-0005-0000-0000-00002A000000}"/>
    <cellStyle name="60% - Énfasis1 2 2" xfId="70" xr:uid="{00000000-0005-0000-0000-00002B000000}"/>
    <cellStyle name="60% - Énfasis2 2" xfId="71" xr:uid="{00000000-0005-0000-0000-00002C000000}"/>
    <cellStyle name="60% - Énfasis2 2 2" xfId="72" xr:uid="{00000000-0005-0000-0000-00002D000000}"/>
    <cellStyle name="60% - Énfasis3 2" xfId="73" xr:uid="{00000000-0005-0000-0000-00002E000000}"/>
    <cellStyle name="60% - Énfasis3 2 2" xfId="74" xr:uid="{00000000-0005-0000-0000-00002F000000}"/>
    <cellStyle name="60% - Énfasis4 2" xfId="75" xr:uid="{00000000-0005-0000-0000-000030000000}"/>
    <cellStyle name="60% - Énfasis4 2 2" xfId="76" xr:uid="{00000000-0005-0000-0000-000031000000}"/>
    <cellStyle name="60% - Énfasis5 2" xfId="77" xr:uid="{00000000-0005-0000-0000-000032000000}"/>
    <cellStyle name="60% - Énfasis5 2 2" xfId="78" xr:uid="{00000000-0005-0000-0000-000033000000}"/>
    <cellStyle name="60% - Énfasis6 2" xfId="79" xr:uid="{00000000-0005-0000-0000-000034000000}"/>
    <cellStyle name="60% - Énfasis6 2 2" xfId="80" xr:uid="{00000000-0005-0000-0000-000035000000}"/>
    <cellStyle name="8" xfId="459" xr:uid="{DF9D0536-171D-4E16-923E-EE18FA99B10A}"/>
    <cellStyle name="A" xfId="460" xr:uid="{C83A8833-D5A9-4DD5-9863-0CCDBA8225F2}"/>
    <cellStyle name="Accent1" xfId="81" xr:uid="{00000000-0005-0000-0000-000036000000}"/>
    <cellStyle name="Accent1 2" xfId="461" xr:uid="{7F3F10DF-226E-44AA-BF9D-3467A19FB91A}"/>
    <cellStyle name="Accent2" xfId="82" xr:uid="{00000000-0005-0000-0000-000037000000}"/>
    <cellStyle name="Accent2 2" xfId="462" xr:uid="{AAE1825E-365E-44FF-808B-8736BE122AEF}"/>
    <cellStyle name="Accent3" xfId="83" xr:uid="{00000000-0005-0000-0000-000038000000}"/>
    <cellStyle name="Accent3 2" xfId="463" xr:uid="{538BA164-A705-43F3-9AC7-94D6D5FEC37A}"/>
    <cellStyle name="Accent4" xfId="84" xr:uid="{00000000-0005-0000-0000-000039000000}"/>
    <cellStyle name="Accent4 2" xfId="464" xr:uid="{5DFDB291-296F-4FF1-8CFF-4E4DF4E6975B}"/>
    <cellStyle name="Accent5" xfId="85" xr:uid="{00000000-0005-0000-0000-00003A000000}"/>
    <cellStyle name="Accent5 2" xfId="465" xr:uid="{8F97C566-34A5-46AF-AD19-C1A859D86033}"/>
    <cellStyle name="Accent6" xfId="86" xr:uid="{00000000-0005-0000-0000-00003B000000}"/>
    <cellStyle name="Accent6 2" xfId="466" xr:uid="{7075F976-BC71-4419-ACA9-5212ED9FFEDE}"/>
    <cellStyle name="aterials accounted for by Santiago in Above field accounts" xfId="467" xr:uid="{BE24899A-8710-4A5E-BEB7-6251AFC8BD73}"/>
    <cellStyle name="Bad" xfId="87" xr:uid="{00000000-0005-0000-0000-00003C000000}"/>
    <cellStyle name="BATTY" xfId="293" xr:uid="{00000000-0005-0000-0000-00003D000000}"/>
    <cellStyle name="Buena 2" xfId="88" xr:uid="{00000000-0005-0000-0000-00003E000000}"/>
    <cellStyle name="Buena 2 2" xfId="89" xr:uid="{00000000-0005-0000-0000-00003F000000}"/>
    <cellStyle name="Cabecera 1" xfId="294" xr:uid="{00000000-0005-0000-0000-000040000000}"/>
    <cellStyle name="Cabecera 2" xfId="295" xr:uid="{00000000-0005-0000-0000-000041000000}"/>
    <cellStyle name="Cabecera 2 2" xfId="468" xr:uid="{82BD4B73-4DD5-4043-83FA-6B5D6D72611D}"/>
    <cellStyle name="Cabecera 2_Hoja2" xfId="469" xr:uid="{84346C94-73C8-4112-BB51-5627E167D214}"/>
    <cellStyle name="Calc Currency (0)" xfId="470" xr:uid="{72247628-3955-4E96-B2A0-67B79FD8C77E}"/>
    <cellStyle name="Calc Currency (0) 2" xfId="471" xr:uid="{98F1AF9C-9B10-4914-A8A8-92F45ED8FDA7}"/>
    <cellStyle name="Calc Currency (2)" xfId="472" xr:uid="{B1C0D149-A1EF-4627-8224-00177E4A1378}"/>
    <cellStyle name="Calc Percent (0)" xfId="473" xr:uid="{85B3AE65-9D33-495F-B6F4-F23F65DD0C31}"/>
    <cellStyle name="Calc Percent (1)" xfId="474" xr:uid="{65158B2C-21C9-49CB-8918-62F0486B6C48}"/>
    <cellStyle name="Calc Percent (1) 2" xfId="475" xr:uid="{0606C813-17FF-4CDD-AF51-94223EEEBC5A}"/>
    <cellStyle name="Calc Percent (2)" xfId="476" xr:uid="{EC500F84-EA8B-4BF8-BDA7-93969E64D317}"/>
    <cellStyle name="Calc Percent (2) 2" xfId="477" xr:uid="{B3737219-6BCB-4EF4-93CE-91495D700046}"/>
    <cellStyle name="Calc Units (0)" xfId="478" xr:uid="{2BFD1B54-9148-41B7-8841-ED672AED685B}"/>
    <cellStyle name="Calc Units (0) 2" xfId="479" xr:uid="{1FA4CC29-440B-4626-A513-E810EB9BA13E}"/>
    <cellStyle name="Calc Units (1)" xfId="480" xr:uid="{52A2ECFF-6DC8-40D5-B92B-5479EE38F6C1}"/>
    <cellStyle name="Calc Units (1) 2" xfId="481" xr:uid="{5F86EA55-C69E-442E-A0DD-DD10768AD083}"/>
    <cellStyle name="Calc Units (2)" xfId="482" xr:uid="{A4654289-A8A1-4672-85C9-410554DFF6ED}"/>
    <cellStyle name="Calculation" xfId="90" xr:uid="{00000000-0005-0000-0000-000042000000}"/>
    <cellStyle name="Calculation 2" xfId="483" xr:uid="{BEEF7A71-AF9E-40F0-998E-9C0DFA93E46A}"/>
    <cellStyle name="Cálculo 2" xfId="91" xr:uid="{00000000-0005-0000-0000-000043000000}"/>
    <cellStyle name="Cálculo 2 2" xfId="92" xr:uid="{00000000-0005-0000-0000-000044000000}"/>
    <cellStyle name="Celda de comprobación 2" xfId="93" xr:uid="{00000000-0005-0000-0000-000045000000}"/>
    <cellStyle name="Celda de comprobación 2 2" xfId="94" xr:uid="{00000000-0005-0000-0000-000046000000}"/>
    <cellStyle name="Celda vinculada 2" xfId="95" xr:uid="{00000000-0005-0000-0000-000047000000}"/>
    <cellStyle name="Celda vinculada 2 2" xfId="96" xr:uid="{00000000-0005-0000-0000-000048000000}"/>
    <cellStyle name="centsperlb" xfId="484" xr:uid="{8E0ACF65-B2EA-44FF-872B-84C61529A28E}"/>
    <cellStyle name="Check Cell" xfId="97" xr:uid="{00000000-0005-0000-0000-000049000000}"/>
    <cellStyle name="Check Cell 2" xfId="485" xr:uid="{6DD60482-4347-488E-AAB8-03DE1B746115}"/>
    <cellStyle name="Column Heads" xfId="486" xr:uid="{20CDF043-719D-415B-BA37-1692DAE5CAFE}"/>
    <cellStyle name="Comma" xfId="487" xr:uid="{7810B5E7-6178-4579-9CA5-63732B1D64C0}"/>
    <cellStyle name="Comma [0]" xfId="296" xr:uid="{00000000-0005-0000-0000-00004A000000}"/>
    <cellStyle name="Comma [0] 2" xfId="488" xr:uid="{5065F413-7A46-43D8-8C9B-D0830B537167}"/>
    <cellStyle name="Comma [00]" xfId="489" xr:uid="{32D7104E-8CBD-4686-AE55-6FB10C6EC96D}"/>
    <cellStyle name="Comma [00] 2" xfId="490" xr:uid="{B66977E0-2268-4B52-9D9F-9EB6E1AB99BD}"/>
    <cellStyle name="Comma_#6 Temps &amp; Contractors" xfId="491" xr:uid="{2427791C-256E-4B69-8947-AC5F0D643A17}"/>
    <cellStyle name="Comma0" xfId="297" xr:uid="{00000000-0005-0000-0000-00004C000000}"/>
    <cellStyle name="Comma0 - Estilo3" xfId="493" xr:uid="{BA9D2595-3987-4D65-88F1-BC24B27DF00F}"/>
    <cellStyle name="Comma0 2" xfId="492" xr:uid="{3FB94353-A99C-4FC8-919F-4D04FAFAD6D8}"/>
    <cellStyle name="Comma1 - Estilo1" xfId="494" xr:uid="{A7BF23A9-E9C3-4234-B5E2-CE8BB65CE15E}"/>
    <cellStyle name="cubial" xfId="495" xr:uid="{0AC48673-48B5-45E1-9701-BB046150E0C8}"/>
    <cellStyle name="cubial 2" xfId="496" xr:uid="{8315C705-C8D1-417C-BDF2-FC95CCCE80E0}"/>
    <cellStyle name="Currency" xfId="497" xr:uid="{3DCF240F-13C0-472F-86E6-6196E1C99136}"/>
    <cellStyle name="Currency [0]" xfId="298" xr:uid="{00000000-0005-0000-0000-00004D000000}"/>
    <cellStyle name="Currency [0] 2" xfId="499" xr:uid="{FF486F0E-75B4-47B4-BFA0-E0A255584DF6}"/>
    <cellStyle name="Currency [0] 3" xfId="498" xr:uid="{96951D78-CCA5-4C85-A969-D117F421B1A7}"/>
    <cellStyle name="Currency [00]" xfId="500" xr:uid="{C2508FFE-1C1A-4F50-A37E-3A7CD72F631E}"/>
    <cellStyle name="Currency [3]" xfId="501" xr:uid="{9747EE12-67AF-4496-A275-9B7312C28937}"/>
    <cellStyle name="Currency_ Metal Doré 96" xfId="502" xr:uid="{522F49C6-31F3-4CC1-ACAD-B2934F0997B6}"/>
    <cellStyle name="Currency0" xfId="299" xr:uid="{00000000-0005-0000-0000-00004F000000}"/>
    <cellStyle name="Currency0 2" xfId="503" xr:uid="{FB1CC62D-CAC0-4EA9-BF04-B5FCE8B78BA7}"/>
    <cellStyle name="D" xfId="504" xr:uid="{04698BAD-C4CC-4228-A9F7-9FBD7A3A2368}"/>
    <cellStyle name="D_ECO-01 Lubricanteras Rev1" xfId="505" xr:uid="{043B1FCF-FA5D-4618-ABEA-8CE335E013DE}"/>
    <cellStyle name="D_Oferta Económica Rev1 (CABLEADO ESTRUCT) (2)" xfId="506" xr:uid="{A4CA6D6E-9E10-4AF4-A841-3B88E55FD62E}"/>
    <cellStyle name="Data" xfId="507" xr:uid="{DCCBA7CB-BB6D-45A5-AE4F-2905414551D9}"/>
    <cellStyle name="Date" xfId="300" xr:uid="{00000000-0005-0000-0000-000050000000}"/>
    <cellStyle name="Date 2" xfId="508" xr:uid="{FC48222E-D98A-4FDE-8215-8F619A73DDA2}"/>
    <cellStyle name="Date Short" xfId="509" xr:uid="{36AAFDE9-8B27-4BA8-96F5-67620BAA6DBE}"/>
    <cellStyle name="DELTA" xfId="510" xr:uid="{ABC4C00F-5725-4CC0-B4BE-A7D7B276396C}"/>
    <cellStyle name="DELTA 2" xfId="511" xr:uid="{B2FC283F-7F68-4238-B420-B6D47072AF5A}"/>
    <cellStyle name="Dia" xfId="301" xr:uid="{00000000-0005-0000-0000-000051000000}"/>
    <cellStyle name="Diseño" xfId="512" xr:uid="{0420C989-A5AE-43DC-82C8-3FAC7788E716}"/>
    <cellStyle name="dollarsPerKWh" xfId="513" xr:uid="{B78BD2BC-723C-47D1-AF45-ECC11F9FF005}"/>
    <cellStyle name="dollarsPerLb" xfId="514" xr:uid="{6769E95B-EDC2-4A66-9D84-D926ACCD4BD6}"/>
    <cellStyle name="dollarsPerLb4" xfId="515" xr:uid="{E3F39DFE-9E88-462C-A41F-4C1936A8E668}"/>
    <cellStyle name="dollarsPerm3" xfId="516" xr:uid="{EE4B4269-8E9F-41B0-BB50-DCE0DD7D32E7}"/>
    <cellStyle name="dollarsPerMWh" xfId="517" xr:uid="{65B3F583-84A7-45BE-9AD7-E7AC25F8A95C}"/>
    <cellStyle name="dollarsPerTon" xfId="518" xr:uid="{0A26FE74-240D-41AB-87E6-E3CB847583D2}"/>
    <cellStyle name="dollarsPerYear" xfId="519" xr:uid="{DBE8A606-EDDC-4168-A35C-EE1092A65F3A}"/>
    <cellStyle name="Encabez1" xfId="302" xr:uid="{00000000-0005-0000-0000-000052000000}"/>
    <cellStyle name="Encabez1 2" xfId="520" xr:uid="{2D254308-C670-4F67-B0CB-ECF490594907}"/>
    <cellStyle name="Encabez2" xfId="303" xr:uid="{00000000-0005-0000-0000-000053000000}"/>
    <cellStyle name="Encabez2 2" xfId="521" xr:uid="{EF34AA46-7B34-4E40-8E90-2ACCA77AFFBC}"/>
    <cellStyle name="Encabezado 1" xfId="304" xr:uid="{00000000-0005-0000-0000-000054000000}"/>
    <cellStyle name="Encabezado 1 2" xfId="522" xr:uid="{243E2008-D190-437A-89BA-67BDCB7751BC}"/>
    <cellStyle name="Encabezado 2" xfId="305" xr:uid="{00000000-0005-0000-0000-000055000000}"/>
    <cellStyle name="Encabezado 4 2" xfId="98" xr:uid="{00000000-0005-0000-0000-000056000000}"/>
    <cellStyle name="Énfasis 1" xfId="523" xr:uid="{AE6279C8-B3A4-4139-BDD5-4F83208AC9BE}"/>
    <cellStyle name="Énfasis 2" xfId="524" xr:uid="{D45602FF-0CA3-48BB-AF22-B779DCB85465}"/>
    <cellStyle name="Énfasis 3" xfId="525" xr:uid="{BD53F910-6084-4BC6-BD21-7E4F66DA102E}"/>
    <cellStyle name="Énfasis1 - 20%" xfId="526" xr:uid="{7B0757A5-743D-4F94-9150-DD9D11A6E755}"/>
    <cellStyle name="Énfasis1 - 40%" xfId="527" xr:uid="{A6140D38-7DAC-441C-A56E-133A6BCCAD4B}"/>
    <cellStyle name="Énfasis1 - 60%" xfId="528" xr:uid="{B571B5E3-5BB6-42F9-B5A8-2B53E27FB6FB}"/>
    <cellStyle name="Énfasis1 2" xfId="99" xr:uid="{00000000-0005-0000-0000-000057000000}"/>
    <cellStyle name="Énfasis1 2 2" xfId="100" xr:uid="{00000000-0005-0000-0000-000058000000}"/>
    <cellStyle name="Énfasis2 - 20%" xfId="529" xr:uid="{87EEDC56-BDA0-4288-967C-E02EFCBC2E76}"/>
    <cellStyle name="Énfasis2 - 40%" xfId="530" xr:uid="{6A0B8CA5-C537-4C71-BFFE-3ADE8084FDD5}"/>
    <cellStyle name="Énfasis2 - 60%" xfId="531" xr:uid="{96D07BDE-3AE3-4A1C-B547-AEF652CF438C}"/>
    <cellStyle name="Énfasis2 2" xfId="101" xr:uid="{00000000-0005-0000-0000-000059000000}"/>
    <cellStyle name="Énfasis2 2 2" xfId="102" xr:uid="{00000000-0005-0000-0000-00005A000000}"/>
    <cellStyle name="Énfasis3 - 20%" xfId="532" xr:uid="{786167AE-7BA9-4E23-80B1-28A6AA666BBD}"/>
    <cellStyle name="Énfasis3 - 40%" xfId="533" xr:uid="{261FEFC1-DD93-4861-8575-0904D476198F}"/>
    <cellStyle name="Énfasis3 - 60%" xfId="534" xr:uid="{1B29524D-A2CB-4F68-85B4-394267702791}"/>
    <cellStyle name="Énfasis3 2" xfId="103" xr:uid="{00000000-0005-0000-0000-00005B000000}"/>
    <cellStyle name="Énfasis3 2 2" xfId="104" xr:uid="{00000000-0005-0000-0000-00005C000000}"/>
    <cellStyle name="Énfasis4 - 20%" xfId="535" xr:uid="{9A1E3EE3-E86B-4363-BC44-776CB8523286}"/>
    <cellStyle name="Énfasis4 - 40%" xfId="536" xr:uid="{6909DDB8-6F60-479A-B285-44591968AA20}"/>
    <cellStyle name="Énfasis4 - 60%" xfId="537" xr:uid="{780CD3EB-195E-4DA9-AC9C-295589C1A412}"/>
    <cellStyle name="Énfasis4 2" xfId="105" xr:uid="{00000000-0005-0000-0000-00005D000000}"/>
    <cellStyle name="Énfasis4 2 2" xfId="106" xr:uid="{00000000-0005-0000-0000-00005E000000}"/>
    <cellStyle name="Énfasis5 - 20%" xfId="538" xr:uid="{A1B1CE81-C938-4C43-A02B-A43FA709123B}"/>
    <cellStyle name="Énfasis5 - 40%" xfId="539" xr:uid="{CB2A1A42-761D-418B-A368-38C0426ECCF6}"/>
    <cellStyle name="Énfasis5 - 60%" xfId="540" xr:uid="{47ACADF1-243C-4505-959E-F44CC5BC9E1E}"/>
    <cellStyle name="Énfasis5 2" xfId="107" xr:uid="{00000000-0005-0000-0000-00005F000000}"/>
    <cellStyle name="Énfasis5 2 2" xfId="108" xr:uid="{00000000-0005-0000-0000-000060000000}"/>
    <cellStyle name="Énfasis6 - 20%" xfId="541" xr:uid="{E6836A10-B60C-471D-BCE2-F616F36CC578}"/>
    <cellStyle name="Énfasis6 - 40%" xfId="542" xr:uid="{0E95B979-4D6B-440C-8151-B26BEE8FDD1F}"/>
    <cellStyle name="Énfasis6 - 60%" xfId="543" xr:uid="{9BB9B5A6-683D-436A-8F5C-53F2561C0298}"/>
    <cellStyle name="Énfasis6 2" xfId="109" xr:uid="{00000000-0005-0000-0000-000061000000}"/>
    <cellStyle name="Énfasis6 2 2" xfId="110" xr:uid="{00000000-0005-0000-0000-000062000000}"/>
    <cellStyle name="Enter Currency (0)" xfId="544" xr:uid="{9049AD84-7FB5-42A2-B4A5-B95DD179E427}"/>
    <cellStyle name="Enter Currency (0) 2" xfId="545" xr:uid="{C274E871-4B5B-4025-A68D-B3E434438A39}"/>
    <cellStyle name="Enter Currency (2)" xfId="546" xr:uid="{C4BF20CA-E65A-49D0-AC1B-EFD6E852C574}"/>
    <cellStyle name="Enter Units (0)" xfId="547" xr:uid="{1C345D71-009A-429E-8ABE-2DD930F8D651}"/>
    <cellStyle name="Enter Units (0) 2" xfId="548" xr:uid="{B83E9925-CED4-45F8-B58D-903E10CA9090}"/>
    <cellStyle name="Enter Units (1)" xfId="549" xr:uid="{82DD906E-EF25-40FA-89C4-70E179CE88AE}"/>
    <cellStyle name="Enter Units (1) 2" xfId="550" xr:uid="{16F67FC9-649E-4684-9BDA-57213C95E4CC}"/>
    <cellStyle name="Enter Units (2)" xfId="551" xr:uid="{F1BBAA01-036C-43A3-B21D-30E74FB54158}"/>
    <cellStyle name="Entrada 2" xfId="111" xr:uid="{00000000-0005-0000-0000-000063000000}"/>
    <cellStyle name="Entrada 2 2" xfId="112" xr:uid="{00000000-0005-0000-0000-000064000000}"/>
    <cellStyle name="Estilo 1" xfId="113" xr:uid="{00000000-0005-0000-0000-000065000000}"/>
    <cellStyle name="Estilo 1 2" xfId="553" xr:uid="{2F31B675-2707-4E10-B980-73FFE5666903}"/>
    <cellStyle name="Estilo 1 3" xfId="554" xr:uid="{C1B5CC85-E8F3-44AC-AEB4-79C2FCA214CF}"/>
    <cellStyle name="Estilo 1 4" xfId="555" xr:uid="{C34108A1-1A60-43EA-80BD-5A143EEBDF71}"/>
    <cellStyle name="Estilo 1 5" xfId="556" xr:uid="{BA7C58CF-3D06-42C5-9F81-8E5AADCCB91E}"/>
    <cellStyle name="Estilo 1 6" xfId="557" xr:uid="{685D3732-FAD1-44FE-8B0D-880EF05AB776}"/>
    <cellStyle name="Estilo 1 7" xfId="558" xr:uid="{CF97A2E8-44C4-4150-9E60-6FAC60097A9D}"/>
    <cellStyle name="Estilo 1 8" xfId="559" xr:uid="{A229DEDB-DB5B-44C5-BE28-D6CBB15EF294}"/>
    <cellStyle name="Estilo 1 9" xfId="552" xr:uid="{C4544BD5-D3C0-4BB6-884C-B529045EE484}"/>
    <cellStyle name="Estilo 2" xfId="560" xr:uid="{361105D2-B50E-4ACD-9353-111675C79FE0}"/>
    <cellStyle name="Estilo 2 2" xfId="561" xr:uid="{C12303A4-EB8D-44AB-AC1C-BD18C30A22DF}"/>
    <cellStyle name="Estilo 2 3" xfId="562" xr:uid="{3A6B544D-06EE-482B-9B8C-4DA23CC4543B}"/>
    <cellStyle name="Estilo 2 4" xfId="563" xr:uid="{ADBE4D57-BF08-45C3-95AF-4DDF29A5DF6C}"/>
    <cellStyle name="Estilo 2 5" xfId="564" xr:uid="{467CAA7D-7DA1-4103-9AEC-BB623DB32342}"/>
    <cellStyle name="Estilo 2 6" xfId="565" xr:uid="{6C460C52-A117-471F-B1C8-4D9047801641}"/>
    <cellStyle name="Estilo 2 7" xfId="566" xr:uid="{0F7404F1-592E-4DA1-8203-DCE01D36EE19}"/>
    <cellStyle name="Estilo 2 8" xfId="567" xr:uid="{EC310A3C-3838-4626-963B-1F12E52A4610}"/>
    <cellStyle name="Estilo 3" xfId="568" xr:uid="{ECF8E5F4-A971-4E24-B4BF-2F5111F6D5FC}"/>
    <cellStyle name="Euro" xfId="19" xr:uid="{00000000-0005-0000-0000-000066000000}"/>
    <cellStyle name="Euro 2" xfId="114" xr:uid="{00000000-0005-0000-0000-000067000000}"/>
    <cellStyle name="Euro 2 2" xfId="115" xr:uid="{00000000-0005-0000-0000-000068000000}"/>
    <cellStyle name="Euro 2 3" xfId="306" xr:uid="{00000000-0005-0000-0000-000069000000}"/>
    <cellStyle name="Euro 2 3 2" xfId="569" xr:uid="{49696B57-279F-4CCF-98DF-346F778BAFFF}"/>
    <cellStyle name="Euro 3" xfId="116" xr:uid="{00000000-0005-0000-0000-00006A000000}"/>
    <cellStyle name="Euro 3 2" xfId="570" xr:uid="{6918DC7C-A34B-4192-837D-C056719BC60D}"/>
    <cellStyle name="Euro 4" xfId="307" xr:uid="{00000000-0005-0000-0000-00006B000000}"/>
    <cellStyle name="Euro 5" xfId="571" xr:uid="{BFCB3064-AAA0-407D-A144-44E69604D74D}"/>
    <cellStyle name="Euro 6" xfId="572" xr:uid="{A0FA4AA0-4464-479D-AB80-07966E33DC37}"/>
    <cellStyle name="Euro 7" xfId="573" xr:uid="{C052799C-869D-4784-B032-8367A4817FD8}"/>
    <cellStyle name="Euro 8" xfId="574" xr:uid="{93E6A9C6-2922-48F1-AAF6-58F49B698508}"/>
    <cellStyle name="Euro 9" xfId="575" xr:uid="{6BD0179B-E03D-452F-8081-B74CB61A0391}"/>
    <cellStyle name="Explanatory Text" xfId="117" xr:uid="{00000000-0005-0000-0000-00006C000000}"/>
    <cellStyle name="F2" xfId="308" xr:uid="{00000000-0005-0000-0000-00006D000000}"/>
    <cellStyle name="F2 2" xfId="576" xr:uid="{8FC2750D-EFB9-4A11-9EDF-2B9EA8CCAF6E}"/>
    <cellStyle name="F3" xfId="309" xr:uid="{00000000-0005-0000-0000-00006E000000}"/>
    <cellStyle name="F3 2" xfId="578" xr:uid="{1D27F3AC-D115-494C-AD57-A3C483813C6F}"/>
    <cellStyle name="F3 3" xfId="577" xr:uid="{B8FDC567-C0BD-401B-B663-C59CD07C3368}"/>
    <cellStyle name="F4" xfId="310" xr:uid="{00000000-0005-0000-0000-00006F000000}"/>
    <cellStyle name="F4 2" xfId="580" xr:uid="{6D066CE1-4F8F-4EC7-A180-07874655F47B}"/>
    <cellStyle name="F4 3" xfId="579" xr:uid="{48FF1062-9E90-4CC8-B270-0F7242BA0D15}"/>
    <cellStyle name="F5" xfId="311" xr:uid="{00000000-0005-0000-0000-000070000000}"/>
    <cellStyle name="F5 2" xfId="581" xr:uid="{6443D346-3B4A-4B90-8F0E-E7223BB9780E}"/>
    <cellStyle name="F6" xfId="312" xr:uid="{00000000-0005-0000-0000-000071000000}"/>
    <cellStyle name="F6 2" xfId="582" xr:uid="{F93210B8-25CE-450A-BED3-90592E4E76B1}"/>
    <cellStyle name="F7" xfId="313" xr:uid="{00000000-0005-0000-0000-000072000000}"/>
    <cellStyle name="F7 2" xfId="583" xr:uid="{ED18661E-B556-4A62-8C94-46A8123B288B}"/>
    <cellStyle name="F8" xfId="314" xr:uid="{00000000-0005-0000-0000-000073000000}"/>
    <cellStyle name="F8 2" xfId="584" xr:uid="{70ADFD6C-CF94-4923-B4A0-FDEAF4CB93ED}"/>
    <cellStyle name="Fecha" xfId="315" xr:uid="{00000000-0005-0000-0000-000074000000}"/>
    <cellStyle name="Fecha 2" xfId="585" xr:uid="{85179AA7-DB07-4A87-A278-C032EE24FC76}"/>
    <cellStyle name="field" xfId="586" xr:uid="{D1E94E93-F211-453E-B2A6-D9A1E907A38D}"/>
    <cellStyle name="Fijo" xfId="316" xr:uid="{00000000-0005-0000-0000-000075000000}"/>
    <cellStyle name="Fijo 2" xfId="587" xr:uid="{305BAB83-02EF-4115-AF38-E00856F8C0DD}"/>
    <cellStyle name="Financiero" xfId="317" xr:uid="{00000000-0005-0000-0000-000076000000}"/>
    <cellStyle name="Fixed" xfId="318" xr:uid="{00000000-0005-0000-0000-000077000000}"/>
    <cellStyle name="Fixed 2" xfId="588" xr:uid="{46CB2E27-4822-458D-BF69-CFD3EF6D39D4}"/>
    <cellStyle name="formato" xfId="589" xr:uid="{188DF0EF-D41E-4C86-B195-46DBC363AE32}"/>
    <cellStyle name="formato 2" xfId="590" xr:uid="{956809B4-1376-46FB-8622-07DB5F1C0A36}"/>
    <cellStyle name="Good" xfId="118" xr:uid="{00000000-0005-0000-0000-000078000000}"/>
    <cellStyle name="Grey" xfId="591" xr:uid="{1F1C3E5A-BC7F-4119-AA82-3D06D889630B}"/>
    <cellStyle name="HAND" xfId="592" xr:uid="{129ED5FF-E814-47B2-A054-E07D48DAADAF}"/>
    <cellStyle name="Header1" xfId="593" xr:uid="{F9920915-9F4A-41F0-B469-73312F166CA8}"/>
    <cellStyle name="Header2" xfId="594" xr:uid="{19BBDA92-EA6E-45FA-9FFC-50E1C358F8A2}"/>
    <cellStyle name="Heading 1" xfId="119" xr:uid="{00000000-0005-0000-0000-000079000000}"/>
    <cellStyle name="Heading 1 2" xfId="319" xr:uid="{00000000-0005-0000-0000-00007A000000}"/>
    <cellStyle name="Heading 1 3" xfId="595" xr:uid="{53FF82F0-BD7A-4BE2-8AD1-879741CF27FF}"/>
    <cellStyle name="Heading 2" xfId="120" xr:uid="{00000000-0005-0000-0000-00007B000000}"/>
    <cellStyle name="Heading 2 2" xfId="320" xr:uid="{00000000-0005-0000-0000-00007C000000}"/>
    <cellStyle name="Heading 2 3" xfId="596" xr:uid="{A3476A00-AE1F-4F0F-B768-07F9D1E4ED1C}"/>
    <cellStyle name="Heading 3" xfId="121" xr:uid="{00000000-0005-0000-0000-00007D000000}"/>
    <cellStyle name="Heading 3 2" xfId="597" xr:uid="{29F68440-CA4A-43D7-AAC3-6ED4D50B89E2}"/>
    <cellStyle name="Heading 4" xfId="122" xr:uid="{00000000-0005-0000-0000-00007E000000}"/>
    <cellStyle name="Heading 4 2" xfId="598" xr:uid="{6BCBB0DE-8601-4A0B-AB27-D0830CAA2804}"/>
    <cellStyle name="Hide" xfId="599" xr:uid="{D650350E-D1FD-4849-B3D5-7BE9FEA47194}"/>
    <cellStyle name="Hipervínculo 2" xfId="123" xr:uid="{00000000-0005-0000-0000-00007F000000}"/>
    <cellStyle name="Hipervínculo 2 2" xfId="600" xr:uid="{9938A24C-200B-48EF-88A9-52094DE8BE87}"/>
    <cellStyle name="Hyperlink seguido_T177-LIS-EL-101-RA - Equipo Eléctrico" xfId="601" xr:uid="{AF9338F2-63D8-41AD-A3F6-53326DB6BAFB}"/>
    <cellStyle name="Hyperlink_EE_P012-C1-Alt1-52Ktpd-10a-RA" xfId="602" xr:uid="{18CF9A4A-F198-4683-A937-B5ED639EB677}"/>
    <cellStyle name="Incorrecto 2" xfId="124" xr:uid="{00000000-0005-0000-0000-000080000000}"/>
    <cellStyle name="Incorrecto 2 2" xfId="125" xr:uid="{00000000-0005-0000-0000-000081000000}"/>
    <cellStyle name="Input" xfId="126" xr:uid="{00000000-0005-0000-0000-000082000000}"/>
    <cellStyle name="Input [yellow]" xfId="603" xr:uid="{A7261F02-85D6-488F-9FFD-3C8679AE3D7D}"/>
    <cellStyle name="Input_Análisis PU SIITEC" xfId="604" xr:uid="{1F9FA33F-D86B-404F-80FE-3A4E4C66E6DB}"/>
    <cellStyle name="Item" xfId="605" xr:uid="{244B9870-EC5B-47A9-904D-211B50426011}"/>
    <cellStyle name="Lien hypertexte visité_liste d'état des docs VERS.2.xls Graphique 1" xfId="4" xr:uid="{00000000-0005-0000-0000-000083000000}"/>
    <cellStyle name="Lien hypertexte_liste d'état des docs VERS.2.xls Graphique 1" xfId="5" xr:uid="{00000000-0005-0000-0000-000084000000}"/>
    <cellStyle name="Link Currency (0)" xfId="606" xr:uid="{1B2217CC-6970-404B-92E4-3D30B9F31EE7}"/>
    <cellStyle name="Link Currency (0) 2" xfId="607" xr:uid="{DF35C3DE-8A80-473B-9325-B9481558349A}"/>
    <cellStyle name="Link Currency (2)" xfId="608" xr:uid="{0F8A17E8-0865-43E6-8115-5756223F2B1C}"/>
    <cellStyle name="Link Units (0)" xfId="609" xr:uid="{276BCE65-AD88-4E12-97A6-03C25C33916A}"/>
    <cellStyle name="Link Units (0) 2" xfId="610" xr:uid="{CF12BC36-3E01-4BBE-9D0C-88AA1319922F}"/>
    <cellStyle name="Link Units (1)" xfId="611" xr:uid="{4692159B-F7C7-499A-A051-68215D81E2BD}"/>
    <cellStyle name="Link Units (1) 2" xfId="612" xr:uid="{5CB63D7D-CBEB-4D0B-A45F-6447282C6737}"/>
    <cellStyle name="Link Units (2)" xfId="613" xr:uid="{C0D3C7A1-31B8-4957-B12B-2E36B9BDEFB0}"/>
    <cellStyle name="Linked Cell" xfId="127" xr:uid="{00000000-0005-0000-0000-000085000000}"/>
    <cellStyle name="Main" xfId="614" xr:uid="{6E2FCBE7-9462-40F2-ADCB-90EA6CE21112}"/>
    <cellStyle name="marta" xfId="615" xr:uid="{D905E7D4-6B51-4CA3-B932-A2F9249F1CDF}"/>
    <cellStyle name="mi encabezado" xfId="616" xr:uid="{4179274E-C677-4944-AA75-8BF49C80A8A6}"/>
    <cellStyle name="Millares" xfId="433" builtinId="3"/>
    <cellStyle name="Millares [0]" xfId="829" builtinId="6"/>
    <cellStyle name="Millares [0] 2" xfId="17" xr:uid="{00000000-0005-0000-0000-000087000000}"/>
    <cellStyle name="Millares [0] 2 2" xfId="321" xr:uid="{00000000-0005-0000-0000-000088000000}"/>
    <cellStyle name="Millares [0] 2 2 2" xfId="322" xr:uid="{00000000-0005-0000-0000-000089000000}"/>
    <cellStyle name="Millares [0] 2 3" xfId="323" xr:uid="{00000000-0005-0000-0000-00008A000000}"/>
    <cellStyle name="Millares [0] 2 4" xfId="324" xr:uid="{00000000-0005-0000-0000-00008B000000}"/>
    <cellStyle name="Millares [0] 2 5" xfId="617" xr:uid="{18CCF154-2AD6-47EC-87AE-5DE63992A432}"/>
    <cellStyle name="Millares [0] 3" xfId="817" xr:uid="{7A52CDE0-B493-451B-A7E8-4ADCBEA5531D}"/>
    <cellStyle name="Millares [0] 4" xfId="818" xr:uid="{D73D6F7B-C87A-4CCD-90FB-AE11151609C6}"/>
    <cellStyle name="Millares [0] 5" xfId="825" xr:uid="{4442ED8B-C25C-4C6A-85D4-37E6018ABCFE}"/>
    <cellStyle name="Millares [0] 8" xfId="618" xr:uid="{9D7E207A-236A-44EA-B2DF-1DCF900CD11B}"/>
    <cellStyle name="Millares ⧛0]_10 Octubre Cump.Prod.2002" xfId="619" xr:uid="{6728A168-F2CE-4F40-8A43-CDEBB9DBEF5A}"/>
    <cellStyle name="Millares 10" xfId="128" xr:uid="{00000000-0005-0000-0000-00008C000000}"/>
    <cellStyle name="Millares 10 2" xfId="325" xr:uid="{00000000-0005-0000-0000-00008D000000}"/>
    <cellStyle name="Millares 11" xfId="620" xr:uid="{80FBD74A-740B-4338-BAF2-A9E85BFE2879}"/>
    <cellStyle name="Millares 11 2" xfId="621" xr:uid="{F53F1254-CFD2-4268-8A82-E1F336F19ED7}"/>
    <cellStyle name="Millares 12" xfId="815" xr:uid="{F397C4C4-A7A7-4BE7-A7A9-78AA6A93FF94}"/>
    <cellStyle name="Millares 13" xfId="820" xr:uid="{DF6CF4E9-647D-4950-83AD-2F3F6B3BBC4A}"/>
    <cellStyle name="Millares 14" xfId="822" xr:uid="{063AD5BE-10D4-4FD3-A996-DCD29EE176CB}"/>
    <cellStyle name="Millares 2" xfId="2" xr:uid="{00000000-0005-0000-0000-00008E000000}"/>
    <cellStyle name="Millares 2 10" xfId="326" xr:uid="{00000000-0005-0000-0000-00008F000000}"/>
    <cellStyle name="Millares 2 11" xfId="438" xr:uid="{24E27A05-866B-42D9-8BF5-DB9186477D49}"/>
    <cellStyle name="Millares 2 2" xfId="20" xr:uid="{00000000-0005-0000-0000-000090000000}"/>
    <cellStyle name="Millares 2 2 2" xfId="21" xr:uid="{00000000-0005-0000-0000-000091000000}"/>
    <cellStyle name="Millares 2 2 2 2" xfId="327" xr:uid="{00000000-0005-0000-0000-000092000000}"/>
    <cellStyle name="Millares 2 2 2 3" xfId="623" xr:uid="{FFFEE59A-AC6A-4401-8838-AE8D3ACCCFCC}"/>
    <cellStyle name="Millares 2 2 3" xfId="129" xr:uid="{00000000-0005-0000-0000-000093000000}"/>
    <cellStyle name="Millares 2 2 3 2" xfId="624" xr:uid="{DB331ECD-FDE5-4844-BDDA-058F2BE0C43F}"/>
    <cellStyle name="Millares 2 2 4" xfId="328" xr:uid="{00000000-0005-0000-0000-000094000000}"/>
    <cellStyle name="Millares 2 2 5" xfId="622" xr:uid="{2525BB5D-2DF9-4443-BC24-75CC64C02441}"/>
    <cellStyle name="Millares 2 3" xfId="130" xr:uid="{00000000-0005-0000-0000-000095000000}"/>
    <cellStyle name="Millares 2 3 2" xfId="131" xr:uid="{00000000-0005-0000-0000-000096000000}"/>
    <cellStyle name="Millares 2 3 3" xfId="329" xr:uid="{00000000-0005-0000-0000-000097000000}"/>
    <cellStyle name="Millares 2 3 4" xfId="625" xr:uid="{173A1FF5-853C-4AA5-8B1F-8B212D77D6C1}"/>
    <cellStyle name="Millares 2 4" xfId="132" xr:uid="{00000000-0005-0000-0000-000098000000}"/>
    <cellStyle name="Millares 2 4 2" xfId="133" xr:uid="{00000000-0005-0000-0000-000099000000}"/>
    <cellStyle name="Millares 2 4 3" xfId="330" xr:uid="{00000000-0005-0000-0000-00009A000000}"/>
    <cellStyle name="Millares 2 4 4" xfId="626" xr:uid="{CCC72EF3-8262-4D72-B56B-517E3645D8EB}"/>
    <cellStyle name="Millares 2 5" xfId="134" xr:uid="{00000000-0005-0000-0000-00009B000000}"/>
    <cellStyle name="Millares 2 5 2" xfId="135" xr:uid="{00000000-0005-0000-0000-00009C000000}"/>
    <cellStyle name="Millares 2 5 3" xfId="331" xr:uid="{00000000-0005-0000-0000-00009D000000}"/>
    <cellStyle name="Millares 2 5 4" xfId="627" xr:uid="{AE2C127A-BEAF-4FD2-BF09-9F2FD2E1F528}"/>
    <cellStyle name="Millares 2 6" xfId="136" xr:uid="{00000000-0005-0000-0000-00009E000000}"/>
    <cellStyle name="Millares 2 7" xfId="137" xr:uid="{00000000-0005-0000-0000-00009F000000}"/>
    <cellStyle name="Millares 2 8" xfId="138" xr:uid="{00000000-0005-0000-0000-0000A0000000}"/>
    <cellStyle name="Millares 2 9" xfId="332" xr:uid="{00000000-0005-0000-0000-0000A1000000}"/>
    <cellStyle name="Millares 3" xfId="9" xr:uid="{00000000-0005-0000-0000-0000A2000000}"/>
    <cellStyle name="Millares 3 2" xfId="15" xr:uid="{00000000-0005-0000-0000-0000A3000000}"/>
    <cellStyle name="Millares 3 2 2" xfId="139" xr:uid="{00000000-0005-0000-0000-0000A4000000}"/>
    <cellStyle name="Millares 3 2 3" xfId="628" xr:uid="{DAEAB415-48A7-4DEF-A6C6-3019F5809410}"/>
    <cellStyle name="Millares 3 3" xfId="333" xr:uid="{00000000-0005-0000-0000-0000A5000000}"/>
    <cellStyle name="Millares 3 3 2" xfId="629" xr:uid="{C192802C-D504-481C-9967-AE9473FBBE86}"/>
    <cellStyle name="Millares 3 4" xfId="334" xr:uid="{00000000-0005-0000-0000-0000A6000000}"/>
    <cellStyle name="Millares 3 5" xfId="439" xr:uid="{4F209B71-D53F-479A-9405-FBC4D5717315}"/>
    <cellStyle name="Millares 3 6" xfId="826" xr:uid="{667D09FF-618B-4C6E-A906-5E8C8CBB6D0C}"/>
    <cellStyle name="Millares 4" xfId="13" xr:uid="{00000000-0005-0000-0000-0000A7000000}"/>
    <cellStyle name="Millares 4 2" xfId="140" xr:uid="{00000000-0005-0000-0000-0000A8000000}"/>
    <cellStyle name="Millares 4 2 2" xfId="141" xr:uid="{00000000-0005-0000-0000-0000A9000000}"/>
    <cellStyle name="Millares 4 2 3" xfId="335" xr:uid="{00000000-0005-0000-0000-0000AA000000}"/>
    <cellStyle name="Millares 4 2 4" xfId="336" xr:uid="{00000000-0005-0000-0000-0000AB000000}"/>
    <cellStyle name="Millares 4 3" xfId="337" xr:uid="{00000000-0005-0000-0000-0000AC000000}"/>
    <cellStyle name="Millares 4 4" xfId="440" xr:uid="{1BDF7100-1293-42FF-90B1-E7839F64BCD1}"/>
    <cellStyle name="Millares 5" xfId="22" xr:uid="{00000000-0005-0000-0000-0000AD000000}"/>
    <cellStyle name="Millares 5 2" xfId="142" xr:uid="{00000000-0005-0000-0000-0000AE000000}"/>
    <cellStyle name="Millares 5 2 2" xfId="143" xr:uid="{00000000-0005-0000-0000-0000AF000000}"/>
    <cellStyle name="Millares 5 2 3" xfId="338" xr:uid="{00000000-0005-0000-0000-0000B0000000}"/>
    <cellStyle name="Millares 5 2 4" xfId="339" xr:uid="{00000000-0005-0000-0000-0000B1000000}"/>
    <cellStyle name="Millares 5 2 5" xfId="810" xr:uid="{569727C4-A9B0-46C9-B51C-00EA3C219596}"/>
    <cellStyle name="Millares 5 3" xfId="144" xr:uid="{00000000-0005-0000-0000-0000B2000000}"/>
    <cellStyle name="Millares 5 3 2" xfId="145" xr:uid="{00000000-0005-0000-0000-0000B3000000}"/>
    <cellStyle name="Millares 5 3 3" xfId="340" xr:uid="{00000000-0005-0000-0000-0000B4000000}"/>
    <cellStyle name="Millares 5 4" xfId="146" xr:uid="{00000000-0005-0000-0000-0000B5000000}"/>
    <cellStyle name="Millares 5 4 2" xfId="341" xr:uid="{00000000-0005-0000-0000-0000B6000000}"/>
    <cellStyle name="Millares 5 5" xfId="147" xr:uid="{00000000-0005-0000-0000-0000B7000000}"/>
    <cellStyle name="Millares 5 5 2" xfId="342" xr:uid="{00000000-0005-0000-0000-0000B8000000}"/>
    <cellStyle name="Millares 5 6" xfId="343" xr:uid="{00000000-0005-0000-0000-0000B9000000}"/>
    <cellStyle name="Millares 5 7" xfId="630" xr:uid="{D5F584CC-DC08-472C-9C43-9E3B5E2DC921}"/>
    <cellStyle name="Millares 6" xfId="148" xr:uid="{00000000-0005-0000-0000-0000BA000000}"/>
    <cellStyle name="Millares 6 2" xfId="149" xr:uid="{00000000-0005-0000-0000-0000BB000000}"/>
    <cellStyle name="Millares 6 2 2" xfId="150" xr:uid="{00000000-0005-0000-0000-0000BC000000}"/>
    <cellStyle name="Millares 6 2 3" xfId="344" xr:uid="{00000000-0005-0000-0000-0000BD000000}"/>
    <cellStyle name="Millares 6 2 4" xfId="345" xr:uid="{00000000-0005-0000-0000-0000BE000000}"/>
    <cellStyle name="Millares 6 3" xfId="151" xr:uid="{00000000-0005-0000-0000-0000BF000000}"/>
    <cellStyle name="Millares 6 4" xfId="346" xr:uid="{00000000-0005-0000-0000-0000C0000000}"/>
    <cellStyle name="Millares 6 5" xfId="631" xr:uid="{61660500-CBE0-4B41-85FD-A1B2B6E92E28}"/>
    <cellStyle name="Millares 7" xfId="152" xr:uid="{00000000-0005-0000-0000-0000C1000000}"/>
    <cellStyle name="Millares 7 2" xfId="153" xr:uid="{00000000-0005-0000-0000-0000C2000000}"/>
    <cellStyle name="Millares 7 2 2" xfId="347" xr:uid="{00000000-0005-0000-0000-0000C3000000}"/>
    <cellStyle name="Millares 7 2 3" xfId="348" xr:uid="{00000000-0005-0000-0000-0000C4000000}"/>
    <cellStyle name="Millares 7 3" xfId="154" xr:uid="{00000000-0005-0000-0000-0000C5000000}"/>
    <cellStyle name="Millares 7 3 2" xfId="349" xr:uid="{00000000-0005-0000-0000-0000C6000000}"/>
    <cellStyle name="Millares 7 4" xfId="155" xr:uid="{00000000-0005-0000-0000-0000C7000000}"/>
    <cellStyle name="Millares 7 4 2" xfId="350" xr:uid="{00000000-0005-0000-0000-0000C8000000}"/>
    <cellStyle name="Millares 7 5" xfId="156" xr:uid="{00000000-0005-0000-0000-0000C9000000}"/>
    <cellStyle name="Millares 7 5 2" xfId="351" xr:uid="{00000000-0005-0000-0000-0000CA000000}"/>
    <cellStyle name="Millares 7 6" xfId="157" xr:uid="{00000000-0005-0000-0000-0000CB000000}"/>
    <cellStyle name="Millares 7 7" xfId="806" xr:uid="{9C093E60-C159-4590-8E10-D0318D4FAE97}"/>
    <cellStyle name="Millares 8" xfId="158" xr:uid="{00000000-0005-0000-0000-0000CC000000}"/>
    <cellStyle name="Millares 8 2" xfId="352" xr:uid="{00000000-0005-0000-0000-0000CD000000}"/>
    <cellStyle name="Millares 8 2 2" xfId="353" xr:uid="{00000000-0005-0000-0000-0000CE000000}"/>
    <cellStyle name="Millares 8 3" xfId="354" xr:uid="{00000000-0005-0000-0000-0000CF000000}"/>
    <cellStyle name="Millares 8 4" xfId="632" xr:uid="{EC3079A8-1C20-4AA2-98BF-6EBAE0B5629A}"/>
    <cellStyle name="Millares 9" xfId="159" xr:uid="{00000000-0005-0000-0000-0000D0000000}"/>
    <cellStyle name="Millares 9 2" xfId="355" xr:uid="{00000000-0005-0000-0000-0000D1000000}"/>
    <cellStyle name="Millares 9 3" xfId="809" xr:uid="{29D9D326-370A-4CE6-A698-54DAF8431891}"/>
    <cellStyle name="MODELO-1" xfId="356" xr:uid="{00000000-0005-0000-0000-0000D2000000}"/>
    <cellStyle name="Moeda [0]_Costo Operación T177 Fase II" xfId="633" xr:uid="{1F80F08D-1EFD-47C7-95CB-E3F2067C58F3}"/>
    <cellStyle name="Moeda_Costo Operación T177 Fase II" xfId="634" xr:uid="{CE30A1B3-2A89-43AE-937F-D8CA9043ADB6}"/>
    <cellStyle name="Moneda [0]" xfId="828" builtinId="7"/>
    <cellStyle name="Moneda [0] 2" xfId="813" xr:uid="{8B1D569F-9C29-40D8-B02D-ED0C4D4DFD8C}"/>
    <cellStyle name="Moneda [0] 3" xfId="814" xr:uid="{081B8DDB-EADB-4404-BF1A-A0B3BC47BA23}"/>
    <cellStyle name="Moneda [0] 4" xfId="819" xr:uid="{5B203DB7-0ED9-47E3-913C-52B230227DB9}"/>
    <cellStyle name="Moneda [0] 5" xfId="827" xr:uid="{FCA1829F-5A00-41E9-AAD7-1DE31FFF4CF8}"/>
    <cellStyle name="Moneda 2" xfId="6" xr:uid="{00000000-0005-0000-0000-0000D4000000}"/>
    <cellStyle name="Moneda 2 2" xfId="160" xr:uid="{00000000-0005-0000-0000-0000D5000000}"/>
    <cellStyle name="Moneda 2 2 2" xfId="357" xr:uid="{00000000-0005-0000-0000-0000D6000000}"/>
    <cellStyle name="Moneda 2 2 2 2" xfId="636" xr:uid="{133E0D96-EE60-44B1-8534-905EBEAEC840}"/>
    <cellStyle name="Moneda 2 2 3" xfId="635" xr:uid="{E6C3B3B9-0C9D-4156-B42E-F989A8C64537}"/>
    <cellStyle name="Moneda 2 3" xfId="358" xr:uid="{00000000-0005-0000-0000-0000D7000000}"/>
    <cellStyle name="Moneda 2 3 2" xfId="637" xr:uid="{32AE3392-F1BC-46C4-B985-17F02D0380D4}"/>
    <cellStyle name="Moneda 2 4" xfId="359" xr:uid="{00000000-0005-0000-0000-0000D8000000}"/>
    <cellStyle name="Moneda 2 4 2" xfId="638" xr:uid="{7BE197C8-9186-416E-BBE8-050FDAB47D4F}"/>
    <cellStyle name="Moneda 2 5" xfId="824" xr:uid="{08AEDF6B-BB6E-445E-B907-832EDFB1481E}"/>
    <cellStyle name="Moneda 3" xfId="10" xr:uid="{00000000-0005-0000-0000-0000D9000000}"/>
    <cellStyle name="Moneda 3 2" xfId="161" xr:uid="{00000000-0005-0000-0000-0000DA000000}"/>
    <cellStyle name="Moneda 3 2 2" xfId="162" xr:uid="{00000000-0005-0000-0000-0000DB000000}"/>
    <cellStyle name="Moneda 3 2 3" xfId="360" xr:uid="{00000000-0005-0000-0000-0000DC000000}"/>
    <cellStyle name="Moneda 3 2 4" xfId="640" xr:uid="{4AD65A89-6EE3-4595-B10B-C8BCB60E1CDE}"/>
    <cellStyle name="Moneda 3 3" xfId="163" xr:uid="{00000000-0005-0000-0000-0000DD000000}"/>
    <cellStyle name="Moneda 3 4" xfId="639" xr:uid="{2B76A3EE-D4BA-4901-98C4-A605C2892D32}"/>
    <cellStyle name="Moneda 4" xfId="14" xr:uid="{00000000-0005-0000-0000-0000DE000000}"/>
    <cellStyle name="Moneda 5" xfId="164" xr:uid="{00000000-0005-0000-0000-0000DF000000}"/>
    <cellStyle name="Moneda 6" xfId="165" xr:uid="{00000000-0005-0000-0000-0000E0000000}"/>
    <cellStyle name="Moneda 7" xfId="816" xr:uid="{391D672A-8435-478A-BB49-AC2F7564E782}"/>
    <cellStyle name="Moneda0" xfId="361" xr:uid="{00000000-0005-0000-0000-0000E1000000}"/>
    <cellStyle name="Monetario" xfId="362" xr:uid="{00000000-0005-0000-0000-0000E2000000}"/>
    <cellStyle name="Monetario 2" xfId="642" xr:uid="{E4C6979B-DD17-4E66-9E34-FB62E0296FBE}"/>
    <cellStyle name="Monetario 3" xfId="643" xr:uid="{FDF6AA58-974B-4B47-905B-A1DED711B4D0}"/>
    <cellStyle name="Monetario 4" xfId="641" xr:uid="{EAF498B6-63BD-4642-97D0-6DF9DE162876}"/>
    <cellStyle name="Monetario0" xfId="363" xr:uid="{00000000-0005-0000-0000-0000E3000000}"/>
    <cellStyle name="Monetario0 2" xfId="644" xr:uid="{E525E9F0-5185-404C-A0C3-EB6CDE46DD72}"/>
    <cellStyle name="Monetario0 2 2" xfId="645" xr:uid="{0558534C-7D7D-450F-8537-CB41449A3D77}"/>
    <cellStyle name="Monetario0 3" xfId="646" xr:uid="{184C1E4A-075C-4EEE-9B22-5C342A6B34DD}"/>
    <cellStyle name="Monetario0 4" xfId="647" xr:uid="{58C7031D-4061-4026-84B5-BA74687E7C11}"/>
    <cellStyle name="Monetario0 5" xfId="648" xr:uid="{FBEB6A5D-CC78-4FA9-927E-74F3F4523FA4}"/>
    <cellStyle name="Monetario0 6" xfId="649" xr:uid="{F16675A3-A42A-4ACA-829F-137146ECFD00}"/>
    <cellStyle name="Monetario0 7" xfId="650" xr:uid="{1787062D-3FD3-42B1-8769-3FC0AE4B3AD4}"/>
    <cellStyle name="Monetario0 8" xfId="651" xr:uid="{5F78B0A3-1BD5-4224-B3C2-B37A7381D3EA}"/>
    <cellStyle name="Monetario0 9" xfId="441" xr:uid="{77FA7327-75E7-4C30-BB8C-3BD27DF0A791}"/>
    <cellStyle name="Months" xfId="652" xr:uid="{D34A98C6-A067-457A-AD44-953D3AF568E4}"/>
    <cellStyle name="Months 2" xfId="653" xr:uid="{B7377CA8-D19E-40E4-9119-3EF557321A83}"/>
    <cellStyle name="Neutral 2" xfId="166" xr:uid="{00000000-0005-0000-0000-0000E4000000}"/>
    <cellStyle name="Neutral 2 2" xfId="167" xr:uid="{00000000-0005-0000-0000-0000E5000000}"/>
    <cellStyle name="Neutral 3" xfId="168" xr:uid="{00000000-0005-0000-0000-0000E6000000}"/>
    <cellStyle name="NivelFila_1_costos equipos" xfId="169" xr:uid="{00000000-0005-0000-0000-0000E7000000}"/>
    <cellStyle name="no dec" xfId="654" xr:uid="{06113B86-810F-4A53-B864-00472E84A740}"/>
    <cellStyle name="No-definido" xfId="364" xr:uid="{00000000-0005-0000-0000-0000E8000000}"/>
    <cellStyle name="Normal" xfId="0" builtinId="0"/>
    <cellStyle name="Normal - Estilo1" xfId="655" xr:uid="{409BAFBD-2D0A-42FD-8BF6-2B464208D317}"/>
    <cellStyle name="Normal - Estilo2" xfId="656" xr:uid="{F8FD8805-35D4-4BBF-89A9-C5FB5A70C9C9}"/>
    <cellStyle name="Normal - Estilo3" xfId="657" xr:uid="{53A5909D-752F-48D4-974E-D21D5ADD0AE1}"/>
    <cellStyle name="Normal - Estilo4" xfId="658" xr:uid="{66E61297-8E19-4231-A971-D4AA2EAAD15C}"/>
    <cellStyle name="Normal - Estilo5" xfId="659" xr:uid="{10BA5950-3B65-4E91-BA5F-2CF3D9D139B2}"/>
    <cellStyle name="Normal - Estilo6" xfId="660" xr:uid="{52C65819-C064-49F4-9E56-5027A6C468C7}"/>
    <cellStyle name="Normal - Estilo7" xfId="661" xr:uid="{AD7E269F-1634-4CC6-BB79-E4B09236ED34}"/>
    <cellStyle name="Normal - Estilo8" xfId="662" xr:uid="{D3D3166C-AE6E-43A7-8804-75431D04D579}"/>
    <cellStyle name="Normal - Modelo1" xfId="663" xr:uid="{CA8C0654-77FC-4505-B267-BFE718E931AD}"/>
    <cellStyle name="Normal - Modelo2" xfId="664" xr:uid="{EFB519E3-22E3-4710-B2A0-66D484B31F56}"/>
    <cellStyle name="Normal - Modelo3" xfId="665" xr:uid="{E7FE5989-A52A-4FBE-90E9-873CAFADE1DE}"/>
    <cellStyle name="Normal - Modelo4" xfId="666" xr:uid="{BDA603EE-E89F-426A-89B7-83893D376493}"/>
    <cellStyle name="Normal - Modelo5" xfId="667" xr:uid="{AB1CD4CD-97AC-407C-96AF-113A842F3B1A}"/>
    <cellStyle name="Normal - Modelo6" xfId="668" xr:uid="{7432CB30-00B6-454F-81FD-DC9B9C80B98B}"/>
    <cellStyle name="Normal - Modelo7" xfId="669" xr:uid="{31A1074B-5FA5-4DAA-AB56-EE0F77B69B40}"/>
    <cellStyle name="Normal - Modelo8" xfId="670" xr:uid="{BE19023A-7A8C-47D0-AFA3-5CCB062F8EBF}"/>
    <cellStyle name="Normal - Style1" xfId="671" xr:uid="{C52741C5-1D97-488D-B799-BA874D56A8DC}"/>
    <cellStyle name="Normal 1" xfId="672" xr:uid="{0B96C4FD-4E04-4921-BCA2-22F9AD091D16}"/>
    <cellStyle name="Normal 10" xfId="170" xr:uid="{00000000-0005-0000-0000-0000EA000000}"/>
    <cellStyle name="Normal 10 2" xfId="171" xr:uid="{00000000-0005-0000-0000-0000EB000000}"/>
    <cellStyle name="Normal 10 2 2" xfId="172" xr:uid="{00000000-0005-0000-0000-0000EC000000}"/>
    <cellStyle name="Normal 10 2 3" xfId="365" xr:uid="{00000000-0005-0000-0000-0000ED000000}"/>
    <cellStyle name="Normal 11" xfId="173" xr:uid="{00000000-0005-0000-0000-0000EE000000}"/>
    <cellStyle name="Normal 11 2" xfId="174" xr:uid="{00000000-0005-0000-0000-0000EF000000}"/>
    <cellStyle name="Normal 11 2 2" xfId="175" xr:uid="{00000000-0005-0000-0000-0000F0000000}"/>
    <cellStyle name="Normal 11 2 3" xfId="366" xr:uid="{00000000-0005-0000-0000-0000F1000000}"/>
    <cellStyle name="Normal 12" xfId="176" xr:uid="{00000000-0005-0000-0000-0000F2000000}"/>
    <cellStyle name="Normal 12 2" xfId="177" xr:uid="{00000000-0005-0000-0000-0000F3000000}"/>
    <cellStyle name="Normal 12 2 2" xfId="178" xr:uid="{00000000-0005-0000-0000-0000F4000000}"/>
    <cellStyle name="Normal 12 2 3" xfId="367" xr:uid="{00000000-0005-0000-0000-0000F5000000}"/>
    <cellStyle name="Normal 13" xfId="179" xr:uid="{00000000-0005-0000-0000-0000F6000000}"/>
    <cellStyle name="Normal 13 2" xfId="180" xr:uid="{00000000-0005-0000-0000-0000F7000000}"/>
    <cellStyle name="Normal 13 3" xfId="368" xr:uid="{00000000-0005-0000-0000-0000F8000000}"/>
    <cellStyle name="Normal 13 4" xfId="807" xr:uid="{8A9CE70A-CB9D-4355-A2A6-82E44742E844}"/>
    <cellStyle name="Normal 14" xfId="181" xr:uid="{00000000-0005-0000-0000-0000F9000000}"/>
    <cellStyle name="Normal 14 2" xfId="369" xr:uid="{00000000-0005-0000-0000-0000FA000000}"/>
    <cellStyle name="Normal 14 3" xfId="812" xr:uid="{0AB8F83D-C252-4B73-90C2-D2A516B9EE7F}"/>
    <cellStyle name="Normal 15" xfId="182" xr:uid="{00000000-0005-0000-0000-0000FB000000}"/>
    <cellStyle name="Normal 15 2" xfId="183" xr:uid="{00000000-0005-0000-0000-0000FC000000}"/>
    <cellStyle name="Normal 15 2 2" xfId="370" xr:uid="{00000000-0005-0000-0000-0000FD000000}"/>
    <cellStyle name="Normal 16" xfId="184" xr:uid="{00000000-0005-0000-0000-0000FE000000}"/>
    <cellStyle name="Normal 16 2" xfId="185" xr:uid="{00000000-0005-0000-0000-0000FF000000}"/>
    <cellStyle name="Normal 16 2 2" xfId="186" xr:uid="{00000000-0005-0000-0000-000000010000}"/>
    <cellStyle name="Normal 17" xfId="187" xr:uid="{00000000-0005-0000-0000-000001010000}"/>
    <cellStyle name="Normal 17 2" xfId="188" xr:uid="{00000000-0005-0000-0000-000002010000}"/>
    <cellStyle name="Normal 17 2 2" xfId="371" xr:uid="{00000000-0005-0000-0000-000003010000}"/>
    <cellStyle name="Normal 17 3" xfId="372" xr:uid="{00000000-0005-0000-0000-000004010000}"/>
    <cellStyle name="Normal 17 4" xfId="373" xr:uid="{00000000-0005-0000-0000-000005010000}"/>
    <cellStyle name="Normal 171" xfId="189" xr:uid="{00000000-0005-0000-0000-000006010000}"/>
    <cellStyle name="Normal 172" xfId="190" xr:uid="{00000000-0005-0000-0000-000007010000}"/>
    <cellStyle name="Normal 18" xfId="191" xr:uid="{00000000-0005-0000-0000-000008010000}"/>
    <cellStyle name="Normal 18 2" xfId="374" xr:uid="{00000000-0005-0000-0000-000009010000}"/>
    <cellStyle name="Normal 19" xfId="23" xr:uid="{00000000-0005-0000-0000-00000A010000}"/>
    <cellStyle name="Normal 2" xfId="1" xr:uid="{00000000-0005-0000-0000-00000B010000}"/>
    <cellStyle name="Normal 2 2" xfId="192" xr:uid="{00000000-0005-0000-0000-00000C010000}"/>
    <cellStyle name="Normal 2 2 2" xfId="193" xr:uid="{00000000-0005-0000-0000-00000D010000}"/>
    <cellStyle name="Normal 2 2 2 2" xfId="194" xr:uid="{00000000-0005-0000-0000-00000E010000}"/>
    <cellStyle name="Normal 2 2 2 2 2" xfId="375" xr:uid="{00000000-0005-0000-0000-00000F010000}"/>
    <cellStyle name="Normal 2 2 2 3" xfId="195" xr:uid="{00000000-0005-0000-0000-000010010000}"/>
    <cellStyle name="Normal 2 2 2 4" xfId="376" xr:uid="{00000000-0005-0000-0000-000011010000}"/>
    <cellStyle name="Normal 2 2 3" xfId="196" xr:uid="{00000000-0005-0000-0000-000012010000}"/>
    <cellStyle name="Normal 2 2 4" xfId="197" xr:uid="{00000000-0005-0000-0000-000013010000}"/>
    <cellStyle name="Normal 2 2 5" xfId="198" xr:uid="{00000000-0005-0000-0000-000014010000}"/>
    <cellStyle name="Normal 2 2 6" xfId="199" xr:uid="{00000000-0005-0000-0000-000015010000}"/>
    <cellStyle name="Normal 2 2 7" xfId="200" xr:uid="{00000000-0005-0000-0000-000016010000}"/>
    <cellStyle name="Normal 2 2 8" xfId="201" xr:uid="{00000000-0005-0000-0000-000017010000}"/>
    <cellStyle name="Normal 2 2 9" xfId="377" xr:uid="{00000000-0005-0000-0000-000018010000}"/>
    <cellStyle name="Normal 2 3" xfId="202" xr:uid="{00000000-0005-0000-0000-000019010000}"/>
    <cellStyle name="Normal 2 3 2" xfId="203" xr:uid="{00000000-0005-0000-0000-00001A010000}"/>
    <cellStyle name="Normal 2 3 2 2" xfId="378" xr:uid="{00000000-0005-0000-0000-00001B010000}"/>
    <cellStyle name="Normal 2 3 3" xfId="204" xr:uid="{00000000-0005-0000-0000-00001C010000}"/>
    <cellStyle name="Normal 2 3 4" xfId="205" xr:uid="{00000000-0005-0000-0000-00001D010000}"/>
    <cellStyle name="Normal 2 3 5" xfId="206" xr:uid="{00000000-0005-0000-0000-00001E010000}"/>
    <cellStyle name="Normal 2 3 6" xfId="207" xr:uid="{00000000-0005-0000-0000-00001F010000}"/>
    <cellStyle name="Normal 2 3 7" xfId="379" xr:uid="{00000000-0005-0000-0000-000020010000}"/>
    <cellStyle name="Normal 2 3 8" xfId="380" xr:uid="{00000000-0005-0000-0000-000021010000}"/>
    <cellStyle name="Normal 2 4" xfId="208" xr:uid="{00000000-0005-0000-0000-000022010000}"/>
    <cellStyle name="Normal 2 4 2" xfId="209" xr:uid="{00000000-0005-0000-0000-000023010000}"/>
    <cellStyle name="Normal 2 4 2 2" xfId="381" xr:uid="{00000000-0005-0000-0000-000024010000}"/>
    <cellStyle name="Normal 2 4 3" xfId="382" xr:uid="{00000000-0005-0000-0000-000025010000}"/>
    <cellStyle name="Normal 2 5" xfId="210" xr:uid="{00000000-0005-0000-0000-000026010000}"/>
    <cellStyle name="Normal 2 5 2" xfId="383" xr:uid="{00000000-0005-0000-0000-000027010000}"/>
    <cellStyle name="Normal 2 5 3" xfId="384" xr:uid="{00000000-0005-0000-0000-000028010000}"/>
    <cellStyle name="Normal 2 6" xfId="211" xr:uid="{00000000-0005-0000-0000-000029010000}"/>
    <cellStyle name="Normal 2 6 2" xfId="385" xr:uid="{00000000-0005-0000-0000-00002A010000}"/>
    <cellStyle name="Normal 2 7" xfId="212" xr:uid="{00000000-0005-0000-0000-00002B010000}"/>
    <cellStyle name="Normal 2 8" xfId="213" xr:uid="{00000000-0005-0000-0000-00002C010000}"/>
    <cellStyle name="Normal 2 9" xfId="386" xr:uid="{00000000-0005-0000-0000-00002D010000}"/>
    <cellStyle name="Normal 2_ECO-01 Lubricanteras Rev1" xfId="673" xr:uid="{200B0127-D6E2-4791-8DCB-9340488D47C9}"/>
    <cellStyle name="Normal 20" xfId="214" xr:uid="{00000000-0005-0000-0000-00002E010000}"/>
    <cellStyle name="Normal 20 2" xfId="387" xr:uid="{00000000-0005-0000-0000-00002F010000}"/>
    <cellStyle name="Normal 21" xfId="215" xr:uid="{00000000-0005-0000-0000-000030010000}"/>
    <cellStyle name="Normal 22" xfId="388" xr:uid="{00000000-0005-0000-0000-000031010000}"/>
    <cellStyle name="Normal 23" xfId="435" xr:uid="{D0E55A38-3743-4D96-ACA3-39B9ED2864DE}"/>
    <cellStyle name="Normal 3" xfId="7" xr:uid="{00000000-0005-0000-0000-000032010000}"/>
    <cellStyle name="Normal 3 2" xfId="16" xr:uid="{00000000-0005-0000-0000-000033010000}"/>
    <cellStyle name="Normal 3 2 2" xfId="216" xr:uid="{00000000-0005-0000-0000-000034010000}"/>
    <cellStyle name="Normal 3 2 2 2" xfId="674" xr:uid="{7EDD3953-B23C-49C2-BC24-672508660F69}"/>
    <cellStyle name="Normal 3 2 3" xfId="389" xr:uid="{00000000-0005-0000-0000-000035010000}"/>
    <cellStyle name="Normal 3 3" xfId="217" xr:uid="{00000000-0005-0000-0000-000036010000}"/>
    <cellStyle name="Normal 3 3 2" xfId="390" xr:uid="{00000000-0005-0000-0000-000037010000}"/>
    <cellStyle name="Normal 3 4" xfId="218" xr:uid="{00000000-0005-0000-0000-000038010000}"/>
    <cellStyle name="Normal 3 4 2" xfId="219" xr:uid="{00000000-0005-0000-0000-000039010000}"/>
    <cellStyle name="Normal 3 4 2 2" xfId="391" xr:uid="{00000000-0005-0000-0000-00003A010000}"/>
    <cellStyle name="Normal 3 4 3" xfId="220" xr:uid="{00000000-0005-0000-0000-00003B010000}"/>
    <cellStyle name="Normal 3 5" xfId="221" xr:uid="{00000000-0005-0000-0000-00003C010000}"/>
    <cellStyle name="Normal 3 6" xfId="222" xr:uid="{00000000-0005-0000-0000-00003D010000}"/>
    <cellStyle name="Normal 3 7" xfId="223" xr:uid="{00000000-0005-0000-0000-00003E010000}"/>
    <cellStyle name="Normal 3 8" xfId="224" xr:uid="{00000000-0005-0000-0000-00003F010000}"/>
    <cellStyle name="Normal 4" xfId="11" xr:uid="{00000000-0005-0000-0000-000040010000}"/>
    <cellStyle name="Normal 4 10" xfId="675" xr:uid="{633FC2DA-6DA2-4D0D-8E4B-1F8EF0885685}"/>
    <cellStyle name="Normal 4 2" xfId="225" xr:uid="{00000000-0005-0000-0000-000041010000}"/>
    <cellStyle name="Normal 4 2 2" xfId="226" xr:uid="{00000000-0005-0000-0000-000042010000}"/>
    <cellStyle name="Normal 4 2 2 2" xfId="392" xr:uid="{00000000-0005-0000-0000-000043010000}"/>
    <cellStyle name="Normal 4 2 3" xfId="227" xr:uid="{00000000-0005-0000-0000-000044010000}"/>
    <cellStyle name="Normal 4 3" xfId="228" xr:uid="{00000000-0005-0000-0000-000045010000}"/>
    <cellStyle name="Normal 4 3 2" xfId="393" xr:uid="{00000000-0005-0000-0000-000046010000}"/>
    <cellStyle name="Normal 4 4" xfId="229" xr:uid="{00000000-0005-0000-0000-000047010000}"/>
    <cellStyle name="Normal 4 4 2" xfId="394" xr:uid="{00000000-0005-0000-0000-000048010000}"/>
    <cellStyle name="Normal 4 5" xfId="230" xr:uid="{00000000-0005-0000-0000-000049010000}"/>
    <cellStyle name="Normal 4 6" xfId="231" xr:uid="{00000000-0005-0000-0000-00004A010000}"/>
    <cellStyle name="Normal 4 7" xfId="232" xr:uid="{00000000-0005-0000-0000-00004B010000}"/>
    <cellStyle name="Normal 4 8" xfId="233" xr:uid="{00000000-0005-0000-0000-00004C010000}"/>
    <cellStyle name="Normal 4 9" xfId="395" xr:uid="{00000000-0005-0000-0000-00004D010000}"/>
    <cellStyle name="Normal 5" xfId="18" xr:uid="{00000000-0005-0000-0000-00004E010000}"/>
    <cellStyle name="Normal 5 2" xfId="234" xr:uid="{00000000-0005-0000-0000-00004F010000}"/>
    <cellStyle name="Normal 5 2 2" xfId="235" xr:uid="{00000000-0005-0000-0000-000050010000}"/>
    <cellStyle name="Normal 5 2 3" xfId="396" xr:uid="{00000000-0005-0000-0000-000051010000}"/>
    <cellStyle name="Normal 5 3" xfId="236" xr:uid="{00000000-0005-0000-0000-000052010000}"/>
    <cellStyle name="Normal 5 3 2" xfId="397" xr:uid="{00000000-0005-0000-0000-000053010000}"/>
    <cellStyle name="Normal 5 4" xfId="237" xr:uid="{00000000-0005-0000-0000-000054010000}"/>
    <cellStyle name="Normal 5 4 2" xfId="398" xr:uid="{00000000-0005-0000-0000-000055010000}"/>
    <cellStyle name="Normal 5 5" xfId="238" xr:uid="{00000000-0005-0000-0000-000056010000}"/>
    <cellStyle name="Normal 5 6" xfId="239" xr:uid="{00000000-0005-0000-0000-000057010000}"/>
    <cellStyle name="Normal 5 7" xfId="240" xr:uid="{00000000-0005-0000-0000-000058010000}"/>
    <cellStyle name="Normal 5 8" xfId="241" xr:uid="{00000000-0005-0000-0000-000059010000}"/>
    <cellStyle name="Normal 5 9" xfId="399" xr:uid="{00000000-0005-0000-0000-00005A010000}"/>
    <cellStyle name="Normal 6" xfId="242" xr:uid="{00000000-0005-0000-0000-00005B010000}"/>
    <cellStyle name="Normal 6 2" xfId="243" xr:uid="{00000000-0005-0000-0000-00005C010000}"/>
    <cellStyle name="Normal 6 2 2" xfId="244" xr:uid="{00000000-0005-0000-0000-00005D010000}"/>
    <cellStyle name="Normal 6 2 3" xfId="400" xr:uid="{00000000-0005-0000-0000-00005E010000}"/>
    <cellStyle name="Normal 6 3" xfId="245" xr:uid="{00000000-0005-0000-0000-00005F010000}"/>
    <cellStyle name="Normal 6 3 2" xfId="401" xr:uid="{00000000-0005-0000-0000-000060010000}"/>
    <cellStyle name="Normal 6 4" xfId="246" xr:uid="{00000000-0005-0000-0000-000061010000}"/>
    <cellStyle name="Normal 6 4 2" xfId="402" xr:uid="{00000000-0005-0000-0000-000062010000}"/>
    <cellStyle name="Normal 6 5" xfId="403" xr:uid="{00000000-0005-0000-0000-000063010000}"/>
    <cellStyle name="Normal 7" xfId="247" xr:uid="{00000000-0005-0000-0000-000064010000}"/>
    <cellStyle name="Normal 7 2" xfId="248" xr:uid="{00000000-0005-0000-0000-000065010000}"/>
    <cellStyle name="Normal 7 2 2" xfId="249" xr:uid="{00000000-0005-0000-0000-000066010000}"/>
    <cellStyle name="Normal 7 2 3" xfId="404" xr:uid="{00000000-0005-0000-0000-000067010000}"/>
    <cellStyle name="Normal 7 3" xfId="250" xr:uid="{00000000-0005-0000-0000-000068010000}"/>
    <cellStyle name="Normal 7 3 2" xfId="405" xr:uid="{00000000-0005-0000-0000-000069010000}"/>
    <cellStyle name="Normal 7 4" xfId="251" xr:uid="{00000000-0005-0000-0000-00006A010000}"/>
    <cellStyle name="Normal 7 4 2" xfId="406" xr:uid="{00000000-0005-0000-0000-00006B010000}"/>
    <cellStyle name="Normal 8" xfId="252" xr:uid="{00000000-0005-0000-0000-00006C010000}"/>
    <cellStyle name="Normal 8 2" xfId="253" xr:uid="{00000000-0005-0000-0000-00006D010000}"/>
    <cellStyle name="Normal 8 2 2" xfId="254" xr:uid="{00000000-0005-0000-0000-00006E010000}"/>
    <cellStyle name="Normal 8 2 3" xfId="407" xr:uid="{00000000-0005-0000-0000-00006F010000}"/>
    <cellStyle name="Normal 8 3" xfId="255" xr:uid="{00000000-0005-0000-0000-000070010000}"/>
    <cellStyle name="Normal 8 3 2" xfId="408" xr:uid="{00000000-0005-0000-0000-000071010000}"/>
    <cellStyle name="Normal 8 4" xfId="256" xr:uid="{00000000-0005-0000-0000-000072010000}"/>
    <cellStyle name="Normal 8 4 2" xfId="409" xr:uid="{00000000-0005-0000-0000-000073010000}"/>
    <cellStyle name="Normal 8 5" xfId="410" xr:uid="{00000000-0005-0000-0000-000074010000}"/>
    <cellStyle name="Normal 9" xfId="257" xr:uid="{00000000-0005-0000-0000-000075010000}"/>
    <cellStyle name="Normal 9 2" xfId="258" xr:uid="{00000000-0005-0000-0000-000076010000}"/>
    <cellStyle name="Normal 9 2 2" xfId="259" xr:uid="{00000000-0005-0000-0000-000077010000}"/>
    <cellStyle name="Normal 9 2 3" xfId="411" xr:uid="{00000000-0005-0000-0000-000078010000}"/>
    <cellStyle name="Normal 9 2 4" xfId="412" xr:uid="{00000000-0005-0000-0000-000079010000}"/>
    <cellStyle name="Normal 9 3" xfId="260" xr:uid="{00000000-0005-0000-0000-00007A010000}"/>
    <cellStyle name="Normal 9 3 2" xfId="413" xr:uid="{00000000-0005-0000-0000-00007B010000}"/>
    <cellStyle name="Normal 9 4" xfId="261" xr:uid="{00000000-0005-0000-0000-00007C010000}"/>
    <cellStyle name="Normal 9 4 2" xfId="414" xr:uid="{00000000-0005-0000-0000-00007D010000}"/>
    <cellStyle name="Normal 9 5" xfId="415" xr:uid="{00000000-0005-0000-0000-00007E010000}"/>
    <cellStyle name="Normal Luis Sepúlveda" xfId="676" xr:uid="{D6983410-91F6-4C7B-A3AE-6E532E369703}"/>
    <cellStyle name="Notas 2" xfId="262" xr:uid="{00000000-0005-0000-0000-000081010000}"/>
    <cellStyle name="Notas 2 2" xfId="263" xr:uid="{00000000-0005-0000-0000-000082010000}"/>
    <cellStyle name="Notas 3" xfId="264" xr:uid="{00000000-0005-0000-0000-000083010000}"/>
    <cellStyle name="Notas 3 2" xfId="677" xr:uid="{1CA39AFE-9E4D-415F-A42F-A50303341FEB}"/>
    <cellStyle name="Notas 4" xfId="265" xr:uid="{00000000-0005-0000-0000-000084010000}"/>
    <cellStyle name="Notas 4 2" xfId="416" xr:uid="{00000000-0005-0000-0000-000085010000}"/>
    <cellStyle name="Notas 5" xfId="678" xr:uid="{BDDCE157-7830-4F35-BDE8-121B9426E14A}"/>
    <cellStyle name="Notas 6" xfId="679" xr:uid="{D9E874CD-5986-4E43-A370-E332EC0A1BB8}"/>
    <cellStyle name="Notas 7" xfId="680" xr:uid="{B8016BCB-7D26-4BF8-88F9-368A0A75E558}"/>
    <cellStyle name="Notas 8" xfId="681" xr:uid="{F6B481B6-46FF-47F7-BC61-C4BCA798E25F}"/>
    <cellStyle name="Note" xfId="266" xr:uid="{00000000-0005-0000-0000-000086010000}"/>
    <cellStyle name="Note 2" xfId="682" xr:uid="{63EB464A-69E2-4349-878A-E65107A2691F}"/>
    <cellStyle name="'O" xfId="683" xr:uid="{959F01C8-96FC-45F4-8466-442E4E4B5585}"/>
    <cellStyle name="oft Excel]_x000d__x000a_Comment=Las líneas open=/f cargan funciones personalizadas en la lista del diálogo Pegar función._x000d__x000a_Maxi" xfId="684" xr:uid="{A776DFD8-E2B6-4E42-9390-91D2B8727FC9}"/>
    <cellStyle name="oft Excel]_x000d__x000a_Options3=0_x000d__x000a_Options5=1729_x000d__x000a_User=MINMETAL S.A._x000d__x000a_Font=Times New Roman,10_x000d__x000a_AltStartup=_x000d__x000a_StickyPtX=324_x000d__x000a_Sti" xfId="685" xr:uid="{1A109421-A75C-4136-9EB7-34F598C12252}"/>
    <cellStyle name="Output" xfId="267" xr:uid="{00000000-0005-0000-0000-000087010000}"/>
    <cellStyle name="Output 2" xfId="686" xr:uid="{08268F45-B632-4B08-9BEE-FC99884A5185}"/>
    <cellStyle name="Percen - Style1" xfId="417" xr:uid="{00000000-0005-0000-0000-000088010000}"/>
    <cellStyle name="Percent" xfId="687" xr:uid="{135F48E2-7865-47C3-A581-FDC7744EBB6B}"/>
    <cellStyle name="Percent [0]" xfId="688" xr:uid="{990BA98E-4B70-4BFE-80AB-04D80510931D}"/>
    <cellStyle name="Percent [0] 2" xfId="689" xr:uid="{4E7F9DAC-CEF0-4460-887E-A9DA85CFFC14}"/>
    <cellStyle name="Percent [00]" xfId="690" xr:uid="{5B7E8A16-F043-467E-BA10-1CC4FAE51E20}"/>
    <cellStyle name="Percent [00] 2" xfId="691" xr:uid="{5BB314E4-810A-412E-AC63-639C7301D89D}"/>
    <cellStyle name="Percent [2]" xfId="692" xr:uid="{4F35B180-86A2-415E-96E4-3D794BE87AF0}"/>
    <cellStyle name="Percent [2] 2" xfId="693" xr:uid="{5B1C351C-650F-49C2-A577-6056B2C1A887}"/>
    <cellStyle name="Percent_#6 Temps &amp; Contractors" xfId="694" xr:uid="{93391ECE-DFEF-46F3-94EB-DA1583030B72}"/>
    <cellStyle name="percentGradeA" xfId="695" xr:uid="{911B0AD6-BDDA-4026-AB23-C64927482CF2}"/>
    <cellStyle name="PLANTILLA" xfId="696" xr:uid="{6CC1AF56-3EF6-4E20-92DD-26FF6DFCDA39}"/>
    <cellStyle name="PLANTILLA 2" xfId="697" xr:uid="{020D8362-708A-4C17-BCFA-091C90B28B79}"/>
    <cellStyle name="Porcen - Estilo2" xfId="698" xr:uid="{88664F78-44A9-4A55-8281-36A8401686FC}"/>
    <cellStyle name="Porcentaje" xfId="434" builtinId="5"/>
    <cellStyle name="Porcentaje 2" xfId="24" xr:uid="{00000000-0005-0000-0000-00008A010000}"/>
    <cellStyle name="Porcentaje 2 10" xfId="811" xr:uid="{8BE01D7E-4E03-43CC-98DF-8D36FF8FB3F7}"/>
    <cellStyle name="Porcentaje 2 2" xfId="268" xr:uid="{00000000-0005-0000-0000-00008B010000}"/>
    <cellStyle name="Porcentaje 2 3" xfId="418" xr:uid="{00000000-0005-0000-0000-00008C010000}"/>
    <cellStyle name="Porcentaje 2 4" xfId="823" xr:uid="{AA55C0E4-5434-4251-ADCA-620251A7EA44}"/>
    <cellStyle name="Porcentaje 3" xfId="25" xr:uid="{00000000-0005-0000-0000-00008D010000}"/>
    <cellStyle name="Porcentaje 3 2" xfId="699" xr:uid="{74E40323-2677-4FE3-BFDB-A5D3EB0BFA42}"/>
    <cellStyle name="Porcentaje 4" xfId="26" xr:uid="{00000000-0005-0000-0000-00008E010000}"/>
    <cellStyle name="Porcentaje 4 2" xfId="808" xr:uid="{CD1C36B1-0F1B-465B-ABAC-7DF18A9A847D}"/>
    <cellStyle name="Porcentaje 5" xfId="821" xr:uid="{BF9FE34B-90B0-45B2-A7AE-3BEDAFF28D57}"/>
    <cellStyle name="Porcentual 11" xfId="700" xr:uid="{4E49037F-D04B-4B6C-B8C1-DEA24E77C877}"/>
    <cellStyle name="Porcentual 11 2" xfId="701" xr:uid="{1D3C1ED7-DE8E-49D0-BF79-1DBFC2FF2FAF}"/>
    <cellStyle name="Porcentual 2" xfId="3" xr:uid="{00000000-0005-0000-0000-00008F010000}"/>
    <cellStyle name="Porcentual 2 2" xfId="269" xr:uid="{00000000-0005-0000-0000-000090010000}"/>
    <cellStyle name="Porcentual 2 2 2" xfId="270" xr:uid="{00000000-0005-0000-0000-000091010000}"/>
    <cellStyle name="Porcentual 2 2 3" xfId="419" xr:uid="{00000000-0005-0000-0000-000092010000}"/>
    <cellStyle name="Porcentual 2 2 4" xfId="420" xr:uid="{00000000-0005-0000-0000-000093010000}"/>
    <cellStyle name="Porcentual 2 3" xfId="271" xr:uid="{00000000-0005-0000-0000-000094010000}"/>
    <cellStyle name="Porcentual 2 3 2" xfId="702" xr:uid="{89E3F753-B536-4ABE-8913-5F9E2B6FED1F}"/>
    <cellStyle name="Porcentual 2 4" xfId="421" xr:uid="{00000000-0005-0000-0000-000095010000}"/>
    <cellStyle name="Porcentual 3" xfId="8" xr:uid="{00000000-0005-0000-0000-000096010000}"/>
    <cellStyle name="Porcentual 3 2" xfId="422" xr:uid="{00000000-0005-0000-0000-000097010000}"/>
    <cellStyle name="Porcentual 3 3" xfId="703" xr:uid="{68805E1B-8346-4189-9002-DD77413F6846}"/>
    <cellStyle name="Porcentual 4" xfId="12" xr:uid="{00000000-0005-0000-0000-000098010000}"/>
    <cellStyle name="Porcentual 4 2" xfId="423" xr:uid="{00000000-0005-0000-0000-000099010000}"/>
    <cellStyle name="Porcentual 4 3" xfId="424" xr:uid="{00000000-0005-0000-0000-00009A010000}"/>
    <cellStyle name="Porcentual 5" xfId="272" xr:uid="{00000000-0005-0000-0000-00009B010000}"/>
    <cellStyle name="PrePop Currency (0)" xfId="704" xr:uid="{5B12E595-7FE0-4321-933A-98A430387B65}"/>
    <cellStyle name="PrePop Currency (0) 2" xfId="705" xr:uid="{130C95D0-DFBD-4696-8D29-F4AD18BFFAFF}"/>
    <cellStyle name="PrePop Currency (2)" xfId="706" xr:uid="{F4DD9558-4315-45E2-B5BE-E99486150B39}"/>
    <cellStyle name="PrePop Units (0)" xfId="707" xr:uid="{610CABFF-EA73-45A0-B8F6-7DD33BAD3C63}"/>
    <cellStyle name="PrePop Units (0) 2" xfId="708" xr:uid="{9FAA74A5-04BF-403A-B8B5-FEA463473878}"/>
    <cellStyle name="PrePop Units (1)" xfId="709" xr:uid="{0828D0EA-3D0B-4866-A1C7-24B4CBCD8FC3}"/>
    <cellStyle name="PrePop Units (1) 2" xfId="710" xr:uid="{0DB01792-0BAE-4DB9-8312-BA908252154A}"/>
    <cellStyle name="PrePop Units (2)" xfId="711" xr:uid="{0CD81D97-DB7F-477B-8880-B2EF2AA46EC8}"/>
    <cellStyle name="Produc_nuevos" xfId="442" xr:uid="{201DD281-C540-4F54-97A7-828329BB8A80}"/>
    <cellStyle name="Punto" xfId="425" xr:uid="{00000000-0005-0000-0000-00009C010000}"/>
    <cellStyle name="Punto 2" xfId="713" xr:uid="{C85B53B8-C21B-4632-845D-F579720A30B6}"/>
    <cellStyle name="Punto 3" xfId="712" xr:uid="{2C89BD98-3097-473C-951F-CC9E592BEEDB}"/>
    <cellStyle name="Punto0" xfId="426" xr:uid="{00000000-0005-0000-0000-00009D010000}"/>
    <cellStyle name="Punto0 - Estilo3" xfId="714" xr:uid="{A5DF946C-7B85-46F0-B062-82CFFD0C88FC}"/>
    <cellStyle name="Punto0 - Modelo1" xfId="443" xr:uid="{B38B6688-AE90-44FC-B39A-A92651783789}"/>
    <cellStyle name="Punto0 - Style1" xfId="715" xr:uid="{63A0CAF9-3DA4-44CE-9CDB-6C5C9C12F461}"/>
    <cellStyle name="Punto0 2" xfId="716" xr:uid="{79EBC96E-FFD7-4B99-BF6C-7C896E642035}"/>
    <cellStyle name="Punto0_A08M404" xfId="717" xr:uid="{265AD8BC-B429-4DDA-835E-E5E8FDD41461}"/>
    <cellStyle name="Punto1 - Estilo1" xfId="718" xr:uid="{611B2D90-E058-4B62-8543-70A865FAFC57}"/>
    <cellStyle name="QtReview" xfId="719" xr:uid="{0E360108-A7E1-4375-9994-E39BDE7B2EE1}"/>
    <cellStyle name="RISKbigPercent" xfId="720" xr:uid="{E69E6A04-926D-4A46-A3B6-26521FF42468}"/>
    <cellStyle name="RISKbigPercent 2" xfId="721" xr:uid="{D6E92C0A-3DFF-4E43-9B25-EA0F80FFEEA7}"/>
    <cellStyle name="RISKblandrEdge" xfId="722" xr:uid="{873294E1-2B9C-408E-8755-F701618D05E8}"/>
    <cellStyle name="RISKblandrEdge 2" xfId="723" xr:uid="{21E73FF5-DD0C-431C-AE65-97A59A783F6A}"/>
    <cellStyle name="RISKblCorner" xfId="724" xr:uid="{785469B7-D97F-4993-946B-11EDAFCC28E0}"/>
    <cellStyle name="RISKblCorner 2" xfId="725" xr:uid="{51908279-1B4E-4804-857A-9282C28CF5B6}"/>
    <cellStyle name="RISKbottomEdge" xfId="726" xr:uid="{DEEE903B-3089-4D08-9002-2BE1DCF5221F}"/>
    <cellStyle name="RISKbottomEdge 2" xfId="727" xr:uid="{6DA6692B-8EFA-4E98-8792-D063D4BE3442}"/>
    <cellStyle name="RISKbrCorner" xfId="728" xr:uid="{EEE84176-D38C-4ED7-96AE-BCDFD1B9E2B1}"/>
    <cellStyle name="RISKbrCorner 2" xfId="729" xr:uid="{09FAF3BB-0400-4161-9AC1-FE7E5EF5AAEB}"/>
    <cellStyle name="RISKdarkBoxed" xfId="730" xr:uid="{EEEB3AEA-11DD-4A85-A470-2622E8D2D5CF}"/>
    <cellStyle name="RISKdarkBoxed 2" xfId="731" xr:uid="{17E82FB2-405E-4C00-98EB-406C434875A7}"/>
    <cellStyle name="RISKdarkShade" xfId="732" xr:uid="{FD256888-32A7-4794-A8AA-E20EE55A1080}"/>
    <cellStyle name="RISKdarkShade 2" xfId="733" xr:uid="{EF0BADFD-7F2F-42A8-92F2-8130C4DBEE99}"/>
    <cellStyle name="RISKdbottomEdge" xfId="734" xr:uid="{DEB5B6B4-BC09-4A0F-8251-CC3696A50869}"/>
    <cellStyle name="RISKdbottomEdge 2" xfId="735" xr:uid="{064E5CB6-9281-491A-9C90-7974502AC806}"/>
    <cellStyle name="RISKdrightEdge" xfId="736" xr:uid="{B82305EB-65DC-4AD5-A03D-0EF0F8E0FE48}"/>
    <cellStyle name="RISKdrightEdge 2" xfId="737" xr:uid="{A45E0990-C384-4FCC-A5E5-A56FF7594D05}"/>
    <cellStyle name="RISKdurationTime" xfId="738" xr:uid="{D367684D-AE6D-4436-AC3C-7A663C103B34}"/>
    <cellStyle name="RISKdurationTime 2" xfId="739" xr:uid="{DD1EF6C7-1B95-4E49-88E4-1F3B7D9AFD40}"/>
    <cellStyle name="RISKinNumber" xfId="740" xr:uid="{5D9FBD54-6007-47B1-B95D-450652EF1389}"/>
    <cellStyle name="RISKlandrEdge" xfId="741" xr:uid="{94892E1F-611C-462A-B109-CEFC0EE0AD8B}"/>
    <cellStyle name="RISKlandrEdge 2" xfId="742" xr:uid="{1EADB954-7C05-4F98-93DC-B6AB833B7329}"/>
    <cellStyle name="RISKleftEdge" xfId="743" xr:uid="{C3D498C5-F91B-4390-9F7A-B9867D666F1D}"/>
    <cellStyle name="RISKleftEdge 2" xfId="744" xr:uid="{F98C5E25-9AD1-434A-A7D1-B75533B34894}"/>
    <cellStyle name="RISKlightBoxed" xfId="745" xr:uid="{D0C8C2A8-F139-4447-AA2D-0F4BF7AF56E3}"/>
    <cellStyle name="RISKlightBoxed 2" xfId="746" xr:uid="{5FB33701-E958-40FC-98FB-AF40F2AD61B4}"/>
    <cellStyle name="RISKltandbEdge" xfId="747" xr:uid="{6B5C8FC4-7460-4108-BB43-B036B5B93DE0}"/>
    <cellStyle name="RISKltandbEdge 2" xfId="748" xr:uid="{C83D3D17-BCC8-4282-8989-DCE380626CBB}"/>
    <cellStyle name="RISKnormBoxed" xfId="749" xr:uid="{9EAC0BAF-E36F-4CC7-9BF5-5825840F6ED1}"/>
    <cellStyle name="RISKnormBoxed 2" xfId="750" xr:uid="{C1119227-050B-4FD7-9913-6723305980EC}"/>
    <cellStyle name="RISKnormCenter" xfId="751" xr:uid="{CDF75A34-8470-42B9-AD4D-D460FFD0432C}"/>
    <cellStyle name="RISKnormCenter 2" xfId="752" xr:uid="{82BC1AEB-D06D-4C78-BAAF-7388B60C5A29}"/>
    <cellStyle name="RISKnormHeading" xfId="753" xr:uid="{7372BD32-F9B0-435B-BB42-E9E509EF43C6}"/>
    <cellStyle name="RISKnormItal" xfId="754" xr:uid="{786A0679-6AE5-43A9-B09A-87FB24AF8EEC}"/>
    <cellStyle name="RISKnormLabel" xfId="755" xr:uid="{D86B6617-E42A-4D89-AD08-C58FDAC9F500}"/>
    <cellStyle name="RISKnormShade" xfId="756" xr:uid="{E9DC2982-D5ED-4200-823F-21A13FFCDAF3}"/>
    <cellStyle name="RISKnormShade 2" xfId="757" xr:uid="{D58E1706-C2AB-43BD-BB24-72CEB5F93125}"/>
    <cellStyle name="RISKnormTitle" xfId="758" xr:uid="{E64477E4-D8E6-42FC-9267-0484F25F293C}"/>
    <cellStyle name="RISKoutNumber" xfId="759" xr:uid="{7EB5438B-3B31-44CB-9D1F-52E52D39B7B8}"/>
    <cellStyle name="RISKrightEdge" xfId="760" xr:uid="{BE7B8B2D-DC10-4580-BF4E-0689791B41E2}"/>
    <cellStyle name="RISKrightEdge 2" xfId="761" xr:uid="{B5097C36-1D87-4502-8076-B9FE87192080}"/>
    <cellStyle name="RISKrtandbEdge" xfId="762" xr:uid="{7393241F-8173-4540-8B9C-11DDBDEE9B19}"/>
    <cellStyle name="RISKrtandbEdge 2" xfId="763" xr:uid="{F53393BF-58B0-4F4D-AB2A-228F0028A633}"/>
    <cellStyle name="RISKssTime" xfId="764" xr:uid="{89074AF6-1A21-497B-A79A-BD08BFB192D9}"/>
    <cellStyle name="RISKssTime 2" xfId="765" xr:uid="{BE900B15-95FF-468F-9CFC-8D7C1C418240}"/>
    <cellStyle name="RISKtandbEdge" xfId="766" xr:uid="{768B0505-6828-4A07-A74B-1F44F8BB080C}"/>
    <cellStyle name="RISKtandbEdge 2" xfId="767" xr:uid="{BCD2C60E-4D17-464E-B436-DFA0AFCE5D53}"/>
    <cellStyle name="RISKtlandrEdge" xfId="768" xr:uid="{A2B0C6C1-2FD0-4F8B-8A46-19F229D3C78B}"/>
    <cellStyle name="RISKtlandrEdge 2" xfId="769" xr:uid="{85EEA739-0E9F-40B9-9394-9ED5B43C05D4}"/>
    <cellStyle name="RISKtlCorner" xfId="770" xr:uid="{151FA833-B77D-424B-80F7-227A62424219}"/>
    <cellStyle name="RISKtlCorner 2" xfId="771" xr:uid="{85F90CAD-CC51-4593-922B-268947B2B91D}"/>
    <cellStyle name="RISKtopEdge" xfId="772" xr:uid="{0286C8C1-AC75-4BEC-BC08-B3785410ECE9}"/>
    <cellStyle name="RISKtopEdge 2" xfId="773" xr:uid="{AD44D3DB-4419-4AC7-9CD7-B45F7EA0B395}"/>
    <cellStyle name="RISKtrCorner" xfId="774" xr:uid="{1DCA97A5-877E-4B12-97E2-4E6087B1A7D0}"/>
    <cellStyle name="RISKtrCorner 2" xfId="775" xr:uid="{6E29AEAA-375D-48CF-B144-F4C65762A959}"/>
    <cellStyle name="Salida 2" xfId="273" xr:uid="{00000000-0005-0000-0000-00009E010000}"/>
    <cellStyle name="Salida 2 2" xfId="274" xr:uid="{00000000-0005-0000-0000-00009F010000}"/>
    <cellStyle name="Separador de milhares [0]_Costo Operación T177 Fase II" xfId="776" xr:uid="{ECE21D7A-0AAE-4A5F-AFAE-9E8F06107EFA}"/>
    <cellStyle name="Separador de milhares_Costo Operación T177 Fase II" xfId="777" xr:uid="{8D43E944-0CDC-42FB-89C3-C6A1D502ED0F}"/>
    <cellStyle name="SKM" xfId="778" xr:uid="{38877203-C795-459F-A466-B293A23C3AF5}"/>
    <cellStyle name="SKM 2" xfId="779" xr:uid="{C4FBC37F-9A49-4540-B299-3A951B315A2E}"/>
    <cellStyle name="SKM 3" xfId="780" xr:uid="{C573BEF5-FFE3-4629-B555-8DD70E8180C2}"/>
    <cellStyle name="SKM 4" xfId="781" xr:uid="{07588046-A36E-489C-AE4C-DDF8306B5BE5}"/>
    <cellStyle name="SKM 5" xfId="782" xr:uid="{A7846E63-0F42-46F3-9B83-2DBC4A6E4C20}"/>
    <cellStyle name="SKM 6" xfId="783" xr:uid="{407FBDC3-2360-4356-A743-9888403E9EC6}"/>
    <cellStyle name="SKM 7" xfId="784" xr:uid="{7C98C0EB-F47B-40EC-AE26-655E927EEEB4}"/>
    <cellStyle name="SKM 8" xfId="785" xr:uid="{E03AA8D3-F7D9-4CAE-BAE9-39639BB8C4A0}"/>
    <cellStyle name="Style 1" xfId="786" xr:uid="{864F2D30-A0C2-43FD-A530-F154BC4BE1C5}"/>
    <cellStyle name="Style 2" xfId="787" xr:uid="{7E9E7D42-A441-47BB-BDB4-E7274C3367A2}"/>
    <cellStyle name="subtotal" xfId="788" xr:uid="{6B9B4A85-9ED1-4BF5-A52F-91C96C33CE84}"/>
    <cellStyle name="t]_x000d__x000a_color schemes=Predeterminado de Windows_x000d__x000a__x000d__x000a_[color schemes]_x000d__x000a_Arlequín=9544BB,C1FBFA,FFFFFF,0,FFFFFF,0,FFFF8" xfId="789" xr:uid="{4339B568-7A0E-4E8B-9674-FAF743FAFE82}"/>
    <cellStyle name="Table Top" xfId="790" xr:uid="{4A369ABC-4975-4348-8951-ADFDECF25479}"/>
    <cellStyle name="Text Indent A" xfId="791" xr:uid="{EDC8CF8A-93D6-4656-AE9A-92528CCDD626}"/>
    <cellStyle name="Text Indent B" xfId="792" xr:uid="{B1B84A80-F735-49E9-80FE-CB5C651465DF}"/>
    <cellStyle name="Text Indent B 2" xfId="793" xr:uid="{4710CB06-4851-4B4B-9FC0-20F878CE84B6}"/>
    <cellStyle name="Text Indent C" xfId="794" xr:uid="{403852AE-EF16-4156-89AB-7D277F391B27}"/>
    <cellStyle name="Text Indent C 2" xfId="795" xr:uid="{17885B70-A206-4AA1-98E2-2BDE5E98C8E7}"/>
    <cellStyle name="Texto de advertencia 2" xfId="275" xr:uid="{00000000-0005-0000-0000-0000A0010000}"/>
    <cellStyle name="Texto de advertencia 2 2" xfId="276" xr:uid="{00000000-0005-0000-0000-0000A1010000}"/>
    <cellStyle name="Texto explicativo 2" xfId="277" xr:uid="{00000000-0005-0000-0000-0000A2010000}"/>
    <cellStyle name="Texto explicativo 2 2" xfId="278" xr:uid="{00000000-0005-0000-0000-0000A3010000}"/>
    <cellStyle name="þ_x001d_ð&quot;_x000c_Býò_x000c_5ýU_x0001_©_x0006__x0008__x0008__x0007__x0001__x0001_" xfId="796" xr:uid="{88109341-0226-42A8-8CAE-0CAD6CFDF132}"/>
    <cellStyle name="Title" xfId="279" xr:uid="{00000000-0005-0000-0000-0000A4010000}"/>
    <cellStyle name="Title 2" xfId="797" xr:uid="{65568675-61C7-4F41-9468-854B653ADBED}"/>
    <cellStyle name="Título 1 2" xfId="280" xr:uid="{00000000-0005-0000-0000-0000A5010000}"/>
    <cellStyle name="Título 2 2" xfId="281" xr:uid="{00000000-0005-0000-0000-0000A6010000}"/>
    <cellStyle name="Título 3 2" xfId="282" xr:uid="{00000000-0005-0000-0000-0000A7010000}"/>
    <cellStyle name="Título 4" xfId="283" xr:uid="{00000000-0005-0000-0000-0000A8010000}"/>
    <cellStyle name="Título de hoja" xfId="798" xr:uid="{9D5F8777-4888-44BA-A5DF-0B372F1A9057}"/>
    <cellStyle name="Top Column Head" xfId="799" xr:uid="{A8B47552-EF75-481F-94B0-572E5F5A35DB}"/>
    <cellStyle name="Total 2" xfId="284" xr:uid="{00000000-0005-0000-0000-0000A9010000}"/>
    <cellStyle name="Total 2 2" xfId="285" xr:uid="{00000000-0005-0000-0000-0000AA010000}"/>
    <cellStyle name="Total 2 3" xfId="427" xr:uid="{00000000-0005-0000-0000-0000AB010000}"/>
    <cellStyle name="Total 2 4" xfId="800" xr:uid="{31D655EE-A9D9-4BCF-AE35-413500AC1003}"/>
    <cellStyle name="Total 3" xfId="286" xr:uid="{00000000-0005-0000-0000-0000AC010000}"/>
    <cellStyle name="Tusental (0)_lista" xfId="436" xr:uid="{29A43652-0755-4D21-A4CB-8C427657858E}"/>
    <cellStyle name="Valuta (0)_lista" xfId="437" xr:uid="{A893B75B-928D-4DC8-8B75-82E238598276}"/>
    <cellStyle name="Warning Text" xfId="287" xr:uid="{00000000-0005-0000-0000-0000AD010000}"/>
    <cellStyle name="weeks" xfId="801" xr:uid="{B0B97638-30F5-473F-B73A-55BFD4C02C0F}"/>
    <cellStyle name="weeks 2" xfId="802" xr:uid="{7E3730B3-2667-427A-9261-ADD500B9462D}"/>
    <cellStyle name="X'S" xfId="803" xr:uid="{61A7B9FA-C7DB-4CD5-AFD3-4AE8797B8969}"/>
    <cellStyle name="year" xfId="804" xr:uid="{3B7274DC-40CB-4097-948C-4F46E1911481}"/>
    <cellStyle name="years" xfId="805" xr:uid="{40BB2F01-B1AD-4882-8706-7C053189EBE3}"/>
    <cellStyle name="쉼표 [0] 5" xfId="288" xr:uid="{00000000-0005-0000-0000-0000AE010000}"/>
    <cellStyle name="쉼표 [0]_Power_BOQ(11-22)" xfId="289" xr:uid="{00000000-0005-0000-0000-0000AF010000}"/>
    <cellStyle name="표준 2 3" xfId="290" xr:uid="{00000000-0005-0000-0000-0000B0010000}"/>
    <cellStyle name="표준 4" xfId="291" xr:uid="{00000000-0005-0000-0000-0000B1010000}"/>
    <cellStyle name="표준_flam" xfId="292" xr:uid="{00000000-0005-0000-0000-0000B2010000}"/>
    <cellStyle name="桁区切り [0.00]_Book1" xfId="428" xr:uid="{00000000-0005-0000-0000-0000B3010000}"/>
    <cellStyle name="桁区切り_Book1" xfId="429" xr:uid="{00000000-0005-0000-0000-0000B4010000}"/>
    <cellStyle name="標準_Book1" xfId="430" xr:uid="{00000000-0005-0000-0000-0000B5010000}"/>
    <cellStyle name="通貨 [0.00]_Book1" xfId="431" xr:uid="{00000000-0005-0000-0000-0000B6010000}"/>
    <cellStyle name="通貨_Book1" xfId="432" xr:uid="{00000000-0005-0000-0000-0000B7010000}"/>
  </cellStyles>
  <dxfs count="0"/>
  <tableStyles count="1" defaultTableStyle="TableStyleMedium9" defaultPivotStyle="PivotStyleLight16">
    <tableStyle name="Invisible" pivot="0" table="0" count="0" xr9:uid="{5D8E9F5E-08B9-4B53-B8E1-BDA07868532B}"/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PC/Escritorio/04-status%20DP.xls" TargetMode="External"/><Relationship Id="rId1" Type="http://schemas.openxmlformats.org/officeDocument/2006/relationships/externalLinkPath" Target="/Documents%20and%20Settings/PC/Escritorio/04-status%20D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TUS DP"/>
      <sheetName val="Grafico"/>
      <sheetName val="Hoja1"/>
      <sheetName val="ESPECIALIDAD"/>
    </sheetNames>
    <sheetDataSet>
      <sheetData sheetId="0">
        <row r="4">
          <cell r="V4">
            <v>38228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A264-D2CE-406C-8DFC-E0C9AF89FC9E}">
  <sheetPr>
    <tabColor theme="1" tint="4.9989318521683403E-2"/>
  </sheetPr>
  <dimension ref="A1:K9"/>
  <sheetViews>
    <sheetView showGridLines="0" showZeros="0" tabSelected="1" zoomScale="70" zoomScaleNormal="70" workbookViewId="0">
      <selection activeCell="F9" sqref="F9"/>
    </sheetView>
  </sheetViews>
  <sheetFormatPr baseColWidth="10" defaultColWidth="11.42578125" defaultRowHeight="15"/>
  <cols>
    <col min="1" max="1" width="35.140625" style="2" customWidth="1"/>
    <col min="2" max="4" width="21.140625" style="3" bestFit="1" customWidth="1"/>
    <col min="5" max="5" width="18.5703125" style="3" bestFit="1" customWidth="1"/>
    <col min="6" max="6" width="24.140625" style="3" bestFit="1" customWidth="1"/>
    <col min="7" max="7" width="22.140625" style="3" bestFit="1" customWidth="1"/>
    <col min="8" max="8" width="23.85546875" style="3" customWidth="1"/>
    <col min="9" max="9" width="14" style="3" bestFit="1" customWidth="1"/>
    <col min="10" max="10" width="17.140625" style="3" bestFit="1" customWidth="1"/>
    <col min="11" max="11" width="80.28515625" style="3" customWidth="1"/>
    <col min="12" max="16384" width="11.42578125" style="3"/>
  </cols>
  <sheetData>
    <row r="1" spans="1:11" s="1" customFormat="1" ht="48" customHeight="1">
      <c r="A1" s="22" t="s">
        <v>39</v>
      </c>
      <c r="B1" s="22" t="s">
        <v>1</v>
      </c>
      <c r="C1" s="22" t="s">
        <v>2</v>
      </c>
      <c r="D1" s="22" t="s">
        <v>3</v>
      </c>
      <c r="E1" s="21" t="s">
        <v>7</v>
      </c>
      <c r="F1" s="23" t="s">
        <v>8</v>
      </c>
      <c r="G1" s="23" t="s">
        <v>38</v>
      </c>
      <c r="H1" s="23" t="s">
        <v>5</v>
      </c>
      <c r="I1" s="21" t="s">
        <v>7</v>
      </c>
      <c r="J1" s="24" t="s">
        <v>6</v>
      </c>
      <c r="K1" s="24" t="s">
        <v>9</v>
      </c>
    </row>
    <row r="2" spans="1:11" ht="42" customHeight="1">
      <c r="A2" s="12" t="s">
        <v>0</v>
      </c>
      <c r="B2" s="13">
        <v>135754532.50963384</v>
      </c>
      <c r="C2" s="13">
        <v>196838271.17832854</v>
      </c>
      <c r="D2" s="14">
        <v>104873927</v>
      </c>
      <c r="E2" s="15">
        <f>IFERROR((D2/C2),"0")</f>
        <v>0.53279235979972572</v>
      </c>
      <c r="F2" s="14">
        <v>131524533.19225243</v>
      </c>
      <c r="G2" s="16">
        <v>2269411</v>
      </c>
      <c r="H2" s="14">
        <f>+F2+G2</f>
        <v>133793944.19225243</v>
      </c>
      <c r="I2" s="17">
        <f>IFERROR((H2/C2),"0")</f>
        <v>0.67971509499308613</v>
      </c>
      <c r="J2" s="18"/>
      <c r="K2" s="19"/>
    </row>
    <row r="3" spans="1:11" ht="31.5" customHeight="1">
      <c r="A3" s="12" t="s">
        <v>11</v>
      </c>
      <c r="B3" s="13">
        <v>3017729863</v>
      </c>
      <c r="C3" s="13">
        <v>3658673350</v>
      </c>
      <c r="D3" s="14">
        <v>3446607817</v>
      </c>
      <c r="E3" s="15">
        <f>IFERROR((D3/C3),"0")</f>
        <v>0.94203758775021551</v>
      </c>
      <c r="F3" s="14">
        <v>3318028741.8901486</v>
      </c>
      <c r="G3" s="16">
        <v>109167690</v>
      </c>
      <c r="H3" s="14">
        <f t="shared" ref="H3:H9" si="0">F3+G3</f>
        <v>3427196431.8901486</v>
      </c>
      <c r="I3" s="17">
        <f>IFERROR((H3/C3),"0")</f>
        <v>0.93673200748849272</v>
      </c>
      <c r="J3" s="18"/>
      <c r="K3" s="19"/>
    </row>
    <row r="4" spans="1:11" ht="43.5" customHeight="1">
      <c r="A4" s="12" t="s">
        <v>4</v>
      </c>
      <c r="B4" s="13">
        <v>1596515604</v>
      </c>
      <c r="C4" s="13">
        <v>2158454497</v>
      </c>
      <c r="D4" s="14">
        <v>2076743394</v>
      </c>
      <c r="E4" s="15">
        <f>IFERROR((D4/C4),"0")</f>
        <v>0.96214369906172736</v>
      </c>
      <c r="F4" s="14">
        <v>2209402833.9175992</v>
      </c>
      <c r="G4" s="16">
        <v>86972987</v>
      </c>
      <c r="H4" s="14">
        <f>F4+G4</f>
        <v>2296375820.9175992</v>
      </c>
      <c r="I4" s="17">
        <f>IFERROR((H4/C4),"0")</f>
        <v>1.0638981846081508</v>
      </c>
      <c r="J4" s="18"/>
      <c r="K4" s="19"/>
    </row>
    <row r="5" spans="1:11" ht="43.5" customHeight="1">
      <c r="A5" s="12" t="s">
        <v>14</v>
      </c>
      <c r="B5" s="20"/>
      <c r="C5" s="13">
        <v>0</v>
      </c>
      <c r="D5" s="14">
        <v>0</v>
      </c>
      <c r="E5" s="15">
        <f>IFERROR((D5/C5),0)</f>
        <v>0</v>
      </c>
      <c r="F5" s="14">
        <v>-276081642</v>
      </c>
      <c r="G5" s="16">
        <v>-10267722</v>
      </c>
      <c r="H5" s="14">
        <f t="shared" si="0"/>
        <v>-286349364</v>
      </c>
      <c r="I5" s="17">
        <f>IFERROR((H5/C5),0)</f>
        <v>0</v>
      </c>
      <c r="J5" s="18"/>
      <c r="K5" s="19"/>
    </row>
    <row r="6" spans="1:11" ht="31.5" customHeight="1">
      <c r="A6" s="12" t="s">
        <v>34</v>
      </c>
      <c r="B6" s="20"/>
      <c r="C6" s="13">
        <v>0</v>
      </c>
      <c r="D6" s="14">
        <v>0</v>
      </c>
      <c r="E6" s="15">
        <f t="shared" ref="E6:E9" si="1">IFERROR((D6/C6),0)</f>
        <v>0</v>
      </c>
      <c r="F6" s="14">
        <v>131664924.594</v>
      </c>
      <c r="G6" s="16">
        <v>6944353.0719999997</v>
      </c>
      <c r="H6" s="14">
        <f>F6+G6</f>
        <v>138609277.66600001</v>
      </c>
      <c r="I6" s="17">
        <f>IFERROR((H6/C6),0)</f>
        <v>0</v>
      </c>
      <c r="J6" s="18"/>
      <c r="K6" s="19"/>
    </row>
    <row r="7" spans="1:11" ht="31.5" customHeight="1">
      <c r="A7" s="12" t="s">
        <v>10</v>
      </c>
      <c r="B7" s="20"/>
      <c r="C7" s="13">
        <v>0</v>
      </c>
      <c r="D7" s="13">
        <v>0</v>
      </c>
      <c r="E7" s="15">
        <f t="shared" si="1"/>
        <v>0</v>
      </c>
      <c r="F7" s="16">
        <v>0</v>
      </c>
      <c r="G7" s="16">
        <v>0</v>
      </c>
      <c r="H7" s="16">
        <f t="shared" si="0"/>
        <v>0</v>
      </c>
      <c r="I7" s="17">
        <f>IFERROR((H7/C7),0)</f>
        <v>0</v>
      </c>
      <c r="J7" s="18"/>
      <c r="K7" s="19"/>
    </row>
    <row r="8" spans="1:11" ht="31.5" customHeight="1">
      <c r="A8" s="12" t="s">
        <v>12</v>
      </c>
      <c r="B8" s="20"/>
      <c r="C8" s="13">
        <v>0</v>
      </c>
      <c r="D8" s="14">
        <v>0</v>
      </c>
      <c r="E8" s="15">
        <f t="shared" si="1"/>
        <v>0</v>
      </c>
      <c r="F8" s="16">
        <v>0</v>
      </c>
      <c r="G8" s="16">
        <v>0</v>
      </c>
      <c r="H8" s="16">
        <f>F8+G8</f>
        <v>0</v>
      </c>
      <c r="I8" s="17">
        <f>IFERROR((H8/C8),0)</f>
        <v>0</v>
      </c>
      <c r="J8" s="18"/>
      <c r="K8" s="19"/>
    </row>
    <row r="9" spans="1:11" ht="31.5" customHeight="1">
      <c r="A9" s="12" t="s">
        <v>13</v>
      </c>
      <c r="B9" s="20"/>
      <c r="C9" s="13">
        <v>0</v>
      </c>
      <c r="D9" s="14">
        <v>0</v>
      </c>
      <c r="E9" s="15">
        <f t="shared" si="1"/>
        <v>0</v>
      </c>
      <c r="F9" s="16">
        <v>0</v>
      </c>
      <c r="G9" s="16">
        <v>0</v>
      </c>
      <c r="H9" s="16">
        <f t="shared" si="0"/>
        <v>0</v>
      </c>
      <c r="I9" s="17">
        <f>IFERROR((H9/C9),0)</f>
        <v>0</v>
      </c>
      <c r="J9" s="18"/>
      <c r="K9" s="19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6CBE-3CFA-4CDF-85EA-CCE0D08A23AE}">
  <dimension ref="B2:J19"/>
  <sheetViews>
    <sheetView workbookViewId="0">
      <selection activeCell="C24" sqref="C24"/>
    </sheetView>
  </sheetViews>
  <sheetFormatPr baseColWidth="10" defaultRowHeight="15"/>
  <cols>
    <col min="2" max="2" width="44.140625" bestFit="1" customWidth="1"/>
    <col min="3" max="3" width="4.7109375" customWidth="1"/>
    <col min="4" max="5" width="14.5703125" bestFit="1" customWidth="1"/>
    <col min="6" max="7" width="15.5703125" bestFit="1" customWidth="1"/>
    <col min="8" max="8" width="13" bestFit="1" customWidth="1"/>
  </cols>
  <sheetData>
    <row r="2" spans="2:10">
      <c r="D2" t="s">
        <v>31</v>
      </c>
      <c r="E2" t="s">
        <v>32</v>
      </c>
      <c r="F2" t="s">
        <v>29</v>
      </c>
      <c r="G2" t="s">
        <v>30</v>
      </c>
      <c r="H2" t="s">
        <v>33</v>
      </c>
    </row>
    <row r="3" spans="2:10">
      <c r="B3" t="s">
        <v>15</v>
      </c>
      <c r="D3" s="6">
        <v>1358736064.3264697</v>
      </c>
      <c r="E3" s="6">
        <v>1358736064.3264697</v>
      </c>
      <c r="F3" s="6">
        <v>294867875.44736308</v>
      </c>
      <c r="G3" s="6">
        <v>856316987.99339056</v>
      </c>
    </row>
    <row r="4" spans="2:10">
      <c r="B4" t="s">
        <v>16</v>
      </c>
      <c r="D4" s="6">
        <v>480906042.55799997</v>
      </c>
      <c r="E4" s="6">
        <v>480906042.55799997</v>
      </c>
      <c r="F4" s="6">
        <v>81109186.134899989</v>
      </c>
      <c r="G4" s="6">
        <v>243493619</v>
      </c>
    </row>
    <row r="5" spans="2:10">
      <c r="B5" t="s">
        <v>17</v>
      </c>
      <c r="D5" s="6">
        <v>214640335.6621305</v>
      </c>
      <c r="E5" s="6">
        <v>214640335.6621305</v>
      </c>
      <c r="F5" s="6">
        <v>42195401.919336945</v>
      </c>
      <c r="G5" s="6">
        <v>143055256.20000002</v>
      </c>
    </row>
    <row r="6" spans="2:10">
      <c r="B6" t="s">
        <v>18</v>
      </c>
      <c r="D6" s="6">
        <v>1131375557.1507001</v>
      </c>
      <c r="E6" s="6">
        <v>1131375557.1507001</v>
      </c>
      <c r="F6" s="6">
        <v>73402880.150675878</v>
      </c>
      <c r="G6" s="6">
        <v>388500113.12673682</v>
      </c>
    </row>
    <row r="7" spans="2:10">
      <c r="B7" t="s">
        <v>19</v>
      </c>
      <c r="D7" s="6">
        <v>292334884.71689999</v>
      </c>
      <c r="E7" s="6">
        <v>292334884.71689999</v>
      </c>
      <c r="F7" s="6">
        <v>192967824.63349998</v>
      </c>
      <c r="G7" s="6">
        <v>81971977</v>
      </c>
    </row>
    <row r="8" spans="2:10">
      <c r="B8" t="s">
        <v>20</v>
      </c>
      <c r="D8" s="6">
        <v>1853206780.5873764</v>
      </c>
      <c r="E8" s="6">
        <v>1853206780.5873764</v>
      </c>
      <c r="F8" s="6">
        <v>532697031.91367471</v>
      </c>
      <c r="G8" s="6">
        <v>778617116.2304914</v>
      </c>
    </row>
    <row r="9" spans="2:10">
      <c r="B9" t="s">
        <v>21</v>
      </c>
      <c r="D9" s="6">
        <v>78853655.999999985</v>
      </c>
      <c r="E9" s="6">
        <v>78853655.999999985</v>
      </c>
      <c r="F9" s="6">
        <v>22666174.62592509</v>
      </c>
      <c r="G9" s="6">
        <v>57354272.395999998</v>
      </c>
    </row>
    <row r="10" spans="2:10">
      <c r="B10" t="s">
        <v>22</v>
      </c>
      <c r="D10" s="6">
        <v>252538433.32796222</v>
      </c>
      <c r="E10" s="6">
        <v>252538433.32796222</v>
      </c>
      <c r="F10" s="6">
        <v>139698540.38924959</v>
      </c>
      <c r="G10" s="6">
        <v>78361687</v>
      </c>
    </row>
    <row r="11" spans="2:10">
      <c r="B11" t="s">
        <v>23</v>
      </c>
      <c r="D11" s="6">
        <v>265021027.87130544</v>
      </c>
      <c r="E11" s="6">
        <v>265021027.87130544</v>
      </c>
      <c r="F11" s="6">
        <v>69205429.096430838</v>
      </c>
      <c r="G11" s="6">
        <v>179218056.26789999</v>
      </c>
    </row>
    <row r="12" spans="2:10">
      <c r="B12" t="s">
        <v>24</v>
      </c>
      <c r="D12" s="6">
        <v>78147227.660656705</v>
      </c>
      <c r="E12" s="6">
        <v>78147227.660656705</v>
      </c>
      <c r="F12" s="6">
        <v>22463114.566157445</v>
      </c>
      <c r="G12" s="6">
        <v>63736044.8750747</v>
      </c>
    </row>
    <row r="13" spans="2:10">
      <c r="B13" t="s">
        <v>25</v>
      </c>
      <c r="D13" s="6">
        <v>522240000.00045216</v>
      </c>
      <c r="E13" s="6">
        <v>522240000.00045216</v>
      </c>
      <c r="F13" s="6">
        <v>150115842.9059189</v>
      </c>
      <c r="G13" s="6">
        <v>423100276.98114508</v>
      </c>
    </row>
    <row r="14" spans="2:10">
      <c r="B14" s="4" t="s">
        <v>28</v>
      </c>
      <c r="C14" s="4"/>
      <c r="D14" s="5">
        <f>+D10</f>
        <v>252538433.32796222</v>
      </c>
      <c r="E14" s="5">
        <f>+E10</f>
        <v>252538433.32796222</v>
      </c>
      <c r="F14" s="5">
        <f>+F10</f>
        <v>139698540.38924959</v>
      </c>
      <c r="G14" s="5">
        <f>+G10</f>
        <v>78361687</v>
      </c>
      <c r="H14" s="8">
        <f>+J14-J15</f>
        <v>3449240738.9359999</v>
      </c>
      <c r="I14" t="s">
        <v>36</v>
      </c>
      <c r="J14" s="8">
        <v>3831782606.046454</v>
      </c>
    </row>
    <row r="15" spans="2:10">
      <c r="B15" s="4" t="s">
        <v>26</v>
      </c>
      <c r="C15" s="4"/>
      <c r="D15" s="5">
        <f>SUM(D3:D7)</f>
        <v>3477992884.4141998</v>
      </c>
      <c r="E15" s="5">
        <f>SUM(E3:E7)</f>
        <v>3477992884.4141998</v>
      </c>
      <c r="F15" s="5">
        <f>SUM(F3:F7)</f>
        <v>684543168.2857759</v>
      </c>
      <c r="G15" s="5">
        <f>SUM(G3:G7)</f>
        <v>1713337953.3201275</v>
      </c>
      <c r="H15" s="6"/>
      <c r="I15" t="s">
        <v>37</v>
      </c>
      <c r="J15">
        <v>382541867.11045384</v>
      </c>
    </row>
    <row r="16" spans="2:10">
      <c r="B16" s="4" t="s">
        <v>27</v>
      </c>
      <c r="C16" s="4"/>
      <c r="D16" s="5">
        <f>SUM(D8:D13)-D10</f>
        <v>2797468692.1197906</v>
      </c>
      <c r="E16" s="5">
        <f>SUM(E8:E13)-E10</f>
        <v>2797468692.1197906</v>
      </c>
      <c r="F16" s="5">
        <f>SUM(F8:F13)-F10</f>
        <v>797147593.10810709</v>
      </c>
      <c r="G16" s="5">
        <f>SUM(G8:G13)-G10</f>
        <v>1502025766.7506113</v>
      </c>
    </row>
    <row r="17" spans="4:7">
      <c r="D17" s="7">
        <f>SUM(D14:D16)</f>
        <v>6528000009.8619528</v>
      </c>
      <c r="E17" s="7">
        <f>SUM(E14:E16)</f>
        <v>6528000009.8619528</v>
      </c>
      <c r="F17" s="7">
        <f>SUM(F14:F16)</f>
        <v>1621389301.7831326</v>
      </c>
      <c r="G17" s="5">
        <f>SUM(G14:G16)</f>
        <v>3293725407.0707388</v>
      </c>
    </row>
    <row r="18" spans="4:7">
      <c r="G18" s="7">
        <f>+F17-G17</f>
        <v>-1672336105.2876062</v>
      </c>
    </row>
    <row r="19" spans="4:7" ht="30">
      <c r="E19" s="9" t="s">
        <v>35</v>
      </c>
      <c r="F19" s="10">
        <v>12803658932.974648</v>
      </c>
      <c r="G19" s="11" t="e">
        <f>+F19-'ING VS FACT'!#REF!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ef72a3632344287f9700baab040038dd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da04025c766b376fb2e684dedeb25b76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229f3-b919-4892-ac79-65456f01318d">
      <Terms xmlns="http://schemas.microsoft.com/office/infopath/2007/PartnerControls"/>
    </lcf76f155ced4ddcb4097134ff3c332f>
    <TaxCatchAll xmlns="b927864e-f0e3-461d-a8c1-661b565947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BAEC6-EE17-4570-92D7-E6E44F0654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FB4166-63B1-4FDA-AAD1-B63FF1B5A866}">
  <ds:schemaRefs>
    <ds:schemaRef ds:uri="http://schemas.microsoft.com/office/2006/metadata/properties"/>
    <ds:schemaRef ds:uri="http://schemas.microsoft.com/office/infopath/2007/PartnerControls"/>
    <ds:schemaRef ds:uri="370229f3-b919-4892-ac79-65456f01318d"/>
    <ds:schemaRef ds:uri="b927864e-f0e3-461d-a8c1-661b56594714"/>
  </ds:schemaRefs>
</ds:datastoreItem>
</file>

<file path=customXml/itemProps3.xml><?xml version="1.0" encoding="utf-8"?>
<ds:datastoreItem xmlns:ds="http://schemas.openxmlformats.org/officeDocument/2006/customXml" ds:itemID="{74DC88D4-F860-44A9-82CB-28A31C309B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 VS FACT</vt:lpstr>
      <vt:lpstr>Hoja1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Gonzalez</dc:creator>
  <cp:lastModifiedBy>Angel Tapia B.</cp:lastModifiedBy>
  <cp:lastPrinted>2019-05-17T20:26:04Z</cp:lastPrinted>
  <dcterms:created xsi:type="dcterms:W3CDTF">2010-07-08T20:48:00Z</dcterms:created>
  <dcterms:modified xsi:type="dcterms:W3CDTF">2026-04-16T19:39:25Z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0x010100EC8CF441430ACE428A1ED4345CB9FA3F</vt:lpwstr>
  </property>
  <property fmtid="{D5CDD505-2E9C-101B-9397-08002B2CF9AE}" pid="3" name="MediaServiceImageTags">
    <vt:lpwstr/>
  </property>
</Properties>
</file>